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2b90b4ac4f9471f" /></Relationships>
</file>

<file path=xl/workbook.xml><?xml version="1.0" encoding="utf-8"?>
<x:workbook xmlns:x="http://schemas.openxmlformats.org/spreadsheetml/2006/main">
  <x:sheets>
    <x:sheet xmlns:r="http://schemas.openxmlformats.org/officeDocument/2006/relationships" name="Overview" sheetId="1" r:id="Re5c853aed09242fc"/>
    <x:sheet xmlns:r="http://schemas.openxmlformats.org/officeDocument/2006/relationships" name="Question types" sheetId="2" r:id="R5be5fb41fa764191"/>
    <x:sheet xmlns:r="http://schemas.openxmlformats.org/officeDocument/2006/relationships" name="Questions" sheetId="3" r:id="R60f46dc92b5947ce"/>
    <x:sheet xmlns:r="http://schemas.openxmlformats.org/officeDocument/2006/relationships" name="Agent tools" sheetId="4" r:id="R543cff5a9e494611"/>
    <x:sheet xmlns:r="http://schemas.openxmlformats.org/officeDocument/2006/relationships" name="Buildings" sheetId="5" r:id="Rb27ee6cda6f24a7e"/>
    <x:sheet xmlns:r="http://schemas.openxmlformats.org/officeDocument/2006/relationships" name="Live scenarios" sheetId="6" r:id="Rb4707f32c24e4fff"/>
    <x:sheet xmlns:r="http://schemas.openxmlformats.org/officeDocument/2006/relationships" name="Scoring and sources" sheetId="7" r:id="R86c23117616a4fef"/>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
    <x:numFmt numFmtId="202" formatCode="0.0%"/>
    <x:numFmt numFmtId="203" formatCode="#,##0"/>
  </x:numFmts>
  <x:fonts count="6">
    <x:font>
      <x:sz val="11"/>
      <x:name val="Carlito"/>
    </x:font>
    <x:font>
      <x:sz val="10"/>
      <x:color rgb="FF172B4D"/>
      <x:name val="Arial"/>
    </x:font>
    <x:font>
      <x:b/>
      <x:sz val="15"/>
      <x:color rgb="FF172B4D"/>
      <x:name val="Arial"/>
    </x:font>
    <x:font>
      <x:b/>
      <x:sz val="10"/>
      <x:color rgb="FFFFFFFF"/>
      <x:name val="Arial"/>
    </x:font>
    <x:font>
      <x:i/>
      <x:sz val="10"/>
      <x:color rgb="FF56677A"/>
      <x:name val="Arial"/>
    </x:font>
    <x:font>
      <x:sz val="10"/>
      <x:color rgb="FF56677A"/>
      <x:name val="Arial"/>
    </x:font>
  </x:fonts>
  <x:fills count="3">
    <x:fill>
      <x:patternFill patternType="none"/>
    </x:fill>
    <x:fill>
      <x:patternFill patternType="gray125"/>
    </x:fill>
    <x:fill>
      <x:patternFill patternType="solid">
        <x:fgColor rgb="FF234B78"/>
      </x:patternFill>
    </x:fill>
  </x:fills>
  <x:borders count="5">
    <x:border>
      <x:left/>
      <x:right/>
      <x:top/>
      <x:bottom/>
      <x:diagonal/>
    </x:border>
    <x:border>
      <x:left/>
      <x:right/>
      <x:top/>
      <x:bottom style="thin">
        <x:color rgb="FFC3CEDB"/>
      </x:bottom>
      <x:diagonal/>
    </x:border>
    <x:border>
      <x:left/>
      <x:right style="thin">
        <x:color rgb="FFFFFFFF"/>
      </x:right>
      <x:top/>
      <x:bottom/>
      <x:diagonal/>
    </x:border>
    <x:border>
      <x:left style="thin">
        <x:color rgb="FFFFFFFF"/>
      </x:left>
      <x:right style="thin">
        <x:color rgb="FFFFFFFF"/>
      </x:right>
      <x:top/>
      <x:bottom/>
      <x:diagonal/>
    </x:border>
    <x:border>
      <x:left style="thin">
        <x:color rgb="FFFFFFFF"/>
      </x:left>
      <x:right/>
      <x:top/>
      <x:bottom/>
      <x:diagonal/>
    </x:border>
  </x:borders>
  <x:cellStyleXfs count="1">
    <x:xf numFmtId="0" fontId="0" fillId="0" borderId="0"/>
  </x:cellStyleXfs>
  <x:cellXfs count="28">
    <x:xf numFmtId="0" fontId="0" fillId="0" borderId="0" xfId="0"/>
    <x:xf numFmtId="0" fontId="1" fillId="0" borderId="0" xfId="0" applyNumberFormat="1" applyFont="1" applyFill="1" applyBorder="1"/>
    <x:xf numFmtId="0" fontId="1" fillId="0" borderId="0" xfId="0" applyNumberFormat="1" applyFont="1" applyFill="1" applyBorder="1" applyAlignment="1">
      <x:alignment vertical="center"/>
    </x:xf>
    <x:xf numFmtId="0" fontId="2" fillId="0" borderId="0" xfId="0" applyNumberFormat="1" applyFont="1" applyFill="1" applyBorder="1" applyAlignment="1">
      <x:alignment vertical="center"/>
    </x:xf>
    <x:xf numFmtId="0" fontId="1" fillId="0" borderId="1" xfId="0" applyNumberFormat="1" applyFont="1" applyFill="1" applyBorder="1" applyAlignment="1">
      <x:alignment vertical="center"/>
    </x:xf>
    <x:xf numFmtId="0" fontId="1" fillId="0" borderId="0" xfId="0" applyNumberFormat="1" applyFont="1" applyFill="1" applyBorder="1" applyAlignment="1">
      <x:alignment vertical="center" wrapText="1"/>
    </x:xf>
    <x:xf numFmtId="0" fontId="1" fillId="0" borderId="0" xfId="0" applyNumberFormat="1" applyFont="1" applyFill="1" applyBorder="1" applyAlignment="1">
      <x:alignment vertical="top" wrapText="1"/>
    </x:xf>
    <x:xf numFmtId="0" fontId="1" fillId="2" borderId="0" xfId="0" applyNumberFormat="1" applyFont="1" applyFill="1" applyBorder="1" applyAlignment="1">
      <x:alignment vertical="top" wrapText="1"/>
    </x:xf>
    <x:xf numFmtId="0" fontId="3" fillId="2" borderId="0" xfId="0" applyNumberFormat="1" applyFont="1" applyFill="1" applyBorder="1" applyAlignment="1">
      <x:alignment vertical="top" wrapText="1"/>
    </x:xf>
    <x:xf numFmtId="0" fontId="3" fillId="2" borderId="0" xfId="0" applyNumberFormat="1" applyFont="1" applyFill="1" applyBorder="1" applyAlignment="1">
      <x:alignment horizontal="center" vertical="top" wrapText="1"/>
    </x:xf>
    <x:xf numFmtId="0" fontId="3" fillId="2" borderId="0" xfId="0" applyNumberFormat="1" applyFont="1" applyFill="1" applyBorder="1" applyAlignment="1">
      <x:alignment horizontal="center" vertical="center" wrapText="1"/>
    </x:xf>
    <x:xf numFmtId="0" fontId="3" fillId="2" borderId="2" xfId="0" applyNumberFormat="1" applyFont="1" applyFill="1" applyBorder="1" applyAlignment="1">
      <x:alignment horizontal="center" vertical="center" wrapText="1"/>
    </x:xf>
    <x:xf numFmtId="0" fontId="3" fillId="2" borderId="3" xfId="0" applyNumberFormat="1" applyFont="1" applyFill="1" applyBorder="1" applyAlignment="1">
      <x:alignment horizontal="center" vertical="center" wrapText="1"/>
    </x:xf>
    <x:xf numFmtId="0" fontId="3" fillId="2" borderId="4" xfId="0" applyNumberFormat="1" applyFont="1" applyFill="1" applyBorder="1" applyAlignment="1">
      <x:alignment horizontal="center" vertical="center" wrapText="1"/>
    </x:xf>
    <x:xf numFmtId="200" fontId="1" fillId="0" borderId="0" xfId="0" applyNumberFormat="1" applyFont="1" applyFill="1" applyBorder="1" applyAlignment="1">
      <x:alignment vertical="top" wrapText="1"/>
    </x:xf>
    <x:xf numFmtId="201" fontId="1" fillId="0" borderId="0" xfId="0" applyNumberFormat="1" applyFont="1" applyFill="1" applyBorder="1" applyAlignment="1">
      <x:alignment vertical="top" wrapText="1"/>
    </x:xf>
    <x:xf numFmtId="202" fontId="1" fillId="0" borderId="0" xfId="0" applyNumberFormat="1" applyFont="1" applyFill="1" applyBorder="1" applyAlignment="1">
      <x:alignment vertical="top" wrapText="1"/>
    </x:xf>
    <x:xf numFmtId="0" fontId="4" fillId="0" borderId="0" xfId="0" applyNumberFormat="1" applyFont="1" applyFill="1" applyBorder="1" applyAlignment="1">
      <x:alignment vertical="center"/>
    </x:xf>
    <x:xf numFmtId="203" fontId="1" fillId="0" borderId="0" xfId="0" applyNumberFormat="1" applyFont="1" applyFill="1" applyBorder="1" applyAlignment="1">
      <x:alignment vertical="top" wrapText="1"/>
    </x:xf>
    <x:xf numFmtId="0" fontId="1" fillId="0" borderId="0" xfId="0" applyNumberFormat="1" applyFont="1" applyFill="1" applyBorder="1" applyAlignment="1">
      <x:alignment vertical="center"/>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center" wrapText="1"/>
      <x:extLst>
        <x:ext uri="{C7286773-470A-42A8-94C5-96B5CB345126}">
          <xfpb:xfComplement xmlns:xfpb="http://schemas.microsoft.com/office/spreadsheetml/2022/featurepropertybag" i="0"/>
        </x:ext>
      </x:extLst>
    </x:xf>
    <x:xf numFmtId="0" fontId="1" fillId="0" borderId="0"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203" fontId="1" fillId="0" borderId="0" xfId="0" applyNumberFormat="1" applyFont="1" applyFill="1" applyBorder="1" applyAlignment="1">
      <x:alignment vertical="center"/>
    </x:xf>
    <x:xf numFmtId="202" fontId="1" fillId="0" borderId="0" xfId="0" applyNumberFormat="1" applyFont="1" applyFill="1" applyBorder="1" applyAlignment="1">
      <x:alignment vertical="center"/>
    </x:xf>
    <x:xf numFmtId="0" fontId="1" fillId="2" borderId="0" xfId="0" applyNumberFormat="1" applyFont="1" applyFill="1" applyBorder="1" applyAlignment="1">
      <x:alignment vertical="center"/>
    </x:xf>
    <x:xf numFmtId="0" fontId="3" fillId="2" borderId="0" xfId="0" applyNumberFormat="1" applyFont="1" applyFill="1" applyBorder="1" applyAlignment="1">
      <x:alignment vertical="center"/>
    </x:xf>
    <x:xf numFmtId="0" fontId="3" fillId="2" borderId="0" xfId="0" applyNumberFormat="1" applyFont="1" applyFill="1" applyBorder="1" applyAlignment="1">
      <x:alignment vertical="center" wrapText="1"/>
    </x:xf>
    <x:xf numFmtId="0" fontId="5" fillId="0" borderId="0" xfId="0" applyNumberFormat="1" applyFont="1" applyFill="1" applyBorder="1" applyAlignment="1">
      <x:alignment vertical="center"/>
    </x:xf>
  </x:cellXfs>
  <x:cellStyles count="1">
    <x:cellStyle name="Normal" xfId="0"/>
  </x:cellStyles>
  <x:dxfs count="1">
    <x:dxf>
      <x:font>
        <x:color rgb="FF8A5600"/>
      </x:font>
      <x:fill>
        <x:patternFill patternType="solid">
          <x:bgColor rgb="FFFFF2CD"/>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14bb4519bf0c422a" /><Relationship Type="http://schemas.openxmlformats.org/officeDocument/2006/relationships/theme" Target="/xl/theme/theme1.xml" Id="R1de159ca2b0f49fa" /><Relationship Type="http://schemas.microsoft.com/office/2022/11/relationships/FeaturePropertyBag" Target="/xl/featurePropertyBag/featurePropertyBag.xml" Id="Re2072004474141e2" /><Relationship Type="http://schemas.openxmlformats.org/officeDocument/2006/relationships/sharedStrings" Target="/xl/sharedStrings.xml" Id="R14079ed1e0124594" /><Relationship Type="http://schemas.openxmlformats.org/officeDocument/2006/relationships/worksheet" Target="/xl/worksheets/sheet1.xml" Id="Re5c853aed09242fc" /><Relationship Type="http://schemas.openxmlformats.org/officeDocument/2006/relationships/worksheet" Target="/xl/worksheets/sheet2.xml" Id="R5be5fb41fa764191" /><Relationship Type="http://schemas.openxmlformats.org/officeDocument/2006/relationships/worksheet" Target="/xl/worksheets/sheet3.xml" Id="R60f46dc92b5947ce" /><Relationship Type="http://schemas.openxmlformats.org/officeDocument/2006/relationships/worksheet" Target="/xl/worksheets/sheet4.xml" Id="R543cff5a9e494611" /><Relationship Type="http://schemas.openxmlformats.org/officeDocument/2006/relationships/worksheet" Target="/xl/worksheets/sheet5.xml" Id="Rb27ee6cda6f24a7e" /><Relationship Type="http://schemas.openxmlformats.org/officeDocument/2006/relationships/worksheet" Target="/xl/worksheets/sheet6.xml" Id="Rb4707f32c24e4fff" /><Relationship Type="http://schemas.openxmlformats.org/officeDocument/2006/relationships/worksheet" Target="/xl/worksheets/sheet7.xml" Id="R86c23117616a4fef"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2" name="QuestiontypesTable" displayName="QuestiontypesTable" ref="A5:U20" headerRowCount="1" totalsRowCount="0" totalsRowShown="0">
  <x:autoFilter ref="A5:U20"/>
  <x:tableColumns count="21">
    <x:tableColumn id="1" name="No."/>
    <x:tableColumn id="2" name="Question kind"/>
    <x:tableColumn id="3" name="Cluster"/>
    <x:tableColumn id="4" name="Human intent"/>
    <x:tableColumn id="5" name="Expected output"/>
    <x:tableColumn id="6" name="Proposed tool IDs"/>
    <x:tableColumn id="7" name="Question set"/>
    <x:tableColumn id="8" name="Train"/>
    <x:tableColumn id="9" name="Dev"/>
    <x:tableColumn id="10" name="Test"/>
    <x:tableColumn id="11" name="Total"/>
    <x:tableColumn id="12" name="Required parameters"/>
    <x:tableColumn id="13" name="Scoring contract"/>
    <x:tableColumn id="14" name="Deterministic method"/>
    <x:tableColumn id="15" name="Building data needed"/>
    <x:tableColumn id="16" name="Starter support / gap"/>
    <x:tableColumn id="17" name="Common failure modes"/>
    <x:tableColumn id="18" name="Example question ID"/>
    <x:tableColumn id="19" name="Example question"/>
    <x:tableColumn id="20" name="Example reference answer"/>
    <x:tableColumn id="21" name="Variation on an unseen building"/>
  </x:tableColumns>
  <x:tableStyleInfo name="TableStyleLight9" showFirstColumn="0" showLastColumn="0" showRowStripes="1" showColumnStripes="0"/>
</x:table>
</file>

<file path=xl/tables/table2.xml><?xml version="1.0" encoding="utf-8"?>
<x:table xmlns:x="http://schemas.openxmlformats.org/spreadsheetml/2006/main" id="1" name="QuestionsTable" displayName="QuestionsTable" ref="A5:AB2935" headerRowCount="1" totalsRowCount="0" totalsRowShown="0">
  <x:autoFilter ref="A5:AB2935"/>
  <x:tableColumns count="28">
    <x:tableColumn id="1" name="No."/>
    <x:tableColumn id="2" name="Question kind"/>
    <x:tableColumn id="3" name="Question (verbatim)"/>
    <x:tableColumn id="4" name="Reference answer"/>
    <x:tableColumn id="5" name="Answer status"/>
    <x:tableColumn id="6" name="Split"/>
    <x:tableColumn id="7" name="Building ID"/>
    <x:tableColumn id="8" name="Question ID"/>
    <x:tableColumn id="9" name="Cluster"/>
    <x:tableColumn id="10" name="Question set"/>
    <x:tableColumn id="11" name="Expected output"/>
    <x:tableColumn id="12" name="Proposed tool IDs"/>
    <x:tableColumn id="13" name="Required skill"/>
    <x:tableColumn id="14" name="Answer JSON"/>
    <x:tableColumn id="15" name="Inputs JSON (source)"/>
    <x:tableColumn id="16" name="Constraints and scope"/>
    <x:tableColumn id="17" name="Numeric reference"/>
    <x:tableColumn id="18" name="Reference unit"/>
    <x:tableColumn id="19" name="Relative tolerance"/>
    <x:tableColumn id="20" name="Absolute tolerance"/>
    <x:tableColumn id="21" name="Reference reply (benchmark)"/>
    <x:tableColumn id="22" name="Source skill label"/>
    <x:tableColumn id="23" name="Starter support / gap"/>
    <x:tableColumn id="24" name="Source file"/>
    <x:tableColumn id="25" name="Source line"/>
    <x:tableColumn id="26" name="Source URL"/>
    <x:tableColumn id="27" name="Building source"/>
    <x:tableColumn id="28" name="Building license"/>
  </x:tableColumns>
  <x:tableStyleInfo name="TableStyleLight9" showFirstColumn="0" showLastColumn="0" showRowStripes="1" showColumnStripes="0"/>
</x:table>
</file>

<file path=xl/tables/table3.xml><?xml version="1.0" encoding="utf-8"?>
<x:table xmlns:x="http://schemas.openxmlformats.org/spreadsheetml/2006/main" id="3" name="AgenttoolsTable" displayName="AgenttoolsTable" ref="A5:L20" headerRowCount="1" totalsRowCount="0" totalsRowShown="0">
  <x:autoFilter ref="A5:L20"/>
  <x:tableColumns count="12">
    <x:tableColumn id="1" name="Tool ID"/>
    <x:tableColumn id="2" name="Proposed tool"/>
    <x:tableColumn id="3" name="Purpose"/>
    <x:tableColumn id="4" name="Inputs"/>
    <x:tableColumn id="5" name="Outputs"/>
    <x:tableColumn id="6" name="Used by question kinds"/>
    <x:tableColumn id="7" name="Current starter support / gap"/>
    <x:tableColumn id="8" name="Deterministic implementation"/>
    <x:tableColumn id="9" name="Failure handling"/>
    <x:tableColumn id="10" name="Implementation order"/>
    <x:tableColumn id="11" name="Observed questions"/>
    <x:tableColumn id="12" name="Benchmark questions"/>
  </x:tableColumns>
  <x:tableStyleInfo name="TableStyleLight9" showFirstColumn="0" showLastColumn="0" showRowStripes="1" showColumnStripes="0"/>
</x:table>
</file>

<file path=xl/tables/table4.xml><?xml version="1.0" encoding="utf-8"?>
<x:table xmlns:x="http://schemas.openxmlformats.org/spreadsheetml/2006/main" id="4" name="BuildingsTable" displayName="BuildingsTable" ref="A5:V285" headerRowCount="1" totalsRowCount="0" totalsRowShown="0">
  <x:autoFilter ref="A5:V285"/>
  <x:tableColumns count="22">
    <x:tableColumn id="1" name="Building ID"/>
    <x:tableColumn id="2" name="Building name"/>
    <x:tableColumn id="3" name="Split"/>
    <x:tableColumn id="4" name="Source family"/>
    <x:tableColumn id="5" name="License"/>
    <x:tableColumn id="6" name="Floors"/>
    <x:tableColumn id="7" name="Floor levels"/>
    <x:tableColumn id="8" name="Spaces"/>
    <x:tableColumn id="9" name="Rooms (type=room)"/>
    <x:tableColumn id="10" name="Assets"/>
    <x:tableColumn id="11" name="Benchmark questions"/>
    <x:tableColumn id="12" name="Warm-up questions"/>
    <x:tableColumn id="13" name="All questions"/>
    <x:tableColumn id="14" name="Reference answers"/>
    <x:tableColumn id="15" name="Withheld answers"/>
    <x:tableColumn id="16" name="Question kinds"/>
    <x:tableColumn id="17" name="Kinds present"/>
    <x:tableColumn id="18" name="Has lift"/>
    <x:tableColumn id="19" name="Has other vertical connector"/>
    <x:tableColumn id="20" name="Dataset attribution"/>
    <x:tableColumn id="21" name="Source model"/>
    <x:tableColumn id="22" name="Source URL"/>
  </x:tableColumns>
  <x:tableStyleInfo name="TableStyleLight9" showFirstColumn="0" showLastColumn="0" showRowStripes="1" showColumnStripes="0"/>
</x:table>
</file>

<file path=xl/tables/table5.xml><?xml version="1.0" encoding="utf-8"?>
<x:table xmlns:x="http://schemas.openxmlformats.org/spreadsheetml/2006/main" id="5" name="LivescenariosTable" displayName="LivescenariosTable" ref="A5:H13" headerRowCount="1" totalsRowCount="0" totalsRowShown="0">
  <x:autoFilter ref="A5:H13"/>
  <x:tableColumns count="8">
    <x:tableColumn id="1" name="Scenario"/>
    <x:tableColumn id="2" name="Corpus relationship"/>
    <x:tableColumn id="3" name="User request / rule"/>
    <x:tableColumn id="4" name="Expected result"/>
    <x:tableColumn id="5" name="Proposed tool IDs"/>
    <x:tableColumn id="6" name="Evidence status"/>
    <x:tableColumn id="7" name="Implementation issue / uncertainty"/>
    <x:tableColumn id="8" name="Source file"/>
  </x:tableColumns>
  <x:tableStyleInfo name="TableStyleLight9" showFirstColumn="0" showLastColumn="0" showRowStripes="1" showColumnStripes="0"/>
</x:table>
</file>

<file path=xl/tables/table6.xml><?xml version="1.0" encoding="utf-8"?>
<x:table xmlns:x="http://schemas.openxmlformats.org/spreadsheetml/2006/main" id="6" name="ScoringandsourcesTable" displayName="ScoringandsourcesTable" ref="A5:F26" headerRowCount="1" totalsRowCount="0" totalsRowShown="0">
  <x:autoFilter ref="A5:F26"/>
  <x:tableColumns count="6">
    <x:tableColumn id="1" name="Topic"/>
    <x:tableColumn id="2" name="Evidence status"/>
    <x:tableColumn id="3" name="Definition / observation"/>
    <x:tableColumn id="4" name="Consequence for the agent"/>
    <x:tableColumn id="5" name="Source file"/>
    <x:tableColumn id="6" name="Snapshot URL"/>
  </x:tableColumns>
  <x:tableStyleInfo name="TableStyleLight9"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1e3d2bbd66248f0" /></Relationships>
</file>

<file path=xl/worksheets/_rels/sheet3.xml.rels>&#65279;<?xml version="1.0" encoding="utf-8"?><Relationships xmlns="http://schemas.openxmlformats.org/package/2006/relationships"><Relationship Type="http://schemas.openxmlformats.org/officeDocument/2006/relationships/table" Target="/xl/tables/table2.xml" Id="Rb62beb716be54598" /></Relationships>
</file>

<file path=xl/worksheets/_rels/sheet4.xml.rels>&#65279;<?xml version="1.0" encoding="utf-8"?><Relationships xmlns="http://schemas.openxmlformats.org/package/2006/relationships"><Relationship Type="http://schemas.openxmlformats.org/officeDocument/2006/relationships/table" Target="/xl/tables/table3.xml" Id="R1ec5448c51a44506" /></Relationships>
</file>

<file path=xl/worksheets/_rels/sheet5.xml.rels>&#65279;<?xml version="1.0" encoding="utf-8"?><Relationships xmlns="http://schemas.openxmlformats.org/package/2006/relationships"><Relationship Type="http://schemas.openxmlformats.org/officeDocument/2006/relationships/table" Target="/xl/tables/table4.xml" Id="Re95f6dcd3fa445a1" /></Relationships>
</file>

<file path=xl/worksheets/_rels/sheet6.xml.rels>&#65279;<?xml version="1.0" encoding="utf-8"?><Relationships xmlns="http://schemas.openxmlformats.org/package/2006/relationships"><Relationship Type="http://schemas.openxmlformats.org/officeDocument/2006/relationships/table" Target="/xl/tables/table5.xml" Id="R0d4a7399e7274d98" /></Relationships>
</file>

<file path=xl/worksheets/_rels/sheet7.xml.rels>&#65279;<?xml version="1.0" encoding="utf-8"?><Relationships xmlns="http://schemas.openxmlformats.org/package/2006/relationships"><Relationship Type="http://schemas.openxmlformats.org/officeDocument/2006/relationships/table" Target="/xl/tables/table6.xml" Id="Rc91b470594874c67" /></Relationships>
</file>

<file path=xl/worksheets/sheet1.xml><?xml version="1.0" encoding="utf-8"?>
<x:worksheet xmlns:x="http://schemas.openxmlformats.org/spreadsheetml/2006/main">
  <x:sheetPr>
    <x:tabColor rgb="FF234B78"/>
  </x:sheetPr>
  <x:sheetViews>
    <x:sheetView showGridLines="0" workbookViewId="0"/>
  </x:sheetViews>
  <x:sheetFormatPr defaultRowHeight="15"/>
  <x:cols>
    <x:col min="1" max="1" width="28" hidden="0" customWidth="1"/>
    <x:col min="2" max="2" width="20" hidden="0" customWidth="1"/>
    <x:col min="3" max="3" width="20" hidden="0" customWidth="1"/>
    <x:col min="4" max="4" width="20" hidden="0" customWidth="1"/>
    <x:col min="5" max="5" width="19" hidden="0" customWidth="1"/>
    <x:col min="6" max="6" width="24" hidden="0" customWidth="1"/>
    <x:col min="7" max="7" width="22" hidden="0" customWidth="1"/>
    <x:col min="8" max="8" width="22" hidden="0" customWidth="1"/>
  </x:cols>
  <x:sheetData>
    <x:row r="1" ht="9" customHeight="1">
      <x:c r="A1" s="2"/>
      <x:c r="B1" s="2"/>
      <x:c r="C1" s="2"/>
      <x:c r="D1" s="2"/>
      <x:c r="E1" s="2"/>
      <x:c r="F1" s="2"/>
      <x:c r="G1" s="2"/>
      <x:c r="H1" s="2"/>
    </x:row>
    <x:row r="2" ht="22" customHeight="1">
      <x:c r="A2" s="3" t="str">
        <x:v>Building question overview</x:v>
      </x:c>
      <x:c r="B2" s="2"/>
      <x:c r="C2" s="2"/>
      <x:c r="D2" s="2"/>
      <x:c r="E2" s="2"/>
      <x:c r="F2" s="2"/>
      <x:c r="G2" s="2"/>
      <x:c r="H2" s="2"/>
    </x:row>
    <x:row r="3" ht="22" customHeight="1">
      <x:c r="A3" s="4"/>
      <x:c r="B3" s="4"/>
      <x:c r="C3" s="4"/>
      <x:c r="D3" s="4"/>
      <x:c r="E3" s="4"/>
      <x:c r="F3" s="4"/>
      <x:c r="G3" s="4"/>
      <x:c r="H3" s="4"/>
    </x:row>
    <x:row r="4" ht="22" customHeight="1">
      <x:c r="A4" s="2"/>
      <x:c r="B4" s="2"/>
      <x:c r="C4" s="2"/>
      <x:c r="D4" s="2"/>
      <x:c r="E4" s="2"/>
      <x:c r="F4" s="2"/>
      <x:c r="G4" s="2"/>
      <x:c r="H4" s="2"/>
    </x:row>
    <x:row r="5" ht="34" customHeight="1">
      <x:c r="A5" s="11" t="str">
        <x:v>Corpus measure</x:v>
      </x:c>
      <x:c r="B5" s="13" t="str">
        <x:v>Count</x:v>
      </x:c>
      <x:c r="C5" s="2"/>
      <x:c r="D5" s="11" t="str">
        <x:v>Split</x:v>
      </x:c>
      <x:c r="E5" s="12" t="str">
        <x:v>Benchmark</x:v>
      </x:c>
      <x:c r="F5" s="12" t="str">
        <x:v>Warm-up</x:v>
      </x:c>
      <x:c r="G5" s="12" t="str">
        <x:v>Total</x:v>
      </x:c>
      <x:c r="H5" s="13" t="str">
        <x:v>Known answers</x:v>
      </x:c>
    </x:row>
    <x:row r="6" ht="22" customHeight="1">
      <x:c r="A6" s="2" t="str">
        <x:v>All questions</x:v>
      </x:c>
      <x:c r="B6" s="22" t="n">
        <x:f>SUM('Question types'!K6:K20)</x:f>
        <x:v>2930</x:v>
      </x:c>
      <x:c r="C6" s="2"/>
      <x:c r="D6" s="2" t="str">
        <x:v>Train</x:v>
      </x:c>
      <x:c r="E6" s="22" t="n">
        <x:f>SUMIFS('Question types'!$H$6:$H$20,'Question types'!$G$6:$G$20,"Benchmark")</x:f>
        <x:v>517</x:v>
      </x:c>
      <x:c r="F6" s="22" t="n">
        <x:f>SUMIFS('Question types'!$H$6:$H$20,'Question types'!$G$6:$G$20,"Warm-up")</x:f>
        <x:v>1761</x:v>
      </x:c>
      <x:c r="G6" s="22" t="n">
        <x:f>SUM(E6:F6)</x:f>
        <x:v>2278</x:v>
      </x:c>
      <x:c r="H6" s="22" t="n">
        <x:f>COUNTIFS('Questions'!$F$6:$F$2935,"train",'Questions'!$E$6:$E$2935,"Reference supplied")</x:f>
        <x:v>2278</x:v>
      </x:c>
    </x:row>
    <x:row r="7" ht="22" customHeight="1">
      <x:c r="A7" s="2" t="str">
        <x:v>Benchmark questions</x:v>
      </x:c>
      <x:c r="B7" s="22" t="n">
        <x:f>SUMIFS('Question types'!$K$6:$K$20,'Question types'!$G$6:$G$20,"Benchmark")</x:f>
        <x:v>800</x:v>
      </x:c>
      <x:c r="C7" s="2"/>
      <x:c r="D7" s="2" t="str">
        <x:v>Dev</x:v>
      </x:c>
      <x:c r="E7" s="22" t="n">
        <x:f>SUMIFS('Question types'!$I$6:$I$20,'Question types'!$G$6:$G$20,"Benchmark")</x:f>
        <x:v>138</x:v>
      </x:c>
      <x:c r="F7" s="22" t="n">
        <x:f>SUMIFS('Question types'!$I$6:$I$20,'Question types'!$G$6:$G$20,"Warm-up")</x:f>
        <x:v>369</x:v>
      </x:c>
      <x:c r="G7" s="22" t="n">
        <x:f>SUM(E7:F7)</x:f>
        <x:v>507</x:v>
      </x:c>
      <x:c r="H7" s="22" t="n">
        <x:f>COUNTIFS('Questions'!$F$6:$F$2935,"dev",'Questions'!$E$6:$E$2935,"Reference supplied")</x:f>
        <x:v>507</x:v>
      </x:c>
    </x:row>
    <x:row r="8" ht="22" customHeight="1">
      <x:c r="A8" s="2" t="str">
        <x:v>Warm-up questions</x:v>
      </x:c>
      <x:c r="B8" s="22" t="n">
        <x:f>SUMIFS('Question types'!$K$6:$K$20,'Question types'!$G$6:$G$20,"Warm-up")</x:f>
        <x:v>2130</x:v>
      </x:c>
      <x:c r="C8" s="2"/>
      <x:c r="D8" s="2" t="str">
        <x:v>Test</x:v>
      </x:c>
      <x:c r="E8" s="22" t="n">
        <x:f>SUMIFS('Question types'!$J$6:$J$20,'Question types'!$G$6:$G$20,"Benchmark")</x:f>
        <x:v>145</x:v>
      </x:c>
      <x:c r="F8" s="22" t="n">
        <x:f>SUMIFS('Question types'!$J$6:$J$20,'Question types'!$G$6:$G$20,"Warm-up")</x:f>
        <x:v>0</x:v>
      </x:c>
      <x:c r="G8" s="22" t="n">
        <x:f>SUM(E8:F8)</x:f>
        <x:v>145</x:v>
      </x:c>
      <x:c r="H8" s="22" t="n">
        <x:f>COUNTIFS('Questions'!$F$6:$F$2935,"test",'Questions'!$E$6:$E$2935,"Reference supplied")</x:f>
        <x:v>0</x:v>
      </x:c>
    </x:row>
    <x:row r="9" ht="22" customHeight="1">
      <x:c r="A9" s="2" t="str">
        <x:v>Reference answers</x:v>
      </x:c>
      <x:c r="B9" s="22" t="n">
        <x:f>COUNTIFS('Questions'!$E$6:$E$2935,"Reference supplied")</x:f>
        <x:v>2785</x:v>
      </x:c>
      <x:c r="C9" s="2"/>
      <x:c r="D9" s="2"/>
      <x:c r="E9" s="2"/>
      <x:c r="F9" s="2"/>
      <x:c r="G9" s="2"/>
      <x:c r="H9" s="2"/>
    </x:row>
    <x:row r="10" ht="22" customHeight="1">
      <x:c r="A10" s="2" t="str">
        <x:v>Withheld answers</x:v>
      </x:c>
      <x:c r="B10" s="22" t="n">
        <x:f>COUNTIFS('Questions'!$E$6:$E$2935,"Withheld")</x:f>
        <x:v>145</x:v>
      </x:c>
      <x:c r="C10" s="2"/>
      <x:c r="D10" s="2"/>
      <x:c r="E10" s="2"/>
      <x:c r="F10" s="2"/>
      <x:c r="G10" s="2"/>
      <x:c r="H10" s="2"/>
    </x:row>
    <x:row r="11" ht="22" customHeight="1">
      <x:c r="A11" s="2" t="str">
        <x:v>Buildings</x:v>
      </x:c>
      <x:c r="B11" s="22" t="n">
        <x:f>COUNTA('Buildings'!A6:A285)</x:f>
        <x:v>280</x:v>
      </x:c>
      <x:c r="C11" s="2"/>
      <x:c r="D11" s="2"/>
      <x:c r="E11" s="2"/>
      <x:c r="F11" s="2"/>
      <x:c r="G11" s="2"/>
      <x:c r="H11" s="2"/>
    </x:row>
    <x:row r="12" ht="22" customHeight="1">
      <x:c r="A12" s="2"/>
      <x:c r="B12" s="2"/>
      <x:c r="C12" s="2"/>
      <x:c r="D12" s="2"/>
      <x:c r="E12" s="2"/>
      <x:c r="F12" s="2"/>
      <x:c r="G12" s="2"/>
      <x:c r="H12" s="2"/>
    </x:row>
    <x:row r="13" ht="22" customHeight="1">
      <x:c r="A13" s="2"/>
      <x:c r="B13" s="2"/>
      <x:c r="C13" s="2"/>
      <x:c r="D13" s="2"/>
      <x:c r="E13" s="2"/>
      <x:c r="F13" s="2"/>
      <x:c r="G13" s="2"/>
      <x:c r="H13" s="2"/>
    </x:row>
    <x:row r="14" ht="34" customHeight="1">
      <x:c r="A14" s="11" t="str">
        <x:v>Conceptual cluster</x:v>
      </x:c>
      <x:c r="B14" s="12" t="str">
        <x:v>Benchmark</x:v>
      </x:c>
      <x:c r="C14" s="12" t="str">
        <x:v>Benchmark share</x:v>
      </x:c>
      <x:c r="D14" s="12" t="str">
        <x:v>Warm-up</x:v>
      </x:c>
      <x:c r="E14" s="12" t="str">
        <x:v>All questions</x:v>
      </x:c>
      <x:c r="F14" s="12" t="str">
        <x:v>Share of all</x:v>
      </x:c>
      <x:c r="G14" s="13" t="str">
        <x:v>Question kinds</x:v>
      </x:c>
      <x:c r="H14" s="2"/>
    </x:row>
    <x:row r="15" ht="31" customHeight="1">
      <x:c r="A15" s="5" t="str">
        <x:v>Find and count assets</x:v>
      </x:c>
      <x:c r="B15" s="22" t="n">
        <x:f>SUMIFS('Question types'!$K$6:$K$20,'Question types'!$C$6:$C$20,$A15,'Question types'!$G$6:$G$20,"Benchmark")</x:f>
        <x:v>0</x:v>
      </x:c>
      <x:c r="C15" s="23" t="n">
        <x:f>B15/$B$7</x:f>
        <x:v>0</x:v>
      </x:c>
      <x:c r="D15" s="22" t="n">
        <x:f>SUMIFS('Question types'!$K$6:$K$20,'Question types'!$C$6:$C$20,$A15,'Question types'!$G$6:$G$20,"Warm-up")</x:f>
        <x:v>792</x:v>
      </x:c>
      <x:c r="E15" s="22" t="n">
        <x:f>SUM(B15,D15)</x:f>
        <x:v>792</x:v>
      </x:c>
      <x:c r="F15" s="23" t="n">
        <x:f>E15/$B$6</x:f>
        <x:v>0.27030716723549486</x:v>
      </x:c>
      <x:c r="G15" s="22" t="n">
        <x:f>COUNTIFS('Question types'!$C$6:$C$20,$A15)</x:f>
        <x:v>2</x:v>
      </x:c>
      <x:c r="H15" s="2"/>
    </x:row>
    <x:row r="16" ht="31" customHeight="1">
      <x:c r="A16" s="5" t="str">
        <x:v>Route planning</x:v>
      </x:c>
      <x:c r="B16" s="22" t="n">
        <x:f>SUMIFS('Question types'!$K$6:$K$20,'Question types'!$C$6:$C$20,$A16,'Question types'!$G$6:$G$20,"Benchmark")</x:f>
        <x:v>0</x:v>
      </x:c>
      <x:c r="C16" s="23" t="n">
        <x:f>B16/$B$7</x:f>
        <x:v>0</x:v>
      </x:c>
      <x:c r="D16" s="22" t="n">
        <x:f>SUMIFS('Question types'!$K$6:$K$20,'Question types'!$C$6:$C$20,$A16,'Question types'!$G$6:$G$20,"Warm-up")</x:f>
        <x:v>1338</x:v>
      </x:c>
      <x:c r="E16" s="22" t="n">
        <x:f>SUM(B16,D16)</x:f>
        <x:v>1338</x:v>
      </x:c>
      <x:c r="F16" s="23" t="n">
        <x:f>E16/$B$6</x:f>
        <x:v>0.4566552901023891</x:v>
      </x:c>
      <x:c r="G16" s="22" t="n">
        <x:f>COUNTIFS('Question types'!$C$6:$C$20,$A16)</x:f>
        <x:v>4</x:v>
      </x:c>
      <x:c r="H16" s="2"/>
    </x:row>
    <x:row r="17" ht="31" customHeight="1">
      <x:c r="A17" s="5" t="str">
        <x:v>Area and room selection</x:v>
      </x:c>
      <x:c r="B17" s="22" t="n">
        <x:f>SUMIFS('Question types'!$K$6:$K$20,'Question types'!$C$6:$C$20,$A17,'Question types'!$G$6:$G$20,"Benchmark")</x:f>
        <x:v>331</x:v>
      </x:c>
      <x:c r="C17" s="23" t="n">
        <x:f>B17/$B$7</x:f>
        <x:v>0.41375</x:v>
      </x:c>
      <x:c r="D17" s="22" t="n">
        <x:f>SUMIFS('Question types'!$K$6:$K$20,'Question types'!$C$6:$C$20,$A17,'Question types'!$G$6:$G$20,"Warm-up")</x:f>
        <x:v>0</x:v>
      </x:c>
      <x:c r="E17" s="22" t="n">
        <x:f>SUM(B17,D17)</x:f>
        <x:v>331</x:v>
      </x:c>
      <x:c r="F17" s="23" t="n">
        <x:f>E17/$B$6</x:f>
        <x:v>0.1129692832764505</x:v>
      </x:c>
      <x:c r="G17" s="22" t="n">
        <x:f>COUNTIFS('Question types'!$C$6:$C$20,$A17)</x:f>
        <x:v>2</x:v>
      </x:c>
      <x:c r="H17" s="2"/>
    </x:row>
    <x:row r="18" ht="31" customHeight="1">
      <x:c r="A18" s="5" t="str">
        <x:v>Constrained reachability</x:v>
      </x:c>
      <x:c r="B18" s="22" t="n">
        <x:f>SUMIFS('Question types'!$K$6:$K$20,'Question types'!$C$6:$C$20,$A18,'Question types'!$G$6:$G$20,"Benchmark")</x:f>
        <x:v>100</x:v>
      </x:c>
      <x:c r="C18" s="23" t="n">
        <x:f>B18/$B$7</x:f>
        <x:v>0.125</x:v>
      </x:c>
      <x:c r="D18" s="22" t="n">
        <x:f>SUMIFS('Question types'!$K$6:$K$20,'Question types'!$C$6:$C$20,$A18,'Question types'!$G$6:$G$20,"Warm-up")</x:f>
        <x:v>0</x:v>
      </x:c>
      <x:c r="E18" s="22" t="n">
        <x:f>SUM(B18,D18)</x:f>
        <x:v>100</x:v>
      </x:c>
      <x:c r="F18" s="23" t="n">
        <x:f>E18/$B$6</x:f>
        <x:v>0.034129692832764506</x:v>
      </x:c>
      <x:c r="G18" s="22" t="n">
        <x:f>COUNTIFS('Question types'!$C$6:$C$20,$A18)</x:f>
        <x:v>2</x:v>
      </x:c>
      <x:c r="H18" s="2"/>
    </x:row>
    <x:row r="19" ht="31" customHeight="1">
      <x:c r="A19" s="5" t="str">
        <x:v>Spatial relationships</x:v>
      </x:c>
      <x:c r="B19" s="22" t="n">
        <x:f>SUMIFS('Question types'!$K$6:$K$20,'Question types'!$C$6:$C$20,$A19,'Question types'!$G$6:$G$20,"Benchmark")</x:f>
        <x:v>249</x:v>
      </x:c>
      <x:c r="C19" s="23" t="n">
        <x:f>B19/$B$7</x:f>
        <x:v>0.31125</x:v>
      </x:c>
      <x:c r="D19" s="22" t="n">
        <x:f>SUMIFS('Question types'!$K$6:$K$20,'Question types'!$C$6:$C$20,$A19,'Question types'!$G$6:$G$20,"Warm-up")</x:f>
        <x:v>0</x:v>
      </x:c>
      <x:c r="E19" s="22" t="n">
        <x:f>SUM(B19,D19)</x:f>
        <x:v>249</x:v>
      </x:c>
      <x:c r="F19" s="23" t="n">
        <x:f>E19/$B$6</x:f>
        <x:v>0.08498293515358361</x:v>
      </x:c>
      <x:c r="G19" s="22" t="n">
        <x:f>COUNTIFS('Question types'!$C$6:$C$20,$A19)</x:f>
        <x:v>3</x:v>
      </x:c>
      <x:c r="H19" s="2"/>
    </x:row>
    <x:row r="20" ht="31" customHeight="1">
      <x:c r="A20" s="5" t="str">
        <x:v>Compound tasks and changes</x:v>
      </x:c>
      <x:c r="B20" s="22" t="n">
        <x:f>SUMIFS('Question types'!$K$6:$K$20,'Question types'!$C$6:$C$20,$A20,'Question types'!$G$6:$G$20,"Benchmark")</x:f>
        <x:v>120</x:v>
      </x:c>
      <x:c r="C20" s="23" t="n">
        <x:f>B20/$B$7</x:f>
        <x:v>0.15</x:v>
      </x:c>
      <x:c r="D20" s="22" t="n">
        <x:f>SUMIFS('Question types'!$K$6:$K$20,'Question types'!$C$6:$C$20,$A20,'Question types'!$G$6:$G$20,"Warm-up")</x:f>
        <x:v>0</x:v>
      </x:c>
      <x:c r="E20" s="22" t="n">
        <x:f>SUM(B20,D20)</x:f>
        <x:v>120</x:v>
      </x:c>
      <x:c r="F20" s="23" t="n">
        <x:f>E20/$B$6</x:f>
        <x:v>0.040955631399317405</x:v>
      </x:c>
      <x:c r="G20" s="22" t="n">
        <x:f>COUNTIFS('Question types'!$C$6:$C$20,$A20)</x:f>
        <x:v>2</x:v>
      </x:c>
      <x:c r="H20" s="2"/>
    </x:row>
    <x:row r="21" ht="22" customHeight="1">
      <x:c r="A21" s="2"/>
      <x:c r="B21" s="2"/>
      <x:c r="C21" s="2"/>
      <x:c r="D21" s="2"/>
      <x:c r="E21" s="2"/>
      <x:c r="F21" s="2"/>
      <x:c r="G21" s="2"/>
      <x:c r="H21" s="2"/>
    </x:row>
    <x:row r="22" ht="22" customHeight="1">
      <x:c r="A22" s="2"/>
      <x:c r="B22" s="2"/>
      <x:c r="C22" s="2"/>
      <x:c r="D22" s="2"/>
      <x:c r="E22" s="2"/>
      <x:c r="F22" s="2"/>
      <x:c r="G22" s="2"/>
      <x:c r="H22" s="2"/>
    </x:row>
    <x:row r="23" ht="22" customHeight="1">
      <x:c r="A23" s="2"/>
      <x:c r="B23" s="2"/>
      <x:c r="C23" s="2"/>
      <x:c r="D23" s="2"/>
      <x:c r="E23" s="2"/>
      <x:c r="F23" s="2"/>
      <x:c r="G23" s="2"/>
      <x:c r="H23" s="2"/>
    </x:row>
    <x:row r="24" ht="34" customHeight="1">
      <x:c r="A24" s="11" t="str">
        <x:v>Build order</x:v>
      </x:c>
      <x:c r="B24" s="12" t="str">
        <x:v>Capability</x:v>
      </x:c>
      <x:c r="C24" s="12" t="str">
        <x:v>Observed requirement</x:v>
      </x:c>
      <x:c r="D24" s="13" t="str">
        <x:v>Proposed tools</x:v>
      </x:c>
      <x:c r="E24" s="2"/>
      <x:c r="F24" s="2"/>
      <x:c r="G24" s="2"/>
      <x:c r="H24" s="2"/>
    </x:row>
    <x:row r="25" ht="68" customHeight="1">
      <x:c r="A25" s="6" t="str">
        <x:v>Foundation</x:v>
      </x:c>
      <x:c r="B25" s="6" t="str">
        <x:v>Load, resolve and serialize</x:v>
      </x:c>
      <x:c r="C25" s="6" t="str">
        <x:v>Use building data and question text. Keep scoring profiles explicit.</x:v>
      </x:c>
      <x:c r="D25" s="6" t="str">
        <x:v>T01, T02, T14, T15</x:v>
      </x:c>
      <x:c r="E25" s="2"/>
      <x:c r="F25" s="2"/>
      <x:c r="G25" s="2"/>
      <x:c r="H25" s="2"/>
    </x:row>
    <x:row r="26" ht="68" customHeight="1">
      <x:c r="A26" s="6" t="str">
        <x:v>Geometry</x:v>
      </x:c>
      <x:c r="B26" s="6" t="str">
        <x:v>Areas and spatial relationships</x:v>
      </x:c>
      <x:c r="C26" s="6" t="str">
        <x:v>Five benchmark kinds need direct polygon/elevation calculations.</x:v>
      </x:c>
      <x:c r="D26" s="6" t="str">
        <x:v>T04, T08, T09, T10</x:v>
      </x:c>
      <x:c r="E26" s="2"/>
      <x:c r="F26" s="2"/>
      <x:c r="G26" s="2"/>
      <x:c r="H26" s="2"/>
    </x:row>
    <x:row r="27" ht="68" customHeight="1">
      <x:c r="A27" s="6" t="str">
        <x:v>Graph</x:v>
      </x:c>
      <x:c r="B27" s="6" t="str">
        <x:v>Routes and constrained reachability</x:v>
      </x:c>
      <x:c r="C27" s="6" t="str">
        <x:v>Extend existing routes with width filters and room counting.</x:v>
      </x:c>
      <x:c r="D27" s="6" t="str">
        <x:v>T05, T06</x:v>
      </x:c>
      <x:c r="E27" s="2"/>
      <x:c r="F27" s="2"/>
      <x:c r="G27" s="2"/>
      <x:c r="H27" s="2"/>
    </x:row>
    <x:row r="28" ht="68" customHeight="1">
      <x:c r="A28" s="6" t="str">
        <x:v>Composition</x:v>
      </x:c>
      <x:c r="B28" s="6" t="str">
        <x:v>Errands and door impact</x:v>
      </x:c>
      <x:c r="C28" s="6" t="str">
        <x:v>Chain selection with routing. Simulate on a temporary building state.</x:v>
      </x:c>
      <x:c r="D28" s="6" t="str">
        <x:v>T07, T11</x:v>
      </x:c>
      <x:c r="E28" s="2"/>
      <x:c r="F28" s="2"/>
      <x:c r="G28" s="2"/>
      <x:c r="H28" s="2"/>
    </x:row>
    <x:row r="29" ht="68" customHeight="1">
      <x:c r="A29" s="6" t="str">
        <x:v>Live interaction</x:v>
      </x:c>
      <x:c r="B29" s="6" t="str">
        <x:v>Edits, disambiguation and display</x:v>
      </x:c>
      <x:c r="C29" s="6" t="str">
        <x:v>Version changes, confirm commits and show tool-backed results.</x:v>
      </x:c>
      <x:c r="D29" s="6" t="str">
        <x:v>T03, T12, T13</x:v>
      </x:c>
      <x:c r="E29" s="2"/>
      <x:c r="F29" s="2"/>
      <x:c r="G29" s="2"/>
      <x:c r="H29" s="2"/>
    </x:row>
    <x:row r="30" ht="22" customHeight="1">
      <x:c r="A30" s="2"/>
      <x:c r="B30" s="2"/>
      <x:c r="C30" s="2"/>
      <x:c r="D30" s="2"/>
      <x:c r="E30" s="2"/>
      <x:c r="F30" s="2"/>
      <x:c r="G30" s="2"/>
      <x:c r="H30" s="2"/>
    </x:row>
    <x:row r="31" ht="22" customHeight="1">
      <x:c r="A31" s="2"/>
      <x:c r="B31" s="2"/>
      <x:c r="C31" s="2"/>
      <x:c r="D31" s="2"/>
      <x:c r="E31" s="2"/>
      <x:c r="F31" s="2"/>
      <x:c r="G31" s="2"/>
      <x:c r="H31" s="2"/>
    </x:row>
    <x:row r="32" ht="22" customHeight="1">
      <x:c r="A32" s="27" t="str">
        <x:v>Read Question types for concepts. Filter Questions for every prompt, reference answer and provenance.</x:v>
      </x:c>
      <x:c r="B32" s="27"/>
      <x:c r="C32" s="27"/>
      <x:c r="D32" s="27"/>
      <x:c r="E32" s="27"/>
      <x:c r="F32" s="27"/>
      <x:c r="G32" s="27"/>
      <x:c r="H32" s="27"/>
    </x:row>
    <x:row r="33" ht="22" customHeight="1">
      <x:c r="A33" s="27"/>
      <x:c r="B33" s="27"/>
      <x:c r="C33" s="27"/>
      <x:c r="D33" s="27"/>
      <x:c r="E33" s="27"/>
      <x:c r="F33" s="27"/>
      <x:c r="G33" s="27"/>
      <x:c r="H33" s="27"/>
    </x:row>
    <x:row r="34" ht="22" customHeight="1">
      <x:c r="A34" s="27" t="str">
        <x:v>Public test answers are withheld. Train/dev inputs and answers are labels, not live-agent tools.</x:v>
      </x:c>
      <x:c r="B34" s="27"/>
      <x:c r="C34" s="27"/>
      <x:c r="D34" s="27"/>
      <x:c r="E34" s="27"/>
      <x:c r="F34" s="27"/>
      <x:c r="G34" s="27"/>
      <x:c r="H34" s="27"/>
    </x:row>
    <x:row r="35" ht="22" customHeight="1">
      <x:c r="A35" s="27"/>
      <x:c r="B35" s="27"/>
      <x:c r="C35" s="27"/>
      <x:c r="D35" s="27"/>
      <x:c r="E35" s="27"/>
      <x:c r="F35" s="27"/>
      <x:c r="G35" s="27"/>
      <x:c r="H35" s="27"/>
    </x:row>
    <x:row r="36" ht="22" customHeight="1">
      <x:c r="A36" s="27" t="str">
        <x:v>The saved later route announcement differs from kit scoring. See Scoring and sources before choosing a route profile.</x:v>
      </x:c>
      <x:c r="B36" s="27"/>
      <x:c r="C36" s="27"/>
      <x:c r="D36" s="27"/>
      <x:c r="E36" s="27"/>
      <x:c r="F36" s="27"/>
      <x:c r="G36" s="27"/>
      <x:c r="H36" s="27"/>
    </x:row>
    <x:row r="37" ht="22" customHeight="1">
      <x:c r="A37" s="27"/>
      <x:c r="B37" s="27"/>
      <x:c r="C37" s="27"/>
      <x:c r="D37" s="27"/>
      <x:c r="E37" s="27"/>
      <x:c r="F37" s="27"/>
      <x:c r="G37" s="27"/>
      <x:c r="H37" s="27"/>
    </x:row>
    <x:row r="38" ht="22" customHeight="1">
      <x:c r="A38" s="27" t="str">
        <x:v>Snapshot: f41616590b69. Prepared 24 October 2026. Proposed tools describe gaps at this snapshot.</x:v>
      </x:c>
      <x:c r="B38" s="27"/>
      <x:c r="C38" s="27"/>
      <x:c r="D38" s="27"/>
      <x:c r="E38" s="27"/>
      <x:c r="F38" s="27"/>
      <x:c r="G38" s="27"/>
      <x:c r="H38" s="27"/>
    </x:row>
    <x:row r="39" ht="22" customHeight="1">
      <x:c r="A39" s="2"/>
      <x:c r="B39" s="2"/>
      <x:c r="C39" s="2"/>
      <x:c r="D39" s="2"/>
      <x:c r="E39" s="2"/>
      <x:c r="F39" s="2"/>
      <x:c r="G39" s="2"/>
      <x:c r="H39" s="2"/>
    </x:row>
  </x:sheetData>
  <x:pageMargins left="0.7" right="0.7" top="0.75" bottom="0.75" header="0.3" footer="0.3"/>
</x:worksheet>
</file>

<file path=xl/worksheets/sheet2.xml><?xml version="1.0" encoding="utf-8"?>
<x:worksheet xmlns:x="http://schemas.openxmlformats.org/spreadsheetml/2006/main">
  <x:sheetPr>
    <x:tabColor rgb="FF234B78"/>
  </x:sheetPr>
  <x:sheetViews>
    <x:sheetView showGridLines="0" workbookViewId="0">
      <x:pane xSplit="2" ySplit="5" topLeftCell="C6" activePane="bottomRight" state="frozen"/>
    </x:sheetView>
  </x:sheetViews>
  <x:sheetFormatPr defaultRowHeight="15"/>
  <x:cols>
    <x:col min="1" max="1" width="7" hidden="0" customWidth="1"/>
    <x:col min="2" max="2" width="29" hidden="0" customWidth="1"/>
    <x:col min="3" max="3" width="30" hidden="0" customWidth="1"/>
    <x:col min="4" max="4" width="58" hidden="0" customWidth="1"/>
    <x:col min="5" max="5" width="58" hidden="0" customWidth="1"/>
    <x:col min="6" max="6" width="25" hidden="0" customWidth="1"/>
    <x:col min="7" max="7" width="15" hidden="0" customWidth="1"/>
    <x:col min="8" max="8" width="10" hidden="0" customWidth="1"/>
    <x:col min="9" max="9" width="10" hidden="0" customWidth="1"/>
    <x:col min="10" max="10" width="10" hidden="0" customWidth="1"/>
    <x:col min="11" max="11" width="10" hidden="0" customWidth="1"/>
    <x:col min="12" max="12" width="56" hidden="0" customWidth="1"/>
    <x:col min="13" max="13" width="85" hidden="0" customWidth="1"/>
    <x:col min="14" max="14" width="90" hidden="0" customWidth="1"/>
    <x:col min="15" max="15" width="72" hidden="0" customWidth="1"/>
    <x:col min="16" max="16" width="75" hidden="0" customWidth="1"/>
    <x:col min="17" max="17" width="75" hidden="0" customWidth="1"/>
    <x:col min="18" max="18" width="38" hidden="0" customWidth="1"/>
    <x:col min="19" max="19" width="80" hidden="0" customWidth="1"/>
    <x:col min="20" max="20" width="80" hidden="0" customWidth="1"/>
    <x:col min="21" max="21" width="72" hidden="0" customWidth="1"/>
  </x:cols>
  <x:sheetData>
    <x:row r="1" ht="9" customHeight="1">
      <x:c r="A1" s="2"/>
      <x:c r="B1" s="2"/>
      <x:c r="C1" s="2"/>
      <x:c r="D1" s="2"/>
      <x:c r="E1" s="2"/>
      <x:c r="F1" s="2"/>
      <x:c r="G1" s="2"/>
      <x:c r="H1" s="2"/>
      <x:c r="I1" s="2"/>
      <x:c r="J1" s="2"/>
      <x:c r="K1" s="2"/>
      <x:c r="L1" s="2"/>
      <x:c r="M1" s="2"/>
      <x:c r="N1" s="2"/>
      <x:c r="O1" s="2"/>
      <x:c r="P1" s="2"/>
      <x:c r="Q1" s="2"/>
      <x:c r="R1" s="2"/>
      <x:c r="S1" s="2"/>
      <x:c r="T1" s="2"/>
      <x:c r="U1" s="2"/>
    </x:row>
    <x:row r="2" ht="22" customHeight="1">
      <x:c r="A2" s="3" t="str">
        <x:v>Question types and expected answers</x:v>
      </x:c>
      <x:c r="B2" s="2"/>
      <x:c r="C2" s="2"/>
      <x:c r="D2" s="2"/>
      <x:c r="E2" s="2"/>
      <x:c r="F2" s="2"/>
      <x:c r="G2" s="2"/>
      <x:c r="H2" s="2"/>
      <x:c r="I2" s="2"/>
      <x:c r="J2" s="2"/>
      <x:c r="K2" s="2"/>
      <x:c r="L2" s="2"/>
      <x:c r="M2" s="2"/>
      <x:c r="N2" s="2"/>
      <x:c r="O2" s="2"/>
      <x:c r="P2" s="2"/>
      <x:c r="Q2" s="2"/>
      <x:c r="R2" s="2"/>
      <x:c r="S2" s="2"/>
      <x:c r="T2" s="2"/>
      <x:c r="U2" s="2"/>
    </x:row>
    <x:row r="3" ht="22" customHeight="1">
      <x:c r="A3" s="4"/>
      <x:c r="B3" s="4"/>
      <x:c r="C3" s="4"/>
      <x:c r="D3" s="4"/>
      <x:c r="E3" s="4"/>
      <x:c r="F3" s="4"/>
      <x:c r="G3" s="4"/>
      <x:c r="H3" s="4"/>
      <x:c r="I3" s="2"/>
      <x:c r="J3" s="2"/>
      <x:c r="K3" s="2"/>
      <x:c r="L3" s="2"/>
      <x:c r="M3" s="2"/>
      <x:c r="N3" s="2"/>
      <x:c r="O3" s="2"/>
      <x:c r="P3" s="2"/>
      <x:c r="Q3" s="2"/>
      <x:c r="R3" s="2"/>
      <x:c r="S3" s="2"/>
      <x:c r="T3" s="2"/>
      <x:c r="U3" s="2"/>
    </x:row>
    <x:row r="4" ht="22" customHeight="1">
      <x:c r="A4" s="2"/>
      <x:c r="B4" s="2"/>
      <x:c r="C4" s="2"/>
      <x:c r="D4" s="2"/>
      <x:c r="E4" s="2"/>
      <x:c r="F4" s="2"/>
      <x:c r="G4" s="2"/>
      <x:c r="H4" s="17" t="str">
        <x:v>train</x:v>
      </x:c>
      <x:c r="I4" s="17" t="str">
        <x:v>dev</x:v>
      </x:c>
      <x:c r="J4" s="17" t="str">
        <x:v>test</x:v>
      </x:c>
      <x:c r="K4" s="2"/>
      <x:c r="L4" s="2"/>
      <x:c r="M4" s="2"/>
      <x:c r="N4" s="2"/>
      <x:c r="O4" s="2"/>
      <x:c r="P4" s="2"/>
      <x:c r="Q4" s="2"/>
      <x:c r="R4" s="2"/>
      <x:c r="S4" s="2"/>
      <x:c r="T4" s="2"/>
      <x:c r="U4" s="2"/>
    </x:row>
    <x:row r="5" ht="34" customHeight="1">
      <x:c r="A5" s="11" t="str">
        <x:v>No.</x:v>
      </x:c>
      <x:c r="B5" s="12" t="str">
        <x:v>Question kind</x:v>
      </x:c>
      <x:c r="C5" s="12" t="str">
        <x:v>Cluster</x:v>
      </x:c>
      <x:c r="D5" s="12" t="str">
        <x:v>Human intent</x:v>
      </x:c>
      <x:c r="E5" s="12" t="str">
        <x:v>Expected output</x:v>
      </x:c>
      <x:c r="F5" s="12" t="str">
        <x:v>Proposed tool IDs</x:v>
      </x:c>
      <x:c r="G5" s="12" t="str">
        <x:v>Question set</x:v>
      </x:c>
      <x:c r="H5" s="12" t="str">
        <x:v>Train</x:v>
      </x:c>
      <x:c r="I5" s="12" t="str">
        <x:v>Dev</x:v>
      </x:c>
      <x:c r="J5" s="12" t="str">
        <x:v>Test</x:v>
      </x:c>
      <x:c r="K5" s="12" t="str">
        <x:v>Total</x:v>
      </x:c>
      <x:c r="L5" s="12" t="str">
        <x:v>Required parameters</x:v>
      </x:c>
      <x:c r="M5" s="12" t="str">
        <x:v>Scoring contract</x:v>
      </x:c>
      <x:c r="N5" s="12" t="str">
        <x:v>Deterministic method</x:v>
      </x:c>
      <x:c r="O5" s="12" t="str">
        <x:v>Building data needed</x:v>
      </x:c>
      <x:c r="P5" s="12" t="str">
        <x:v>Starter support / gap</x:v>
      </x:c>
      <x:c r="Q5" s="12" t="str">
        <x:v>Common failure modes</x:v>
      </x:c>
      <x:c r="R5" s="12" t="str">
        <x:v>Example question ID</x:v>
      </x:c>
      <x:c r="S5" s="12" t="str">
        <x:v>Example question</x:v>
      </x:c>
      <x:c r="T5" s="12" t="str">
        <x:v>Example reference answer</x:v>
      </x:c>
      <x:c r="U5" s="13" t="str">
        <x:v>Variation on an unseen building</x:v>
      </x:c>
    </x:row>
    <x:row r="6" ht="68" customHeight="1">
      <x:c r="A6" s="6" t="n">
        <x:v>1</x:v>
      </x:c>
      <x:c r="B6" s="6" t="str">
        <x:v>locate</x:v>
      </x:c>
      <x:c r="C6" s="6" t="str">
        <x:v>Find and count assets</x:v>
      </x:c>
      <x:c r="D6" s="6" t="str">
        <x:v>Find a named item and identify its containing room and floor.</x:v>
      </x:c>
      <x:c r="E6" s="6" t="str">
        <x:v>Room name, floor and asset identity. Coordinates may help the UI.</x:v>
      </x:c>
      <x:c r="F6" s="6" t="str">
        <x:v>T02, T03</x:v>
      </x:c>
      <x:c r="G6" s="6" t="str">
        <x:v>Warm-up</x:v>
      </x:c>
      <x:c r="H6" s="18" t="n">
        <x:f>COUNTIFS('Questions'!$B$6:$B$2935,$B6,'Questions'!$F$6:$F$2935,H$4)</x:f>
        <x:v>453</x:v>
      </x:c>
      <x:c r="I6" s="18" t="n">
        <x:f>COUNTIFS('Questions'!$B$6:$B$2935,$B6,'Questions'!$F$6:$F$2935,I$4)</x:f>
        <x:v>100</x:v>
      </x:c>
      <x:c r="J6" s="18" t="n">
        <x:f>COUNTIFS('Questions'!$B$6:$B$2935,$B6,'Questions'!$F$6:$F$2935,J$4)</x:f>
        <x:v>0</x:v>
      </x:c>
      <x:c r="K6" s="18" t="n">
        <x:f>SUM(H6:J6)</x:f>
        <x:v>553</x:v>
      </x:c>
      <x:c r="L6" s="6" t="str">
        <x:v>Asset name or type. Optional floor or room qualifier.</x:v>
      </x:c>
      <x:c r="M6" s="6" t="str">
        <x:v>Warm-up evaluator checks expected asset_id in located_asset_ids. It does not grade wording.</x:v>
      </x:c>
      <x:c r="N6" s="6" t="str">
        <x:v>Search normalized asset names/types, retain stable IDs, join the asset to its room and floor.</x:v>
      </x:c>
      <x:c r="O6" s="6" t="str">
        <x:v>assets: id, name, type, space_id, floor_id, position. spaces: name, ref. floors: level.</x:v>
      </x:c>
      <x:c r="P6" s="6" t="str">
        <x:v>Existing search_building. Improve disambiguation and complete result pagination.</x:v>
      </x:c>
      <x:c r="Q6" s="6" t="str">
        <x:v>Several assets share a type. A capped search response can hide the intended match.</x:v>
      </x:c>
      <x:c r="R6" s="6" t="str">
        <x:v>osm-way10053349-Q01</x:v>
      </x:c>
      <x:c r="S6" s="6" t="str">
        <x:v>Where is the projector screen?</x:v>
      </x:c>
      <x:c r="T6" s="6" t="str">
        <x:v>Lecture hall 0120
Floor level: 0
Asset ID: osm-way10053349-A00176
Position (m): 20.652, 33.787</x:v>
      </x:c>
      <x:c r="U6" s="6" t="str">
        <x:v>New equipment synonyms, duplicate room names, different floor labels.</x:v>
      </x:c>
    </x:row>
    <x:row r="7" ht="42" customHeight="1">
      <x:c r="A7" s="6" t="n">
        <x:v>2</x:v>
      </x:c>
      <x:c r="B7" s="6" t="str">
        <x:v>count</x:v>
      </x:c>
      <x:c r="C7" s="6" t="str">
        <x:v>Find and count assets</x:v>
      </x:c>
      <x:c r="D7" s="6" t="str">
        <x:v>Count all items of a requested type on one floor.</x:v>
      </x:c>
      <x:c r="E7" s="6" t="str">
        <x:v>An exact integer count with the scope stated in prose.</x:v>
      </x:c>
      <x:c r="F7" s="6" t="str">
        <x:v>T02, T03</x:v>
      </x:c>
      <x:c r="G7" s="6" t="str">
        <x:v>Warm-up</x:v>
      </x:c>
      <x:c r="H7" s="18" t="n">
        <x:f>COUNTIFS('Questions'!$B$6:$B$2935,$B7,'Questions'!$F$6:$F$2935,H$4)</x:f>
        <x:v>199</x:v>
      </x:c>
      <x:c r="I7" s="18" t="n">
        <x:f>COUNTIFS('Questions'!$B$6:$B$2935,$B7,'Questions'!$F$6:$F$2935,I$4)</x:f>
        <x:v>40</x:v>
      </x:c>
      <x:c r="J7" s="18" t="n">
        <x:f>COUNTIFS('Questions'!$B$6:$B$2935,$B7,'Questions'!$F$6:$F$2935,J$4)</x:f>
        <x:v>0</x:v>
      </x:c>
      <x:c r="K7" s="18" t="n">
        <x:f>SUM(H7:J7)</x:f>
        <x:v>239</x:v>
      </x:c>
      <x:c r="L7" s="6" t="str">
        <x:v>Asset type and floor level.</x:v>
      </x:c>
      <x:c r="M7" s="6" t="str">
        <x:v>Warm-up evaluator checks the exact count appears among integer tokens in the reply.</x:v>
      </x:c>
      <x:c r="N7" s="6" t="str">
        <x:v>Filter the complete asset collection by canonical type and floor. Count once per asset_id.</x:v>
      </x:c>
      <x:c r="O7" s="6" t="str">
        <x:v>assets: id, type, floor_id. floors: id, level. equipment.csv provides an alternative flattened source.</x:v>
      </x:c>
      <x:c r="P7" s="6" t="str">
        <x:v>No dedicated counting tool. search_building exposes matches but returns at most 15 results.</x:v>
      </x:c>
      <x:c r="Q7" s="6" t="str">
        <x:v>Counting returned rows instead of all matches. Including rooms or fuzzy matches in the count.</x:v>
      </x:c>
      <x:c r="R7" s="6" t="str">
        <x:v>osm-way10053349-Q03</x:v>
      </x:c>
      <x:c r="S7" s="6" t="str">
        <x:v>How many hand dryer items are on the ground floor?</x:v>
      </x:c>
      <x:c r="T7" s="6" t="str">
        <x:v>6 hand_dryer items
Floor level: 0</x:v>
      </x:c>
      <x:c r="U7" s="6" t="str">
        <x:v>Different asset types and floors, including zero matches.</x:v>
      </x:c>
    </x:row>
    <x:row r="8" ht="82" customHeight="1">
      <x:c r="A8" s="6" t="n">
        <x:v>3</x:v>
      </x:c>
      <x:c r="B8" s="6" t="str">
        <x:v>route</x:v>
      </x:c>
      <x:c r="C8" s="6" t="str">
        <x:v>Route planning</x:v>
      </x:c>
      <x:c r="D8" s="6" t="str">
        <x:v>Find a valid route between two rooms, including across floors.</x:v>
      </x:c>
      <x:c r="E8" s="6" t="str">
        <x:v>Ordered space path and directions, plus total route-model distance in metres.</x:v>
      </x:c>
      <x:c r="F8" s="6" t="str">
        <x:v>T02, T05, T13</x:v>
      </x:c>
      <x:c r="G8" s="6" t="str">
        <x:v>Warm-up</x:v>
      </x:c>
      <x:c r="H8" s="18" t="n">
        <x:f>COUNTIFS('Questions'!$B$6:$B$2935,$B8,'Questions'!$F$6:$F$2935,H$4)</x:f>
        <x:v>600</x:v>
      </x:c>
      <x:c r="I8" s="18" t="n">
        <x:f>COUNTIFS('Questions'!$B$6:$B$2935,$B8,'Questions'!$F$6:$F$2935,I$4)</x:f>
        <x:v>120</x:v>
      </x:c>
      <x:c r="J8" s="18" t="n">
        <x:f>COUNTIFS('Questions'!$B$6:$B$2935,$B8,'Questions'!$F$6:$F$2935,J$4)</x:f>
        <x:v>0</x:v>
      </x:c>
      <x:c r="K8" s="18" t="n">
        <x:f>SUM(H8:J8)</x:f>
        <x:v>720</x:v>
      </x:c>
      <x:c r="L8" s="6" t="str">
        <x:v>Start and destination.</x:v>
      </x:c>
      <x:c r="M8" s="6" t="str">
        <x:v>Warm-up evaluator checks last_route.length_m against the reference within max(1% of length, 0.01 m). It does not independently validate reply prose.</x:v>
      </x:c>
      <x:c r="N8" s="6" t="str">
        <x:v>Resolve places. Run Dijkstra on the README MultiGraph with space anchors, openings, vertical connectors and outside.</x:v>
      </x:c>
      <x:c r="O8" s="6" t="str">
        <x:v>spaces: polygon. openings: position, space_ids. vertical_connectors: stops, kind. floors: level.</x:v>
      </x:c>
      <x:c r="P8" s="6" t="str">
        <x:v>Existing find_route and show_route implement the kit routing model.</x:v>
      </x:c>
      <x:c r="Q8" s="6" t="str">
        <x:v>Using a straight-line distance, dropping parallel edges or applying the later route model to kit references.</x:v>
      </x:c>
      <x:c r="R8" s="6" t="str">
        <x:v>osm-way10053349-Q04</x:v>
      </x:c>
      <x:c r="S8" s="6" t="str">
        <x:v>How do I get from Toilet 0181A (Ground floor) to Lecture hall 0120 (Ground floor)?</x:v>
      </x:c>
      <x:c r="T8" s="6" t="str">
        <x:v>67.26 m
From: Toilet 0181A
To: Lecture hall 0120
Ordered path (7 spaces): Toilet 0181A → Corridor 0195 → outside → Generic room 0133 → Generic room 0131 → Corridor 0110C → Lecture hall 0120</x:v>
      </x:c>
      <x:c r="U8" s="6" t="str">
        <x:v>New layout, outside transitions, multi-floor routes, unfamiliar room names.</x:v>
      </x:c>
    </x:row>
    <x:row r="9" ht="82" customHeight="1">
      <x:c r="A9" s="6" t="n">
        <x:v>4</x:v>
      </x:c>
      <x:c r="B9" s="6" t="str">
        <x:v>route_step_free</x:v>
      </x:c>
      <x:c r="C9" s="6" t="str">
        <x:v>Route planning</x:v>
      </x:c>
      <x:c r="D9" s="6" t="str">
        <x:v>Check whether a step-free route exists and give it when possible.</x:v>
      </x:c>
      <x:c r="E9" s="6" t="str">
        <x:v>Reachable: ordered path and metres. Unreachable: explicitly state no step-free route.</x:v>
      </x:c>
      <x:c r="F9" s="6" t="str">
        <x:v>T02, T05, T13</x:v>
      </x:c>
      <x:c r="G9" s="6" t="str">
        <x:v>Warm-up</x:v>
      </x:c>
      <x:c r="H9" s="18" t="n">
        <x:f>COUNTIFS('Questions'!$B$6:$B$2935,$B9,'Questions'!$F$6:$F$2935,H$4)</x:f>
        <x:v>200</x:v>
      </x:c>
      <x:c r="I9" s="18" t="n">
        <x:f>COUNTIFS('Questions'!$B$6:$B$2935,$B9,'Questions'!$F$6:$F$2935,I$4)</x:f>
        <x:v>40</x:v>
      </x:c>
      <x:c r="J9" s="18" t="n">
        <x:f>COUNTIFS('Questions'!$B$6:$B$2935,$B9,'Questions'!$F$6:$F$2935,J$4)</x:f>
        <x:v>0</x:v>
      </x:c>
      <x:c r="K9" s="18" t="n">
        <x:f>SUM(H9:J9)</x:f>
        <x:v>240</x:v>
      </x:c>
      <x:c r="L9" s="6" t="str">
        <x:v>Start, destination and step_free=true.</x:v>
      </x:c>
      <x:c r="M9" s="6" t="str">
        <x:v>Warm-up evaluator checks route length as for route. For unreachable references it accepts no last_route or length 0.</x:v>
      </x:c>
      <x:c r="N9" s="6" t="str">
        <x:v>Remove openings/connectors with step_free=false, apply closures, then run shortest path.</x:v>
      </x:c>
      <x:c r="O9" s="6" t="str">
        <x:v>Routing fields plus openings.step_free and vertical_connectors.step_free.</x:v>
      </x:c>
      <x:c r="P9" s="6" t="str">
        <x:v>Existing find_route(step_free=true).</x:v>
      </x:c>
      <x:c r="Q9" s="6" t="str">
        <x:v>Treating a room on a stair floor as automatically unreachable. Hallways, entrances and lifts also matter.</x:v>
      </x:c>
      <x:c r="R9" s="6" t="str">
        <x:v>osm-way10053349-Q07</x:v>
      </x:c>
      <x:c r="S9" s="6" t="str">
        <x:v>Is there a step-free route from Generic room 0149A (Ground floor) to Generic room 0163 (Ground floor)?</x:v>
      </x:c>
      <x:c r="T9" s="6" t="str">
        <x:v>37.77 m
From: Generic room 0149A
To: Generic room 0163
Ordered path (5 spaces): Generic room 0149A → Corridor 0150 → Generic room 0159 → Generic room 0161 → Generic room 0163</x:v>
      </x:c>
      <x:c r="U9" s="6" t="str">
        <x:v>Different accessible entrances, missing lift stops, genuine no-route cases.</x:v>
      </x:c>
    </x:row>
    <x:row r="10" ht="96" customHeight="1">
      <x:c r="A10" s="6" t="n">
        <x:v>5</x:v>
      </x:c>
      <x:c r="B10" s="6" t="str">
        <x:v>route_with_closure</x:v>
      </x:c>
      <x:c r="C10" s="6" t="str">
        <x:v>Route planning</x:v>
      </x:c>
      <x:c r="D10" s="6" t="str">
        <x:v>Reroute while a named lift, staircase, door or room is closed.</x:v>
      </x:c>
      <x:c r="E10" s="6" t="str">
        <x:v>Alternative ordered path and metres, or an explicit no-route response.</x:v>
      </x:c>
      <x:c r="F10" s="6" t="str">
        <x:v>T02, T05, T12, T13</x:v>
      </x:c>
      <x:c r="G10" s="6" t="str">
        <x:v>Warm-up</x:v>
      </x:c>
      <x:c r="H10" s="18" t="n">
        <x:f>COUNTIFS('Questions'!$B$6:$B$2935,$B10,'Questions'!$F$6:$F$2935,H$4)</x:f>
        <x:v>109</x:v>
      </x:c>
      <x:c r="I10" s="18" t="n">
        <x:f>COUNTIFS('Questions'!$B$6:$B$2935,$B10,'Questions'!$F$6:$F$2935,I$4)</x:f>
        <x:v>29</x:v>
      </x:c>
      <x:c r="J10" s="18" t="n">
        <x:f>COUNTIFS('Questions'!$B$6:$B$2935,$B10,'Questions'!$F$6:$F$2935,J$4)</x:f>
        <x:v>0</x:v>
      </x:c>
      <x:c r="K10" s="18" t="n">
        <x:f>SUM(H10:J10)</x:f>
        <x:v>138</x:v>
      </x:c>
      <x:c r="L10" s="6" t="str">
        <x:v>Start, destination and closed element.</x:v>
      </x:c>
      <x:c r="M10" s="6" t="str">
        <x:v>Warm-up evaluator checks last_route distance or unreachable status. Closure application must be checked separately for robust validation.</x:v>
      </x:c>
      <x:c r="N10" s="6" t="str">
        <x:v>Resolve closure ID. Apply a temporary closure overlay, route on the resulting graph and reset question state.</x:v>
      </x:c>
      <x:c r="O10" s="6" t="str">
        <x:v>Routing fields and stable opening, connector or space IDs.</x:v>
      </x:c>
      <x:c r="P10" s="6" t="str">
        <x:v>Existing set_closed followed by find_route. State reset is caller responsibility.</x:v>
      </x:c>
      <x:c r="Q10" s="6" t="str">
        <x:v>Closing a label rather than its ID. Forgetting to reset state between independent questions.</x:v>
      </x:c>
      <x:c r="R10" s="6" t="str">
        <x:v>osm-way37850565-Q09</x:v>
      </x:c>
      <x:c r="S10" s="6" t="str">
        <x:v>Stairs is closed for maintenance. How do I get from Büro (Floor 1) to Toilet 0.04 (Ground floor)?</x:v>
      </x:c>
      <x:c r="T10" s="6" t="str">
        <x:v>80.27 m
From: Büro
To: Toilet 0.04
Ordered path (8 spaces): Büro → Flur → Treppenhaus → Lift 1.18 → Lift 0.08 → Eingangshalle → Flur → Toilet 0.04
Closed: osm-way37850565-V01</x:v>
      </x:c>
      <x:c r="U10" s="6" t="str">
        <x:v>Several closures, reopened elements and closures affecting another floor.</x:v>
      </x:c>
    </x:row>
    <x:row r="11" ht="68" customHeight="1">
      <x:c r="A11" s="6" t="n">
        <x:v>6</x:v>
      </x:c>
      <x:c r="B11" s="6" t="str">
        <x:v>tour</x:v>
      </x:c>
      <x:c r="C11" s="6" t="str">
        <x:v>Route planning</x:v>
      </x:c>
      <x:c r="D11" s="6" t="str">
        <x:v>Visit multiple rooms in the order specified.</x:v>
      </x:c>
      <x:c r="E11" s="6" t="str">
        <x:v>Ordered stops, path for each leg and total metres.</x:v>
      </x:c>
      <x:c r="F11" s="6" t="str">
        <x:v>T02, T05, T13</x:v>
      </x:c>
      <x:c r="G11" s="6" t="str">
        <x:v>Warm-up</x:v>
      </x:c>
      <x:c r="H11" s="18" t="n">
        <x:f>COUNTIFS('Questions'!$B$6:$B$2935,$B11,'Questions'!$F$6:$F$2935,H$4)</x:f>
        <x:v>200</x:v>
      </x:c>
      <x:c r="I11" s="18" t="n">
        <x:f>COUNTIFS('Questions'!$B$6:$B$2935,$B11,'Questions'!$F$6:$F$2935,I$4)</x:f>
        <x:v>40</x:v>
      </x:c>
      <x:c r="J11" s="18" t="n">
        <x:f>COUNTIFS('Questions'!$B$6:$B$2935,$B11,'Questions'!$F$6:$F$2935,J$4)</x:f>
        <x:v>0</x:v>
      </x:c>
      <x:c r="K11" s="18" t="n">
        <x:f>SUM(H11:J11)</x:f>
        <x:v>240</x:v>
      </x:c>
      <x:c r="L11" s="6" t="str">
        <x:v>Ordered list of stops, including start and final destination.</x:v>
      </x:c>
      <x:c r="M11" s="6" t="str">
        <x:v>Warm-up evaluator checks last_route total distance within max(1%, 0.01 m). Verify stop order independently.</x:v>
      </x:c>
      <x:c r="N11" s="6" t="str">
        <x:v>Find the shortest path for each consecutive pair. Concatenate paths and sum leg costs without reordering stops.</x:v>
      </x:c>
      <x:c r="O11" s="6" t="str">
        <x:v>Routing fields and resolved stop IDs.</x:v>
      </x:c>
      <x:c r="P11" s="6" t="str">
        <x:v>Existing find_route(via=[...]).</x:v>
      </x:c>
      <x:c r="Q11" s="6" t="str">
        <x:v>Optimizing the stop order when the user prescribed it. Double-counting leg joins.</x:v>
      </x:c>
      <x:c r="R11" s="6" t="str">
        <x:v>osm-way10053349-Q08</x:v>
      </x:c>
      <x:c r="S11" s="6" t="str">
        <x:v>Starting at Generic room 0144A (Ground floor), visit Generic room 0.15 (Ground floor), then Generic room 0167 (Ground floor) in this order. What is the route?</x:v>
      </x:c>
      <x:c r="T11" s="6" t="str">
        <x:v>79.06 m total
Stops: Generic room 0144A → Generic room 0.15 → Generic room 0167
Leg lengths (m): 33.14, 45.92
Full paths are in Answer JSON.</x:v>
      </x:c>
      <x:c r="U11" s="6" t="str">
        <x:v>More stops, step-free tours and a disconnected intermediate stop.</x:v>
      </x:c>
    </x:row>
    <x:row r="12" ht="54" customHeight="1">
      <x:c r="A12" s="6" t="n">
        <x:v>7</x:v>
      </x:c>
      <x:c r="B12" s="6" t="str">
        <x:v>largest_room</x:v>
      </x:c>
      <x:c r="C12" s="6" t="str">
        <x:v>Area and room selection</x:v>
      </x:c>
      <x:c r="D12" s="6" t="str">
        <x:v>Choose the largest room of a specified type on a specified floor and give its area.</x:v>
      </x:c>
      <x:c r="E12" s="6" t="str">
        <x:v>Answer: &lt;accepted room name or ref&gt;, &lt;area&gt; m²</x:v>
      </x:c>
      <x:c r="F12" s="6" t="str">
        <x:v>T02, T04, T14</x:v>
      </x:c>
      <x:c r="G12" s="6" t="str">
        <x:v>Benchmark</x:v>
      </x:c>
      <x:c r="H12" s="18" t="n">
        <x:f>COUNTIFS('Questions'!$B$6:$B$2935,$B12,'Questions'!$F$6:$F$2935,H$4)</x:f>
        <x:v>76</x:v>
      </x:c>
      <x:c r="I12" s="18" t="n">
        <x:f>COUNTIFS('Questions'!$B$6:$B$2935,$B12,'Questions'!$F$6:$F$2935,I$4)</x:f>
        <x:v>20</x:v>
      </x:c>
      <x:c r="J12" s="18" t="n">
        <x:f>COUNTIFS('Questions'!$B$6:$B$2935,$B12,'Questions'!$F$6:$F$2935,J$4)</x:f>
        <x:v>21</x:v>
      </x:c>
      <x:c r="K12" s="18" t="n">
        <x:f>SUM(H12:J12)</x:f>
        <x:v>117</x:v>
      </x:c>
      <x:c r="L12" s="6" t="str">
        <x:v>Floor ID and room_type.</x:v>
      </x:c>
      <x:c r="M12" s="6" t="str">
        <x:v>Expected room must be mentioned before any rejected runner-up. Some number in the committed answer must match area within the source tolerance, normally 5%.</x:v>
      </x:c>
      <x:c r="N12" s="6" t="str">
        <x:v>Filter spaces to floor and room type. Compute polygon area in m² and select the maximum.</x:v>
      </x:c>
      <x:c r="O12" s="6" t="str">
        <x:v>spaces: id, floor_id, room_type, polygon, name, ref.</x:v>
      </x:c>
      <x:c r="P12" s="6" t="str">
        <x:v>Missing area/ranking tool. Search alone is insufficient.</x:v>
      </x:c>
      <x:c r="Q12" s="6" t="str">
        <x:v>Using furniture count as room size. Giving only a stable ID when the scorer expects accepted labels.</x:v>
      </x:c>
      <x:c r="R12" s="6" t="str">
        <x:v>osm-way13507441-H01</x:v>
      </x:c>
      <x:c r="S12" s="6" t="str">
        <x:v>Which is the largest generic room on the floor 1, and how big is it in m²? Finish with a line 'Answer: &lt;room name or number&gt;, &lt;area&gt; m²'.</x:v>
      </x:c>
      <x:c r="T12" s="6" t="str">
        <x:v>1.05
Area: 557.68 m²
Space ID: osm-way13507441-F1-S005</x:v>
      </x:c>
      <x:c r="U12" s="6" t="str">
        <x:v>Unseen room types and floor layouts. Preserve unique room references.</x:v>
      </x:c>
    </x:row>
    <x:row r="13" ht="54" customHeight="1">
      <x:c r="A13" s="6" t="n">
        <x:v>8</x:v>
      </x:c>
      <x:c r="B13" s="6" t="str">
        <x:v>floor_area_total</x:v>
      </x:c>
      <x:c r="C13" s="6" t="str">
        <x:v>Area and room selection</x:v>
      </x:c>
      <x:c r="D13" s="6" t="str">
        <x:v>Sum the floor area of every matching room on one floor.</x:v>
      </x:c>
      <x:c r="E13" s="6" t="str">
        <x:v>Answer: &lt;one number&gt;</x:v>
      </x:c>
      <x:c r="F13" s="6" t="str">
        <x:v>T02, T04, T14</x:v>
      </x:c>
      <x:c r="G13" s="6" t="str">
        <x:v>Benchmark</x:v>
      </x:c>
      <x:c r="H13" s="18" t="n">
        <x:f>COUNTIFS('Questions'!$B$6:$B$2935,$B13,'Questions'!$F$6:$F$2935,H$4)</x:f>
        <x:v>150</x:v>
      </x:c>
      <x:c r="I13" s="18" t="n">
        <x:f>COUNTIFS('Questions'!$B$6:$B$2935,$B13,'Questions'!$F$6:$F$2935,I$4)</x:f>
        <x:v>31</x:v>
      </x:c>
      <x:c r="J13" s="18" t="n">
        <x:f>COUNTIFS('Questions'!$B$6:$B$2935,$B13,'Questions'!$F$6:$F$2935,J$4)</x:f>
        <x:v>33</x:v>
      </x:c>
      <x:c r="K13" s="18" t="n">
        <x:f>SUM(H13:J13)</x:f>
        <x:v>214</x:v>
      </x:c>
      <x:c r="L13" s="6" t="str">
        <x:v>Floor ID and room_type.</x:v>
      </x:c>
      <x:c r="M13" s="6" t="str">
        <x:v>Exactly one number on the committed answer line, within the source tolerance, normally 5%.</x:v>
      </x:c>
      <x:c r="N13" s="6" t="str">
        <x:v>Filter the complete space collection. Sum polygon areas of matching spaces without rounding each room first.</x:v>
      </x:c>
      <x:c r="O13" s="6" t="str">
        <x:v>spaces: floor_id, room_type, polygon.</x:v>
      </x:c>
      <x:c r="P13" s="6" t="str">
        <x:v>Missing polygon-area aggregation tool.</x:v>
      </x:c>
      <x:c r="Q13" s="6" t="str">
        <x:v>Summing all space types, only search hits, or bounding-box areas.</x:v>
      </x:c>
      <x:c r="R13" s="6" t="str">
        <x:v>osm-way10053349-H01</x:v>
      </x:c>
      <x:c r="S13" s="6" t="str">
        <x:v>Facilities want the total floor area of every generic room on the ground floor added together. How many square metres is that? Finish with a line 'Answer: &lt;number&gt;'.</x:v>
      </x:c>
      <x:c r="T13" s="6" t="str">
        <x:v>3112.34 m2</x:v>
      </x:c>
      <x:c r="U13" s="6" t="str">
        <x:v>Different room categories, many small rooms and concave outlines.</x:v>
      </x:c>
    </x:row>
    <x:row r="14" ht="54" customHeight="1">
      <x:c r="A14" s="6" t="n">
        <x:v>9</x:v>
      </x:c>
      <x:c r="B14" s="6" t="str">
        <x:v>step_free_reachable_count</x:v>
      </x:c>
      <x:c r="C14" s="6" t="str">
        <x:v>Constrained reachability</x:v>
      </x:c>
      <x:c r="D14" s="6" t="str">
        <x:v>Count destination-floor rooms a wheelchair user can still reach after a lift closure.</x:v>
      </x:c>
      <x:c r="E14" s="6" t="str">
        <x:v>Answer: &lt;one exact integer&gt;</x:v>
      </x:c>
      <x:c r="F14" s="6" t="str">
        <x:v>T02, T05, T06, T14</x:v>
      </x:c>
      <x:c r="G14" s="6" t="str">
        <x:v>Benchmark</x:v>
      </x:c>
      <x:c r="H14" s="18" t="n">
        <x:f>COUNTIFS('Questions'!$B$6:$B$2935,$B14,'Questions'!$F$6:$F$2935,H$4)</x:f>
        <x:v>1</x:v>
      </x:c>
      <x:c r="I14" s="18" t="n">
        <x:f>COUNTIFS('Questions'!$B$6:$B$2935,$B14,'Questions'!$F$6:$F$2935,I$4)</x:f>
        <x:v>1</x:v>
      </x:c>
      <x:c r="J14" s="18" t="n">
        <x:f>COUNTIFS('Questions'!$B$6:$B$2935,$B14,'Questions'!$F$6:$F$2935,J$4)</x:f>
        <x:v>0</x:v>
      </x:c>
      <x:c r="K14" s="18" t="n">
        <x:f>SUM(H14:J14)</x:f>
        <x:v>2</x:v>
      </x:c>
      <x:c r="L14" s="6" t="str">
        <x:v>Start space, target floor and closed element.</x:v>
      </x:c>
      <x:c r="M14" s="6" t="str">
        <x:v>Exactly one number, exactly equal to the reference. Only 2 supplied examples and no public test example.</x:v>
      </x:c>
      <x:c r="N14" s="6" t="str">
        <x:v>Remove the closed element and every non-step-free transition. Traverse once from the start. Count reachable spaces with type=room on the requested floor.</x:v>
      </x:c>
      <x:c r="O14" s="6" t="str">
        <x:v>spaces: type, floor_id. openings/connectors: IDs, step_free and connectivity.</x:v>
      </x:c>
      <x:c r="P14" s="6" t="str">
        <x:v>Existing route/closure primitives. Missing all-destination reachability and counting.</x:v>
      </x:c>
      <x:c r="Q14" s="6" t="str">
        <x:v>Counting corridors, stairs or lifts. Assuming this rare kind cannot occur on an unseen building.</x:v>
      </x:c>
      <x:c r="R14" s="6" t="str">
        <x:v>osm-way58216509-H03</x:v>
      </x:c>
      <x:c r="S14" s="6" t="str">
        <x:v>Lift 2 is out of service. A wheelchair user comes in through the entrance into Corridor N0110 (Ground floor). How many rooms on the floor 2 can they still reach? Finish with a line 'Answer: &lt;number&gt;'.</x:v>
      </x:c>
      <x:c r="T14" s="6" t="str">
        <x:v>64 rooms</x:v>
      </x:c>
      <x:c r="U14" s="6" t="str">
        <x:v>Different lift failures, multiple entrances and target floors.</x:v>
      </x:c>
    </x:row>
    <x:row r="15" ht="82" customHeight="1">
      <x:c r="A15" s="6" t="n">
        <x:v>10</x:v>
      </x:c>
      <x:c r="B15" s="6" t="str">
        <x:v>wide_delivery_count</x:v>
      </x:c>
      <x:c r="C15" s="6" t="str">
        <x:v>Constrained reachability</x:v>
      </x:c>
      <x:c r="D15" s="6" t="str">
        <x:v>Count rooms reachable with a wide load that cannot use stairs or steps.</x:v>
      </x:c>
      <x:c r="E15" s="6" t="str">
        <x:v>Answer: &lt;one exact integer&gt;</x:v>
      </x:c>
      <x:c r="F15" s="6" t="str">
        <x:v>T02, T05, T06, T14</x:v>
      </x:c>
      <x:c r="G15" s="6" t="str">
        <x:v>Benchmark</x:v>
      </x:c>
      <x:c r="H15" s="18" t="n">
        <x:f>COUNTIFS('Questions'!$B$6:$B$2935,$B15,'Questions'!$F$6:$F$2935,H$4)</x:f>
        <x:v>61</x:v>
      </x:c>
      <x:c r="I15" s="18" t="n">
        <x:f>COUNTIFS('Questions'!$B$6:$B$2935,$B15,'Questions'!$F$6:$F$2935,I$4)</x:f>
        <x:v>19</x:v>
      </x:c>
      <x:c r="J15" s="18" t="n">
        <x:f>COUNTIFS('Questions'!$B$6:$B$2935,$B15,'Questions'!$F$6:$F$2935,J$4)</x:f>
        <x:v>18</x:v>
      </x:c>
      <x:c r="K15" s="18" t="n">
        <x:f>SUM(H15:J15)</x:f>
        <x:v>98</x:v>
      </x:c>
      <x:c r="L15" s="6" t="str">
        <x:v>Start space, target floor and minimum opening width in metres.</x:v>
      </x:c>
      <x:c r="M15" s="6" t="str">
        <x:v>Exactly one number, exactly equal to the reference.</x:v>
      </x:c>
      <x:c r="N15" s="6" t="str">
        <x:v>Keep step-free openings at least min_width wide and eligible vertical connectors. Traverse from start and count reachable type=room spaces on the target floor.</x:v>
      </x:c>
      <x:c r="O15" s="6" t="str">
        <x:v>openings: width_m, step_free, space_ids. connectors: step_free. spaces: type, floor_id.</x:v>
      </x:c>
      <x:c r="P15" s="6" t="str">
        <x:v>Missing minimum-width filter and aggregate reachability. Existing router only filters step_free.</x:v>
      </x:c>
      <x:c r="Q15" s="6" t="str">
        <x:v>Filtering only the destination door. Using &gt; instead of &gt;=. Counting non-room spaces.</x:v>
      </x:c>
      <x:c r="R15" s="6" t="str">
        <x:v>proc-campus-train-000-H03</x:v>
      </x:c>
      <x:c r="S15" s="6" t="str">
        <x:v>I'm moving a 1.1 m wide cleaning machine. It can't go on stairs or steps (lifts are fine), and every door it passes through must be at least 1.1 m wide. It arrives through the entrance into Main lobby (Ground floor). Into how many rooms on the ground floor can it be delivered? Finish with a line 'Answer: &lt;number&gt;'.</x:v>
      </x:c>
      <x:c r="T15" s="6" t="str">
        <x:v>6 rooms</x:v>
      </x:c>
      <x:c r="U15" s="6" t="str">
        <x:v>Different load widths, floors, lifts and bottleneck openings.</x:v>
      </x:c>
    </x:row>
    <x:row r="16" ht="54" customHeight="1">
      <x:c r="A16" s="6" t="n">
        <x:v>11</x:v>
      </x:c>
      <x:c r="B16" s="6" t="str">
        <x:v>room_stacked</x:v>
      </x:c>
      <x:c r="C16" s="6" t="str">
        <x:v>Spatial relationships</x:v>
      </x:c>
      <x:c r="D16" s="6" t="str">
        <x:v>Identify the room directly above or below another room.</x:v>
      </x:c>
      <x:c r="E16" s="6" t="str">
        <x:v>Answer: &lt;accepted room name or ref&gt;</x:v>
      </x:c>
      <x:c r="F16" s="6" t="str">
        <x:v>T02, T09, T14</x:v>
      </x:c>
      <x:c r="G16" s="6" t="str">
        <x:v>Benchmark</x:v>
      </x:c>
      <x:c r="H16" s="18" t="n">
        <x:f>COUNTIFS('Questions'!$B$6:$B$2935,$B16,'Questions'!$F$6:$F$2935,H$4)</x:f>
        <x:v>17</x:v>
      </x:c>
      <x:c r="I16" s="18" t="n">
        <x:f>COUNTIFS('Questions'!$B$6:$B$2935,$B16,'Questions'!$F$6:$F$2935,I$4)</x:f>
        <x:v>9</x:v>
      </x:c>
      <x:c r="J16" s="18" t="n">
        <x:f>COUNTIFS('Questions'!$B$6:$B$2935,$B16,'Questions'!$F$6:$F$2935,J$4)</x:f>
        <x:v>9</x:v>
      </x:c>
      <x:c r="K16" s="18" t="n">
        <x:f>SUM(H16:J16)</x:f>
        <x:v>35</x:v>
      </x:c>
      <x:c r="L16" s="6" t="str">
        <x:v>Source space and direction above/below.</x:v>
      </x:c>
      <x:c r="M16" s="6" t="str">
        <x:v>Expected room label must occur before any rejected runner-up label.</x:v>
      </x:c>
      <x:c r="N16" s="6" t="str">
        <x:v>Choose the next floor by vertical order. Compare polygon overlap with candidates there and return the greatest overlap.</x:v>
      </x:c>
      <x:c r="O16" s="6" t="str">
        <x:v>spaces: polygon, floor_id, name, ref. floors: level, elevation_m.</x:v>
      </x:c>
      <x:c r="P16" s="6" t="str">
        <x:v>Missing polygon-overlap and cross-floor comparison tool.</x:v>
      </x:c>
      <x:c r="Q16" s="6" t="str">
        <x:v>Assuming identical room numbers across floors. Using nearest centroid instead of overlap. Swiss floor frames may differ.</x:v>
      </x:c>
      <x:c r="R16" s="6" t="str">
        <x:v>osm-way13507441-H04</x:v>
      </x:c>
      <x:c r="S16" s="6" t="str">
        <x:v>A washing machine is leaking onto the floor of Garderobe B (Floor 1). Which room directly below it will the water reach? Finish with a line 'Answer: &lt;room name or number&gt;'.</x:v>
      </x:c>
      <x:c r="T16" s="6" t="str">
        <x:v>0.18
Space ID: osm-way13507441-F0-S018</x:v>
      </x:c>
      <x:c r="U16" s="6" t="str">
        <x:v>Unequal room partitions above/below and irregular floor levels. Supplied examples use procedural/OSM aligned floors.</x:v>
      </x:c>
    </x:row>
    <x:row r="17" ht="68" customHeight="1">
      <x:c r="A17" s="6" t="n">
        <x:v>12</x:v>
      </x:c>
      <x:c r="B17" s="6" t="str">
        <x:v>shared_walls_count</x:v>
      </x:c>
      <x:c r="C17" s="6" t="str">
        <x:v>Spatial relationships</x:v>
      </x:c>
      <x:c r="D17" s="6" t="str">
        <x:v>Count other rooms sharing at least 1 m of wall with a room.</x:v>
      </x:c>
      <x:c r="E17" s="6" t="str">
        <x:v>Answer: &lt;one exact integer&gt;</x:v>
      </x:c>
      <x:c r="F17" s="6" t="str">
        <x:v>T02, T08, T14</x:v>
      </x:c>
      <x:c r="G17" s="6" t="str">
        <x:v>Benchmark</x:v>
      </x:c>
      <x:c r="H17" s="18" t="n">
        <x:f>COUNTIFS('Questions'!$B$6:$B$2935,$B17,'Questions'!$F$6:$F$2935,H$4)</x:f>
        <x:v>119</x:v>
      </x:c>
      <x:c r="I17" s="18" t="n">
        <x:f>COUNTIFS('Questions'!$B$6:$B$2935,$B17,'Questions'!$F$6:$F$2935,I$4)</x:f>
        <x:v>24</x:v>
      </x:c>
      <x:c r="J17" s="18" t="n">
        <x:f>COUNTIFS('Questions'!$B$6:$B$2935,$B17,'Questions'!$F$6:$F$2935,J$4)</x:f>
        <x:v>26</x:v>
      </x:c>
      <x:c r="K17" s="18" t="n">
        <x:f>SUM(H17:J17)</x:f>
        <x:v>169</x:v>
      </x:c>
      <x:c r="L17" s="6" t="str">
        <x:v>Source space. Same-floor type=room candidates. 1 m shared-wall threshold, 0.35 m proximity.</x:v>
      </x:c>
      <x:c r="M17" s="6" t="str">
        <x:v>Exactly one number, exactly equal to the reference.</x:v>
      </x:c>
      <x:c r="N17" s="6" t="str">
        <x:v>Compare same-floor room boundaries. Measure wall runs within 0.35 m and count qualifying distinct rooms once, whether or not a door exists.</x:v>
      </x:c>
      <x:c r="O17" s="6" t="str">
        <x:v>spaces: id, type, floor_id, polygon.</x:v>
      </x:c>
      <x:c r="P17" s="6" t="str">
        <x:v>Missing boundary-adjacency tool. Door connectivity does not answer this question.</x:v>
      </x:c>
      <x:c r="Q17" s="6" t="str">
        <x:v>Counting corners or corridors. Requiring a door. Double-counting several shared segments.</x:v>
      </x:c>
      <x:c r="R17" s="6" t="str">
        <x:v>osm-way10053349-H02</x:v>
      </x:c>
      <x:c r="S17" s="6" t="str">
        <x:v>We're soundproofing Generic room 0129 (Ground floor). How many other rooms on that floor share a wall with it? Count every room whose wall runs along it for at least 1 m, with or without a door between them; corridors, stairwells and lifts don't count. Finish with a line 'Answer: &lt;number&gt;'.</x:v>
      </x:c>
      <x:c r="T17" s="6" t="str">
        <x:v>5 rooms</x:v>
      </x:c>
      <x:c r="U17" s="6" t="str">
        <x:v>Wall thickness, rotated outlines, more than one shared segment and concave rooms.</x:v>
      </x:c>
    </x:row>
    <x:row r="18" ht="68" customHeight="1">
      <x:c r="A18" s="6" t="n">
        <x:v>13</x:v>
      </x:c>
      <x:c r="B18" s="6" t="str">
        <x:v>straight_line_3d</x:v>
      </x:c>
      <x:c r="C18" s="6" t="str">
        <x:v>Spatial relationships</x:v>
      </x:c>
      <x:c r="D18" s="6" t="str">
        <x:v>Measure the 3D straight-line distance between room polygon centroids at floor elevation.</x:v>
      </x:c>
      <x:c r="E18" s="6" t="str">
        <x:v>Answer: &lt;one number&gt;</x:v>
      </x:c>
      <x:c r="F18" s="6" t="str">
        <x:v>T02, T04, T10, T14</x:v>
      </x:c>
      <x:c r="G18" s="6" t="str">
        <x:v>Benchmark</x:v>
      </x:c>
      <x:c r="H18" s="18" t="n">
        <x:f>COUNTIFS('Questions'!$B$6:$B$2935,$B18,'Questions'!$F$6:$F$2935,H$4)</x:f>
        <x:v>17</x:v>
      </x:c>
      <x:c r="I18" s="18" t="n">
        <x:f>COUNTIFS('Questions'!$B$6:$B$2935,$B18,'Questions'!$F$6:$F$2935,I$4)</x:f>
        <x:v>13</x:v>
      </x:c>
      <x:c r="J18" s="18" t="n">
        <x:f>COUNTIFS('Questions'!$B$6:$B$2935,$B18,'Questions'!$F$6:$F$2935,J$4)</x:f>
        <x:v>15</x:v>
      </x:c>
      <x:c r="K18" s="18" t="n">
        <x:f>SUM(H18:J18)</x:f>
        <x:v>45</x:v>
      </x:c>
      <x:c r="L18" s="6" t="str">
        <x:v>Two space IDs.</x:v>
      </x:c>
      <x:c r="M18" s="6" t="str">
        <x:v>Exactly one number within the source tolerance, normally 2%.</x:v>
      </x:c>
      <x:c r="N18" s="6" t="str">
        <x:v>Compute each polygon centroid. Use Euclidean distance in (centroid.x, centroid.y, floor.elevation_m).</x:v>
      </x:c>
      <x:c r="O18" s="6" t="str">
        <x:v>spaces: polygon, floor_id. floors: elevation_m.</x:v>
      </x:c>
      <x:c r="P18" s="6" t="str">
        <x:v>Missing centroid/elevation distance tool.</x:v>
      </x:c>
      <x:c r="Q18" s="6" t="str">
        <x:v>Using route representative_point(), floor level as metres, room mid-height, or walking distance.</x:v>
      </x:c>
      <x:c r="R18" s="6" t="str">
        <x:v>osm-way37850565-H05</x:v>
      </x:c>
      <x:c r="S18" s="6" t="str">
        <x:v>We're planning a wireless sensor link between Foyer (Floor 2) and Toilet 0.04 (Ground floor). What is the straight-line distance in metres between the centres of the two rooms (each room's floor-plan centroid, at its floor's elevation)? Finish with a line 'Answer: &lt;number&gt;'.</x:v>
      </x:c>
      <x:c r="T18" s="6" t="str">
        <x:v>14.38 m</x:v>
      </x:c>
      <x:c r="U18" s="6" t="str">
        <x:v>Unequal floor heights, basements and non-convex room centroids.</x:v>
      </x:c>
    </x:row>
    <x:row r="19" ht="68" customHeight="1">
      <x:c r="A19" s="6" t="n">
        <x:v>14</x:v>
      </x:c>
      <x:c r="B19" s="6" t="str">
        <x:v>errand</x:v>
      </x:c>
      <x:c r="C19" s="6" t="str">
        <x:v>Compound tasks and changes</x:v>
      </x:c>
      <x:c r="D19" s="6" t="str">
        <x:v>Collect an item from its closest containing room, then deliver it to the largest requested room.</x:v>
      </x:c>
      <x:c r="E19" s="6" t="str">
        <x:v>Answer: &lt;one number&gt;</x:v>
      </x:c>
      <x:c r="F19" s="6" t="str">
        <x:v>T02, T03, T04, T05, T07, T14</x:v>
      </x:c>
      <x:c r="G19" s="6" t="str">
        <x:v>Benchmark</x:v>
      </x:c>
      <x:c r="H19" s="18" t="n">
        <x:f>COUNTIFS('Questions'!$B$6:$B$2935,$B19,'Questions'!$F$6:$F$2935,H$4)</x:f>
        <x:v>74</x:v>
      </x:c>
      <x:c r="I19" s="18" t="n">
        <x:f>COUNTIFS('Questions'!$B$6:$B$2935,$B19,'Questions'!$F$6:$F$2935,I$4)</x:f>
        <x:v>19</x:v>
      </x:c>
      <x:c r="J19" s="18" t="n">
        <x:f>COUNTIFS('Questions'!$B$6:$B$2935,$B19,'Questions'!$F$6:$F$2935,J$4)</x:f>
        <x:v>20</x:v>
      </x:c>
      <x:c r="K19" s="18" t="n">
        <x:f>SUM(H19:J19)</x:f>
        <x:v>113</x:v>
      </x:c>
      <x:c r="L19" s="6" t="str">
        <x:v>Start, asset_type, target floor and target room_type.</x:v>
      </x:c>
      <x:c r="M19" s="6" t="str">
        <x:v>Exactly one number within max(relative tolerance × reference, absolute tolerance), normally max(1%, 1 m).</x:v>
      </x:c>
      <x:c r="N19" s="6" t="str">
        <x:v>Find all rooms containing the asset. Choose the one nearest to the start by README route cost. Independently select largest target room by polygon area. Sum start→pickup and pickup→target.</x:v>
      </x:c>
      <x:c r="O19" s="6" t="str">
        <x:v>assets: type, space_id. Geometry, room_type and all README routing fields.</x:v>
      </x:c>
      <x:c r="P19" s="6" t="str">
        <x:v>Existing routing primitive. Missing full candidate search, area selection and task composition.</x:v>
      </x:c>
      <x:c r="Q19" s="6" t="str">
        <x:v>Choosing Euclidean-nearest item. Minimizing total trip instead of first choosing nearest pickup. Reading hidden inputs at inference time.</x:v>
      </x:c>
      <x:c r="R19" s="6" t="str">
        <x:v>osm-way13507441-H03</x:v>
      </x:c>
      <x:c r="S19" s="6" t="str">
        <x:v>I'm in Garderobe A (Floor 1). I need to grab a fire extinguisher from the room that has one closest to me, then carry it to the largest generic room on the floor 1. I can carry it on the stairs. How far will I walk in total, in metres? Finish with a line 'Answer: &lt;number&gt;'.</x:v>
      </x:c>
      <x:c r="T19" s="6" t="str">
        <x:v>50.39 m
Pickup: Stairwell 1.15
Target: Festsaal</x:v>
      </x:c>
      <x:c r="U19" s="6" t="str">
        <x:v>More equipment candidates, changed floor, unfamiliar target types. Stairs are explicitly allowed in supplied prompts.</x:v>
      </x:c>
    </x:row>
    <x:row r="20" ht="82" customHeight="1">
      <x:c r="A20" s="6" t="n">
        <x:v>15</x:v>
      </x:c>
      <x:c r="B20" s="6" t="str">
        <x:v>what_if_door</x:v>
      </x:c>
      <x:c r="C20" s="6" t="str">
        <x:v>Compound tasks and changes</x:v>
      </x:c>
      <x:c r="D20" s="6" t="str">
        <x:v>Count rooms on another floor whose walk to the nearest exit improves by more than 1 m after adding a door.</x:v>
      </x:c>
      <x:c r="E20" s="6" t="str">
        <x:v>Answer: &lt;one exact integer&gt;</x:v>
      </x:c>
      <x:c r="F20" s="6" t="str">
        <x:v>T02, T04, T05, T11, T14</x:v>
      </x:c>
      <x:c r="G20" s="6" t="str">
        <x:v>Benchmark</x:v>
      </x:c>
      <x:c r="H20" s="18" t="n">
        <x:f>COUNTIFS('Questions'!$B$6:$B$2935,$B20,'Questions'!$F$6:$F$2935,H$4)</x:f>
        <x:v>2</x:v>
      </x:c>
      <x:c r="I20" s="18" t="n">
        <x:f>COUNTIFS('Questions'!$B$6:$B$2935,$B20,'Questions'!$F$6:$F$2935,I$4)</x:f>
        <x:v>2</x:v>
      </x:c>
      <x:c r="J20" s="18" t="n">
        <x:f>COUNTIFS('Questions'!$B$6:$B$2935,$B20,'Questions'!$F$6:$F$2935,J$4)</x:f>
        <x:v>3</x:v>
      </x:c>
      <x:c r="K20" s="18" t="n">
        <x:f>SUM(H20:J20)</x:f>
        <x:v>7</x:v>
      </x:c>
      <x:c r="L20" s="6" t="str">
        <x:v>Two spaces for the door, affected floor, shared-wall midpoint, strict improvement &gt;1 m.</x:v>
      </x:c>
      <x:c r="M20" s="6" t="str">
        <x:v>Exactly one number, exactly equal to the reference.</x:v>
      </x:c>
      <x:c r="N20" s="6" t="str">
        <x:v>Compute baseline room→outside costs with the README graph. Clone state and add a door at the midpoint of the shared wall. Recompute, compare unrounded costs and count target-floor rooms improving by &gt;1 m.</x:v>
      </x:c>
      <x:c r="O20" s="6" t="str">
        <x:v>spaces: type, polygon, floor_id. Entrance openings, routing fields and hypothetical door geometry.</x:v>
      </x:c>
      <x:c r="P20" s="6" t="str">
        <x:v>Partial: add_door mutates state using nearest polygon points, not the shared-wall midpoint. Missing baseline/edited impact analysis.</x:v>
      </x:c>
      <x:c r="Q20" s="6" t="str">
        <x:v>Persisting a hypothetical change. Counting the door floor. Using &gt;=1 m or centroid placement. Nearest_points is not a midpoint-of-wall implementation.</x:v>
      </x:c>
      <x:c r="R20" s="6" t="str">
        <x:v>osm-way58216509-H07</x:v>
      </x:c>
      <x:c r="S20" s="6" t="str">
        <x:v>What if we add a door between Corridor N0110A (Ground floor) and Corridor N0123A (Ground floor), in the middle of the wall they share? How many rooms on the floor 2 would then have a shorter walk out of the building, to their nearest entrance, by more than 1 m? Finish with a line 'Answer: &lt;number&gt;'.</x:v>
      </x:c>
      <x:c r="T20" s="6" t="str">
        <x:v>40 rooms</x:v>
      </x:c>
      <x:c r="U20" s="6" t="str">
        <x:v>Different floor affected, several exits and changes far from the destination rooms.</x:v>
      </x:c>
    </x:row>
  </x:sheetData>
  <x:pageMargins left="0.7" right="0.7" top="0.75" bottom="0.75" header="0.3" footer="0.3"/>
  <x:tableParts count="1">
    <x:tablePart xmlns:r="http://schemas.openxmlformats.org/officeDocument/2006/relationships" r:id="Rb1e3d2bbd66248f0"/>
  </x:tableParts>
</x:worksheet>
</file>

<file path=xl/worksheets/sheet3.xml><?xml version="1.0" encoding="utf-8"?>
<x:worksheet xmlns:x="http://schemas.openxmlformats.org/spreadsheetml/2006/main">
  <x:sheetViews>
    <x:sheetView showGridLines="0" workbookViewId="0">
      <x:pane xSplit="2" ySplit="5" topLeftCell="C6" activePane="bottomRight" state="frozen"/>
    </x:sheetView>
  </x:sheetViews>
  <x:sheetFormatPr defaultRowHeight="15"/>
  <x:cols>
    <x:col min="1" max="1" width="7" hidden="0" customWidth="1"/>
    <x:col min="2" max="2" width="28" hidden="0" customWidth="1"/>
    <x:col min="3" max="3" width="76" hidden="0" customWidth="1"/>
    <x:col min="4" max="4" width="78" hidden="0" customWidth="1"/>
    <x:col min="5" max="5" width="21" hidden="0" customWidth="1"/>
    <x:col min="6" max="6" width="10" hidden="0" customWidth="1"/>
    <x:col min="7" max="7" width="30" hidden="0" customWidth="1"/>
    <x:col min="8" max="8" width="38" hidden="0" customWidth="1"/>
    <x:col min="9" max="9" width="30" hidden="0" customWidth="1"/>
    <x:col min="10" max="10" width="15" hidden="0" customWidth="1"/>
    <x:col min="11" max="11" width="48" hidden="0" customWidth="1"/>
    <x:col min="12" max="12" width="25" hidden="0" customWidth="1"/>
    <x:col min="13" max="13" width="58" hidden="0" customWidth="1"/>
    <x:col min="14" max="14" width="100" hidden="0" customWidth="1"/>
    <x:col min="15" max="15" width="65" hidden="0" customWidth="1"/>
    <x:col min="16" max="16" width="68" hidden="0" customWidth="1"/>
    <x:col min="17" max="17" width="19" hidden="0" customWidth="1"/>
    <x:col min="18" max="18" width="16" hidden="0" customWidth="1"/>
    <x:col min="19" max="19" width="19" hidden="0" customWidth="1"/>
    <x:col min="20" max="20" width="19" hidden="0" customWidth="1"/>
    <x:col min="21" max="21" width="55" hidden="0" customWidth="1"/>
    <x:col min="22" max="22" width="48" hidden="0" customWidth="1"/>
    <x:col min="23" max="23" width="65" hidden="0" customWidth="1"/>
    <x:col min="24" max="24" width="65" hidden="0" customWidth="1"/>
    <x:col min="25" max="25" width="12" hidden="0" customWidth="1"/>
    <x:col min="26" max="26" width="70" hidden="0" customWidth="1"/>
    <x:col min="27" max="27" width="24" hidden="0" customWidth="1"/>
    <x:col min="28" max="28" width="19" hidden="0" customWidth="1"/>
  </x:cols>
  <x:sheetData>
    <x:row r="1" ht="9" customHeight="1">
      <x:c r="A1" s="2"/>
      <x:c r="B1" s="2"/>
      <x:c r="C1" s="2"/>
      <x:c r="D1" s="2"/>
      <x:c r="E1" s="2"/>
      <x:c r="F1" s="2"/>
      <x:c r="G1" s="2"/>
      <x:c r="H1" s="2"/>
      <x:c r="I1" s="2"/>
      <x:c r="J1" s="2"/>
      <x:c r="K1" s="2"/>
      <x:c r="L1" s="2"/>
      <x:c r="M1" s="2"/>
      <x:c r="N1" s="2"/>
      <x:c r="O1" s="2"/>
      <x:c r="P1" s="2"/>
      <x:c r="Q1" s="2"/>
      <x:c r="R1" s="2"/>
      <x:c r="S1" s="2"/>
      <x:c r="T1" s="2"/>
      <x:c r="U1" s="2"/>
      <x:c r="V1" s="2"/>
      <x:c r="W1" s="2"/>
      <x:c r="X1" s="2"/>
      <x:c r="Y1" s="2"/>
      <x:c r="Z1" s="2"/>
      <x:c r="AA1" s="2"/>
      <x:c r="AB1" s="2"/>
    </x:row>
    <x:row r="2" ht="22" customHeight="1">
      <x:c r="A2" s="3" t="str">
        <x:v>All building questions</x:v>
      </x:c>
      <x:c r="B2" s="2"/>
      <x:c r="C2" s="2"/>
      <x:c r="D2" s="2"/>
      <x:c r="E2" s="2"/>
      <x:c r="F2" s="2"/>
      <x:c r="G2" s="2"/>
      <x:c r="H2" s="2"/>
      <x:c r="I2" s="2"/>
      <x:c r="J2" s="2"/>
      <x:c r="K2" s="2"/>
      <x:c r="L2" s="2"/>
      <x:c r="M2" s="2"/>
      <x:c r="N2" s="2"/>
      <x:c r="O2" s="2"/>
      <x:c r="P2" s="2"/>
      <x:c r="Q2" s="2"/>
      <x:c r="R2" s="2"/>
      <x:c r="S2" s="2"/>
      <x:c r="T2" s="2"/>
      <x:c r="U2" s="2"/>
      <x:c r="V2" s="2"/>
      <x:c r="W2" s="2"/>
      <x:c r="X2" s="2"/>
      <x:c r="Y2" s="2"/>
      <x:c r="Z2" s="2"/>
      <x:c r="AA2" s="2"/>
      <x:c r="AB2" s="2"/>
    </x:row>
    <x:row r="3" ht="22" customHeight="1">
      <x:c r="A3" s="4"/>
      <x:c r="B3" s="4"/>
      <x:c r="C3" s="4"/>
      <x:c r="D3" s="4"/>
      <x:c r="E3" s="4"/>
      <x:c r="F3" s="4"/>
      <x:c r="G3" s="4"/>
      <x:c r="H3" s="4"/>
      <x:c r="I3" s="2"/>
      <x:c r="J3" s="2"/>
      <x:c r="K3" s="2"/>
      <x:c r="L3" s="2"/>
      <x:c r="M3" s="2"/>
      <x:c r="N3" s="2"/>
      <x:c r="O3" s="2"/>
      <x:c r="P3" s="2"/>
      <x:c r="Q3" s="2"/>
      <x:c r="R3" s="2"/>
      <x:c r="S3" s="2"/>
      <x:c r="T3" s="2"/>
      <x:c r="U3" s="2"/>
      <x:c r="V3" s="2"/>
      <x:c r="W3" s="2"/>
      <x:c r="X3" s="2"/>
      <x:c r="Y3" s="2"/>
      <x:c r="Z3" s="2"/>
      <x:c r="AA3" s="2"/>
      <x:c r="AB3" s="2"/>
    </x:row>
    <x:row r="4" ht="22" customHeight="1">
      <x:c r="A4" s="2"/>
      <x:c r="B4" s="2"/>
      <x:c r="C4" s="2"/>
      <x:c r="D4" s="2"/>
      <x:c r="E4" s="2"/>
      <x:c r="F4" s="2"/>
      <x:c r="G4" s="2"/>
      <x:c r="H4" s="2"/>
      <x:c r="I4" s="2"/>
      <x:c r="J4" s="2"/>
      <x:c r="K4" s="2"/>
      <x:c r="L4" s="2"/>
      <x:c r="M4" s="2"/>
      <x:c r="N4" s="2"/>
      <x:c r="O4" s="2"/>
      <x:c r="P4" s="2"/>
      <x:c r="Q4" s="2"/>
      <x:c r="R4" s="2"/>
      <x:c r="S4" s="2"/>
      <x:c r="T4" s="2"/>
      <x:c r="U4" s="2"/>
      <x:c r="V4" s="2"/>
      <x:c r="W4" s="2"/>
      <x:c r="X4" s="2"/>
      <x:c r="Y4" s="2"/>
      <x:c r="Z4" s="2"/>
      <x:c r="AA4" s="2"/>
      <x:c r="AB4" s="2"/>
    </x:row>
    <x:row r="5" ht="34" customHeight="1">
      <x:c r="A5" s="11" t="str">
        <x:v>No.</x:v>
      </x:c>
      <x:c r="B5" s="12" t="str">
        <x:v>Question kind</x:v>
      </x:c>
      <x:c r="C5" s="12" t="str">
        <x:v>Question (verbatim)</x:v>
      </x:c>
      <x:c r="D5" s="12" t="str">
        <x:v>Reference answer</x:v>
      </x:c>
      <x:c r="E5" s="12" t="str">
        <x:v>Answer status</x:v>
      </x:c>
      <x:c r="F5" s="12" t="str">
        <x:v>Split</x:v>
      </x:c>
      <x:c r="G5" s="12" t="str">
        <x:v>Building ID</x:v>
      </x:c>
      <x:c r="H5" s="12" t="str">
        <x:v>Question ID</x:v>
      </x:c>
      <x:c r="I5" s="12" t="str">
        <x:v>Cluster</x:v>
      </x:c>
      <x:c r="J5" s="12" t="str">
        <x:v>Question set</x:v>
      </x:c>
      <x:c r="K5" s="12" t="str">
        <x:v>Expected output</x:v>
      </x:c>
      <x:c r="L5" s="12" t="str">
        <x:v>Proposed tool IDs</x:v>
      </x:c>
      <x:c r="M5" s="12" t="str">
        <x:v>Required skill</x:v>
      </x:c>
      <x:c r="N5" s="12" t="str">
        <x:v>Answer JSON</x:v>
      </x:c>
      <x:c r="O5" s="12" t="str">
        <x:v>Inputs JSON (source)</x:v>
      </x:c>
      <x:c r="P5" s="12" t="str">
        <x:v>Constraints and scope</x:v>
      </x:c>
      <x:c r="Q5" s="12" t="str">
        <x:v>Numeric reference</x:v>
      </x:c>
      <x:c r="R5" s="12" t="str">
        <x:v>Reference unit</x:v>
      </x:c>
      <x:c r="S5" s="12" t="str">
        <x:v>Relative tolerance</x:v>
      </x:c>
      <x:c r="T5" s="12" t="str">
        <x:v>Absolute tolerance</x:v>
      </x:c>
      <x:c r="U5" s="12" t="str">
        <x:v>Reference reply (benchmark)</x:v>
      </x:c>
      <x:c r="V5" s="12" t="str">
        <x:v>Source skill label</x:v>
      </x:c>
      <x:c r="W5" s="12" t="str">
        <x:v>Starter support / gap</x:v>
      </x:c>
      <x:c r="X5" s="12" t="str">
        <x:v>Source file</x:v>
      </x:c>
      <x:c r="Y5" s="12" t="str">
        <x:v>Source line</x:v>
      </x:c>
      <x:c r="Z5" s="12" t="str">
        <x:v>Source URL</x:v>
      </x:c>
      <x:c r="AA5" s="12" t="str">
        <x:v>Building source</x:v>
      </x:c>
      <x:c r="AB5" s="13" t="str">
        <x:v>Building license</x:v>
      </x:c>
    </x:row>
    <x:row r="6" ht="72" customHeight="1">
      <x:c r="A6" s="14" t="n">
        <x:v>1</x:v>
      </x:c>
      <x:c r="B6" s="6" t="str">
        <x:v>locate</x:v>
      </x:c>
      <x:c r="C6" s="6" t="str">
        <x:v>Where is the projector screen?</x:v>
      </x:c>
      <x:c r="D6" s="6" t="str">
        <x:v>Lecture hall 0120
Floor level: 0
Asset ID: osm-way10053349-A00176
Position (m): 20.652, 33.787</x:v>
      </x:c>
      <x:c r="E6" s="6" t="str">
        <x:v>Reference supplied</x:v>
      </x:c>
      <x:c r="F6" s="6" t="str">
        <x:v>train</x:v>
      </x:c>
      <x:c r="G6" s="6" t="str">
        <x:v>osm-way10053349</x:v>
      </x:c>
      <x:c r="H6" s="6" t="str">
        <x:v>osm-way10053349-Q01</x:v>
      </x:c>
      <x:c r="I6" s="6" t="str">
        <x:v>Find and count assets</x:v>
      </x:c>
      <x:c r="J6" s="6" t="str">
        <x:v>Warm-up</x:v>
      </x:c>
      <x:c r="K6" s="6" t="str">
        <x:v>Room name, floor and asset identity. Coordinates may help the UI.</x:v>
      </x:c>
      <x:c r="L6" s="6" t="str">
        <x:v>T02, T03</x:v>
      </x:c>
      <x:c r="M6" s="6" t="str">
        <x:v>Find a named item and identify its containing room and floor.</x:v>
      </x:c>
      <x:c r="N6" s="6" t="str">
        <x:v>{"asset_id":"osm-way10053349-A00176","space_id":"osm-way10053349-F0-S051","space_name":"Lecture hall 0120","floor_level":0,"position":[20.652,33.787]}</x:v>
      </x:c>
      <x:c r="O6" s="6"/>
      <x:c r="P6" s="6" t="str">
        <x:v>Resolve the intended asset and its containing room/floor.</x:v>
      </x:c>
      <x:c r="Q6" s="15"/>
      <x:c r="R6" s="6"/>
      <x:c r="S6" s="16"/>
      <x:c r="T6" s="15"/>
      <x:c r="U6" s="6"/>
      <x:c r="V6" s="6"/>
      <x:c r="W6" s="6" t="str">
        <x:v>Existing search_building. Improve disambiguation and complete result pagination.</x:v>
      </x:c>
      <x:c r="X6" s="6" t="str">
        <x:v>data/train/osm-way10053349/questions_basic.jsonl</x:v>
      </x:c>
      <x:c r="Y6" s="14" t="n">
        <x:v>1</x:v>
      </x:c>
      <x:c r="Z6" s="6" t="str">
        <x:v>https://github.com/hagenhaeussler/Industrial-Agents-Hackathon-2026/blob/f41616590b69f3ea0c1cbfb41d6c35edd9ce53df/data/train/osm-way10053349/questions_basic.jsonl#L1</x:v>
      </x:c>
      <x:c r="AA6" s="6" t="str">
        <x:v>osm_indoor</x:v>
      </x:c>
      <x:c r="AB6" s="6" t="str">
        <x:v>ODbL-1.0</x:v>
      </x:c>
    </x:row>
    <x:row r="7" ht="72" customHeight="1">
      <x:c r="A7" s="14" t="n">
        <x:v>2</x:v>
      </x:c>
      <x:c r="B7" s="6" t="str">
        <x:v>locate</x:v>
      </x:c>
      <x:c r="C7" s="6" t="str">
        <x:v>Where is the lectern?</x:v>
      </x:c>
      <x:c r="D7" s="6" t="str">
        <x:v>Lecture hall 0120
Floor level: 0
Asset ID: osm-way10053349-A00163
Position (m): 21.336, 37.217</x:v>
      </x:c>
      <x:c r="E7" s="6" t="str">
        <x:v>Reference supplied</x:v>
      </x:c>
      <x:c r="F7" s="6" t="str">
        <x:v>train</x:v>
      </x:c>
      <x:c r="G7" s="6" t="str">
        <x:v>osm-way10053349</x:v>
      </x:c>
      <x:c r="H7" s="6" t="str">
        <x:v>osm-way10053349-Q02</x:v>
      </x:c>
      <x:c r="I7" s="6" t="str">
        <x:v>Find and count assets</x:v>
      </x:c>
      <x:c r="J7" s="6" t="str">
        <x:v>Warm-up</x:v>
      </x:c>
      <x:c r="K7" s="6" t="str">
        <x:v>Room name, floor and asset identity. Coordinates may help the UI.</x:v>
      </x:c>
      <x:c r="L7" s="6" t="str">
        <x:v>T02, T03</x:v>
      </x:c>
      <x:c r="M7" s="6" t="str">
        <x:v>Find a named item and identify its containing room and floor.</x:v>
      </x:c>
      <x:c r="N7" s="6" t="str">
        <x:v>{"asset_id":"osm-way10053349-A00163","space_id":"osm-way10053349-F0-S051","space_name":"Lecture hall 0120","floor_level":0,"position":[21.336,37.217]}</x:v>
      </x:c>
      <x:c r="O7" s="6"/>
      <x:c r="P7" s="6" t="str">
        <x:v>Resolve the intended asset and its containing room/floor.</x:v>
      </x:c>
      <x:c r="Q7" s="15"/>
      <x:c r="R7" s="6"/>
      <x:c r="S7" s="16"/>
      <x:c r="T7" s="15"/>
      <x:c r="U7" s="6"/>
      <x:c r="V7" s="6"/>
      <x:c r="W7" s="6" t="str">
        <x:v>Existing search_building. Improve disambiguation and complete result pagination.</x:v>
      </x:c>
      <x:c r="X7" s="6" t="str">
        <x:v>data/train/osm-way10053349/questions_basic.jsonl</x:v>
      </x:c>
      <x:c r="Y7" s="14" t="n">
        <x:v>2</x:v>
      </x:c>
      <x:c r="Z7" s="6" t="str">
        <x:v>https://github.com/hagenhaeussler/Industrial-Agents-Hackathon-2026/blob/f41616590b69f3ea0c1cbfb41d6c35edd9ce53df/data/train/osm-way10053349/questions_basic.jsonl#L2</x:v>
      </x:c>
      <x:c r="AA7" s="6" t="str">
        <x:v>osm_indoor</x:v>
      </x:c>
      <x:c r="AB7" s="6" t="str">
        <x:v>ODbL-1.0</x:v>
      </x:c>
    </x:row>
    <x:row r="8" ht="72" customHeight="1">
      <x:c r="A8" s="14" t="n">
        <x:v>3</x:v>
      </x:c>
      <x:c r="B8" s="6" t="str">
        <x:v>locate</x:v>
      </x:c>
      <x:c r="C8" s="6" t="str">
        <x:v>Where is the water dispenser?</x:v>
      </x:c>
      <x:c r="D8" s="6" t="str">
        <x:v>Cafe
Floor level: 0
Asset ID: osm-way13507441-A00121
Position (m): -24.523, -11.672</x:v>
      </x:c>
      <x:c r="E8" s="6" t="str">
        <x:v>Reference supplied</x:v>
      </x:c>
      <x:c r="F8" s="6" t="str">
        <x:v>train</x:v>
      </x:c>
      <x:c r="G8" s="6" t="str">
        <x:v>osm-way13507441</x:v>
      </x:c>
      <x:c r="H8" s="6" t="str">
        <x:v>osm-way13507441-Q01</x:v>
      </x:c>
      <x:c r="I8" s="6" t="str">
        <x:v>Find and count assets</x:v>
      </x:c>
      <x:c r="J8" s="6" t="str">
        <x:v>Warm-up</x:v>
      </x:c>
      <x:c r="K8" s="6" t="str">
        <x:v>Room name, floor and asset identity. Coordinates may help the UI.</x:v>
      </x:c>
      <x:c r="L8" s="6" t="str">
        <x:v>T02, T03</x:v>
      </x:c>
      <x:c r="M8" s="6" t="str">
        <x:v>Find a named item and identify its containing room and floor.</x:v>
      </x:c>
      <x:c r="N8" s="6" t="str">
        <x:v>{"asset_id":"osm-way13507441-A00121","space_id":"osm-way13507441-F0-S015","space_name":"Cafe","floor_level":0,"position":[-24.523,-11.672]}</x:v>
      </x:c>
      <x:c r="O8" s="6"/>
      <x:c r="P8" s="6" t="str">
        <x:v>Resolve the intended asset and its containing room/floor.</x:v>
      </x:c>
      <x:c r="Q8" s="15"/>
      <x:c r="R8" s="6"/>
      <x:c r="S8" s="16"/>
      <x:c r="T8" s="15"/>
      <x:c r="U8" s="6"/>
      <x:c r="V8" s="6"/>
      <x:c r="W8" s="6" t="str">
        <x:v>Existing search_building. Improve disambiguation and complete result pagination.</x:v>
      </x:c>
      <x:c r="X8" s="6" t="str">
        <x:v>data/train/osm-way13507441/questions_basic.jsonl</x:v>
      </x:c>
      <x:c r="Y8" s="14" t="n">
        <x:v>1</x:v>
      </x:c>
      <x:c r="Z8" s="6" t="str">
        <x:v>https://github.com/hagenhaeussler/Industrial-Agents-Hackathon-2026/blob/f41616590b69f3ea0c1cbfb41d6c35edd9ce53df/data/train/osm-way13507441/questions_basic.jsonl#L1</x:v>
      </x:c>
      <x:c r="AA8" s="6" t="str">
        <x:v>osm_indoor</x:v>
      </x:c>
      <x:c r="AB8" s="6" t="str">
        <x:v>ODbL-1.0</x:v>
      </x:c>
    </x:row>
    <x:row r="9" ht="72" customHeight="1">
      <x:c r="A9" s="14" t="n">
        <x:v>4</x:v>
      </x:c>
      <x:c r="B9" s="6" t="str">
        <x:v>locate</x:v>
      </x:c>
      <x:c r="C9" s="6" t="str">
        <x:v>Where is the whiteboard?</x:v>
      </x:c>
      <x:c r="D9" s="6" t="str">
        <x:v>Ratssaal
Floor level: 1
Asset ID: osm-way13507441-A00084
Position (m): -29.659, -0.442</x:v>
      </x:c>
      <x:c r="E9" s="6" t="str">
        <x:v>Reference supplied</x:v>
      </x:c>
      <x:c r="F9" s="6" t="str">
        <x:v>train</x:v>
      </x:c>
      <x:c r="G9" s="6" t="str">
        <x:v>osm-way13507441</x:v>
      </x:c>
      <x:c r="H9" s="6" t="str">
        <x:v>osm-way13507441-Q02</x:v>
      </x:c>
      <x:c r="I9" s="6" t="str">
        <x:v>Find and count assets</x:v>
      </x:c>
      <x:c r="J9" s="6" t="str">
        <x:v>Warm-up</x:v>
      </x:c>
      <x:c r="K9" s="6" t="str">
        <x:v>Room name, floor and asset identity. Coordinates may help the UI.</x:v>
      </x:c>
      <x:c r="L9" s="6" t="str">
        <x:v>T02, T03</x:v>
      </x:c>
      <x:c r="M9" s="6" t="str">
        <x:v>Find a named item and identify its containing room and floor.</x:v>
      </x:c>
      <x:c r="N9" s="6" t="str">
        <x:v>{"asset_id":"osm-way13507441-A00084","space_id":"osm-way13507441-F1-S013","space_name":"Ratssaal","floor_level":1,"position":[-29.659,-0.442]}</x:v>
      </x:c>
      <x:c r="O9" s="6"/>
      <x:c r="P9" s="6" t="str">
        <x:v>Resolve the intended asset and its containing room/floor.</x:v>
      </x:c>
      <x:c r="Q9" s="15"/>
      <x:c r="R9" s="6"/>
      <x:c r="S9" s="16"/>
      <x:c r="T9" s="15"/>
      <x:c r="U9" s="6"/>
      <x:c r="V9" s="6"/>
      <x:c r="W9" s="6" t="str">
        <x:v>Existing search_building. Improve disambiguation and complete result pagination.</x:v>
      </x:c>
      <x:c r="X9" s="6" t="str">
        <x:v>data/train/osm-way13507441/questions_basic.jsonl</x:v>
      </x:c>
      <x:c r="Y9" s="14" t="n">
        <x:v>2</x:v>
      </x:c>
      <x:c r="Z9" s="6" t="str">
        <x:v>https://github.com/hagenhaeussler/Industrial-Agents-Hackathon-2026/blob/f41616590b69f3ea0c1cbfb41d6c35edd9ce53df/data/train/osm-way13507441/questions_basic.jsonl#L2</x:v>
      </x:c>
      <x:c r="AA9" s="6" t="str">
        <x:v>osm_indoor</x:v>
      </x:c>
      <x:c r="AB9" s="6" t="str">
        <x:v>ODbL-1.0</x:v>
      </x:c>
    </x:row>
    <x:row r="10" ht="72" customHeight="1">
      <x:c r="A10" s="14" t="n">
        <x:v>5</x:v>
      </x:c>
      <x:c r="B10" s="6" t="str">
        <x:v>locate</x:v>
      </x:c>
      <x:c r="C10" s="6" t="str">
        <x:v>Where is the serving counter?</x:v>
      </x:c>
      <x:c r="D10" s="6" t="str">
        <x:v>Cafe
Floor level: 0
Asset ID: osm-way13507441-A00102
Position (m): -20.865, -15.236</x:v>
      </x:c>
      <x:c r="E10" s="6" t="str">
        <x:v>Reference supplied</x:v>
      </x:c>
      <x:c r="F10" s="6" t="str">
        <x:v>train</x:v>
      </x:c>
      <x:c r="G10" s="6" t="str">
        <x:v>osm-way13507441</x:v>
      </x:c>
      <x:c r="H10" s="6" t="str">
        <x:v>osm-way13507441-Q03</x:v>
      </x:c>
      <x:c r="I10" s="6" t="str">
        <x:v>Find and count assets</x:v>
      </x:c>
      <x:c r="J10" s="6" t="str">
        <x:v>Warm-up</x:v>
      </x:c>
      <x:c r="K10" s="6" t="str">
        <x:v>Room name, floor and asset identity. Coordinates may help the UI.</x:v>
      </x:c>
      <x:c r="L10" s="6" t="str">
        <x:v>T02, T03</x:v>
      </x:c>
      <x:c r="M10" s="6" t="str">
        <x:v>Find a named item and identify its containing room and floor.</x:v>
      </x:c>
      <x:c r="N10" s="6" t="str">
        <x:v>{"asset_id":"osm-way13507441-A00102","space_id":"osm-way13507441-F0-S015","space_name":"Cafe","floor_level":0,"position":[-20.865,-15.236]}</x:v>
      </x:c>
      <x:c r="O10" s="6"/>
      <x:c r="P10" s="6" t="str">
        <x:v>Resolve the intended asset and its containing room/floor.</x:v>
      </x:c>
      <x:c r="Q10" s="15"/>
      <x:c r="R10" s="6"/>
      <x:c r="S10" s="16"/>
      <x:c r="T10" s="15"/>
      <x:c r="U10" s="6"/>
      <x:c r="V10" s="6"/>
      <x:c r="W10" s="6" t="str">
        <x:v>Existing search_building. Improve disambiguation and complete result pagination.</x:v>
      </x:c>
      <x:c r="X10" s="6" t="str">
        <x:v>data/train/osm-way13507441/questions_basic.jsonl</x:v>
      </x:c>
      <x:c r="Y10" s="14" t="n">
        <x:v>3</x:v>
      </x:c>
      <x:c r="Z10" s="6" t="str">
        <x:v>https://github.com/hagenhaeussler/Industrial-Agents-Hackathon-2026/blob/f41616590b69f3ea0c1cbfb41d6c35edd9ce53df/data/train/osm-way13507441/questions_basic.jsonl#L3</x:v>
      </x:c>
      <x:c r="AA10" s="6" t="str">
        <x:v>osm_indoor</x:v>
      </x:c>
      <x:c r="AB10" s="6" t="str">
        <x:v>ODbL-1.0</x:v>
      </x:c>
    </x:row>
    <x:row r="11" ht="72" customHeight="1">
      <x:c r="A11" s="14" t="n">
        <x:v>6</x:v>
      </x:c>
      <x:c r="B11" s="6" t="str">
        <x:v>locate</x:v>
      </x:c>
      <x:c r="C11" s="6" t="str">
        <x:v>Where is the coat rack?</x:v>
      </x:c>
      <x:c r="D11" s="6" t="str">
        <x:v>Corridor 0.30
Floor level: 0
Asset ID: osm-way19183732-A00040
Position (m): 5.505, 13.425</x:v>
      </x:c>
      <x:c r="E11" s="6" t="str">
        <x:v>Reference supplied</x:v>
      </x:c>
      <x:c r="F11" s="6" t="str">
        <x:v>train</x:v>
      </x:c>
      <x:c r="G11" s="6" t="str">
        <x:v>osm-way19183732</x:v>
      </x:c>
      <x:c r="H11" s="6" t="str">
        <x:v>osm-way19183732-Q01</x:v>
      </x:c>
      <x:c r="I11" s="6" t="str">
        <x:v>Find and count assets</x:v>
      </x:c>
      <x:c r="J11" s="6" t="str">
        <x:v>Warm-up</x:v>
      </x:c>
      <x:c r="K11" s="6" t="str">
        <x:v>Room name, floor and asset identity. Coordinates may help the UI.</x:v>
      </x:c>
      <x:c r="L11" s="6" t="str">
        <x:v>T02, T03</x:v>
      </x:c>
      <x:c r="M11" s="6" t="str">
        <x:v>Find a named item and identify its containing room and floor.</x:v>
      </x:c>
      <x:c r="N11" s="6" t="str">
        <x:v>{"asset_id":"osm-way19183732-A00040","space_id":"osm-way19183732-F0-S030","space_name":"Corridor 0.30","floor_level":0,"position":[5.505,13.425]}</x:v>
      </x:c>
      <x:c r="O11" s="6"/>
      <x:c r="P11" s="6" t="str">
        <x:v>Resolve the intended asset and its containing room/floor.</x:v>
      </x:c>
      <x:c r="Q11" s="15"/>
      <x:c r="R11" s="6"/>
      <x:c r="S11" s="16"/>
      <x:c r="T11" s="15"/>
      <x:c r="U11" s="6"/>
      <x:c r="V11" s="6"/>
      <x:c r="W11" s="6" t="str">
        <x:v>Existing search_building. Improve disambiguation and complete result pagination.</x:v>
      </x:c>
      <x:c r="X11" s="6" t="str">
        <x:v>data/train/osm-way19183732/questions_basic.jsonl</x:v>
      </x:c>
      <x:c r="Y11" s="14" t="n">
        <x:v>1</x:v>
      </x:c>
      <x:c r="Z11" s="6" t="str">
        <x:v>https://github.com/hagenhaeussler/Industrial-Agents-Hackathon-2026/blob/f41616590b69f3ea0c1cbfb41d6c35edd9ce53df/data/train/osm-way19183732/questions_basic.jsonl#L1</x:v>
      </x:c>
      <x:c r="AA11" s="6" t="str">
        <x:v>osm_indoor</x:v>
      </x:c>
      <x:c r="AB11" s="6" t="str">
        <x:v>ODbL-1.0</x:v>
      </x:c>
    </x:row>
    <x:row r="12" ht="72" customHeight="1">
      <x:c r="A12" s="14" t="n">
        <x:v>7</x:v>
      </x:c>
      <x:c r="B12" s="6" t="str">
        <x:v>locate</x:v>
      </x:c>
      <x:c r="C12" s="6" t="str">
        <x:v>Where is the water dispenser?</x:v>
      </x:c>
      <x:c r="D12" s="6" t="str">
        <x:v>StuLounge Arcisstraße
Floor level: 0
Asset ID: osm-way19183732-A00207
Position (m): -19.412, -1.881</x:v>
      </x:c>
      <x:c r="E12" s="6" t="str">
        <x:v>Reference supplied</x:v>
      </x:c>
      <x:c r="F12" s="6" t="str">
        <x:v>train</x:v>
      </x:c>
      <x:c r="G12" s="6" t="str">
        <x:v>osm-way19183732</x:v>
      </x:c>
      <x:c r="H12" s="6" t="str">
        <x:v>osm-way19183732-Q02</x:v>
      </x:c>
      <x:c r="I12" s="6" t="str">
        <x:v>Find and count assets</x:v>
      </x:c>
      <x:c r="J12" s="6" t="str">
        <x:v>Warm-up</x:v>
      </x:c>
      <x:c r="K12" s="6" t="str">
        <x:v>Room name, floor and asset identity. Coordinates may help the UI.</x:v>
      </x:c>
      <x:c r="L12" s="6" t="str">
        <x:v>T02, T03</x:v>
      </x:c>
      <x:c r="M12" s="6" t="str">
        <x:v>Find a named item and identify its containing room and floor.</x:v>
      </x:c>
      <x:c r="N12" s="6" t="str">
        <x:v>{"asset_id":"osm-way19183732-A00207","space_id":"osm-way19183732-F0-S068","space_name":"StuLounge Arcisstraße","floor_level":0,"position":[-19.412,-1.881]}</x:v>
      </x:c>
      <x:c r="O12" s="6"/>
      <x:c r="P12" s="6" t="str">
        <x:v>Resolve the intended asset and its containing room/floor.</x:v>
      </x:c>
      <x:c r="Q12" s="15"/>
      <x:c r="R12" s="6"/>
      <x:c r="S12" s="16"/>
      <x:c r="T12" s="15"/>
      <x:c r="U12" s="6"/>
      <x:c r="V12" s="6"/>
      <x:c r="W12" s="6" t="str">
        <x:v>Existing search_building. Improve disambiguation and complete result pagination.</x:v>
      </x:c>
      <x:c r="X12" s="6" t="str">
        <x:v>data/train/osm-way19183732/questions_basic.jsonl</x:v>
      </x:c>
      <x:c r="Y12" s="14" t="n">
        <x:v>2</x:v>
      </x:c>
      <x:c r="Z12" s="6" t="str">
        <x:v>https://github.com/hagenhaeussler/Industrial-Agents-Hackathon-2026/blob/f41616590b69f3ea0c1cbfb41d6c35edd9ce53df/data/train/osm-way19183732/questions_basic.jsonl#L2</x:v>
      </x:c>
      <x:c r="AA12" s="6" t="str">
        <x:v>osm_indoor</x:v>
      </x:c>
      <x:c r="AB12" s="6" t="str">
        <x:v>ODbL-1.0</x:v>
      </x:c>
    </x:row>
    <x:row r="13" ht="72" customHeight="1">
      <x:c r="A13" s="14" t="n">
        <x:v>8</x:v>
      </x:c>
      <x:c r="B13" s="6" t="str">
        <x:v>locate</x:v>
      </x:c>
      <x:c r="C13" s="6" t="str">
        <x:v>Where is the serving counter?</x:v>
      </x:c>
      <x:c r="D13" s="6" t="str">
        <x:v>StuLounge Arcisstraße
Floor level: 0
Asset ID: osm-way19183732-A00149
Position (m): -41.826, -0.728</x:v>
      </x:c>
      <x:c r="E13" s="6" t="str">
        <x:v>Reference supplied</x:v>
      </x:c>
      <x:c r="F13" s="6" t="str">
        <x:v>train</x:v>
      </x:c>
      <x:c r="G13" s="6" t="str">
        <x:v>osm-way19183732</x:v>
      </x:c>
      <x:c r="H13" s="6" t="str">
        <x:v>osm-way19183732-Q03</x:v>
      </x:c>
      <x:c r="I13" s="6" t="str">
        <x:v>Find and count assets</x:v>
      </x:c>
      <x:c r="J13" s="6" t="str">
        <x:v>Warm-up</x:v>
      </x:c>
      <x:c r="K13" s="6" t="str">
        <x:v>Room name, floor and asset identity. Coordinates may help the UI.</x:v>
      </x:c>
      <x:c r="L13" s="6" t="str">
        <x:v>T02, T03</x:v>
      </x:c>
      <x:c r="M13" s="6" t="str">
        <x:v>Find a named item and identify its containing room and floor.</x:v>
      </x:c>
      <x:c r="N13" s="6" t="str">
        <x:v>{"asset_id":"osm-way19183732-A00149","space_id":"osm-way19183732-F0-S068","space_name":"StuLounge Arcisstraße","floor_level":0,"position":[-41.826,-0.728]}</x:v>
      </x:c>
      <x:c r="O13" s="6"/>
      <x:c r="P13" s="6" t="str">
        <x:v>Resolve the intended asset and its containing room/floor.</x:v>
      </x:c>
      <x:c r="Q13" s="15"/>
      <x:c r="R13" s="6"/>
      <x:c r="S13" s="16"/>
      <x:c r="T13" s="15"/>
      <x:c r="U13" s="6"/>
      <x:c r="V13" s="6"/>
      <x:c r="W13" s="6" t="str">
        <x:v>Existing search_building. Improve disambiguation and complete result pagination.</x:v>
      </x:c>
      <x:c r="X13" s="6" t="str">
        <x:v>data/train/osm-way19183732/questions_basic.jsonl</x:v>
      </x:c>
      <x:c r="Y13" s="14" t="n">
        <x:v>3</x:v>
      </x:c>
      <x:c r="Z13" s="6" t="str">
        <x:v>https://github.com/hagenhaeussler/Industrial-Agents-Hackathon-2026/blob/f41616590b69f3ea0c1cbfb41d6c35edd9ce53df/data/train/osm-way19183732/questions_basic.jsonl#L3</x:v>
      </x:c>
      <x:c r="AA13" s="6" t="str">
        <x:v>osm_indoor</x:v>
      </x:c>
      <x:c r="AB13" s="6" t="str">
        <x:v>ODbL-1.0</x:v>
      </x:c>
    </x:row>
    <x:row r="14" ht="72" customHeight="1">
      <x:c r="A14" s="14" t="n">
        <x:v>9</x:v>
      </x:c>
      <x:c r="B14" s="6" t="str">
        <x:v>locate</x:v>
      </x:c>
      <x:c r="C14" s="6" t="str">
        <x:v>Where is the whiteboard?</x:v>
      </x:c>
      <x:c r="D14" s="6" t="str">
        <x:v>Besprechung
Floor level: 1
Asset ID: osm-way37850565-A00103
Position (m): -10.059, 3.523</x:v>
      </x:c>
      <x:c r="E14" s="6" t="str">
        <x:v>Reference supplied</x:v>
      </x:c>
      <x:c r="F14" s="6" t="str">
        <x:v>train</x:v>
      </x:c>
      <x:c r="G14" s="6" t="str">
        <x:v>osm-way37850565</x:v>
      </x:c>
      <x:c r="H14" s="6" t="str">
        <x:v>osm-way37850565-Q01</x:v>
      </x:c>
      <x:c r="I14" s="6" t="str">
        <x:v>Find and count assets</x:v>
      </x:c>
      <x:c r="J14" s="6" t="str">
        <x:v>Warm-up</x:v>
      </x:c>
      <x:c r="K14" s="6" t="str">
        <x:v>Room name, floor and asset identity. Coordinates may help the UI.</x:v>
      </x:c>
      <x:c r="L14" s="6" t="str">
        <x:v>T02, T03</x:v>
      </x:c>
      <x:c r="M14" s="6" t="str">
        <x:v>Find a named item and identify its containing room and floor.</x:v>
      </x:c>
      <x:c r="N14" s="6" t="str">
        <x:v>{"asset_id":"osm-way37850565-A00103","space_id":"osm-way37850565-F1-S011","space_name":"Besprechung","floor_level":1,"position":[-10.059,3.523]}</x:v>
      </x:c>
      <x:c r="O14" s="6"/>
      <x:c r="P14" s="6" t="str">
        <x:v>Resolve the intended asset and its containing room/floor.</x:v>
      </x:c>
      <x:c r="Q14" s="15"/>
      <x:c r="R14" s="6"/>
      <x:c r="S14" s="16"/>
      <x:c r="T14" s="15"/>
      <x:c r="U14" s="6"/>
      <x:c r="V14" s="6"/>
      <x:c r="W14" s="6" t="str">
        <x:v>Existing search_building. Improve disambiguation and complete result pagination.</x:v>
      </x:c>
      <x:c r="X14" s="6" t="str">
        <x:v>data/train/osm-way37850565/questions_basic.jsonl</x:v>
      </x:c>
      <x:c r="Y14" s="14" t="n">
        <x:v>1</x:v>
      </x:c>
      <x:c r="Z14" s="6" t="str">
        <x:v>https://github.com/hagenhaeussler/Industrial-Agents-Hackathon-2026/blob/f41616590b69f3ea0c1cbfb41d6c35edd9ce53df/data/train/osm-way37850565/questions_basic.jsonl#L1</x:v>
      </x:c>
      <x:c r="AA14" s="6" t="str">
        <x:v>osm_indoor</x:v>
      </x:c>
      <x:c r="AB14" s="6" t="str">
        <x:v>ODbL-1.0</x:v>
      </x:c>
    </x:row>
    <x:row r="15" ht="72" customHeight="1">
      <x:c r="A15" s="14" t="n">
        <x:v>10</x:v>
      </x:c>
      <x:c r="B15" s="6" t="str">
        <x:v>locate</x:v>
      </x:c>
      <x:c r="C15" s="6" t="str">
        <x:v>Where is the reception desk?</x:v>
      </x:c>
      <x:c r="D15" s="6" t="str">
        <x:v>Foyer
Floor level: 2
Asset ID: osm-way37850565-A00007
Position (m): 12.799, 4.81</x:v>
      </x:c>
      <x:c r="E15" s="6" t="str">
        <x:v>Reference supplied</x:v>
      </x:c>
      <x:c r="F15" s="6" t="str">
        <x:v>train</x:v>
      </x:c>
      <x:c r="G15" s="6" t="str">
        <x:v>osm-way37850565</x:v>
      </x:c>
      <x:c r="H15" s="6" t="str">
        <x:v>osm-way37850565-Q02</x:v>
      </x:c>
      <x:c r="I15" s="6" t="str">
        <x:v>Find and count assets</x:v>
      </x:c>
      <x:c r="J15" s="6" t="str">
        <x:v>Warm-up</x:v>
      </x:c>
      <x:c r="K15" s="6" t="str">
        <x:v>Room name, floor and asset identity. Coordinates may help the UI.</x:v>
      </x:c>
      <x:c r="L15" s="6" t="str">
        <x:v>T02, T03</x:v>
      </x:c>
      <x:c r="M15" s="6" t="str">
        <x:v>Find a named item and identify its containing room and floor.</x:v>
      </x:c>
      <x:c r="N15" s="6" t="str">
        <x:v>{"asset_id":"osm-way37850565-A00007","space_id":"osm-way37850565-F2-S002","space_name":"Foyer","floor_level":2,"position":[12.799,4.81]}</x:v>
      </x:c>
      <x:c r="O15" s="6"/>
      <x:c r="P15" s="6" t="str">
        <x:v>Resolve the intended asset and its containing room/floor.</x:v>
      </x:c>
      <x:c r="Q15" s="15"/>
      <x:c r="R15" s="6"/>
      <x:c r="S15" s="16"/>
      <x:c r="T15" s="15"/>
      <x:c r="U15" s="6"/>
      <x:c r="V15" s="6"/>
      <x:c r="W15" s="6" t="str">
        <x:v>Existing search_building. Improve disambiguation and complete result pagination.</x:v>
      </x:c>
      <x:c r="X15" s="6" t="str">
        <x:v>data/train/osm-way37850565/questions_basic.jsonl</x:v>
      </x:c>
      <x:c r="Y15" s="14" t="n">
        <x:v>2</x:v>
      </x:c>
      <x:c r="Z15" s="6" t="str">
        <x:v>https://github.com/hagenhaeussler/Industrial-Agents-Hackathon-2026/blob/f41616590b69f3ea0c1cbfb41d6c35edd9ce53df/data/train/osm-way37850565/questions_basic.jsonl#L2</x:v>
      </x:c>
      <x:c r="AA15" s="6" t="str">
        <x:v>osm_indoor</x:v>
      </x:c>
      <x:c r="AB15" s="6" t="str">
        <x:v>ODbL-1.0</x:v>
      </x:c>
    </x:row>
    <x:row r="16" ht="72" customHeight="1">
      <x:c r="A16" s="14" t="n">
        <x:v>11</x:v>
      </x:c>
      <x:c r="B16" s="6" t="str">
        <x:v>locate</x:v>
      </x:c>
      <x:c r="C16" s="6" t="str">
        <x:v>Where is the display screen?</x:v>
      </x:c>
      <x:c r="D16" s="6" t="str">
        <x:v>Besprechung
Floor level: 1
Asset ID: osm-way37850565-A00102
Position (m): -5.855, 5.495</x:v>
      </x:c>
      <x:c r="E16" s="6" t="str">
        <x:v>Reference supplied</x:v>
      </x:c>
      <x:c r="F16" s="6" t="str">
        <x:v>train</x:v>
      </x:c>
      <x:c r="G16" s="6" t="str">
        <x:v>osm-way37850565</x:v>
      </x:c>
      <x:c r="H16" s="6" t="str">
        <x:v>osm-way37850565-Q03</x:v>
      </x:c>
      <x:c r="I16" s="6" t="str">
        <x:v>Find and count assets</x:v>
      </x:c>
      <x:c r="J16" s="6" t="str">
        <x:v>Warm-up</x:v>
      </x:c>
      <x:c r="K16" s="6" t="str">
        <x:v>Room name, floor and asset identity. Coordinates may help the UI.</x:v>
      </x:c>
      <x:c r="L16" s="6" t="str">
        <x:v>T02, T03</x:v>
      </x:c>
      <x:c r="M16" s="6" t="str">
        <x:v>Find a named item and identify its containing room and floor.</x:v>
      </x:c>
      <x:c r="N16" s="6" t="str">
        <x:v>{"asset_id":"osm-way37850565-A00102","space_id":"osm-way37850565-F1-S011","space_name":"Besprechung","floor_level":1,"position":[-5.855,5.495]}</x:v>
      </x:c>
      <x:c r="O16" s="6"/>
      <x:c r="P16" s="6" t="str">
        <x:v>Resolve the intended asset and its containing room/floor.</x:v>
      </x:c>
      <x:c r="Q16" s="15"/>
      <x:c r="R16" s="6"/>
      <x:c r="S16" s="16"/>
      <x:c r="T16" s="15"/>
      <x:c r="U16" s="6"/>
      <x:c r="V16" s="6"/>
      <x:c r="W16" s="6" t="str">
        <x:v>Existing search_building. Improve disambiguation and complete result pagination.</x:v>
      </x:c>
      <x:c r="X16" s="6" t="str">
        <x:v>data/train/osm-way37850565/questions_basic.jsonl</x:v>
      </x:c>
      <x:c r="Y16" s="14" t="n">
        <x:v>3</x:v>
      </x:c>
      <x:c r="Z16" s="6" t="str">
        <x:v>https://github.com/hagenhaeussler/Industrial-Agents-Hackathon-2026/blob/f41616590b69f3ea0c1cbfb41d6c35edd9ce53df/data/train/osm-way37850565/questions_basic.jsonl#L3</x:v>
      </x:c>
      <x:c r="AA16" s="6" t="str">
        <x:v>osm_indoor</x:v>
      </x:c>
      <x:c r="AB16" s="6" t="str">
        <x:v>ODbL-1.0</x:v>
      </x:c>
    </x:row>
    <x:row r="17" ht="72" customHeight="1">
      <x:c r="A17" s="14" t="n">
        <x:v>12</x:v>
      </x:c>
      <x:c r="B17" s="6" t="str">
        <x:v>locate</x:v>
      </x:c>
      <x:c r="C17" s="6" t="str">
        <x:v>Where is the whiteboard?</x:v>
      </x:c>
      <x:c r="D17" s="6" t="str">
        <x:v>Meeting room 1.105
Floor level: 2
Asset ID: osm-way476929995-A00266
Position (m): -12.422, 8.004</x:v>
      </x:c>
      <x:c r="E17" s="6" t="str">
        <x:v>Reference supplied</x:v>
      </x:c>
      <x:c r="F17" s="6" t="str">
        <x:v>train</x:v>
      </x:c>
      <x:c r="G17" s="6" t="str">
        <x:v>osm-way476929995</x:v>
      </x:c>
      <x:c r="H17" s="6" t="str">
        <x:v>osm-way476929995-Q01</x:v>
      </x:c>
      <x:c r="I17" s="6" t="str">
        <x:v>Find and count assets</x:v>
      </x:c>
      <x:c r="J17" s="6" t="str">
        <x:v>Warm-up</x:v>
      </x:c>
      <x:c r="K17" s="6" t="str">
        <x:v>Room name, floor and asset identity. Coordinates may help the UI.</x:v>
      </x:c>
      <x:c r="L17" s="6" t="str">
        <x:v>T02, T03</x:v>
      </x:c>
      <x:c r="M17" s="6" t="str">
        <x:v>Find a named item and identify its containing room and floor.</x:v>
      </x:c>
      <x:c r="N17" s="6" t="str">
        <x:v>{"asset_id":"osm-way476929995-A00266","space_id":"osm-way476929995-F2-S008","space_name":"Meeting room 1.105","floor_level":2,"position":[-12.422,8.004]}</x:v>
      </x:c>
      <x:c r="O17" s="6"/>
      <x:c r="P17" s="6" t="str">
        <x:v>Resolve the intended asset and its containing room/floor.</x:v>
      </x:c>
      <x:c r="Q17" s="15"/>
      <x:c r="R17" s="6"/>
      <x:c r="S17" s="16"/>
      <x:c r="T17" s="15"/>
      <x:c r="U17" s="6"/>
      <x:c r="V17" s="6"/>
      <x:c r="W17" s="6" t="str">
        <x:v>Existing search_building. Improve disambiguation and complete result pagination.</x:v>
      </x:c>
      <x:c r="X17" s="6" t="str">
        <x:v>data/train/osm-way476929995/questions_basic.jsonl</x:v>
      </x:c>
      <x:c r="Y17" s="14" t="n">
        <x:v>1</x:v>
      </x:c>
      <x:c r="Z17" s="6" t="str">
        <x:v>https://github.com/hagenhaeussler/Industrial-Agents-Hackathon-2026/blob/f41616590b69f3ea0c1cbfb41d6c35edd9ce53df/data/train/osm-way476929995/questions_basic.jsonl#L1</x:v>
      </x:c>
      <x:c r="AA17" s="6" t="str">
        <x:v>osm_indoor</x:v>
      </x:c>
      <x:c r="AB17" s="6" t="str">
        <x:v>ODbL-1.0</x:v>
      </x:c>
    </x:row>
    <x:row r="18" ht="72" customHeight="1">
      <x:c r="A18" s="14" t="n">
        <x:v>13</x:v>
      </x:c>
      <x:c r="B18" s="6" t="str">
        <x:v>locate</x:v>
      </x:c>
      <x:c r="C18" s="6" t="str">
        <x:v>Where is the meeting table?</x:v>
      </x:c>
      <x:c r="D18" s="6" t="str">
        <x:v>Meeting room 1.105
Floor level: 2
Asset ID: osm-way476929995-A00255
Position (m): -14.574, 7.25</x:v>
      </x:c>
      <x:c r="E18" s="6" t="str">
        <x:v>Reference supplied</x:v>
      </x:c>
      <x:c r="F18" s="6" t="str">
        <x:v>train</x:v>
      </x:c>
      <x:c r="G18" s="6" t="str">
        <x:v>osm-way476929995</x:v>
      </x:c>
      <x:c r="H18" s="6" t="str">
        <x:v>osm-way476929995-Q02</x:v>
      </x:c>
      <x:c r="I18" s="6" t="str">
        <x:v>Find and count assets</x:v>
      </x:c>
      <x:c r="J18" s="6" t="str">
        <x:v>Warm-up</x:v>
      </x:c>
      <x:c r="K18" s="6" t="str">
        <x:v>Room name, floor and asset identity. Coordinates may help the UI.</x:v>
      </x:c>
      <x:c r="L18" s="6" t="str">
        <x:v>T02, T03</x:v>
      </x:c>
      <x:c r="M18" s="6" t="str">
        <x:v>Find a named item and identify its containing room and floor.</x:v>
      </x:c>
      <x:c r="N18" s="6" t="str">
        <x:v>{"asset_id":"osm-way476929995-A00255","space_id":"osm-way476929995-F2-S008","space_name":"Meeting room 1.105","floor_level":2,"position":[-14.574,7.25]}</x:v>
      </x:c>
      <x:c r="O18" s="6"/>
      <x:c r="P18" s="6" t="str">
        <x:v>Resolve the intended asset and its containing room/floor.</x:v>
      </x:c>
      <x:c r="Q18" s="15"/>
      <x:c r="R18" s="6"/>
      <x:c r="S18" s="16"/>
      <x:c r="T18" s="15"/>
      <x:c r="U18" s="6"/>
      <x:c r="V18" s="6"/>
      <x:c r="W18" s="6" t="str">
        <x:v>Existing search_building. Improve disambiguation and complete result pagination.</x:v>
      </x:c>
      <x:c r="X18" s="6" t="str">
        <x:v>data/train/osm-way476929995/questions_basic.jsonl</x:v>
      </x:c>
      <x:c r="Y18" s="14" t="n">
        <x:v>2</x:v>
      </x:c>
      <x:c r="Z18" s="6" t="str">
        <x:v>https://github.com/hagenhaeussler/Industrial-Agents-Hackathon-2026/blob/f41616590b69f3ea0c1cbfb41d6c35edd9ce53df/data/train/osm-way476929995/questions_basic.jsonl#L2</x:v>
      </x:c>
      <x:c r="AA18" s="6" t="str">
        <x:v>osm_indoor</x:v>
      </x:c>
      <x:c r="AB18" s="6" t="str">
        <x:v>ODbL-1.0</x:v>
      </x:c>
    </x:row>
    <x:row r="19" ht="72" customHeight="1">
      <x:c r="A19" s="14" t="n">
        <x:v>14</x:v>
      </x:c>
      <x:c r="B19" s="6" t="str">
        <x:v>locate</x:v>
      </x:c>
      <x:c r="C19" s="6" t="str">
        <x:v>Where is the shoe cabinet?</x:v>
      </x:c>
      <x:c r="D19" s="6" t="str">
        <x:v>Corridor -1.07
Floor level: -1
Asset ID: osm-way476929995-A00591
Position (m): 4.487, -0.63</x:v>
      </x:c>
      <x:c r="E19" s="6" t="str">
        <x:v>Reference supplied</x:v>
      </x:c>
      <x:c r="F19" s="6" t="str">
        <x:v>train</x:v>
      </x:c>
      <x:c r="G19" s="6" t="str">
        <x:v>osm-way476929995</x:v>
      </x:c>
      <x:c r="H19" s="6" t="str">
        <x:v>osm-way476929995-Q03</x:v>
      </x:c>
      <x:c r="I19" s="6" t="str">
        <x:v>Find and count assets</x:v>
      </x:c>
      <x:c r="J19" s="6" t="str">
        <x:v>Warm-up</x:v>
      </x:c>
      <x:c r="K19" s="6" t="str">
        <x:v>Room name, floor and asset identity. Coordinates may help the UI.</x:v>
      </x:c>
      <x:c r="L19" s="6" t="str">
        <x:v>T02, T03</x:v>
      </x:c>
      <x:c r="M19" s="6" t="str">
        <x:v>Find a named item and identify its containing room and floor.</x:v>
      </x:c>
      <x:c r="N19" s="6" t="str">
        <x:v>{"asset_id":"osm-way476929995-A00591","space_id":"osm-way476929995-F-1-S007","space_name":"Corridor -1.07","floor_level":-1,"position":[4.487,-0.63]}</x:v>
      </x:c>
      <x:c r="O19" s="6"/>
      <x:c r="P19" s="6" t="str">
        <x:v>Resolve the intended asset and its containing room/floor.</x:v>
      </x:c>
      <x:c r="Q19" s="15"/>
      <x:c r="R19" s="6"/>
      <x:c r="S19" s="16"/>
      <x:c r="T19" s="15"/>
      <x:c r="U19" s="6"/>
      <x:c r="V19" s="6"/>
      <x:c r="W19" s="6" t="str">
        <x:v>Existing search_building. Improve disambiguation and complete result pagination.</x:v>
      </x:c>
      <x:c r="X19" s="6" t="str">
        <x:v>data/train/osm-way476929995/questions_basic.jsonl</x:v>
      </x:c>
      <x:c r="Y19" s="14" t="n">
        <x:v>3</x:v>
      </x:c>
      <x:c r="Z19" s="6" t="str">
        <x:v>https://github.com/hagenhaeussler/Industrial-Agents-Hackathon-2026/blob/f41616590b69f3ea0c1cbfb41d6c35edd9ce53df/data/train/osm-way476929995/questions_basic.jsonl#L3</x:v>
      </x:c>
      <x:c r="AA19" s="6" t="str">
        <x:v>osm_indoor</x:v>
      </x:c>
      <x:c r="AB19" s="6" t="str">
        <x:v>ODbL-1.0</x:v>
      </x:c>
    </x:row>
    <x:row r="20" ht="72" customHeight="1">
      <x:c r="A20" s="14" t="n">
        <x:v>15</x:v>
      </x:c>
      <x:c r="B20" s="6" t="str">
        <x:v>locate</x:v>
      </x:c>
      <x:c r="C20" s="6" t="str">
        <x:v>Where is the coat rack?</x:v>
      </x:c>
      <x:c r="D20" s="6" t="str">
        <x:v>Corridor 1432
Floor level: 1
Asset ID: osm-way50299720-A00328
Position (m): 4.918, 9.782</x:v>
      </x:c>
      <x:c r="E20" s="6" t="str">
        <x:v>Reference supplied</x:v>
      </x:c>
      <x:c r="F20" s="6" t="str">
        <x:v>train</x:v>
      </x:c>
      <x:c r="G20" s="6" t="str">
        <x:v>osm-way50299720</x:v>
      </x:c>
      <x:c r="H20" s="6" t="str">
        <x:v>osm-way50299720-Q01</x:v>
      </x:c>
      <x:c r="I20" s="6" t="str">
        <x:v>Find and count assets</x:v>
      </x:c>
      <x:c r="J20" s="6" t="str">
        <x:v>Warm-up</x:v>
      </x:c>
      <x:c r="K20" s="6" t="str">
        <x:v>Room name, floor and asset identity. Coordinates may help the UI.</x:v>
      </x:c>
      <x:c r="L20" s="6" t="str">
        <x:v>T02, T03</x:v>
      </x:c>
      <x:c r="M20" s="6" t="str">
        <x:v>Find a named item and identify its containing room and floor.</x:v>
      </x:c>
      <x:c r="N20" s="6" t="str">
        <x:v>{"asset_id":"osm-way50299720-A00328","space_id":"osm-way50299720-F1-S038","space_name":"Corridor 1432","floor_level":1,"position":[4.918,9.782]}</x:v>
      </x:c>
      <x:c r="O20" s="6"/>
      <x:c r="P20" s="6" t="str">
        <x:v>Resolve the intended asset and its containing room/floor.</x:v>
      </x:c>
      <x:c r="Q20" s="15"/>
      <x:c r="R20" s="6"/>
      <x:c r="S20" s="16"/>
      <x:c r="T20" s="15"/>
      <x:c r="U20" s="6"/>
      <x:c r="V20" s="6"/>
      <x:c r="W20" s="6" t="str">
        <x:v>Existing search_building. Improve disambiguation and complete result pagination.</x:v>
      </x:c>
      <x:c r="X20" s="6" t="str">
        <x:v>data/train/osm-way50299720/questions_basic.jsonl</x:v>
      </x:c>
      <x:c r="Y20" s="14" t="n">
        <x:v>1</x:v>
      </x:c>
      <x:c r="Z20" s="6" t="str">
        <x:v>https://github.com/hagenhaeussler/Industrial-Agents-Hackathon-2026/blob/f41616590b69f3ea0c1cbfb41d6c35edd9ce53df/data/train/osm-way50299720/questions_basic.jsonl#L1</x:v>
      </x:c>
      <x:c r="AA20" s="6" t="str">
        <x:v>osm_indoor</x:v>
      </x:c>
      <x:c r="AB20" s="6" t="str">
        <x:v>ODbL-1.0</x:v>
      </x:c>
    </x:row>
    <x:row r="21" ht="72" customHeight="1">
      <x:c r="A21" s="14" t="n">
        <x:v>16</x:v>
      </x:c>
      <x:c r="B21" s="6" t="str">
        <x:v>locate</x:v>
      </x:c>
      <x:c r="C21" s="6" t="str">
        <x:v>Where is the serving counter?</x:v>
      </x:c>
      <x:c r="D21" s="6" t="str">
        <x:v>Gelatissimo Eiscafé
Floor level: 0
Asset ID: osm-way52060470-A00208
Position (m): -48.972, 57.434</x:v>
      </x:c>
      <x:c r="E21" s="6" t="str">
        <x:v>Reference supplied</x:v>
      </x:c>
      <x:c r="F21" s="6" t="str">
        <x:v>train</x:v>
      </x:c>
      <x:c r="G21" s="6" t="str">
        <x:v>osm-way52060470</x:v>
      </x:c>
      <x:c r="H21" s="6" t="str">
        <x:v>osm-way52060470-Q01</x:v>
      </x:c>
      <x:c r="I21" s="6" t="str">
        <x:v>Find and count assets</x:v>
      </x:c>
      <x:c r="J21" s="6" t="str">
        <x:v>Warm-up</x:v>
      </x:c>
      <x:c r="K21" s="6" t="str">
        <x:v>Room name, floor and asset identity. Coordinates may help the UI.</x:v>
      </x:c>
      <x:c r="L21" s="6" t="str">
        <x:v>T02, T03</x:v>
      </x:c>
      <x:c r="M21" s="6" t="str">
        <x:v>Find a named item and identify its containing room and floor.</x:v>
      </x:c>
      <x:c r="N21" s="6" t="str">
        <x:v>{"asset_id":"osm-way52060470-A00208","space_id":"osm-way52060470-F0-S011","space_name":"Gelatissimo Eiscafé","floor_level":0,"position":[-48.972,57.434]}</x:v>
      </x:c>
      <x:c r="O21" s="6"/>
      <x:c r="P21" s="6" t="str">
        <x:v>Resolve the intended asset and its containing room/floor.</x:v>
      </x:c>
      <x:c r="Q21" s="15"/>
      <x:c r="R21" s="6"/>
      <x:c r="S21" s="16"/>
      <x:c r="T21" s="15"/>
      <x:c r="U21" s="6"/>
      <x:c r="V21" s="6"/>
      <x:c r="W21" s="6" t="str">
        <x:v>Existing search_building. Improve disambiguation and complete result pagination.</x:v>
      </x:c>
      <x:c r="X21" s="6" t="str">
        <x:v>data/train/osm-way52060470/questions_basic.jsonl</x:v>
      </x:c>
      <x:c r="Y21" s="14" t="n">
        <x:v>1</x:v>
      </x:c>
      <x:c r="Z21" s="6" t="str">
        <x:v>https://github.com/hagenhaeussler/Industrial-Agents-Hackathon-2026/blob/f41616590b69f3ea0c1cbfb41d6c35edd9ce53df/data/train/osm-way52060470/questions_basic.jsonl#L1</x:v>
      </x:c>
      <x:c r="AA21" s="6" t="str">
        <x:v>osm_indoor</x:v>
      </x:c>
      <x:c r="AB21" s="6" t="str">
        <x:v>ODbL-1.0</x:v>
      </x:c>
    </x:row>
    <x:row r="22" ht="72" customHeight="1">
      <x:c r="A22" s="14" t="n">
        <x:v>17</x:v>
      </x:c>
      <x:c r="B22" s="6" t="str">
        <x:v>locate</x:v>
      </x:c>
      <x:c r="C22" s="6" t="str">
        <x:v>Where is the water dispenser?</x:v>
      </x:c>
      <x:c r="D22" s="6" t="str">
        <x:v>Genusswerk
Floor level: 1
Asset ID: osm-way52060470-A00650
Position (m): 35.15, -28.478</x:v>
      </x:c>
      <x:c r="E22" s="6" t="str">
        <x:v>Reference supplied</x:v>
      </x:c>
      <x:c r="F22" s="6" t="str">
        <x:v>train</x:v>
      </x:c>
      <x:c r="G22" s="6" t="str">
        <x:v>osm-way52060470</x:v>
      </x:c>
      <x:c r="H22" s="6" t="str">
        <x:v>osm-way52060470-Q02</x:v>
      </x:c>
      <x:c r="I22" s="6" t="str">
        <x:v>Find and count assets</x:v>
      </x:c>
      <x:c r="J22" s="6" t="str">
        <x:v>Warm-up</x:v>
      </x:c>
      <x:c r="K22" s="6" t="str">
        <x:v>Room name, floor and asset identity. Coordinates may help the UI.</x:v>
      </x:c>
      <x:c r="L22" s="6" t="str">
        <x:v>T02, T03</x:v>
      </x:c>
      <x:c r="M22" s="6" t="str">
        <x:v>Find a named item and identify its containing room and floor.</x:v>
      </x:c>
      <x:c r="N22" s="6" t="str">
        <x:v>{"asset_id":"osm-way52060470-A00650","space_id":"osm-way52060470-F1-S034","space_name":"Genusswerk","floor_level":1,"position":[35.15,-28.478]}</x:v>
      </x:c>
      <x:c r="O22" s="6"/>
      <x:c r="P22" s="6" t="str">
        <x:v>Resolve the intended asset and its containing room/floor.</x:v>
      </x:c>
      <x:c r="Q22" s="15"/>
      <x:c r="R22" s="6"/>
      <x:c r="S22" s="16"/>
      <x:c r="T22" s="15"/>
      <x:c r="U22" s="6"/>
      <x:c r="V22" s="6"/>
      <x:c r="W22" s="6" t="str">
        <x:v>Existing search_building. Improve disambiguation and complete result pagination.</x:v>
      </x:c>
      <x:c r="X22" s="6" t="str">
        <x:v>data/train/osm-way52060470/questions_basic.jsonl</x:v>
      </x:c>
      <x:c r="Y22" s="14" t="n">
        <x:v>2</x:v>
      </x:c>
      <x:c r="Z22" s="6" t="str">
        <x:v>https://github.com/hagenhaeussler/Industrial-Agents-Hackathon-2026/blob/f41616590b69f3ea0c1cbfb41d6c35edd9ce53df/data/train/osm-way52060470/questions_basic.jsonl#L2</x:v>
      </x:c>
      <x:c r="AA22" s="6" t="str">
        <x:v>osm_indoor</x:v>
      </x:c>
      <x:c r="AB22" s="6" t="str">
        <x:v>ODbL-1.0</x:v>
      </x:c>
    </x:row>
    <x:row r="23" ht="72" customHeight="1">
      <x:c r="A23" s="14" t="n">
        <x:v>18</x:v>
      </x:c>
      <x:c r="B23" s="6" t="str">
        <x:v>locate</x:v>
      </x:c>
      <x:c r="C23" s="6" t="str">
        <x:v>Where is the projector screen?</x:v>
      </x:c>
      <x:c r="D23" s="6" t="str">
        <x:v>Theodor-Fischer-Hörsaal
Floor level: 0
Asset ID: osm-way61408163-A00026
Position (m): -29.281, 16.981</x:v>
      </x:c>
      <x:c r="E23" s="6" t="str">
        <x:v>Reference supplied</x:v>
      </x:c>
      <x:c r="F23" s="6" t="str">
        <x:v>train</x:v>
      </x:c>
      <x:c r="G23" s="6" t="str">
        <x:v>osm-way61408163</x:v>
      </x:c>
      <x:c r="H23" s="6" t="str">
        <x:v>osm-way61408163-Q01</x:v>
      </x:c>
      <x:c r="I23" s="6" t="str">
        <x:v>Find and count assets</x:v>
      </x:c>
      <x:c r="J23" s="6" t="str">
        <x:v>Warm-up</x:v>
      </x:c>
      <x:c r="K23" s="6" t="str">
        <x:v>Room name, floor and asset identity. Coordinates may help the UI.</x:v>
      </x:c>
      <x:c r="L23" s="6" t="str">
        <x:v>T02, T03</x:v>
      </x:c>
      <x:c r="M23" s="6" t="str">
        <x:v>Find a named item and identify its containing room and floor.</x:v>
      </x:c>
      <x:c r="N23" s="6" t="str">
        <x:v>{"asset_id":"osm-way61408163-A00026","space_id":"osm-way61408163-F0-S002","space_name":"Theodor-Fischer-Hörsaal","floor_level":0,"position":[-29.281,16.981]}</x:v>
      </x:c>
      <x:c r="O23" s="6"/>
      <x:c r="P23" s="6" t="str">
        <x:v>Resolve the intended asset and its containing room/floor.</x:v>
      </x:c>
      <x:c r="Q23" s="15"/>
      <x:c r="R23" s="6"/>
      <x:c r="S23" s="16"/>
      <x:c r="T23" s="15"/>
      <x:c r="U23" s="6"/>
      <x:c r="V23" s="6"/>
      <x:c r="W23" s="6" t="str">
        <x:v>Existing search_building. Improve disambiguation and complete result pagination.</x:v>
      </x:c>
      <x:c r="X23" s="6" t="str">
        <x:v>data/train/osm-way61408163/questions_basic.jsonl</x:v>
      </x:c>
      <x:c r="Y23" s="14" t="n">
        <x:v>1</x:v>
      </x:c>
      <x:c r="Z23" s="6" t="str">
        <x:v>https://github.com/hagenhaeussler/Industrial-Agents-Hackathon-2026/blob/f41616590b69f3ea0c1cbfb41d6c35edd9ce53df/data/train/osm-way61408163/questions_basic.jsonl#L1</x:v>
      </x:c>
      <x:c r="AA23" s="6" t="str">
        <x:v>osm_indoor</x:v>
      </x:c>
      <x:c r="AB23" s="6" t="str">
        <x:v>ODbL-1.0</x:v>
      </x:c>
    </x:row>
    <x:row r="24" ht="72" customHeight="1">
      <x:c r="A24" s="14" t="n">
        <x:v>19</x:v>
      </x:c>
      <x:c r="B24" s="6" t="str">
        <x:v>locate</x:v>
      </x:c>
      <x:c r="C24" s="6" t="str">
        <x:v>Where is the lectern?</x:v>
      </x:c>
      <x:c r="D24" s="6" t="str">
        <x:v>Theodor-Fischer-Hörsaal
Floor level: 0
Asset ID: osm-way61408163-A00009
Position (m): -22.53, 26.082</x:v>
      </x:c>
      <x:c r="E24" s="6" t="str">
        <x:v>Reference supplied</x:v>
      </x:c>
      <x:c r="F24" s="6" t="str">
        <x:v>train</x:v>
      </x:c>
      <x:c r="G24" s="6" t="str">
        <x:v>osm-way61408163</x:v>
      </x:c>
      <x:c r="H24" s="6" t="str">
        <x:v>osm-way61408163-Q02</x:v>
      </x:c>
      <x:c r="I24" s="6" t="str">
        <x:v>Find and count assets</x:v>
      </x:c>
      <x:c r="J24" s="6" t="str">
        <x:v>Warm-up</x:v>
      </x:c>
      <x:c r="K24" s="6" t="str">
        <x:v>Room name, floor and asset identity. Coordinates may help the UI.</x:v>
      </x:c>
      <x:c r="L24" s="6" t="str">
        <x:v>T02, T03</x:v>
      </x:c>
      <x:c r="M24" s="6" t="str">
        <x:v>Find a named item and identify its containing room and floor.</x:v>
      </x:c>
      <x:c r="N24" s="6" t="str">
        <x:v>{"asset_id":"osm-way61408163-A00009","space_id":"osm-way61408163-F0-S002","space_name":"Theodor-Fischer-Hörsaal","floor_level":0,"position":[-22.53,26.082]}</x:v>
      </x:c>
      <x:c r="O24" s="6"/>
      <x:c r="P24" s="6" t="str">
        <x:v>Resolve the intended asset and its containing room/floor.</x:v>
      </x:c>
      <x:c r="Q24" s="15"/>
      <x:c r="R24" s="6"/>
      <x:c r="S24" s="16"/>
      <x:c r="T24" s="15"/>
      <x:c r="U24" s="6"/>
      <x:c r="V24" s="6"/>
      <x:c r="W24" s="6" t="str">
        <x:v>Existing search_building. Improve disambiguation and complete result pagination.</x:v>
      </x:c>
      <x:c r="X24" s="6" t="str">
        <x:v>data/train/osm-way61408163/questions_basic.jsonl</x:v>
      </x:c>
      <x:c r="Y24" s="14" t="n">
        <x:v>2</x:v>
      </x:c>
      <x:c r="Z24" s="6" t="str">
        <x:v>https://github.com/hagenhaeussler/Industrial-Agents-Hackathon-2026/blob/f41616590b69f3ea0c1cbfb41d6c35edd9ce53df/data/train/osm-way61408163/questions_basic.jsonl#L2</x:v>
      </x:c>
      <x:c r="AA24" s="6" t="str">
        <x:v>osm_indoor</x:v>
      </x:c>
      <x:c r="AB24" s="6" t="str">
        <x:v>ODbL-1.0</x:v>
      </x:c>
    </x:row>
    <x:row r="25" ht="72" customHeight="1">
      <x:c r="A25" s="14" t="n">
        <x:v>20</x:v>
      </x:c>
      <x:c r="B25" s="6" t="str">
        <x:v>locate</x:v>
      </x:c>
      <x:c r="C25" s="6" t="str">
        <x:v>Where is the defibrillator?</x:v>
      </x:c>
      <x:c r="D25" s="6" t="str">
        <x:v>Main lobby
Floor level: 0
Asset ID: proc-campus-train-000-A00054
Position (m): -3.18, -13.842</x:v>
      </x:c>
      <x:c r="E25" s="6" t="str">
        <x:v>Reference supplied</x:v>
      </x:c>
      <x:c r="F25" s="6" t="str">
        <x:v>train</x:v>
      </x:c>
      <x:c r="G25" s="6" t="str">
        <x:v>proc-campus-train-000</x:v>
      </x:c>
      <x:c r="H25" s="6" t="str">
        <x:v>proc-campus-train-000-Q01</x:v>
      </x:c>
      <x:c r="I25" s="6" t="str">
        <x:v>Find and count assets</x:v>
      </x:c>
      <x:c r="J25" s="6" t="str">
        <x:v>Warm-up</x:v>
      </x:c>
      <x:c r="K25" s="6" t="str">
        <x:v>Room name, floor and asset identity. Coordinates may help the UI.</x:v>
      </x:c>
      <x:c r="L25" s="6" t="str">
        <x:v>T02, T03</x:v>
      </x:c>
      <x:c r="M25" s="6" t="str">
        <x:v>Find a named item and identify its containing room and floor.</x:v>
      </x:c>
      <x:c r="N25" s="6" t="str">
        <x:v>{"asset_id":"proc-campus-train-000-A00054","space_id":"proc-campus-train-000-F0-S012","space_name":"Main lobby","floor_level":0,"position":[-3.18,-13.842]}</x:v>
      </x:c>
      <x:c r="O25" s="6"/>
      <x:c r="P25" s="6" t="str">
        <x:v>Resolve the intended asset and its containing room/floor.</x:v>
      </x:c>
      <x:c r="Q25" s="15"/>
      <x:c r="R25" s="6"/>
      <x:c r="S25" s="16"/>
      <x:c r="T25" s="15"/>
      <x:c r="U25" s="6"/>
      <x:c r="V25" s="6"/>
      <x:c r="W25" s="6" t="str">
        <x:v>Existing search_building. Improve disambiguation and complete result pagination.</x:v>
      </x:c>
      <x:c r="X25" s="6" t="str">
        <x:v>data/train/proc-campus-train-000/questions_basic.jsonl</x:v>
      </x:c>
      <x:c r="Y25" s="14" t="n">
        <x:v>1</x:v>
      </x:c>
      <x:c r="Z25" s="6" t="str">
        <x:v>https://github.com/hagenhaeussler/Industrial-Agents-Hackathon-2026/blob/f41616590b69f3ea0c1cbfb41d6c35edd9ce53df/data/train/proc-campus-train-000/questions_basic.jsonl#L1</x:v>
      </x:c>
      <x:c r="AA25" s="6" t="str">
        <x:v>procedural</x:v>
      </x:c>
      <x:c r="AB25" s="6" t="str">
        <x:v>CC0-1.0</x:v>
      </x:c>
    </x:row>
    <x:row r="26" ht="72" customHeight="1">
      <x:c r="A26" s="14" t="n">
        <x:v>21</x:v>
      </x:c>
      <x:c r="B26" s="6" t="str">
        <x:v>locate</x:v>
      </x:c>
      <x:c r="C26" s="6" t="str">
        <x:v>Where is the reception desk?</x:v>
      </x:c>
      <x:c r="D26" s="6" t="str">
        <x:v>Main lobby
Floor level: 0
Asset ID: proc-campus-train-000-A00050
Position (m): -0.726, -12.053</x:v>
      </x:c>
      <x:c r="E26" s="6" t="str">
        <x:v>Reference supplied</x:v>
      </x:c>
      <x:c r="F26" s="6" t="str">
        <x:v>train</x:v>
      </x:c>
      <x:c r="G26" s="6" t="str">
        <x:v>proc-campus-train-000</x:v>
      </x:c>
      <x:c r="H26" s="6" t="str">
        <x:v>proc-campus-train-000-Q02</x:v>
      </x:c>
      <x:c r="I26" s="6" t="str">
        <x:v>Find and count assets</x:v>
      </x:c>
      <x:c r="J26" s="6" t="str">
        <x:v>Warm-up</x:v>
      </x:c>
      <x:c r="K26" s="6" t="str">
        <x:v>Room name, floor and asset identity. Coordinates may help the UI.</x:v>
      </x:c>
      <x:c r="L26" s="6" t="str">
        <x:v>T02, T03</x:v>
      </x:c>
      <x:c r="M26" s="6" t="str">
        <x:v>Find a named item and identify its containing room and floor.</x:v>
      </x:c>
      <x:c r="N26" s="6" t="str">
        <x:v>{"asset_id":"proc-campus-train-000-A00050","space_id":"proc-campus-train-000-F0-S012","space_name":"Main lobby","floor_level":0,"position":[-0.726,-12.053]}</x:v>
      </x:c>
      <x:c r="O26" s="6"/>
      <x:c r="P26" s="6" t="str">
        <x:v>Resolve the intended asset and its containing room/floor.</x:v>
      </x:c>
      <x:c r="Q26" s="15"/>
      <x:c r="R26" s="6"/>
      <x:c r="S26" s="16"/>
      <x:c r="T26" s="15"/>
      <x:c r="U26" s="6"/>
      <x:c r="V26" s="6"/>
      <x:c r="W26" s="6" t="str">
        <x:v>Existing search_building. Improve disambiguation and complete result pagination.</x:v>
      </x:c>
      <x:c r="X26" s="6" t="str">
        <x:v>data/train/proc-campus-train-000/questions_basic.jsonl</x:v>
      </x:c>
      <x:c r="Y26" s="14" t="n">
        <x:v>2</x:v>
      </x:c>
      <x:c r="Z26" s="6" t="str">
        <x:v>https://github.com/hagenhaeussler/Industrial-Agents-Hackathon-2026/blob/f41616590b69f3ea0c1cbfb41d6c35edd9ce53df/data/train/proc-campus-train-000/questions_basic.jsonl#L2</x:v>
      </x:c>
      <x:c r="AA26" s="6" t="str">
        <x:v>procedural</x:v>
      </x:c>
      <x:c r="AB26" s="6" t="str">
        <x:v>CC0-1.0</x:v>
      </x:c>
    </x:row>
    <x:row r="27" ht="72" customHeight="1">
      <x:c r="A27" s="14" t="n">
        <x:v>22</x:v>
      </x:c>
      <x:c r="B27" s="6" t="str">
        <x:v>locate</x:v>
      </x:c>
      <x:c r="C27" s="6" t="str">
        <x:v>Where is the shoe cabinet?</x:v>
      </x:c>
      <x:c r="D27" s="6" t="str">
        <x:v>Corridor 3.01
Floor level: 3
Asset ID: proc-campus-train-000-A00450
Position (m): -8.923, -6.245</x:v>
      </x:c>
      <x:c r="E27" s="6" t="str">
        <x:v>Reference supplied</x:v>
      </x:c>
      <x:c r="F27" s="6" t="str">
        <x:v>train</x:v>
      </x:c>
      <x:c r="G27" s="6" t="str">
        <x:v>proc-campus-train-000</x:v>
      </x:c>
      <x:c r="H27" s="6" t="str">
        <x:v>proc-campus-train-000-Q03</x:v>
      </x:c>
      <x:c r="I27" s="6" t="str">
        <x:v>Find and count assets</x:v>
      </x:c>
      <x:c r="J27" s="6" t="str">
        <x:v>Warm-up</x:v>
      </x:c>
      <x:c r="K27" s="6" t="str">
        <x:v>Room name, floor and asset identity. Coordinates may help the UI.</x:v>
      </x:c>
      <x:c r="L27" s="6" t="str">
        <x:v>T02, T03</x:v>
      </x:c>
      <x:c r="M27" s="6" t="str">
        <x:v>Find a named item and identify its containing room and floor.</x:v>
      </x:c>
      <x:c r="N27" s="6" t="str">
        <x:v>{"asset_id":"proc-campus-train-000-A00450","space_id":"proc-campus-train-000-F3-S001","space_name":"Corridor 3.01","floor_level":3,"position":[-8.923,-6.245]}</x:v>
      </x:c>
      <x:c r="O27" s="6"/>
      <x:c r="P27" s="6" t="str">
        <x:v>Resolve the intended asset and its containing room/floor.</x:v>
      </x:c>
      <x:c r="Q27" s="15"/>
      <x:c r="R27" s="6"/>
      <x:c r="S27" s="16"/>
      <x:c r="T27" s="15"/>
      <x:c r="U27" s="6"/>
      <x:c r="V27" s="6"/>
      <x:c r="W27" s="6" t="str">
        <x:v>Existing search_building. Improve disambiguation and complete result pagination.</x:v>
      </x:c>
      <x:c r="X27" s="6" t="str">
        <x:v>data/train/proc-campus-train-000/questions_basic.jsonl</x:v>
      </x:c>
      <x:c r="Y27" s="14" t="n">
        <x:v>3</x:v>
      </x:c>
      <x:c r="Z27" s="6" t="str">
        <x:v>https://github.com/hagenhaeussler/Industrial-Agents-Hackathon-2026/blob/f41616590b69f3ea0c1cbfb41d6c35edd9ce53df/data/train/proc-campus-train-000/questions_basic.jsonl#L3</x:v>
      </x:c>
      <x:c r="AA27" s="6" t="str">
        <x:v>procedural</x:v>
      </x:c>
      <x:c r="AB27" s="6" t="str">
        <x:v>CC0-1.0</x:v>
      </x:c>
    </x:row>
    <x:row r="28" ht="72" customHeight="1">
      <x:c r="A28" s="14" t="n">
        <x:v>23</x:v>
      </x:c>
      <x:c r="B28" s="6" t="str">
        <x:v>locate</x:v>
      </x:c>
      <x:c r="C28" s="6" t="str">
        <x:v>Where is the laser cutter?</x:v>
      </x:c>
      <x:c r="D28" s="6" t="str">
        <x:v>Makerspace 0.13
Floor level: 0
Asset ID: proc-campus-train-001-A00082
Position (m): -31.632, -13.88</x:v>
      </x:c>
      <x:c r="E28" s="6" t="str">
        <x:v>Reference supplied</x:v>
      </x:c>
      <x:c r="F28" s="6" t="str">
        <x:v>train</x:v>
      </x:c>
      <x:c r="G28" s="6" t="str">
        <x:v>proc-campus-train-001</x:v>
      </x:c>
      <x:c r="H28" s="6" t="str">
        <x:v>proc-campus-train-001-Q01</x:v>
      </x:c>
      <x:c r="I28" s="6" t="str">
        <x:v>Find and count assets</x:v>
      </x:c>
      <x:c r="J28" s="6" t="str">
        <x:v>Warm-up</x:v>
      </x:c>
      <x:c r="K28" s="6" t="str">
        <x:v>Room name, floor and asset identity. Coordinates may help the UI.</x:v>
      </x:c>
      <x:c r="L28" s="6" t="str">
        <x:v>T02, T03</x:v>
      </x:c>
      <x:c r="M28" s="6" t="str">
        <x:v>Find a named item and identify its containing room and floor.</x:v>
      </x:c>
      <x:c r="N28" s="6" t="str">
        <x:v>{"asset_id":"proc-campus-train-001-A00082","space_id":"proc-campus-train-001-F0-S013","space_name":"Makerspace 0.13","floor_level":0,"position":[-31.632,-13.88]}</x:v>
      </x:c>
      <x:c r="O28" s="6"/>
      <x:c r="P28" s="6" t="str">
        <x:v>Resolve the intended asset and its containing room/floor.</x:v>
      </x:c>
      <x:c r="Q28" s="15"/>
      <x:c r="R28" s="6"/>
      <x:c r="S28" s="16"/>
      <x:c r="T28" s="15"/>
      <x:c r="U28" s="6"/>
      <x:c r="V28" s="6"/>
      <x:c r="W28" s="6" t="str">
        <x:v>Existing search_building. Improve disambiguation and complete result pagination.</x:v>
      </x:c>
      <x:c r="X28" s="6" t="str">
        <x:v>data/train/proc-campus-train-001/questions_basic.jsonl</x:v>
      </x:c>
      <x:c r="Y28" s="14" t="n">
        <x:v>1</x:v>
      </x:c>
      <x:c r="Z28" s="6" t="str">
        <x:v>https://github.com/hagenhaeussler/Industrial-Agents-Hackathon-2026/blob/f41616590b69f3ea0c1cbfb41d6c35edd9ce53df/data/train/proc-campus-train-001/questions_basic.jsonl#L1</x:v>
      </x:c>
      <x:c r="AA28" s="6" t="str">
        <x:v>procedural</x:v>
      </x:c>
      <x:c r="AB28" s="6" t="str">
        <x:v>CC0-1.0</x:v>
      </x:c>
    </x:row>
    <x:row r="29" ht="72" customHeight="1">
      <x:c r="A29" s="14" t="n">
        <x:v>24</x:v>
      </x:c>
      <x:c r="B29" s="6" t="str">
        <x:v>locate</x:v>
      </x:c>
      <x:c r="C29" s="6" t="str">
        <x:v>Where is the lectern?</x:v>
      </x:c>
      <x:c r="D29" s="6" t="str">
        <x:v>Lecture hall 0.17
Floor level: 0
Asset ID: proc-campus-train-001-A00107
Position (m): -0.886, -2.812</x:v>
      </x:c>
      <x:c r="E29" s="6" t="str">
        <x:v>Reference supplied</x:v>
      </x:c>
      <x:c r="F29" s="6" t="str">
        <x:v>train</x:v>
      </x:c>
      <x:c r="G29" s="6" t="str">
        <x:v>proc-campus-train-001</x:v>
      </x:c>
      <x:c r="H29" s="6" t="str">
        <x:v>proc-campus-train-001-Q02</x:v>
      </x:c>
      <x:c r="I29" s="6" t="str">
        <x:v>Find and count assets</x:v>
      </x:c>
      <x:c r="J29" s="6" t="str">
        <x:v>Warm-up</x:v>
      </x:c>
      <x:c r="K29" s="6" t="str">
        <x:v>Room name, floor and asset identity. Coordinates may help the UI.</x:v>
      </x:c>
      <x:c r="L29" s="6" t="str">
        <x:v>T02, T03</x:v>
      </x:c>
      <x:c r="M29" s="6" t="str">
        <x:v>Find a named item and identify its containing room and floor.</x:v>
      </x:c>
      <x:c r="N29" s="6" t="str">
        <x:v>{"asset_id":"proc-campus-train-001-A00107","space_id":"proc-campus-train-001-F0-S017","space_name":"Lecture hall 0.17","floor_level":0,"position":[-0.886,-2.812]}</x:v>
      </x:c>
      <x:c r="O29" s="6"/>
      <x:c r="P29" s="6" t="str">
        <x:v>Resolve the intended asset and its containing room/floor.</x:v>
      </x:c>
      <x:c r="Q29" s="15"/>
      <x:c r="R29" s="6"/>
      <x:c r="S29" s="16"/>
      <x:c r="T29" s="15"/>
      <x:c r="U29" s="6"/>
      <x:c r="V29" s="6"/>
      <x:c r="W29" s="6" t="str">
        <x:v>Existing search_building. Improve disambiguation and complete result pagination.</x:v>
      </x:c>
      <x:c r="X29" s="6" t="str">
        <x:v>data/train/proc-campus-train-001/questions_basic.jsonl</x:v>
      </x:c>
      <x:c r="Y29" s="14" t="n">
        <x:v>2</x:v>
      </x:c>
      <x:c r="Z29" s="6" t="str">
        <x:v>https://github.com/hagenhaeussler/Industrial-Agents-Hackathon-2026/blob/f41616590b69f3ea0c1cbfb41d6c35edd9ce53df/data/train/proc-campus-train-001/questions_basic.jsonl#L2</x:v>
      </x:c>
      <x:c r="AA29" s="6" t="str">
        <x:v>procedural</x:v>
      </x:c>
      <x:c r="AB29" s="6" t="str">
        <x:v>CC0-1.0</x:v>
      </x:c>
    </x:row>
    <x:row r="30" ht="72" customHeight="1">
      <x:c r="A30" s="14" t="n">
        <x:v>25</x:v>
      </x:c>
      <x:c r="B30" s="6" t="str">
        <x:v>locate</x:v>
      </x:c>
      <x:c r="C30" s="6" t="str">
        <x:v>Where is the soldering station?</x:v>
      </x:c>
      <x:c r="D30" s="6" t="str">
        <x:v>Makerspace 0.13
Floor level: 0
Asset ID: proc-campus-train-001-A00083
Position (m): -33.6, -11.089</x:v>
      </x:c>
      <x:c r="E30" s="6" t="str">
        <x:v>Reference supplied</x:v>
      </x:c>
      <x:c r="F30" s="6" t="str">
        <x:v>train</x:v>
      </x:c>
      <x:c r="G30" s="6" t="str">
        <x:v>proc-campus-train-001</x:v>
      </x:c>
      <x:c r="H30" s="6" t="str">
        <x:v>proc-campus-train-001-Q03</x:v>
      </x:c>
      <x:c r="I30" s="6" t="str">
        <x:v>Find and count assets</x:v>
      </x:c>
      <x:c r="J30" s="6" t="str">
        <x:v>Warm-up</x:v>
      </x:c>
      <x:c r="K30" s="6" t="str">
        <x:v>Room name, floor and asset identity. Coordinates may help the UI.</x:v>
      </x:c>
      <x:c r="L30" s="6" t="str">
        <x:v>T02, T03</x:v>
      </x:c>
      <x:c r="M30" s="6" t="str">
        <x:v>Find a named item and identify its containing room and floor.</x:v>
      </x:c>
      <x:c r="N30" s="6" t="str">
        <x:v>{"asset_id":"proc-campus-train-001-A00083","space_id":"proc-campus-train-001-F0-S013","space_name":"Makerspace 0.13","floor_level":0,"position":[-33.6,-11.089]}</x:v>
      </x:c>
      <x:c r="O30" s="6"/>
      <x:c r="P30" s="6" t="str">
        <x:v>Resolve the intended asset and its containing room/floor.</x:v>
      </x:c>
      <x:c r="Q30" s="15"/>
      <x:c r="R30" s="6"/>
      <x:c r="S30" s="16"/>
      <x:c r="T30" s="15"/>
      <x:c r="U30" s="6"/>
      <x:c r="V30" s="6"/>
      <x:c r="W30" s="6" t="str">
        <x:v>Existing search_building. Improve disambiguation and complete result pagination.</x:v>
      </x:c>
      <x:c r="X30" s="6" t="str">
        <x:v>data/train/proc-campus-train-001/questions_basic.jsonl</x:v>
      </x:c>
      <x:c r="Y30" s="14" t="n">
        <x:v>3</x:v>
      </x:c>
      <x:c r="Z30" s="6" t="str">
        <x:v>https://github.com/hagenhaeussler/Industrial-Agents-Hackathon-2026/blob/f41616590b69f3ea0c1cbfb41d6c35edd9ce53df/data/train/proc-campus-train-001/questions_basic.jsonl#L3</x:v>
      </x:c>
      <x:c r="AA30" s="6" t="str">
        <x:v>procedural</x:v>
      </x:c>
      <x:c r="AB30" s="6" t="str">
        <x:v>CC0-1.0</x:v>
      </x:c>
    </x:row>
    <x:row r="31" ht="72" customHeight="1">
      <x:c r="A31" s="14" t="n">
        <x:v>26</x:v>
      </x:c>
      <x:c r="B31" s="6" t="str">
        <x:v>locate</x:v>
      </x:c>
      <x:c r="C31" s="6" t="str">
        <x:v>Where is the reception desk?</x:v>
      </x:c>
      <x:c r="D31" s="6" t="str">
        <x:v>Main lobby
Floor level: 0
Asset ID: proc-campus-train-002-A00038
Position (m): 12.064, -2.785</x:v>
      </x:c>
      <x:c r="E31" s="6" t="str">
        <x:v>Reference supplied</x:v>
      </x:c>
      <x:c r="F31" s="6" t="str">
        <x:v>train</x:v>
      </x:c>
      <x:c r="G31" s="6" t="str">
        <x:v>proc-campus-train-002</x:v>
      </x:c>
      <x:c r="H31" s="6" t="str">
        <x:v>proc-campus-train-002-Q01</x:v>
      </x:c>
      <x:c r="I31" s="6" t="str">
        <x:v>Find and count assets</x:v>
      </x:c>
      <x:c r="J31" s="6" t="str">
        <x:v>Warm-up</x:v>
      </x:c>
      <x:c r="K31" s="6" t="str">
        <x:v>Room name, floor and asset identity. Coordinates may help the UI.</x:v>
      </x:c>
      <x:c r="L31" s="6" t="str">
        <x:v>T02, T03</x:v>
      </x:c>
      <x:c r="M31" s="6" t="str">
        <x:v>Find a named item and identify its containing room and floor.</x:v>
      </x:c>
      <x:c r="N31" s="6" t="str">
        <x:v>{"asset_id":"proc-campus-train-002-A00038","space_id":"proc-campus-train-002-F0-S008","space_name":"Main lobby","floor_level":0,"position":[12.064,-2.785]}</x:v>
      </x:c>
      <x:c r="O31" s="6"/>
      <x:c r="P31" s="6" t="str">
        <x:v>Resolve the intended asset and its containing room/floor.</x:v>
      </x:c>
      <x:c r="Q31" s="15"/>
      <x:c r="R31" s="6"/>
      <x:c r="S31" s="16"/>
      <x:c r="T31" s="15"/>
      <x:c r="U31" s="6"/>
      <x:c r="V31" s="6"/>
      <x:c r="W31" s="6" t="str">
        <x:v>Existing search_building. Improve disambiguation and complete result pagination.</x:v>
      </x:c>
      <x:c r="X31" s="6" t="str">
        <x:v>data/train/proc-campus-train-002/questions_basic.jsonl</x:v>
      </x:c>
      <x:c r="Y31" s="14" t="n">
        <x:v>1</x:v>
      </x:c>
      <x:c r="Z31" s="6" t="str">
        <x:v>https://github.com/hagenhaeussler/Industrial-Agents-Hackathon-2026/blob/f41616590b69f3ea0c1cbfb41d6c35edd9ce53df/data/train/proc-campus-train-002/questions_basic.jsonl#L1</x:v>
      </x:c>
      <x:c r="AA31" s="6" t="str">
        <x:v>procedural</x:v>
      </x:c>
      <x:c r="AB31" s="6" t="str">
        <x:v>CC0-1.0</x:v>
      </x:c>
    </x:row>
    <x:row r="32" ht="72" customHeight="1">
      <x:c r="A32" s="14" t="n">
        <x:v>27</x:v>
      </x:c>
      <x:c r="B32" s="6" t="str">
        <x:v>locate</x:v>
      </x:c>
      <x:c r="C32" s="6" t="str">
        <x:v>Where is the dining table?</x:v>
      </x:c>
      <x:c r="D32" s="6" t="str">
        <x:v>Kitchen 1.18
Floor level: 1
Asset ID: proc-campus-train-002-A00227
Position (m): 11.132, -40.691</x:v>
      </x:c>
      <x:c r="E32" s="6" t="str">
        <x:v>Reference supplied</x:v>
      </x:c>
      <x:c r="F32" s="6" t="str">
        <x:v>train</x:v>
      </x:c>
      <x:c r="G32" s="6" t="str">
        <x:v>proc-campus-train-002</x:v>
      </x:c>
      <x:c r="H32" s="6" t="str">
        <x:v>proc-campus-train-002-Q02</x:v>
      </x:c>
      <x:c r="I32" s="6" t="str">
        <x:v>Find and count assets</x:v>
      </x:c>
      <x:c r="J32" s="6" t="str">
        <x:v>Warm-up</x:v>
      </x:c>
      <x:c r="K32" s="6" t="str">
        <x:v>Room name, floor and asset identity. Coordinates may help the UI.</x:v>
      </x:c>
      <x:c r="L32" s="6" t="str">
        <x:v>T02, T03</x:v>
      </x:c>
      <x:c r="M32" s="6" t="str">
        <x:v>Find a named item and identify its containing room and floor.</x:v>
      </x:c>
      <x:c r="N32" s="6" t="str">
        <x:v>{"asset_id":"proc-campus-train-002-A00227","space_id":"proc-campus-train-002-F1-S018","space_name":"Kitchen 1.18","floor_level":1,"position":[11.132,-40.691]}</x:v>
      </x:c>
      <x:c r="O32" s="6"/>
      <x:c r="P32" s="6" t="str">
        <x:v>Resolve the intended asset and its containing room/floor.</x:v>
      </x:c>
      <x:c r="Q32" s="15"/>
      <x:c r="R32" s="6"/>
      <x:c r="S32" s="16"/>
      <x:c r="T32" s="15"/>
      <x:c r="U32" s="6"/>
      <x:c r="V32" s="6"/>
      <x:c r="W32" s="6" t="str">
        <x:v>Existing search_building. Improve disambiguation and complete result pagination.</x:v>
      </x:c>
      <x:c r="X32" s="6" t="str">
        <x:v>data/train/proc-campus-train-002/questions_basic.jsonl</x:v>
      </x:c>
      <x:c r="Y32" s="14" t="n">
        <x:v>2</x:v>
      </x:c>
      <x:c r="Z32" s="6" t="str">
        <x:v>https://github.com/hagenhaeussler/Industrial-Agents-Hackathon-2026/blob/f41616590b69f3ea0c1cbfb41d6c35edd9ce53df/data/train/proc-campus-train-002/questions_basic.jsonl#L2</x:v>
      </x:c>
      <x:c r="AA32" s="6" t="str">
        <x:v>procedural</x:v>
      </x:c>
      <x:c r="AB32" s="6" t="str">
        <x:v>CC0-1.0</x:v>
      </x:c>
    </x:row>
    <x:row r="33" ht="72" customHeight="1">
      <x:c r="A33" s="14" t="n">
        <x:v>28</x:v>
      </x:c>
      <x:c r="B33" s="6" t="str">
        <x:v>locate</x:v>
      </x:c>
      <x:c r="C33" s="6" t="str">
        <x:v>Where is the laser cutter?</x:v>
      </x:c>
      <x:c r="D33" s="6" t="str">
        <x:v>Makerspace 0.03
Floor level: 0
Asset ID: proc-campus-train-002-A00009
Position (m): 3.103, -10.39</x:v>
      </x:c>
      <x:c r="E33" s="6" t="str">
        <x:v>Reference supplied</x:v>
      </x:c>
      <x:c r="F33" s="6" t="str">
        <x:v>train</x:v>
      </x:c>
      <x:c r="G33" s="6" t="str">
        <x:v>proc-campus-train-002</x:v>
      </x:c>
      <x:c r="H33" s="6" t="str">
        <x:v>proc-campus-train-002-Q03</x:v>
      </x:c>
      <x:c r="I33" s="6" t="str">
        <x:v>Find and count assets</x:v>
      </x:c>
      <x:c r="J33" s="6" t="str">
        <x:v>Warm-up</x:v>
      </x:c>
      <x:c r="K33" s="6" t="str">
        <x:v>Room name, floor and asset identity. Coordinates may help the UI.</x:v>
      </x:c>
      <x:c r="L33" s="6" t="str">
        <x:v>T02, T03</x:v>
      </x:c>
      <x:c r="M33" s="6" t="str">
        <x:v>Find a named item and identify its containing room and floor.</x:v>
      </x:c>
      <x:c r="N33" s="6" t="str">
        <x:v>{"asset_id":"proc-campus-train-002-A00009","space_id":"proc-campus-train-002-F0-S003","space_name":"Makerspace 0.03","floor_level":0,"position":[3.103,-10.39]}</x:v>
      </x:c>
      <x:c r="O33" s="6"/>
      <x:c r="P33" s="6" t="str">
        <x:v>Resolve the intended asset and its containing room/floor.</x:v>
      </x:c>
      <x:c r="Q33" s="15"/>
      <x:c r="R33" s="6"/>
      <x:c r="S33" s="16"/>
      <x:c r="T33" s="15"/>
      <x:c r="U33" s="6"/>
      <x:c r="V33" s="6"/>
      <x:c r="W33" s="6" t="str">
        <x:v>Existing search_building. Improve disambiguation and complete result pagination.</x:v>
      </x:c>
      <x:c r="X33" s="6" t="str">
        <x:v>data/train/proc-campus-train-002/questions_basic.jsonl</x:v>
      </x:c>
      <x:c r="Y33" s="14" t="n">
        <x:v>3</x:v>
      </x:c>
      <x:c r="Z33" s="6" t="str">
        <x:v>https://github.com/hagenhaeussler/Industrial-Agents-Hackathon-2026/blob/f41616590b69f3ea0c1cbfb41d6c35edd9ce53df/data/train/proc-campus-train-002/questions_basic.jsonl#L3</x:v>
      </x:c>
      <x:c r="AA33" s="6" t="str">
        <x:v>procedural</x:v>
      </x:c>
      <x:c r="AB33" s="6" t="str">
        <x:v>CC0-1.0</x:v>
      </x:c>
    </x:row>
    <x:row r="34" ht="72" customHeight="1">
      <x:c r="A34" s="14" t="n">
        <x:v>29</x:v>
      </x:c>
      <x:c r="B34" s="6" t="str">
        <x:v>locate</x:v>
      </x:c>
      <x:c r="C34" s="6" t="str">
        <x:v>Where is the vending machine?</x:v>
      </x:c>
      <x:c r="D34" s="6" t="str">
        <x:v>Canteen 0.17
Floor level: 0
Asset ID: proc-campus-train-003-A00106
Position (m): -0.47, 11.08</x:v>
      </x:c>
      <x:c r="E34" s="6" t="str">
        <x:v>Reference supplied</x:v>
      </x:c>
      <x:c r="F34" s="6" t="str">
        <x:v>train</x:v>
      </x:c>
      <x:c r="G34" s="6" t="str">
        <x:v>proc-campus-train-003</x:v>
      </x:c>
      <x:c r="H34" s="6" t="str">
        <x:v>proc-campus-train-003-Q01</x:v>
      </x:c>
      <x:c r="I34" s="6" t="str">
        <x:v>Find and count assets</x:v>
      </x:c>
      <x:c r="J34" s="6" t="str">
        <x:v>Warm-up</x:v>
      </x:c>
      <x:c r="K34" s="6" t="str">
        <x:v>Room name, floor and asset identity. Coordinates may help the UI.</x:v>
      </x:c>
      <x:c r="L34" s="6" t="str">
        <x:v>T02, T03</x:v>
      </x:c>
      <x:c r="M34" s="6" t="str">
        <x:v>Find a named item and identify its containing room and floor.</x:v>
      </x:c>
      <x:c r="N34" s="6" t="str">
        <x:v>{"asset_id":"proc-campus-train-003-A00106","space_id":"proc-campus-train-003-F0-S017","space_name":"Canteen 0.17","floor_level":0,"position":[-0.47,11.08]}</x:v>
      </x:c>
      <x:c r="O34" s="6"/>
      <x:c r="P34" s="6" t="str">
        <x:v>Resolve the intended asset and its containing room/floor.</x:v>
      </x:c>
      <x:c r="Q34" s="15"/>
      <x:c r="R34" s="6"/>
      <x:c r="S34" s="16"/>
      <x:c r="T34" s="15"/>
      <x:c r="U34" s="6"/>
      <x:c r="V34" s="6"/>
      <x:c r="W34" s="6" t="str">
        <x:v>Existing search_building. Improve disambiguation and complete result pagination.</x:v>
      </x:c>
      <x:c r="X34" s="6" t="str">
        <x:v>data/train/proc-campus-train-003/questions_basic.jsonl</x:v>
      </x:c>
      <x:c r="Y34" s="14" t="n">
        <x:v>1</x:v>
      </x:c>
      <x:c r="Z34" s="6" t="str">
        <x:v>https://github.com/hagenhaeussler/Industrial-Agents-Hackathon-2026/blob/f41616590b69f3ea0c1cbfb41d6c35edd9ce53df/data/train/proc-campus-train-003/questions_basic.jsonl#L1</x:v>
      </x:c>
      <x:c r="AA34" s="6" t="str">
        <x:v>procedural</x:v>
      </x:c>
      <x:c r="AB34" s="6" t="str">
        <x:v>CC0-1.0</x:v>
      </x:c>
    </x:row>
    <x:row r="35" ht="72" customHeight="1">
      <x:c r="A35" s="14" t="n">
        <x:v>30</x:v>
      </x:c>
      <x:c r="B35" s="6" t="str">
        <x:v>locate</x:v>
      </x:c>
      <x:c r="C35" s="6" t="str">
        <x:v>Where is the serving counter?</x:v>
      </x:c>
      <x:c r="D35" s="6" t="str">
        <x:v>Canteen 0.17
Floor level: 0
Asset ID: proc-campus-train-003-A00089
Position (m): -0.47, 14.624</x:v>
      </x:c>
      <x:c r="E35" s="6" t="str">
        <x:v>Reference supplied</x:v>
      </x:c>
      <x:c r="F35" s="6" t="str">
        <x:v>train</x:v>
      </x:c>
      <x:c r="G35" s="6" t="str">
        <x:v>proc-campus-train-003</x:v>
      </x:c>
      <x:c r="H35" s="6" t="str">
        <x:v>proc-campus-train-003-Q02</x:v>
      </x:c>
      <x:c r="I35" s="6" t="str">
        <x:v>Find and count assets</x:v>
      </x:c>
      <x:c r="J35" s="6" t="str">
        <x:v>Warm-up</x:v>
      </x:c>
      <x:c r="K35" s="6" t="str">
        <x:v>Room name, floor and asset identity. Coordinates may help the UI.</x:v>
      </x:c>
      <x:c r="L35" s="6" t="str">
        <x:v>T02, T03</x:v>
      </x:c>
      <x:c r="M35" s="6" t="str">
        <x:v>Find a named item and identify its containing room and floor.</x:v>
      </x:c>
      <x:c r="N35" s="6" t="str">
        <x:v>{"asset_id":"proc-campus-train-003-A00089","space_id":"proc-campus-train-003-F0-S017","space_name":"Canteen 0.17","floor_level":0,"position":[-0.47,14.624]}</x:v>
      </x:c>
      <x:c r="O35" s="6"/>
      <x:c r="P35" s="6" t="str">
        <x:v>Resolve the intended asset and its containing room/floor.</x:v>
      </x:c>
      <x:c r="Q35" s="15"/>
      <x:c r="R35" s="6"/>
      <x:c r="S35" s="16"/>
      <x:c r="T35" s="15"/>
      <x:c r="U35" s="6"/>
      <x:c r="V35" s="6"/>
      <x:c r="W35" s="6" t="str">
        <x:v>Existing search_building. Improve disambiguation and complete result pagination.</x:v>
      </x:c>
      <x:c r="X35" s="6" t="str">
        <x:v>data/train/proc-campus-train-003/questions_basic.jsonl</x:v>
      </x:c>
      <x:c r="Y35" s="14" t="n">
        <x:v>2</x:v>
      </x:c>
      <x:c r="Z35" s="6" t="str">
        <x:v>https://github.com/hagenhaeussler/Industrial-Agents-Hackathon-2026/blob/f41616590b69f3ea0c1cbfb41d6c35edd9ce53df/data/train/proc-campus-train-003/questions_basic.jsonl#L2</x:v>
      </x:c>
      <x:c r="AA35" s="6" t="str">
        <x:v>procedural</x:v>
      </x:c>
      <x:c r="AB35" s="6" t="str">
        <x:v>CC0-1.0</x:v>
      </x:c>
    </x:row>
    <x:row r="36" ht="72" customHeight="1">
      <x:c r="A36" s="14" t="n">
        <x:v>31</x:v>
      </x:c>
      <x:c r="B36" s="6" t="str">
        <x:v>locate</x:v>
      </x:c>
      <x:c r="C36" s="6" t="str">
        <x:v>Where is the display screen?</x:v>
      </x:c>
      <x:c r="D36" s="6" t="str">
        <x:v>Meeting room 0.13
Floor level: 0
Asset ID: proc-campus-train-003-A00064
Position (m): -13.407, 30.05</x:v>
      </x:c>
      <x:c r="E36" s="6" t="str">
        <x:v>Reference supplied</x:v>
      </x:c>
      <x:c r="F36" s="6" t="str">
        <x:v>train</x:v>
      </x:c>
      <x:c r="G36" s="6" t="str">
        <x:v>proc-campus-train-003</x:v>
      </x:c>
      <x:c r="H36" s="6" t="str">
        <x:v>proc-campus-train-003-Q03</x:v>
      </x:c>
      <x:c r="I36" s="6" t="str">
        <x:v>Find and count assets</x:v>
      </x:c>
      <x:c r="J36" s="6" t="str">
        <x:v>Warm-up</x:v>
      </x:c>
      <x:c r="K36" s="6" t="str">
        <x:v>Room name, floor and asset identity. Coordinates may help the UI.</x:v>
      </x:c>
      <x:c r="L36" s="6" t="str">
        <x:v>T02, T03</x:v>
      </x:c>
      <x:c r="M36" s="6" t="str">
        <x:v>Find a named item and identify its containing room and floor.</x:v>
      </x:c>
      <x:c r="N36" s="6" t="str">
        <x:v>{"asset_id":"proc-campus-train-003-A00064","space_id":"proc-campus-train-003-F0-S013","space_name":"Meeting room 0.13","floor_level":0,"position":[-13.407,30.05]}</x:v>
      </x:c>
      <x:c r="O36" s="6"/>
      <x:c r="P36" s="6" t="str">
        <x:v>Resolve the intended asset and its containing room/floor.</x:v>
      </x:c>
      <x:c r="Q36" s="15"/>
      <x:c r="R36" s="6"/>
      <x:c r="S36" s="16"/>
      <x:c r="T36" s="15"/>
      <x:c r="U36" s="6"/>
      <x:c r="V36" s="6"/>
      <x:c r="W36" s="6" t="str">
        <x:v>Existing search_building. Improve disambiguation and complete result pagination.</x:v>
      </x:c>
      <x:c r="X36" s="6" t="str">
        <x:v>data/train/proc-campus-train-003/questions_basic.jsonl</x:v>
      </x:c>
      <x:c r="Y36" s="14" t="n">
        <x:v>3</x:v>
      </x:c>
      <x:c r="Z36" s="6" t="str">
        <x:v>https://github.com/hagenhaeussler/Industrial-Agents-Hackathon-2026/blob/f41616590b69f3ea0c1cbfb41d6c35edd9ce53df/data/train/proc-campus-train-003/questions_basic.jsonl#L3</x:v>
      </x:c>
      <x:c r="AA36" s="6" t="str">
        <x:v>procedural</x:v>
      </x:c>
      <x:c r="AB36" s="6" t="str">
        <x:v>CC0-1.0</x:v>
      </x:c>
    </x:row>
    <x:row r="37" ht="72" customHeight="1">
      <x:c r="A37" s="14" t="n">
        <x:v>32</x:v>
      </x:c>
      <x:c r="B37" s="6" t="str">
        <x:v>locate</x:v>
      </x:c>
      <x:c r="C37" s="6" t="str">
        <x:v>Where is the tool cabinet?</x:v>
      </x:c>
      <x:c r="D37" s="6" t="str">
        <x:v>Makerspace 0.07
Floor level: 0
Asset ID: proc-campus-train-004-A00031
Position (m): -0.37, 36.151</x:v>
      </x:c>
      <x:c r="E37" s="6" t="str">
        <x:v>Reference supplied</x:v>
      </x:c>
      <x:c r="F37" s="6" t="str">
        <x:v>train</x:v>
      </x:c>
      <x:c r="G37" s="6" t="str">
        <x:v>proc-campus-train-004</x:v>
      </x:c>
      <x:c r="H37" s="6" t="str">
        <x:v>proc-campus-train-004-Q01</x:v>
      </x:c>
      <x:c r="I37" s="6" t="str">
        <x:v>Find and count assets</x:v>
      </x:c>
      <x:c r="J37" s="6" t="str">
        <x:v>Warm-up</x:v>
      </x:c>
      <x:c r="K37" s="6" t="str">
        <x:v>Room name, floor and asset identity. Coordinates may help the UI.</x:v>
      </x:c>
      <x:c r="L37" s="6" t="str">
        <x:v>T02, T03</x:v>
      </x:c>
      <x:c r="M37" s="6" t="str">
        <x:v>Find a named item and identify its containing room and floor.</x:v>
      </x:c>
      <x:c r="N37" s="6" t="str">
        <x:v>{"asset_id":"proc-campus-train-004-A00031","space_id":"proc-campus-train-004-F0-S007","space_name":"Makerspace 0.07","floor_level":0,"position":[-0.37,36.151]}</x:v>
      </x:c>
      <x:c r="O37" s="6"/>
      <x:c r="P37" s="6" t="str">
        <x:v>Resolve the intended asset and its containing room/floor.</x:v>
      </x:c>
      <x:c r="Q37" s="15"/>
      <x:c r="R37" s="6"/>
      <x:c r="S37" s="16"/>
      <x:c r="T37" s="15"/>
      <x:c r="U37" s="6"/>
      <x:c r="V37" s="6"/>
      <x:c r="W37" s="6" t="str">
        <x:v>Existing search_building. Improve disambiguation and complete result pagination.</x:v>
      </x:c>
      <x:c r="X37" s="6" t="str">
        <x:v>data/train/proc-campus-train-004/questions_basic.jsonl</x:v>
      </x:c>
      <x:c r="Y37" s="14" t="n">
        <x:v>1</x:v>
      </x:c>
      <x:c r="Z37" s="6" t="str">
        <x:v>https://github.com/hagenhaeussler/Industrial-Agents-Hackathon-2026/blob/f41616590b69f3ea0c1cbfb41d6c35edd9ce53df/data/train/proc-campus-train-004/questions_basic.jsonl#L1</x:v>
      </x:c>
      <x:c r="AA37" s="6" t="str">
        <x:v>procedural</x:v>
      </x:c>
      <x:c r="AB37" s="6" t="str">
        <x:v>CC0-1.0</x:v>
      </x:c>
    </x:row>
    <x:row r="38" ht="72" customHeight="1">
      <x:c r="A38" s="14" t="n">
        <x:v>33</x:v>
      </x:c>
      <x:c r="B38" s="6" t="str">
        <x:v>locate</x:v>
      </x:c>
      <x:c r="C38" s="6" t="str">
        <x:v>Where is the reception desk?</x:v>
      </x:c>
      <x:c r="D38" s="6" t="str">
        <x:v>Main lobby
Floor level: 0
Asset ID: proc-campus-train-004-A00064
Position (m): -13.078, 2.353</x:v>
      </x:c>
      <x:c r="E38" s="6" t="str">
        <x:v>Reference supplied</x:v>
      </x:c>
      <x:c r="F38" s="6" t="str">
        <x:v>train</x:v>
      </x:c>
      <x:c r="G38" s="6" t="str">
        <x:v>proc-campus-train-004</x:v>
      </x:c>
      <x:c r="H38" s="6" t="str">
        <x:v>proc-campus-train-004-Q02</x:v>
      </x:c>
      <x:c r="I38" s="6" t="str">
        <x:v>Find and count assets</x:v>
      </x:c>
      <x:c r="J38" s="6" t="str">
        <x:v>Warm-up</x:v>
      </x:c>
      <x:c r="K38" s="6" t="str">
        <x:v>Room name, floor and asset identity. Coordinates may help the UI.</x:v>
      </x:c>
      <x:c r="L38" s="6" t="str">
        <x:v>T02, T03</x:v>
      </x:c>
      <x:c r="M38" s="6" t="str">
        <x:v>Find a named item and identify its containing room and floor.</x:v>
      </x:c>
      <x:c r="N38" s="6" t="str">
        <x:v>{"asset_id":"proc-campus-train-004-A00064","space_id":"proc-campus-train-004-F0-S012","space_name":"Main lobby","floor_level":0,"position":[-13.078,2.353]}</x:v>
      </x:c>
      <x:c r="O38" s="6"/>
      <x:c r="P38" s="6" t="str">
        <x:v>Resolve the intended asset and its containing room/floor.</x:v>
      </x:c>
      <x:c r="Q38" s="15"/>
      <x:c r="R38" s="6"/>
      <x:c r="S38" s="16"/>
      <x:c r="T38" s="15"/>
      <x:c r="U38" s="6"/>
      <x:c r="V38" s="6"/>
      <x:c r="W38" s="6" t="str">
        <x:v>Existing search_building. Improve disambiguation and complete result pagination.</x:v>
      </x:c>
      <x:c r="X38" s="6" t="str">
        <x:v>data/train/proc-campus-train-004/questions_basic.jsonl</x:v>
      </x:c>
      <x:c r="Y38" s="14" t="n">
        <x:v>2</x:v>
      </x:c>
      <x:c r="Z38" s="6" t="str">
        <x:v>https://github.com/hagenhaeussler/Industrial-Agents-Hackathon-2026/blob/f41616590b69f3ea0c1cbfb41d6c35edd9ce53df/data/train/proc-campus-train-004/questions_basic.jsonl#L2</x:v>
      </x:c>
      <x:c r="AA38" s="6" t="str">
        <x:v>procedural</x:v>
      </x:c>
      <x:c r="AB38" s="6" t="str">
        <x:v>CC0-1.0</x:v>
      </x:c>
    </x:row>
    <x:row r="39" ht="72" customHeight="1">
      <x:c r="A39" s="14" t="n">
        <x:v>34</x:v>
      </x:c>
      <x:c r="B39" s="6" t="str">
        <x:v>locate</x:v>
      </x:c>
      <x:c r="C39" s="6" t="str">
        <x:v>Where is the dishwasher?</x:v>
      </x:c>
      <x:c r="D39" s="6" t="str">
        <x:v>Kitchen 0.03
Floor level: 0
Asset ID: proc-campus-train-004-A00009
Position (m): -2.338, 8.79</x:v>
      </x:c>
      <x:c r="E39" s="6" t="str">
        <x:v>Reference supplied</x:v>
      </x:c>
      <x:c r="F39" s="6" t="str">
        <x:v>train</x:v>
      </x:c>
      <x:c r="G39" s="6" t="str">
        <x:v>proc-campus-train-004</x:v>
      </x:c>
      <x:c r="H39" s="6" t="str">
        <x:v>proc-campus-train-004-Q03</x:v>
      </x:c>
      <x:c r="I39" s="6" t="str">
        <x:v>Find and count assets</x:v>
      </x:c>
      <x:c r="J39" s="6" t="str">
        <x:v>Warm-up</x:v>
      </x:c>
      <x:c r="K39" s="6" t="str">
        <x:v>Room name, floor and asset identity. Coordinates may help the UI.</x:v>
      </x:c>
      <x:c r="L39" s="6" t="str">
        <x:v>T02, T03</x:v>
      </x:c>
      <x:c r="M39" s="6" t="str">
        <x:v>Find a named item and identify its containing room and floor.</x:v>
      </x:c>
      <x:c r="N39" s="6" t="str">
        <x:v>{"asset_id":"proc-campus-train-004-A00009","space_id":"proc-campus-train-004-F0-S003","space_name":"Kitchen 0.03","floor_level":0,"position":[-2.338,8.79]}</x:v>
      </x:c>
      <x:c r="O39" s="6"/>
      <x:c r="P39" s="6" t="str">
        <x:v>Resolve the intended asset and its containing room/floor.</x:v>
      </x:c>
      <x:c r="Q39" s="15"/>
      <x:c r="R39" s="6"/>
      <x:c r="S39" s="16"/>
      <x:c r="T39" s="15"/>
      <x:c r="U39" s="6"/>
      <x:c r="V39" s="6"/>
      <x:c r="W39" s="6" t="str">
        <x:v>Existing search_building. Improve disambiguation and complete result pagination.</x:v>
      </x:c>
      <x:c r="X39" s="6" t="str">
        <x:v>data/train/proc-campus-train-004/questions_basic.jsonl</x:v>
      </x:c>
      <x:c r="Y39" s="14" t="n">
        <x:v>3</x:v>
      </x:c>
      <x:c r="Z39" s="6" t="str">
        <x:v>https://github.com/hagenhaeussler/Industrial-Agents-Hackathon-2026/blob/f41616590b69f3ea0c1cbfb41d6c35edd9ce53df/data/train/proc-campus-train-004/questions_basic.jsonl#L3</x:v>
      </x:c>
      <x:c r="AA39" s="6" t="str">
        <x:v>procedural</x:v>
      </x:c>
      <x:c r="AB39" s="6" t="str">
        <x:v>CC0-1.0</x:v>
      </x:c>
    </x:row>
    <x:row r="40" ht="72" customHeight="1">
      <x:c r="A40" s="14" t="n">
        <x:v>35</x:v>
      </x:c>
      <x:c r="B40" s="6" t="str">
        <x:v>locate</x:v>
      </x:c>
      <x:c r="C40" s="6" t="str">
        <x:v>Where is the shoe cabinet?</x:v>
      </x:c>
      <x:c r="D40" s="6" t="str">
        <x:v>Corridor 0.01
Floor level: 0
Asset ID: proc-campus-train-011-A00001
Position (m): 6.245, -5.566</x:v>
      </x:c>
      <x:c r="E40" s="6" t="str">
        <x:v>Reference supplied</x:v>
      </x:c>
      <x:c r="F40" s="6" t="str">
        <x:v>train</x:v>
      </x:c>
      <x:c r="G40" s="6" t="str">
        <x:v>proc-campus-train-011</x:v>
      </x:c>
      <x:c r="H40" s="6" t="str">
        <x:v>proc-campus-train-011-Q01</x:v>
      </x:c>
      <x:c r="I40" s="6" t="str">
        <x:v>Find and count assets</x:v>
      </x:c>
      <x:c r="J40" s="6" t="str">
        <x:v>Warm-up</x:v>
      </x:c>
      <x:c r="K40" s="6" t="str">
        <x:v>Room name, floor and asset identity. Coordinates may help the UI.</x:v>
      </x:c>
      <x:c r="L40" s="6" t="str">
        <x:v>T02, T03</x:v>
      </x:c>
      <x:c r="M40" s="6" t="str">
        <x:v>Find a named item and identify its containing room and floor.</x:v>
      </x:c>
      <x:c r="N40" s="6" t="str">
        <x:v>{"asset_id":"proc-campus-train-011-A00001","space_id":"proc-campus-train-011-F0-S001","space_name":"Corridor 0.01","floor_level":0,"position":[6.245,-5.566]}</x:v>
      </x:c>
      <x:c r="O40" s="6"/>
      <x:c r="P40" s="6" t="str">
        <x:v>Resolve the intended asset and its containing room/floor.</x:v>
      </x:c>
      <x:c r="Q40" s="15"/>
      <x:c r="R40" s="6"/>
      <x:c r="S40" s="16"/>
      <x:c r="T40" s="15"/>
      <x:c r="U40" s="6"/>
      <x:c r="V40" s="6"/>
      <x:c r="W40" s="6" t="str">
        <x:v>Existing search_building. Improve disambiguation and complete result pagination.</x:v>
      </x:c>
      <x:c r="X40" s="6" t="str">
        <x:v>data/train/proc-campus-train-011/questions_basic.jsonl</x:v>
      </x:c>
      <x:c r="Y40" s="14" t="n">
        <x:v>1</x:v>
      </x:c>
      <x:c r="Z40" s="6" t="str">
        <x:v>https://github.com/hagenhaeussler/Industrial-Agents-Hackathon-2026/blob/f41616590b69f3ea0c1cbfb41d6c35edd9ce53df/data/train/proc-campus-train-011/questions_basic.jsonl#L1</x:v>
      </x:c>
      <x:c r="AA40" s="6" t="str">
        <x:v>procedural</x:v>
      </x:c>
      <x:c r="AB40" s="6" t="str">
        <x:v>CC0-1.0</x:v>
      </x:c>
    </x:row>
    <x:row r="41" ht="72" customHeight="1">
      <x:c r="A41" s="14" t="n">
        <x:v>36</x:v>
      </x:c>
      <x:c r="B41" s="6" t="str">
        <x:v>locate</x:v>
      </x:c>
      <x:c r="C41" s="6" t="str">
        <x:v>Where is the serving counter?</x:v>
      </x:c>
      <x:c r="D41" s="6" t="str">
        <x:v>Canteen 0.19
Floor level: 0
Asset ID: proc-campus-train-011-A00125
Position (m): 5.53, -14.969</x:v>
      </x:c>
      <x:c r="E41" s="6" t="str">
        <x:v>Reference supplied</x:v>
      </x:c>
      <x:c r="F41" s="6" t="str">
        <x:v>train</x:v>
      </x:c>
      <x:c r="G41" s="6" t="str">
        <x:v>proc-campus-train-011</x:v>
      </x:c>
      <x:c r="H41" s="6" t="str">
        <x:v>proc-campus-train-011-Q02</x:v>
      </x:c>
      <x:c r="I41" s="6" t="str">
        <x:v>Find and count assets</x:v>
      </x:c>
      <x:c r="J41" s="6" t="str">
        <x:v>Warm-up</x:v>
      </x:c>
      <x:c r="K41" s="6" t="str">
        <x:v>Room name, floor and asset identity. Coordinates may help the UI.</x:v>
      </x:c>
      <x:c r="L41" s="6" t="str">
        <x:v>T02, T03</x:v>
      </x:c>
      <x:c r="M41" s="6" t="str">
        <x:v>Find a named item and identify its containing room and floor.</x:v>
      </x:c>
      <x:c r="N41" s="6" t="str">
        <x:v>{"asset_id":"proc-campus-train-011-A00125","space_id":"proc-campus-train-011-F0-S019","space_name":"Canteen 0.19","floor_level":0,"position":[5.53,-14.969]}</x:v>
      </x:c>
      <x:c r="O41" s="6"/>
      <x:c r="P41" s="6" t="str">
        <x:v>Resolve the intended asset and its containing room/floor.</x:v>
      </x:c>
      <x:c r="Q41" s="15"/>
      <x:c r="R41" s="6"/>
      <x:c r="S41" s="16"/>
      <x:c r="T41" s="15"/>
      <x:c r="U41" s="6"/>
      <x:c r="V41" s="6"/>
      <x:c r="W41" s="6" t="str">
        <x:v>Existing search_building. Improve disambiguation and complete result pagination.</x:v>
      </x:c>
      <x:c r="X41" s="6" t="str">
        <x:v>data/train/proc-campus-train-011/questions_basic.jsonl</x:v>
      </x:c>
      <x:c r="Y41" s="14" t="n">
        <x:v>2</x:v>
      </x:c>
      <x:c r="Z41" s="6" t="str">
        <x:v>https://github.com/hagenhaeussler/Industrial-Agents-Hackathon-2026/blob/f41616590b69f3ea0c1cbfb41d6c35edd9ce53df/data/train/proc-campus-train-011/questions_basic.jsonl#L2</x:v>
      </x:c>
      <x:c r="AA41" s="6" t="str">
        <x:v>procedural</x:v>
      </x:c>
      <x:c r="AB41" s="6" t="str">
        <x:v>CC0-1.0</x:v>
      </x:c>
    </x:row>
    <x:row r="42" ht="72" customHeight="1">
      <x:c r="A42" s="14" t="n">
        <x:v>37</x:v>
      </x:c>
      <x:c r="B42" s="6" t="str">
        <x:v>locate</x:v>
      </x:c>
      <x:c r="C42" s="6" t="str">
        <x:v>Where is the lectern?</x:v>
      </x:c>
      <x:c r="D42" s="6" t="str">
        <x:v>Lecture hall 0.18
Floor level: 0
Asset ID: proc-campus-train-011-A00113
Position (m): 1.374, -29.305</x:v>
      </x:c>
      <x:c r="E42" s="6" t="str">
        <x:v>Reference supplied</x:v>
      </x:c>
      <x:c r="F42" s="6" t="str">
        <x:v>train</x:v>
      </x:c>
      <x:c r="G42" s="6" t="str">
        <x:v>proc-campus-train-011</x:v>
      </x:c>
      <x:c r="H42" s="6" t="str">
        <x:v>proc-campus-train-011-Q03</x:v>
      </x:c>
      <x:c r="I42" s="6" t="str">
        <x:v>Find and count assets</x:v>
      </x:c>
      <x:c r="J42" s="6" t="str">
        <x:v>Warm-up</x:v>
      </x:c>
      <x:c r="K42" s="6" t="str">
        <x:v>Room name, floor and asset identity. Coordinates may help the UI.</x:v>
      </x:c>
      <x:c r="L42" s="6" t="str">
        <x:v>T02, T03</x:v>
      </x:c>
      <x:c r="M42" s="6" t="str">
        <x:v>Find a named item and identify its containing room and floor.</x:v>
      </x:c>
      <x:c r="N42" s="6" t="str">
        <x:v>{"asset_id":"proc-campus-train-011-A00113","space_id":"proc-campus-train-011-F0-S018","space_name":"Lecture hall 0.18","floor_level":0,"position":[1.374,-29.305]}</x:v>
      </x:c>
      <x:c r="O42" s="6"/>
      <x:c r="P42" s="6" t="str">
        <x:v>Resolve the intended asset and its containing room/floor.</x:v>
      </x:c>
      <x:c r="Q42" s="15"/>
      <x:c r="R42" s="6"/>
      <x:c r="S42" s="16"/>
      <x:c r="T42" s="15"/>
      <x:c r="U42" s="6"/>
      <x:c r="V42" s="6"/>
      <x:c r="W42" s="6" t="str">
        <x:v>Existing search_building. Improve disambiguation and complete result pagination.</x:v>
      </x:c>
      <x:c r="X42" s="6" t="str">
        <x:v>data/train/proc-campus-train-011/questions_basic.jsonl</x:v>
      </x:c>
      <x:c r="Y42" s="14" t="n">
        <x:v>3</x:v>
      </x:c>
      <x:c r="Z42" s="6" t="str">
        <x:v>https://github.com/hagenhaeussler/Industrial-Agents-Hackathon-2026/blob/f41616590b69f3ea0c1cbfb41d6c35edd9ce53df/data/train/proc-campus-train-011/questions_basic.jsonl#L3</x:v>
      </x:c>
      <x:c r="AA42" s="6" t="str">
        <x:v>procedural</x:v>
      </x:c>
      <x:c r="AB42" s="6" t="str">
        <x:v>CC0-1.0</x:v>
      </x:c>
    </x:row>
    <x:row r="43" ht="72" customHeight="1">
      <x:c r="A43" s="14" t="n">
        <x:v>38</x:v>
      </x:c>
      <x:c r="B43" s="6" t="str">
        <x:v>locate</x:v>
      </x:c>
      <x:c r="C43" s="6" t="str">
        <x:v>Where is the laser cutter?</x:v>
      </x:c>
      <x:c r="D43" s="6" t="str">
        <x:v>Makerspace 0.11
Floor level: 0
Asset ID: proc-campus-train-012-A00054
Position (m): 16.054, 13.88</x:v>
      </x:c>
      <x:c r="E43" s="6" t="str">
        <x:v>Reference supplied</x:v>
      </x:c>
      <x:c r="F43" s="6" t="str">
        <x:v>train</x:v>
      </x:c>
      <x:c r="G43" s="6" t="str">
        <x:v>proc-campus-train-012</x:v>
      </x:c>
      <x:c r="H43" s="6" t="str">
        <x:v>proc-campus-train-012-Q01</x:v>
      </x:c>
      <x:c r="I43" s="6" t="str">
        <x:v>Find and count assets</x:v>
      </x:c>
      <x:c r="J43" s="6" t="str">
        <x:v>Warm-up</x:v>
      </x:c>
      <x:c r="K43" s="6" t="str">
        <x:v>Room name, floor and asset identity. Coordinates may help the UI.</x:v>
      </x:c>
      <x:c r="L43" s="6" t="str">
        <x:v>T02, T03</x:v>
      </x:c>
      <x:c r="M43" s="6" t="str">
        <x:v>Find a named item and identify its containing room and floor.</x:v>
      </x:c>
      <x:c r="N43" s="6" t="str">
        <x:v>{"asset_id":"proc-campus-train-012-A00054","space_id":"proc-campus-train-012-F0-S011","space_name":"Makerspace 0.11","floor_level":0,"position":[16.054,13.88]}</x:v>
      </x:c>
      <x:c r="O43" s="6"/>
      <x:c r="P43" s="6" t="str">
        <x:v>Resolve the intended asset and its containing room/floor.</x:v>
      </x:c>
      <x:c r="Q43" s="15"/>
      <x:c r="R43" s="6"/>
      <x:c r="S43" s="16"/>
      <x:c r="T43" s="15"/>
      <x:c r="U43" s="6"/>
      <x:c r="V43" s="6"/>
      <x:c r="W43" s="6" t="str">
        <x:v>Existing search_building. Improve disambiguation and complete result pagination.</x:v>
      </x:c>
      <x:c r="X43" s="6" t="str">
        <x:v>data/train/proc-campus-train-012/questions_basic.jsonl</x:v>
      </x:c>
      <x:c r="Y43" s="14" t="n">
        <x:v>1</x:v>
      </x:c>
      <x:c r="Z43" s="6" t="str">
        <x:v>https://github.com/hagenhaeussler/Industrial-Agents-Hackathon-2026/blob/f41616590b69f3ea0c1cbfb41d6c35edd9ce53df/data/train/proc-campus-train-012/questions_basic.jsonl#L1</x:v>
      </x:c>
      <x:c r="AA43" s="6" t="str">
        <x:v>procedural</x:v>
      </x:c>
      <x:c r="AB43" s="6" t="str">
        <x:v>CC0-1.0</x:v>
      </x:c>
    </x:row>
    <x:row r="44" ht="72" customHeight="1">
      <x:c r="A44" s="14" t="n">
        <x:v>39</x:v>
      </x:c>
      <x:c r="B44" s="6" t="str">
        <x:v>locate</x:v>
      </x:c>
      <x:c r="C44" s="6" t="str">
        <x:v>Where is the water dispenser?</x:v>
      </x:c>
      <x:c r="D44" s="6" t="str">
        <x:v>Canteen 0.16
Floor level: 0
Asset ID: proc-campus-train-012-A00110
Position (m): 27.34, 14.13</x:v>
      </x:c>
      <x:c r="E44" s="6" t="str">
        <x:v>Reference supplied</x:v>
      </x:c>
      <x:c r="F44" s="6" t="str">
        <x:v>train</x:v>
      </x:c>
      <x:c r="G44" s="6" t="str">
        <x:v>proc-campus-train-012</x:v>
      </x:c>
      <x:c r="H44" s="6" t="str">
        <x:v>proc-campus-train-012-Q02</x:v>
      </x:c>
      <x:c r="I44" s="6" t="str">
        <x:v>Find and count assets</x:v>
      </x:c>
      <x:c r="J44" s="6" t="str">
        <x:v>Warm-up</x:v>
      </x:c>
      <x:c r="K44" s="6" t="str">
        <x:v>Room name, floor and asset identity. Coordinates may help the UI.</x:v>
      </x:c>
      <x:c r="L44" s="6" t="str">
        <x:v>T02, T03</x:v>
      </x:c>
      <x:c r="M44" s="6" t="str">
        <x:v>Find a named item and identify its containing room and floor.</x:v>
      </x:c>
      <x:c r="N44" s="6" t="str">
        <x:v>{"asset_id":"proc-campus-train-012-A00110","space_id":"proc-campus-train-012-F0-S016","space_name":"Canteen 0.16","floor_level":0,"position":[27.34,14.13]}</x:v>
      </x:c>
      <x:c r="O44" s="6"/>
      <x:c r="P44" s="6" t="str">
        <x:v>Resolve the intended asset and its containing room/floor.</x:v>
      </x:c>
      <x:c r="Q44" s="15"/>
      <x:c r="R44" s="6"/>
      <x:c r="S44" s="16"/>
      <x:c r="T44" s="15"/>
      <x:c r="U44" s="6"/>
      <x:c r="V44" s="6"/>
      <x:c r="W44" s="6" t="str">
        <x:v>Existing search_building. Improve disambiguation and complete result pagination.</x:v>
      </x:c>
      <x:c r="X44" s="6" t="str">
        <x:v>data/train/proc-campus-train-012/questions_basic.jsonl</x:v>
      </x:c>
      <x:c r="Y44" s="14" t="n">
        <x:v>2</x:v>
      </x:c>
      <x:c r="Z44" s="6" t="str">
        <x:v>https://github.com/hagenhaeussler/Industrial-Agents-Hackathon-2026/blob/f41616590b69f3ea0c1cbfb41d6c35edd9ce53df/data/train/proc-campus-train-012/questions_basic.jsonl#L2</x:v>
      </x:c>
      <x:c r="AA44" s="6" t="str">
        <x:v>procedural</x:v>
      </x:c>
      <x:c r="AB44" s="6" t="str">
        <x:v>CC0-1.0</x:v>
      </x:c>
    </x:row>
    <x:row r="45" ht="72" customHeight="1">
      <x:c r="A45" s="14" t="n">
        <x:v>40</x:v>
      </x:c>
      <x:c r="B45" s="6" t="str">
        <x:v>locate</x:v>
      </x:c>
      <x:c r="C45" s="6" t="str">
        <x:v>Where is the reception desk?</x:v>
      </x:c>
      <x:c r="D45" s="6" t="str">
        <x:v>Main lobby
Floor level: 0
Asset ID: proc-campus-train-012-A00039
Position (m): 1.397, 11.315</x:v>
      </x:c>
      <x:c r="E45" s="6" t="str">
        <x:v>Reference supplied</x:v>
      </x:c>
      <x:c r="F45" s="6" t="str">
        <x:v>train</x:v>
      </x:c>
      <x:c r="G45" s="6" t="str">
        <x:v>proc-campus-train-012</x:v>
      </x:c>
      <x:c r="H45" s="6" t="str">
        <x:v>proc-campus-train-012-Q03</x:v>
      </x:c>
      <x:c r="I45" s="6" t="str">
        <x:v>Find and count assets</x:v>
      </x:c>
      <x:c r="J45" s="6" t="str">
        <x:v>Warm-up</x:v>
      </x:c>
      <x:c r="K45" s="6" t="str">
        <x:v>Room name, floor and asset identity. Coordinates may help the UI.</x:v>
      </x:c>
      <x:c r="L45" s="6" t="str">
        <x:v>T02, T03</x:v>
      </x:c>
      <x:c r="M45" s="6" t="str">
        <x:v>Find a named item and identify its containing room and floor.</x:v>
      </x:c>
      <x:c r="N45" s="6" t="str">
        <x:v>{"asset_id":"proc-campus-train-012-A00039","space_id":"proc-campus-train-012-F0-S009","space_name":"Main lobby","floor_level":0,"position":[1.397,11.315]}</x:v>
      </x:c>
      <x:c r="O45" s="6"/>
      <x:c r="P45" s="6" t="str">
        <x:v>Resolve the intended asset and its containing room/floor.</x:v>
      </x:c>
      <x:c r="Q45" s="15"/>
      <x:c r="R45" s="6"/>
      <x:c r="S45" s="16"/>
      <x:c r="T45" s="15"/>
      <x:c r="U45" s="6"/>
      <x:c r="V45" s="6"/>
      <x:c r="W45" s="6" t="str">
        <x:v>Existing search_building. Improve disambiguation and complete result pagination.</x:v>
      </x:c>
      <x:c r="X45" s="6" t="str">
        <x:v>data/train/proc-campus-train-012/questions_basic.jsonl</x:v>
      </x:c>
      <x:c r="Y45" s="14" t="n">
        <x:v>3</x:v>
      </x:c>
      <x:c r="Z45" s="6" t="str">
        <x:v>https://github.com/hagenhaeussler/Industrial-Agents-Hackathon-2026/blob/f41616590b69f3ea0c1cbfb41d6c35edd9ce53df/data/train/proc-campus-train-012/questions_basic.jsonl#L3</x:v>
      </x:c>
      <x:c r="AA45" s="6" t="str">
        <x:v>procedural</x:v>
      </x:c>
      <x:c r="AB45" s="6" t="str">
        <x:v>CC0-1.0</x:v>
      </x:c>
    </x:row>
    <x:row r="46" ht="72" customHeight="1">
      <x:c r="A46" s="14" t="n">
        <x:v>41</x:v>
      </x:c>
      <x:c r="B46" s="6" t="str">
        <x:v>locate</x:v>
      </x:c>
      <x:c r="C46" s="6" t="str">
        <x:v>Where is the vending machine?</x:v>
      </x:c>
      <x:c r="D46" s="6" t="str">
        <x:v>Canteen 0.22
Floor level: 0
Asset ID: proc-campus-train-013-A00146
Position (m): -20.13, -5.276</x:v>
      </x:c>
      <x:c r="E46" s="6" t="str">
        <x:v>Reference supplied</x:v>
      </x:c>
      <x:c r="F46" s="6" t="str">
        <x:v>train</x:v>
      </x:c>
      <x:c r="G46" s="6" t="str">
        <x:v>proc-campus-train-013</x:v>
      </x:c>
      <x:c r="H46" s="6" t="str">
        <x:v>proc-campus-train-013-Q01</x:v>
      </x:c>
      <x:c r="I46" s="6" t="str">
        <x:v>Find and count assets</x:v>
      </x:c>
      <x:c r="J46" s="6" t="str">
        <x:v>Warm-up</x:v>
      </x:c>
      <x:c r="K46" s="6" t="str">
        <x:v>Room name, floor and asset identity. Coordinates may help the UI.</x:v>
      </x:c>
      <x:c r="L46" s="6" t="str">
        <x:v>T02, T03</x:v>
      </x:c>
      <x:c r="M46" s="6" t="str">
        <x:v>Find a named item and identify its containing room and floor.</x:v>
      </x:c>
      <x:c r="N46" s="6" t="str">
        <x:v>{"asset_id":"proc-campus-train-013-A00146","space_id":"proc-campus-train-013-F0-S022","space_name":"Canteen 0.22","floor_level":0,"position":[-20.13,-5.276]}</x:v>
      </x:c>
      <x:c r="O46" s="6"/>
      <x:c r="P46" s="6" t="str">
        <x:v>Resolve the intended asset and its containing room/floor.</x:v>
      </x:c>
      <x:c r="Q46" s="15"/>
      <x:c r="R46" s="6"/>
      <x:c r="S46" s="16"/>
      <x:c r="T46" s="15"/>
      <x:c r="U46" s="6"/>
      <x:c r="V46" s="6"/>
      <x:c r="W46" s="6" t="str">
        <x:v>Existing search_building. Improve disambiguation and complete result pagination.</x:v>
      </x:c>
      <x:c r="X46" s="6" t="str">
        <x:v>data/train/proc-campus-train-013/questions_basic.jsonl</x:v>
      </x:c>
      <x:c r="Y46" s="14" t="n">
        <x:v>1</x:v>
      </x:c>
      <x:c r="Z46" s="6" t="str">
        <x:v>https://github.com/hagenhaeussler/Industrial-Agents-Hackathon-2026/blob/f41616590b69f3ea0c1cbfb41d6c35edd9ce53df/data/train/proc-campus-train-013/questions_basic.jsonl#L1</x:v>
      </x:c>
      <x:c r="AA46" s="6" t="str">
        <x:v>procedural</x:v>
      </x:c>
      <x:c r="AB46" s="6" t="str">
        <x:v>CC0-1.0</x:v>
      </x:c>
    </x:row>
    <x:row r="47" ht="72" customHeight="1">
      <x:c r="A47" s="14" t="n">
        <x:v>42</x:v>
      </x:c>
      <x:c r="B47" s="6" t="str">
        <x:v>locate</x:v>
      </x:c>
      <x:c r="C47" s="6" t="str">
        <x:v>Where is the laser cutter?</x:v>
      </x:c>
      <x:c r="D47" s="6" t="str">
        <x:v>Makerspace 0.16
Floor level: 0
Asset ID: proc-campus-train-013-A00078
Position (m): -30.533, -13.88</x:v>
      </x:c>
      <x:c r="E47" s="6" t="str">
        <x:v>Reference supplied</x:v>
      </x:c>
      <x:c r="F47" s="6" t="str">
        <x:v>train</x:v>
      </x:c>
      <x:c r="G47" s="6" t="str">
        <x:v>proc-campus-train-013</x:v>
      </x:c>
      <x:c r="H47" s="6" t="str">
        <x:v>proc-campus-train-013-Q02</x:v>
      </x:c>
      <x:c r="I47" s="6" t="str">
        <x:v>Find and count assets</x:v>
      </x:c>
      <x:c r="J47" s="6" t="str">
        <x:v>Warm-up</x:v>
      </x:c>
      <x:c r="K47" s="6" t="str">
        <x:v>Room name, floor and asset identity. Coordinates may help the UI.</x:v>
      </x:c>
      <x:c r="L47" s="6" t="str">
        <x:v>T02, T03</x:v>
      </x:c>
      <x:c r="M47" s="6" t="str">
        <x:v>Find a named item and identify its containing room and floor.</x:v>
      </x:c>
      <x:c r="N47" s="6" t="str">
        <x:v>{"asset_id":"proc-campus-train-013-A00078","space_id":"proc-campus-train-013-F0-S016","space_name":"Makerspace 0.16","floor_level":0,"position":[-30.533,-13.88]}</x:v>
      </x:c>
      <x:c r="O47" s="6"/>
      <x:c r="P47" s="6" t="str">
        <x:v>Resolve the intended asset and its containing room/floor.</x:v>
      </x:c>
      <x:c r="Q47" s="15"/>
      <x:c r="R47" s="6"/>
      <x:c r="S47" s="16"/>
      <x:c r="T47" s="15"/>
      <x:c r="U47" s="6"/>
      <x:c r="V47" s="6"/>
      <x:c r="W47" s="6" t="str">
        <x:v>Existing search_building. Improve disambiguation and complete result pagination.</x:v>
      </x:c>
      <x:c r="X47" s="6" t="str">
        <x:v>data/train/proc-campus-train-013/questions_basic.jsonl</x:v>
      </x:c>
      <x:c r="Y47" s="14" t="n">
        <x:v>2</x:v>
      </x:c>
      <x:c r="Z47" s="6" t="str">
        <x:v>https://github.com/hagenhaeussler/Industrial-Agents-Hackathon-2026/blob/f41616590b69f3ea0c1cbfb41d6c35edd9ce53df/data/train/proc-campus-train-013/questions_basic.jsonl#L2</x:v>
      </x:c>
      <x:c r="AA47" s="6" t="str">
        <x:v>procedural</x:v>
      </x:c>
      <x:c r="AB47" s="6" t="str">
        <x:v>CC0-1.0</x:v>
      </x:c>
    </x:row>
    <x:row r="48" ht="72" customHeight="1">
      <x:c r="A48" s="14" t="n">
        <x:v>43</x:v>
      </x:c>
      <x:c r="B48" s="6" t="str">
        <x:v>locate</x:v>
      </x:c>
      <x:c r="C48" s="6" t="str">
        <x:v>Where is the defibrillator?</x:v>
      </x:c>
      <x:c r="D48" s="6" t="str">
        <x:v>Main lobby
Floor level: 0
Asset ID: proc-campus-train-013-A00058
Position (m): -3.26, -12.936</x:v>
      </x:c>
      <x:c r="E48" s="6" t="str">
        <x:v>Reference supplied</x:v>
      </x:c>
      <x:c r="F48" s="6" t="str">
        <x:v>train</x:v>
      </x:c>
      <x:c r="G48" s="6" t="str">
        <x:v>proc-campus-train-013</x:v>
      </x:c>
      <x:c r="H48" s="6" t="str">
        <x:v>proc-campus-train-013-Q03</x:v>
      </x:c>
      <x:c r="I48" s="6" t="str">
        <x:v>Find and count assets</x:v>
      </x:c>
      <x:c r="J48" s="6" t="str">
        <x:v>Warm-up</x:v>
      </x:c>
      <x:c r="K48" s="6" t="str">
        <x:v>Room name, floor and asset identity. Coordinates may help the UI.</x:v>
      </x:c>
      <x:c r="L48" s="6" t="str">
        <x:v>T02, T03</x:v>
      </x:c>
      <x:c r="M48" s="6" t="str">
        <x:v>Find a named item and identify its containing room and floor.</x:v>
      </x:c>
      <x:c r="N48" s="6" t="str">
        <x:v>{"asset_id":"proc-campus-train-013-A00058","space_id":"proc-campus-train-013-F0-S013","space_name":"Main lobby","floor_level":0,"position":[-3.26,-12.936]}</x:v>
      </x:c>
      <x:c r="O48" s="6"/>
      <x:c r="P48" s="6" t="str">
        <x:v>Resolve the intended asset and its containing room/floor.</x:v>
      </x:c>
      <x:c r="Q48" s="15"/>
      <x:c r="R48" s="6"/>
      <x:c r="S48" s="16"/>
      <x:c r="T48" s="15"/>
      <x:c r="U48" s="6"/>
      <x:c r="V48" s="6"/>
      <x:c r="W48" s="6" t="str">
        <x:v>Existing search_building. Improve disambiguation and complete result pagination.</x:v>
      </x:c>
      <x:c r="X48" s="6" t="str">
        <x:v>data/train/proc-campus-train-013/questions_basic.jsonl</x:v>
      </x:c>
      <x:c r="Y48" s="14" t="n">
        <x:v>3</x:v>
      </x:c>
      <x:c r="Z48" s="6" t="str">
        <x:v>https://github.com/hagenhaeussler/Industrial-Agents-Hackathon-2026/blob/f41616590b69f3ea0c1cbfb41d6c35edd9ce53df/data/train/proc-campus-train-013/questions_basic.jsonl#L3</x:v>
      </x:c>
      <x:c r="AA48" s="6" t="str">
        <x:v>procedural</x:v>
      </x:c>
      <x:c r="AB48" s="6" t="str">
        <x:v>CC0-1.0</x:v>
      </x:c>
    </x:row>
    <x:row r="49" ht="72" customHeight="1">
      <x:c r="A49" s="14" t="n">
        <x:v>44</x:v>
      </x:c>
      <x:c r="B49" s="6" t="str">
        <x:v>locate</x:v>
      </x:c>
      <x:c r="C49" s="6" t="str">
        <x:v>Where is the serving counter?</x:v>
      </x:c>
      <x:c r="D49" s="6" t="str">
        <x:v>Canteen 0.23
Floor level: 0
Asset ID: proc-campus-train-014-A00153
Position (m): 0.47, -51.428</x:v>
      </x:c>
      <x:c r="E49" s="6" t="str">
        <x:v>Reference supplied</x:v>
      </x:c>
      <x:c r="F49" s="6" t="str">
        <x:v>train</x:v>
      </x:c>
      <x:c r="G49" s="6" t="str">
        <x:v>proc-campus-train-014</x:v>
      </x:c>
      <x:c r="H49" s="6" t="str">
        <x:v>proc-campus-train-014-Q01</x:v>
      </x:c>
      <x:c r="I49" s="6" t="str">
        <x:v>Find and count assets</x:v>
      </x:c>
      <x:c r="J49" s="6" t="str">
        <x:v>Warm-up</x:v>
      </x:c>
      <x:c r="K49" s="6" t="str">
        <x:v>Room name, floor and asset identity. Coordinates may help the UI.</x:v>
      </x:c>
      <x:c r="L49" s="6" t="str">
        <x:v>T02, T03</x:v>
      </x:c>
      <x:c r="M49" s="6" t="str">
        <x:v>Find a named item and identify its containing room and floor.</x:v>
      </x:c>
      <x:c r="N49" s="6" t="str">
        <x:v>{"asset_id":"proc-campus-train-014-A00153","space_id":"proc-campus-train-014-F0-S023","space_name":"Canteen 0.23","floor_level":0,"position":[0.47,-51.428]}</x:v>
      </x:c>
      <x:c r="O49" s="6"/>
      <x:c r="P49" s="6" t="str">
        <x:v>Resolve the intended asset and its containing room/floor.</x:v>
      </x:c>
      <x:c r="Q49" s="15"/>
      <x:c r="R49" s="6"/>
      <x:c r="S49" s="16"/>
      <x:c r="T49" s="15"/>
      <x:c r="U49" s="6"/>
      <x:c r="V49" s="6"/>
      <x:c r="W49" s="6" t="str">
        <x:v>Existing search_building. Improve disambiguation and complete result pagination.</x:v>
      </x:c>
      <x:c r="X49" s="6" t="str">
        <x:v>data/train/proc-campus-train-014/questions_basic.jsonl</x:v>
      </x:c>
      <x:c r="Y49" s="14" t="n">
        <x:v>1</x:v>
      </x:c>
      <x:c r="Z49" s="6" t="str">
        <x:v>https://github.com/hagenhaeussler/Industrial-Agents-Hackathon-2026/blob/f41616590b69f3ea0c1cbfb41d6c35edd9ce53df/data/train/proc-campus-train-014/questions_basic.jsonl#L1</x:v>
      </x:c>
      <x:c r="AA49" s="6" t="str">
        <x:v>procedural</x:v>
      </x:c>
      <x:c r="AB49" s="6" t="str">
        <x:v>CC0-1.0</x:v>
      </x:c>
    </x:row>
    <x:row r="50" ht="72" customHeight="1">
      <x:c r="A50" s="14" t="n">
        <x:v>45</x:v>
      </x:c>
      <x:c r="B50" s="6" t="str">
        <x:v>locate</x:v>
      </x:c>
      <x:c r="C50" s="6" t="str">
        <x:v>Where is the reception desk?</x:v>
      </x:c>
      <x:c r="D50" s="6" t="str">
        <x:v>Main lobby
Floor level: 0
Asset ID: proc-campus-train-014-A00060
Position (m): 10.865, -3.178</x:v>
      </x:c>
      <x:c r="E50" s="6" t="str">
        <x:v>Reference supplied</x:v>
      </x:c>
      <x:c r="F50" s="6" t="str">
        <x:v>train</x:v>
      </x:c>
      <x:c r="G50" s="6" t="str">
        <x:v>proc-campus-train-014</x:v>
      </x:c>
      <x:c r="H50" s="6" t="str">
        <x:v>proc-campus-train-014-Q02</x:v>
      </x:c>
      <x:c r="I50" s="6" t="str">
        <x:v>Find and count assets</x:v>
      </x:c>
      <x:c r="J50" s="6" t="str">
        <x:v>Warm-up</x:v>
      </x:c>
      <x:c r="K50" s="6" t="str">
        <x:v>Room name, floor and asset identity. Coordinates may help the UI.</x:v>
      </x:c>
      <x:c r="L50" s="6" t="str">
        <x:v>T02, T03</x:v>
      </x:c>
      <x:c r="M50" s="6" t="str">
        <x:v>Find a named item and identify its containing room and floor.</x:v>
      </x:c>
      <x:c r="N50" s="6" t="str">
        <x:v>{"asset_id":"proc-campus-train-014-A00060","space_id":"proc-campus-train-014-F0-S011","space_name":"Main lobby","floor_level":0,"position":[10.865,-3.178]}</x:v>
      </x:c>
      <x:c r="O50" s="6"/>
      <x:c r="P50" s="6" t="str">
        <x:v>Resolve the intended asset and its containing room/floor.</x:v>
      </x:c>
      <x:c r="Q50" s="15"/>
      <x:c r="R50" s="6"/>
      <x:c r="S50" s="16"/>
      <x:c r="T50" s="15"/>
      <x:c r="U50" s="6"/>
      <x:c r="V50" s="6"/>
      <x:c r="W50" s="6" t="str">
        <x:v>Existing search_building. Improve disambiguation and complete result pagination.</x:v>
      </x:c>
      <x:c r="X50" s="6" t="str">
        <x:v>data/train/proc-campus-train-014/questions_basic.jsonl</x:v>
      </x:c>
      <x:c r="Y50" s="14" t="n">
        <x:v>2</x:v>
      </x:c>
      <x:c r="Z50" s="6" t="str">
        <x:v>https://github.com/hagenhaeussler/Industrial-Agents-Hackathon-2026/blob/f41616590b69f3ea0c1cbfb41d6c35edd9ce53df/data/train/proc-campus-train-014/questions_basic.jsonl#L2</x:v>
      </x:c>
      <x:c r="AA50" s="6" t="str">
        <x:v>procedural</x:v>
      </x:c>
      <x:c r="AB50" s="6" t="str">
        <x:v>CC0-1.0</x:v>
      </x:c>
    </x:row>
    <x:row r="51" ht="72" customHeight="1">
      <x:c r="A51" s="14" t="n">
        <x:v>46</x:v>
      </x:c>
      <x:c r="B51" s="6" t="str">
        <x:v>locate</x:v>
      </x:c>
      <x:c r="C51" s="6" t="str">
        <x:v>Where is the lectern?</x:v>
      </x:c>
      <x:c r="D51" s="6" t="str">
        <x:v>Lecture hall 0.22
Floor level: 0
Asset ID: proc-campus-train-014-A00143
Position (m): 1.848, -16.156</x:v>
      </x:c>
      <x:c r="E51" s="6" t="str">
        <x:v>Reference supplied</x:v>
      </x:c>
      <x:c r="F51" s="6" t="str">
        <x:v>train</x:v>
      </x:c>
      <x:c r="G51" s="6" t="str">
        <x:v>proc-campus-train-014</x:v>
      </x:c>
      <x:c r="H51" s="6" t="str">
        <x:v>proc-campus-train-014-Q03</x:v>
      </x:c>
      <x:c r="I51" s="6" t="str">
        <x:v>Find and count assets</x:v>
      </x:c>
      <x:c r="J51" s="6" t="str">
        <x:v>Warm-up</x:v>
      </x:c>
      <x:c r="K51" s="6" t="str">
        <x:v>Room name, floor and asset identity. Coordinates may help the UI.</x:v>
      </x:c>
      <x:c r="L51" s="6" t="str">
        <x:v>T02, T03</x:v>
      </x:c>
      <x:c r="M51" s="6" t="str">
        <x:v>Find a named item and identify its containing room and floor.</x:v>
      </x:c>
      <x:c r="N51" s="6" t="str">
        <x:v>{"asset_id":"proc-campus-train-014-A00143","space_id":"proc-campus-train-014-F0-S022","space_name":"Lecture hall 0.22","floor_level":0,"position":[1.848,-16.156]}</x:v>
      </x:c>
      <x:c r="O51" s="6"/>
      <x:c r="P51" s="6" t="str">
        <x:v>Resolve the intended asset and its containing room/floor.</x:v>
      </x:c>
      <x:c r="Q51" s="15"/>
      <x:c r="R51" s="6"/>
      <x:c r="S51" s="16"/>
      <x:c r="T51" s="15"/>
      <x:c r="U51" s="6"/>
      <x:c r="V51" s="6"/>
      <x:c r="W51" s="6" t="str">
        <x:v>Existing search_building. Improve disambiguation and complete result pagination.</x:v>
      </x:c>
      <x:c r="X51" s="6" t="str">
        <x:v>data/train/proc-campus-train-014/questions_basic.jsonl</x:v>
      </x:c>
      <x:c r="Y51" s="14" t="n">
        <x:v>3</x:v>
      </x:c>
      <x:c r="Z51" s="6" t="str">
        <x:v>https://github.com/hagenhaeussler/Industrial-Agents-Hackathon-2026/blob/f41616590b69f3ea0c1cbfb41d6c35edd9ce53df/data/train/proc-campus-train-014/questions_basic.jsonl#L3</x:v>
      </x:c>
      <x:c r="AA51" s="6" t="str">
        <x:v>procedural</x:v>
      </x:c>
      <x:c r="AB51" s="6" t="str">
        <x:v>CC0-1.0</x:v>
      </x:c>
    </x:row>
    <x:row r="52" ht="72" customHeight="1">
      <x:c r="A52" s="14" t="n">
        <x:v>47</x:v>
      </x:c>
      <x:c r="B52" s="6" t="str">
        <x:v>locate</x:v>
      </x:c>
      <x:c r="C52" s="6" t="str">
        <x:v>Where is the defibrillator?</x:v>
      </x:c>
      <x:c r="D52" s="6" t="str">
        <x:v>Main lobby
Floor level: 0
Asset ID: proc-campus-train-016-A00065
Position (m): -6.074, -14.23</x:v>
      </x:c>
      <x:c r="E52" s="6" t="str">
        <x:v>Reference supplied</x:v>
      </x:c>
      <x:c r="F52" s="6" t="str">
        <x:v>train</x:v>
      </x:c>
      <x:c r="G52" s="6" t="str">
        <x:v>proc-campus-train-016</x:v>
      </x:c>
      <x:c r="H52" s="6" t="str">
        <x:v>proc-campus-train-016-Q01</x:v>
      </x:c>
      <x:c r="I52" s="6" t="str">
        <x:v>Find and count assets</x:v>
      </x:c>
      <x:c r="J52" s="6" t="str">
        <x:v>Warm-up</x:v>
      </x:c>
      <x:c r="K52" s="6" t="str">
        <x:v>Room name, floor and asset identity. Coordinates may help the UI.</x:v>
      </x:c>
      <x:c r="L52" s="6" t="str">
        <x:v>T02, T03</x:v>
      </x:c>
      <x:c r="M52" s="6" t="str">
        <x:v>Find a named item and identify its containing room and floor.</x:v>
      </x:c>
      <x:c r="N52" s="6" t="str">
        <x:v>{"asset_id":"proc-campus-train-016-A00065","space_id":"proc-campus-train-016-F0-S014","space_name":"Main lobby","floor_level":0,"position":[-6.074,-14.23]}</x:v>
      </x:c>
      <x:c r="O52" s="6"/>
      <x:c r="P52" s="6" t="str">
        <x:v>Resolve the intended asset and its containing room/floor.</x:v>
      </x:c>
      <x:c r="Q52" s="15"/>
      <x:c r="R52" s="6"/>
      <x:c r="S52" s="16"/>
      <x:c r="T52" s="15"/>
      <x:c r="U52" s="6"/>
      <x:c r="V52" s="6"/>
      <x:c r="W52" s="6" t="str">
        <x:v>Existing search_building. Improve disambiguation and complete result pagination.</x:v>
      </x:c>
      <x:c r="X52" s="6" t="str">
        <x:v>data/train/proc-campus-train-016/questions_basic.jsonl</x:v>
      </x:c>
      <x:c r="Y52" s="14" t="n">
        <x:v>1</x:v>
      </x:c>
      <x:c r="Z52" s="6" t="str">
        <x:v>https://github.com/hagenhaeussler/Industrial-Agents-Hackathon-2026/blob/f41616590b69f3ea0c1cbfb41d6c35edd9ce53df/data/train/proc-campus-train-016/questions_basic.jsonl#L1</x:v>
      </x:c>
      <x:c r="AA52" s="6" t="str">
        <x:v>procedural</x:v>
      </x:c>
      <x:c r="AB52" s="6" t="str">
        <x:v>CC0-1.0</x:v>
      </x:c>
    </x:row>
    <x:row r="53" ht="72" customHeight="1">
      <x:c r="A53" s="14" t="n">
        <x:v>48</x:v>
      </x:c>
      <x:c r="B53" s="6" t="str">
        <x:v>locate</x:v>
      </x:c>
      <x:c r="C53" s="6" t="str">
        <x:v>Where is the chemical cabinet?</x:v>
      </x:c>
      <x:c r="D53" s="6" t="str">
        <x:v>Lab 2.19
Floor level: 2
Asset ID: proc-campus-train-016-A00464
Position (m): -19.68, -14.08</x:v>
      </x:c>
      <x:c r="E53" s="6" t="str">
        <x:v>Reference supplied</x:v>
      </x:c>
      <x:c r="F53" s="6" t="str">
        <x:v>train</x:v>
      </x:c>
      <x:c r="G53" s="6" t="str">
        <x:v>proc-campus-train-016</x:v>
      </x:c>
      <x:c r="H53" s="6" t="str">
        <x:v>proc-campus-train-016-Q02</x:v>
      </x:c>
      <x:c r="I53" s="6" t="str">
        <x:v>Find and count assets</x:v>
      </x:c>
      <x:c r="J53" s="6" t="str">
        <x:v>Warm-up</x:v>
      </x:c>
      <x:c r="K53" s="6" t="str">
        <x:v>Room name, floor and asset identity. Coordinates may help the UI.</x:v>
      </x:c>
      <x:c r="L53" s="6" t="str">
        <x:v>T02, T03</x:v>
      </x:c>
      <x:c r="M53" s="6" t="str">
        <x:v>Find a named item and identify its containing room and floor.</x:v>
      </x:c>
      <x:c r="N53" s="6" t="str">
        <x:v>{"asset_id":"proc-campus-train-016-A00464","space_id":"proc-campus-train-016-F2-S019","space_name":"Lab 2.19","floor_level":2,"position":[-19.68,-14.08]}</x:v>
      </x:c>
      <x:c r="O53" s="6"/>
      <x:c r="P53" s="6" t="str">
        <x:v>Resolve the intended asset and its containing room/floor.</x:v>
      </x:c>
      <x:c r="Q53" s="15"/>
      <x:c r="R53" s="6"/>
      <x:c r="S53" s="16"/>
      <x:c r="T53" s="15"/>
      <x:c r="U53" s="6"/>
      <x:c r="V53" s="6"/>
      <x:c r="W53" s="6" t="str">
        <x:v>Existing search_building. Improve disambiguation and complete result pagination.</x:v>
      </x:c>
      <x:c r="X53" s="6" t="str">
        <x:v>data/train/proc-campus-train-016/questions_basic.jsonl</x:v>
      </x:c>
      <x:c r="Y53" s="14" t="n">
        <x:v>2</x:v>
      </x:c>
      <x:c r="Z53" s="6" t="str">
        <x:v>https://github.com/hagenhaeussler/Industrial-Agents-Hackathon-2026/blob/f41616590b69f3ea0c1cbfb41d6c35edd9ce53df/data/train/proc-campus-train-016/questions_basic.jsonl#L2</x:v>
      </x:c>
      <x:c r="AA53" s="6" t="str">
        <x:v>procedural</x:v>
      </x:c>
      <x:c r="AB53" s="6" t="str">
        <x:v>CC0-1.0</x:v>
      </x:c>
    </x:row>
    <x:row r="54" ht="72" customHeight="1">
      <x:c r="A54" s="14" t="n">
        <x:v>49</x:v>
      </x:c>
      <x:c r="B54" s="6" t="str">
        <x:v>locate</x:v>
      </x:c>
      <x:c r="C54" s="6" t="str">
        <x:v>Where is the shoe cabinet?</x:v>
      </x:c>
      <x:c r="D54" s="6" t="str">
        <x:v>Corridor 2.01
Floor level: 2
Asset ID: proc-campus-train-016-A00352
Position (m): -0.245, -7.308</x:v>
      </x:c>
      <x:c r="E54" s="6" t="str">
        <x:v>Reference supplied</x:v>
      </x:c>
      <x:c r="F54" s="6" t="str">
        <x:v>train</x:v>
      </x:c>
      <x:c r="G54" s="6" t="str">
        <x:v>proc-campus-train-016</x:v>
      </x:c>
      <x:c r="H54" s="6" t="str">
        <x:v>proc-campus-train-016-Q03</x:v>
      </x:c>
      <x:c r="I54" s="6" t="str">
        <x:v>Find and count assets</x:v>
      </x:c>
      <x:c r="J54" s="6" t="str">
        <x:v>Warm-up</x:v>
      </x:c>
      <x:c r="K54" s="6" t="str">
        <x:v>Room name, floor and asset identity. Coordinates may help the UI.</x:v>
      </x:c>
      <x:c r="L54" s="6" t="str">
        <x:v>T02, T03</x:v>
      </x:c>
      <x:c r="M54" s="6" t="str">
        <x:v>Find a named item and identify its containing room and floor.</x:v>
      </x:c>
      <x:c r="N54" s="6" t="str">
        <x:v>{"asset_id":"proc-campus-train-016-A00352","space_id":"proc-campus-train-016-F2-S001","space_name":"Corridor 2.01","floor_level":2,"position":[-0.245,-7.308]}</x:v>
      </x:c>
      <x:c r="O54" s="6"/>
      <x:c r="P54" s="6" t="str">
        <x:v>Resolve the intended asset and its containing room/floor.</x:v>
      </x:c>
      <x:c r="Q54" s="15"/>
      <x:c r="R54" s="6"/>
      <x:c r="S54" s="16"/>
      <x:c r="T54" s="15"/>
      <x:c r="U54" s="6"/>
      <x:c r="V54" s="6"/>
      <x:c r="W54" s="6" t="str">
        <x:v>Existing search_building. Improve disambiguation and complete result pagination.</x:v>
      </x:c>
      <x:c r="X54" s="6" t="str">
        <x:v>data/train/proc-campus-train-016/questions_basic.jsonl</x:v>
      </x:c>
      <x:c r="Y54" s="14" t="n">
        <x:v>3</x:v>
      </x:c>
      <x:c r="Z54" s="6" t="str">
        <x:v>https://github.com/hagenhaeussler/Industrial-Agents-Hackathon-2026/blob/f41616590b69f3ea0c1cbfb41d6c35edd9ce53df/data/train/proc-campus-train-016/questions_basic.jsonl#L3</x:v>
      </x:c>
      <x:c r="AA54" s="6" t="str">
        <x:v>procedural</x:v>
      </x:c>
      <x:c r="AB54" s="6" t="str">
        <x:v>CC0-1.0</x:v>
      </x:c>
    </x:row>
    <x:row r="55" ht="72" customHeight="1">
      <x:c r="A55" s="14" t="n">
        <x:v>50</x:v>
      </x:c>
      <x:c r="B55" s="6" t="str">
        <x:v>locate</x:v>
      </x:c>
      <x:c r="C55" s="6" t="str">
        <x:v>Where is the dining table?</x:v>
      </x:c>
      <x:c r="D55" s="6" t="str">
        <x:v>Kitchen 1.14
Floor level: 1
Asset ID: proc-campus-train-019-A00233
Position (m): -5.505, -11.344</x:v>
      </x:c>
      <x:c r="E55" s="6" t="str">
        <x:v>Reference supplied</x:v>
      </x:c>
      <x:c r="F55" s="6" t="str">
        <x:v>train</x:v>
      </x:c>
      <x:c r="G55" s="6" t="str">
        <x:v>proc-campus-train-019</x:v>
      </x:c>
      <x:c r="H55" s="6" t="str">
        <x:v>proc-campus-train-019-Q01</x:v>
      </x:c>
      <x:c r="I55" s="6" t="str">
        <x:v>Find and count assets</x:v>
      </x:c>
      <x:c r="J55" s="6" t="str">
        <x:v>Warm-up</x:v>
      </x:c>
      <x:c r="K55" s="6" t="str">
        <x:v>Room name, floor and asset identity. Coordinates may help the UI.</x:v>
      </x:c>
      <x:c r="L55" s="6" t="str">
        <x:v>T02, T03</x:v>
      </x:c>
      <x:c r="M55" s="6" t="str">
        <x:v>Find a named item and identify its containing room and floor.</x:v>
      </x:c>
      <x:c r="N55" s="6" t="str">
        <x:v>{"asset_id":"proc-campus-train-019-A00233","space_id":"proc-campus-train-019-F1-S014","space_name":"Kitchen 1.14","floor_level":1,"position":[-5.505,-11.344]}</x:v>
      </x:c>
      <x:c r="O55" s="6"/>
      <x:c r="P55" s="6" t="str">
        <x:v>Resolve the intended asset and its containing room/floor.</x:v>
      </x:c>
      <x:c r="Q55" s="15"/>
      <x:c r="R55" s="6"/>
      <x:c r="S55" s="16"/>
      <x:c r="T55" s="15"/>
      <x:c r="U55" s="6"/>
      <x:c r="V55" s="6"/>
      <x:c r="W55" s="6" t="str">
        <x:v>Existing search_building. Improve disambiguation and complete result pagination.</x:v>
      </x:c>
      <x:c r="X55" s="6" t="str">
        <x:v>data/train/proc-campus-train-019/questions_basic.jsonl</x:v>
      </x:c>
      <x:c r="Y55" s="14" t="n">
        <x:v>1</x:v>
      </x:c>
      <x:c r="Z55" s="6" t="str">
        <x:v>https://github.com/hagenhaeussler/Industrial-Agents-Hackathon-2026/blob/f41616590b69f3ea0c1cbfb41d6c35edd9ce53df/data/train/proc-campus-train-019/questions_basic.jsonl#L1</x:v>
      </x:c>
      <x:c r="AA55" s="6" t="str">
        <x:v>procedural</x:v>
      </x:c>
      <x:c r="AB55" s="6" t="str">
        <x:v>CC0-1.0</x:v>
      </x:c>
    </x:row>
    <x:row r="56" ht="72" customHeight="1">
      <x:c r="A56" s="14" t="n">
        <x:v>51</x:v>
      </x:c>
      <x:c r="B56" s="6" t="str">
        <x:v>locate</x:v>
      </x:c>
      <x:c r="C56" s="6" t="str">
        <x:v>Where is the laser cutter?</x:v>
      </x:c>
      <x:c r="D56" s="6" t="str">
        <x:v>Makerspace 0.03
Floor level: 0
Asset ID: proc-campus-train-019-A00012
Position (m): -9.87, -2.514</x:v>
      </x:c>
      <x:c r="E56" s="6" t="str">
        <x:v>Reference supplied</x:v>
      </x:c>
      <x:c r="F56" s="6" t="str">
        <x:v>train</x:v>
      </x:c>
      <x:c r="G56" s="6" t="str">
        <x:v>proc-campus-train-019</x:v>
      </x:c>
      <x:c r="H56" s="6" t="str">
        <x:v>proc-campus-train-019-Q02</x:v>
      </x:c>
      <x:c r="I56" s="6" t="str">
        <x:v>Find and count assets</x:v>
      </x:c>
      <x:c r="J56" s="6" t="str">
        <x:v>Warm-up</x:v>
      </x:c>
      <x:c r="K56" s="6" t="str">
        <x:v>Room name, floor and asset identity. Coordinates may help the UI.</x:v>
      </x:c>
      <x:c r="L56" s="6" t="str">
        <x:v>T02, T03</x:v>
      </x:c>
      <x:c r="M56" s="6" t="str">
        <x:v>Find a named item and identify its containing room and floor.</x:v>
      </x:c>
      <x:c r="N56" s="6" t="str">
        <x:v>{"asset_id":"proc-campus-train-019-A00012","space_id":"proc-campus-train-019-F0-S003","space_name":"Makerspace 0.03","floor_level":0,"position":[-9.87,-2.514]}</x:v>
      </x:c>
      <x:c r="O56" s="6"/>
      <x:c r="P56" s="6" t="str">
        <x:v>Resolve the intended asset and its containing room/floor.</x:v>
      </x:c>
      <x:c r="Q56" s="15"/>
      <x:c r="R56" s="6"/>
      <x:c r="S56" s="16"/>
      <x:c r="T56" s="15"/>
      <x:c r="U56" s="6"/>
      <x:c r="V56" s="6"/>
      <x:c r="W56" s="6" t="str">
        <x:v>Existing search_building. Improve disambiguation and complete result pagination.</x:v>
      </x:c>
      <x:c r="X56" s="6" t="str">
        <x:v>data/train/proc-campus-train-019/questions_basic.jsonl</x:v>
      </x:c>
      <x:c r="Y56" s="14" t="n">
        <x:v>2</x:v>
      </x:c>
      <x:c r="Z56" s="6" t="str">
        <x:v>https://github.com/hagenhaeussler/Industrial-Agents-Hackathon-2026/blob/f41616590b69f3ea0c1cbfb41d6c35edd9ce53df/data/train/proc-campus-train-019/questions_basic.jsonl#L2</x:v>
      </x:c>
      <x:c r="AA56" s="6" t="str">
        <x:v>procedural</x:v>
      </x:c>
      <x:c r="AB56" s="6" t="str">
        <x:v>CC0-1.0</x:v>
      </x:c>
    </x:row>
    <x:row r="57" ht="72" customHeight="1">
      <x:c r="A57" s="14" t="n">
        <x:v>52</x:v>
      </x:c>
      <x:c r="B57" s="6" t="str">
        <x:v>locate</x:v>
      </x:c>
      <x:c r="C57" s="6" t="str">
        <x:v>Where is the tool cabinet?</x:v>
      </x:c>
      <x:c r="D57" s="6" t="str">
        <x:v>Makerspace 0.03
Floor level: 0
Asset ID: proc-campus-train-019-A00017
Position (m): -6.12, -4.756</x:v>
      </x:c>
      <x:c r="E57" s="6" t="str">
        <x:v>Reference supplied</x:v>
      </x:c>
      <x:c r="F57" s="6" t="str">
        <x:v>train</x:v>
      </x:c>
      <x:c r="G57" s="6" t="str">
        <x:v>proc-campus-train-019</x:v>
      </x:c>
      <x:c r="H57" s="6" t="str">
        <x:v>proc-campus-train-019-Q03</x:v>
      </x:c>
      <x:c r="I57" s="6" t="str">
        <x:v>Find and count assets</x:v>
      </x:c>
      <x:c r="J57" s="6" t="str">
        <x:v>Warm-up</x:v>
      </x:c>
      <x:c r="K57" s="6" t="str">
        <x:v>Room name, floor and asset identity. Coordinates may help the UI.</x:v>
      </x:c>
      <x:c r="L57" s="6" t="str">
        <x:v>T02, T03</x:v>
      </x:c>
      <x:c r="M57" s="6" t="str">
        <x:v>Find a named item and identify its containing room and floor.</x:v>
      </x:c>
      <x:c r="N57" s="6" t="str">
        <x:v>{"asset_id":"proc-campus-train-019-A00017","space_id":"proc-campus-train-019-F0-S003","space_name":"Makerspace 0.03","floor_level":0,"position":[-6.12,-4.756]}</x:v>
      </x:c>
      <x:c r="O57" s="6"/>
      <x:c r="P57" s="6" t="str">
        <x:v>Resolve the intended asset and its containing room/floor.</x:v>
      </x:c>
      <x:c r="Q57" s="15"/>
      <x:c r="R57" s="6"/>
      <x:c r="S57" s="16"/>
      <x:c r="T57" s="15"/>
      <x:c r="U57" s="6"/>
      <x:c r="V57" s="6"/>
      <x:c r="W57" s="6" t="str">
        <x:v>Existing search_building. Improve disambiguation and complete result pagination.</x:v>
      </x:c>
      <x:c r="X57" s="6" t="str">
        <x:v>data/train/proc-campus-train-019/questions_basic.jsonl</x:v>
      </x:c>
      <x:c r="Y57" s="14" t="n">
        <x:v>3</x:v>
      </x:c>
      <x:c r="Z57" s="6" t="str">
        <x:v>https://github.com/hagenhaeussler/Industrial-Agents-Hackathon-2026/blob/f41616590b69f3ea0c1cbfb41d6c35edd9ce53df/data/train/proc-campus-train-019/questions_basic.jsonl#L3</x:v>
      </x:c>
      <x:c r="AA57" s="6" t="str">
        <x:v>procedural</x:v>
      </x:c>
      <x:c r="AB57" s="6" t="str">
        <x:v>CC0-1.0</x:v>
      </x:c>
    </x:row>
    <x:row r="58" ht="72" customHeight="1">
      <x:c r="A58" s="14" t="n">
        <x:v>53</x:v>
      </x:c>
      <x:c r="B58" s="6" t="str">
        <x:v>locate</x:v>
      </x:c>
      <x:c r="C58" s="6" t="str">
        <x:v>Where is the workbench?</x:v>
      </x:c>
      <x:c r="D58" s="6" t="str">
        <x:v>Assembly zone H-A3
Floor level: 0
Asset ID: proc-factory-train-005-A00021
Position (m): -3.525, 29.67</x:v>
      </x:c>
      <x:c r="E58" s="6" t="str">
        <x:v>Reference supplied</x:v>
      </x:c>
      <x:c r="F58" s="6" t="str">
        <x:v>train</x:v>
      </x:c>
      <x:c r="G58" s="6" t="str">
        <x:v>proc-factory-train-005</x:v>
      </x:c>
      <x:c r="H58" s="6" t="str">
        <x:v>proc-factory-train-005-Q01</x:v>
      </x:c>
      <x:c r="I58" s="6" t="str">
        <x:v>Find and count assets</x:v>
      </x:c>
      <x:c r="J58" s="6" t="str">
        <x:v>Warm-up</x:v>
      </x:c>
      <x:c r="K58" s="6" t="str">
        <x:v>Room name, floor and asset identity. Coordinates may help the UI.</x:v>
      </x:c>
      <x:c r="L58" s="6" t="str">
        <x:v>T02, T03</x:v>
      </x:c>
      <x:c r="M58" s="6" t="str">
        <x:v>Find a named item and identify its containing room and floor.</x:v>
      </x:c>
      <x:c r="N58" s="6" t="str">
        <x:v>{"asset_id":"proc-factory-train-005-A00021","space_id":"proc-factory-train-005-F0-S003","space_name":"Assembly zone H-A3","floor_level":0,"position":[-3.525,29.67]}</x:v>
      </x:c>
      <x:c r="O58" s="6"/>
      <x:c r="P58" s="6" t="str">
        <x:v>Resolve the intended asset and its containing room/floor.</x:v>
      </x:c>
      <x:c r="Q58" s="15"/>
      <x:c r="R58" s="6"/>
      <x:c r="S58" s="16"/>
      <x:c r="T58" s="15"/>
      <x:c r="U58" s="6"/>
      <x:c r="V58" s="6"/>
      <x:c r="W58" s="6" t="str">
        <x:v>Existing search_building. Improve disambiguation and complete result pagination.</x:v>
      </x:c>
      <x:c r="X58" s="6" t="str">
        <x:v>data/train/proc-factory-train-005/questions_basic.jsonl</x:v>
      </x:c>
      <x:c r="Y58" s="14" t="n">
        <x:v>1</x:v>
      </x:c>
      <x:c r="Z58" s="6" t="str">
        <x:v>https://github.com/hagenhaeussler/Industrial-Agents-Hackathon-2026/blob/f41616590b69f3ea0c1cbfb41d6c35edd9ce53df/data/train/proc-factory-train-005/questions_basic.jsonl#L1</x:v>
      </x:c>
      <x:c r="AA58" s="6" t="str">
        <x:v>procedural</x:v>
      </x:c>
      <x:c r="AB58" s="6" t="str">
        <x:v>CC0-1.0</x:v>
      </x:c>
    </x:row>
    <x:row r="59" ht="72" customHeight="1">
      <x:c r="A59" s="14" t="n">
        <x:v>54</x:v>
      </x:c>
      <x:c r="B59" s="6" t="str">
        <x:v>locate</x:v>
      </x:c>
      <x:c r="C59" s="6" t="str">
        <x:v>Where is the microwave?</x:v>
      </x:c>
      <x:c r="D59" s="6" t="str">
        <x:v>Kitchen 1.06
Floor level: 1
Asset ID: proc-factory-train-005-A00205
Position (m): 0.27, 11.513</x:v>
      </x:c>
      <x:c r="E59" s="6" t="str">
        <x:v>Reference supplied</x:v>
      </x:c>
      <x:c r="F59" s="6" t="str">
        <x:v>train</x:v>
      </x:c>
      <x:c r="G59" s="6" t="str">
        <x:v>proc-factory-train-005</x:v>
      </x:c>
      <x:c r="H59" s="6" t="str">
        <x:v>proc-factory-train-005-Q02</x:v>
      </x:c>
      <x:c r="I59" s="6" t="str">
        <x:v>Find and count assets</x:v>
      </x:c>
      <x:c r="J59" s="6" t="str">
        <x:v>Warm-up</x:v>
      </x:c>
      <x:c r="K59" s="6" t="str">
        <x:v>Room name, floor and asset identity. Coordinates may help the UI.</x:v>
      </x:c>
      <x:c r="L59" s="6" t="str">
        <x:v>T02, T03</x:v>
      </x:c>
      <x:c r="M59" s="6" t="str">
        <x:v>Find a named item and identify its containing room and floor.</x:v>
      </x:c>
      <x:c r="N59" s="6" t="str">
        <x:v>{"asset_id":"proc-factory-train-005-A00205","space_id":"proc-factory-train-005-F1-S006","space_name":"Kitchen 1.06","floor_level":1,"position":[0.27,11.513]}</x:v>
      </x:c>
      <x:c r="O59" s="6"/>
      <x:c r="P59" s="6" t="str">
        <x:v>Resolve the intended asset and its containing room/floor.</x:v>
      </x:c>
      <x:c r="Q59" s="15"/>
      <x:c r="R59" s="6"/>
      <x:c r="S59" s="16"/>
      <x:c r="T59" s="15"/>
      <x:c r="U59" s="6"/>
      <x:c r="V59" s="6"/>
      <x:c r="W59" s="6" t="str">
        <x:v>Existing search_building. Improve disambiguation and complete result pagination.</x:v>
      </x:c>
      <x:c r="X59" s="6" t="str">
        <x:v>data/train/proc-factory-train-005/questions_basic.jsonl</x:v>
      </x:c>
      <x:c r="Y59" s="14" t="n">
        <x:v>2</x:v>
      </x:c>
      <x:c r="Z59" s="6" t="str">
        <x:v>https://github.com/hagenhaeussler/Industrial-Agents-Hackathon-2026/blob/f41616590b69f3ea0c1cbfb41d6c35edd9ce53df/data/train/proc-factory-train-005/questions_basic.jsonl#L2</x:v>
      </x:c>
      <x:c r="AA59" s="6" t="str">
        <x:v>procedural</x:v>
      </x:c>
      <x:c r="AB59" s="6" t="str">
        <x:v>CC0-1.0</x:v>
      </x:c>
    </x:row>
    <x:row r="60" ht="72" customHeight="1">
      <x:c r="A60" s="14" t="n">
        <x:v>55</x:v>
      </x:c>
      <x:c r="B60" s="6" t="str">
        <x:v>locate</x:v>
      </x:c>
      <x:c r="C60" s="6" t="str">
        <x:v>Where is the robot cell?</x:v>
      </x:c>
      <x:c r="D60" s="6" t="str">
        <x:v>Production zone H-A1
Floor level: 0
Asset ID: proc-factory-train-005-A00003
Position (m): -9.421, 8.624</x:v>
      </x:c>
      <x:c r="E60" s="6" t="str">
        <x:v>Reference supplied</x:v>
      </x:c>
      <x:c r="F60" s="6" t="str">
        <x:v>train</x:v>
      </x:c>
      <x:c r="G60" s="6" t="str">
        <x:v>proc-factory-train-005</x:v>
      </x:c>
      <x:c r="H60" s="6" t="str">
        <x:v>proc-factory-train-005-Q03</x:v>
      </x:c>
      <x:c r="I60" s="6" t="str">
        <x:v>Find and count assets</x:v>
      </x:c>
      <x:c r="J60" s="6" t="str">
        <x:v>Warm-up</x:v>
      </x:c>
      <x:c r="K60" s="6" t="str">
        <x:v>Room name, floor and asset identity. Coordinates may help the UI.</x:v>
      </x:c>
      <x:c r="L60" s="6" t="str">
        <x:v>T02, T03</x:v>
      </x:c>
      <x:c r="M60" s="6" t="str">
        <x:v>Find a named item and identify its containing room and floor.</x:v>
      </x:c>
      <x:c r="N60" s="6" t="str">
        <x:v>{"asset_id":"proc-factory-train-005-A00003","space_id":"proc-factory-train-005-F0-S001","space_name":"Production zone H-A1","floor_level":0,"position":[-9.421,8.624]}</x:v>
      </x:c>
      <x:c r="O60" s="6"/>
      <x:c r="P60" s="6" t="str">
        <x:v>Resolve the intended asset and its containing room/floor.</x:v>
      </x:c>
      <x:c r="Q60" s="15"/>
      <x:c r="R60" s="6"/>
      <x:c r="S60" s="16"/>
      <x:c r="T60" s="15"/>
      <x:c r="U60" s="6"/>
      <x:c r="V60" s="6"/>
      <x:c r="W60" s="6" t="str">
        <x:v>Existing search_building. Improve disambiguation and complete result pagination.</x:v>
      </x:c>
      <x:c r="X60" s="6" t="str">
        <x:v>data/train/proc-factory-train-005/questions_basic.jsonl</x:v>
      </x:c>
      <x:c r="Y60" s="14" t="n">
        <x:v>3</x:v>
      </x:c>
      <x:c r="Z60" s="6" t="str">
        <x:v>https://github.com/hagenhaeussler/Industrial-Agents-Hackathon-2026/blob/f41616590b69f3ea0c1cbfb41d6c35edd9ce53df/data/train/proc-factory-train-005/questions_basic.jsonl#L3</x:v>
      </x:c>
      <x:c r="AA60" s="6" t="str">
        <x:v>procedural</x:v>
      </x:c>
      <x:c r="AB60" s="6" t="str">
        <x:v>CC0-1.0</x:v>
      </x:c>
    </x:row>
    <x:row r="61" ht="72" customHeight="1">
      <x:c r="A61" s="14" t="n">
        <x:v>56</x:v>
      </x:c>
      <x:c r="B61" s="6" t="str">
        <x:v>locate</x:v>
      </x:c>
      <x:c r="C61" s="6" t="str">
        <x:v>Where is the shoe cabinet?</x:v>
      </x:c>
      <x:c r="D61" s="6" t="str">
        <x:v>Office corridor 1.01
Floor level: 1
Asset ID: proc-factory-train-006-A00130
Position (m): -23.243, 5.245</x:v>
      </x:c>
      <x:c r="E61" s="6" t="str">
        <x:v>Reference supplied</x:v>
      </x:c>
      <x:c r="F61" s="6" t="str">
        <x:v>train</x:v>
      </x:c>
      <x:c r="G61" s="6" t="str">
        <x:v>proc-factory-train-006</x:v>
      </x:c>
      <x:c r="H61" s="6" t="str">
        <x:v>proc-factory-train-006-Q01</x:v>
      </x:c>
      <x:c r="I61" s="6" t="str">
        <x:v>Find and count assets</x:v>
      </x:c>
      <x:c r="J61" s="6" t="str">
        <x:v>Warm-up</x:v>
      </x:c>
      <x:c r="K61" s="6" t="str">
        <x:v>Room name, floor and asset identity. Coordinates may help the UI.</x:v>
      </x:c>
      <x:c r="L61" s="6" t="str">
        <x:v>T02, T03</x:v>
      </x:c>
      <x:c r="M61" s="6" t="str">
        <x:v>Find a named item and identify its containing room and floor.</x:v>
      </x:c>
      <x:c r="N61" s="6" t="str">
        <x:v>{"asset_id":"proc-factory-train-006-A00130","space_id":"proc-factory-train-006-F1-S001","space_name":"Office corridor 1.01","floor_level":1,"position":[-23.243,5.245]}</x:v>
      </x:c>
      <x:c r="O61" s="6"/>
      <x:c r="P61" s="6" t="str">
        <x:v>Resolve the intended asset and its containing room/floor.</x:v>
      </x:c>
      <x:c r="Q61" s="15"/>
      <x:c r="R61" s="6"/>
      <x:c r="S61" s="16"/>
      <x:c r="T61" s="15"/>
      <x:c r="U61" s="6"/>
      <x:c r="V61" s="6"/>
      <x:c r="W61" s="6" t="str">
        <x:v>Existing search_building. Improve disambiguation and complete result pagination.</x:v>
      </x:c>
      <x:c r="X61" s="6" t="str">
        <x:v>data/train/proc-factory-train-006/questions_basic.jsonl</x:v>
      </x:c>
      <x:c r="Y61" s="14" t="n">
        <x:v>1</x:v>
      </x:c>
      <x:c r="Z61" s="6" t="str">
        <x:v>https://github.com/hagenhaeussler/Industrial-Agents-Hackathon-2026/blob/f41616590b69f3ea0c1cbfb41d6c35edd9ce53df/data/train/proc-factory-train-006/questions_basic.jsonl#L1</x:v>
      </x:c>
      <x:c r="AA61" s="6" t="str">
        <x:v>procedural</x:v>
      </x:c>
      <x:c r="AB61" s="6" t="str">
        <x:v>CC0-1.0</x:v>
      </x:c>
    </x:row>
    <x:row r="62" ht="72" customHeight="1">
      <x:c r="A62" s="14" t="n">
        <x:v>57</x:v>
      </x:c>
      <x:c r="B62" s="6" t="str">
        <x:v>locate</x:v>
      </x:c>
      <x:c r="C62" s="6" t="str">
        <x:v>Where is the reception desk?</x:v>
      </x:c>
      <x:c r="D62" s="6" t="str">
        <x:v>Hall access 0.13
Floor level: 0
Asset ID: proc-factory-train-006-A00048
Position (m): -1.842, 2.309</x:v>
      </x:c>
      <x:c r="E62" s="6" t="str">
        <x:v>Reference supplied</x:v>
      </x:c>
      <x:c r="F62" s="6" t="str">
        <x:v>train</x:v>
      </x:c>
      <x:c r="G62" s="6" t="str">
        <x:v>proc-factory-train-006</x:v>
      </x:c>
      <x:c r="H62" s="6" t="str">
        <x:v>proc-factory-train-006-Q02</x:v>
      </x:c>
      <x:c r="I62" s="6" t="str">
        <x:v>Find and count assets</x:v>
      </x:c>
      <x:c r="J62" s="6" t="str">
        <x:v>Warm-up</x:v>
      </x:c>
      <x:c r="K62" s="6" t="str">
        <x:v>Room name, floor and asset identity. Coordinates may help the UI.</x:v>
      </x:c>
      <x:c r="L62" s="6" t="str">
        <x:v>T02, T03</x:v>
      </x:c>
      <x:c r="M62" s="6" t="str">
        <x:v>Find a named item and identify its containing room and floor.</x:v>
      </x:c>
      <x:c r="N62" s="6" t="str">
        <x:v>{"asset_id":"proc-factory-train-006-A00048","space_id":"proc-factory-train-006-F0-S013","space_name":"Hall access 0.13","floor_level":0,"position":[-1.842,2.309]}</x:v>
      </x:c>
      <x:c r="O62" s="6"/>
      <x:c r="P62" s="6" t="str">
        <x:v>Resolve the intended asset and its containing room/floor.</x:v>
      </x:c>
      <x:c r="Q62" s="15"/>
      <x:c r="R62" s="6"/>
      <x:c r="S62" s="16"/>
      <x:c r="T62" s="15"/>
      <x:c r="U62" s="6"/>
      <x:c r="V62" s="6"/>
      <x:c r="W62" s="6" t="str">
        <x:v>Existing search_building. Improve disambiguation and complete result pagination.</x:v>
      </x:c>
      <x:c r="X62" s="6" t="str">
        <x:v>data/train/proc-factory-train-006/questions_basic.jsonl</x:v>
      </x:c>
      <x:c r="Y62" s="14" t="n">
        <x:v>2</x:v>
      </x:c>
      <x:c r="Z62" s="6" t="str">
        <x:v>https://github.com/hagenhaeussler/Industrial-Agents-Hackathon-2026/blob/f41616590b69f3ea0c1cbfb41d6c35edd9ce53df/data/train/proc-factory-train-006/questions_basic.jsonl#L2</x:v>
      </x:c>
      <x:c r="AA62" s="6" t="str">
        <x:v>procedural</x:v>
      </x:c>
      <x:c r="AB62" s="6" t="str">
        <x:v>CC0-1.0</x:v>
      </x:c>
    </x:row>
    <x:row r="63" ht="72" customHeight="1">
      <x:c r="A63" s="14" t="n">
        <x:v>58</x:v>
      </x:c>
      <x:c r="B63" s="6" t="str">
        <x:v>locate</x:v>
      </x:c>
      <x:c r="C63" s="6" t="str">
        <x:v>Where is the workbench?</x:v>
      </x:c>
      <x:c r="D63" s="6" t="str">
        <x:v>Assembly zone H-A2
Floor level: 0
Asset ID: proc-factory-train-006-A00014
Position (m): -30.53, -10.641</x:v>
      </x:c>
      <x:c r="E63" s="6" t="str">
        <x:v>Reference supplied</x:v>
      </x:c>
      <x:c r="F63" s="6" t="str">
        <x:v>train</x:v>
      </x:c>
      <x:c r="G63" s="6" t="str">
        <x:v>proc-factory-train-006</x:v>
      </x:c>
      <x:c r="H63" s="6" t="str">
        <x:v>proc-factory-train-006-Q03</x:v>
      </x:c>
      <x:c r="I63" s="6" t="str">
        <x:v>Find and count assets</x:v>
      </x:c>
      <x:c r="J63" s="6" t="str">
        <x:v>Warm-up</x:v>
      </x:c>
      <x:c r="K63" s="6" t="str">
        <x:v>Room name, floor and asset identity. Coordinates may help the UI.</x:v>
      </x:c>
      <x:c r="L63" s="6" t="str">
        <x:v>T02, T03</x:v>
      </x:c>
      <x:c r="M63" s="6" t="str">
        <x:v>Find a named item and identify its containing room and floor.</x:v>
      </x:c>
      <x:c r="N63" s="6" t="str">
        <x:v>{"asset_id":"proc-factory-train-006-A00014","space_id":"proc-factory-train-006-F0-S002","space_name":"Assembly zone H-A2","floor_level":0,"position":[-30.53,-10.641]}</x:v>
      </x:c>
      <x:c r="O63" s="6"/>
      <x:c r="P63" s="6" t="str">
        <x:v>Resolve the intended asset and its containing room/floor.</x:v>
      </x:c>
      <x:c r="Q63" s="15"/>
      <x:c r="R63" s="6"/>
      <x:c r="S63" s="16"/>
      <x:c r="T63" s="15"/>
      <x:c r="U63" s="6"/>
      <x:c r="V63" s="6"/>
      <x:c r="W63" s="6" t="str">
        <x:v>Existing search_building. Improve disambiguation and complete result pagination.</x:v>
      </x:c>
      <x:c r="X63" s="6" t="str">
        <x:v>data/train/proc-factory-train-006/questions_basic.jsonl</x:v>
      </x:c>
      <x:c r="Y63" s="14" t="n">
        <x:v>3</x:v>
      </x:c>
      <x:c r="Z63" s="6" t="str">
        <x:v>https://github.com/hagenhaeussler/Industrial-Agents-Hackathon-2026/blob/f41616590b69f3ea0c1cbfb41d6c35edd9ce53df/data/train/proc-factory-train-006/questions_basic.jsonl#L3</x:v>
      </x:c>
      <x:c r="AA63" s="6" t="str">
        <x:v>procedural</x:v>
      </x:c>
      <x:c r="AB63" s="6" t="str">
        <x:v>CC0-1.0</x:v>
      </x:c>
    </x:row>
    <x:row r="64" ht="72" customHeight="1">
      <x:c r="A64" s="14" t="n">
        <x:v>59</x:v>
      </x:c>
      <x:c r="B64" s="6" t="str">
        <x:v>locate</x:v>
      </x:c>
      <x:c r="C64" s="6" t="str">
        <x:v>Where is the coat rack?</x:v>
      </x:c>
      <x:c r="D64" s="6" t="str">
        <x:v>Office corridor 0.13
Floor level: 0
Asset ID: proc-factory-train-007-A00069
Position (m): 31.814, -5.22</x:v>
      </x:c>
      <x:c r="E64" s="6" t="str">
        <x:v>Reference supplied</x:v>
      </x:c>
      <x:c r="F64" s="6" t="str">
        <x:v>train</x:v>
      </x:c>
      <x:c r="G64" s="6" t="str">
        <x:v>proc-factory-train-007</x:v>
      </x:c>
      <x:c r="H64" s="6" t="str">
        <x:v>proc-factory-train-007-Q01</x:v>
      </x:c>
      <x:c r="I64" s="6" t="str">
        <x:v>Find and count assets</x:v>
      </x:c>
      <x:c r="J64" s="6" t="str">
        <x:v>Warm-up</x:v>
      </x:c>
      <x:c r="K64" s="6" t="str">
        <x:v>Room name, floor and asset identity. Coordinates may help the UI.</x:v>
      </x:c>
      <x:c r="L64" s="6" t="str">
        <x:v>T02, T03</x:v>
      </x:c>
      <x:c r="M64" s="6" t="str">
        <x:v>Find a named item and identify its containing room and floor.</x:v>
      </x:c>
      <x:c r="N64" s="6" t="str">
        <x:v>{"asset_id":"proc-factory-train-007-A00069","space_id":"proc-factory-train-007-F0-S013","space_name":"Office corridor 0.13","floor_level":0,"position":[31.814,-5.22]}</x:v>
      </x:c>
      <x:c r="O64" s="6"/>
      <x:c r="P64" s="6" t="str">
        <x:v>Resolve the intended asset and its containing room/floor.</x:v>
      </x:c>
      <x:c r="Q64" s="15"/>
      <x:c r="R64" s="6"/>
      <x:c r="S64" s="16"/>
      <x:c r="T64" s="15"/>
      <x:c r="U64" s="6"/>
      <x:c r="V64" s="6"/>
      <x:c r="W64" s="6" t="str">
        <x:v>Existing search_building. Improve disambiguation and complete result pagination.</x:v>
      </x:c>
      <x:c r="X64" s="6" t="str">
        <x:v>data/train/proc-factory-train-007/questions_basic.jsonl</x:v>
      </x:c>
      <x:c r="Y64" s="14" t="n">
        <x:v>1</x:v>
      </x:c>
      <x:c r="Z64" s="6" t="str">
        <x:v>https://github.com/hagenhaeussler/Industrial-Agents-Hackathon-2026/blob/f41616590b69f3ea0c1cbfb41d6c35edd9ce53df/data/train/proc-factory-train-007/questions_basic.jsonl#L1</x:v>
      </x:c>
      <x:c r="AA64" s="6" t="str">
        <x:v>procedural</x:v>
      </x:c>
      <x:c r="AB64" s="6" t="str">
        <x:v>CC0-1.0</x:v>
      </x:c>
    </x:row>
    <x:row r="65" ht="72" customHeight="1">
      <x:c r="A65" s="14" t="n">
        <x:v>60</x:v>
      </x:c>
      <x:c r="B65" s="6" t="str">
        <x:v>locate</x:v>
      </x:c>
      <x:c r="C65" s="6" t="str">
        <x:v>Where is the hand dryer?</x:v>
      </x:c>
      <x:c r="D65" s="6" t="str">
        <x:v>Toilet 1.04
Floor level: 1
Asset ID: proc-factory-train-007-A00182
Position (m): 3.52, -0.658</x:v>
      </x:c>
      <x:c r="E65" s="6" t="str">
        <x:v>Reference supplied</x:v>
      </x:c>
      <x:c r="F65" s="6" t="str">
        <x:v>train</x:v>
      </x:c>
      <x:c r="G65" s="6" t="str">
        <x:v>proc-factory-train-007</x:v>
      </x:c>
      <x:c r="H65" s="6" t="str">
        <x:v>proc-factory-train-007-Q02</x:v>
      </x:c>
      <x:c r="I65" s="6" t="str">
        <x:v>Find and count assets</x:v>
      </x:c>
      <x:c r="J65" s="6" t="str">
        <x:v>Warm-up</x:v>
      </x:c>
      <x:c r="K65" s="6" t="str">
        <x:v>Room name, floor and asset identity. Coordinates may help the UI.</x:v>
      </x:c>
      <x:c r="L65" s="6" t="str">
        <x:v>T02, T03</x:v>
      </x:c>
      <x:c r="M65" s="6" t="str">
        <x:v>Find a named item and identify its containing room and floor.</x:v>
      </x:c>
      <x:c r="N65" s="6" t="str">
        <x:v>{"asset_id":"proc-factory-train-007-A00182","space_id":"proc-factory-train-007-F1-S004","space_name":"Toilet 1.04","floor_level":1,"position":[3.52,-0.658]}</x:v>
      </x:c>
      <x:c r="O65" s="6"/>
      <x:c r="P65" s="6" t="str">
        <x:v>Resolve the intended asset and its containing room/floor.</x:v>
      </x:c>
      <x:c r="Q65" s="15"/>
      <x:c r="R65" s="6"/>
      <x:c r="S65" s="16"/>
      <x:c r="T65" s="15"/>
      <x:c r="U65" s="6"/>
      <x:c r="V65" s="6"/>
      <x:c r="W65" s="6" t="str">
        <x:v>Existing search_building. Improve disambiguation and complete result pagination.</x:v>
      </x:c>
      <x:c r="X65" s="6" t="str">
        <x:v>data/train/proc-factory-train-007/questions_basic.jsonl</x:v>
      </x:c>
      <x:c r="Y65" s="14" t="n">
        <x:v>2</x:v>
      </x:c>
      <x:c r="Z65" s="6" t="str">
        <x:v>https://github.com/hagenhaeussler/Industrial-Agents-Hackathon-2026/blob/f41616590b69f3ea0c1cbfb41d6c35edd9ce53df/data/train/proc-factory-train-007/questions_basic.jsonl#L2</x:v>
      </x:c>
      <x:c r="AA65" s="6" t="str">
        <x:v>procedural</x:v>
      </x:c>
      <x:c r="AB65" s="6" t="str">
        <x:v>CC0-1.0</x:v>
      </x:c>
    </x:row>
    <x:row r="66" ht="72" customHeight="1">
      <x:c r="A66" s="14" t="n">
        <x:v>61</x:v>
      </x:c>
      <x:c r="B66" s="6" t="str">
        <x:v>locate</x:v>
      </x:c>
      <x:c r="C66" s="6" t="str">
        <x:v>Where is the forklift charging station?</x:v>
      </x:c>
      <x:c r="D66" s="6" t="str">
        <x:v>Logistics zone H-C1
Floor level: 0
Asset ID: proc-factory-train-007-A00037
Position (m): 0.57, 28.88</x:v>
      </x:c>
      <x:c r="E66" s="6" t="str">
        <x:v>Reference supplied</x:v>
      </x:c>
      <x:c r="F66" s="6" t="str">
        <x:v>train</x:v>
      </x:c>
      <x:c r="G66" s="6" t="str">
        <x:v>proc-factory-train-007</x:v>
      </x:c>
      <x:c r="H66" s="6" t="str">
        <x:v>proc-factory-train-007-Q03</x:v>
      </x:c>
      <x:c r="I66" s="6" t="str">
        <x:v>Find and count assets</x:v>
      </x:c>
      <x:c r="J66" s="6" t="str">
        <x:v>Warm-up</x:v>
      </x:c>
      <x:c r="K66" s="6" t="str">
        <x:v>Room name, floor and asset identity. Coordinates may help the UI.</x:v>
      </x:c>
      <x:c r="L66" s="6" t="str">
        <x:v>T02, T03</x:v>
      </x:c>
      <x:c r="M66" s="6" t="str">
        <x:v>Find a named item and identify its containing room and floor.</x:v>
      </x:c>
      <x:c r="N66" s="6" t="str">
        <x:v>{"asset_id":"proc-factory-train-007-A00037","space_id":"proc-factory-train-007-F0-S009","space_name":"Logistics zone H-C1","floor_level":0,"position":[0.57,28.88]}</x:v>
      </x:c>
      <x:c r="O66" s="6"/>
      <x:c r="P66" s="6" t="str">
        <x:v>Resolve the intended asset and its containing room/floor.</x:v>
      </x:c>
      <x:c r="Q66" s="15"/>
      <x:c r="R66" s="6"/>
      <x:c r="S66" s="16"/>
      <x:c r="T66" s="15"/>
      <x:c r="U66" s="6"/>
      <x:c r="V66" s="6"/>
      <x:c r="W66" s="6" t="str">
        <x:v>Existing search_building. Improve disambiguation and complete result pagination.</x:v>
      </x:c>
      <x:c r="X66" s="6" t="str">
        <x:v>data/train/proc-factory-train-007/questions_basic.jsonl</x:v>
      </x:c>
      <x:c r="Y66" s="14" t="n">
        <x:v>3</x:v>
      </x:c>
      <x:c r="Z66" s="6" t="str">
        <x:v>https://github.com/hagenhaeussler/Industrial-Agents-Hackathon-2026/blob/f41616590b69f3ea0c1cbfb41d6c35edd9ce53df/data/train/proc-factory-train-007/questions_basic.jsonl#L3</x:v>
      </x:c>
      <x:c r="AA66" s="6" t="str">
        <x:v>procedural</x:v>
      </x:c>
      <x:c r="AB66" s="6" t="str">
        <x:v>CC0-1.0</x:v>
      </x:c>
    </x:row>
    <x:row r="67" ht="72" customHeight="1">
      <x:c r="A67" s="14" t="n">
        <x:v>62</x:v>
      </x:c>
      <x:c r="B67" s="6" t="str">
        <x:v>locate</x:v>
      </x:c>
      <x:c r="C67" s="6" t="str">
        <x:v>Where is the reception desk?</x:v>
      </x:c>
      <x:c r="D67" s="6" t="str">
        <x:v>Hall access 0.13
Floor level: 0
Asset ID: proc-factory-train-008-A00054
Position (m): 1.243, -3.484</x:v>
      </x:c>
      <x:c r="E67" s="6" t="str">
        <x:v>Reference supplied</x:v>
      </x:c>
      <x:c r="F67" s="6" t="str">
        <x:v>train</x:v>
      </x:c>
      <x:c r="G67" s="6" t="str">
        <x:v>proc-factory-train-008</x:v>
      </x:c>
      <x:c r="H67" s="6" t="str">
        <x:v>proc-factory-train-008-Q01</x:v>
      </x:c>
      <x:c r="I67" s="6" t="str">
        <x:v>Find and count assets</x:v>
      </x:c>
      <x:c r="J67" s="6" t="str">
        <x:v>Warm-up</x:v>
      </x:c>
      <x:c r="K67" s="6" t="str">
        <x:v>Room name, floor and asset identity. Coordinates may help the UI.</x:v>
      </x:c>
      <x:c r="L67" s="6" t="str">
        <x:v>T02, T03</x:v>
      </x:c>
      <x:c r="M67" s="6" t="str">
        <x:v>Find a named item and identify its containing room and floor.</x:v>
      </x:c>
      <x:c r="N67" s="6" t="str">
        <x:v>{"asset_id":"proc-factory-train-008-A00054","space_id":"proc-factory-train-008-F0-S013","space_name":"Hall access 0.13","floor_level":0,"position":[1.243,-3.484]}</x:v>
      </x:c>
      <x:c r="O67" s="6"/>
      <x:c r="P67" s="6" t="str">
        <x:v>Resolve the intended asset and its containing room/floor.</x:v>
      </x:c>
      <x:c r="Q67" s="15"/>
      <x:c r="R67" s="6"/>
      <x:c r="S67" s="16"/>
      <x:c r="T67" s="15"/>
      <x:c r="U67" s="6"/>
      <x:c r="V67" s="6"/>
      <x:c r="W67" s="6" t="str">
        <x:v>Existing search_building. Improve disambiguation and complete result pagination.</x:v>
      </x:c>
      <x:c r="X67" s="6" t="str">
        <x:v>data/train/proc-factory-train-008/questions_basic.jsonl</x:v>
      </x:c>
      <x:c r="Y67" s="14" t="n">
        <x:v>1</x:v>
      </x:c>
      <x:c r="Z67" s="6" t="str">
        <x:v>https://github.com/hagenhaeussler/Industrial-Agents-Hackathon-2026/blob/f41616590b69f3ea0c1cbfb41d6c35edd9ce53df/data/train/proc-factory-train-008/questions_basic.jsonl#L1</x:v>
      </x:c>
      <x:c r="AA67" s="6" t="str">
        <x:v>procedural</x:v>
      </x:c>
      <x:c r="AB67" s="6" t="str">
        <x:v>CC0-1.0</x:v>
      </x:c>
    </x:row>
    <x:row r="68" ht="72" customHeight="1">
      <x:c r="A68" s="14" t="n">
        <x:v>63</x:v>
      </x:c>
      <x:c r="B68" s="6" t="str">
        <x:v>locate</x:v>
      </x:c>
      <x:c r="C68" s="6" t="str">
        <x:v>Where is the inspection bench?</x:v>
      </x:c>
      <x:c r="D68" s="6" t="str">
        <x:v>Quality lab 0.18
Floor level: 0
Asset ID: proc-factory-train-008-A00082
Position (m): 24.45, -3.873</x:v>
      </x:c>
      <x:c r="E68" s="6" t="str">
        <x:v>Reference supplied</x:v>
      </x:c>
      <x:c r="F68" s="6" t="str">
        <x:v>train</x:v>
      </x:c>
      <x:c r="G68" s="6" t="str">
        <x:v>proc-factory-train-008</x:v>
      </x:c>
      <x:c r="H68" s="6" t="str">
        <x:v>proc-factory-train-008-Q02</x:v>
      </x:c>
      <x:c r="I68" s="6" t="str">
        <x:v>Find and count assets</x:v>
      </x:c>
      <x:c r="J68" s="6" t="str">
        <x:v>Warm-up</x:v>
      </x:c>
      <x:c r="K68" s="6" t="str">
        <x:v>Room name, floor and asset identity. Coordinates may help the UI.</x:v>
      </x:c>
      <x:c r="L68" s="6" t="str">
        <x:v>T02, T03</x:v>
      </x:c>
      <x:c r="M68" s="6" t="str">
        <x:v>Find a named item and identify its containing room and floor.</x:v>
      </x:c>
      <x:c r="N68" s="6" t="str">
        <x:v>{"asset_id":"proc-factory-train-008-A00082","space_id":"proc-factory-train-008-F0-S018","space_name":"Quality lab 0.18","floor_level":0,"position":[24.45,-3.873]}</x:v>
      </x:c>
      <x:c r="O68" s="6"/>
      <x:c r="P68" s="6" t="str">
        <x:v>Resolve the intended asset and its containing room/floor.</x:v>
      </x:c>
      <x:c r="Q68" s="15"/>
      <x:c r="R68" s="6"/>
      <x:c r="S68" s="16"/>
      <x:c r="T68" s="15"/>
      <x:c r="U68" s="6"/>
      <x:c r="V68" s="6"/>
      <x:c r="W68" s="6" t="str">
        <x:v>Existing search_building. Improve disambiguation and complete result pagination.</x:v>
      </x:c>
      <x:c r="X68" s="6" t="str">
        <x:v>data/train/proc-factory-train-008/questions_basic.jsonl</x:v>
      </x:c>
      <x:c r="Y68" s="14" t="n">
        <x:v>2</x:v>
      </x:c>
      <x:c r="Z68" s="6" t="str">
        <x:v>https://github.com/hagenhaeussler/Industrial-Agents-Hackathon-2026/blob/f41616590b69f3ea0c1cbfb41d6c35edd9ce53df/data/train/proc-factory-train-008/questions_basic.jsonl#L2</x:v>
      </x:c>
      <x:c r="AA68" s="6" t="str">
        <x:v>procedural</x:v>
      </x:c>
      <x:c r="AB68" s="6" t="str">
        <x:v>CC0-1.0</x:v>
      </x:c>
    </x:row>
    <x:row r="69" ht="72" customHeight="1">
      <x:c r="A69" s="14" t="n">
        <x:v>64</x:v>
      </x:c>
      <x:c r="B69" s="6" t="str">
        <x:v>locate</x:v>
      </x:c>
      <x:c r="C69" s="6" t="str">
        <x:v>Where is the shoe cabinet?</x:v>
      </x:c>
      <x:c r="D69" s="6" t="str">
        <x:v>Main aisle H-B1
Floor level: 0
Asset ID: proc-factory-train-008-A00025
Position (m): 0.245, 18.716</x:v>
      </x:c>
      <x:c r="E69" s="6" t="str">
        <x:v>Reference supplied</x:v>
      </x:c>
      <x:c r="F69" s="6" t="str">
        <x:v>train</x:v>
      </x:c>
      <x:c r="G69" s="6" t="str">
        <x:v>proc-factory-train-008</x:v>
      </x:c>
      <x:c r="H69" s="6" t="str">
        <x:v>proc-factory-train-008-Q03</x:v>
      </x:c>
      <x:c r="I69" s="6" t="str">
        <x:v>Find and count assets</x:v>
      </x:c>
      <x:c r="J69" s="6" t="str">
        <x:v>Warm-up</x:v>
      </x:c>
      <x:c r="K69" s="6" t="str">
        <x:v>Room name, floor and asset identity. Coordinates may help the UI.</x:v>
      </x:c>
      <x:c r="L69" s="6" t="str">
        <x:v>T02, T03</x:v>
      </x:c>
      <x:c r="M69" s="6" t="str">
        <x:v>Find a named item and identify its containing room and floor.</x:v>
      </x:c>
      <x:c r="N69" s="6" t="str">
        <x:v>{"asset_id":"proc-factory-train-008-A00025","space_id":"proc-factory-train-008-F0-S004","space_name":"Main aisle H-B1","floor_level":0,"position":[0.245,18.716]}</x:v>
      </x:c>
      <x:c r="O69" s="6"/>
      <x:c r="P69" s="6" t="str">
        <x:v>Resolve the intended asset and its containing room/floor.</x:v>
      </x:c>
      <x:c r="Q69" s="15"/>
      <x:c r="R69" s="6"/>
      <x:c r="S69" s="16"/>
      <x:c r="T69" s="15"/>
      <x:c r="U69" s="6"/>
      <x:c r="V69" s="6"/>
      <x:c r="W69" s="6" t="str">
        <x:v>Existing search_building. Improve disambiguation and complete result pagination.</x:v>
      </x:c>
      <x:c r="X69" s="6" t="str">
        <x:v>data/train/proc-factory-train-008/questions_basic.jsonl</x:v>
      </x:c>
      <x:c r="Y69" s="14" t="n">
        <x:v>3</x:v>
      </x:c>
      <x:c r="Z69" s="6" t="str">
        <x:v>https://github.com/hagenhaeussler/Industrial-Agents-Hackathon-2026/blob/f41616590b69f3ea0c1cbfb41d6c35edd9ce53df/data/train/proc-factory-train-008/questions_basic.jsonl#L3</x:v>
      </x:c>
      <x:c r="AA69" s="6" t="str">
        <x:v>procedural</x:v>
      </x:c>
      <x:c r="AB69" s="6" t="str">
        <x:v>CC0-1.0</x:v>
      </x:c>
    </x:row>
    <x:row r="70" ht="72" customHeight="1">
      <x:c r="A70" s="14" t="n">
        <x:v>65</x:v>
      </x:c>
      <x:c r="B70" s="6" t="str">
        <x:v>locate</x:v>
      </x:c>
      <x:c r="C70" s="6" t="str">
        <x:v>Where is the powder handling station?</x:v>
      </x:c>
      <x:c r="D70" s="6" t="str">
        <x:v>Additive zone H-A2
Floor level: 0
Asset ID: proc-factory-train-009-A00016
Position (m): -0.57, 26.467</x:v>
      </x:c>
      <x:c r="E70" s="6" t="str">
        <x:v>Reference supplied</x:v>
      </x:c>
      <x:c r="F70" s="6" t="str">
        <x:v>train</x:v>
      </x:c>
      <x:c r="G70" s="6" t="str">
        <x:v>proc-factory-train-009</x:v>
      </x:c>
      <x:c r="H70" s="6" t="str">
        <x:v>proc-factory-train-009-Q01</x:v>
      </x:c>
      <x:c r="I70" s="6" t="str">
        <x:v>Find and count assets</x:v>
      </x:c>
      <x:c r="J70" s="6" t="str">
        <x:v>Warm-up</x:v>
      </x:c>
      <x:c r="K70" s="6" t="str">
        <x:v>Room name, floor and asset identity. Coordinates may help the UI.</x:v>
      </x:c>
      <x:c r="L70" s="6" t="str">
        <x:v>T02, T03</x:v>
      </x:c>
      <x:c r="M70" s="6" t="str">
        <x:v>Find a named item and identify its containing room and floor.</x:v>
      </x:c>
      <x:c r="N70" s="6" t="str">
        <x:v>{"asset_id":"proc-factory-train-009-A00016","space_id":"proc-factory-train-009-F0-S002","space_name":"Additive zone H-A2","floor_level":0,"position":[-0.57,26.467]}</x:v>
      </x:c>
      <x:c r="O70" s="6"/>
      <x:c r="P70" s="6" t="str">
        <x:v>Resolve the intended asset and its containing room/floor.</x:v>
      </x:c>
      <x:c r="Q70" s="15"/>
      <x:c r="R70" s="6"/>
      <x:c r="S70" s="16"/>
      <x:c r="T70" s="15"/>
      <x:c r="U70" s="6"/>
      <x:c r="V70" s="6"/>
      <x:c r="W70" s="6" t="str">
        <x:v>Existing search_building. Improve disambiguation and complete result pagination.</x:v>
      </x:c>
      <x:c r="X70" s="6" t="str">
        <x:v>data/train/proc-factory-train-009/questions_basic.jsonl</x:v>
      </x:c>
      <x:c r="Y70" s="14" t="n">
        <x:v>1</x:v>
      </x:c>
      <x:c r="Z70" s="6" t="str">
        <x:v>https://github.com/hagenhaeussler/Industrial-Agents-Hackathon-2026/blob/f41616590b69f3ea0c1cbfb41d6c35edd9ce53df/data/train/proc-factory-train-009/questions_basic.jsonl#L1</x:v>
      </x:c>
      <x:c r="AA70" s="6" t="str">
        <x:v>procedural</x:v>
      </x:c>
      <x:c r="AB70" s="6" t="str">
        <x:v>CC0-1.0</x:v>
      </x:c>
    </x:row>
    <x:row r="71" ht="72" customHeight="1">
      <x:c r="A71" s="14" t="n">
        <x:v>66</x:v>
      </x:c>
      <x:c r="B71" s="6" t="str">
        <x:v>locate</x:v>
      </x:c>
      <x:c r="C71" s="6" t="str">
        <x:v>Where is the microscope?</x:v>
      </x:c>
      <x:c r="D71" s="6" t="str">
        <x:v>Quality lab 0.33
Floor level: 0
Asset ID: proc-factory-train-009-A00204
Position (m): 8.336, 33.922</x:v>
      </x:c>
      <x:c r="E71" s="6" t="str">
        <x:v>Reference supplied</x:v>
      </x:c>
      <x:c r="F71" s="6" t="str">
        <x:v>train</x:v>
      </x:c>
      <x:c r="G71" s="6" t="str">
        <x:v>proc-factory-train-009</x:v>
      </x:c>
      <x:c r="H71" s="6" t="str">
        <x:v>proc-factory-train-009-Q02</x:v>
      </x:c>
      <x:c r="I71" s="6" t="str">
        <x:v>Find and count assets</x:v>
      </x:c>
      <x:c r="J71" s="6" t="str">
        <x:v>Warm-up</x:v>
      </x:c>
      <x:c r="K71" s="6" t="str">
        <x:v>Room name, floor and asset identity. Coordinates may help the UI.</x:v>
      </x:c>
      <x:c r="L71" s="6" t="str">
        <x:v>T02, T03</x:v>
      </x:c>
      <x:c r="M71" s="6" t="str">
        <x:v>Find a named item and identify its containing room and floor.</x:v>
      </x:c>
      <x:c r="N71" s="6" t="str">
        <x:v>{"asset_id":"proc-factory-train-009-A00204","space_id":"proc-factory-train-009-F0-S033","space_name":"Quality lab 0.33","floor_level":0,"position":[8.336,33.922]}</x:v>
      </x:c>
      <x:c r="O71" s="6"/>
      <x:c r="P71" s="6" t="str">
        <x:v>Resolve the intended asset and its containing room/floor.</x:v>
      </x:c>
      <x:c r="Q71" s="15"/>
      <x:c r="R71" s="6"/>
      <x:c r="S71" s="16"/>
      <x:c r="T71" s="15"/>
      <x:c r="U71" s="6"/>
      <x:c r="V71" s="6"/>
      <x:c r="W71" s="6" t="str">
        <x:v>Existing search_building. Improve disambiguation and complete result pagination.</x:v>
      </x:c>
      <x:c r="X71" s="6" t="str">
        <x:v>data/train/proc-factory-train-009/questions_basic.jsonl</x:v>
      </x:c>
      <x:c r="Y71" s="14" t="n">
        <x:v>2</x:v>
      </x:c>
      <x:c r="Z71" s="6" t="str">
        <x:v>https://github.com/hagenhaeussler/Industrial-Agents-Hackathon-2026/blob/f41616590b69f3ea0c1cbfb41d6c35edd9ce53df/data/train/proc-factory-train-009/questions_basic.jsonl#L2</x:v>
      </x:c>
      <x:c r="AA71" s="6" t="str">
        <x:v>procedural</x:v>
      </x:c>
      <x:c r="AB71" s="6" t="str">
        <x:v>CC0-1.0</x:v>
      </x:c>
    </x:row>
    <x:row r="72" ht="72" customHeight="1">
      <x:c r="A72" s="14" t="n">
        <x:v>67</x:v>
      </x:c>
      <x:c r="B72" s="6" t="str">
        <x:v>locate</x:v>
      </x:c>
      <x:c r="C72" s="6" t="str">
        <x:v>Where is the workbench?</x:v>
      </x:c>
      <x:c r="D72" s="6" t="str">
        <x:v>Additive zone H-A2
Floor level: 0
Asset ID: proc-factory-train-009-A00018
Position (m): -10.815, 24.456</x:v>
      </x:c>
      <x:c r="E72" s="6" t="str">
        <x:v>Reference supplied</x:v>
      </x:c>
      <x:c r="F72" s="6" t="str">
        <x:v>train</x:v>
      </x:c>
      <x:c r="G72" s="6" t="str">
        <x:v>proc-factory-train-009</x:v>
      </x:c>
      <x:c r="H72" s="6" t="str">
        <x:v>proc-factory-train-009-Q03</x:v>
      </x:c>
      <x:c r="I72" s="6" t="str">
        <x:v>Find and count assets</x:v>
      </x:c>
      <x:c r="J72" s="6" t="str">
        <x:v>Warm-up</x:v>
      </x:c>
      <x:c r="K72" s="6" t="str">
        <x:v>Room name, floor and asset identity. Coordinates may help the UI.</x:v>
      </x:c>
      <x:c r="L72" s="6" t="str">
        <x:v>T02, T03</x:v>
      </x:c>
      <x:c r="M72" s="6" t="str">
        <x:v>Find a named item and identify its containing room and floor.</x:v>
      </x:c>
      <x:c r="N72" s="6" t="str">
        <x:v>{"asset_id":"proc-factory-train-009-A00018","space_id":"proc-factory-train-009-F0-S002","space_name":"Additive zone H-A2","floor_level":0,"position":[-10.815,24.456]}</x:v>
      </x:c>
      <x:c r="O72" s="6"/>
      <x:c r="P72" s="6" t="str">
        <x:v>Resolve the intended asset and its containing room/floor.</x:v>
      </x:c>
      <x:c r="Q72" s="15"/>
      <x:c r="R72" s="6"/>
      <x:c r="S72" s="16"/>
      <x:c r="T72" s="15"/>
      <x:c r="U72" s="6"/>
      <x:c r="V72" s="6"/>
      <x:c r="W72" s="6" t="str">
        <x:v>Existing search_building. Improve disambiguation and complete result pagination.</x:v>
      </x:c>
      <x:c r="X72" s="6" t="str">
        <x:v>data/train/proc-factory-train-009/questions_basic.jsonl</x:v>
      </x:c>
      <x:c r="Y72" s="14" t="n">
        <x:v>3</x:v>
      </x:c>
      <x:c r="Z72" s="6" t="str">
        <x:v>https://github.com/hagenhaeussler/Industrial-Agents-Hackathon-2026/blob/f41616590b69f3ea0c1cbfb41d6c35edd9ce53df/data/train/proc-factory-train-009/questions_basic.jsonl#L3</x:v>
      </x:c>
      <x:c r="AA72" s="6" t="str">
        <x:v>procedural</x:v>
      </x:c>
      <x:c r="AB72" s="6" t="str">
        <x:v>CC0-1.0</x:v>
      </x:c>
    </x:row>
    <x:row r="73" ht="72" customHeight="1">
      <x:c r="A73" s="14" t="n">
        <x:v>68</x:v>
      </x:c>
      <x:c r="B73" s="6" t="str">
        <x:v>locate</x:v>
      </x:c>
      <x:c r="C73" s="6" t="str">
        <x:v>Where is the inspection bench?</x:v>
      </x:c>
      <x:c r="D73" s="6" t="str">
        <x:v>Quality lab 0.14
Floor level: 0
Asset ID: proc-factory-train-010-A00060
Position (m): -5.803, 0.47</x:v>
      </x:c>
      <x:c r="E73" s="6" t="str">
        <x:v>Reference supplied</x:v>
      </x:c>
      <x:c r="F73" s="6" t="str">
        <x:v>train</x:v>
      </x:c>
      <x:c r="G73" s="6" t="str">
        <x:v>proc-factory-train-010</x:v>
      </x:c>
      <x:c r="H73" s="6" t="str">
        <x:v>proc-factory-train-010-Q01</x:v>
      </x:c>
      <x:c r="I73" s="6" t="str">
        <x:v>Find and count assets</x:v>
      </x:c>
      <x:c r="J73" s="6" t="str">
        <x:v>Warm-up</x:v>
      </x:c>
      <x:c r="K73" s="6" t="str">
        <x:v>Room name, floor and asset identity. Coordinates may help the UI.</x:v>
      </x:c>
      <x:c r="L73" s="6" t="str">
        <x:v>T02, T03</x:v>
      </x:c>
      <x:c r="M73" s="6" t="str">
        <x:v>Find a named item and identify its containing room and floor.</x:v>
      </x:c>
      <x:c r="N73" s="6" t="str">
        <x:v>{"asset_id":"proc-factory-train-010-A00060","space_id":"proc-factory-train-010-F0-S014","space_name":"Quality lab 0.14","floor_level":0,"position":[-5.803,0.47]}</x:v>
      </x:c>
      <x:c r="O73" s="6"/>
      <x:c r="P73" s="6" t="str">
        <x:v>Resolve the intended asset and its containing room/floor.</x:v>
      </x:c>
      <x:c r="Q73" s="15"/>
      <x:c r="R73" s="6"/>
      <x:c r="S73" s="16"/>
      <x:c r="T73" s="15"/>
      <x:c r="U73" s="6"/>
      <x:c r="V73" s="6"/>
      <x:c r="W73" s="6" t="str">
        <x:v>Existing search_building. Improve disambiguation and complete result pagination.</x:v>
      </x:c>
      <x:c r="X73" s="6" t="str">
        <x:v>data/train/proc-factory-train-010/questions_basic.jsonl</x:v>
      </x:c>
      <x:c r="Y73" s="14" t="n">
        <x:v>1</x:v>
      </x:c>
      <x:c r="Z73" s="6" t="str">
        <x:v>https://github.com/hagenhaeussler/Industrial-Agents-Hackathon-2026/blob/f41616590b69f3ea0c1cbfb41d6c35edd9ce53df/data/train/proc-factory-train-010/questions_basic.jsonl#L1</x:v>
      </x:c>
      <x:c r="AA73" s="6" t="str">
        <x:v>procedural</x:v>
      </x:c>
      <x:c r="AB73" s="6" t="str">
        <x:v>CC0-1.0</x:v>
      </x:c>
    </x:row>
    <x:row r="74" ht="72" customHeight="1">
      <x:c r="A74" s="14" t="n">
        <x:v>69</x:v>
      </x:c>
      <x:c r="B74" s="6" t="str">
        <x:v>locate</x:v>
      </x:c>
      <x:c r="C74" s="6" t="str">
        <x:v>Where is the coat rack?</x:v>
      </x:c>
      <x:c r="D74" s="6" t="str">
        <x:v>Main aisle H-B1
Floor level: 0
Asset ID: proc-factory-train-010-A00029
Position (m): -1.822, -31.38</x:v>
      </x:c>
      <x:c r="E74" s="6" t="str">
        <x:v>Reference supplied</x:v>
      </x:c>
      <x:c r="F74" s="6" t="str">
        <x:v>train</x:v>
      </x:c>
      <x:c r="G74" s="6" t="str">
        <x:v>proc-factory-train-010</x:v>
      </x:c>
      <x:c r="H74" s="6" t="str">
        <x:v>proc-factory-train-010-Q02</x:v>
      </x:c>
      <x:c r="I74" s="6" t="str">
        <x:v>Find and count assets</x:v>
      </x:c>
      <x:c r="J74" s="6" t="str">
        <x:v>Warm-up</x:v>
      </x:c>
      <x:c r="K74" s="6" t="str">
        <x:v>Room name, floor and asset identity. Coordinates may help the UI.</x:v>
      </x:c>
      <x:c r="L74" s="6" t="str">
        <x:v>T02, T03</x:v>
      </x:c>
      <x:c r="M74" s="6" t="str">
        <x:v>Find a named item and identify its containing room and floor.</x:v>
      </x:c>
      <x:c r="N74" s="6" t="str">
        <x:v>{"asset_id":"proc-factory-train-010-A00029","space_id":"proc-factory-train-010-F0-S004","space_name":"Main aisle H-B1","floor_level":0,"position":[-1.822,-31.38]}</x:v>
      </x:c>
      <x:c r="O74" s="6"/>
      <x:c r="P74" s="6" t="str">
        <x:v>Resolve the intended asset and its containing room/floor.</x:v>
      </x:c>
      <x:c r="Q74" s="15"/>
      <x:c r="R74" s="6"/>
      <x:c r="S74" s="16"/>
      <x:c r="T74" s="15"/>
      <x:c r="U74" s="6"/>
      <x:c r="V74" s="6"/>
      <x:c r="W74" s="6" t="str">
        <x:v>Existing search_building. Improve disambiguation and complete result pagination.</x:v>
      </x:c>
      <x:c r="X74" s="6" t="str">
        <x:v>data/train/proc-factory-train-010/questions_basic.jsonl</x:v>
      </x:c>
      <x:c r="Y74" s="14" t="n">
        <x:v>2</x:v>
      </x:c>
      <x:c r="Z74" s="6" t="str">
        <x:v>https://github.com/hagenhaeussler/Industrial-Agents-Hackathon-2026/blob/f41616590b69f3ea0c1cbfb41d6c35edd9ce53df/data/train/proc-factory-train-010/questions_basic.jsonl#L2</x:v>
      </x:c>
      <x:c r="AA74" s="6" t="str">
        <x:v>procedural</x:v>
      </x:c>
      <x:c r="AB74" s="6" t="str">
        <x:v>CC0-1.0</x:v>
      </x:c>
    </x:row>
    <x:row r="75" ht="72" customHeight="1">
      <x:c r="A75" s="14" t="n">
        <x:v>70</x:v>
      </x:c>
      <x:c r="B75" s="6" t="str">
        <x:v>locate</x:v>
      </x:c>
      <x:c r="C75" s="6" t="str">
        <x:v>Where is the waterjet cutter?</x:v>
      </x:c>
      <x:c r="D75" s="6" t="str">
        <x:v>Production zone H-A1
Floor level: 0
Asset ID: proc-factory-train-010-A00005
Position (m): -11.195, -13.039</x:v>
      </x:c>
      <x:c r="E75" s="6" t="str">
        <x:v>Reference supplied</x:v>
      </x:c>
      <x:c r="F75" s="6" t="str">
        <x:v>train</x:v>
      </x:c>
      <x:c r="G75" s="6" t="str">
        <x:v>proc-factory-train-010</x:v>
      </x:c>
      <x:c r="H75" s="6" t="str">
        <x:v>proc-factory-train-010-Q03</x:v>
      </x:c>
      <x:c r="I75" s="6" t="str">
        <x:v>Find and count assets</x:v>
      </x:c>
      <x:c r="J75" s="6" t="str">
        <x:v>Warm-up</x:v>
      </x:c>
      <x:c r="K75" s="6" t="str">
        <x:v>Room name, floor and asset identity. Coordinates may help the UI.</x:v>
      </x:c>
      <x:c r="L75" s="6" t="str">
        <x:v>T02, T03</x:v>
      </x:c>
      <x:c r="M75" s="6" t="str">
        <x:v>Find a named item and identify its containing room and floor.</x:v>
      </x:c>
      <x:c r="N75" s="6" t="str">
        <x:v>{"asset_id":"proc-factory-train-010-A00005","space_id":"proc-factory-train-010-F0-S001","space_name":"Production zone H-A1","floor_level":0,"position":[-11.195,-13.039]}</x:v>
      </x:c>
      <x:c r="O75" s="6"/>
      <x:c r="P75" s="6" t="str">
        <x:v>Resolve the intended asset and its containing room/floor.</x:v>
      </x:c>
      <x:c r="Q75" s="15"/>
      <x:c r="R75" s="6"/>
      <x:c r="S75" s="16"/>
      <x:c r="T75" s="15"/>
      <x:c r="U75" s="6"/>
      <x:c r="V75" s="6"/>
      <x:c r="W75" s="6" t="str">
        <x:v>Existing search_building. Improve disambiguation and complete result pagination.</x:v>
      </x:c>
      <x:c r="X75" s="6" t="str">
        <x:v>data/train/proc-factory-train-010/questions_basic.jsonl</x:v>
      </x:c>
      <x:c r="Y75" s="14" t="n">
        <x:v>3</x:v>
      </x:c>
      <x:c r="Z75" s="6" t="str">
        <x:v>https://github.com/hagenhaeussler/Industrial-Agents-Hackathon-2026/blob/f41616590b69f3ea0c1cbfb41d6c35edd9ce53df/data/train/proc-factory-train-010/questions_basic.jsonl#L3</x:v>
      </x:c>
      <x:c r="AA75" s="6" t="str">
        <x:v>procedural</x:v>
      </x:c>
      <x:c r="AB75" s="6" t="str">
        <x:v>CC0-1.0</x:v>
      </x:c>
    </x:row>
    <x:row r="76" ht="72" customHeight="1">
      <x:c r="A76" s="14" t="n">
        <x:v>71</x:v>
      </x:c>
      <x:c r="B76" s="6" t="str">
        <x:v>locate</x:v>
      </x:c>
      <x:c r="C76" s="6" t="str">
        <x:v>Where is the hand dryer?</x:v>
      </x:c>
      <x:c r="D76" s="6" t="str">
        <x:v>Toilet 1.18
Floor level: 1
Asset ID: proc-factory-train-015-A00296
Position (m): 9.575, 30.15</x:v>
      </x:c>
      <x:c r="E76" s="6" t="str">
        <x:v>Reference supplied</x:v>
      </x:c>
      <x:c r="F76" s="6" t="str">
        <x:v>train</x:v>
      </x:c>
      <x:c r="G76" s="6" t="str">
        <x:v>proc-factory-train-015</x:v>
      </x:c>
      <x:c r="H76" s="6" t="str">
        <x:v>proc-factory-train-015-Q01</x:v>
      </x:c>
      <x:c r="I76" s="6" t="str">
        <x:v>Find and count assets</x:v>
      </x:c>
      <x:c r="J76" s="6" t="str">
        <x:v>Warm-up</x:v>
      </x:c>
      <x:c r="K76" s="6" t="str">
        <x:v>Room name, floor and asset identity. Coordinates may help the UI.</x:v>
      </x:c>
      <x:c r="L76" s="6" t="str">
        <x:v>T02, T03</x:v>
      </x:c>
      <x:c r="M76" s="6" t="str">
        <x:v>Find a named item and identify its containing room and floor.</x:v>
      </x:c>
      <x:c r="N76" s="6" t="str">
        <x:v>{"asset_id":"proc-factory-train-015-A00296","space_id":"proc-factory-train-015-F1-S018","space_name":"Toilet 1.18","floor_level":1,"position":[9.575,30.15]}</x:v>
      </x:c>
      <x:c r="O76" s="6"/>
      <x:c r="P76" s="6" t="str">
        <x:v>Resolve the intended asset and its containing room/floor.</x:v>
      </x:c>
      <x:c r="Q76" s="15"/>
      <x:c r="R76" s="6"/>
      <x:c r="S76" s="16"/>
      <x:c r="T76" s="15"/>
      <x:c r="U76" s="6"/>
      <x:c r="V76" s="6"/>
      <x:c r="W76" s="6" t="str">
        <x:v>Existing search_building. Improve disambiguation and complete result pagination.</x:v>
      </x:c>
      <x:c r="X76" s="6" t="str">
        <x:v>data/train/proc-factory-train-015/questions_basic.jsonl</x:v>
      </x:c>
      <x:c r="Y76" s="14" t="n">
        <x:v>1</x:v>
      </x:c>
      <x:c r="Z76" s="6" t="str">
        <x:v>https://github.com/hagenhaeussler/Industrial-Agents-Hackathon-2026/blob/f41616590b69f3ea0c1cbfb41d6c35edd9ce53df/data/train/proc-factory-train-015/questions_basic.jsonl#L1</x:v>
      </x:c>
      <x:c r="AA76" s="6" t="str">
        <x:v>procedural</x:v>
      </x:c>
      <x:c r="AB76" s="6" t="str">
        <x:v>CC0-1.0</x:v>
      </x:c>
    </x:row>
    <x:row r="77" ht="72" customHeight="1">
      <x:c r="A77" s="14" t="n">
        <x:v>72</x:v>
      </x:c>
      <x:c r="B77" s="6" t="str">
        <x:v>locate</x:v>
      </x:c>
      <x:c r="C77" s="6" t="str">
        <x:v>Where is the coordinate measuring machine?</x:v>
      </x:c>
      <x:c r="D77" s="6" t="str">
        <x:v>Quality lab 0.23
Floor level: 0
Asset ID: proc-factory-train-015-A00133
Position (m): 10.995, 14.075</x:v>
      </x:c>
      <x:c r="E77" s="6" t="str">
        <x:v>Reference supplied</x:v>
      </x:c>
      <x:c r="F77" s="6" t="str">
        <x:v>train</x:v>
      </x:c>
      <x:c r="G77" s="6" t="str">
        <x:v>proc-factory-train-015</x:v>
      </x:c>
      <x:c r="H77" s="6" t="str">
        <x:v>proc-factory-train-015-Q02</x:v>
      </x:c>
      <x:c r="I77" s="6" t="str">
        <x:v>Find and count assets</x:v>
      </x:c>
      <x:c r="J77" s="6" t="str">
        <x:v>Warm-up</x:v>
      </x:c>
      <x:c r="K77" s="6" t="str">
        <x:v>Room name, floor and asset identity. Coordinates may help the UI.</x:v>
      </x:c>
      <x:c r="L77" s="6" t="str">
        <x:v>T02, T03</x:v>
      </x:c>
      <x:c r="M77" s="6" t="str">
        <x:v>Find a named item and identify its containing room and floor.</x:v>
      </x:c>
      <x:c r="N77" s="6" t="str">
        <x:v>{"asset_id":"proc-factory-train-015-A00133","space_id":"proc-factory-train-015-F0-S023","space_name":"Quality lab 0.23","floor_level":0,"position":[10.995,14.075]}</x:v>
      </x:c>
      <x:c r="O77" s="6"/>
      <x:c r="P77" s="6" t="str">
        <x:v>Resolve the intended asset and its containing room/floor.</x:v>
      </x:c>
      <x:c r="Q77" s="15"/>
      <x:c r="R77" s="6"/>
      <x:c r="S77" s="16"/>
      <x:c r="T77" s="15"/>
      <x:c r="U77" s="6"/>
      <x:c r="V77" s="6"/>
      <x:c r="W77" s="6" t="str">
        <x:v>Existing search_building. Improve disambiguation and complete result pagination.</x:v>
      </x:c>
      <x:c r="X77" s="6" t="str">
        <x:v>data/train/proc-factory-train-015/questions_basic.jsonl</x:v>
      </x:c>
      <x:c r="Y77" s="14" t="n">
        <x:v>2</x:v>
      </x:c>
      <x:c r="Z77" s="6" t="str">
        <x:v>https://github.com/hagenhaeussler/Industrial-Agents-Hackathon-2026/blob/f41616590b69f3ea0c1cbfb41d6c35edd9ce53df/data/train/proc-factory-train-015/questions_basic.jsonl#L2</x:v>
      </x:c>
      <x:c r="AA77" s="6" t="str">
        <x:v>procedural</x:v>
      </x:c>
      <x:c r="AB77" s="6" t="str">
        <x:v>CC0-1.0</x:v>
      </x:c>
    </x:row>
    <x:row r="78" ht="72" customHeight="1">
      <x:c r="A78" s="14" t="n">
        <x:v>73</x:v>
      </x:c>
      <x:c r="B78" s="6" t="str">
        <x:v>locate</x:v>
      </x:c>
      <x:c r="C78" s="6" t="str">
        <x:v>Where is the vending machine?</x:v>
      </x:c>
      <x:c r="D78" s="6" t="str">
        <x:v>Hall access 0.21
Floor level: 0
Asset ID: proc-factory-train-015-A00121
Position (m): 4.4, 38.15</x:v>
      </x:c>
      <x:c r="E78" s="6" t="str">
        <x:v>Reference supplied</x:v>
      </x:c>
      <x:c r="F78" s="6" t="str">
        <x:v>train</x:v>
      </x:c>
      <x:c r="G78" s="6" t="str">
        <x:v>proc-factory-train-015</x:v>
      </x:c>
      <x:c r="H78" s="6" t="str">
        <x:v>proc-factory-train-015-Q03</x:v>
      </x:c>
      <x:c r="I78" s="6" t="str">
        <x:v>Find and count assets</x:v>
      </x:c>
      <x:c r="J78" s="6" t="str">
        <x:v>Warm-up</x:v>
      </x:c>
      <x:c r="K78" s="6" t="str">
        <x:v>Room name, floor and asset identity. Coordinates may help the UI.</x:v>
      </x:c>
      <x:c r="L78" s="6" t="str">
        <x:v>T02, T03</x:v>
      </x:c>
      <x:c r="M78" s="6" t="str">
        <x:v>Find a named item and identify its containing room and floor.</x:v>
      </x:c>
      <x:c r="N78" s="6" t="str">
        <x:v>{"asset_id":"proc-factory-train-015-A00121","space_id":"proc-factory-train-015-F0-S021","space_name":"Hall access 0.21","floor_level":0,"position":[4.4,38.15]}</x:v>
      </x:c>
      <x:c r="O78" s="6"/>
      <x:c r="P78" s="6" t="str">
        <x:v>Resolve the intended asset and its containing room/floor.</x:v>
      </x:c>
      <x:c r="Q78" s="15"/>
      <x:c r="R78" s="6"/>
      <x:c r="S78" s="16"/>
      <x:c r="T78" s="15"/>
      <x:c r="U78" s="6"/>
      <x:c r="V78" s="6"/>
      <x:c r="W78" s="6" t="str">
        <x:v>Existing search_building. Improve disambiguation and complete result pagination.</x:v>
      </x:c>
      <x:c r="X78" s="6" t="str">
        <x:v>data/train/proc-factory-train-015/questions_basic.jsonl</x:v>
      </x:c>
      <x:c r="Y78" s="14" t="n">
        <x:v>3</x:v>
      </x:c>
      <x:c r="Z78" s="6" t="str">
        <x:v>https://github.com/hagenhaeussler/Industrial-Agents-Hackathon-2026/blob/f41616590b69f3ea0c1cbfb41d6c35edd9ce53df/data/train/proc-factory-train-015/questions_basic.jsonl#L3</x:v>
      </x:c>
      <x:c r="AA78" s="6" t="str">
        <x:v>procedural</x:v>
      </x:c>
      <x:c r="AB78" s="6" t="str">
        <x:v>CC0-1.0</x:v>
      </x:c>
    </x:row>
    <x:row r="79" ht="72" customHeight="1">
      <x:c r="A79" s="14" t="n">
        <x:v>74</x:v>
      </x:c>
      <x:c r="B79" s="6" t="str">
        <x:v>locate</x:v>
      </x:c>
      <x:c r="C79" s="6" t="str">
        <x:v>Where is the dishwasher?</x:v>
      </x:c>
      <x:c r="D79" s="6" t="str">
        <x:v>Kitchen 1.10
Floor level: 1
Asset ID: proc-factory-train-017-A00154
Position (m): 11.63, 13.519</x:v>
      </x:c>
      <x:c r="E79" s="6" t="str">
        <x:v>Reference supplied</x:v>
      </x:c>
      <x:c r="F79" s="6" t="str">
        <x:v>train</x:v>
      </x:c>
      <x:c r="G79" s="6" t="str">
        <x:v>proc-factory-train-017</x:v>
      </x:c>
      <x:c r="H79" s="6" t="str">
        <x:v>proc-factory-train-017-Q01</x:v>
      </x:c>
      <x:c r="I79" s="6" t="str">
        <x:v>Find and count assets</x:v>
      </x:c>
      <x:c r="J79" s="6" t="str">
        <x:v>Warm-up</x:v>
      </x:c>
      <x:c r="K79" s="6" t="str">
        <x:v>Room name, floor and asset identity. Coordinates may help the UI.</x:v>
      </x:c>
      <x:c r="L79" s="6" t="str">
        <x:v>T02, T03</x:v>
      </x:c>
      <x:c r="M79" s="6" t="str">
        <x:v>Find a named item and identify its containing room and floor.</x:v>
      </x:c>
      <x:c r="N79" s="6" t="str">
        <x:v>{"asset_id":"proc-factory-train-017-A00154","space_id":"proc-factory-train-017-F1-S010","space_name":"Kitchen 1.10","floor_level":1,"position":[11.63,13.519]}</x:v>
      </x:c>
      <x:c r="O79" s="6"/>
      <x:c r="P79" s="6" t="str">
        <x:v>Resolve the intended asset and its containing room/floor.</x:v>
      </x:c>
      <x:c r="Q79" s="15"/>
      <x:c r="R79" s="6"/>
      <x:c r="S79" s="16"/>
      <x:c r="T79" s="15"/>
      <x:c r="U79" s="6"/>
      <x:c r="V79" s="6"/>
      <x:c r="W79" s="6" t="str">
        <x:v>Existing search_building. Improve disambiguation and complete result pagination.</x:v>
      </x:c>
      <x:c r="X79" s="6" t="str">
        <x:v>data/train/proc-factory-train-017/questions_basic.jsonl</x:v>
      </x:c>
      <x:c r="Y79" s="14" t="n">
        <x:v>1</x:v>
      </x:c>
      <x:c r="Z79" s="6" t="str">
        <x:v>https://github.com/hagenhaeussler/Industrial-Agents-Hackathon-2026/blob/f41616590b69f3ea0c1cbfb41d6c35edd9ce53df/data/train/proc-factory-train-017/questions_basic.jsonl#L1</x:v>
      </x:c>
      <x:c r="AA79" s="6" t="str">
        <x:v>procedural</x:v>
      </x:c>
      <x:c r="AB79" s="6" t="str">
        <x:v>CC0-1.0</x:v>
      </x:c>
    </x:row>
    <x:row r="80" ht="72" customHeight="1">
      <x:c r="A80" s="14" t="n">
        <x:v>75</x:v>
      </x:c>
      <x:c r="B80" s="6" t="str">
        <x:v>locate</x:v>
      </x:c>
      <x:c r="C80" s="6" t="str">
        <x:v>Where is the coat rack?</x:v>
      </x:c>
      <x:c r="D80" s="6" t="str">
        <x:v>Office corridor 1.01
Floor level: 1
Asset ID: proc-factory-train-017-A00106
Position (m): 5.22, 11.981</x:v>
      </x:c>
      <x:c r="E80" s="6" t="str">
        <x:v>Reference supplied</x:v>
      </x:c>
      <x:c r="F80" s="6" t="str">
        <x:v>train</x:v>
      </x:c>
      <x:c r="G80" s="6" t="str">
        <x:v>proc-factory-train-017</x:v>
      </x:c>
      <x:c r="H80" s="6" t="str">
        <x:v>proc-factory-train-017-Q02</x:v>
      </x:c>
      <x:c r="I80" s="6" t="str">
        <x:v>Find and count assets</x:v>
      </x:c>
      <x:c r="J80" s="6" t="str">
        <x:v>Warm-up</x:v>
      </x:c>
      <x:c r="K80" s="6" t="str">
        <x:v>Room name, floor and asset identity. Coordinates may help the UI.</x:v>
      </x:c>
      <x:c r="L80" s="6" t="str">
        <x:v>T02, T03</x:v>
      </x:c>
      <x:c r="M80" s="6" t="str">
        <x:v>Find a named item and identify its containing room and floor.</x:v>
      </x:c>
      <x:c r="N80" s="6" t="str">
        <x:v>{"asset_id":"proc-factory-train-017-A00106","space_id":"proc-factory-train-017-F1-S001","space_name":"Office corridor 1.01","floor_level":1,"position":[5.22,11.981]}</x:v>
      </x:c>
      <x:c r="O80" s="6"/>
      <x:c r="P80" s="6" t="str">
        <x:v>Resolve the intended asset and its containing room/floor.</x:v>
      </x:c>
      <x:c r="Q80" s="15"/>
      <x:c r="R80" s="6"/>
      <x:c r="S80" s="16"/>
      <x:c r="T80" s="15"/>
      <x:c r="U80" s="6"/>
      <x:c r="V80" s="6"/>
      <x:c r="W80" s="6" t="str">
        <x:v>Existing search_building. Improve disambiguation and complete result pagination.</x:v>
      </x:c>
      <x:c r="X80" s="6" t="str">
        <x:v>data/train/proc-factory-train-017/questions_basic.jsonl</x:v>
      </x:c>
      <x:c r="Y80" s="14" t="n">
        <x:v>2</x:v>
      </x:c>
      <x:c r="Z80" s="6" t="str">
        <x:v>https://github.com/hagenhaeussler/Industrial-Agents-Hackathon-2026/blob/f41616590b69f3ea0c1cbfb41d6c35edd9ce53df/data/train/proc-factory-train-017/questions_basic.jsonl#L2</x:v>
      </x:c>
      <x:c r="AA80" s="6" t="str">
        <x:v>procedural</x:v>
      </x:c>
      <x:c r="AB80" s="6" t="str">
        <x:v>CC0-1.0</x:v>
      </x:c>
    </x:row>
    <x:row r="81" ht="72" customHeight="1">
      <x:c r="A81" s="14" t="n">
        <x:v>76</x:v>
      </x:c>
      <x:c r="B81" s="6" t="str">
        <x:v>locate</x:v>
      </x:c>
      <x:c r="C81" s="6" t="str">
        <x:v>Where is the coordinate measuring machine?</x:v>
      </x:c>
      <x:c r="D81" s="6" t="str">
        <x:v>Quality lab 0.15
Floor level: 0
Asset ID: proc-factory-train-017-A00070
Position (m): 1.99, 14.745</x:v>
      </x:c>
      <x:c r="E81" s="6" t="str">
        <x:v>Reference supplied</x:v>
      </x:c>
      <x:c r="F81" s="6" t="str">
        <x:v>train</x:v>
      </x:c>
      <x:c r="G81" s="6" t="str">
        <x:v>proc-factory-train-017</x:v>
      </x:c>
      <x:c r="H81" s="6" t="str">
        <x:v>proc-factory-train-017-Q03</x:v>
      </x:c>
      <x:c r="I81" s="6" t="str">
        <x:v>Find and count assets</x:v>
      </x:c>
      <x:c r="J81" s="6" t="str">
        <x:v>Warm-up</x:v>
      </x:c>
      <x:c r="K81" s="6" t="str">
        <x:v>Room name, floor and asset identity. Coordinates may help the UI.</x:v>
      </x:c>
      <x:c r="L81" s="6" t="str">
        <x:v>T02, T03</x:v>
      </x:c>
      <x:c r="M81" s="6" t="str">
        <x:v>Find a named item and identify its containing room and floor.</x:v>
      </x:c>
      <x:c r="N81" s="6" t="str">
        <x:v>{"asset_id":"proc-factory-train-017-A00070","space_id":"proc-factory-train-017-F0-S015","space_name":"Quality lab 0.15","floor_level":0,"position":[1.99,14.745]}</x:v>
      </x:c>
      <x:c r="O81" s="6"/>
      <x:c r="P81" s="6" t="str">
        <x:v>Resolve the intended asset and its containing room/floor.</x:v>
      </x:c>
      <x:c r="Q81" s="15"/>
      <x:c r="R81" s="6"/>
      <x:c r="S81" s="16"/>
      <x:c r="T81" s="15"/>
      <x:c r="U81" s="6"/>
      <x:c r="V81" s="6"/>
      <x:c r="W81" s="6" t="str">
        <x:v>Existing search_building. Improve disambiguation and complete result pagination.</x:v>
      </x:c>
      <x:c r="X81" s="6" t="str">
        <x:v>data/train/proc-factory-train-017/questions_basic.jsonl</x:v>
      </x:c>
      <x:c r="Y81" s="14" t="n">
        <x:v>3</x:v>
      </x:c>
      <x:c r="Z81" s="6" t="str">
        <x:v>https://github.com/hagenhaeussler/Industrial-Agents-Hackathon-2026/blob/f41616590b69f3ea0c1cbfb41d6c35edd9ce53df/data/train/proc-factory-train-017/questions_basic.jsonl#L3</x:v>
      </x:c>
      <x:c r="AA81" s="6" t="str">
        <x:v>procedural</x:v>
      </x:c>
      <x:c r="AB81" s="6" t="str">
        <x:v>CC0-1.0</x:v>
      </x:c>
    </x:row>
    <x:row r="82" ht="72" customHeight="1">
      <x:c r="A82" s="14" t="n">
        <x:v>77</x:v>
      </x:c>
      <x:c r="B82" s="6" t="str">
        <x:v>locate</x:v>
      </x:c>
      <x:c r="C82" s="6" t="str">
        <x:v>Where is the reception desk?</x:v>
      </x:c>
      <x:c r="D82" s="6" t="str">
        <x:v>Hall access 0.13
Floor level: 0
Asset ID: proc-factory-train-018-A00049
Position (m): -2.655, -1.695</x:v>
      </x:c>
      <x:c r="E82" s="6" t="str">
        <x:v>Reference supplied</x:v>
      </x:c>
      <x:c r="F82" s="6" t="str">
        <x:v>train</x:v>
      </x:c>
      <x:c r="G82" s="6" t="str">
        <x:v>proc-factory-train-018</x:v>
      </x:c>
      <x:c r="H82" s="6" t="str">
        <x:v>proc-factory-train-018-Q01</x:v>
      </x:c>
      <x:c r="I82" s="6" t="str">
        <x:v>Find and count assets</x:v>
      </x:c>
      <x:c r="J82" s="6" t="str">
        <x:v>Warm-up</x:v>
      </x:c>
      <x:c r="K82" s="6" t="str">
        <x:v>Room name, floor and asset identity. Coordinates may help the UI.</x:v>
      </x:c>
      <x:c r="L82" s="6" t="str">
        <x:v>T02, T03</x:v>
      </x:c>
      <x:c r="M82" s="6" t="str">
        <x:v>Find a named item and identify its containing room and floor.</x:v>
      </x:c>
      <x:c r="N82" s="6" t="str">
        <x:v>{"asset_id":"proc-factory-train-018-A00049","space_id":"proc-factory-train-018-F0-S013","space_name":"Hall access 0.13","floor_level":0,"position":[-2.655,-1.695]}</x:v>
      </x:c>
      <x:c r="O82" s="6"/>
      <x:c r="P82" s="6" t="str">
        <x:v>Resolve the intended asset and its containing room/floor.</x:v>
      </x:c>
      <x:c r="Q82" s="15"/>
      <x:c r="R82" s="6"/>
      <x:c r="S82" s="16"/>
      <x:c r="T82" s="15"/>
      <x:c r="U82" s="6"/>
      <x:c r="V82" s="6"/>
      <x:c r="W82" s="6" t="str">
        <x:v>Existing search_building. Improve disambiguation and complete result pagination.</x:v>
      </x:c>
      <x:c r="X82" s="6" t="str">
        <x:v>data/train/proc-factory-train-018/questions_basic.jsonl</x:v>
      </x:c>
      <x:c r="Y82" s="14" t="n">
        <x:v>1</x:v>
      </x:c>
      <x:c r="Z82" s="6" t="str">
        <x:v>https://github.com/hagenhaeussler/Industrial-Agents-Hackathon-2026/blob/f41616590b69f3ea0c1cbfb41d6c35edd9ce53df/data/train/proc-factory-train-018/questions_basic.jsonl#L1</x:v>
      </x:c>
      <x:c r="AA82" s="6" t="str">
        <x:v>procedural</x:v>
      </x:c>
      <x:c r="AB82" s="6" t="str">
        <x:v>CC0-1.0</x:v>
      </x:c>
    </x:row>
    <x:row r="83" ht="72" customHeight="1">
      <x:c r="A83" s="14" t="n">
        <x:v>78</x:v>
      </x:c>
      <x:c r="B83" s="6" t="str">
        <x:v>locate</x:v>
      </x:c>
      <x:c r="C83" s="6" t="str">
        <x:v>Where is the waterjet cutter?</x:v>
      </x:c>
      <x:c r="D83" s="6" t="str">
        <x:v>Production zone H-A1
Floor level: 0
Asset ID: proc-factory-train-018-A00003
Position (m): 4.977, -4.82</x:v>
      </x:c>
      <x:c r="E83" s="6" t="str">
        <x:v>Reference supplied</x:v>
      </x:c>
      <x:c r="F83" s="6" t="str">
        <x:v>train</x:v>
      </x:c>
      <x:c r="G83" s="6" t="str">
        <x:v>proc-factory-train-018</x:v>
      </x:c>
      <x:c r="H83" s="6" t="str">
        <x:v>proc-factory-train-018-Q02</x:v>
      </x:c>
      <x:c r="I83" s="6" t="str">
        <x:v>Find and count assets</x:v>
      </x:c>
      <x:c r="J83" s="6" t="str">
        <x:v>Warm-up</x:v>
      </x:c>
      <x:c r="K83" s="6" t="str">
        <x:v>Room name, floor and asset identity. Coordinates may help the UI.</x:v>
      </x:c>
      <x:c r="L83" s="6" t="str">
        <x:v>T02, T03</x:v>
      </x:c>
      <x:c r="M83" s="6" t="str">
        <x:v>Find a named item and identify its containing room and floor.</x:v>
      </x:c>
      <x:c r="N83" s="6" t="str">
        <x:v>{"asset_id":"proc-factory-train-018-A00003","space_id":"proc-factory-train-018-F0-S001","space_name":"Production zone H-A1","floor_level":0,"position":[4.977,-4.82]}</x:v>
      </x:c>
      <x:c r="O83" s="6"/>
      <x:c r="P83" s="6" t="str">
        <x:v>Resolve the intended asset and its containing room/floor.</x:v>
      </x:c>
      <x:c r="Q83" s="15"/>
      <x:c r="R83" s="6"/>
      <x:c r="S83" s="16"/>
      <x:c r="T83" s="15"/>
      <x:c r="U83" s="6"/>
      <x:c r="V83" s="6"/>
      <x:c r="W83" s="6" t="str">
        <x:v>Existing search_building. Improve disambiguation and complete result pagination.</x:v>
      </x:c>
      <x:c r="X83" s="6" t="str">
        <x:v>data/train/proc-factory-train-018/questions_basic.jsonl</x:v>
      </x:c>
      <x:c r="Y83" s="14" t="n">
        <x:v>2</x:v>
      </x:c>
      <x:c r="Z83" s="6" t="str">
        <x:v>https://github.com/hagenhaeussler/Industrial-Agents-Hackathon-2026/blob/f41616590b69f3ea0c1cbfb41d6c35edd9ce53df/data/train/proc-factory-train-018/questions_basic.jsonl#L2</x:v>
      </x:c>
      <x:c r="AA83" s="6" t="str">
        <x:v>procedural</x:v>
      </x:c>
      <x:c r="AB83" s="6" t="str">
        <x:v>CC0-1.0</x:v>
      </x:c>
    </x:row>
    <x:row r="84" ht="72" customHeight="1">
      <x:c r="A84" s="14" t="n">
        <x:v>79</x:v>
      </x:c>
      <x:c r="B84" s="6" t="str">
        <x:v>locate</x:v>
      </x:c>
      <x:c r="C84" s="6" t="str">
        <x:v>Where is the whiteboard?</x:v>
      </x:c>
      <x:c r="D84" s="6" t="str">
        <x:v>Meeting room 1.04
Floor level: 1
Asset ID: proc-factory-train-018-A00147
Position (m): -0.12, -3.636</x:v>
      </x:c>
      <x:c r="E84" s="6" t="str">
        <x:v>Reference supplied</x:v>
      </x:c>
      <x:c r="F84" s="6" t="str">
        <x:v>train</x:v>
      </x:c>
      <x:c r="G84" s="6" t="str">
        <x:v>proc-factory-train-018</x:v>
      </x:c>
      <x:c r="H84" s="6" t="str">
        <x:v>proc-factory-train-018-Q03</x:v>
      </x:c>
      <x:c r="I84" s="6" t="str">
        <x:v>Find and count assets</x:v>
      </x:c>
      <x:c r="J84" s="6" t="str">
        <x:v>Warm-up</x:v>
      </x:c>
      <x:c r="K84" s="6" t="str">
        <x:v>Room name, floor and asset identity. Coordinates may help the UI.</x:v>
      </x:c>
      <x:c r="L84" s="6" t="str">
        <x:v>T02, T03</x:v>
      </x:c>
      <x:c r="M84" s="6" t="str">
        <x:v>Find a named item and identify its containing room and floor.</x:v>
      </x:c>
      <x:c r="N84" s="6" t="str">
        <x:v>{"asset_id":"proc-factory-train-018-A00147","space_id":"proc-factory-train-018-F1-S004","space_name":"Meeting room 1.04","floor_level":1,"position":[-0.12,-3.636]}</x:v>
      </x:c>
      <x:c r="O84" s="6"/>
      <x:c r="P84" s="6" t="str">
        <x:v>Resolve the intended asset and its containing room/floor.</x:v>
      </x:c>
      <x:c r="Q84" s="15"/>
      <x:c r="R84" s="6"/>
      <x:c r="S84" s="16"/>
      <x:c r="T84" s="15"/>
      <x:c r="U84" s="6"/>
      <x:c r="V84" s="6"/>
      <x:c r="W84" s="6" t="str">
        <x:v>Existing search_building. Improve disambiguation and complete result pagination.</x:v>
      </x:c>
      <x:c r="X84" s="6" t="str">
        <x:v>data/train/proc-factory-train-018/questions_basic.jsonl</x:v>
      </x:c>
      <x:c r="Y84" s="14" t="n">
        <x:v>3</x:v>
      </x:c>
      <x:c r="Z84" s="6" t="str">
        <x:v>https://github.com/hagenhaeussler/Industrial-Agents-Hackathon-2026/blob/f41616590b69f3ea0c1cbfb41d6c35edd9ce53df/data/train/proc-factory-train-018/questions_basic.jsonl#L3</x:v>
      </x:c>
      <x:c r="AA84" s="6" t="str">
        <x:v>procedural</x:v>
      </x:c>
      <x:c r="AB84" s="6" t="str">
        <x:v>CC0-1.0</x:v>
      </x:c>
    </x:row>
    <x:row r="85" ht="72" customHeight="1">
      <x:c r="A85" s="14" t="n">
        <x:v>80</x:v>
      </x:c>
      <x:c r="B85" s="6" t="str">
        <x:v>locate</x:v>
      </x:c>
      <x:c r="C85" s="6" t="str">
        <x:v>Where is the microscope?</x:v>
      </x:c>
      <x:c r="D85" s="6" t="str">
        <x:v>Quality lab 0.18
Floor level: 0
Asset ID: proc-factory-train-020-A00098
Position (m): -0.548, -26.098</x:v>
      </x:c>
      <x:c r="E85" s="6" t="str">
        <x:v>Reference supplied</x:v>
      </x:c>
      <x:c r="F85" s="6" t="str">
        <x:v>train</x:v>
      </x:c>
      <x:c r="G85" s="6" t="str">
        <x:v>proc-factory-train-020</x:v>
      </x:c>
      <x:c r="H85" s="6" t="str">
        <x:v>proc-factory-train-020-Q01</x:v>
      </x:c>
      <x:c r="I85" s="6" t="str">
        <x:v>Find and count assets</x:v>
      </x:c>
      <x:c r="J85" s="6" t="str">
        <x:v>Warm-up</x:v>
      </x:c>
      <x:c r="K85" s="6" t="str">
        <x:v>Room name, floor and asset identity. Coordinates may help the UI.</x:v>
      </x:c>
      <x:c r="L85" s="6" t="str">
        <x:v>T02, T03</x:v>
      </x:c>
      <x:c r="M85" s="6" t="str">
        <x:v>Find a named item and identify its containing room and floor.</x:v>
      </x:c>
      <x:c r="N85" s="6" t="str">
        <x:v>{"asset_id":"proc-factory-train-020-A00098","space_id":"proc-factory-train-020-F0-S018","space_name":"Quality lab 0.18","floor_level":0,"position":[-0.548,-26.098]}</x:v>
      </x:c>
      <x:c r="O85" s="6"/>
      <x:c r="P85" s="6" t="str">
        <x:v>Resolve the intended asset and its containing room/floor.</x:v>
      </x:c>
      <x:c r="Q85" s="15"/>
      <x:c r="R85" s="6"/>
      <x:c r="S85" s="16"/>
      <x:c r="T85" s="15"/>
      <x:c r="U85" s="6"/>
      <x:c r="V85" s="6"/>
      <x:c r="W85" s="6" t="str">
        <x:v>Existing search_building. Improve disambiguation and complete result pagination.</x:v>
      </x:c>
      <x:c r="X85" s="6" t="str">
        <x:v>data/train/proc-factory-train-020/questions_basic.jsonl</x:v>
      </x:c>
      <x:c r="Y85" s="14" t="n">
        <x:v>1</x:v>
      </x:c>
      <x:c r="Z85" s="6" t="str">
        <x:v>https://github.com/hagenhaeussler/Industrial-Agents-Hackathon-2026/blob/f41616590b69f3ea0c1cbfb41d6c35edd9ce53df/data/train/proc-factory-train-020/questions_basic.jsonl#L1</x:v>
      </x:c>
      <x:c r="AA85" s="6" t="str">
        <x:v>procedural</x:v>
      </x:c>
      <x:c r="AB85" s="6" t="str">
        <x:v>CC0-1.0</x:v>
      </x:c>
    </x:row>
    <x:row r="86" ht="72" customHeight="1">
      <x:c r="A86" s="14" t="n">
        <x:v>81</x:v>
      </x:c>
      <x:c r="B86" s="6" t="str">
        <x:v>locate</x:v>
      </x:c>
      <x:c r="C86" s="6" t="str">
        <x:v>Where is the reception desk?</x:v>
      </x:c>
      <x:c r="D86" s="6" t="str">
        <x:v>Hall access 0.13
Floor level: 0
Asset ID: proc-factory-train-020-A00056
Position (m): -2.241, -3.666</x:v>
      </x:c>
      <x:c r="E86" s="6" t="str">
        <x:v>Reference supplied</x:v>
      </x:c>
      <x:c r="F86" s="6" t="str">
        <x:v>train</x:v>
      </x:c>
      <x:c r="G86" s="6" t="str">
        <x:v>proc-factory-train-020</x:v>
      </x:c>
      <x:c r="H86" s="6" t="str">
        <x:v>proc-factory-train-020-Q02</x:v>
      </x:c>
      <x:c r="I86" s="6" t="str">
        <x:v>Find and count assets</x:v>
      </x:c>
      <x:c r="J86" s="6" t="str">
        <x:v>Warm-up</x:v>
      </x:c>
      <x:c r="K86" s="6" t="str">
        <x:v>Room name, floor and asset identity. Coordinates may help the UI.</x:v>
      </x:c>
      <x:c r="L86" s="6" t="str">
        <x:v>T02, T03</x:v>
      </x:c>
      <x:c r="M86" s="6" t="str">
        <x:v>Find a named item and identify its containing room and floor.</x:v>
      </x:c>
      <x:c r="N86" s="6" t="str">
        <x:v>{"asset_id":"proc-factory-train-020-A00056","space_id":"proc-factory-train-020-F0-S013","space_name":"Hall access 0.13","floor_level":0,"position":[-2.241,-3.666]}</x:v>
      </x:c>
      <x:c r="O86" s="6"/>
      <x:c r="P86" s="6" t="str">
        <x:v>Resolve the intended asset and its containing room/floor.</x:v>
      </x:c>
      <x:c r="Q86" s="15"/>
      <x:c r="R86" s="6"/>
      <x:c r="S86" s="16"/>
      <x:c r="T86" s="15"/>
      <x:c r="U86" s="6"/>
      <x:c r="V86" s="6"/>
      <x:c r="W86" s="6" t="str">
        <x:v>Existing search_building. Improve disambiguation and complete result pagination.</x:v>
      </x:c>
      <x:c r="X86" s="6" t="str">
        <x:v>data/train/proc-factory-train-020/questions_basic.jsonl</x:v>
      </x:c>
      <x:c r="Y86" s="14" t="n">
        <x:v>2</x:v>
      </x:c>
      <x:c r="Z86" s="6" t="str">
        <x:v>https://github.com/hagenhaeussler/Industrial-Agents-Hackathon-2026/blob/f41616590b69f3ea0c1cbfb41d6c35edd9ce53df/data/train/proc-factory-train-020/questions_basic.jsonl#L2</x:v>
      </x:c>
      <x:c r="AA86" s="6" t="str">
        <x:v>procedural</x:v>
      </x:c>
      <x:c r="AB86" s="6" t="str">
        <x:v>CC0-1.0</x:v>
      </x:c>
    </x:row>
    <x:row r="87" ht="72" customHeight="1">
      <x:c r="A87" s="14" t="n">
        <x:v>82</x:v>
      </x:c>
      <x:c r="B87" s="6" t="str">
        <x:v>locate</x:v>
      </x:c>
      <x:c r="C87" s="6" t="str">
        <x:v>Where is the ups unit?</x:v>
      </x:c>
      <x:c r="D87" s="6" t="str">
        <x:v>Server room 0.16
Floor level: 0
Asset ID: proc-factory-train-020-A00087
Position (m): -0.47, -20.868</x:v>
      </x:c>
      <x:c r="E87" s="6" t="str">
        <x:v>Reference supplied</x:v>
      </x:c>
      <x:c r="F87" s="6" t="str">
        <x:v>train</x:v>
      </x:c>
      <x:c r="G87" s="6" t="str">
        <x:v>proc-factory-train-020</x:v>
      </x:c>
      <x:c r="H87" s="6" t="str">
        <x:v>proc-factory-train-020-Q03</x:v>
      </x:c>
      <x:c r="I87" s="6" t="str">
        <x:v>Find and count assets</x:v>
      </x:c>
      <x:c r="J87" s="6" t="str">
        <x:v>Warm-up</x:v>
      </x:c>
      <x:c r="K87" s="6" t="str">
        <x:v>Room name, floor and asset identity. Coordinates may help the UI.</x:v>
      </x:c>
      <x:c r="L87" s="6" t="str">
        <x:v>T02, T03</x:v>
      </x:c>
      <x:c r="M87" s="6" t="str">
        <x:v>Find a named item and identify its containing room and floor.</x:v>
      </x:c>
      <x:c r="N87" s="6" t="str">
        <x:v>{"asset_id":"proc-factory-train-020-A00087","space_id":"proc-factory-train-020-F0-S016","space_name":"Server room 0.16","floor_level":0,"position":[-0.47,-20.868]}</x:v>
      </x:c>
      <x:c r="O87" s="6"/>
      <x:c r="P87" s="6" t="str">
        <x:v>Resolve the intended asset and its containing room/floor.</x:v>
      </x:c>
      <x:c r="Q87" s="15"/>
      <x:c r="R87" s="6"/>
      <x:c r="S87" s="16"/>
      <x:c r="T87" s="15"/>
      <x:c r="U87" s="6"/>
      <x:c r="V87" s="6"/>
      <x:c r="W87" s="6" t="str">
        <x:v>Existing search_building. Improve disambiguation and complete result pagination.</x:v>
      </x:c>
      <x:c r="X87" s="6" t="str">
        <x:v>data/train/proc-factory-train-020/questions_basic.jsonl</x:v>
      </x:c>
      <x:c r="Y87" s="14" t="n">
        <x:v>3</x:v>
      </x:c>
      <x:c r="Z87" s="6" t="str">
        <x:v>https://github.com/hagenhaeussler/Industrial-Agents-Hackathon-2026/blob/f41616590b69f3ea0c1cbfb41d6c35edd9ce53df/data/train/proc-factory-train-020/questions_basic.jsonl#L3</x:v>
      </x:c>
      <x:c r="AA87" s="6" t="str">
        <x:v>procedural</x:v>
      </x:c>
      <x:c r="AB87" s="6" t="str">
        <x:v>CC0-1.0</x:v>
      </x:c>
    </x:row>
    <x:row r="88" ht="72" customHeight="1">
      <x:c r="A88" s="14" t="n">
        <x:v>83</x:v>
      </x:c>
      <x:c r="B88" s="6" t="str">
        <x:v>locate</x:v>
      </x:c>
      <x:c r="C88" s="6" t="str">
        <x:v>Where is the fire extinguisher?</x:v>
      </x:c>
      <x:c r="D88" s="6" t="str">
        <x:v>Stairwell 0.08
Floor level: 0
Asset ID: resplan-10002-A00022
Position (m): 1.06, 12.26</x:v>
      </x:c>
      <x:c r="E88" s="6" t="str">
        <x:v>Reference supplied</x:v>
      </x:c>
      <x:c r="F88" s="6" t="str">
        <x:v>train</x:v>
      </x:c>
      <x:c r="G88" s="6" t="str">
        <x:v>resplan-10002</x:v>
      </x:c>
      <x:c r="H88" s="6" t="str">
        <x:v>resplan-10002-Q01</x:v>
      </x:c>
      <x:c r="I88" s="6" t="str">
        <x:v>Find and count assets</x:v>
      </x:c>
      <x:c r="J88" s="6" t="str">
        <x:v>Warm-up</x:v>
      </x:c>
      <x:c r="K88" s="6" t="str">
        <x:v>Room name, floor and asset identity. Coordinates may help the UI.</x:v>
      </x:c>
      <x:c r="L88" s="6" t="str">
        <x:v>T02, T03</x:v>
      </x:c>
      <x:c r="M88" s="6" t="str">
        <x:v>Find a named item and identify its containing room and floor.</x:v>
      </x:c>
      <x:c r="N88" s="6" t="str">
        <x:v>{"asset_id":"resplan-10002-A00022","space_id":"resplan-10002-F0-S008","space_name":"Stairwell 0.08","floor_level":0,"position":[1.06,12.26]}</x:v>
      </x:c>
      <x:c r="O88" s="6"/>
      <x:c r="P88" s="6" t="str">
        <x:v>Resolve the intended asset and its containing room/floor.</x:v>
      </x:c>
      <x:c r="Q88" s="15"/>
      <x:c r="R88" s="6"/>
      <x:c r="S88" s="16"/>
      <x:c r="T88" s="15"/>
      <x:c r="U88" s="6"/>
      <x:c r="V88" s="6"/>
      <x:c r="W88" s="6" t="str">
        <x:v>Existing search_building. Improve disambiguation and complete result pagination.</x:v>
      </x:c>
      <x:c r="X88" s="6" t="str">
        <x:v>data/train/resplan-10002/questions_basic.jsonl</x:v>
      </x:c>
      <x:c r="Y88" s="14" t="n">
        <x:v>1</x:v>
      </x:c>
      <x:c r="Z88" s="6" t="str">
        <x:v>https://github.com/hagenhaeussler/Industrial-Agents-Hackathon-2026/blob/f41616590b69f3ea0c1cbfb41d6c35edd9ce53df/data/train/resplan-10002/questions_basic.jsonl#L1</x:v>
      </x:c>
      <x:c r="AA88" s="6" t="str">
        <x:v>resplan</x:v>
      </x:c>
      <x:c r="AB88" s="6" t="str">
        <x:v>CC-BY-4.0</x:v>
      </x:c>
    </x:row>
    <x:row r="89" ht="72" customHeight="1">
      <x:c r="A89" s="14" t="n">
        <x:v>84</x:v>
      </x:c>
      <x:c r="B89" s="6" t="str">
        <x:v>locate</x:v>
      </x:c>
      <x:c r="C89" s="6" t="str">
        <x:v>Where is the outdoor table?</x:v>
      </x:c>
      <x:c r="D89" s="6" t="str">
        <x:v>Balcony 0.06
Floor level: 0
Asset ID: resplan-10002-A00019
Position (m): 15.153, 14.981</x:v>
      </x:c>
      <x:c r="E89" s="6" t="str">
        <x:v>Reference supplied</x:v>
      </x:c>
      <x:c r="F89" s="6" t="str">
        <x:v>train</x:v>
      </x:c>
      <x:c r="G89" s="6" t="str">
        <x:v>resplan-10002</x:v>
      </x:c>
      <x:c r="H89" s="6" t="str">
        <x:v>resplan-10002-Q02</x:v>
      </x:c>
      <x:c r="I89" s="6" t="str">
        <x:v>Find and count assets</x:v>
      </x:c>
      <x:c r="J89" s="6" t="str">
        <x:v>Warm-up</x:v>
      </x:c>
      <x:c r="K89" s="6" t="str">
        <x:v>Room name, floor and asset identity. Coordinates may help the UI.</x:v>
      </x:c>
      <x:c r="L89" s="6" t="str">
        <x:v>T02, T03</x:v>
      </x:c>
      <x:c r="M89" s="6" t="str">
        <x:v>Find a named item and identify its containing room and floor.</x:v>
      </x:c>
      <x:c r="N89" s="6" t="str">
        <x:v>{"asset_id":"resplan-10002-A00019","space_id":"resplan-10002-F0-S006","space_name":"Balcony 0.06","floor_level":0,"position":[15.153,14.981]}</x:v>
      </x:c>
      <x:c r="O89" s="6"/>
      <x:c r="P89" s="6" t="str">
        <x:v>Resolve the intended asset and its containing room/floor.</x:v>
      </x:c>
      <x:c r="Q89" s="15"/>
      <x:c r="R89" s="6"/>
      <x:c r="S89" s="16"/>
      <x:c r="T89" s="15"/>
      <x:c r="U89" s="6"/>
      <x:c r="V89" s="6"/>
      <x:c r="W89" s="6" t="str">
        <x:v>Existing search_building. Improve disambiguation and complete result pagination.</x:v>
      </x:c>
      <x:c r="X89" s="6" t="str">
        <x:v>data/train/resplan-10002/questions_basic.jsonl</x:v>
      </x:c>
      <x:c r="Y89" s="14" t="n">
        <x:v>2</x:v>
      </x:c>
      <x:c r="Z89" s="6" t="str">
        <x:v>https://github.com/hagenhaeussler/Industrial-Agents-Hackathon-2026/blob/f41616590b69f3ea0c1cbfb41d6c35edd9ce53df/data/train/resplan-10002/questions_basic.jsonl#L2</x:v>
      </x:c>
      <x:c r="AA89" s="6" t="str">
        <x:v>resplan</x:v>
      </x:c>
      <x:c r="AB89" s="6" t="str">
        <x:v>CC-BY-4.0</x:v>
      </x:c>
    </x:row>
    <x:row r="90" ht="72" customHeight="1">
      <x:c r="A90" s="14" t="n">
        <x:v>85</x:v>
      </x:c>
      <x:c r="B90" s="6" t="str">
        <x:v>locate</x:v>
      </x:c>
      <x:c r="C90" s="6" t="str">
        <x:v>Where is the single bed?</x:v>
      </x:c>
      <x:c r="D90" s="6" t="str">
        <x:v>Bedroom 0.03
Floor level: 0
Asset ID: resplan-10002-A00011
Position (m): 6.914, 16.309</x:v>
      </x:c>
      <x:c r="E90" s="6" t="str">
        <x:v>Reference supplied</x:v>
      </x:c>
      <x:c r="F90" s="6" t="str">
        <x:v>train</x:v>
      </x:c>
      <x:c r="G90" s="6" t="str">
        <x:v>resplan-10002</x:v>
      </x:c>
      <x:c r="H90" s="6" t="str">
        <x:v>resplan-10002-Q03</x:v>
      </x:c>
      <x:c r="I90" s="6" t="str">
        <x:v>Find and count assets</x:v>
      </x:c>
      <x:c r="J90" s="6" t="str">
        <x:v>Warm-up</x:v>
      </x:c>
      <x:c r="K90" s="6" t="str">
        <x:v>Room name, floor and asset identity. Coordinates may help the UI.</x:v>
      </x:c>
      <x:c r="L90" s="6" t="str">
        <x:v>T02, T03</x:v>
      </x:c>
      <x:c r="M90" s="6" t="str">
        <x:v>Find a named item and identify its containing room and floor.</x:v>
      </x:c>
      <x:c r="N90" s="6" t="str">
        <x:v>{"asset_id":"resplan-10002-A00011","space_id":"resplan-10002-F0-S003","space_name":"Bedroom 0.03","floor_level":0,"position":[6.914,16.309]}</x:v>
      </x:c>
      <x:c r="O90" s="6"/>
      <x:c r="P90" s="6" t="str">
        <x:v>Resolve the intended asset and its containing room/floor.</x:v>
      </x:c>
      <x:c r="Q90" s="15"/>
      <x:c r="R90" s="6"/>
      <x:c r="S90" s="16"/>
      <x:c r="T90" s="15"/>
      <x:c r="U90" s="6"/>
      <x:c r="V90" s="6"/>
      <x:c r="W90" s="6" t="str">
        <x:v>Existing search_building. Improve disambiguation and complete result pagination.</x:v>
      </x:c>
      <x:c r="X90" s="6" t="str">
        <x:v>data/train/resplan-10002/questions_basic.jsonl</x:v>
      </x:c>
      <x:c r="Y90" s="14" t="n">
        <x:v>3</x:v>
      </x:c>
      <x:c r="Z90" s="6" t="str">
        <x:v>https://github.com/hagenhaeussler/Industrial-Agents-Hackathon-2026/blob/f41616590b69f3ea0c1cbfb41d6c35edd9ce53df/data/train/resplan-10002/questions_basic.jsonl#L3</x:v>
      </x:c>
      <x:c r="AA90" s="6" t="str">
        <x:v>resplan</x:v>
      </x:c>
      <x:c r="AB90" s="6" t="str">
        <x:v>CC-BY-4.0</x:v>
      </x:c>
    </x:row>
    <x:row r="91" ht="72" customHeight="1">
      <x:c r="A91" s="14" t="n">
        <x:v>86</x:v>
      </x:c>
      <x:c r="B91" s="6" t="str">
        <x:v>locate</x:v>
      </x:c>
      <x:c r="C91" s="6" t="str">
        <x:v>Where is the bookshelf?</x:v>
      </x:c>
      <x:c r="D91" s="6" t="str">
        <x:v>Living room 0.01
Floor level: 0
Asset ID: resplan-10192-A00004
Position (m): 2.968, 5.389</x:v>
      </x:c>
      <x:c r="E91" s="6" t="str">
        <x:v>Reference supplied</x:v>
      </x:c>
      <x:c r="F91" s="6" t="str">
        <x:v>train</x:v>
      </x:c>
      <x:c r="G91" s="6" t="str">
        <x:v>resplan-10192</x:v>
      </x:c>
      <x:c r="H91" s="6" t="str">
        <x:v>resplan-10192-Q01</x:v>
      </x:c>
      <x:c r="I91" s="6" t="str">
        <x:v>Find and count assets</x:v>
      </x:c>
      <x:c r="J91" s="6" t="str">
        <x:v>Warm-up</x:v>
      </x:c>
      <x:c r="K91" s="6" t="str">
        <x:v>Room name, floor and asset identity. Coordinates may help the UI.</x:v>
      </x:c>
      <x:c r="L91" s="6" t="str">
        <x:v>T02, T03</x:v>
      </x:c>
      <x:c r="M91" s="6" t="str">
        <x:v>Find a named item and identify its containing room and floor.</x:v>
      </x:c>
      <x:c r="N91" s="6" t="str">
        <x:v>{"asset_id":"resplan-10192-A00004","space_id":"resplan-10192-F0-S001","space_name":"Living room 0.01","floor_level":0,"position":[2.968,5.389]}</x:v>
      </x:c>
      <x:c r="O91" s="6"/>
      <x:c r="P91" s="6" t="str">
        <x:v>Resolve the intended asset and its containing room/floor.</x:v>
      </x:c>
      <x:c r="Q91" s="15"/>
      <x:c r="R91" s="6"/>
      <x:c r="S91" s="16"/>
      <x:c r="T91" s="15"/>
      <x:c r="U91" s="6"/>
      <x:c r="V91" s="6"/>
      <x:c r="W91" s="6" t="str">
        <x:v>Existing search_building. Improve disambiguation and complete result pagination.</x:v>
      </x:c>
      <x:c r="X91" s="6" t="str">
        <x:v>data/train/resplan-10192/questions_basic.jsonl</x:v>
      </x:c>
      <x:c r="Y91" s="14" t="n">
        <x:v>1</x:v>
      </x:c>
      <x:c r="Z91" s="6" t="str">
        <x:v>https://github.com/hagenhaeussler/Industrial-Agents-Hackathon-2026/blob/f41616590b69f3ea0c1cbfb41d6c35edd9ce53df/data/train/resplan-10192/questions_basic.jsonl#L1</x:v>
      </x:c>
      <x:c r="AA91" s="6" t="str">
        <x:v>resplan</x:v>
      </x:c>
      <x:c r="AB91" s="6" t="str">
        <x:v>CC-BY-4.0</x:v>
      </x:c>
    </x:row>
    <x:row r="92" ht="72" customHeight="1">
      <x:c r="A92" s="14" t="n">
        <x:v>87</x:v>
      </x:c>
      <x:c r="B92" s="6" t="str">
        <x:v>locate</x:v>
      </x:c>
      <x:c r="C92" s="6" t="str">
        <x:v>Where is the stove?</x:v>
      </x:c>
      <x:c r="D92" s="6" t="str">
        <x:v>Kitchen 0.05
Floor level: 0
Asset ID: resplan-10192-A00014
Position (m): 7.917, 3.908</x:v>
      </x:c>
      <x:c r="E92" s="6" t="str">
        <x:v>Reference supplied</x:v>
      </x:c>
      <x:c r="F92" s="6" t="str">
        <x:v>train</x:v>
      </x:c>
      <x:c r="G92" s="6" t="str">
        <x:v>resplan-10192</x:v>
      </x:c>
      <x:c r="H92" s="6" t="str">
        <x:v>resplan-10192-Q02</x:v>
      </x:c>
      <x:c r="I92" s="6" t="str">
        <x:v>Find and count assets</x:v>
      </x:c>
      <x:c r="J92" s="6" t="str">
        <x:v>Warm-up</x:v>
      </x:c>
      <x:c r="K92" s="6" t="str">
        <x:v>Room name, floor and asset identity. Coordinates may help the UI.</x:v>
      </x:c>
      <x:c r="L92" s="6" t="str">
        <x:v>T02, T03</x:v>
      </x:c>
      <x:c r="M92" s="6" t="str">
        <x:v>Find a named item and identify its containing room and floor.</x:v>
      </x:c>
      <x:c r="N92" s="6" t="str">
        <x:v>{"asset_id":"resplan-10192-A00014","space_id":"resplan-10192-F0-S005","space_name":"Kitchen 0.05","floor_level":0,"position":[7.917,3.908]}</x:v>
      </x:c>
      <x:c r="O92" s="6"/>
      <x:c r="P92" s="6" t="str">
        <x:v>Resolve the intended asset and its containing room/floor.</x:v>
      </x:c>
      <x:c r="Q92" s="15"/>
      <x:c r="R92" s="6"/>
      <x:c r="S92" s="16"/>
      <x:c r="T92" s="15"/>
      <x:c r="U92" s="6"/>
      <x:c r="V92" s="6"/>
      <x:c r="W92" s="6" t="str">
        <x:v>Existing search_building. Improve disambiguation and complete result pagination.</x:v>
      </x:c>
      <x:c r="X92" s="6" t="str">
        <x:v>data/train/resplan-10192/questions_basic.jsonl</x:v>
      </x:c>
      <x:c r="Y92" s="14" t="n">
        <x:v>2</x:v>
      </x:c>
      <x:c r="Z92" s="6" t="str">
        <x:v>https://github.com/hagenhaeussler/Industrial-Agents-Hackathon-2026/blob/f41616590b69f3ea0c1cbfb41d6c35edd9ce53df/data/train/resplan-10192/questions_basic.jsonl#L2</x:v>
      </x:c>
      <x:c r="AA92" s="6" t="str">
        <x:v>resplan</x:v>
      </x:c>
      <x:c r="AB92" s="6" t="str">
        <x:v>CC-BY-4.0</x:v>
      </x:c>
    </x:row>
    <x:row r="93" ht="72" customHeight="1">
      <x:c r="A93" s="14" t="n">
        <x:v>88</x:v>
      </x:c>
      <x:c r="B93" s="6" t="str">
        <x:v>locate</x:v>
      </x:c>
      <x:c r="C93" s="6" t="str">
        <x:v>Where is the sofa?</x:v>
      </x:c>
      <x:c r="D93" s="6" t="str">
        <x:v>Living room 0.01
Floor level: 0
Asset ID: resplan-10192-A00001
Position (m): 3.047, 2.678</x:v>
      </x:c>
      <x:c r="E93" s="6" t="str">
        <x:v>Reference supplied</x:v>
      </x:c>
      <x:c r="F93" s="6" t="str">
        <x:v>train</x:v>
      </x:c>
      <x:c r="G93" s="6" t="str">
        <x:v>resplan-10192</x:v>
      </x:c>
      <x:c r="H93" s="6" t="str">
        <x:v>resplan-10192-Q03</x:v>
      </x:c>
      <x:c r="I93" s="6" t="str">
        <x:v>Find and count assets</x:v>
      </x:c>
      <x:c r="J93" s="6" t="str">
        <x:v>Warm-up</x:v>
      </x:c>
      <x:c r="K93" s="6" t="str">
        <x:v>Room name, floor and asset identity. Coordinates may help the UI.</x:v>
      </x:c>
      <x:c r="L93" s="6" t="str">
        <x:v>T02, T03</x:v>
      </x:c>
      <x:c r="M93" s="6" t="str">
        <x:v>Find a named item and identify its containing room and floor.</x:v>
      </x:c>
      <x:c r="N93" s="6" t="str">
        <x:v>{"asset_id":"resplan-10192-A00001","space_id":"resplan-10192-F0-S001","space_name":"Living room 0.01","floor_level":0,"position":[3.047,2.678]}</x:v>
      </x:c>
      <x:c r="O93" s="6"/>
      <x:c r="P93" s="6" t="str">
        <x:v>Resolve the intended asset and its containing room/floor.</x:v>
      </x:c>
      <x:c r="Q93" s="15"/>
      <x:c r="R93" s="6"/>
      <x:c r="S93" s="16"/>
      <x:c r="T93" s="15"/>
      <x:c r="U93" s="6"/>
      <x:c r="V93" s="6"/>
      <x:c r="W93" s="6" t="str">
        <x:v>Existing search_building. Improve disambiguation and complete result pagination.</x:v>
      </x:c>
      <x:c r="X93" s="6" t="str">
        <x:v>data/train/resplan-10192/questions_basic.jsonl</x:v>
      </x:c>
      <x:c r="Y93" s="14" t="n">
        <x:v>3</x:v>
      </x:c>
      <x:c r="Z93" s="6" t="str">
        <x:v>https://github.com/hagenhaeussler/Industrial-Agents-Hackathon-2026/blob/f41616590b69f3ea0c1cbfb41d6c35edd9ce53df/data/train/resplan-10192/questions_basic.jsonl#L3</x:v>
      </x:c>
      <x:c r="AA93" s="6" t="str">
        <x:v>resplan</x:v>
      </x:c>
      <x:c r="AB93" s="6" t="str">
        <x:v>CC-BY-4.0</x:v>
      </x:c>
    </x:row>
    <x:row r="94" ht="72" customHeight="1">
      <x:c r="A94" s="14" t="n">
        <x:v>89</x:v>
      </x:c>
      <x:c r="B94" s="6" t="str">
        <x:v>locate</x:v>
      </x:c>
      <x:c r="C94" s="6" t="str">
        <x:v>Where is the stove?</x:v>
      </x:c>
      <x:c r="D94" s="6" t="str">
        <x:v>Kitchen 0.06
Floor level: 0
Asset ID: resplan-10428-A00021
Position (m): 4.01, 6.533</x:v>
      </x:c>
      <x:c r="E94" s="6" t="str">
        <x:v>Reference supplied</x:v>
      </x:c>
      <x:c r="F94" s="6" t="str">
        <x:v>train</x:v>
      </x:c>
      <x:c r="G94" s="6" t="str">
        <x:v>resplan-10428</x:v>
      </x:c>
      <x:c r="H94" s="6" t="str">
        <x:v>resplan-10428-Q01</x:v>
      </x:c>
      <x:c r="I94" s="6" t="str">
        <x:v>Find and count assets</x:v>
      </x:c>
      <x:c r="J94" s="6" t="str">
        <x:v>Warm-up</x:v>
      </x:c>
      <x:c r="K94" s="6" t="str">
        <x:v>Room name, floor and asset identity. Coordinates may help the UI.</x:v>
      </x:c>
      <x:c r="L94" s="6" t="str">
        <x:v>T02, T03</x:v>
      </x:c>
      <x:c r="M94" s="6" t="str">
        <x:v>Find a named item and identify its containing room and floor.</x:v>
      </x:c>
      <x:c r="N94" s="6" t="str">
        <x:v>{"asset_id":"resplan-10428-A00021","space_id":"resplan-10428-F0-S006","space_name":"Kitchen 0.06","floor_level":0,"position":[4.01,6.533]}</x:v>
      </x:c>
      <x:c r="O94" s="6"/>
      <x:c r="P94" s="6" t="str">
        <x:v>Resolve the intended asset and its containing room/floor.</x:v>
      </x:c>
      <x:c r="Q94" s="15"/>
      <x:c r="R94" s="6"/>
      <x:c r="S94" s="16"/>
      <x:c r="T94" s="15"/>
      <x:c r="U94" s="6"/>
      <x:c r="V94" s="6"/>
      <x:c r="W94" s="6" t="str">
        <x:v>Existing search_building. Improve disambiguation and complete result pagination.</x:v>
      </x:c>
      <x:c r="X94" s="6" t="str">
        <x:v>data/train/resplan-10428/questions_basic.jsonl</x:v>
      </x:c>
      <x:c r="Y94" s="14" t="n">
        <x:v>1</x:v>
      </x:c>
      <x:c r="Z94" s="6" t="str">
        <x:v>https://github.com/hagenhaeussler/Industrial-Agents-Hackathon-2026/blob/f41616590b69f3ea0c1cbfb41d6c35edd9ce53df/data/train/resplan-10428/questions_basic.jsonl#L1</x:v>
      </x:c>
      <x:c r="AA94" s="6" t="str">
        <x:v>resplan</x:v>
      </x:c>
      <x:c r="AB94" s="6" t="str">
        <x:v>CC-BY-4.0</x:v>
      </x:c>
    </x:row>
    <x:row r="95" ht="72" customHeight="1">
      <x:c r="A95" s="14" t="n">
        <x:v>90</x:v>
      </x:c>
      <x:c r="B95" s="6" t="str">
        <x:v>locate</x:v>
      </x:c>
      <x:c r="C95" s="6" t="str">
        <x:v>Where is the microwave?</x:v>
      </x:c>
      <x:c r="D95" s="6" t="str">
        <x:v>Kitchen 0.06
Floor level: 0
Asset ID: resplan-10428-A00022
Position (m): 4.704, 5.965</x:v>
      </x:c>
      <x:c r="E95" s="6" t="str">
        <x:v>Reference supplied</x:v>
      </x:c>
      <x:c r="F95" s="6" t="str">
        <x:v>train</x:v>
      </x:c>
      <x:c r="G95" s="6" t="str">
        <x:v>resplan-10428</x:v>
      </x:c>
      <x:c r="H95" s="6" t="str">
        <x:v>resplan-10428-Q02</x:v>
      </x:c>
      <x:c r="I95" s="6" t="str">
        <x:v>Find and count assets</x:v>
      </x:c>
      <x:c r="J95" s="6" t="str">
        <x:v>Warm-up</x:v>
      </x:c>
      <x:c r="K95" s="6" t="str">
        <x:v>Room name, floor and asset identity. Coordinates may help the UI.</x:v>
      </x:c>
      <x:c r="L95" s="6" t="str">
        <x:v>T02, T03</x:v>
      </x:c>
      <x:c r="M95" s="6" t="str">
        <x:v>Find a named item and identify its containing room and floor.</x:v>
      </x:c>
      <x:c r="N95" s="6" t="str">
        <x:v>{"asset_id":"resplan-10428-A00022","space_id":"resplan-10428-F0-S006","space_name":"Kitchen 0.06","floor_level":0,"position":[4.704,5.965]}</x:v>
      </x:c>
      <x:c r="O95" s="6"/>
      <x:c r="P95" s="6" t="str">
        <x:v>Resolve the intended asset and its containing room/floor.</x:v>
      </x:c>
      <x:c r="Q95" s="15"/>
      <x:c r="R95" s="6"/>
      <x:c r="S95" s="16"/>
      <x:c r="T95" s="15"/>
      <x:c r="U95" s="6"/>
      <x:c r="V95" s="6"/>
      <x:c r="W95" s="6" t="str">
        <x:v>Existing search_building. Improve disambiguation and complete result pagination.</x:v>
      </x:c>
      <x:c r="X95" s="6" t="str">
        <x:v>data/train/resplan-10428/questions_basic.jsonl</x:v>
      </x:c>
      <x:c r="Y95" s="14" t="n">
        <x:v>2</x:v>
      </x:c>
      <x:c r="Z95" s="6" t="str">
        <x:v>https://github.com/hagenhaeussler/Industrial-Agents-Hackathon-2026/blob/f41616590b69f3ea0c1cbfb41d6c35edd9ce53df/data/train/resplan-10428/questions_basic.jsonl#L2</x:v>
      </x:c>
      <x:c r="AA95" s="6" t="str">
        <x:v>resplan</x:v>
      </x:c>
      <x:c r="AB95" s="6" t="str">
        <x:v>CC-BY-4.0</x:v>
      </x:c>
    </x:row>
    <x:row r="96" ht="72" customHeight="1">
      <x:c r="A96" s="14" t="n">
        <x:v>91</x:v>
      </x:c>
      <x:c r="B96" s="6" t="str">
        <x:v>locate</x:v>
      </x:c>
      <x:c r="C96" s="6" t="str">
        <x:v>Where is the coffee table?</x:v>
      </x:c>
      <x:c r="D96" s="6" t="str">
        <x:v>Living room 0.01
Floor level: 0
Asset ID: resplan-10428-A00002
Position (m): 7.653, 2.255</x:v>
      </x:c>
      <x:c r="E96" s="6" t="str">
        <x:v>Reference supplied</x:v>
      </x:c>
      <x:c r="F96" s="6" t="str">
        <x:v>train</x:v>
      </x:c>
      <x:c r="G96" s="6" t="str">
        <x:v>resplan-10428</x:v>
      </x:c>
      <x:c r="H96" s="6" t="str">
        <x:v>resplan-10428-Q03</x:v>
      </x:c>
      <x:c r="I96" s="6" t="str">
        <x:v>Find and count assets</x:v>
      </x:c>
      <x:c r="J96" s="6" t="str">
        <x:v>Warm-up</x:v>
      </x:c>
      <x:c r="K96" s="6" t="str">
        <x:v>Room name, floor and asset identity. Coordinates may help the UI.</x:v>
      </x:c>
      <x:c r="L96" s="6" t="str">
        <x:v>T02, T03</x:v>
      </x:c>
      <x:c r="M96" s="6" t="str">
        <x:v>Find a named item and identify its containing room and floor.</x:v>
      </x:c>
      <x:c r="N96" s="6" t="str">
        <x:v>{"asset_id":"resplan-10428-A00002","space_id":"resplan-10428-F0-S001","space_name":"Living room 0.01","floor_level":0,"position":[7.653,2.255]}</x:v>
      </x:c>
      <x:c r="O96" s="6"/>
      <x:c r="P96" s="6" t="str">
        <x:v>Resolve the intended asset and its containing room/floor.</x:v>
      </x:c>
      <x:c r="Q96" s="15"/>
      <x:c r="R96" s="6"/>
      <x:c r="S96" s="16"/>
      <x:c r="T96" s="15"/>
      <x:c r="U96" s="6"/>
      <x:c r="V96" s="6"/>
      <x:c r="W96" s="6" t="str">
        <x:v>Existing search_building. Improve disambiguation and complete result pagination.</x:v>
      </x:c>
      <x:c r="X96" s="6" t="str">
        <x:v>data/train/resplan-10428/questions_basic.jsonl</x:v>
      </x:c>
      <x:c r="Y96" s="14" t="n">
        <x:v>3</x:v>
      </x:c>
      <x:c r="Z96" s="6" t="str">
        <x:v>https://github.com/hagenhaeussler/Industrial-Agents-Hackathon-2026/blob/f41616590b69f3ea0c1cbfb41d6c35edd9ce53df/data/train/resplan-10428/questions_basic.jsonl#L3</x:v>
      </x:c>
      <x:c r="AA96" s="6" t="str">
        <x:v>resplan</x:v>
      </x:c>
      <x:c r="AB96" s="6" t="str">
        <x:v>CC-BY-4.0</x:v>
      </x:c>
    </x:row>
    <x:row r="97" ht="72" customHeight="1">
      <x:c r="A97" s="14" t="n">
        <x:v>92</x:v>
      </x:c>
      <x:c r="B97" s="6" t="str">
        <x:v>locate</x:v>
      </x:c>
      <x:c r="C97" s="6" t="str">
        <x:v>Where is the stove?</x:v>
      </x:c>
      <x:c r="D97" s="6" t="str">
        <x:v>Kitchen 0.07
Floor level: 0
Asset ID: resplan-10504-A00023
Position (m): 2.164, 1.603</x:v>
      </x:c>
      <x:c r="E97" s="6" t="str">
        <x:v>Reference supplied</x:v>
      </x:c>
      <x:c r="F97" s="6" t="str">
        <x:v>train</x:v>
      </x:c>
      <x:c r="G97" s="6" t="str">
        <x:v>resplan-10504</x:v>
      </x:c>
      <x:c r="H97" s="6" t="str">
        <x:v>resplan-10504-Q01</x:v>
      </x:c>
      <x:c r="I97" s="6" t="str">
        <x:v>Find and count assets</x:v>
      </x:c>
      <x:c r="J97" s="6" t="str">
        <x:v>Warm-up</x:v>
      </x:c>
      <x:c r="K97" s="6" t="str">
        <x:v>Room name, floor and asset identity. Coordinates may help the UI.</x:v>
      </x:c>
      <x:c r="L97" s="6" t="str">
        <x:v>T02, T03</x:v>
      </x:c>
      <x:c r="M97" s="6" t="str">
        <x:v>Find a named item and identify its containing room and floor.</x:v>
      </x:c>
      <x:c r="N97" s="6" t="str">
        <x:v>{"asset_id":"resplan-10504-A00023","space_id":"resplan-10504-F0-S007","space_name":"Kitchen 0.07","floor_level":0,"position":[2.164,1.603]}</x:v>
      </x:c>
      <x:c r="O97" s="6"/>
      <x:c r="P97" s="6" t="str">
        <x:v>Resolve the intended asset and its containing room/floor.</x:v>
      </x:c>
      <x:c r="Q97" s="15"/>
      <x:c r="R97" s="6"/>
      <x:c r="S97" s="16"/>
      <x:c r="T97" s="15"/>
      <x:c r="U97" s="6"/>
      <x:c r="V97" s="6"/>
      <x:c r="W97" s="6" t="str">
        <x:v>Existing search_building. Improve disambiguation and complete result pagination.</x:v>
      </x:c>
      <x:c r="X97" s="6" t="str">
        <x:v>data/train/resplan-10504/questions_basic.jsonl</x:v>
      </x:c>
      <x:c r="Y97" s="14" t="n">
        <x:v>1</x:v>
      </x:c>
      <x:c r="Z97" s="6" t="str">
        <x:v>https://github.com/hagenhaeussler/Industrial-Agents-Hackathon-2026/blob/f41616590b69f3ea0c1cbfb41d6c35edd9ce53df/data/train/resplan-10504/questions_basic.jsonl#L1</x:v>
      </x:c>
      <x:c r="AA97" s="6" t="str">
        <x:v>resplan</x:v>
      </x:c>
      <x:c r="AB97" s="6" t="str">
        <x:v>CC-BY-4.0</x:v>
      </x:c>
    </x:row>
    <x:row r="98" ht="72" customHeight="1">
      <x:c r="A98" s="14" t="n">
        <x:v>93</x:v>
      </x:c>
      <x:c r="B98" s="6" t="str">
        <x:v>locate</x:v>
      </x:c>
      <x:c r="C98" s="6" t="str">
        <x:v>Where is the fridge?</x:v>
      </x:c>
      <x:c r="D98" s="6" t="str">
        <x:v>Kitchen 0.07
Floor level: 0
Asset ID: resplan-10504-A00022
Position (m): 5.234, 1.305</x:v>
      </x:c>
      <x:c r="E98" s="6" t="str">
        <x:v>Reference supplied</x:v>
      </x:c>
      <x:c r="F98" s="6" t="str">
        <x:v>train</x:v>
      </x:c>
      <x:c r="G98" s="6" t="str">
        <x:v>resplan-10504</x:v>
      </x:c>
      <x:c r="H98" s="6" t="str">
        <x:v>resplan-10504-Q02</x:v>
      </x:c>
      <x:c r="I98" s="6" t="str">
        <x:v>Find and count assets</x:v>
      </x:c>
      <x:c r="J98" s="6" t="str">
        <x:v>Warm-up</x:v>
      </x:c>
      <x:c r="K98" s="6" t="str">
        <x:v>Room name, floor and asset identity. Coordinates may help the UI.</x:v>
      </x:c>
      <x:c r="L98" s="6" t="str">
        <x:v>T02, T03</x:v>
      </x:c>
      <x:c r="M98" s="6" t="str">
        <x:v>Find a named item and identify its containing room and floor.</x:v>
      </x:c>
      <x:c r="N98" s="6" t="str">
        <x:v>{"asset_id":"resplan-10504-A00022","space_id":"resplan-10504-F0-S007","space_name":"Kitchen 0.07","floor_level":0,"position":[5.234,1.305]}</x:v>
      </x:c>
      <x:c r="O98" s="6"/>
      <x:c r="P98" s="6" t="str">
        <x:v>Resolve the intended asset and its containing room/floor.</x:v>
      </x:c>
      <x:c r="Q98" s="15"/>
      <x:c r="R98" s="6"/>
      <x:c r="S98" s="16"/>
      <x:c r="T98" s="15"/>
      <x:c r="U98" s="6"/>
      <x:c r="V98" s="6"/>
      <x:c r="W98" s="6" t="str">
        <x:v>Existing search_building. Improve disambiguation and complete result pagination.</x:v>
      </x:c>
      <x:c r="X98" s="6" t="str">
        <x:v>data/train/resplan-10504/questions_basic.jsonl</x:v>
      </x:c>
      <x:c r="Y98" s="14" t="n">
        <x:v>2</x:v>
      </x:c>
      <x:c r="Z98" s="6" t="str">
        <x:v>https://github.com/hagenhaeussler/Industrial-Agents-Hackathon-2026/blob/f41616590b69f3ea0c1cbfb41d6c35edd9ce53df/data/train/resplan-10504/questions_basic.jsonl#L2</x:v>
      </x:c>
      <x:c r="AA98" s="6" t="str">
        <x:v>resplan</x:v>
      </x:c>
      <x:c r="AB98" s="6" t="str">
        <x:v>CC-BY-4.0</x:v>
      </x:c>
    </x:row>
    <x:row r="99" ht="72" customHeight="1">
      <x:c r="A99" s="14" t="n">
        <x:v>94</x:v>
      </x:c>
      <x:c r="B99" s="6" t="str">
        <x:v>locate</x:v>
      </x:c>
      <x:c r="C99" s="6" t="str">
        <x:v>Where is the dishwasher?</x:v>
      </x:c>
      <x:c r="D99" s="6" t="str">
        <x:v>Kitchen 0.07
Floor level: 0
Asset ID: resplan-10504-A00024
Position (m): 2.164, 2.242</x:v>
      </x:c>
      <x:c r="E99" s="6" t="str">
        <x:v>Reference supplied</x:v>
      </x:c>
      <x:c r="F99" s="6" t="str">
        <x:v>train</x:v>
      </x:c>
      <x:c r="G99" s="6" t="str">
        <x:v>resplan-10504</x:v>
      </x:c>
      <x:c r="H99" s="6" t="str">
        <x:v>resplan-10504-Q03</x:v>
      </x:c>
      <x:c r="I99" s="6" t="str">
        <x:v>Find and count assets</x:v>
      </x:c>
      <x:c r="J99" s="6" t="str">
        <x:v>Warm-up</x:v>
      </x:c>
      <x:c r="K99" s="6" t="str">
        <x:v>Room name, floor and asset identity. Coordinates may help the UI.</x:v>
      </x:c>
      <x:c r="L99" s="6" t="str">
        <x:v>T02, T03</x:v>
      </x:c>
      <x:c r="M99" s="6" t="str">
        <x:v>Find a named item and identify its containing room and floor.</x:v>
      </x:c>
      <x:c r="N99" s="6" t="str">
        <x:v>{"asset_id":"resplan-10504-A00024","space_id":"resplan-10504-F0-S007","space_name":"Kitchen 0.07","floor_level":0,"position":[2.164,2.242]}</x:v>
      </x:c>
      <x:c r="O99" s="6"/>
      <x:c r="P99" s="6" t="str">
        <x:v>Resolve the intended asset and its containing room/floor.</x:v>
      </x:c>
      <x:c r="Q99" s="15"/>
      <x:c r="R99" s="6"/>
      <x:c r="S99" s="16"/>
      <x:c r="T99" s="15"/>
      <x:c r="U99" s="6"/>
      <x:c r="V99" s="6"/>
      <x:c r="W99" s="6" t="str">
        <x:v>Existing search_building. Improve disambiguation and complete result pagination.</x:v>
      </x:c>
      <x:c r="X99" s="6" t="str">
        <x:v>data/train/resplan-10504/questions_basic.jsonl</x:v>
      </x:c>
      <x:c r="Y99" s="14" t="n">
        <x:v>3</x:v>
      </x:c>
      <x:c r="Z99" s="6" t="str">
        <x:v>https://github.com/hagenhaeussler/Industrial-Agents-Hackathon-2026/blob/f41616590b69f3ea0c1cbfb41d6c35edd9ce53df/data/train/resplan-10504/questions_basic.jsonl#L3</x:v>
      </x:c>
      <x:c r="AA99" s="6" t="str">
        <x:v>resplan</x:v>
      </x:c>
      <x:c r="AB99" s="6" t="str">
        <x:v>CC-BY-4.0</x:v>
      </x:c>
    </x:row>
    <x:row r="100" ht="72" customHeight="1">
      <x:c r="A100" s="14" t="n">
        <x:v>95</x:v>
      </x:c>
      <x:c r="B100" s="6" t="str">
        <x:v>locate</x:v>
      </x:c>
      <x:c r="C100" s="6" t="str">
        <x:v>Where is the coffee machine?</x:v>
      </x:c>
      <x:c r="D100" s="6" t="str">
        <x:v>Kitchen 0.06
Floor level: 0
Asset ID: resplan-10650-A00024
Position (m): 11.383, 11.364</x:v>
      </x:c>
      <x:c r="E100" s="6" t="str">
        <x:v>Reference supplied</x:v>
      </x:c>
      <x:c r="F100" s="6" t="str">
        <x:v>train</x:v>
      </x:c>
      <x:c r="G100" s="6" t="str">
        <x:v>resplan-10650</x:v>
      </x:c>
      <x:c r="H100" s="6" t="str">
        <x:v>resplan-10650-Q01</x:v>
      </x:c>
      <x:c r="I100" s="6" t="str">
        <x:v>Find and count assets</x:v>
      </x:c>
      <x:c r="J100" s="6" t="str">
        <x:v>Warm-up</x:v>
      </x:c>
      <x:c r="K100" s="6" t="str">
        <x:v>Room name, floor and asset identity. Coordinates may help the UI.</x:v>
      </x:c>
      <x:c r="L100" s="6" t="str">
        <x:v>T02, T03</x:v>
      </x:c>
      <x:c r="M100" s="6" t="str">
        <x:v>Find a named item and identify its containing room and floor.</x:v>
      </x:c>
      <x:c r="N100" s="6" t="str">
        <x:v>{"asset_id":"resplan-10650-A00024","space_id":"resplan-10650-F0-S006","space_name":"Kitchen 0.06","floor_level":0,"position":[11.383,11.364]}</x:v>
      </x:c>
      <x:c r="O100" s="6"/>
      <x:c r="P100" s="6" t="str">
        <x:v>Resolve the intended asset and its containing room/floor.</x:v>
      </x:c>
      <x:c r="Q100" s="15"/>
      <x:c r="R100" s="6"/>
      <x:c r="S100" s="16"/>
      <x:c r="T100" s="15"/>
      <x:c r="U100" s="6"/>
      <x:c r="V100" s="6"/>
      <x:c r="W100" s="6" t="str">
        <x:v>Existing search_building. Improve disambiguation and complete result pagination.</x:v>
      </x:c>
      <x:c r="X100" s="6" t="str">
        <x:v>data/train/resplan-10650/questions_basic.jsonl</x:v>
      </x:c>
      <x:c r="Y100" s="14" t="n">
        <x:v>1</x:v>
      </x:c>
      <x:c r="Z100" s="6" t="str">
        <x:v>https://github.com/hagenhaeussler/Industrial-Agents-Hackathon-2026/blob/f41616590b69f3ea0c1cbfb41d6c35edd9ce53df/data/train/resplan-10650/questions_basic.jsonl#L1</x:v>
      </x:c>
      <x:c r="AA100" s="6" t="str">
        <x:v>resplan</x:v>
      </x:c>
      <x:c r="AB100" s="6" t="str">
        <x:v>CC-BY-4.0</x:v>
      </x:c>
    </x:row>
    <x:row r="101" ht="72" customHeight="1">
      <x:c r="A101" s="14" t="n">
        <x:v>96</x:v>
      </x:c>
      <x:c r="B101" s="6" t="str">
        <x:v>locate</x:v>
      </x:c>
      <x:c r="C101" s="6" t="str">
        <x:v>Where is the outdoor table?</x:v>
      </x:c>
      <x:c r="D101" s="6" t="str">
        <x:v>Balcony 0.07
Floor level: 0
Asset ID: resplan-10650-A00025
Position (m): 14.46, 6.383</x:v>
      </x:c>
      <x:c r="E101" s="6" t="str">
        <x:v>Reference supplied</x:v>
      </x:c>
      <x:c r="F101" s="6" t="str">
        <x:v>train</x:v>
      </x:c>
      <x:c r="G101" s="6" t="str">
        <x:v>resplan-10650</x:v>
      </x:c>
      <x:c r="H101" s="6" t="str">
        <x:v>resplan-10650-Q02</x:v>
      </x:c>
      <x:c r="I101" s="6" t="str">
        <x:v>Find and count assets</x:v>
      </x:c>
      <x:c r="J101" s="6" t="str">
        <x:v>Warm-up</x:v>
      </x:c>
      <x:c r="K101" s="6" t="str">
        <x:v>Room name, floor and asset identity. Coordinates may help the UI.</x:v>
      </x:c>
      <x:c r="L101" s="6" t="str">
        <x:v>T02, T03</x:v>
      </x:c>
      <x:c r="M101" s="6" t="str">
        <x:v>Find a named item and identify its containing room and floor.</x:v>
      </x:c>
      <x:c r="N101" s="6" t="str">
        <x:v>{"asset_id":"resplan-10650-A00025","space_id":"resplan-10650-F0-S007","space_name":"Balcony 0.07","floor_level":0,"position":[14.46,6.383]}</x:v>
      </x:c>
      <x:c r="O101" s="6"/>
      <x:c r="P101" s="6" t="str">
        <x:v>Resolve the intended asset and its containing room/floor.</x:v>
      </x:c>
      <x:c r="Q101" s="15"/>
      <x:c r="R101" s="6"/>
      <x:c r="S101" s="16"/>
      <x:c r="T101" s="15"/>
      <x:c r="U101" s="6"/>
      <x:c r="V101" s="6"/>
      <x:c r="W101" s="6" t="str">
        <x:v>Existing search_building. Improve disambiguation and complete result pagination.</x:v>
      </x:c>
      <x:c r="X101" s="6" t="str">
        <x:v>data/train/resplan-10650/questions_basic.jsonl</x:v>
      </x:c>
      <x:c r="Y101" s="14" t="n">
        <x:v>2</x:v>
      </x:c>
      <x:c r="Z101" s="6" t="str">
        <x:v>https://github.com/hagenhaeussler/Industrial-Agents-Hackathon-2026/blob/f41616590b69f3ea0c1cbfb41d6c35edd9ce53df/data/train/resplan-10650/questions_basic.jsonl#L2</x:v>
      </x:c>
      <x:c r="AA101" s="6" t="str">
        <x:v>resplan</x:v>
      </x:c>
      <x:c r="AB101" s="6" t="str">
        <x:v>CC-BY-4.0</x:v>
      </x:c>
    </x:row>
    <x:row r="102" ht="72" customHeight="1">
      <x:c r="A102" s="14" t="n">
        <x:v>97</x:v>
      </x:c>
      <x:c r="B102" s="6" t="str">
        <x:v>locate</x:v>
      </x:c>
      <x:c r="C102" s="6" t="str">
        <x:v>Where is the kitchen counter?</x:v>
      </x:c>
      <x:c r="D102" s="6" t="str">
        <x:v>Kitchen 0.06
Floor level: 0
Asset ID: resplan-10650-A00019
Position (m): 13.419, 10.304</x:v>
      </x:c>
      <x:c r="E102" s="6" t="str">
        <x:v>Reference supplied</x:v>
      </x:c>
      <x:c r="F102" s="6" t="str">
        <x:v>train</x:v>
      </x:c>
      <x:c r="G102" s="6" t="str">
        <x:v>resplan-10650</x:v>
      </x:c>
      <x:c r="H102" s="6" t="str">
        <x:v>resplan-10650-Q03</x:v>
      </x:c>
      <x:c r="I102" s="6" t="str">
        <x:v>Find and count assets</x:v>
      </x:c>
      <x:c r="J102" s="6" t="str">
        <x:v>Warm-up</x:v>
      </x:c>
      <x:c r="K102" s="6" t="str">
        <x:v>Room name, floor and asset identity. Coordinates may help the UI.</x:v>
      </x:c>
      <x:c r="L102" s="6" t="str">
        <x:v>T02, T03</x:v>
      </x:c>
      <x:c r="M102" s="6" t="str">
        <x:v>Find a named item and identify its containing room and floor.</x:v>
      </x:c>
      <x:c r="N102" s="6" t="str">
        <x:v>{"asset_id":"resplan-10650-A00019","space_id":"resplan-10650-F0-S006","space_name":"Kitchen 0.06","floor_level":0,"position":[13.419,10.304]}</x:v>
      </x:c>
      <x:c r="O102" s="6"/>
      <x:c r="P102" s="6" t="str">
        <x:v>Resolve the intended asset and its containing room/floor.</x:v>
      </x:c>
      <x:c r="Q102" s="15"/>
      <x:c r="R102" s="6"/>
      <x:c r="S102" s="16"/>
      <x:c r="T102" s="15"/>
      <x:c r="U102" s="6"/>
      <x:c r="V102" s="6"/>
      <x:c r="W102" s="6" t="str">
        <x:v>Existing search_building. Improve disambiguation and complete result pagination.</x:v>
      </x:c>
      <x:c r="X102" s="6" t="str">
        <x:v>data/train/resplan-10650/questions_basic.jsonl</x:v>
      </x:c>
      <x:c r="Y102" s="14" t="n">
        <x:v>3</x:v>
      </x:c>
      <x:c r="Z102" s="6" t="str">
        <x:v>https://github.com/hagenhaeussler/Industrial-Agents-Hackathon-2026/blob/f41616590b69f3ea0c1cbfb41d6c35edd9ce53df/data/train/resplan-10650/questions_basic.jsonl#L3</x:v>
      </x:c>
      <x:c r="AA102" s="6" t="str">
        <x:v>resplan</x:v>
      </x:c>
      <x:c r="AB102" s="6" t="str">
        <x:v>CC-BY-4.0</x:v>
      </x:c>
    </x:row>
    <x:row r="103" ht="72" customHeight="1">
      <x:c r="A103" s="14" t="n">
        <x:v>98</x:v>
      </x:c>
      <x:c r="B103" s="6" t="str">
        <x:v>locate</x:v>
      </x:c>
      <x:c r="C103" s="6" t="str">
        <x:v>Where is the fridge?</x:v>
      </x:c>
      <x:c r="D103" s="6" t="str">
        <x:v>Kitchen 0.08
Floor level: 0
Asset ID: resplan-10882-A00027
Position (m): 0.787, 2.932</x:v>
      </x:c>
      <x:c r="E103" s="6" t="str">
        <x:v>Reference supplied</x:v>
      </x:c>
      <x:c r="F103" s="6" t="str">
        <x:v>train</x:v>
      </x:c>
      <x:c r="G103" s="6" t="str">
        <x:v>resplan-10882</x:v>
      </x:c>
      <x:c r="H103" s="6" t="str">
        <x:v>resplan-10882-Q01</x:v>
      </x:c>
      <x:c r="I103" s="6" t="str">
        <x:v>Find and count assets</x:v>
      </x:c>
      <x:c r="J103" s="6" t="str">
        <x:v>Warm-up</x:v>
      </x:c>
      <x:c r="K103" s="6" t="str">
        <x:v>Room name, floor and asset identity. Coordinates may help the UI.</x:v>
      </x:c>
      <x:c r="L103" s="6" t="str">
        <x:v>T02, T03</x:v>
      </x:c>
      <x:c r="M103" s="6" t="str">
        <x:v>Find a named item and identify its containing room and floor.</x:v>
      </x:c>
      <x:c r="N103" s="6" t="str">
        <x:v>{"asset_id":"resplan-10882-A00027","space_id":"resplan-10882-F0-S008","space_name":"Kitchen 0.08","floor_level":0,"position":[0.787,2.932]}</x:v>
      </x:c>
      <x:c r="O103" s="6"/>
      <x:c r="P103" s="6" t="str">
        <x:v>Resolve the intended asset and its containing room/floor.</x:v>
      </x:c>
      <x:c r="Q103" s="15"/>
      <x:c r="R103" s="6"/>
      <x:c r="S103" s="16"/>
      <x:c r="T103" s="15"/>
      <x:c r="U103" s="6"/>
      <x:c r="V103" s="6"/>
      <x:c r="W103" s="6" t="str">
        <x:v>Existing search_building. Improve disambiguation and complete result pagination.</x:v>
      </x:c>
      <x:c r="X103" s="6" t="str">
        <x:v>data/train/resplan-10882/questions_basic.jsonl</x:v>
      </x:c>
      <x:c r="Y103" s="14" t="n">
        <x:v>1</x:v>
      </x:c>
      <x:c r="Z103" s="6" t="str">
        <x:v>https://github.com/hagenhaeussler/Industrial-Agents-Hackathon-2026/blob/f41616590b69f3ea0c1cbfb41d6c35edd9ce53df/data/train/resplan-10882/questions_basic.jsonl#L1</x:v>
      </x:c>
      <x:c r="AA103" s="6" t="str">
        <x:v>resplan</x:v>
      </x:c>
      <x:c r="AB103" s="6" t="str">
        <x:v>CC-BY-4.0</x:v>
      </x:c>
    </x:row>
    <x:row r="104" ht="72" customHeight="1">
      <x:c r="A104" s="14" t="n">
        <x:v>99</x:v>
      </x:c>
      <x:c r="B104" s="6" t="str">
        <x:v>locate</x:v>
      </x:c>
      <x:c r="C104" s="6" t="str">
        <x:v>Where is the coffee table?</x:v>
      </x:c>
      <x:c r="D104" s="6" t="str">
        <x:v>Living room 0.01
Floor level: 0
Asset ID: resplan-10882-A00002
Position (m): 3.239, 4.792</x:v>
      </x:c>
      <x:c r="E104" s="6" t="str">
        <x:v>Reference supplied</x:v>
      </x:c>
      <x:c r="F104" s="6" t="str">
        <x:v>train</x:v>
      </x:c>
      <x:c r="G104" s="6" t="str">
        <x:v>resplan-10882</x:v>
      </x:c>
      <x:c r="H104" s="6" t="str">
        <x:v>resplan-10882-Q02</x:v>
      </x:c>
      <x:c r="I104" s="6" t="str">
        <x:v>Find and count assets</x:v>
      </x:c>
      <x:c r="J104" s="6" t="str">
        <x:v>Warm-up</x:v>
      </x:c>
      <x:c r="K104" s="6" t="str">
        <x:v>Room name, floor and asset identity. Coordinates may help the UI.</x:v>
      </x:c>
      <x:c r="L104" s="6" t="str">
        <x:v>T02, T03</x:v>
      </x:c>
      <x:c r="M104" s="6" t="str">
        <x:v>Find a named item and identify its containing room and floor.</x:v>
      </x:c>
      <x:c r="N104" s="6" t="str">
        <x:v>{"asset_id":"resplan-10882-A00002","space_id":"resplan-10882-F0-S001","space_name":"Living room 0.01","floor_level":0,"position":[3.239,4.792]}</x:v>
      </x:c>
      <x:c r="O104" s="6"/>
      <x:c r="P104" s="6" t="str">
        <x:v>Resolve the intended asset and its containing room/floor.</x:v>
      </x:c>
      <x:c r="Q104" s="15"/>
      <x:c r="R104" s="6"/>
      <x:c r="S104" s="16"/>
      <x:c r="T104" s="15"/>
      <x:c r="U104" s="6"/>
      <x:c r="V104" s="6"/>
      <x:c r="W104" s="6" t="str">
        <x:v>Existing search_building. Improve disambiguation and complete result pagination.</x:v>
      </x:c>
      <x:c r="X104" s="6" t="str">
        <x:v>data/train/resplan-10882/questions_basic.jsonl</x:v>
      </x:c>
      <x:c r="Y104" s="14" t="n">
        <x:v>2</x:v>
      </x:c>
      <x:c r="Z104" s="6" t="str">
        <x:v>https://github.com/hagenhaeussler/Industrial-Agents-Hackathon-2026/blob/f41616590b69f3ea0c1cbfb41d6c35edd9ce53df/data/train/resplan-10882/questions_basic.jsonl#L2</x:v>
      </x:c>
      <x:c r="AA104" s="6" t="str">
        <x:v>resplan</x:v>
      </x:c>
      <x:c r="AB104" s="6" t="str">
        <x:v>CC-BY-4.0</x:v>
      </x:c>
    </x:row>
    <x:row r="105" ht="72" customHeight="1">
      <x:c r="A105" s="14" t="n">
        <x:v>100</x:v>
      </x:c>
      <x:c r="B105" s="6" t="str">
        <x:v>locate</x:v>
      </x:c>
      <x:c r="C105" s="6" t="str">
        <x:v>Where is the stove?</x:v>
      </x:c>
      <x:c r="D105" s="6" t="str">
        <x:v>Kitchen 0.08
Floor level: 0
Asset ID: resplan-10882-A00028
Position (m): 0.37, 1.987</x:v>
      </x:c>
      <x:c r="E105" s="6" t="str">
        <x:v>Reference supplied</x:v>
      </x:c>
      <x:c r="F105" s="6" t="str">
        <x:v>train</x:v>
      </x:c>
      <x:c r="G105" s="6" t="str">
        <x:v>resplan-10882</x:v>
      </x:c>
      <x:c r="H105" s="6" t="str">
        <x:v>resplan-10882-Q03</x:v>
      </x:c>
      <x:c r="I105" s="6" t="str">
        <x:v>Find and count assets</x:v>
      </x:c>
      <x:c r="J105" s="6" t="str">
        <x:v>Warm-up</x:v>
      </x:c>
      <x:c r="K105" s="6" t="str">
        <x:v>Room name, floor and asset identity. Coordinates may help the UI.</x:v>
      </x:c>
      <x:c r="L105" s="6" t="str">
        <x:v>T02, T03</x:v>
      </x:c>
      <x:c r="M105" s="6" t="str">
        <x:v>Find a named item and identify its containing room and floor.</x:v>
      </x:c>
      <x:c r="N105" s="6" t="str">
        <x:v>{"asset_id":"resplan-10882-A00028","space_id":"resplan-10882-F0-S008","space_name":"Kitchen 0.08","floor_level":0,"position":[0.37,1.987]}</x:v>
      </x:c>
      <x:c r="O105" s="6"/>
      <x:c r="P105" s="6" t="str">
        <x:v>Resolve the intended asset and its containing room/floor.</x:v>
      </x:c>
      <x:c r="Q105" s="15"/>
      <x:c r="R105" s="6"/>
      <x:c r="S105" s="16"/>
      <x:c r="T105" s="15"/>
      <x:c r="U105" s="6"/>
      <x:c r="V105" s="6"/>
      <x:c r="W105" s="6" t="str">
        <x:v>Existing search_building. Improve disambiguation and complete result pagination.</x:v>
      </x:c>
      <x:c r="X105" s="6" t="str">
        <x:v>data/train/resplan-10882/questions_basic.jsonl</x:v>
      </x:c>
      <x:c r="Y105" s="14" t="n">
        <x:v>3</x:v>
      </x:c>
      <x:c r="Z105" s="6" t="str">
        <x:v>https://github.com/hagenhaeussler/Industrial-Agents-Hackathon-2026/blob/f41616590b69f3ea0c1cbfb41d6c35edd9ce53df/data/train/resplan-10882/questions_basic.jsonl#L3</x:v>
      </x:c>
      <x:c r="AA105" s="6" t="str">
        <x:v>resplan</x:v>
      </x:c>
      <x:c r="AB105" s="6" t="str">
        <x:v>CC-BY-4.0</x:v>
      </x:c>
    </x:row>
    <x:row r="106" ht="72" customHeight="1">
      <x:c r="A106" s="14" t="n">
        <x:v>101</x:v>
      </x:c>
      <x:c r="B106" s="6" t="str">
        <x:v>locate</x:v>
      </x:c>
      <x:c r="C106" s="6" t="str">
        <x:v>Where is the sofa?</x:v>
      </x:c>
      <x:c r="D106" s="6" t="str">
        <x:v>Living room 0.01
Floor level: 0
Asset ID: resplan-1095-A00001
Position (m): 7.102, 4.457</x:v>
      </x:c>
      <x:c r="E106" s="6" t="str">
        <x:v>Reference supplied</x:v>
      </x:c>
      <x:c r="F106" s="6" t="str">
        <x:v>train</x:v>
      </x:c>
      <x:c r="G106" s="6" t="str">
        <x:v>resplan-1095</x:v>
      </x:c>
      <x:c r="H106" s="6" t="str">
        <x:v>resplan-1095-Q01</x:v>
      </x:c>
      <x:c r="I106" s="6" t="str">
        <x:v>Find and count assets</x:v>
      </x:c>
      <x:c r="J106" s="6" t="str">
        <x:v>Warm-up</x:v>
      </x:c>
      <x:c r="K106" s="6" t="str">
        <x:v>Room name, floor and asset identity. Coordinates may help the UI.</x:v>
      </x:c>
      <x:c r="L106" s="6" t="str">
        <x:v>T02, T03</x:v>
      </x:c>
      <x:c r="M106" s="6" t="str">
        <x:v>Find a named item and identify its containing room and floor.</x:v>
      </x:c>
      <x:c r="N106" s="6" t="str">
        <x:v>{"asset_id":"resplan-1095-A00001","space_id":"resplan-1095-F0-S001","space_name":"Living room 0.01","floor_level":0,"position":[7.102,4.457]}</x:v>
      </x:c>
      <x:c r="O106" s="6"/>
      <x:c r="P106" s="6" t="str">
        <x:v>Resolve the intended asset and its containing room/floor.</x:v>
      </x:c>
      <x:c r="Q106" s="15"/>
      <x:c r="R106" s="6"/>
      <x:c r="S106" s="16"/>
      <x:c r="T106" s="15"/>
      <x:c r="U106" s="6"/>
      <x:c r="V106" s="6"/>
      <x:c r="W106" s="6" t="str">
        <x:v>Existing search_building. Improve disambiguation and complete result pagination.</x:v>
      </x:c>
      <x:c r="X106" s="6" t="str">
        <x:v>data/train/resplan-1095/questions_basic.jsonl</x:v>
      </x:c>
      <x:c r="Y106" s="14" t="n">
        <x:v>1</x:v>
      </x:c>
      <x:c r="Z106" s="6" t="str">
        <x:v>https://github.com/hagenhaeussler/Industrial-Agents-Hackathon-2026/blob/f41616590b69f3ea0c1cbfb41d6c35edd9ce53df/data/train/resplan-1095/questions_basic.jsonl#L1</x:v>
      </x:c>
      <x:c r="AA106" s="6" t="str">
        <x:v>resplan</x:v>
      </x:c>
      <x:c r="AB106" s="6" t="str">
        <x:v>CC-BY-4.0</x:v>
      </x:c>
    </x:row>
    <x:row r="107" ht="72" customHeight="1">
      <x:c r="A107" s="14" t="n">
        <x:v>102</x:v>
      </x:c>
      <x:c r="B107" s="6" t="str">
        <x:v>locate</x:v>
      </x:c>
      <x:c r="C107" s="6" t="str">
        <x:v>Where is the bathtub?</x:v>
      </x:c>
      <x:c r="D107" s="6" t="str">
        <x:v>Bathroom 0.05
Floor level: 0
Asset ID: resplan-1095-A00022
Position (m): 2.792, 5.353</x:v>
      </x:c>
      <x:c r="E107" s="6" t="str">
        <x:v>Reference supplied</x:v>
      </x:c>
      <x:c r="F107" s="6" t="str">
        <x:v>train</x:v>
      </x:c>
      <x:c r="G107" s="6" t="str">
        <x:v>resplan-1095</x:v>
      </x:c>
      <x:c r="H107" s="6" t="str">
        <x:v>resplan-1095-Q02</x:v>
      </x:c>
      <x:c r="I107" s="6" t="str">
        <x:v>Find and count assets</x:v>
      </x:c>
      <x:c r="J107" s="6" t="str">
        <x:v>Warm-up</x:v>
      </x:c>
      <x:c r="K107" s="6" t="str">
        <x:v>Room name, floor and asset identity. Coordinates may help the UI.</x:v>
      </x:c>
      <x:c r="L107" s="6" t="str">
        <x:v>T02, T03</x:v>
      </x:c>
      <x:c r="M107" s="6" t="str">
        <x:v>Find a named item and identify its containing room and floor.</x:v>
      </x:c>
      <x:c r="N107" s="6" t="str">
        <x:v>{"asset_id":"resplan-1095-A00022","space_id":"resplan-1095-F0-S005","space_name":"Bathroom 0.05","floor_level":0,"position":[2.792,5.353]}</x:v>
      </x:c>
      <x:c r="O107" s="6"/>
      <x:c r="P107" s="6" t="str">
        <x:v>Resolve the intended asset and its containing room/floor.</x:v>
      </x:c>
      <x:c r="Q107" s="15"/>
      <x:c r="R107" s="6"/>
      <x:c r="S107" s="16"/>
      <x:c r="T107" s="15"/>
      <x:c r="U107" s="6"/>
      <x:c r="V107" s="6"/>
      <x:c r="W107" s="6" t="str">
        <x:v>Existing search_building. Improve disambiguation and complete result pagination.</x:v>
      </x:c>
      <x:c r="X107" s="6" t="str">
        <x:v>data/train/resplan-1095/questions_basic.jsonl</x:v>
      </x:c>
      <x:c r="Y107" s="14" t="n">
        <x:v>2</x:v>
      </x:c>
      <x:c r="Z107" s="6" t="str">
        <x:v>https://github.com/hagenhaeussler/Industrial-Agents-Hackathon-2026/blob/f41616590b69f3ea0c1cbfb41d6c35edd9ce53df/data/train/resplan-1095/questions_basic.jsonl#L2</x:v>
      </x:c>
      <x:c r="AA107" s="6" t="str">
        <x:v>resplan</x:v>
      </x:c>
      <x:c r="AB107" s="6" t="str">
        <x:v>CC-BY-4.0</x:v>
      </x:c>
    </x:row>
    <x:row r="108" ht="72" customHeight="1">
      <x:c r="A108" s="14" t="n">
        <x:v>103</x:v>
      </x:c>
      <x:c r="B108" s="6" t="str">
        <x:v>locate</x:v>
      </x:c>
      <x:c r="C108" s="6" t="str">
        <x:v>Where is the tv stand?</x:v>
      </x:c>
      <x:c r="D108" s="6" t="str">
        <x:v>Living room 0.01
Floor level: 0
Asset ID: resplan-1095-A00003
Position (m): 4.542, 8.324</x:v>
      </x:c>
      <x:c r="E108" s="6" t="str">
        <x:v>Reference supplied</x:v>
      </x:c>
      <x:c r="F108" s="6" t="str">
        <x:v>train</x:v>
      </x:c>
      <x:c r="G108" s="6" t="str">
        <x:v>resplan-1095</x:v>
      </x:c>
      <x:c r="H108" s="6" t="str">
        <x:v>resplan-1095-Q03</x:v>
      </x:c>
      <x:c r="I108" s="6" t="str">
        <x:v>Find and count assets</x:v>
      </x:c>
      <x:c r="J108" s="6" t="str">
        <x:v>Warm-up</x:v>
      </x:c>
      <x:c r="K108" s="6" t="str">
        <x:v>Room name, floor and asset identity. Coordinates may help the UI.</x:v>
      </x:c>
      <x:c r="L108" s="6" t="str">
        <x:v>T02, T03</x:v>
      </x:c>
      <x:c r="M108" s="6" t="str">
        <x:v>Find a named item and identify its containing room and floor.</x:v>
      </x:c>
      <x:c r="N108" s="6" t="str">
        <x:v>{"asset_id":"resplan-1095-A00003","space_id":"resplan-1095-F0-S001","space_name":"Living room 0.01","floor_level":0,"position":[4.542,8.324]}</x:v>
      </x:c>
      <x:c r="O108" s="6"/>
      <x:c r="P108" s="6" t="str">
        <x:v>Resolve the intended asset and its containing room/floor.</x:v>
      </x:c>
      <x:c r="Q108" s="15"/>
      <x:c r="R108" s="6"/>
      <x:c r="S108" s="16"/>
      <x:c r="T108" s="15"/>
      <x:c r="U108" s="6"/>
      <x:c r="V108" s="6"/>
      <x:c r="W108" s="6" t="str">
        <x:v>Existing search_building. Improve disambiguation and complete result pagination.</x:v>
      </x:c>
      <x:c r="X108" s="6" t="str">
        <x:v>data/train/resplan-1095/questions_basic.jsonl</x:v>
      </x:c>
      <x:c r="Y108" s="14" t="n">
        <x:v>3</x:v>
      </x:c>
      <x:c r="Z108" s="6" t="str">
        <x:v>https://github.com/hagenhaeussler/Industrial-Agents-Hackathon-2026/blob/f41616590b69f3ea0c1cbfb41d6c35edd9ce53df/data/train/resplan-1095/questions_basic.jsonl#L3</x:v>
      </x:c>
      <x:c r="AA108" s="6" t="str">
        <x:v>resplan</x:v>
      </x:c>
      <x:c r="AB108" s="6" t="str">
        <x:v>CC-BY-4.0</x:v>
      </x:c>
    </x:row>
    <x:row r="109" ht="72" customHeight="1">
      <x:c r="A109" s="14" t="n">
        <x:v>104</x:v>
      </x:c>
      <x:c r="B109" s="6" t="str">
        <x:v>locate</x:v>
      </x:c>
      <x:c r="C109" s="6" t="str">
        <x:v>Where is the tv stand?</x:v>
      </x:c>
      <x:c r="D109" s="6" t="str">
        <x:v>Living room 0.02
Floor level: 0
Asset ID: resplan-11076-A00007
Position (m): 4.687, 0.27</x:v>
      </x:c>
      <x:c r="E109" s="6" t="str">
        <x:v>Reference supplied</x:v>
      </x:c>
      <x:c r="F109" s="6" t="str">
        <x:v>train</x:v>
      </x:c>
      <x:c r="G109" s="6" t="str">
        <x:v>resplan-11076</x:v>
      </x:c>
      <x:c r="H109" s="6" t="str">
        <x:v>resplan-11076-Q01</x:v>
      </x:c>
      <x:c r="I109" s="6" t="str">
        <x:v>Find and count assets</x:v>
      </x:c>
      <x:c r="J109" s="6" t="str">
        <x:v>Warm-up</x:v>
      </x:c>
      <x:c r="K109" s="6" t="str">
        <x:v>Room name, floor and asset identity. Coordinates may help the UI.</x:v>
      </x:c>
      <x:c r="L109" s="6" t="str">
        <x:v>T02, T03</x:v>
      </x:c>
      <x:c r="M109" s="6" t="str">
        <x:v>Find a named item and identify its containing room and floor.</x:v>
      </x:c>
      <x:c r="N109" s="6" t="str">
        <x:v>{"asset_id":"resplan-11076-A00007","space_id":"resplan-11076-F0-S002","space_name":"Living room 0.02","floor_level":0,"position":[4.687,0.27]}</x:v>
      </x:c>
      <x:c r="O109" s="6"/>
      <x:c r="P109" s="6" t="str">
        <x:v>Resolve the intended asset and its containing room/floor.</x:v>
      </x:c>
      <x:c r="Q109" s="15"/>
      <x:c r="R109" s="6"/>
      <x:c r="S109" s="16"/>
      <x:c r="T109" s="15"/>
      <x:c r="U109" s="6"/>
      <x:c r="V109" s="6"/>
      <x:c r="W109" s="6" t="str">
        <x:v>Existing search_building. Improve disambiguation and complete result pagination.</x:v>
      </x:c>
      <x:c r="X109" s="6" t="str">
        <x:v>data/train/resplan-11076/questions_basic.jsonl</x:v>
      </x:c>
      <x:c r="Y109" s="14" t="n">
        <x:v>1</x:v>
      </x:c>
      <x:c r="Z109" s="6" t="str">
        <x:v>https://github.com/hagenhaeussler/Industrial-Agents-Hackathon-2026/blob/f41616590b69f3ea0c1cbfb41d6c35edd9ce53df/data/train/resplan-11076/questions_basic.jsonl#L1</x:v>
      </x:c>
      <x:c r="AA109" s="6" t="str">
        <x:v>resplan</x:v>
      </x:c>
      <x:c r="AB109" s="6" t="str">
        <x:v>CC-BY-4.0</x:v>
      </x:c>
    </x:row>
    <x:row r="110" ht="72" customHeight="1">
      <x:c r="A110" s="14" t="n">
        <x:v>105</x:v>
      </x:c>
      <x:c r="B110" s="6" t="str">
        <x:v>locate</x:v>
      </x:c>
      <x:c r="C110" s="6" t="str">
        <x:v>Where is the sofa?</x:v>
      </x:c>
      <x:c r="D110" s="6" t="str">
        <x:v>Living room 0.02
Floor level: 0
Asset ID: resplan-11076-A00005
Position (m): 3.817, 3.443</x:v>
      </x:c>
      <x:c r="E110" s="6" t="str">
        <x:v>Reference supplied</x:v>
      </x:c>
      <x:c r="F110" s="6" t="str">
        <x:v>train</x:v>
      </x:c>
      <x:c r="G110" s="6" t="str">
        <x:v>resplan-11076</x:v>
      </x:c>
      <x:c r="H110" s="6" t="str">
        <x:v>resplan-11076-Q02</x:v>
      </x:c>
      <x:c r="I110" s="6" t="str">
        <x:v>Find and count assets</x:v>
      </x:c>
      <x:c r="J110" s="6" t="str">
        <x:v>Warm-up</x:v>
      </x:c>
      <x:c r="K110" s="6" t="str">
        <x:v>Room name, floor and asset identity. Coordinates may help the UI.</x:v>
      </x:c>
      <x:c r="L110" s="6" t="str">
        <x:v>T02, T03</x:v>
      </x:c>
      <x:c r="M110" s="6" t="str">
        <x:v>Find a named item and identify its containing room and floor.</x:v>
      </x:c>
      <x:c r="N110" s="6" t="str">
        <x:v>{"asset_id":"resplan-11076-A00005","space_id":"resplan-11076-F0-S002","space_name":"Living room 0.02","floor_level":0,"position":[3.817,3.443]}</x:v>
      </x:c>
      <x:c r="O110" s="6"/>
      <x:c r="P110" s="6" t="str">
        <x:v>Resolve the intended asset and its containing room/floor.</x:v>
      </x:c>
      <x:c r="Q110" s="15"/>
      <x:c r="R110" s="6"/>
      <x:c r="S110" s="16"/>
      <x:c r="T110" s="15"/>
      <x:c r="U110" s="6"/>
      <x:c r="V110" s="6"/>
      <x:c r="W110" s="6" t="str">
        <x:v>Existing search_building. Improve disambiguation and complete result pagination.</x:v>
      </x:c>
      <x:c r="X110" s="6" t="str">
        <x:v>data/train/resplan-11076/questions_basic.jsonl</x:v>
      </x:c>
      <x:c r="Y110" s="14" t="n">
        <x:v>2</x:v>
      </x:c>
      <x:c r="Z110" s="6" t="str">
        <x:v>https://github.com/hagenhaeussler/Industrial-Agents-Hackathon-2026/blob/f41616590b69f3ea0c1cbfb41d6c35edd9ce53df/data/train/resplan-11076/questions_basic.jsonl#L2</x:v>
      </x:c>
      <x:c r="AA110" s="6" t="str">
        <x:v>resplan</x:v>
      </x:c>
      <x:c r="AB110" s="6" t="str">
        <x:v>CC-BY-4.0</x:v>
      </x:c>
    </x:row>
    <x:row r="111" ht="72" customHeight="1">
      <x:c r="A111" s="14" t="n">
        <x:v>106</x:v>
      </x:c>
      <x:c r="B111" s="6" t="str">
        <x:v>locate</x:v>
      </x:c>
      <x:c r="C111" s="6" t="str">
        <x:v>Where is the washing machine?</x:v>
      </x:c>
      <x:c r="D111" s="6" t="str">
        <x:v>Bathroom 0.05
Floor level: 0
Asset ID: resplan-11076-A00024
Position (m): 3.971, 4.494</x:v>
      </x:c>
      <x:c r="E111" s="6" t="str">
        <x:v>Reference supplied</x:v>
      </x:c>
      <x:c r="F111" s="6" t="str">
        <x:v>train</x:v>
      </x:c>
      <x:c r="G111" s="6" t="str">
        <x:v>resplan-11076</x:v>
      </x:c>
      <x:c r="H111" s="6" t="str">
        <x:v>resplan-11076-Q03</x:v>
      </x:c>
      <x:c r="I111" s="6" t="str">
        <x:v>Find and count assets</x:v>
      </x:c>
      <x:c r="J111" s="6" t="str">
        <x:v>Warm-up</x:v>
      </x:c>
      <x:c r="K111" s="6" t="str">
        <x:v>Room name, floor and asset identity. Coordinates may help the UI.</x:v>
      </x:c>
      <x:c r="L111" s="6" t="str">
        <x:v>T02, T03</x:v>
      </x:c>
      <x:c r="M111" s="6" t="str">
        <x:v>Find a named item and identify its containing room and floor.</x:v>
      </x:c>
      <x:c r="N111" s="6" t="str">
        <x:v>{"asset_id":"resplan-11076-A00024","space_id":"resplan-11076-F0-S005","space_name":"Bathroom 0.05","floor_level":0,"position":[3.971,4.494]}</x:v>
      </x:c>
      <x:c r="O111" s="6"/>
      <x:c r="P111" s="6" t="str">
        <x:v>Resolve the intended asset and its containing room/floor.</x:v>
      </x:c>
      <x:c r="Q111" s="15"/>
      <x:c r="R111" s="6"/>
      <x:c r="S111" s="16"/>
      <x:c r="T111" s="15"/>
      <x:c r="U111" s="6"/>
      <x:c r="V111" s="6"/>
      <x:c r="W111" s="6" t="str">
        <x:v>Existing search_building. Improve disambiguation and complete result pagination.</x:v>
      </x:c>
      <x:c r="X111" s="6" t="str">
        <x:v>data/train/resplan-11076/questions_basic.jsonl</x:v>
      </x:c>
      <x:c r="Y111" s="14" t="n">
        <x:v>3</x:v>
      </x:c>
      <x:c r="Z111" s="6" t="str">
        <x:v>https://github.com/hagenhaeussler/Industrial-Agents-Hackathon-2026/blob/f41616590b69f3ea0c1cbfb41d6c35edd9ce53df/data/train/resplan-11076/questions_basic.jsonl#L3</x:v>
      </x:c>
      <x:c r="AA111" s="6" t="str">
        <x:v>resplan</x:v>
      </x:c>
      <x:c r="AB111" s="6" t="str">
        <x:v>CC-BY-4.0</x:v>
      </x:c>
    </x:row>
    <x:row r="112" ht="72" customHeight="1">
      <x:c r="A112" s="14" t="n">
        <x:v>107</x:v>
      </x:c>
      <x:c r="B112" s="6" t="str">
        <x:v>locate</x:v>
      </x:c>
      <x:c r="C112" s="6" t="str">
        <x:v>Where is the kitchen counter?</x:v>
      </x:c>
      <x:c r="D112" s="6" t="str">
        <x:v>Kitchen 0.06
Floor level: 0
Asset ID: resplan-11706-A00021
Position (m): 4.253, 4.667</x:v>
      </x:c>
      <x:c r="E112" s="6" t="str">
        <x:v>Reference supplied</x:v>
      </x:c>
      <x:c r="F112" s="6" t="str">
        <x:v>train</x:v>
      </x:c>
      <x:c r="G112" s="6" t="str">
        <x:v>resplan-11706</x:v>
      </x:c>
      <x:c r="H112" s="6" t="str">
        <x:v>resplan-11706-Q01</x:v>
      </x:c>
      <x:c r="I112" s="6" t="str">
        <x:v>Find and count assets</x:v>
      </x:c>
      <x:c r="J112" s="6" t="str">
        <x:v>Warm-up</x:v>
      </x:c>
      <x:c r="K112" s="6" t="str">
        <x:v>Room name, floor and asset identity. Coordinates may help the UI.</x:v>
      </x:c>
      <x:c r="L112" s="6" t="str">
        <x:v>T02, T03</x:v>
      </x:c>
      <x:c r="M112" s="6" t="str">
        <x:v>Find a named item and identify its containing room and floor.</x:v>
      </x:c>
      <x:c r="N112" s="6" t="str">
        <x:v>{"asset_id":"resplan-11706-A00021","space_id":"resplan-11706-F0-S006","space_name":"Kitchen 0.06","floor_level":0,"position":[4.253,4.667]}</x:v>
      </x:c>
      <x:c r="O112" s="6"/>
      <x:c r="P112" s="6" t="str">
        <x:v>Resolve the intended asset and its containing room/floor.</x:v>
      </x:c>
      <x:c r="Q112" s="15"/>
      <x:c r="R112" s="6"/>
      <x:c r="S112" s="16"/>
      <x:c r="T112" s="15"/>
      <x:c r="U112" s="6"/>
      <x:c r="V112" s="6"/>
      <x:c r="W112" s="6" t="str">
        <x:v>Existing search_building. Improve disambiguation and complete result pagination.</x:v>
      </x:c>
      <x:c r="X112" s="6" t="str">
        <x:v>data/train/resplan-11706/questions_basic.jsonl</x:v>
      </x:c>
      <x:c r="Y112" s="14" t="n">
        <x:v>1</x:v>
      </x:c>
      <x:c r="Z112" s="6" t="str">
        <x:v>https://github.com/hagenhaeussler/Industrial-Agents-Hackathon-2026/blob/f41616590b69f3ea0c1cbfb41d6c35edd9ce53df/data/train/resplan-11706/questions_basic.jsonl#L1</x:v>
      </x:c>
      <x:c r="AA112" s="6" t="str">
        <x:v>resplan</x:v>
      </x:c>
      <x:c r="AB112" s="6" t="str">
        <x:v>CC-BY-4.0</x:v>
      </x:c>
    </x:row>
    <x:row r="113" ht="72" customHeight="1">
      <x:c r="A113" s="14" t="n">
        <x:v>108</x:v>
      </x:c>
      <x:c r="B113" s="6" t="str">
        <x:v>locate</x:v>
      </x:c>
      <x:c r="C113" s="6" t="str">
        <x:v>Where is the sofa?</x:v>
      </x:c>
      <x:c r="D113" s="6" t="str">
        <x:v>Living room 0.01
Floor level: 0
Asset ID: resplan-11706-A00001
Position (m): 8.666, 3.048</x:v>
      </x:c>
      <x:c r="E113" s="6" t="str">
        <x:v>Reference supplied</x:v>
      </x:c>
      <x:c r="F113" s="6" t="str">
        <x:v>train</x:v>
      </x:c>
      <x:c r="G113" s="6" t="str">
        <x:v>resplan-11706</x:v>
      </x:c>
      <x:c r="H113" s="6" t="str">
        <x:v>resplan-11706-Q02</x:v>
      </x:c>
      <x:c r="I113" s="6" t="str">
        <x:v>Find and count assets</x:v>
      </x:c>
      <x:c r="J113" s="6" t="str">
        <x:v>Warm-up</x:v>
      </x:c>
      <x:c r="K113" s="6" t="str">
        <x:v>Room name, floor and asset identity. Coordinates may help the UI.</x:v>
      </x:c>
      <x:c r="L113" s="6" t="str">
        <x:v>T02, T03</x:v>
      </x:c>
      <x:c r="M113" s="6" t="str">
        <x:v>Find a named item and identify its containing room and floor.</x:v>
      </x:c>
      <x:c r="N113" s="6" t="str">
        <x:v>{"asset_id":"resplan-11706-A00001","space_id":"resplan-11706-F0-S001","space_name":"Living room 0.01","floor_level":0,"position":[8.666,3.048]}</x:v>
      </x:c>
      <x:c r="O113" s="6"/>
      <x:c r="P113" s="6" t="str">
        <x:v>Resolve the intended asset and its containing room/floor.</x:v>
      </x:c>
      <x:c r="Q113" s="15"/>
      <x:c r="R113" s="6"/>
      <x:c r="S113" s="16"/>
      <x:c r="T113" s="15"/>
      <x:c r="U113" s="6"/>
      <x:c r="V113" s="6"/>
      <x:c r="W113" s="6" t="str">
        <x:v>Existing search_building. Improve disambiguation and complete result pagination.</x:v>
      </x:c>
      <x:c r="X113" s="6" t="str">
        <x:v>data/train/resplan-11706/questions_basic.jsonl</x:v>
      </x:c>
      <x:c r="Y113" s="14" t="n">
        <x:v>2</x:v>
      </x:c>
      <x:c r="Z113" s="6" t="str">
        <x:v>https://github.com/hagenhaeussler/Industrial-Agents-Hackathon-2026/blob/f41616590b69f3ea0c1cbfb41d6c35edd9ce53df/data/train/resplan-11706/questions_basic.jsonl#L2</x:v>
      </x:c>
      <x:c r="AA113" s="6" t="str">
        <x:v>resplan</x:v>
      </x:c>
      <x:c r="AB113" s="6" t="str">
        <x:v>CC-BY-4.0</x:v>
      </x:c>
    </x:row>
    <x:row r="114" ht="72" customHeight="1">
      <x:c r="A114" s="14" t="n">
        <x:v>109</x:v>
      </x:c>
      <x:c r="B114" s="6" t="str">
        <x:v>locate</x:v>
      </x:c>
      <x:c r="C114" s="6" t="str">
        <x:v>Where is the coffee table?</x:v>
      </x:c>
      <x:c r="D114" s="6" t="str">
        <x:v>Living room 0.01
Floor level: 0
Asset ID: resplan-11706-A00002
Position (m): 8.237, 6.188</x:v>
      </x:c>
      <x:c r="E114" s="6" t="str">
        <x:v>Reference supplied</x:v>
      </x:c>
      <x:c r="F114" s="6" t="str">
        <x:v>train</x:v>
      </x:c>
      <x:c r="G114" s="6" t="str">
        <x:v>resplan-11706</x:v>
      </x:c>
      <x:c r="H114" s="6" t="str">
        <x:v>resplan-11706-Q03</x:v>
      </x:c>
      <x:c r="I114" s="6" t="str">
        <x:v>Find and count assets</x:v>
      </x:c>
      <x:c r="J114" s="6" t="str">
        <x:v>Warm-up</x:v>
      </x:c>
      <x:c r="K114" s="6" t="str">
        <x:v>Room name, floor and asset identity. Coordinates may help the UI.</x:v>
      </x:c>
      <x:c r="L114" s="6" t="str">
        <x:v>T02, T03</x:v>
      </x:c>
      <x:c r="M114" s="6" t="str">
        <x:v>Find a named item and identify its containing room and floor.</x:v>
      </x:c>
      <x:c r="N114" s="6" t="str">
        <x:v>{"asset_id":"resplan-11706-A00002","space_id":"resplan-11706-F0-S001","space_name":"Living room 0.01","floor_level":0,"position":[8.237,6.188]}</x:v>
      </x:c>
      <x:c r="O114" s="6"/>
      <x:c r="P114" s="6" t="str">
        <x:v>Resolve the intended asset and its containing room/floor.</x:v>
      </x:c>
      <x:c r="Q114" s="15"/>
      <x:c r="R114" s="6"/>
      <x:c r="S114" s="16"/>
      <x:c r="T114" s="15"/>
      <x:c r="U114" s="6"/>
      <x:c r="V114" s="6"/>
      <x:c r="W114" s="6" t="str">
        <x:v>Existing search_building. Improve disambiguation and complete result pagination.</x:v>
      </x:c>
      <x:c r="X114" s="6" t="str">
        <x:v>data/train/resplan-11706/questions_basic.jsonl</x:v>
      </x:c>
      <x:c r="Y114" s="14" t="n">
        <x:v>3</x:v>
      </x:c>
      <x:c r="Z114" s="6" t="str">
        <x:v>https://github.com/hagenhaeussler/Industrial-Agents-Hackathon-2026/blob/f41616590b69f3ea0c1cbfb41d6c35edd9ce53df/data/train/resplan-11706/questions_basic.jsonl#L3</x:v>
      </x:c>
      <x:c r="AA114" s="6" t="str">
        <x:v>resplan</x:v>
      </x:c>
      <x:c r="AB114" s="6" t="str">
        <x:v>CC-BY-4.0</x:v>
      </x:c>
    </x:row>
    <x:row r="115" ht="72" customHeight="1">
      <x:c r="A115" s="14" t="n">
        <x:v>110</x:v>
      </x:c>
      <x:c r="B115" s="6" t="str">
        <x:v>locate</x:v>
      </x:c>
      <x:c r="C115" s="6" t="str">
        <x:v>Where is the dining table?</x:v>
      </x:c>
      <x:c r="D115" s="6" t="str">
        <x:v>Kitchen 0.06
Floor level: 0
Asset ID: resplan-11816-A00029
Position (m): 10.556, 10.45</x:v>
      </x:c>
      <x:c r="E115" s="6" t="str">
        <x:v>Reference supplied</x:v>
      </x:c>
      <x:c r="F115" s="6" t="str">
        <x:v>train</x:v>
      </x:c>
      <x:c r="G115" s="6" t="str">
        <x:v>resplan-11816</x:v>
      </x:c>
      <x:c r="H115" s="6" t="str">
        <x:v>resplan-11816-Q01</x:v>
      </x:c>
      <x:c r="I115" s="6" t="str">
        <x:v>Find and count assets</x:v>
      </x:c>
      <x:c r="J115" s="6" t="str">
        <x:v>Warm-up</x:v>
      </x:c>
      <x:c r="K115" s="6" t="str">
        <x:v>Room name, floor and asset identity. Coordinates may help the UI.</x:v>
      </x:c>
      <x:c r="L115" s="6" t="str">
        <x:v>T02, T03</x:v>
      </x:c>
      <x:c r="M115" s="6" t="str">
        <x:v>Find a named item and identify its containing room and floor.</x:v>
      </x:c>
      <x:c r="N115" s="6" t="str">
        <x:v>{"asset_id":"resplan-11816-A00029","space_id":"resplan-11816-F0-S006","space_name":"Kitchen 0.06","floor_level":0,"position":[10.556,10.45]}</x:v>
      </x:c>
      <x:c r="O115" s="6"/>
      <x:c r="P115" s="6" t="str">
        <x:v>Resolve the intended asset and its containing room/floor.</x:v>
      </x:c>
      <x:c r="Q115" s="15"/>
      <x:c r="R115" s="6"/>
      <x:c r="S115" s="16"/>
      <x:c r="T115" s="15"/>
      <x:c r="U115" s="6"/>
      <x:c r="V115" s="6"/>
      <x:c r="W115" s="6" t="str">
        <x:v>Existing search_building. Improve disambiguation and complete result pagination.</x:v>
      </x:c>
      <x:c r="X115" s="6" t="str">
        <x:v>data/train/resplan-11816/questions_basic.jsonl</x:v>
      </x:c>
      <x:c r="Y115" s="14" t="n">
        <x:v>1</x:v>
      </x:c>
      <x:c r="Z115" s="6" t="str">
        <x:v>https://github.com/hagenhaeussler/Industrial-Agents-Hackathon-2026/blob/f41616590b69f3ea0c1cbfb41d6c35edd9ce53df/data/train/resplan-11816/questions_basic.jsonl#L1</x:v>
      </x:c>
      <x:c r="AA115" s="6" t="str">
        <x:v>resplan</x:v>
      </x:c>
      <x:c r="AB115" s="6" t="str">
        <x:v>CC-BY-4.0</x:v>
      </x:c>
    </x:row>
    <x:row r="116" ht="72" customHeight="1">
      <x:c r="A116" s="14" t="n">
        <x:v>111</x:v>
      </x:c>
      <x:c r="B116" s="6" t="str">
        <x:v>locate</x:v>
      </x:c>
      <x:c r="C116" s="6" t="str">
        <x:v>Where is the tv stand?</x:v>
      </x:c>
      <x:c r="D116" s="6" t="str">
        <x:v>Living room 0.01
Floor level: 0
Asset ID: resplan-11816-A00003
Position (m): 7.867, 10.879</x:v>
      </x:c>
      <x:c r="E116" s="6" t="str">
        <x:v>Reference supplied</x:v>
      </x:c>
      <x:c r="F116" s="6" t="str">
        <x:v>train</x:v>
      </x:c>
      <x:c r="G116" s="6" t="str">
        <x:v>resplan-11816</x:v>
      </x:c>
      <x:c r="H116" s="6" t="str">
        <x:v>resplan-11816-Q02</x:v>
      </x:c>
      <x:c r="I116" s="6" t="str">
        <x:v>Find and count assets</x:v>
      </x:c>
      <x:c r="J116" s="6" t="str">
        <x:v>Warm-up</x:v>
      </x:c>
      <x:c r="K116" s="6" t="str">
        <x:v>Room name, floor and asset identity. Coordinates may help the UI.</x:v>
      </x:c>
      <x:c r="L116" s="6" t="str">
        <x:v>T02, T03</x:v>
      </x:c>
      <x:c r="M116" s="6" t="str">
        <x:v>Find a named item and identify its containing room and floor.</x:v>
      </x:c>
      <x:c r="N116" s="6" t="str">
        <x:v>{"asset_id":"resplan-11816-A00003","space_id":"resplan-11816-F0-S001","space_name":"Living room 0.01","floor_level":0,"position":[7.867,10.879]}</x:v>
      </x:c>
      <x:c r="O116" s="6"/>
      <x:c r="P116" s="6" t="str">
        <x:v>Resolve the intended asset and its containing room/floor.</x:v>
      </x:c>
      <x:c r="Q116" s="15"/>
      <x:c r="R116" s="6"/>
      <x:c r="S116" s="16"/>
      <x:c r="T116" s="15"/>
      <x:c r="U116" s="6"/>
      <x:c r="V116" s="6"/>
      <x:c r="W116" s="6" t="str">
        <x:v>Existing search_building. Improve disambiguation and complete result pagination.</x:v>
      </x:c>
      <x:c r="X116" s="6" t="str">
        <x:v>data/train/resplan-11816/questions_basic.jsonl</x:v>
      </x:c>
      <x:c r="Y116" s="14" t="n">
        <x:v>2</x:v>
      </x:c>
      <x:c r="Z116" s="6" t="str">
        <x:v>https://github.com/hagenhaeussler/Industrial-Agents-Hackathon-2026/blob/f41616590b69f3ea0c1cbfb41d6c35edd9ce53df/data/train/resplan-11816/questions_basic.jsonl#L2</x:v>
      </x:c>
      <x:c r="AA116" s="6" t="str">
        <x:v>resplan</x:v>
      </x:c>
      <x:c r="AB116" s="6" t="str">
        <x:v>CC-BY-4.0</x:v>
      </x:c>
    </x:row>
    <x:row r="117" ht="72" customHeight="1">
      <x:c r="A117" s="14" t="n">
        <x:v>112</x:v>
      </x:c>
      <x:c r="B117" s="6" t="str">
        <x:v>locate</x:v>
      </x:c>
      <x:c r="C117" s="6" t="str">
        <x:v>Where is the armchair?</x:v>
      </x:c>
      <x:c r="D117" s="6" t="str">
        <x:v>Living room 0.01
Floor level: 0
Asset ID: resplan-11816-A00010
Position (m): 6.855, 8.168</x:v>
      </x:c>
      <x:c r="E117" s="6" t="str">
        <x:v>Reference supplied</x:v>
      </x:c>
      <x:c r="F117" s="6" t="str">
        <x:v>train</x:v>
      </x:c>
      <x:c r="G117" s="6" t="str">
        <x:v>resplan-11816</x:v>
      </x:c>
      <x:c r="H117" s="6" t="str">
        <x:v>resplan-11816-Q03</x:v>
      </x:c>
      <x:c r="I117" s="6" t="str">
        <x:v>Find and count assets</x:v>
      </x:c>
      <x:c r="J117" s="6" t="str">
        <x:v>Warm-up</x:v>
      </x:c>
      <x:c r="K117" s="6" t="str">
        <x:v>Room name, floor and asset identity. Coordinates may help the UI.</x:v>
      </x:c>
      <x:c r="L117" s="6" t="str">
        <x:v>T02, T03</x:v>
      </x:c>
      <x:c r="M117" s="6" t="str">
        <x:v>Find a named item and identify its containing room and floor.</x:v>
      </x:c>
      <x:c r="N117" s="6" t="str">
        <x:v>{"asset_id":"resplan-11816-A00010","space_id":"resplan-11816-F0-S001","space_name":"Living room 0.01","floor_level":0,"position":[6.855,8.168]}</x:v>
      </x:c>
      <x:c r="O117" s="6"/>
      <x:c r="P117" s="6" t="str">
        <x:v>Resolve the intended asset and its containing room/floor.</x:v>
      </x:c>
      <x:c r="Q117" s="15"/>
      <x:c r="R117" s="6"/>
      <x:c r="S117" s="16"/>
      <x:c r="T117" s="15"/>
      <x:c r="U117" s="6"/>
      <x:c r="V117" s="6"/>
      <x:c r="W117" s="6" t="str">
        <x:v>Existing search_building. Improve disambiguation and complete result pagination.</x:v>
      </x:c>
      <x:c r="X117" s="6" t="str">
        <x:v>data/train/resplan-11816/questions_basic.jsonl</x:v>
      </x:c>
      <x:c r="Y117" s="14" t="n">
        <x:v>3</x:v>
      </x:c>
      <x:c r="Z117" s="6" t="str">
        <x:v>https://github.com/hagenhaeussler/Industrial-Agents-Hackathon-2026/blob/f41616590b69f3ea0c1cbfb41d6c35edd9ce53df/data/train/resplan-11816/questions_basic.jsonl#L3</x:v>
      </x:c>
      <x:c r="AA117" s="6" t="str">
        <x:v>resplan</x:v>
      </x:c>
      <x:c r="AB117" s="6" t="str">
        <x:v>CC-BY-4.0</x:v>
      </x:c>
    </x:row>
    <x:row r="118" ht="72" customHeight="1">
      <x:c r="A118" s="14" t="n">
        <x:v>113</x:v>
      </x:c>
      <x:c r="B118" s="6" t="str">
        <x:v>locate</x:v>
      </x:c>
      <x:c r="C118" s="6" t="str">
        <x:v>Where is the coffee table?</x:v>
      </x:c>
      <x:c r="D118" s="6" t="str">
        <x:v>Living room 0.01
Floor level: 0
Asset ID: resplan-120-A00002
Position (m): 6.97, 8.117</x:v>
      </x:c>
      <x:c r="E118" s="6" t="str">
        <x:v>Reference supplied</x:v>
      </x:c>
      <x:c r="F118" s="6" t="str">
        <x:v>train</x:v>
      </x:c>
      <x:c r="G118" s="6" t="str">
        <x:v>resplan-120</x:v>
      </x:c>
      <x:c r="H118" s="6" t="str">
        <x:v>resplan-120-Q01</x:v>
      </x:c>
      <x:c r="I118" s="6" t="str">
        <x:v>Find and count assets</x:v>
      </x:c>
      <x:c r="J118" s="6" t="str">
        <x:v>Warm-up</x:v>
      </x:c>
      <x:c r="K118" s="6" t="str">
        <x:v>Room name, floor and asset identity. Coordinates may help the UI.</x:v>
      </x:c>
      <x:c r="L118" s="6" t="str">
        <x:v>T02, T03</x:v>
      </x:c>
      <x:c r="M118" s="6" t="str">
        <x:v>Find a named item and identify its containing room and floor.</x:v>
      </x:c>
      <x:c r="N118" s="6" t="str">
        <x:v>{"asset_id":"resplan-120-A00002","space_id":"resplan-120-F0-S001","space_name":"Living room 0.01","floor_level":0,"position":[6.97,8.117]}</x:v>
      </x:c>
      <x:c r="O118" s="6"/>
      <x:c r="P118" s="6" t="str">
        <x:v>Resolve the intended asset and its containing room/floor.</x:v>
      </x:c>
      <x:c r="Q118" s="15"/>
      <x:c r="R118" s="6"/>
      <x:c r="S118" s="16"/>
      <x:c r="T118" s="15"/>
      <x:c r="U118" s="6"/>
      <x:c r="V118" s="6"/>
      <x:c r="W118" s="6" t="str">
        <x:v>Existing search_building. Improve disambiguation and complete result pagination.</x:v>
      </x:c>
      <x:c r="X118" s="6" t="str">
        <x:v>data/train/resplan-120/questions_basic.jsonl</x:v>
      </x:c>
      <x:c r="Y118" s="14" t="n">
        <x:v>1</x:v>
      </x:c>
      <x:c r="Z118" s="6" t="str">
        <x:v>https://github.com/hagenhaeussler/Industrial-Agents-Hackathon-2026/blob/f41616590b69f3ea0c1cbfb41d6c35edd9ce53df/data/train/resplan-120/questions_basic.jsonl#L1</x:v>
      </x:c>
      <x:c r="AA118" s="6" t="str">
        <x:v>resplan</x:v>
      </x:c>
      <x:c r="AB118" s="6" t="str">
        <x:v>CC-BY-4.0</x:v>
      </x:c>
    </x:row>
    <x:row r="119" ht="72" customHeight="1">
      <x:c r="A119" s="14" t="n">
        <x:v>114</x:v>
      </x:c>
      <x:c r="B119" s="6" t="str">
        <x:v>locate</x:v>
      </x:c>
      <x:c r="C119" s="6" t="str">
        <x:v>Where is the tv stand?</x:v>
      </x:c>
      <x:c r="D119" s="6" t="str">
        <x:v>Living room 0.01
Floor level: 0
Asset ID: resplan-120-A00003
Position (m): 5.535, 11.118</x:v>
      </x:c>
      <x:c r="E119" s="6" t="str">
        <x:v>Reference supplied</x:v>
      </x:c>
      <x:c r="F119" s="6" t="str">
        <x:v>train</x:v>
      </x:c>
      <x:c r="G119" s="6" t="str">
        <x:v>resplan-120</x:v>
      </x:c>
      <x:c r="H119" s="6" t="str">
        <x:v>resplan-120-Q02</x:v>
      </x:c>
      <x:c r="I119" s="6" t="str">
        <x:v>Find and count assets</x:v>
      </x:c>
      <x:c r="J119" s="6" t="str">
        <x:v>Warm-up</x:v>
      </x:c>
      <x:c r="K119" s="6" t="str">
        <x:v>Room name, floor and asset identity. Coordinates may help the UI.</x:v>
      </x:c>
      <x:c r="L119" s="6" t="str">
        <x:v>T02, T03</x:v>
      </x:c>
      <x:c r="M119" s="6" t="str">
        <x:v>Find a named item and identify its containing room and floor.</x:v>
      </x:c>
      <x:c r="N119" s="6" t="str">
        <x:v>{"asset_id":"resplan-120-A00003","space_id":"resplan-120-F0-S001","space_name":"Living room 0.01","floor_level":0,"position":[5.535,11.118]}</x:v>
      </x:c>
      <x:c r="O119" s="6"/>
      <x:c r="P119" s="6" t="str">
        <x:v>Resolve the intended asset and its containing room/floor.</x:v>
      </x:c>
      <x:c r="Q119" s="15"/>
      <x:c r="R119" s="6"/>
      <x:c r="S119" s="16"/>
      <x:c r="T119" s="15"/>
      <x:c r="U119" s="6"/>
      <x:c r="V119" s="6"/>
      <x:c r="W119" s="6" t="str">
        <x:v>Existing search_building. Improve disambiguation and complete result pagination.</x:v>
      </x:c>
      <x:c r="X119" s="6" t="str">
        <x:v>data/train/resplan-120/questions_basic.jsonl</x:v>
      </x:c>
      <x:c r="Y119" s="14" t="n">
        <x:v>2</x:v>
      </x:c>
      <x:c r="Z119" s="6" t="str">
        <x:v>https://github.com/hagenhaeussler/Industrial-Agents-Hackathon-2026/blob/f41616590b69f3ea0c1cbfb41d6c35edd9ce53df/data/train/resplan-120/questions_basic.jsonl#L2</x:v>
      </x:c>
      <x:c r="AA119" s="6" t="str">
        <x:v>resplan</x:v>
      </x:c>
      <x:c r="AB119" s="6" t="str">
        <x:v>CC-BY-4.0</x:v>
      </x:c>
    </x:row>
    <x:row r="120" ht="72" customHeight="1">
      <x:c r="A120" s="14" t="n">
        <x:v>115</x:v>
      </x:c>
      <x:c r="B120" s="6" t="str">
        <x:v>locate</x:v>
      </x:c>
      <x:c r="C120" s="6" t="str">
        <x:v>Where is the single bed?</x:v>
      </x:c>
      <x:c r="D120" s="6" t="str">
        <x:v>Bedroom 0.02
Floor level: 0
Asset ID: resplan-120-A00006
Position (m): 12.163, 2.292</x:v>
      </x:c>
      <x:c r="E120" s="6" t="str">
        <x:v>Reference supplied</x:v>
      </x:c>
      <x:c r="F120" s="6" t="str">
        <x:v>train</x:v>
      </x:c>
      <x:c r="G120" s="6" t="str">
        <x:v>resplan-120</x:v>
      </x:c>
      <x:c r="H120" s="6" t="str">
        <x:v>resplan-120-Q03</x:v>
      </x:c>
      <x:c r="I120" s="6" t="str">
        <x:v>Find and count assets</x:v>
      </x:c>
      <x:c r="J120" s="6" t="str">
        <x:v>Warm-up</x:v>
      </x:c>
      <x:c r="K120" s="6" t="str">
        <x:v>Room name, floor and asset identity. Coordinates may help the UI.</x:v>
      </x:c>
      <x:c r="L120" s="6" t="str">
        <x:v>T02, T03</x:v>
      </x:c>
      <x:c r="M120" s="6" t="str">
        <x:v>Find a named item and identify its containing room and floor.</x:v>
      </x:c>
      <x:c r="N120" s="6" t="str">
        <x:v>{"asset_id":"resplan-120-A00006","space_id":"resplan-120-F0-S002","space_name":"Bedroom 0.02","floor_level":0,"position":[12.163,2.292]}</x:v>
      </x:c>
      <x:c r="O120" s="6"/>
      <x:c r="P120" s="6" t="str">
        <x:v>Resolve the intended asset and its containing room/floor.</x:v>
      </x:c>
      <x:c r="Q120" s="15"/>
      <x:c r="R120" s="6"/>
      <x:c r="S120" s="16"/>
      <x:c r="T120" s="15"/>
      <x:c r="U120" s="6"/>
      <x:c r="V120" s="6"/>
      <x:c r="W120" s="6" t="str">
        <x:v>Existing search_building. Improve disambiguation and complete result pagination.</x:v>
      </x:c>
      <x:c r="X120" s="6" t="str">
        <x:v>data/train/resplan-120/questions_basic.jsonl</x:v>
      </x:c>
      <x:c r="Y120" s="14" t="n">
        <x:v>3</x:v>
      </x:c>
      <x:c r="Z120" s="6" t="str">
        <x:v>https://github.com/hagenhaeussler/Industrial-Agents-Hackathon-2026/blob/f41616590b69f3ea0c1cbfb41d6c35edd9ce53df/data/train/resplan-120/questions_basic.jsonl#L3</x:v>
      </x:c>
      <x:c r="AA120" s="6" t="str">
        <x:v>resplan</x:v>
      </x:c>
      <x:c r="AB120" s="6" t="str">
        <x:v>CC-BY-4.0</x:v>
      </x:c>
    </x:row>
    <x:row r="121" ht="72" customHeight="1">
      <x:c r="A121" s="14" t="n">
        <x:v>116</x:v>
      </x:c>
      <x:c r="B121" s="6" t="str">
        <x:v>locate</x:v>
      </x:c>
      <x:c r="C121" s="6" t="str">
        <x:v>Where is the armchair?</x:v>
      </x:c>
      <x:c r="D121" s="6" t="str">
        <x:v>Living room 0.01
Floor level: 0
Asset ID: resplan-12034-A00007
Position (m): 9.572, 5.774</x:v>
      </x:c>
      <x:c r="E121" s="6" t="str">
        <x:v>Reference supplied</x:v>
      </x:c>
      <x:c r="F121" s="6" t="str">
        <x:v>train</x:v>
      </x:c>
      <x:c r="G121" s="6" t="str">
        <x:v>resplan-12034</x:v>
      </x:c>
      <x:c r="H121" s="6" t="str">
        <x:v>resplan-12034-Q01</x:v>
      </x:c>
      <x:c r="I121" s="6" t="str">
        <x:v>Find and count assets</x:v>
      </x:c>
      <x:c r="J121" s="6" t="str">
        <x:v>Warm-up</x:v>
      </x:c>
      <x:c r="K121" s="6" t="str">
        <x:v>Room name, floor and asset identity. Coordinates may help the UI.</x:v>
      </x:c>
      <x:c r="L121" s="6" t="str">
        <x:v>T02, T03</x:v>
      </x:c>
      <x:c r="M121" s="6" t="str">
        <x:v>Find a named item and identify its containing room and floor.</x:v>
      </x:c>
      <x:c r="N121" s="6" t="str">
        <x:v>{"asset_id":"resplan-12034-A00007","space_id":"resplan-12034-F0-S001","space_name":"Living room 0.01","floor_level":0,"position":[9.572,5.774]}</x:v>
      </x:c>
      <x:c r="O121" s="6"/>
      <x:c r="P121" s="6" t="str">
        <x:v>Resolve the intended asset and its containing room/floor.</x:v>
      </x:c>
      <x:c r="Q121" s="15"/>
      <x:c r="R121" s="6"/>
      <x:c r="S121" s="16"/>
      <x:c r="T121" s="15"/>
      <x:c r="U121" s="6"/>
      <x:c r="V121" s="6"/>
      <x:c r="W121" s="6" t="str">
        <x:v>Existing search_building. Improve disambiguation and complete result pagination.</x:v>
      </x:c>
      <x:c r="X121" s="6" t="str">
        <x:v>data/train/resplan-12034/questions_basic.jsonl</x:v>
      </x:c>
      <x:c r="Y121" s="14" t="n">
        <x:v>1</x:v>
      </x:c>
      <x:c r="Z121" s="6" t="str">
        <x:v>https://github.com/hagenhaeussler/Industrial-Agents-Hackathon-2026/blob/f41616590b69f3ea0c1cbfb41d6c35edd9ce53df/data/train/resplan-12034/questions_basic.jsonl#L1</x:v>
      </x:c>
      <x:c r="AA121" s="6" t="str">
        <x:v>resplan</x:v>
      </x:c>
      <x:c r="AB121" s="6" t="str">
        <x:v>CC-BY-4.0</x:v>
      </x:c>
    </x:row>
    <x:row r="122" ht="72" customHeight="1">
      <x:c r="A122" s="14" t="n">
        <x:v>117</x:v>
      </x:c>
      <x:c r="B122" s="6" t="str">
        <x:v>locate</x:v>
      </x:c>
      <x:c r="C122" s="6" t="str">
        <x:v>Where is the stove?</x:v>
      </x:c>
      <x:c r="D122" s="6" t="str">
        <x:v>Kitchen 0.06
Floor level: 0
Asset ID: resplan-12034-A00022
Position (m): 5.868, 9.993</x:v>
      </x:c>
      <x:c r="E122" s="6" t="str">
        <x:v>Reference supplied</x:v>
      </x:c>
      <x:c r="F122" s="6" t="str">
        <x:v>train</x:v>
      </x:c>
      <x:c r="G122" s="6" t="str">
        <x:v>resplan-12034</x:v>
      </x:c>
      <x:c r="H122" s="6" t="str">
        <x:v>resplan-12034-Q02</x:v>
      </x:c>
      <x:c r="I122" s="6" t="str">
        <x:v>Find and count assets</x:v>
      </x:c>
      <x:c r="J122" s="6" t="str">
        <x:v>Warm-up</x:v>
      </x:c>
      <x:c r="K122" s="6" t="str">
        <x:v>Room name, floor and asset identity. Coordinates may help the UI.</x:v>
      </x:c>
      <x:c r="L122" s="6" t="str">
        <x:v>T02, T03</x:v>
      </x:c>
      <x:c r="M122" s="6" t="str">
        <x:v>Find a named item and identify its containing room and floor.</x:v>
      </x:c>
      <x:c r="N122" s="6" t="str">
        <x:v>{"asset_id":"resplan-12034-A00022","space_id":"resplan-12034-F0-S006","space_name":"Kitchen 0.06","floor_level":0,"position":[5.868,9.993]}</x:v>
      </x:c>
      <x:c r="O122" s="6"/>
      <x:c r="P122" s="6" t="str">
        <x:v>Resolve the intended asset and its containing room/floor.</x:v>
      </x:c>
      <x:c r="Q122" s="15"/>
      <x:c r="R122" s="6"/>
      <x:c r="S122" s="16"/>
      <x:c r="T122" s="15"/>
      <x:c r="U122" s="6"/>
      <x:c r="V122" s="6"/>
      <x:c r="W122" s="6" t="str">
        <x:v>Existing search_building. Improve disambiguation and complete result pagination.</x:v>
      </x:c>
      <x:c r="X122" s="6" t="str">
        <x:v>data/train/resplan-12034/questions_basic.jsonl</x:v>
      </x:c>
      <x:c r="Y122" s="14" t="n">
        <x:v>2</x:v>
      </x:c>
      <x:c r="Z122" s="6" t="str">
        <x:v>https://github.com/hagenhaeussler/Industrial-Agents-Hackathon-2026/blob/f41616590b69f3ea0c1cbfb41d6c35edd9ce53df/data/train/resplan-12034/questions_basic.jsonl#L2</x:v>
      </x:c>
      <x:c r="AA122" s="6" t="str">
        <x:v>resplan</x:v>
      </x:c>
      <x:c r="AB122" s="6" t="str">
        <x:v>CC-BY-4.0</x:v>
      </x:c>
    </x:row>
    <x:row r="123" ht="72" customHeight="1">
      <x:c r="A123" s="14" t="n">
        <x:v>118</x:v>
      </x:c>
      <x:c r="B123" s="6" t="str">
        <x:v>locate</x:v>
      </x:c>
      <x:c r="C123" s="6" t="str">
        <x:v>Where is the microwave?</x:v>
      </x:c>
      <x:c r="D123" s="6" t="str">
        <x:v>Kitchen 0.06
Floor level: 0
Asset ID: resplan-12034-A00023
Position (m): 5.026, 11.251</x:v>
      </x:c>
      <x:c r="E123" s="6" t="str">
        <x:v>Reference supplied</x:v>
      </x:c>
      <x:c r="F123" s="6" t="str">
        <x:v>train</x:v>
      </x:c>
      <x:c r="G123" s="6" t="str">
        <x:v>resplan-12034</x:v>
      </x:c>
      <x:c r="H123" s="6" t="str">
        <x:v>resplan-12034-Q03</x:v>
      </x:c>
      <x:c r="I123" s="6" t="str">
        <x:v>Find and count assets</x:v>
      </x:c>
      <x:c r="J123" s="6" t="str">
        <x:v>Warm-up</x:v>
      </x:c>
      <x:c r="K123" s="6" t="str">
        <x:v>Room name, floor and asset identity. Coordinates may help the UI.</x:v>
      </x:c>
      <x:c r="L123" s="6" t="str">
        <x:v>T02, T03</x:v>
      </x:c>
      <x:c r="M123" s="6" t="str">
        <x:v>Find a named item and identify its containing room and floor.</x:v>
      </x:c>
      <x:c r="N123" s="6" t="str">
        <x:v>{"asset_id":"resplan-12034-A00023","space_id":"resplan-12034-F0-S006","space_name":"Kitchen 0.06","floor_level":0,"position":[5.026,11.251]}</x:v>
      </x:c>
      <x:c r="O123" s="6"/>
      <x:c r="P123" s="6" t="str">
        <x:v>Resolve the intended asset and its containing room/floor.</x:v>
      </x:c>
      <x:c r="Q123" s="15"/>
      <x:c r="R123" s="6"/>
      <x:c r="S123" s="16"/>
      <x:c r="T123" s="15"/>
      <x:c r="U123" s="6"/>
      <x:c r="V123" s="6"/>
      <x:c r="W123" s="6" t="str">
        <x:v>Existing search_building. Improve disambiguation and complete result pagination.</x:v>
      </x:c>
      <x:c r="X123" s="6" t="str">
        <x:v>data/train/resplan-12034/questions_basic.jsonl</x:v>
      </x:c>
      <x:c r="Y123" s="14" t="n">
        <x:v>3</x:v>
      </x:c>
      <x:c r="Z123" s="6" t="str">
        <x:v>https://github.com/hagenhaeussler/Industrial-Agents-Hackathon-2026/blob/f41616590b69f3ea0c1cbfb41d6c35edd9ce53df/data/train/resplan-12034/questions_basic.jsonl#L3</x:v>
      </x:c>
      <x:c r="AA123" s="6" t="str">
        <x:v>resplan</x:v>
      </x:c>
      <x:c r="AB123" s="6" t="str">
        <x:v>CC-BY-4.0</x:v>
      </x:c>
    </x:row>
    <x:row r="124" ht="72" customHeight="1">
      <x:c r="A124" s="14" t="n">
        <x:v>119</x:v>
      </x:c>
      <x:c r="B124" s="6" t="str">
        <x:v>locate</x:v>
      </x:c>
      <x:c r="C124" s="6" t="str">
        <x:v>Where is the outdoor table?</x:v>
      </x:c>
      <x:c r="D124" s="6" t="str">
        <x:v>Balcony 0.07
Floor level: 0
Asset ID: resplan-1224-A00022
Position (m): 13.032, 3.598</x:v>
      </x:c>
      <x:c r="E124" s="6" t="str">
        <x:v>Reference supplied</x:v>
      </x:c>
      <x:c r="F124" s="6" t="str">
        <x:v>train</x:v>
      </x:c>
      <x:c r="G124" s="6" t="str">
        <x:v>resplan-1224</x:v>
      </x:c>
      <x:c r="H124" s="6" t="str">
        <x:v>resplan-1224-Q01</x:v>
      </x:c>
      <x:c r="I124" s="6" t="str">
        <x:v>Find and count assets</x:v>
      </x:c>
      <x:c r="J124" s="6" t="str">
        <x:v>Warm-up</x:v>
      </x:c>
      <x:c r="K124" s="6" t="str">
        <x:v>Room name, floor and asset identity. Coordinates may help the UI.</x:v>
      </x:c>
      <x:c r="L124" s="6" t="str">
        <x:v>T02, T03</x:v>
      </x:c>
      <x:c r="M124" s="6" t="str">
        <x:v>Find a named item and identify its containing room and floor.</x:v>
      </x:c>
      <x:c r="N124" s="6" t="str">
        <x:v>{"asset_id":"resplan-1224-A00022","space_id":"resplan-1224-F0-S007","space_name":"Balcony 0.07","floor_level":0,"position":[13.032,3.598]}</x:v>
      </x:c>
      <x:c r="O124" s="6"/>
      <x:c r="P124" s="6" t="str">
        <x:v>Resolve the intended asset and its containing room/floor.</x:v>
      </x:c>
      <x:c r="Q124" s="15"/>
      <x:c r="R124" s="6"/>
      <x:c r="S124" s="16"/>
      <x:c r="T124" s="15"/>
      <x:c r="U124" s="6"/>
      <x:c r="V124" s="6"/>
      <x:c r="W124" s="6" t="str">
        <x:v>Existing search_building. Improve disambiguation and complete result pagination.</x:v>
      </x:c>
      <x:c r="X124" s="6" t="str">
        <x:v>data/train/resplan-1224/questions_basic.jsonl</x:v>
      </x:c>
      <x:c r="Y124" s="14" t="n">
        <x:v>1</x:v>
      </x:c>
      <x:c r="Z124" s="6" t="str">
        <x:v>https://github.com/hagenhaeussler/Industrial-Agents-Hackathon-2026/blob/f41616590b69f3ea0c1cbfb41d6c35edd9ce53df/data/train/resplan-1224/questions_basic.jsonl#L1</x:v>
      </x:c>
      <x:c r="AA124" s="6" t="str">
        <x:v>resplan</x:v>
      </x:c>
      <x:c r="AB124" s="6" t="str">
        <x:v>CC-BY-4.0</x:v>
      </x:c>
    </x:row>
    <x:row r="125" ht="72" customHeight="1">
      <x:c r="A125" s="14" t="n">
        <x:v>120</x:v>
      </x:c>
      <x:c r="B125" s="6" t="str">
        <x:v>locate</x:v>
      </x:c>
      <x:c r="C125" s="6" t="str">
        <x:v>Where is the microwave?</x:v>
      </x:c>
      <x:c r="D125" s="6" t="str">
        <x:v>Kitchen 0.06
Floor level: 0
Asset ID: resplan-1224-A00020
Position (m): 5.029, 9.794</x:v>
      </x:c>
      <x:c r="E125" s="6" t="str">
        <x:v>Reference supplied</x:v>
      </x:c>
      <x:c r="F125" s="6" t="str">
        <x:v>train</x:v>
      </x:c>
      <x:c r="G125" s="6" t="str">
        <x:v>resplan-1224</x:v>
      </x:c>
      <x:c r="H125" s="6" t="str">
        <x:v>resplan-1224-Q02</x:v>
      </x:c>
      <x:c r="I125" s="6" t="str">
        <x:v>Find and count assets</x:v>
      </x:c>
      <x:c r="J125" s="6" t="str">
        <x:v>Warm-up</x:v>
      </x:c>
      <x:c r="K125" s="6" t="str">
        <x:v>Room name, floor and asset identity. Coordinates may help the UI.</x:v>
      </x:c>
      <x:c r="L125" s="6" t="str">
        <x:v>T02, T03</x:v>
      </x:c>
      <x:c r="M125" s="6" t="str">
        <x:v>Find a named item and identify its containing room and floor.</x:v>
      </x:c>
      <x:c r="N125" s="6" t="str">
        <x:v>{"asset_id":"resplan-1224-A00020","space_id":"resplan-1224-F0-S006","space_name":"Kitchen 0.06","floor_level":0,"position":[5.029,9.794]}</x:v>
      </x:c>
      <x:c r="O125" s="6"/>
      <x:c r="P125" s="6" t="str">
        <x:v>Resolve the intended asset and its containing room/floor.</x:v>
      </x:c>
      <x:c r="Q125" s="15"/>
      <x:c r="R125" s="6"/>
      <x:c r="S125" s="16"/>
      <x:c r="T125" s="15"/>
      <x:c r="U125" s="6"/>
      <x:c r="V125" s="6"/>
      <x:c r="W125" s="6" t="str">
        <x:v>Existing search_building. Improve disambiguation and complete result pagination.</x:v>
      </x:c>
      <x:c r="X125" s="6" t="str">
        <x:v>data/train/resplan-1224/questions_basic.jsonl</x:v>
      </x:c>
      <x:c r="Y125" s="14" t="n">
        <x:v>2</x:v>
      </x:c>
      <x:c r="Z125" s="6" t="str">
        <x:v>https://github.com/hagenhaeussler/Industrial-Agents-Hackathon-2026/blob/f41616590b69f3ea0c1cbfb41d6c35edd9ce53df/data/train/resplan-1224/questions_basic.jsonl#L2</x:v>
      </x:c>
      <x:c r="AA125" s="6" t="str">
        <x:v>resplan</x:v>
      </x:c>
      <x:c r="AB125" s="6" t="str">
        <x:v>CC-BY-4.0</x:v>
      </x:c>
    </x:row>
    <x:row r="126" ht="72" customHeight="1">
      <x:c r="A126" s="14" t="n">
        <x:v>121</x:v>
      </x:c>
      <x:c r="B126" s="6" t="str">
        <x:v>locate</x:v>
      </x:c>
      <x:c r="C126" s="6" t="str">
        <x:v>Where is the bookshelf?</x:v>
      </x:c>
      <x:c r="D126" s="6" t="str">
        <x:v>Living room 0.01
Floor level: 0
Asset ID: resplan-1224-A00004
Position (m): 3.523, 6.892</x:v>
      </x:c>
      <x:c r="E126" s="6" t="str">
        <x:v>Reference supplied</x:v>
      </x:c>
      <x:c r="F126" s="6" t="str">
        <x:v>train</x:v>
      </x:c>
      <x:c r="G126" s="6" t="str">
        <x:v>resplan-1224</x:v>
      </x:c>
      <x:c r="H126" s="6" t="str">
        <x:v>resplan-1224-Q03</x:v>
      </x:c>
      <x:c r="I126" s="6" t="str">
        <x:v>Find and count assets</x:v>
      </x:c>
      <x:c r="J126" s="6" t="str">
        <x:v>Warm-up</x:v>
      </x:c>
      <x:c r="K126" s="6" t="str">
        <x:v>Room name, floor and asset identity. Coordinates may help the UI.</x:v>
      </x:c>
      <x:c r="L126" s="6" t="str">
        <x:v>T02, T03</x:v>
      </x:c>
      <x:c r="M126" s="6" t="str">
        <x:v>Find a named item and identify its containing room and floor.</x:v>
      </x:c>
      <x:c r="N126" s="6" t="str">
        <x:v>{"asset_id":"resplan-1224-A00004","space_id":"resplan-1224-F0-S001","space_name":"Living room 0.01","floor_level":0,"position":[3.523,6.892]}</x:v>
      </x:c>
      <x:c r="O126" s="6"/>
      <x:c r="P126" s="6" t="str">
        <x:v>Resolve the intended asset and its containing room/floor.</x:v>
      </x:c>
      <x:c r="Q126" s="15"/>
      <x:c r="R126" s="6"/>
      <x:c r="S126" s="16"/>
      <x:c r="T126" s="15"/>
      <x:c r="U126" s="6"/>
      <x:c r="V126" s="6"/>
      <x:c r="W126" s="6" t="str">
        <x:v>Existing search_building. Improve disambiguation and complete result pagination.</x:v>
      </x:c>
      <x:c r="X126" s="6" t="str">
        <x:v>data/train/resplan-1224/questions_basic.jsonl</x:v>
      </x:c>
      <x:c r="Y126" s="14" t="n">
        <x:v>3</x:v>
      </x:c>
      <x:c r="Z126" s="6" t="str">
        <x:v>https://github.com/hagenhaeussler/Industrial-Agents-Hackathon-2026/blob/f41616590b69f3ea0c1cbfb41d6c35edd9ce53df/data/train/resplan-1224/questions_basic.jsonl#L3</x:v>
      </x:c>
      <x:c r="AA126" s="6" t="str">
        <x:v>resplan</x:v>
      </x:c>
      <x:c r="AB126" s="6" t="str">
        <x:v>CC-BY-4.0</x:v>
      </x:c>
    </x:row>
    <x:row r="127" ht="72" customHeight="1">
      <x:c r="A127" s="14" t="n">
        <x:v>122</x:v>
      </x:c>
      <x:c r="B127" s="6" t="str">
        <x:v>locate</x:v>
      </x:c>
      <x:c r="C127" s="6" t="str">
        <x:v>Where is the coffee table?</x:v>
      </x:c>
      <x:c r="D127" s="6" t="str">
        <x:v>Living room 0.01
Floor level: 0
Asset ID: resplan-12304-A00002
Position (m): 1.649, 3.361</x:v>
      </x:c>
      <x:c r="E127" s="6" t="str">
        <x:v>Reference supplied</x:v>
      </x:c>
      <x:c r="F127" s="6" t="str">
        <x:v>train</x:v>
      </x:c>
      <x:c r="G127" s="6" t="str">
        <x:v>resplan-12304</x:v>
      </x:c>
      <x:c r="H127" s="6" t="str">
        <x:v>resplan-12304-Q01</x:v>
      </x:c>
      <x:c r="I127" s="6" t="str">
        <x:v>Find and count assets</x:v>
      </x:c>
      <x:c r="J127" s="6" t="str">
        <x:v>Warm-up</x:v>
      </x:c>
      <x:c r="K127" s="6" t="str">
        <x:v>Room name, floor and asset identity. Coordinates may help the UI.</x:v>
      </x:c>
      <x:c r="L127" s="6" t="str">
        <x:v>T02, T03</x:v>
      </x:c>
      <x:c r="M127" s="6" t="str">
        <x:v>Find a named item and identify its containing room and floor.</x:v>
      </x:c>
      <x:c r="N127" s="6" t="str">
        <x:v>{"asset_id":"resplan-12304-A00002","space_id":"resplan-12304-F0-S001","space_name":"Living room 0.01","floor_level":0,"position":[1.649,3.361]}</x:v>
      </x:c>
      <x:c r="O127" s="6"/>
      <x:c r="P127" s="6" t="str">
        <x:v>Resolve the intended asset and its containing room/floor.</x:v>
      </x:c>
      <x:c r="Q127" s="15"/>
      <x:c r="R127" s="6"/>
      <x:c r="S127" s="16"/>
      <x:c r="T127" s="15"/>
      <x:c r="U127" s="6"/>
      <x:c r="V127" s="6"/>
      <x:c r="W127" s="6" t="str">
        <x:v>Existing search_building. Improve disambiguation and complete result pagination.</x:v>
      </x:c>
      <x:c r="X127" s="6" t="str">
        <x:v>data/train/resplan-12304/questions_basic.jsonl</x:v>
      </x:c>
      <x:c r="Y127" s="14" t="n">
        <x:v>1</x:v>
      </x:c>
      <x:c r="Z127" s="6" t="str">
        <x:v>https://github.com/hagenhaeussler/Industrial-Agents-Hackathon-2026/blob/f41616590b69f3ea0c1cbfb41d6c35edd9ce53df/data/train/resplan-12304/questions_basic.jsonl#L1</x:v>
      </x:c>
      <x:c r="AA127" s="6" t="str">
        <x:v>resplan</x:v>
      </x:c>
      <x:c r="AB127" s="6" t="str">
        <x:v>CC-BY-4.0</x:v>
      </x:c>
    </x:row>
    <x:row r="128" ht="72" customHeight="1">
      <x:c r="A128" s="14" t="n">
        <x:v>123</x:v>
      </x:c>
      <x:c r="B128" s="6" t="str">
        <x:v>locate</x:v>
      </x:c>
      <x:c r="C128" s="6" t="str">
        <x:v>Where is the dishwasher?</x:v>
      </x:c>
      <x:c r="D128" s="6" t="str">
        <x:v>Kitchen 0.05
Floor level: 0
Asset ID: resplan-12304-A00021
Position (m): 5.795, 8.861</x:v>
      </x:c>
      <x:c r="E128" s="6" t="str">
        <x:v>Reference supplied</x:v>
      </x:c>
      <x:c r="F128" s="6" t="str">
        <x:v>train</x:v>
      </x:c>
      <x:c r="G128" s="6" t="str">
        <x:v>resplan-12304</x:v>
      </x:c>
      <x:c r="H128" s="6" t="str">
        <x:v>resplan-12304-Q02</x:v>
      </x:c>
      <x:c r="I128" s="6" t="str">
        <x:v>Find and count assets</x:v>
      </x:c>
      <x:c r="J128" s="6" t="str">
        <x:v>Warm-up</x:v>
      </x:c>
      <x:c r="K128" s="6" t="str">
        <x:v>Room name, floor and asset identity. Coordinates may help the UI.</x:v>
      </x:c>
      <x:c r="L128" s="6" t="str">
        <x:v>T02, T03</x:v>
      </x:c>
      <x:c r="M128" s="6" t="str">
        <x:v>Find a named item and identify its containing room and floor.</x:v>
      </x:c>
      <x:c r="N128" s="6" t="str">
        <x:v>{"asset_id":"resplan-12304-A00021","space_id":"resplan-12304-F0-S005","space_name":"Kitchen 0.05","floor_level":0,"position":[5.795,8.861]}</x:v>
      </x:c>
      <x:c r="O128" s="6"/>
      <x:c r="P128" s="6" t="str">
        <x:v>Resolve the intended asset and its containing room/floor.</x:v>
      </x:c>
      <x:c r="Q128" s="15"/>
      <x:c r="R128" s="6"/>
      <x:c r="S128" s="16"/>
      <x:c r="T128" s="15"/>
      <x:c r="U128" s="6"/>
      <x:c r="V128" s="6"/>
      <x:c r="W128" s="6" t="str">
        <x:v>Existing search_building. Improve disambiguation and complete result pagination.</x:v>
      </x:c>
      <x:c r="X128" s="6" t="str">
        <x:v>data/train/resplan-12304/questions_basic.jsonl</x:v>
      </x:c>
      <x:c r="Y128" s="14" t="n">
        <x:v>2</x:v>
      </x:c>
      <x:c r="Z128" s="6" t="str">
        <x:v>https://github.com/hagenhaeussler/Industrial-Agents-Hackathon-2026/blob/f41616590b69f3ea0c1cbfb41d6c35edd9ce53df/data/train/resplan-12304/questions_basic.jsonl#L2</x:v>
      </x:c>
      <x:c r="AA128" s="6" t="str">
        <x:v>resplan</x:v>
      </x:c>
      <x:c r="AB128" s="6" t="str">
        <x:v>CC-BY-4.0</x:v>
      </x:c>
    </x:row>
    <x:row r="129" ht="72" customHeight="1">
      <x:c r="A129" s="14" t="n">
        <x:v>124</x:v>
      </x:c>
      <x:c r="B129" s="6" t="str">
        <x:v>locate</x:v>
      </x:c>
      <x:c r="C129" s="6" t="str">
        <x:v>Where is the bed?</x:v>
      </x:c>
      <x:c r="D129" s="6" t="str">
        <x:v>Bedroom 0.02
Floor level: 0
Asset ID: resplan-12304-A00010
Position (m): 8.575, 7.488</x:v>
      </x:c>
      <x:c r="E129" s="6" t="str">
        <x:v>Reference supplied</x:v>
      </x:c>
      <x:c r="F129" s="6" t="str">
        <x:v>train</x:v>
      </x:c>
      <x:c r="G129" s="6" t="str">
        <x:v>resplan-12304</x:v>
      </x:c>
      <x:c r="H129" s="6" t="str">
        <x:v>resplan-12304-Q03</x:v>
      </x:c>
      <x:c r="I129" s="6" t="str">
        <x:v>Find and count assets</x:v>
      </x:c>
      <x:c r="J129" s="6" t="str">
        <x:v>Warm-up</x:v>
      </x:c>
      <x:c r="K129" s="6" t="str">
        <x:v>Room name, floor and asset identity. Coordinates may help the UI.</x:v>
      </x:c>
      <x:c r="L129" s="6" t="str">
        <x:v>T02, T03</x:v>
      </x:c>
      <x:c r="M129" s="6" t="str">
        <x:v>Find a named item and identify its containing room and floor.</x:v>
      </x:c>
      <x:c r="N129" s="6" t="str">
        <x:v>{"asset_id":"resplan-12304-A00010","space_id":"resplan-12304-F0-S002","space_name":"Bedroom 0.02","floor_level":0,"position":[8.575,7.488]}</x:v>
      </x:c>
      <x:c r="O129" s="6"/>
      <x:c r="P129" s="6" t="str">
        <x:v>Resolve the intended asset and its containing room/floor.</x:v>
      </x:c>
      <x:c r="Q129" s="15"/>
      <x:c r="R129" s="6"/>
      <x:c r="S129" s="16"/>
      <x:c r="T129" s="15"/>
      <x:c r="U129" s="6"/>
      <x:c r="V129" s="6"/>
      <x:c r="W129" s="6" t="str">
        <x:v>Existing search_building. Improve disambiguation and complete result pagination.</x:v>
      </x:c>
      <x:c r="X129" s="6" t="str">
        <x:v>data/train/resplan-12304/questions_basic.jsonl</x:v>
      </x:c>
      <x:c r="Y129" s="14" t="n">
        <x:v>3</x:v>
      </x:c>
      <x:c r="Z129" s="6" t="str">
        <x:v>https://github.com/hagenhaeussler/Industrial-Agents-Hackathon-2026/blob/f41616590b69f3ea0c1cbfb41d6c35edd9ce53df/data/train/resplan-12304/questions_basic.jsonl#L3</x:v>
      </x:c>
      <x:c r="AA129" s="6" t="str">
        <x:v>resplan</x:v>
      </x:c>
      <x:c r="AB129" s="6" t="str">
        <x:v>CC-BY-4.0</x:v>
      </x:c>
    </x:row>
    <x:row r="130" ht="72" customHeight="1">
      <x:c r="A130" s="14" t="n">
        <x:v>125</x:v>
      </x:c>
      <x:c r="B130" s="6" t="str">
        <x:v>locate</x:v>
      </x:c>
      <x:c r="C130" s="6" t="str">
        <x:v>Where is the coffee table?</x:v>
      </x:c>
      <x:c r="D130" s="6" t="str">
        <x:v>Living room 0.01
Floor level: 0
Asset ID: resplan-12336-A00002
Position (m): 8.895, 7.882</x:v>
      </x:c>
      <x:c r="E130" s="6" t="str">
        <x:v>Reference supplied</x:v>
      </x:c>
      <x:c r="F130" s="6" t="str">
        <x:v>train</x:v>
      </x:c>
      <x:c r="G130" s="6" t="str">
        <x:v>resplan-12336</x:v>
      </x:c>
      <x:c r="H130" s="6" t="str">
        <x:v>resplan-12336-Q01</x:v>
      </x:c>
      <x:c r="I130" s="6" t="str">
        <x:v>Find and count assets</x:v>
      </x:c>
      <x:c r="J130" s="6" t="str">
        <x:v>Warm-up</x:v>
      </x:c>
      <x:c r="K130" s="6" t="str">
        <x:v>Room name, floor and asset identity. Coordinates may help the UI.</x:v>
      </x:c>
      <x:c r="L130" s="6" t="str">
        <x:v>T02, T03</x:v>
      </x:c>
      <x:c r="M130" s="6" t="str">
        <x:v>Find a named item and identify its containing room and floor.</x:v>
      </x:c>
      <x:c r="N130" s="6" t="str">
        <x:v>{"asset_id":"resplan-12336-A00002","space_id":"resplan-12336-F0-S001","space_name":"Living room 0.01","floor_level":0,"position":[8.895,7.882]}</x:v>
      </x:c>
      <x:c r="O130" s="6"/>
      <x:c r="P130" s="6" t="str">
        <x:v>Resolve the intended asset and its containing room/floor.</x:v>
      </x:c>
      <x:c r="Q130" s="15"/>
      <x:c r="R130" s="6"/>
      <x:c r="S130" s="16"/>
      <x:c r="T130" s="15"/>
      <x:c r="U130" s="6"/>
      <x:c r="V130" s="6"/>
      <x:c r="W130" s="6" t="str">
        <x:v>Existing search_building. Improve disambiguation and complete result pagination.</x:v>
      </x:c>
      <x:c r="X130" s="6" t="str">
        <x:v>data/train/resplan-12336/questions_basic.jsonl</x:v>
      </x:c>
      <x:c r="Y130" s="14" t="n">
        <x:v>1</x:v>
      </x:c>
      <x:c r="Z130" s="6" t="str">
        <x:v>https://github.com/hagenhaeussler/Industrial-Agents-Hackathon-2026/blob/f41616590b69f3ea0c1cbfb41d6c35edd9ce53df/data/train/resplan-12336/questions_basic.jsonl#L1</x:v>
      </x:c>
      <x:c r="AA130" s="6" t="str">
        <x:v>resplan</x:v>
      </x:c>
      <x:c r="AB130" s="6" t="str">
        <x:v>CC-BY-4.0</x:v>
      </x:c>
    </x:row>
    <x:row r="131" ht="72" customHeight="1">
      <x:c r="A131" s="14" t="n">
        <x:v>126</x:v>
      </x:c>
      <x:c r="B131" s="6" t="str">
        <x:v>locate</x:v>
      </x:c>
      <x:c r="C131" s="6" t="str">
        <x:v>Where is the tv stand?</x:v>
      </x:c>
      <x:c r="D131" s="6" t="str">
        <x:v>Living room 0.01
Floor level: 0
Asset ID: resplan-12336-A00003
Position (m): 7.758, 4.679</x:v>
      </x:c>
      <x:c r="E131" s="6" t="str">
        <x:v>Reference supplied</x:v>
      </x:c>
      <x:c r="F131" s="6" t="str">
        <x:v>train</x:v>
      </x:c>
      <x:c r="G131" s="6" t="str">
        <x:v>resplan-12336</x:v>
      </x:c>
      <x:c r="H131" s="6" t="str">
        <x:v>resplan-12336-Q02</x:v>
      </x:c>
      <x:c r="I131" s="6" t="str">
        <x:v>Find and count assets</x:v>
      </x:c>
      <x:c r="J131" s="6" t="str">
        <x:v>Warm-up</x:v>
      </x:c>
      <x:c r="K131" s="6" t="str">
        <x:v>Room name, floor and asset identity. Coordinates may help the UI.</x:v>
      </x:c>
      <x:c r="L131" s="6" t="str">
        <x:v>T02, T03</x:v>
      </x:c>
      <x:c r="M131" s="6" t="str">
        <x:v>Find a named item and identify its containing room and floor.</x:v>
      </x:c>
      <x:c r="N131" s="6" t="str">
        <x:v>{"asset_id":"resplan-12336-A00003","space_id":"resplan-12336-F0-S001","space_name":"Living room 0.01","floor_level":0,"position":[7.758,4.679]}</x:v>
      </x:c>
      <x:c r="O131" s="6"/>
      <x:c r="P131" s="6" t="str">
        <x:v>Resolve the intended asset and its containing room/floor.</x:v>
      </x:c>
      <x:c r="Q131" s="15"/>
      <x:c r="R131" s="6"/>
      <x:c r="S131" s="16"/>
      <x:c r="T131" s="15"/>
      <x:c r="U131" s="6"/>
      <x:c r="V131" s="6"/>
      <x:c r="W131" s="6" t="str">
        <x:v>Existing search_building. Improve disambiguation and complete result pagination.</x:v>
      </x:c>
      <x:c r="X131" s="6" t="str">
        <x:v>data/train/resplan-12336/questions_basic.jsonl</x:v>
      </x:c>
      <x:c r="Y131" s="14" t="n">
        <x:v>2</x:v>
      </x:c>
      <x:c r="Z131" s="6" t="str">
        <x:v>https://github.com/hagenhaeussler/Industrial-Agents-Hackathon-2026/blob/f41616590b69f3ea0c1cbfb41d6c35edd9ce53df/data/train/resplan-12336/questions_basic.jsonl#L2</x:v>
      </x:c>
      <x:c r="AA131" s="6" t="str">
        <x:v>resplan</x:v>
      </x:c>
      <x:c r="AB131" s="6" t="str">
        <x:v>CC-BY-4.0</x:v>
      </x:c>
    </x:row>
    <x:row r="132" ht="72" customHeight="1">
      <x:c r="A132" s="14" t="n">
        <x:v>127</x:v>
      </x:c>
      <x:c r="B132" s="6" t="str">
        <x:v>locate</x:v>
      </x:c>
      <x:c r="C132" s="6" t="str">
        <x:v>Where is the single bed?</x:v>
      </x:c>
      <x:c r="D132" s="6" t="str">
        <x:v>Bedroom 0.02
Floor level: 0
Asset ID: resplan-12336-A00009
Position (m): 10.194, 3.477</x:v>
      </x:c>
      <x:c r="E132" s="6" t="str">
        <x:v>Reference supplied</x:v>
      </x:c>
      <x:c r="F132" s="6" t="str">
        <x:v>train</x:v>
      </x:c>
      <x:c r="G132" s="6" t="str">
        <x:v>resplan-12336</x:v>
      </x:c>
      <x:c r="H132" s="6" t="str">
        <x:v>resplan-12336-Q03</x:v>
      </x:c>
      <x:c r="I132" s="6" t="str">
        <x:v>Find and count assets</x:v>
      </x:c>
      <x:c r="J132" s="6" t="str">
        <x:v>Warm-up</x:v>
      </x:c>
      <x:c r="K132" s="6" t="str">
        <x:v>Room name, floor and asset identity. Coordinates may help the UI.</x:v>
      </x:c>
      <x:c r="L132" s="6" t="str">
        <x:v>T02, T03</x:v>
      </x:c>
      <x:c r="M132" s="6" t="str">
        <x:v>Find a named item and identify its containing room and floor.</x:v>
      </x:c>
      <x:c r="N132" s="6" t="str">
        <x:v>{"asset_id":"resplan-12336-A00009","space_id":"resplan-12336-F0-S002","space_name":"Bedroom 0.02","floor_level":0,"position":[10.194,3.477]}</x:v>
      </x:c>
      <x:c r="O132" s="6"/>
      <x:c r="P132" s="6" t="str">
        <x:v>Resolve the intended asset and its containing room/floor.</x:v>
      </x:c>
      <x:c r="Q132" s="15"/>
      <x:c r="R132" s="6"/>
      <x:c r="S132" s="16"/>
      <x:c r="T132" s="15"/>
      <x:c r="U132" s="6"/>
      <x:c r="V132" s="6"/>
      <x:c r="W132" s="6" t="str">
        <x:v>Existing search_building. Improve disambiguation and complete result pagination.</x:v>
      </x:c>
      <x:c r="X132" s="6" t="str">
        <x:v>data/train/resplan-12336/questions_basic.jsonl</x:v>
      </x:c>
      <x:c r="Y132" s="14" t="n">
        <x:v>3</x:v>
      </x:c>
      <x:c r="Z132" s="6" t="str">
        <x:v>https://github.com/hagenhaeussler/Industrial-Agents-Hackathon-2026/blob/f41616590b69f3ea0c1cbfb41d6c35edd9ce53df/data/train/resplan-12336/questions_basic.jsonl#L3</x:v>
      </x:c>
      <x:c r="AA132" s="6" t="str">
        <x:v>resplan</x:v>
      </x:c>
      <x:c r="AB132" s="6" t="str">
        <x:v>CC-BY-4.0</x:v>
      </x:c>
    </x:row>
    <x:row r="133" ht="72" customHeight="1">
      <x:c r="A133" s="14" t="n">
        <x:v>128</x:v>
      </x:c>
      <x:c r="B133" s="6" t="str">
        <x:v>locate</x:v>
      </x:c>
      <x:c r="C133" s="6" t="str">
        <x:v>Where is the tv stand?</x:v>
      </x:c>
      <x:c r="D133" s="6" t="str">
        <x:v>Living room 0.01
Floor level: 0
Asset ID: resplan-12462-A00003
Position (m): 20.546, 14.77</x:v>
      </x:c>
      <x:c r="E133" s="6" t="str">
        <x:v>Reference supplied</x:v>
      </x:c>
      <x:c r="F133" s="6" t="str">
        <x:v>train</x:v>
      </x:c>
      <x:c r="G133" s="6" t="str">
        <x:v>resplan-12462</x:v>
      </x:c>
      <x:c r="H133" s="6" t="str">
        <x:v>resplan-12462-Q01</x:v>
      </x:c>
      <x:c r="I133" s="6" t="str">
        <x:v>Find and count assets</x:v>
      </x:c>
      <x:c r="J133" s="6" t="str">
        <x:v>Warm-up</x:v>
      </x:c>
      <x:c r="K133" s="6" t="str">
        <x:v>Room name, floor and asset identity. Coordinates may help the UI.</x:v>
      </x:c>
      <x:c r="L133" s="6" t="str">
        <x:v>T02, T03</x:v>
      </x:c>
      <x:c r="M133" s="6" t="str">
        <x:v>Find a named item and identify its containing room and floor.</x:v>
      </x:c>
      <x:c r="N133" s="6" t="str">
        <x:v>{"asset_id":"resplan-12462-A00003","space_id":"resplan-12462-F0-S001","space_name":"Living room 0.01","floor_level":0,"position":[20.546,14.77]}</x:v>
      </x:c>
      <x:c r="O133" s="6"/>
      <x:c r="P133" s="6" t="str">
        <x:v>Resolve the intended asset and its containing room/floor.</x:v>
      </x:c>
      <x:c r="Q133" s="15"/>
      <x:c r="R133" s="6"/>
      <x:c r="S133" s="16"/>
      <x:c r="T133" s="15"/>
      <x:c r="U133" s="6"/>
      <x:c r="V133" s="6"/>
      <x:c r="W133" s="6" t="str">
        <x:v>Existing search_building. Improve disambiguation and complete result pagination.</x:v>
      </x:c>
      <x:c r="X133" s="6" t="str">
        <x:v>data/train/resplan-12462/questions_basic.jsonl</x:v>
      </x:c>
      <x:c r="Y133" s="14" t="n">
        <x:v>1</x:v>
      </x:c>
      <x:c r="Z133" s="6" t="str">
        <x:v>https://github.com/hagenhaeussler/Industrial-Agents-Hackathon-2026/blob/f41616590b69f3ea0c1cbfb41d6c35edd9ce53df/data/train/resplan-12462/questions_basic.jsonl#L1</x:v>
      </x:c>
      <x:c r="AA133" s="6" t="str">
        <x:v>resplan</x:v>
      </x:c>
      <x:c r="AB133" s="6" t="str">
        <x:v>CC-BY-4.0</x:v>
      </x:c>
    </x:row>
    <x:row r="134" ht="72" customHeight="1">
      <x:c r="A134" s="14" t="n">
        <x:v>129</x:v>
      </x:c>
      <x:c r="B134" s="6" t="str">
        <x:v>locate</x:v>
      </x:c>
      <x:c r="C134" s="6" t="str">
        <x:v>Where is the washing machine?</x:v>
      </x:c>
      <x:c r="D134" s="6" t="str">
        <x:v>Bathroom 0.05
Floor level: 0
Asset ID: resplan-12462-A00022
Position (m): 9.426, 7.528</x:v>
      </x:c>
      <x:c r="E134" s="6" t="str">
        <x:v>Reference supplied</x:v>
      </x:c>
      <x:c r="F134" s="6" t="str">
        <x:v>train</x:v>
      </x:c>
      <x:c r="G134" s="6" t="str">
        <x:v>resplan-12462</x:v>
      </x:c>
      <x:c r="H134" s="6" t="str">
        <x:v>resplan-12462-Q02</x:v>
      </x:c>
      <x:c r="I134" s="6" t="str">
        <x:v>Find and count assets</x:v>
      </x:c>
      <x:c r="J134" s="6" t="str">
        <x:v>Warm-up</x:v>
      </x:c>
      <x:c r="K134" s="6" t="str">
        <x:v>Room name, floor and asset identity. Coordinates may help the UI.</x:v>
      </x:c>
      <x:c r="L134" s="6" t="str">
        <x:v>T02, T03</x:v>
      </x:c>
      <x:c r="M134" s="6" t="str">
        <x:v>Find a named item and identify its containing room and floor.</x:v>
      </x:c>
      <x:c r="N134" s="6" t="str">
        <x:v>{"asset_id":"resplan-12462-A00022","space_id":"resplan-12462-F0-S005","space_name":"Bathroom 0.05","floor_level":0,"position":[9.426,7.528]}</x:v>
      </x:c>
      <x:c r="O134" s="6"/>
      <x:c r="P134" s="6" t="str">
        <x:v>Resolve the intended asset and its containing room/floor.</x:v>
      </x:c>
      <x:c r="Q134" s="15"/>
      <x:c r="R134" s="6"/>
      <x:c r="S134" s="16"/>
      <x:c r="T134" s="15"/>
      <x:c r="U134" s="6"/>
      <x:c r="V134" s="6"/>
      <x:c r="W134" s="6" t="str">
        <x:v>Existing search_building. Improve disambiguation and complete result pagination.</x:v>
      </x:c>
      <x:c r="X134" s="6" t="str">
        <x:v>data/train/resplan-12462/questions_basic.jsonl</x:v>
      </x:c>
      <x:c r="Y134" s="14" t="n">
        <x:v>2</x:v>
      </x:c>
      <x:c r="Z134" s="6" t="str">
        <x:v>https://github.com/hagenhaeussler/Industrial-Agents-Hackathon-2026/blob/f41616590b69f3ea0c1cbfb41d6c35edd9ce53df/data/train/resplan-12462/questions_basic.jsonl#L2</x:v>
      </x:c>
      <x:c r="AA134" s="6" t="str">
        <x:v>resplan</x:v>
      </x:c>
      <x:c r="AB134" s="6" t="str">
        <x:v>CC-BY-4.0</x:v>
      </x:c>
    </x:row>
    <x:row r="135" ht="72" customHeight="1">
      <x:c r="A135" s="14" t="n">
        <x:v>130</x:v>
      </x:c>
      <x:c r="B135" s="6" t="str">
        <x:v>locate</x:v>
      </x:c>
      <x:c r="C135" s="6" t="str">
        <x:v>Where is the plant?</x:v>
      </x:c>
      <x:c r="D135" s="6" t="str">
        <x:v>Living room 0.01
Floor level: 0
Asset ID: resplan-12462-A00008
Position (m): 12.681, 16.033</x:v>
      </x:c>
      <x:c r="E135" s="6" t="str">
        <x:v>Reference supplied</x:v>
      </x:c>
      <x:c r="F135" s="6" t="str">
        <x:v>train</x:v>
      </x:c>
      <x:c r="G135" s="6" t="str">
        <x:v>resplan-12462</x:v>
      </x:c>
      <x:c r="H135" s="6" t="str">
        <x:v>resplan-12462-Q03</x:v>
      </x:c>
      <x:c r="I135" s="6" t="str">
        <x:v>Find and count assets</x:v>
      </x:c>
      <x:c r="J135" s="6" t="str">
        <x:v>Warm-up</x:v>
      </x:c>
      <x:c r="K135" s="6" t="str">
        <x:v>Room name, floor and asset identity. Coordinates may help the UI.</x:v>
      </x:c>
      <x:c r="L135" s="6" t="str">
        <x:v>T02, T03</x:v>
      </x:c>
      <x:c r="M135" s="6" t="str">
        <x:v>Find a named item and identify its containing room and floor.</x:v>
      </x:c>
      <x:c r="N135" s="6" t="str">
        <x:v>{"asset_id":"resplan-12462-A00008","space_id":"resplan-12462-F0-S001","space_name":"Living room 0.01","floor_level":0,"position":[12.681,16.033]}</x:v>
      </x:c>
      <x:c r="O135" s="6"/>
      <x:c r="P135" s="6" t="str">
        <x:v>Resolve the intended asset and its containing room/floor.</x:v>
      </x:c>
      <x:c r="Q135" s="15"/>
      <x:c r="R135" s="6"/>
      <x:c r="S135" s="16"/>
      <x:c r="T135" s="15"/>
      <x:c r="U135" s="6"/>
      <x:c r="V135" s="6"/>
      <x:c r="W135" s="6" t="str">
        <x:v>Existing search_building. Improve disambiguation and complete result pagination.</x:v>
      </x:c>
      <x:c r="X135" s="6" t="str">
        <x:v>data/train/resplan-12462/questions_basic.jsonl</x:v>
      </x:c>
      <x:c r="Y135" s="14" t="n">
        <x:v>3</x:v>
      </x:c>
      <x:c r="Z135" s="6" t="str">
        <x:v>https://github.com/hagenhaeussler/Industrial-Agents-Hackathon-2026/blob/f41616590b69f3ea0c1cbfb41d6c35edd9ce53df/data/train/resplan-12462/questions_basic.jsonl#L3</x:v>
      </x:c>
      <x:c r="AA135" s="6" t="str">
        <x:v>resplan</x:v>
      </x:c>
      <x:c r="AB135" s="6" t="str">
        <x:v>CC-BY-4.0</x:v>
      </x:c>
    </x:row>
    <x:row r="136" ht="72" customHeight="1">
      <x:c r="A136" s="14" t="n">
        <x:v>131</x:v>
      </x:c>
      <x:c r="B136" s="6" t="str">
        <x:v>locate</x:v>
      </x:c>
      <x:c r="C136" s="6" t="str">
        <x:v>Where is the shower?</x:v>
      </x:c>
      <x:c r="D136" s="6" t="str">
        <x:v>Bathroom 0.04
Floor level: 0
Asset ID: resplan-12750-A00015
Position (m): 4.786, 3.957</x:v>
      </x:c>
      <x:c r="E136" s="6" t="str">
        <x:v>Reference supplied</x:v>
      </x:c>
      <x:c r="F136" s="6" t="str">
        <x:v>train</x:v>
      </x:c>
      <x:c r="G136" s="6" t="str">
        <x:v>resplan-12750</x:v>
      </x:c>
      <x:c r="H136" s="6" t="str">
        <x:v>resplan-12750-Q01</x:v>
      </x:c>
      <x:c r="I136" s="6" t="str">
        <x:v>Find and count assets</x:v>
      </x:c>
      <x:c r="J136" s="6" t="str">
        <x:v>Warm-up</x:v>
      </x:c>
      <x:c r="K136" s="6" t="str">
        <x:v>Room name, floor and asset identity. Coordinates may help the UI.</x:v>
      </x:c>
      <x:c r="L136" s="6" t="str">
        <x:v>T02, T03</x:v>
      </x:c>
      <x:c r="M136" s="6" t="str">
        <x:v>Find a named item and identify its containing room and floor.</x:v>
      </x:c>
      <x:c r="N136" s="6" t="str">
        <x:v>{"asset_id":"resplan-12750-A00015","space_id":"resplan-12750-F0-S004","space_name":"Bathroom 0.04","floor_level":0,"position":[4.786,3.957]}</x:v>
      </x:c>
      <x:c r="O136" s="6"/>
      <x:c r="P136" s="6" t="str">
        <x:v>Resolve the intended asset and its containing room/floor.</x:v>
      </x:c>
      <x:c r="Q136" s="15"/>
      <x:c r="R136" s="6"/>
      <x:c r="S136" s="16"/>
      <x:c r="T136" s="15"/>
      <x:c r="U136" s="6"/>
      <x:c r="V136" s="6"/>
      <x:c r="W136" s="6" t="str">
        <x:v>Existing search_building. Improve disambiguation and complete result pagination.</x:v>
      </x:c>
      <x:c r="X136" s="6" t="str">
        <x:v>data/train/resplan-12750/questions_basic.jsonl</x:v>
      </x:c>
      <x:c r="Y136" s="14" t="n">
        <x:v>1</x:v>
      </x:c>
      <x:c r="Z136" s="6" t="str">
        <x:v>https://github.com/hagenhaeussler/Industrial-Agents-Hackathon-2026/blob/f41616590b69f3ea0c1cbfb41d6c35edd9ce53df/data/train/resplan-12750/questions_basic.jsonl#L1</x:v>
      </x:c>
      <x:c r="AA136" s="6" t="str">
        <x:v>resplan</x:v>
      </x:c>
      <x:c r="AB136" s="6" t="str">
        <x:v>CC-BY-4.0</x:v>
      </x:c>
    </x:row>
    <x:row r="137" ht="72" customHeight="1">
      <x:c r="A137" s="14" t="n">
        <x:v>132</x:v>
      </x:c>
      <x:c r="B137" s="6" t="str">
        <x:v>locate</x:v>
      </x:c>
      <x:c r="C137" s="6" t="str">
        <x:v>Where is the kitchen counter?</x:v>
      </x:c>
      <x:c r="D137" s="6" t="str">
        <x:v>Kitchen 0.05
Floor level: 0
Asset ID: resplan-12750-A00016
Position (m): 6.733, 9.496</x:v>
      </x:c>
      <x:c r="E137" s="6" t="str">
        <x:v>Reference supplied</x:v>
      </x:c>
      <x:c r="F137" s="6" t="str">
        <x:v>train</x:v>
      </x:c>
      <x:c r="G137" s="6" t="str">
        <x:v>resplan-12750</x:v>
      </x:c>
      <x:c r="H137" s="6" t="str">
        <x:v>resplan-12750-Q02</x:v>
      </x:c>
      <x:c r="I137" s="6" t="str">
        <x:v>Find and count assets</x:v>
      </x:c>
      <x:c r="J137" s="6" t="str">
        <x:v>Warm-up</x:v>
      </x:c>
      <x:c r="K137" s="6" t="str">
        <x:v>Room name, floor and asset identity. Coordinates may help the UI.</x:v>
      </x:c>
      <x:c r="L137" s="6" t="str">
        <x:v>T02, T03</x:v>
      </x:c>
      <x:c r="M137" s="6" t="str">
        <x:v>Find a named item and identify its containing room and floor.</x:v>
      </x:c>
      <x:c r="N137" s="6" t="str">
        <x:v>{"asset_id":"resplan-12750-A00016","space_id":"resplan-12750-F0-S005","space_name":"Kitchen 0.05","floor_level":0,"position":[6.733,9.496]}</x:v>
      </x:c>
      <x:c r="O137" s="6"/>
      <x:c r="P137" s="6" t="str">
        <x:v>Resolve the intended asset and its containing room/floor.</x:v>
      </x:c>
      <x:c r="Q137" s="15"/>
      <x:c r="R137" s="6"/>
      <x:c r="S137" s="16"/>
      <x:c r="T137" s="15"/>
      <x:c r="U137" s="6"/>
      <x:c r="V137" s="6"/>
      <x:c r="W137" s="6" t="str">
        <x:v>Existing search_building. Improve disambiguation and complete result pagination.</x:v>
      </x:c>
      <x:c r="X137" s="6" t="str">
        <x:v>data/train/resplan-12750/questions_basic.jsonl</x:v>
      </x:c>
      <x:c r="Y137" s="14" t="n">
        <x:v>2</x:v>
      </x:c>
      <x:c r="Z137" s="6" t="str">
        <x:v>https://github.com/hagenhaeussler/Industrial-Agents-Hackathon-2026/blob/f41616590b69f3ea0c1cbfb41d6c35edd9ce53df/data/train/resplan-12750/questions_basic.jsonl#L2</x:v>
      </x:c>
      <x:c r="AA137" s="6" t="str">
        <x:v>resplan</x:v>
      </x:c>
      <x:c r="AB137" s="6" t="str">
        <x:v>CC-BY-4.0</x:v>
      </x:c>
    </x:row>
    <x:row r="138" ht="72" customHeight="1">
      <x:c r="A138" s="14" t="n">
        <x:v>133</x:v>
      </x:c>
      <x:c r="B138" s="6" t="str">
        <x:v>locate</x:v>
      </x:c>
      <x:c r="C138" s="6" t="str">
        <x:v>Where is the coffee machine?</x:v>
      </x:c>
      <x:c r="D138" s="6" t="str">
        <x:v>Kitchen 0.05
Floor level: 0
Asset ID: resplan-12750-A00020
Position (m): 7.467, 6.951</x:v>
      </x:c>
      <x:c r="E138" s="6" t="str">
        <x:v>Reference supplied</x:v>
      </x:c>
      <x:c r="F138" s="6" t="str">
        <x:v>train</x:v>
      </x:c>
      <x:c r="G138" s="6" t="str">
        <x:v>resplan-12750</x:v>
      </x:c>
      <x:c r="H138" s="6" t="str">
        <x:v>resplan-12750-Q03</x:v>
      </x:c>
      <x:c r="I138" s="6" t="str">
        <x:v>Find and count assets</x:v>
      </x:c>
      <x:c r="J138" s="6" t="str">
        <x:v>Warm-up</x:v>
      </x:c>
      <x:c r="K138" s="6" t="str">
        <x:v>Room name, floor and asset identity. Coordinates may help the UI.</x:v>
      </x:c>
      <x:c r="L138" s="6" t="str">
        <x:v>T02, T03</x:v>
      </x:c>
      <x:c r="M138" s="6" t="str">
        <x:v>Find a named item and identify its containing room and floor.</x:v>
      </x:c>
      <x:c r="N138" s="6" t="str">
        <x:v>{"asset_id":"resplan-12750-A00020","space_id":"resplan-12750-F0-S005","space_name":"Kitchen 0.05","floor_level":0,"position":[7.467,6.951]}</x:v>
      </x:c>
      <x:c r="O138" s="6"/>
      <x:c r="P138" s="6" t="str">
        <x:v>Resolve the intended asset and its containing room/floor.</x:v>
      </x:c>
      <x:c r="Q138" s="15"/>
      <x:c r="R138" s="6"/>
      <x:c r="S138" s="16"/>
      <x:c r="T138" s="15"/>
      <x:c r="U138" s="6"/>
      <x:c r="V138" s="6"/>
      <x:c r="W138" s="6" t="str">
        <x:v>Existing search_building. Improve disambiguation and complete result pagination.</x:v>
      </x:c>
      <x:c r="X138" s="6" t="str">
        <x:v>data/train/resplan-12750/questions_basic.jsonl</x:v>
      </x:c>
      <x:c r="Y138" s="14" t="n">
        <x:v>3</x:v>
      </x:c>
      <x:c r="Z138" s="6" t="str">
        <x:v>https://github.com/hagenhaeussler/Industrial-Agents-Hackathon-2026/blob/f41616590b69f3ea0c1cbfb41d6c35edd9ce53df/data/train/resplan-12750/questions_basic.jsonl#L3</x:v>
      </x:c>
      <x:c r="AA138" s="6" t="str">
        <x:v>resplan</x:v>
      </x:c>
      <x:c r="AB138" s="6" t="str">
        <x:v>CC-BY-4.0</x:v>
      </x:c>
    </x:row>
    <x:row r="139" ht="72" customHeight="1">
      <x:c r="A139" s="14" t="n">
        <x:v>134</x:v>
      </x:c>
      <x:c r="B139" s="6" t="str">
        <x:v>locate</x:v>
      </x:c>
      <x:c r="C139" s="6" t="str">
        <x:v>Where is the sofa?</x:v>
      </x:c>
      <x:c r="D139" s="6" t="str">
        <x:v>Living room 0.01
Floor level: 0
Asset ID: resplan-12844-A00001
Position (m): 1.978, 3.086</x:v>
      </x:c>
      <x:c r="E139" s="6" t="str">
        <x:v>Reference supplied</x:v>
      </x:c>
      <x:c r="F139" s="6" t="str">
        <x:v>train</x:v>
      </x:c>
      <x:c r="G139" s="6" t="str">
        <x:v>resplan-12844</x:v>
      </x:c>
      <x:c r="H139" s="6" t="str">
        <x:v>resplan-12844-Q01</x:v>
      </x:c>
      <x:c r="I139" s="6" t="str">
        <x:v>Find and count assets</x:v>
      </x:c>
      <x:c r="J139" s="6" t="str">
        <x:v>Warm-up</x:v>
      </x:c>
      <x:c r="K139" s="6" t="str">
        <x:v>Room name, floor and asset identity. Coordinates may help the UI.</x:v>
      </x:c>
      <x:c r="L139" s="6" t="str">
        <x:v>T02, T03</x:v>
      </x:c>
      <x:c r="M139" s="6" t="str">
        <x:v>Find a named item and identify its containing room and floor.</x:v>
      </x:c>
      <x:c r="N139" s="6" t="str">
        <x:v>{"asset_id":"resplan-12844-A00001","space_id":"resplan-12844-F0-S001","space_name":"Living room 0.01","floor_level":0,"position":[1.978,3.086]}</x:v>
      </x:c>
      <x:c r="O139" s="6"/>
      <x:c r="P139" s="6" t="str">
        <x:v>Resolve the intended asset and its containing room/floor.</x:v>
      </x:c>
      <x:c r="Q139" s="15"/>
      <x:c r="R139" s="6"/>
      <x:c r="S139" s="16"/>
      <x:c r="T139" s="15"/>
      <x:c r="U139" s="6"/>
      <x:c r="V139" s="6"/>
      <x:c r="W139" s="6" t="str">
        <x:v>Existing search_building. Improve disambiguation and complete result pagination.</x:v>
      </x:c>
      <x:c r="X139" s="6" t="str">
        <x:v>data/train/resplan-12844/questions_basic.jsonl</x:v>
      </x:c>
      <x:c r="Y139" s="14" t="n">
        <x:v>1</x:v>
      </x:c>
      <x:c r="Z139" s="6" t="str">
        <x:v>https://github.com/hagenhaeussler/Industrial-Agents-Hackathon-2026/blob/f41616590b69f3ea0c1cbfb41d6c35edd9ce53df/data/train/resplan-12844/questions_basic.jsonl#L1</x:v>
      </x:c>
      <x:c r="AA139" s="6" t="str">
        <x:v>resplan</x:v>
      </x:c>
      <x:c r="AB139" s="6" t="str">
        <x:v>CC-BY-4.0</x:v>
      </x:c>
    </x:row>
    <x:row r="140" ht="72" customHeight="1">
      <x:c r="A140" s="14" t="n">
        <x:v>135</x:v>
      </x:c>
      <x:c r="B140" s="6" t="str">
        <x:v>locate</x:v>
      </x:c>
      <x:c r="C140" s="6" t="str">
        <x:v>Where is the coffee table?</x:v>
      </x:c>
      <x:c r="D140" s="6" t="str">
        <x:v>Living room 0.01
Floor level: 0
Asset ID: resplan-12844-A00002
Position (m): 4.571, 3.374</x:v>
      </x:c>
      <x:c r="E140" s="6" t="str">
        <x:v>Reference supplied</x:v>
      </x:c>
      <x:c r="F140" s="6" t="str">
        <x:v>train</x:v>
      </x:c>
      <x:c r="G140" s="6" t="str">
        <x:v>resplan-12844</x:v>
      </x:c>
      <x:c r="H140" s="6" t="str">
        <x:v>resplan-12844-Q02</x:v>
      </x:c>
      <x:c r="I140" s="6" t="str">
        <x:v>Find and count assets</x:v>
      </x:c>
      <x:c r="J140" s="6" t="str">
        <x:v>Warm-up</x:v>
      </x:c>
      <x:c r="K140" s="6" t="str">
        <x:v>Room name, floor and asset identity. Coordinates may help the UI.</x:v>
      </x:c>
      <x:c r="L140" s="6" t="str">
        <x:v>T02, T03</x:v>
      </x:c>
      <x:c r="M140" s="6" t="str">
        <x:v>Find a named item and identify its containing room and floor.</x:v>
      </x:c>
      <x:c r="N140" s="6" t="str">
        <x:v>{"asset_id":"resplan-12844-A00002","space_id":"resplan-12844-F0-S001","space_name":"Living room 0.01","floor_level":0,"position":[4.571,3.374]}</x:v>
      </x:c>
      <x:c r="O140" s="6"/>
      <x:c r="P140" s="6" t="str">
        <x:v>Resolve the intended asset and its containing room/floor.</x:v>
      </x:c>
      <x:c r="Q140" s="15"/>
      <x:c r="R140" s="6"/>
      <x:c r="S140" s="16"/>
      <x:c r="T140" s="15"/>
      <x:c r="U140" s="6"/>
      <x:c r="V140" s="6"/>
      <x:c r="W140" s="6" t="str">
        <x:v>Existing search_building. Improve disambiguation and complete result pagination.</x:v>
      </x:c>
      <x:c r="X140" s="6" t="str">
        <x:v>data/train/resplan-12844/questions_basic.jsonl</x:v>
      </x:c>
      <x:c r="Y140" s="14" t="n">
        <x:v>2</x:v>
      </x:c>
      <x:c r="Z140" s="6" t="str">
        <x:v>https://github.com/hagenhaeussler/Industrial-Agents-Hackathon-2026/blob/f41616590b69f3ea0c1cbfb41d6c35edd9ce53df/data/train/resplan-12844/questions_basic.jsonl#L2</x:v>
      </x:c>
      <x:c r="AA140" s="6" t="str">
        <x:v>resplan</x:v>
      </x:c>
      <x:c r="AB140" s="6" t="str">
        <x:v>CC-BY-4.0</x:v>
      </x:c>
    </x:row>
    <x:row r="141" ht="72" customHeight="1">
      <x:c r="A141" s="14" t="n">
        <x:v>136</x:v>
      </x:c>
      <x:c r="B141" s="6" t="str">
        <x:v>locate</x:v>
      </x:c>
      <x:c r="C141" s="6" t="str">
        <x:v>Where is the fridge?</x:v>
      </x:c>
      <x:c r="D141" s="6" t="str">
        <x:v>Kitchen 0.07
Floor level: 0
Asset ID: resplan-12844-A00025
Position (m): 0.44, 5.107</x:v>
      </x:c>
      <x:c r="E141" s="6" t="str">
        <x:v>Reference supplied</x:v>
      </x:c>
      <x:c r="F141" s="6" t="str">
        <x:v>train</x:v>
      </x:c>
      <x:c r="G141" s="6" t="str">
        <x:v>resplan-12844</x:v>
      </x:c>
      <x:c r="H141" s="6" t="str">
        <x:v>resplan-12844-Q03</x:v>
      </x:c>
      <x:c r="I141" s="6" t="str">
        <x:v>Find and count assets</x:v>
      </x:c>
      <x:c r="J141" s="6" t="str">
        <x:v>Warm-up</x:v>
      </x:c>
      <x:c r="K141" s="6" t="str">
        <x:v>Room name, floor and asset identity. Coordinates may help the UI.</x:v>
      </x:c>
      <x:c r="L141" s="6" t="str">
        <x:v>T02, T03</x:v>
      </x:c>
      <x:c r="M141" s="6" t="str">
        <x:v>Find a named item and identify its containing room and floor.</x:v>
      </x:c>
      <x:c r="N141" s="6" t="str">
        <x:v>{"asset_id":"resplan-12844-A00025","space_id":"resplan-12844-F0-S007","space_name":"Kitchen 0.07","floor_level":0,"position":[0.44,5.107]}</x:v>
      </x:c>
      <x:c r="O141" s="6"/>
      <x:c r="P141" s="6" t="str">
        <x:v>Resolve the intended asset and its containing room/floor.</x:v>
      </x:c>
      <x:c r="Q141" s="15"/>
      <x:c r="R141" s="6"/>
      <x:c r="S141" s="16"/>
      <x:c r="T141" s="15"/>
      <x:c r="U141" s="6"/>
      <x:c r="V141" s="6"/>
      <x:c r="W141" s="6" t="str">
        <x:v>Existing search_building. Improve disambiguation and complete result pagination.</x:v>
      </x:c>
      <x:c r="X141" s="6" t="str">
        <x:v>data/train/resplan-12844/questions_basic.jsonl</x:v>
      </x:c>
      <x:c r="Y141" s="14" t="n">
        <x:v>3</x:v>
      </x:c>
      <x:c r="Z141" s="6" t="str">
        <x:v>https://github.com/hagenhaeussler/Industrial-Agents-Hackathon-2026/blob/f41616590b69f3ea0c1cbfb41d6c35edd9ce53df/data/train/resplan-12844/questions_basic.jsonl#L3</x:v>
      </x:c>
      <x:c r="AA141" s="6" t="str">
        <x:v>resplan</x:v>
      </x:c>
      <x:c r="AB141" s="6" t="str">
        <x:v>CC-BY-4.0</x:v>
      </x:c>
    </x:row>
    <x:row r="142" ht="72" customHeight="1">
      <x:c r="A142" s="14" t="n">
        <x:v>137</x:v>
      </x:c>
      <x:c r="B142" s="6" t="str">
        <x:v>locate</x:v>
      </x:c>
      <x:c r="C142" s="6" t="str">
        <x:v>Where is the tv stand?</x:v>
      </x:c>
      <x:c r="D142" s="6" t="str">
        <x:v>Living room 0.01
Floor level: 0
Asset ID: resplan-12867-A00003
Position (m): 7.629, 5.564</x:v>
      </x:c>
      <x:c r="E142" s="6" t="str">
        <x:v>Reference supplied</x:v>
      </x:c>
      <x:c r="F142" s="6" t="str">
        <x:v>train</x:v>
      </x:c>
      <x:c r="G142" s="6" t="str">
        <x:v>resplan-12867</x:v>
      </x:c>
      <x:c r="H142" s="6" t="str">
        <x:v>resplan-12867-Q01</x:v>
      </x:c>
      <x:c r="I142" s="6" t="str">
        <x:v>Find and count assets</x:v>
      </x:c>
      <x:c r="J142" s="6" t="str">
        <x:v>Warm-up</x:v>
      </x:c>
      <x:c r="K142" s="6" t="str">
        <x:v>Room name, floor and asset identity. Coordinates may help the UI.</x:v>
      </x:c>
      <x:c r="L142" s="6" t="str">
        <x:v>T02, T03</x:v>
      </x:c>
      <x:c r="M142" s="6" t="str">
        <x:v>Find a named item and identify its containing room and floor.</x:v>
      </x:c>
      <x:c r="N142" s="6" t="str">
        <x:v>{"asset_id":"resplan-12867-A00003","space_id":"resplan-12867-F0-S001","space_name":"Living room 0.01","floor_level":0,"position":[7.629,5.564]}</x:v>
      </x:c>
      <x:c r="O142" s="6"/>
      <x:c r="P142" s="6" t="str">
        <x:v>Resolve the intended asset and its containing room/floor.</x:v>
      </x:c>
      <x:c r="Q142" s="15"/>
      <x:c r="R142" s="6"/>
      <x:c r="S142" s="16"/>
      <x:c r="T142" s="15"/>
      <x:c r="U142" s="6"/>
      <x:c r="V142" s="6"/>
      <x:c r="W142" s="6" t="str">
        <x:v>Existing search_building. Improve disambiguation and complete result pagination.</x:v>
      </x:c>
      <x:c r="X142" s="6" t="str">
        <x:v>data/train/resplan-12867/questions_basic.jsonl</x:v>
      </x:c>
      <x:c r="Y142" s="14" t="n">
        <x:v>1</x:v>
      </x:c>
      <x:c r="Z142" s="6" t="str">
        <x:v>https://github.com/hagenhaeussler/Industrial-Agents-Hackathon-2026/blob/f41616590b69f3ea0c1cbfb41d6c35edd9ce53df/data/train/resplan-12867/questions_basic.jsonl#L1</x:v>
      </x:c>
      <x:c r="AA142" s="6" t="str">
        <x:v>resplan</x:v>
      </x:c>
      <x:c r="AB142" s="6" t="str">
        <x:v>CC-BY-4.0</x:v>
      </x:c>
    </x:row>
    <x:row r="143" ht="72" customHeight="1">
      <x:c r="A143" s="14" t="n">
        <x:v>138</x:v>
      </x:c>
      <x:c r="B143" s="6" t="str">
        <x:v>locate</x:v>
      </x:c>
      <x:c r="C143" s="6" t="str">
        <x:v>Where is the coffee machine?</x:v>
      </x:c>
      <x:c r="D143" s="6" t="str">
        <x:v>Kitchen 0.08
Floor level: 0
Asset ID: resplan-12867-A00021
Position (m): 3.976, 3.842</x:v>
      </x:c>
      <x:c r="E143" s="6" t="str">
        <x:v>Reference supplied</x:v>
      </x:c>
      <x:c r="F143" s="6" t="str">
        <x:v>train</x:v>
      </x:c>
      <x:c r="G143" s="6" t="str">
        <x:v>resplan-12867</x:v>
      </x:c>
      <x:c r="H143" s="6" t="str">
        <x:v>resplan-12867-Q02</x:v>
      </x:c>
      <x:c r="I143" s="6" t="str">
        <x:v>Find and count assets</x:v>
      </x:c>
      <x:c r="J143" s="6" t="str">
        <x:v>Warm-up</x:v>
      </x:c>
      <x:c r="K143" s="6" t="str">
        <x:v>Room name, floor and asset identity. Coordinates may help the UI.</x:v>
      </x:c>
      <x:c r="L143" s="6" t="str">
        <x:v>T02, T03</x:v>
      </x:c>
      <x:c r="M143" s="6" t="str">
        <x:v>Find a named item and identify its containing room and floor.</x:v>
      </x:c>
      <x:c r="N143" s="6" t="str">
        <x:v>{"asset_id":"resplan-12867-A00021","space_id":"resplan-12867-F0-S008","space_name":"Kitchen 0.08","floor_level":0,"position":[3.976,3.842]}</x:v>
      </x:c>
      <x:c r="O143" s="6"/>
      <x:c r="P143" s="6" t="str">
        <x:v>Resolve the intended asset and its containing room/floor.</x:v>
      </x:c>
      <x:c r="Q143" s="15"/>
      <x:c r="R143" s="6"/>
      <x:c r="S143" s="16"/>
      <x:c r="T143" s="15"/>
      <x:c r="U143" s="6"/>
      <x:c r="V143" s="6"/>
      <x:c r="W143" s="6" t="str">
        <x:v>Existing search_building. Improve disambiguation and complete result pagination.</x:v>
      </x:c>
      <x:c r="X143" s="6" t="str">
        <x:v>data/train/resplan-12867/questions_basic.jsonl</x:v>
      </x:c>
      <x:c r="Y143" s="14" t="n">
        <x:v>2</x:v>
      </x:c>
      <x:c r="Z143" s="6" t="str">
        <x:v>https://github.com/hagenhaeussler/Industrial-Agents-Hackathon-2026/blob/f41616590b69f3ea0c1cbfb41d6c35edd9ce53df/data/train/resplan-12867/questions_basic.jsonl#L2</x:v>
      </x:c>
      <x:c r="AA143" s="6" t="str">
        <x:v>resplan</x:v>
      </x:c>
      <x:c r="AB143" s="6" t="str">
        <x:v>CC-BY-4.0</x:v>
      </x:c>
    </x:row>
    <x:row r="144" ht="72" customHeight="1">
      <x:c r="A144" s="14" t="n">
        <x:v>139</x:v>
      </x:c>
      <x:c r="B144" s="6" t="str">
        <x:v>locate</x:v>
      </x:c>
      <x:c r="C144" s="6" t="str">
        <x:v>Where is the toilet?</x:v>
      </x:c>
      <x:c r="D144" s="6" t="str">
        <x:v>Bathroom 0.07
Floor level: 0
Asset ID: resplan-12867-A00014
Position (m): 6.572, 12.345</x:v>
      </x:c>
      <x:c r="E144" s="6" t="str">
        <x:v>Reference supplied</x:v>
      </x:c>
      <x:c r="F144" s="6" t="str">
        <x:v>train</x:v>
      </x:c>
      <x:c r="G144" s="6" t="str">
        <x:v>resplan-12867</x:v>
      </x:c>
      <x:c r="H144" s="6" t="str">
        <x:v>resplan-12867-Q03</x:v>
      </x:c>
      <x:c r="I144" s="6" t="str">
        <x:v>Find and count assets</x:v>
      </x:c>
      <x:c r="J144" s="6" t="str">
        <x:v>Warm-up</x:v>
      </x:c>
      <x:c r="K144" s="6" t="str">
        <x:v>Room name, floor and asset identity. Coordinates may help the UI.</x:v>
      </x:c>
      <x:c r="L144" s="6" t="str">
        <x:v>T02, T03</x:v>
      </x:c>
      <x:c r="M144" s="6" t="str">
        <x:v>Find a named item and identify its containing room and floor.</x:v>
      </x:c>
      <x:c r="N144" s="6" t="str">
        <x:v>{"asset_id":"resplan-12867-A00014","space_id":"resplan-12867-F0-S007","space_name":"Bathroom 0.07","floor_level":0,"position":[6.572,12.345]}</x:v>
      </x:c>
      <x:c r="O144" s="6"/>
      <x:c r="P144" s="6" t="str">
        <x:v>Resolve the intended asset and its containing room/floor.</x:v>
      </x:c>
      <x:c r="Q144" s="15"/>
      <x:c r="R144" s="6"/>
      <x:c r="S144" s="16"/>
      <x:c r="T144" s="15"/>
      <x:c r="U144" s="6"/>
      <x:c r="V144" s="6"/>
      <x:c r="W144" s="6" t="str">
        <x:v>Existing search_building. Improve disambiguation and complete result pagination.</x:v>
      </x:c>
      <x:c r="X144" s="6" t="str">
        <x:v>data/train/resplan-12867/questions_basic.jsonl</x:v>
      </x:c>
      <x:c r="Y144" s="14" t="n">
        <x:v>3</x:v>
      </x:c>
      <x:c r="Z144" s="6" t="str">
        <x:v>https://github.com/hagenhaeussler/Industrial-Agents-Hackathon-2026/blob/f41616590b69f3ea0c1cbfb41d6c35edd9ce53df/data/train/resplan-12867/questions_basic.jsonl#L3</x:v>
      </x:c>
      <x:c r="AA144" s="6" t="str">
        <x:v>resplan</x:v>
      </x:c>
      <x:c r="AB144" s="6" t="str">
        <x:v>CC-BY-4.0</x:v>
      </x:c>
    </x:row>
    <x:row r="145" ht="72" customHeight="1">
      <x:c r="A145" s="14" t="n">
        <x:v>140</x:v>
      </x:c>
      <x:c r="B145" s="6" t="str">
        <x:v>locate</x:v>
      </x:c>
      <x:c r="C145" s="6" t="str">
        <x:v>Where is the single bed?</x:v>
      </x:c>
      <x:c r="D145" s="6" t="str">
        <x:v>Bedroom 0.02
Floor level: 0
Asset ID: resplan-12878-A00009
Position (m): 10.204, 2.548</x:v>
      </x:c>
      <x:c r="E145" s="6" t="str">
        <x:v>Reference supplied</x:v>
      </x:c>
      <x:c r="F145" s="6" t="str">
        <x:v>train</x:v>
      </x:c>
      <x:c r="G145" s="6" t="str">
        <x:v>resplan-12878</x:v>
      </x:c>
      <x:c r="H145" s="6" t="str">
        <x:v>resplan-12878-Q01</x:v>
      </x:c>
      <x:c r="I145" s="6" t="str">
        <x:v>Find and count assets</x:v>
      </x:c>
      <x:c r="J145" s="6" t="str">
        <x:v>Warm-up</x:v>
      </x:c>
      <x:c r="K145" s="6" t="str">
        <x:v>Room name, floor and asset identity. Coordinates may help the UI.</x:v>
      </x:c>
      <x:c r="L145" s="6" t="str">
        <x:v>T02, T03</x:v>
      </x:c>
      <x:c r="M145" s="6" t="str">
        <x:v>Find a named item and identify its containing room and floor.</x:v>
      </x:c>
      <x:c r="N145" s="6" t="str">
        <x:v>{"asset_id":"resplan-12878-A00009","space_id":"resplan-12878-F0-S002","space_name":"Bedroom 0.02","floor_level":0,"position":[10.204,2.548]}</x:v>
      </x:c>
      <x:c r="O145" s="6"/>
      <x:c r="P145" s="6" t="str">
        <x:v>Resolve the intended asset and its containing room/floor.</x:v>
      </x:c>
      <x:c r="Q145" s="15"/>
      <x:c r="R145" s="6"/>
      <x:c r="S145" s="16"/>
      <x:c r="T145" s="15"/>
      <x:c r="U145" s="6"/>
      <x:c r="V145" s="6"/>
      <x:c r="W145" s="6" t="str">
        <x:v>Existing search_building. Improve disambiguation and complete result pagination.</x:v>
      </x:c>
      <x:c r="X145" s="6" t="str">
        <x:v>data/train/resplan-12878/questions_basic.jsonl</x:v>
      </x:c>
      <x:c r="Y145" s="14" t="n">
        <x:v>1</x:v>
      </x:c>
      <x:c r="Z145" s="6" t="str">
        <x:v>https://github.com/hagenhaeussler/Industrial-Agents-Hackathon-2026/blob/f41616590b69f3ea0c1cbfb41d6c35edd9ce53df/data/train/resplan-12878/questions_basic.jsonl#L1</x:v>
      </x:c>
      <x:c r="AA145" s="6" t="str">
        <x:v>resplan</x:v>
      </x:c>
      <x:c r="AB145" s="6" t="str">
        <x:v>CC-BY-4.0</x:v>
      </x:c>
    </x:row>
    <x:row r="146" ht="72" customHeight="1">
      <x:c r="A146" s="14" t="n">
        <x:v>141</x:v>
      </x:c>
      <x:c r="B146" s="6" t="str">
        <x:v>locate</x:v>
      </x:c>
      <x:c r="C146" s="6" t="str">
        <x:v>Where is the dining table?</x:v>
      </x:c>
      <x:c r="D146" s="6" t="str">
        <x:v>Living room 0.01
Floor level: 0
Asset ID: resplan-12878-A00004
Position (m): 1.746, 6.252</x:v>
      </x:c>
      <x:c r="E146" s="6" t="str">
        <x:v>Reference supplied</x:v>
      </x:c>
      <x:c r="F146" s="6" t="str">
        <x:v>train</x:v>
      </x:c>
      <x:c r="G146" s="6" t="str">
        <x:v>resplan-12878</x:v>
      </x:c>
      <x:c r="H146" s="6" t="str">
        <x:v>resplan-12878-Q02</x:v>
      </x:c>
      <x:c r="I146" s="6" t="str">
        <x:v>Find and count assets</x:v>
      </x:c>
      <x:c r="J146" s="6" t="str">
        <x:v>Warm-up</x:v>
      </x:c>
      <x:c r="K146" s="6" t="str">
        <x:v>Room name, floor and asset identity. Coordinates may help the UI.</x:v>
      </x:c>
      <x:c r="L146" s="6" t="str">
        <x:v>T02, T03</x:v>
      </x:c>
      <x:c r="M146" s="6" t="str">
        <x:v>Find a named item and identify its containing room and floor.</x:v>
      </x:c>
      <x:c r="N146" s="6" t="str">
        <x:v>{"asset_id":"resplan-12878-A00004","space_id":"resplan-12878-F0-S001","space_name":"Living room 0.01","floor_level":0,"position":[1.746,6.252]}</x:v>
      </x:c>
      <x:c r="O146" s="6"/>
      <x:c r="P146" s="6" t="str">
        <x:v>Resolve the intended asset and its containing room/floor.</x:v>
      </x:c>
      <x:c r="Q146" s="15"/>
      <x:c r="R146" s="6"/>
      <x:c r="S146" s="16"/>
      <x:c r="T146" s="15"/>
      <x:c r="U146" s="6"/>
      <x:c r="V146" s="6"/>
      <x:c r="W146" s="6" t="str">
        <x:v>Existing search_building. Improve disambiguation and complete result pagination.</x:v>
      </x:c>
      <x:c r="X146" s="6" t="str">
        <x:v>data/train/resplan-12878/questions_basic.jsonl</x:v>
      </x:c>
      <x:c r="Y146" s="14" t="n">
        <x:v>2</x:v>
      </x:c>
      <x:c r="Z146" s="6" t="str">
        <x:v>https://github.com/hagenhaeussler/Industrial-Agents-Hackathon-2026/blob/f41616590b69f3ea0c1cbfb41d6c35edd9ce53df/data/train/resplan-12878/questions_basic.jsonl#L2</x:v>
      </x:c>
      <x:c r="AA146" s="6" t="str">
        <x:v>resplan</x:v>
      </x:c>
      <x:c r="AB146" s="6" t="str">
        <x:v>CC-BY-4.0</x:v>
      </x:c>
    </x:row>
    <x:row r="147" ht="72" customHeight="1">
      <x:c r="A147" s="14" t="n">
        <x:v>142</x:v>
      </x:c>
      <x:c r="B147" s="6" t="str">
        <x:v>locate</x:v>
      </x:c>
      <x:c r="C147" s="6" t="str">
        <x:v>Where is the fridge?</x:v>
      </x:c>
      <x:c r="D147" s="6" t="str">
        <x:v>Kitchen 0.06
Floor level: 0
Asset ID: resplan-12878-A00021
Position (m): 6.779, 10.245</x:v>
      </x:c>
      <x:c r="E147" s="6" t="str">
        <x:v>Reference supplied</x:v>
      </x:c>
      <x:c r="F147" s="6" t="str">
        <x:v>train</x:v>
      </x:c>
      <x:c r="G147" s="6" t="str">
        <x:v>resplan-12878</x:v>
      </x:c>
      <x:c r="H147" s="6" t="str">
        <x:v>resplan-12878-Q03</x:v>
      </x:c>
      <x:c r="I147" s="6" t="str">
        <x:v>Find and count assets</x:v>
      </x:c>
      <x:c r="J147" s="6" t="str">
        <x:v>Warm-up</x:v>
      </x:c>
      <x:c r="K147" s="6" t="str">
        <x:v>Room name, floor and asset identity. Coordinates may help the UI.</x:v>
      </x:c>
      <x:c r="L147" s="6" t="str">
        <x:v>T02, T03</x:v>
      </x:c>
      <x:c r="M147" s="6" t="str">
        <x:v>Find a named item and identify its containing room and floor.</x:v>
      </x:c>
      <x:c r="N147" s="6" t="str">
        <x:v>{"asset_id":"resplan-12878-A00021","space_id":"resplan-12878-F0-S006","space_name":"Kitchen 0.06","floor_level":0,"position":[6.779,10.245]}</x:v>
      </x:c>
      <x:c r="O147" s="6"/>
      <x:c r="P147" s="6" t="str">
        <x:v>Resolve the intended asset and its containing room/floor.</x:v>
      </x:c>
      <x:c r="Q147" s="15"/>
      <x:c r="R147" s="6"/>
      <x:c r="S147" s="16"/>
      <x:c r="T147" s="15"/>
      <x:c r="U147" s="6"/>
      <x:c r="V147" s="6"/>
      <x:c r="W147" s="6" t="str">
        <x:v>Existing search_building. Improve disambiguation and complete result pagination.</x:v>
      </x:c>
      <x:c r="X147" s="6" t="str">
        <x:v>data/train/resplan-12878/questions_basic.jsonl</x:v>
      </x:c>
      <x:c r="Y147" s="14" t="n">
        <x:v>3</x:v>
      </x:c>
      <x:c r="Z147" s="6" t="str">
        <x:v>https://github.com/hagenhaeussler/Industrial-Agents-Hackathon-2026/blob/f41616590b69f3ea0c1cbfb41d6c35edd9ce53df/data/train/resplan-12878/questions_basic.jsonl#L3</x:v>
      </x:c>
      <x:c r="AA147" s="6" t="str">
        <x:v>resplan</x:v>
      </x:c>
      <x:c r="AB147" s="6" t="str">
        <x:v>CC-BY-4.0</x:v>
      </x:c>
    </x:row>
    <x:row r="148" ht="72" customHeight="1">
      <x:c r="A148" s="14" t="n">
        <x:v>143</x:v>
      </x:c>
      <x:c r="B148" s="6" t="str">
        <x:v>locate</x:v>
      </x:c>
      <x:c r="C148" s="6" t="str">
        <x:v>Where is the tv stand?</x:v>
      </x:c>
      <x:c r="D148" s="6" t="str">
        <x:v>Living room 0.01
Floor level: 0
Asset ID: resplan-12897-A00003
Position (m): 4.761, 6.193</x:v>
      </x:c>
      <x:c r="E148" s="6" t="str">
        <x:v>Reference supplied</x:v>
      </x:c>
      <x:c r="F148" s="6" t="str">
        <x:v>train</x:v>
      </x:c>
      <x:c r="G148" s="6" t="str">
        <x:v>resplan-12897</x:v>
      </x:c>
      <x:c r="H148" s="6" t="str">
        <x:v>resplan-12897-Q01</x:v>
      </x:c>
      <x:c r="I148" s="6" t="str">
        <x:v>Find and count assets</x:v>
      </x:c>
      <x:c r="J148" s="6" t="str">
        <x:v>Warm-up</x:v>
      </x:c>
      <x:c r="K148" s="6" t="str">
        <x:v>Room name, floor and asset identity. Coordinates may help the UI.</x:v>
      </x:c>
      <x:c r="L148" s="6" t="str">
        <x:v>T02, T03</x:v>
      </x:c>
      <x:c r="M148" s="6" t="str">
        <x:v>Find a named item and identify its containing room and floor.</x:v>
      </x:c>
      <x:c r="N148" s="6" t="str">
        <x:v>{"asset_id":"resplan-12897-A00003","space_id":"resplan-12897-F0-S001","space_name":"Living room 0.01","floor_level":0,"position":[4.761,6.193]}</x:v>
      </x:c>
      <x:c r="O148" s="6"/>
      <x:c r="P148" s="6" t="str">
        <x:v>Resolve the intended asset and its containing room/floor.</x:v>
      </x:c>
      <x:c r="Q148" s="15"/>
      <x:c r="R148" s="6"/>
      <x:c r="S148" s="16"/>
      <x:c r="T148" s="15"/>
      <x:c r="U148" s="6"/>
      <x:c r="V148" s="6"/>
      <x:c r="W148" s="6" t="str">
        <x:v>Existing search_building. Improve disambiguation and complete result pagination.</x:v>
      </x:c>
      <x:c r="X148" s="6" t="str">
        <x:v>data/train/resplan-12897/questions_basic.jsonl</x:v>
      </x:c>
      <x:c r="Y148" s="14" t="n">
        <x:v>1</x:v>
      </x:c>
      <x:c r="Z148" s="6" t="str">
        <x:v>https://github.com/hagenhaeussler/Industrial-Agents-Hackathon-2026/blob/f41616590b69f3ea0c1cbfb41d6c35edd9ce53df/data/train/resplan-12897/questions_basic.jsonl#L1</x:v>
      </x:c>
      <x:c r="AA148" s="6" t="str">
        <x:v>resplan</x:v>
      </x:c>
      <x:c r="AB148" s="6" t="str">
        <x:v>CC-BY-4.0</x:v>
      </x:c>
    </x:row>
    <x:row r="149" ht="72" customHeight="1">
      <x:c r="A149" s="14" t="n">
        <x:v>144</x:v>
      </x:c>
      <x:c r="B149" s="6" t="str">
        <x:v>locate</x:v>
      </x:c>
      <x:c r="C149" s="6" t="str">
        <x:v>Where is the nightstand?</x:v>
      </x:c>
      <x:c r="D149" s="6" t="str">
        <x:v>Bedroom 0.03
Floor level: 0
Asset ID: resplan-12897-A00014
Position (m): 9.236, 11.251</x:v>
      </x:c>
      <x:c r="E149" s="6" t="str">
        <x:v>Reference supplied</x:v>
      </x:c>
      <x:c r="F149" s="6" t="str">
        <x:v>train</x:v>
      </x:c>
      <x:c r="G149" s="6" t="str">
        <x:v>resplan-12897</x:v>
      </x:c>
      <x:c r="H149" s="6" t="str">
        <x:v>resplan-12897-Q02</x:v>
      </x:c>
      <x:c r="I149" s="6" t="str">
        <x:v>Find and count assets</x:v>
      </x:c>
      <x:c r="J149" s="6" t="str">
        <x:v>Warm-up</x:v>
      </x:c>
      <x:c r="K149" s="6" t="str">
        <x:v>Room name, floor and asset identity. Coordinates may help the UI.</x:v>
      </x:c>
      <x:c r="L149" s="6" t="str">
        <x:v>T02, T03</x:v>
      </x:c>
      <x:c r="M149" s="6" t="str">
        <x:v>Find a named item and identify its containing room and floor.</x:v>
      </x:c>
      <x:c r="N149" s="6" t="str">
        <x:v>{"asset_id":"resplan-12897-A00014","space_id":"resplan-12897-F0-S003","space_name":"Bedroom 0.03","floor_level":0,"position":[9.236,11.251]}</x:v>
      </x:c>
      <x:c r="O149" s="6"/>
      <x:c r="P149" s="6" t="str">
        <x:v>Resolve the intended asset and its containing room/floor.</x:v>
      </x:c>
      <x:c r="Q149" s="15"/>
      <x:c r="R149" s="6"/>
      <x:c r="S149" s="16"/>
      <x:c r="T149" s="15"/>
      <x:c r="U149" s="6"/>
      <x:c r="V149" s="6"/>
      <x:c r="W149" s="6" t="str">
        <x:v>Existing search_building. Improve disambiguation and complete result pagination.</x:v>
      </x:c>
      <x:c r="X149" s="6" t="str">
        <x:v>data/train/resplan-12897/questions_basic.jsonl</x:v>
      </x:c>
      <x:c r="Y149" s="14" t="n">
        <x:v>2</x:v>
      </x:c>
      <x:c r="Z149" s="6" t="str">
        <x:v>https://github.com/hagenhaeussler/Industrial-Agents-Hackathon-2026/blob/f41616590b69f3ea0c1cbfb41d6c35edd9ce53df/data/train/resplan-12897/questions_basic.jsonl#L2</x:v>
      </x:c>
      <x:c r="AA149" s="6" t="str">
        <x:v>resplan</x:v>
      </x:c>
      <x:c r="AB149" s="6" t="str">
        <x:v>CC-BY-4.0</x:v>
      </x:c>
    </x:row>
    <x:row r="150" ht="72" customHeight="1">
      <x:c r="A150" s="14" t="n">
        <x:v>145</x:v>
      </x:c>
      <x:c r="B150" s="6" t="str">
        <x:v>locate</x:v>
      </x:c>
      <x:c r="C150" s="6" t="str">
        <x:v>Where is the dining table?</x:v>
      </x:c>
      <x:c r="D150" s="6" t="str">
        <x:v>Living room 0.01
Floor level: 0
Asset ID: resplan-12897-A00004
Position (m): 7.228, 5.921</x:v>
      </x:c>
      <x:c r="E150" s="6" t="str">
        <x:v>Reference supplied</x:v>
      </x:c>
      <x:c r="F150" s="6" t="str">
        <x:v>train</x:v>
      </x:c>
      <x:c r="G150" s="6" t="str">
        <x:v>resplan-12897</x:v>
      </x:c>
      <x:c r="H150" s="6" t="str">
        <x:v>resplan-12897-Q03</x:v>
      </x:c>
      <x:c r="I150" s="6" t="str">
        <x:v>Find and count assets</x:v>
      </x:c>
      <x:c r="J150" s="6" t="str">
        <x:v>Warm-up</x:v>
      </x:c>
      <x:c r="K150" s="6" t="str">
        <x:v>Room name, floor and asset identity. Coordinates may help the UI.</x:v>
      </x:c>
      <x:c r="L150" s="6" t="str">
        <x:v>T02, T03</x:v>
      </x:c>
      <x:c r="M150" s="6" t="str">
        <x:v>Find a named item and identify its containing room and floor.</x:v>
      </x:c>
      <x:c r="N150" s="6" t="str">
        <x:v>{"asset_id":"resplan-12897-A00004","space_id":"resplan-12897-F0-S001","space_name":"Living room 0.01","floor_level":0,"position":[7.228,5.921]}</x:v>
      </x:c>
      <x:c r="O150" s="6"/>
      <x:c r="P150" s="6" t="str">
        <x:v>Resolve the intended asset and its containing room/floor.</x:v>
      </x:c>
      <x:c r="Q150" s="15"/>
      <x:c r="R150" s="6"/>
      <x:c r="S150" s="16"/>
      <x:c r="T150" s="15"/>
      <x:c r="U150" s="6"/>
      <x:c r="V150" s="6"/>
      <x:c r="W150" s="6" t="str">
        <x:v>Existing search_building. Improve disambiguation and complete result pagination.</x:v>
      </x:c>
      <x:c r="X150" s="6" t="str">
        <x:v>data/train/resplan-12897/questions_basic.jsonl</x:v>
      </x:c>
      <x:c r="Y150" s="14" t="n">
        <x:v>3</x:v>
      </x:c>
      <x:c r="Z150" s="6" t="str">
        <x:v>https://github.com/hagenhaeussler/Industrial-Agents-Hackathon-2026/blob/f41616590b69f3ea0c1cbfb41d6c35edd9ce53df/data/train/resplan-12897/questions_basic.jsonl#L3</x:v>
      </x:c>
      <x:c r="AA150" s="6" t="str">
        <x:v>resplan</x:v>
      </x:c>
      <x:c r="AB150" s="6" t="str">
        <x:v>CC-BY-4.0</x:v>
      </x:c>
    </x:row>
    <x:row r="151" ht="72" customHeight="1">
      <x:c r="A151" s="14" t="n">
        <x:v>146</x:v>
      </x:c>
      <x:c r="B151" s="6" t="str">
        <x:v>locate</x:v>
      </x:c>
      <x:c r="C151" s="6" t="str">
        <x:v>Where is the single bed?</x:v>
      </x:c>
      <x:c r="D151" s="6" t="str">
        <x:v>Bedroom 0.05
Floor level: 0
Asset ID: resplan-12985-A00017
Position (m): 3.875, 11.893</x:v>
      </x:c>
      <x:c r="E151" s="6" t="str">
        <x:v>Reference supplied</x:v>
      </x:c>
      <x:c r="F151" s="6" t="str">
        <x:v>train</x:v>
      </x:c>
      <x:c r="G151" s="6" t="str">
        <x:v>resplan-12985</x:v>
      </x:c>
      <x:c r="H151" s="6" t="str">
        <x:v>resplan-12985-Q01</x:v>
      </x:c>
      <x:c r="I151" s="6" t="str">
        <x:v>Find and count assets</x:v>
      </x:c>
      <x:c r="J151" s="6" t="str">
        <x:v>Warm-up</x:v>
      </x:c>
      <x:c r="K151" s="6" t="str">
        <x:v>Room name, floor and asset identity. Coordinates may help the UI.</x:v>
      </x:c>
      <x:c r="L151" s="6" t="str">
        <x:v>T02, T03</x:v>
      </x:c>
      <x:c r="M151" s="6" t="str">
        <x:v>Find a named item and identify its containing room and floor.</x:v>
      </x:c>
      <x:c r="N151" s="6" t="str">
        <x:v>{"asset_id":"resplan-12985-A00017","space_id":"resplan-12985-F0-S005","space_name":"Bedroom 0.05","floor_level":0,"position":[3.875,11.893]}</x:v>
      </x:c>
      <x:c r="O151" s="6"/>
      <x:c r="P151" s="6" t="str">
        <x:v>Resolve the intended asset and its containing room/floor.</x:v>
      </x:c>
      <x:c r="Q151" s="15"/>
      <x:c r="R151" s="6"/>
      <x:c r="S151" s="16"/>
      <x:c r="T151" s="15"/>
      <x:c r="U151" s="6"/>
      <x:c r="V151" s="6"/>
      <x:c r="W151" s="6" t="str">
        <x:v>Existing search_building. Improve disambiguation and complete result pagination.</x:v>
      </x:c>
      <x:c r="X151" s="6" t="str">
        <x:v>data/train/resplan-12985/questions_basic.jsonl</x:v>
      </x:c>
      <x:c r="Y151" s="14" t="n">
        <x:v>1</x:v>
      </x:c>
      <x:c r="Z151" s="6" t="str">
        <x:v>https://github.com/hagenhaeussler/Industrial-Agents-Hackathon-2026/blob/f41616590b69f3ea0c1cbfb41d6c35edd9ce53df/data/train/resplan-12985/questions_basic.jsonl#L1</x:v>
      </x:c>
      <x:c r="AA151" s="6" t="str">
        <x:v>resplan</x:v>
      </x:c>
      <x:c r="AB151" s="6" t="str">
        <x:v>CC-BY-4.0</x:v>
      </x:c>
    </x:row>
    <x:row r="152" ht="72" customHeight="1">
      <x:c r="A152" s="14" t="n">
        <x:v>147</x:v>
      </x:c>
      <x:c r="B152" s="6" t="str">
        <x:v>locate</x:v>
      </x:c>
      <x:c r="C152" s="6" t="str">
        <x:v>Where is the desk?</x:v>
      </x:c>
      <x:c r="D152" s="6" t="str">
        <x:v>Bedroom 0.03
Floor level: 0
Asset ID: resplan-12985-A00013
Position (m): 8.946, 14.584</x:v>
      </x:c>
      <x:c r="E152" s="6" t="str">
        <x:v>Reference supplied</x:v>
      </x:c>
      <x:c r="F152" s="6" t="str">
        <x:v>train</x:v>
      </x:c>
      <x:c r="G152" s="6" t="str">
        <x:v>resplan-12985</x:v>
      </x:c>
      <x:c r="H152" s="6" t="str">
        <x:v>resplan-12985-Q02</x:v>
      </x:c>
      <x:c r="I152" s="6" t="str">
        <x:v>Find and count assets</x:v>
      </x:c>
      <x:c r="J152" s="6" t="str">
        <x:v>Warm-up</x:v>
      </x:c>
      <x:c r="K152" s="6" t="str">
        <x:v>Room name, floor and asset identity. Coordinates may help the UI.</x:v>
      </x:c>
      <x:c r="L152" s="6" t="str">
        <x:v>T02, T03</x:v>
      </x:c>
      <x:c r="M152" s="6" t="str">
        <x:v>Find a named item and identify its containing room and floor.</x:v>
      </x:c>
      <x:c r="N152" s="6" t="str">
        <x:v>{"asset_id":"resplan-12985-A00013","space_id":"resplan-12985-F0-S003","space_name":"Bedroom 0.03","floor_level":0,"position":[8.946,14.584]}</x:v>
      </x:c>
      <x:c r="O152" s="6"/>
      <x:c r="P152" s="6" t="str">
        <x:v>Resolve the intended asset and its containing room/floor.</x:v>
      </x:c>
      <x:c r="Q152" s="15"/>
      <x:c r="R152" s="6"/>
      <x:c r="S152" s="16"/>
      <x:c r="T152" s="15"/>
      <x:c r="U152" s="6"/>
      <x:c r="V152" s="6"/>
      <x:c r="W152" s="6" t="str">
        <x:v>Existing search_building. Improve disambiguation and complete result pagination.</x:v>
      </x:c>
      <x:c r="X152" s="6" t="str">
        <x:v>data/train/resplan-12985/questions_basic.jsonl</x:v>
      </x:c>
      <x:c r="Y152" s="14" t="n">
        <x:v>2</x:v>
      </x:c>
      <x:c r="Z152" s="6" t="str">
        <x:v>https://github.com/hagenhaeussler/Industrial-Agents-Hackathon-2026/blob/f41616590b69f3ea0c1cbfb41d6c35edd9ce53df/data/train/resplan-12985/questions_basic.jsonl#L2</x:v>
      </x:c>
      <x:c r="AA152" s="6" t="str">
        <x:v>resplan</x:v>
      </x:c>
      <x:c r="AB152" s="6" t="str">
        <x:v>CC-BY-4.0</x:v>
      </x:c>
    </x:row>
    <x:row r="153" ht="72" customHeight="1">
      <x:c r="A153" s="14" t="n">
        <x:v>148</x:v>
      </x:c>
      <x:c r="B153" s="6" t="str">
        <x:v>locate</x:v>
      </x:c>
      <x:c r="C153" s="6" t="str">
        <x:v>Where is the coffee table?</x:v>
      </x:c>
      <x:c r="D153" s="6" t="str">
        <x:v>Living room 0.01
Floor level: 0
Asset ID: resplan-12985-A00002
Position (m): 10.758, 10.26</x:v>
      </x:c>
      <x:c r="E153" s="6" t="str">
        <x:v>Reference supplied</x:v>
      </x:c>
      <x:c r="F153" s="6" t="str">
        <x:v>train</x:v>
      </x:c>
      <x:c r="G153" s="6" t="str">
        <x:v>resplan-12985</x:v>
      </x:c>
      <x:c r="H153" s="6" t="str">
        <x:v>resplan-12985-Q03</x:v>
      </x:c>
      <x:c r="I153" s="6" t="str">
        <x:v>Find and count assets</x:v>
      </x:c>
      <x:c r="J153" s="6" t="str">
        <x:v>Warm-up</x:v>
      </x:c>
      <x:c r="K153" s="6" t="str">
        <x:v>Room name, floor and asset identity. Coordinates may help the UI.</x:v>
      </x:c>
      <x:c r="L153" s="6" t="str">
        <x:v>T02, T03</x:v>
      </x:c>
      <x:c r="M153" s="6" t="str">
        <x:v>Find a named item and identify its containing room and floor.</x:v>
      </x:c>
      <x:c r="N153" s="6" t="str">
        <x:v>{"asset_id":"resplan-12985-A00002","space_id":"resplan-12985-F0-S001","space_name":"Living room 0.01","floor_level":0,"position":[10.758,10.26]}</x:v>
      </x:c>
      <x:c r="O153" s="6"/>
      <x:c r="P153" s="6" t="str">
        <x:v>Resolve the intended asset and its containing room/floor.</x:v>
      </x:c>
      <x:c r="Q153" s="15"/>
      <x:c r="R153" s="6"/>
      <x:c r="S153" s="16"/>
      <x:c r="T153" s="15"/>
      <x:c r="U153" s="6"/>
      <x:c r="V153" s="6"/>
      <x:c r="W153" s="6" t="str">
        <x:v>Existing search_building. Improve disambiguation and complete result pagination.</x:v>
      </x:c>
      <x:c r="X153" s="6" t="str">
        <x:v>data/train/resplan-12985/questions_basic.jsonl</x:v>
      </x:c>
      <x:c r="Y153" s="14" t="n">
        <x:v>3</x:v>
      </x:c>
      <x:c r="Z153" s="6" t="str">
        <x:v>https://github.com/hagenhaeussler/Industrial-Agents-Hackathon-2026/blob/f41616590b69f3ea0c1cbfb41d6c35edd9ce53df/data/train/resplan-12985/questions_basic.jsonl#L3</x:v>
      </x:c>
      <x:c r="AA153" s="6" t="str">
        <x:v>resplan</x:v>
      </x:c>
      <x:c r="AB153" s="6" t="str">
        <x:v>CC-BY-4.0</x:v>
      </x:c>
    </x:row>
    <x:row r="154" ht="72" customHeight="1">
      <x:c r="A154" s="14" t="n">
        <x:v>149</x:v>
      </x:c>
      <x:c r="B154" s="6" t="str">
        <x:v>locate</x:v>
      </x:c>
      <x:c r="C154" s="6" t="str">
        <x:v>Where is the tv stand?</x:v>
      </x:c>
      <x:c r="D154" s="6" t="str">
        <x:v>Living room 0.01
Floor level: 0
Asset ID: resplan-13024-A00003
Position (m): 4.353, 4.443</x:v>
      </x:c>
      <x:c r="E154" s="6" t="str">
        <x:v>Reference supplied</x:v>
      </x:c>
      <x:c r="F154" s="6" t="str">
        <x:v>train</x:v>
      </x:c>
      <x:c r="G154" s="6" t="str">
        <x:v>resplan-13024</x:v>
      </x:c>
      <x:c r="H154" s="6" t="str">
        <x:v>resplan-13024-Q01</x:v>
      </x:c>
      <x:c r="I154" s="6" t="str">
        <x:v>Find and count assets</x:v>
      </x:c>
      <x:c r="J154" s="6" t="str">
        <x:v>Warm-up</x:v>
      </x:c>
      <x:c r="K154" s="6" t="str">
        <x:v>Room name, floor and asset identity. Coordinates may help the UI.</x:v>
      </x:c>
      <x:c r="L154" s="6" t="str">
        <x:v>T02, T03</x:v>
      </x:c>
      <x:c r="M154" s="6" t="str">
        <x:v>Find a named item and identify its containing room and floor.</x:v>
      </x:c>
      <x:c r="N154" s="6" t="str">
        <x:v>{"asset_id":"resplan-13024-A00003","space_id":"resplan-13024-F0-S001","space_name":"Living room 0.01","floor_level":0,"position":[4.353,4.443]}</x:v>
      </x:c>
      <x:c r="O154" s="6"/>
      <x:c r="P154" s="6" t="str">
        <x:v>Resolve the intended asset and its containing room/floor.</x:v>
      </x:c>
      <x:c r="Q154" s="15"/>
      <x:c r="R154" s="6"/>
      <x:c r="S154" s="16"/>
      <x:c r="T154" s="15"/>
      <x:c r="U154" s="6"/>
      <x:c r="V154" s="6"/>
      <x:c r="W154" s="6" t="str">
        <x:v>Existing search_building. Improve disambiguation and complete result pagination.</x:v>
      </x:c>
      <x:c r="X154" s="6" t="str">
        <x:v>data/train/resplan-13024/questions_basic.jsonl</x:v>
      </x:c>
      <x:c r="Y154" s="14" t="n">
        <x:v>1</x:v>
      </x:c>
      <x:c r="Z154" s="6" t="str">
        <x:v>https://github.com/hagenhaeussler/Industrial-Agents-Hackathon-2026/blob/f41616590b69f3ea0c1cbfb41d6c35edd9ce53df/data/train/resplan-13024/questions_basic.jsonl#L1</x:v>
      </x:c>
      <x:c r="AA154" s="6" t="str">
        <x:v>resplan</x:v>
      </x:c>
      <x:c r="AB154" s="6" t="str">
        <x:v>CC-BY-4.0</x:v>
      </x:c>
    </x:row>
    <x:row r="155" ht="72" customHeight="1">
      <x:c r="A155" s="14" t="n">
        <x:v>150</x:v>
      </x:c>
      <x:c r="B155" s="6" t="str">
        <x:v>locate</x:v>
      </x:c>
      <x:c r="C155" s="6" t="str">
        <x:v>Where is the coffee machine?</x:v>
      </x:c>
      <x:c r="D155" s="6" t="str">
        <x:v>Kitchen 0.07
Floor level: 0
Asset ID: resplan-13024-A00030
Position (m): 10.333, 2.019</x:v>
      </x:c>
      <x:c r="E155" s="6" t="str">
        <x:v>Reference supplied</x:v>
      </x:c>
      <x:c r="F155" s="6" t="str">
        <x:v>train</x:v>
      </x:c>
      <x:c r="G155" s="6" t="str">
        <x:v>resplan-13024</x:v>
      </x:c>
      <x:c r="H155" s="6" t="str">
        <x:v>resplan-13024-Q02</x:v>
      </x:c>
      <x:c r="I155" s="6" t="str">
        <x:v>Find and count assets</x:v>
      </x:c>
      <x:c r="J155" s="6" t="str">
        <x:v>Warm-up</x:v>
      </x:c>
      <x:c r="K155" s="6" t="str">
        <x:v>Room name, floor and asset identity. Coordinates may help the UI.</x:v>
      </x:c>
      <x:c r="L155" s="6" t="str">
        <x:v>T02, T03</x:v>
      </x:c>
      <x:c r="M155" s="6" t="str">
        <x:v>Find a named item and identify its containing room and floor.</x:v>
      </x:c>
      <x:c r="N155" s="6" t="str">
        <x:v>{"asset_id":"resplan-13024-A00030","space_id":"resplan-13024-F0-S007","space_name":"Kitchen 0.07","floor_level":0,"position":[10.333,2.019]}</x:v>
      </x:c>
      <x:c r="O155" s="6"/>
      <x:c r="P155" s="6" t="str">
        <x:v>Resolve the intended asset and its containing room/floor.</x:v>
      </x:c>
      <x:c r="Q155" s="15"/>
      <x:c r="R155" s="6"/>
      <x:c r="S155" s="16"/>
      <x:c r="T155" s="15"/>
      <x:c r="U155" s="6"/>
      <x:c r="V155" s="6"/>
      <x:c r="W155" s="6" t="str">
        <x:v>Existing search_building. Improve disambiguation and complete result pagination.</x:v>
      </x:c>
      <x:c r="X155" s="6" t="str">
        <x:v>data/train/resplan-13024/questions_basic.jsonl</x:v>
      </x:c>
      <x:c r="Y155" s="14" t="n">
        <x:v>2</x:v>
      </x:c>
      <x:c r="Z155" s="6" t="str">
        <x:v>https://github.com/hagenhaeussler/Industrial-Agents-Hackathon-2026/blob/f41616590b69f3ea0c1cbfb41d6c35edd9ce53df/data/train/resplan-13024/questions_basic.jsonl#L2</x:v>
      </x:c>
      <x:c r="AA155" s="6" t="str">
        <x:v>resplan</x:v>
      </x:c>
      <x:c r="AB155" s="6" t="str">
        <x:v>CC-BY-4.0</x:v>
      </x:c>
    </x:row>
    <x:row r="156" ht="72" customHeight="1">
      <x:c r="A156" s="14" t="n">
        <x:v>151</x:v>
      </x:c>
      <x:c r="B156" s="6" t="str">
        <x:v>locate</x:v>
      </x:c>
      <x:c r="C156" s="6" t="str">
        <x:v>Where is the sofa?</x:v>
      </x:c>
      <x:c r="D156" s="6" t="str">
        <x:v>Living room 0.01
Floor level: 0
Asset ID: resplan-13024-A00001
Position (m): 8.582, 2.229</x:v>
      </x:c>
      <x:c r="E156" s="6" t="str">
        <x:v>Reference supplied</x:v>
      </x:c>
      <x:c r="F156" s="6" t="str">
        <x:v>train</x:v>
      </x:c>
      <x:c r="G156" s="6" t="str">
        <x:v>resplan-13024</x:v>
      </x:c>
      <x:c r="H156" s="6" t="str">
        <x:v>resplan-13024-Q03</x:v>
      </x:c>
      <x:c r="I156" s="6" t="str">
        <x:v>Find and count assets</x:v>
      </x:c>
      <x:c r="J156" s="6" t="str">
        <x:v>Warm-up</x:v>
      </x:c>
      <x:c r="K156" s="6" t="str">
        <x:v>Room name, floor and asset identity. Coordinates may help the UI.</x:v>
      </x:c>
      <x:c r="L156" s="6" t="str">
        <x:v>T02, T03</x:v>
      </x:c>
      <x:c r="M156" s="6" t="str">
        <x:v>Find a named item and identify its containing room and floor.</x:v>
      </x:c>
      <x:c r="N156" s="6" t="str">
        <x:v>{"asset_id":"resplan-13024-A00001","space_id":"resplan-13024-F0-S001","space_name":"Living room 0.01","floor_level":0,"position":[8.582,2.229]}</x:v>
      </x:c>
      <x:c r="O156" s="6"/>
      <x:c r="P156" s="6" t="str">
        <x:v>Resolve the intended asset and its containing room/floor.</x:v>
      </x:c>
      <x:c r="Q156" s="15"/>
      <x:c r="R156" s="6"/>
      <x:c r="S156" s="16"/>
      <x:c r="T156" s="15"/>
      <x:c r="U156" s="6"/>
      <x:c r="V156" s="6"/>
      <x:c r="W156" s="6" t="str">
        <x:v>Existing search_building. Improve disambiguation and complete result pagination.</x:v>
      </x:c>
      <x:c r="X156" s="6" t="str">
        <x:v>data/train/resplan-13024/questions_basic.jsonl</x:v>
      </x:c>
      <x:c r="Y156" s="14" t="n">
        <x:v>3</x:v>
      </x:c>
      <x:c r="Z156" s="6" t="str">
        <x:v>https://github.com/hagenhaeussler/Industrial-Agents-Hackathon-2026/blob/f41616590b69f3ea0c1cbfb41d6c35edd9ce53df/data/train/resplan-13024/questions_basic.jsonl#L3</x:v>
      </x:c>
      <x:c r="AA156" s="6" t="str">
        <x:v>resplan</x:v>
      </x:c>
      <x:c r="AB156" s="6" t="str">
        <x:v>CC-BY-4.0</x:v>
      </x:c>
    </x:row>
    <x:row r="157" ht="72" customHeight="1">
      <x:c r="A157" s="14" t="n">
        <x:v>152</x:v>
      </x:c>
      <x:c r="B157" s="6" t="str">
        <x:v>locate</x:v>
      </x:c>
      <x:c r="C157" s="6" t="str">
        <x:v>Where is the washing machine?</x:v>
      </x:c>
      <x:c r="D157" s="6" t="str">
        <x:v>Bathroom 0.06
Floor level: 0
Asset ID: resplan-13846-A00022
Position (m): 7.4, 6.207</x:v>
      </x:c>
      <x:c r="E157" s="6" t="str">
        <x:v>Reference supplied</x:v>
      </x:c>
      <x:c r="F157" s="6" t="str">
        <x:v>train</x:v>
      </x:c>
      <x:c r="G157" s="6" t="str">
        <x:v>resplan-13846</x:v>
      </x:c>
      <x:c r="H157" s="6" t="str">
        <x:v>resplan-13846-Q01</x:v>
      </x:c>
      <x:c r="I157" s="6" t="str">
        <x:v>Find and count assets</x:v>
      </x:c>
      <x:c r="J157" s="6" t="str">
        <x:v>Warm-up</x:v>
      </x:c>
      <x:c r="K157" s="6" t="str">
        <x:v>Room name, floor and asset identity. Coordinates may help the UI.</x:v>
      </x:c>
      <x:c r="L157" s="6" t="str">
        <x:v>T02, T03</x:v>
      </x:c>
      <x:c r="M157" s="6" t="str">
        <x:v>Find a named item and identify its containing room and floor.</x:v>
      </x:c>
      <x:c r="N157" s="6" t="str">
        <x:v>{"asset_id":"resplan-13846-A00022","space_id":"resplan-13846-F0-S006","space_name":"Bathroom 0.06","floor_level":0,"position":[7.4,6.207]}</x:v>
      </x:c>
      <x:c r="O157" s="6"/>
      <x:c r="P157" s="6" t="str">
        <x:v>Resolve the intended asset and its containing room/floor.</x:v>
      </x:c>
      <x:c r="Q157" s="15"/>
      <x:c r="R157" s="6"/>
      <x:c r="S157" s="16"/>
      <x:c r="T157" s="15"/>
      <x:c r="U157" s="6"/>
      <x:c r="V157" s="6"/>
      <x:c r="W157" s="6" t="str">
        <x:v>Existing search_building. Improve disambiguation and complete result pagination.</x:v>
      </x:c>
      <x:c r="X157" s="6" t="str">
        <x:v>data/train/resplan-13846/questions_basic.jsonl</x:v>
      </x:c>
      <x:c r="Y157" s="14" t="n">
        <x:v>1</x:v>
      </x:c>
      <x:c r="Z157" s="6" t="str">
        <x:v>https://github.com/hagenhaeussler/Industrial-Agents-Hackathon-2026/blob/f41616590b69f3ea0c1cbfb41d6c35edd9ce53df/data/train/resplan-13846/questions_basic.jsonl#L1</x:v>
      </x:c>
      <x:c r="AA157" s="6" t="str">
        <x:v>resplan</x:v>
      </x:c>
      <x:c r="AB157" s="6" t="str">
        <x:v>CC-BY-4.0</x:v>
      </x:c>
    </x:row>
    <x:row r="158" ht="72" customHeight="1">
      <x:c r="A158" s="14" t="n">
        <x:v>153</x:v>
      </x:c>
      <x:c r="B158" s="6" t="str">
        <x:v>locate</x:v>
      </x:c>
      <x:c r="C158" s="6" t="str">
        <x:v>Where is the coffee table?</x:v>
      </x:c>
      <x:c r="D158" s="6" t="str">
        <x:v>Living room 0.01
Floor level: 0
Asset ID: resplan-13846-A00002
Position (m): 13.857, 4.627</x:v>
      </x:c>
      <x:c r="E158" s="6" t="str">
        <x:v>Reference supplied</x:v>
      </x:c>
      <x:c r="F158" s="6" t="str">
        <x:v>train</x:v>
      </x:c>
      <x:c r="G158" s="6" t="str">
        <x:v>resplan-13846</x:v>
      </x:c>
      <x:c r="H158" s="6" t="str">
        <x:v>resplan-13846-Q02</x:v>
      </x:c>
      <x:c r="I158" s="6" t="str">
        <x:v>Find and count assets</x:v>
      </x:c>
      <x:c r="J158" s="6" t="str">
        <x:v>Warm-up</x:v>
      </x:c>
      <x:c r="K158" s="6" t="str">
        <x:v>Room name, floor and asset identity. Coordinates may help the UI.</x:v>
      </x:c>
      <x:c r="L158" s="6" t="str">
        <x:v>T02, T03</x:v>
      </x:c>
      <x:c r="M158" s="6" t="str">
        <x:v>Find a named item and identify its containing room and floor.</x:v>
      </x:c>
      <x:c r="N158" s="6" t="str">
        <x:v>{"asset_id":"resplan-13846-A00002","space_id":"resplan-13846-F0-S001","space_name":"Living room 0.01","floor_level":0,"position":[13.857,4.627]}</x:v>
      </x:c>
      <x:c r="O158" s="6"/>
      <x:c r="P158" s="6" t="str">
        <x:v>Resolve the intended asset and its containing room/floor.</x:v>
      </x:c>
      <x:c r="Q158" s="15"/>
      <x:c r="R158" s="6"/>
      <x:c r="S158" s="16"/>
      <x:c r="T158" s="15"/>
      <x:c r="U158" s="6"/>
      <x:c r="V158" s="6"/>
      <x:c r="W158" s="6" t="str">
        <x:v>Existing search_building. Improve disambiguation and complete result pagination.</x:v>
      </x:c>
      <x:c r="X158" s="6" t="str">
        <x:v>data/train/resplan-13846/questions_basic.jsonl</x:v>
      </x:c>
      <x:c r="Y158" s="14" t="n">
        <x:v>2</x:v>
      </x:c>
      <x:c r="Z158" s="6" t="str">
        <x:v>https://github.com/hagenhaeussler/Industrial-Agents-Hackathon-2026/blob/f41616590b69f3ea0c1cbfb41d6c35edd9ce53df/data/train/resplan-13846/questions_basic.jsonl#L2</x:v>
      </x:c>
      <x:c r="AA158" s="6" t="str">
        <x:v>resplan</x:v>
      </x:c>
      <x:c r="AB158" s="6" t="str">
        <x:v>CC-BY-4.0</x:v>
      </x:c>
    </x:row>
    <x:row r="159" ht="72" customHeight="1">
      <x:c r="A159" s="14" t="n">
        <x:v>154</x:v>
      </x:c>
      <x:c r="B159" s="6" t="str">
        <x:v>locate</x:v>
      </x:c>
      <x:c r="C159" s="6" t="str">
        <x:v>Where is the stove?</x:v>
      </x:c>
      <x:c r="D159" s="6" t="str">
        <x:v>Kitchen 0.08
Floor level: 0
Asset ID: resplan-13846-A00027
Position (m): 8.744, 11.754</x:v>
      </x:c>
      <x:c r="E159" s="6" t="str">
        <x:v>Reference supplied</x:v>
      </x:c>
      <x:c r="F159" s="6" t="str">
        <x:v>train</x:v>
      </x:c>
      <x:c r="G159" s="6" t="str">
        <x:v>resplan-13846</x:v>
      </x:c>
      <x:c r="H159" s="6" t="str">
        <x:v>resplan-13846-Q03</x:v>
      </x:c>
      <x:c r="I159" s="6" t="str">
        <x:v>Find and count assets</x:v>
      </x:c>
      <x:c r="J159" s="6" t="str">
        <x:v>Warm-up</x:v>
      </x:c>
      <x:c r="K159" s="6" t="str">
        <x:v>Room name, floor and asset identity. Coordinates may help the UI.</x:v>
      </x:c>
      <x:c r="L159" s="6" t="str">
        <x:v>T02, T03</x:v>
      </x:c>
      <x:c r="M159" s="6" t="str">
        <x:v>Find a named item and identify its containing room and floor.</x:v>
      </x:c>
      <x:c r="N159" s="6" t="str">
        <x:v>{"asset_id":"resplan-13846-A00027","space_id":"resplan-13846-F0-S008","space_name":"Kitchen 0.08","floor_level":0,"position":[8.744,11.754]}</x:v>
      </x:c>
      <x:c r="O159" s="6"/>
      <x:c r="P159" s="6" t="str">
        <x:v>Resolve the intended asset and its containing room/floor.</x:v>
      </x:c>
      <x:c r="Q159" s="15"/>
      <x:c r="R159" s="6"/>
      <x:c r="S159" s="16"/>
      <x:c r="T159" s="15"/>
      <x:c r="U159" s="6"/>
      <x:c r="V159" s="6"/>
      <x:c r="W159" s="6" t="str">
        <x:v>Existing search_building. Improve disambiguation and complete result pagination.</x:v>
      </x:c>
      <x:c r="X159" s="6" t="str">
        <x:v>data/train/resplan-13846/questions_basic.jsonl</x:v>
      </x:c>
      <x:c r="Y159" s="14" t="n">
        <x:v>3</x:v>
      </x:c>
      <x:c r="Z159" s="6" t="str">
        <x:v>https://github.com/hagenhaeussler/Industrial-Agents-Hackathon-2026/blob/f41616590b69f3ea0c1cbfb41d6c35edd9ce53df/data/train/resplan-13846/questions_basic.jsonl#L3</x:v>
      </x:c>
      <x:c r="AA159" s="6" t="str">
        <x:v>resplan</x:v>
      </x:c>
      <x:c r="AB159" s="6" t="str">
        <x:v>CC-BY-4.0</x:v>
      </x:c>
    </x:row>
    <x:row r="160" ht="72" customHeight="1">
      <x:c r="A160" s="14" t="n">
        <x:v>155</x:v>
      </x:c>
      <x:c r="B160" s="6" t="str">
        <x:v>locate</x:v>
      </x:c>
      <x:c r="C160" s="6" t="str">
        <x:v>Where is the single bed?</x:v>
      </x:c>
      <x:c r="D160" s="6" t="str">
        <x:v>Bedroom 0.02
Floor level: 0
Asset ID: resplan-14012-A00007
Position (m): 9.42, 7.582</x:v>
      </x:c>
      <x:c r="E160" s="6" t="str">
        <x:v>Reference supplied</x:v>
      </x:c>
      <x:c r="F160" s="6" t="str">
        <x:v>train</x:v>
      </x:c>
      <x:c r="G160" s="6" t="str">
        <x:v>resplan-14012</x:v>
      </x:c>
      <x:c r="H160" s="6" t="str">
        <x:v>resplan-14012-Q01</x:v>
      </x:c>
      <x:c r="I160" s="6" t="str">
        <x:v>Find and count assets</x:v>
      </x:c>
      <x:c r="J160" s="6" t="str">
        <x:v>Warm-up</x:v>
      </x:c>
      <x:c r="K160" s="6" t="str">
        <x:v>Room name, floor and asset identity. Coordinates may help the UI.</x:v>
      </x:c>
      <x:c r="L160" s="6" t="str">
        <x:v>T02, T03</x:v>
      </x:c>
      <x:c r="M160" s="6" t="str">
        <x:v>Find a named item and identify its containing room and floor.</x:v>
      </x:c>
      <x:c r="N160" s="6" t="str">
        <x:v>{"asset_id":"resplan-14012-A00007","space_id":"resplan-14012-F0-S002","space_name":"Bedroom 0.02","floor_level":0,"position":[9.42,7.582]}</x:v>
      </x:c>
      <x:c r="O160" s="6"/>
      <x:c r="P160" s="6" t="str">
        <x:v>Resolve the intended asset and its containing room/floor.</x:v>
      </x:c>
      <x:c r="Q160" s="15"/>
      <x:c r="R160" s="6"/>
      <x:c r="S160" s="16"/>
      <x:c r="T160" s="15"/>
      <x:c r="U160" s="6"/>
      <x:c r="V160" s="6"/>
      <x:c r="W160" s="6" t="str">
        <x:v>Existing search_building. Improve disambiguation and complete result pagination.</x:v>
      </x:c>
      <x:c r="X160" s="6" t="str">
        <x:v>data/train/resplan-14012/questions_basic.jsonl</x:v>
      </x:c>
      <x:c r="Y160" s="14" t="n">
        <x:v>1</x:v>
      </x:c>
      <x:c r="Z160" s="6" t="str">
        <x:v>https://github.com/hagenhaeussler/Industrial-Agents-Hackathon-2026/blob/f41616590b69f3ea0c1cbfb41d6c35edd9ce53df/data/train/resplan-14012/questions_basic.jsonl#L1</x:v>
      </x:c>
      <x:c r="AA160" s="6" t="str">
        <x:v>resplan</x:v>
      </x:c>
      <x:c r="AB160" s="6" t="str">
        <x:v>CC-BY-4.0</x:v>
      </x:c>
    </x:row>
    <x:row r="161" ht="72" customHeight="1">
      <x:c r="A161" s="14" t="n">
        <x:v>156</x:v>
      </x:c>
      <x:c r="B161" s="6" t="str">
        <x:v>locate</x:v>
      </x:c>
      <x:c r="C161" s="6" t="str">
        <x:v>Where is the bookshelf?</x:v>
      </x:c>
      <x:c r="D161" s="6" t="str">
        <x:v>Living room 0.01
Floor level: 0
Asset ID: resplan-14012-A00004
Position (m): 2.153, 6.905</x:v>
      </x:c>
      <x:c r="E161" s="6" t="str">
        <x:v>Reference supplied</x:v>
      </x:c>
      <x:c r="F161" s="6" t="str">
        <x:v>train</x:v>
      </x:c>
      <x:c r="G161" s="6" t="str">
        <x:v>resplan-14012</x:v>
      </x:c>
      <x:c r="H161" s="6" t="str">
        <x:v>resplan-14012-Q02</x:v>
      </x:c>
      <x:c r="I161" s="6" t="str">
        <x:v>Find and count assets</x:v>
      </x:c>
      <x:c r="J161" s="6" t="str">
        <x:v>Warm-up</x:v>
      </x:c>
      <x:c r="K161" s="6" t="str">
        <x:v>Room name, floor and asset identity. Coordinates may help the UI.</x:v>
      </x:c>
      <x:c r="L161" s="6" t="str">
        <x:v>T02, T03</x:v>
      </x:c>
      <x:c r="M161" s="6" t="str">
        <x:v>Find a named item and identify its containing room and floor.</x:v>
      </x:c>
      <x:c r="N161" s="6" t="str">
        <x:v>{"asset_id":"resplan-14012-A00004","space_id":"resplan-14012-F0-S001","space_name":"Living room 0.01","floor_level":0,"position":[2.153,6.905]}</x:v>
      </x:c>
      <x:c r="O161" s="6"/>
      <x:c r="P161" s="6" t="str">
        <x:v>Resolve the intended asset and its containing room/floor.</x:v>
      </x:c>
      <x:c r="Q161" s="15"/>
      <x:c r="R161" s="6"/>
      <x:c r="S161" s="16"/>
      <x:c r="T161" s="15"/>
      <x:c r="U161" s="6"/>
      <x:c r="V161" s="6"/>
      <x:c r="W161" s="6" t="str">
        <x:v>Existing search_building. Improve disambiguation and complete result pagination.</x:v>
      </x:c>
      <x:c r="X161" s="6" t="str">
        <x:v>data/train/resplan-14012/questions_basic.jsonl</x:v>
      </x:c>
      <x:c r="Y161" s="14" t="n">
        <x:v>2</x:v>
      </x:c>
      <x:c r="Z161" s="6" t="str">
        <x:v>https://github.com/hagenhaeussler/Industrial-Agents-Hackathon-2026/blob/f41616590b69f3ea0c1cbfb41d6c35edd9ce53df/data/train/resplan-14012/questions_basic.jsonl#L2</x:v>
      </x:c>
      <x:c r="AA161" s="6" t="str">
        <x:v>resplan</x:v>
      </x:c>
      <x:c r="AB161" s="6" t="str">
        <x:v>CC-BY-4.0</x:v>
      </x:c>
    </x:row>
    <x:row r="162" ht="72" customHeight="1">
      <x:c r="A162" s="14" t="n">
        <x:v>157</x:v>
      </x:c>
      <x:c r="B162" s="6" t="str">
        <x:v>locate</x:v>
      </x:c>
      <x:c r="C162" s="6" t="str">
        <x:v>Where is the coffee table?</x:v>
      </x:c>
      <x:c r="D162" s="6" t="str">
        <x:v>Living room 0.01
Floor level: 0
Asset ID: resplan-14012-A00002
Position (m): 2.756, 5.197</x:v>
      </x:c>
      <x:c r="E162" s="6" t="str">
        <x:v>Reference supplied</x:v>
      </x:c>
      <x:c r="F162" s="6" t="str">
        <x:v>train</x:v>
      </x:c>
      <x:c r="G162" s="6" t="str">
        <x:v>resplan-14012</x:v>
      </x:c>
      <x:c r="H162" s="6" t="str">
        <x:v>resplan-14012-Q03</x:v>
      </x:c>
      <x:c r="I162" s="6" t="str">
        <x:v>Find and count assets</x:v>
      </x:c>
      <x:c r="J162" s="6" t="str">
        <x:v>Warm-up</x:v>
      </x:c>
      <x:c r="K162" s="6" t="str">
        <x:v>Room name, floor and asset identity. Coordinates may help the UI.</x:v>
      </x:c>
      <x:c r="L162" s="6" t="str">
        <x:v>T02, T03</x:v>
      </x:c>
      <x:c r="M162" s="6" t="str">
        <x:v>Find a named item and identify its containing room and floor.</x:v>
      </x:c>
      <x:c r="N162" s="6" t="str">
        <x:v>{"asset_id":"resplan-14012-A00002","space_id":"resplan-14012-F0-S001","space_name":"Living room 0.01","floor_level":0,"position":[2.756,5.197]}</x:v>
      </x:c>
      <x:c r="O162" s="6"/>
      <x:c r="P162" s="6" t="str">
        <x:v>Resolve the intended asset and its containing room/floor.</x:v>
      </x:c>
      <x:c r="Q162" s="15"/>
      <x:c r="R162" s="6"/>
      <x:c r="S162" s="16"/>
      <x:c r="T162" s="15"/>
      <x:c r="U162" s="6"/>
      <x:c r="V162" s="6"/>
      <x:c r="W162" s="6" t="str">
        <x:v>Existing search_building. Improve disambiguation and complete result pagination.</x:v>
      </x:c>
      <x:c r="X162" s="6" t="str">
        <x:v>data/train/resplan-14012/questions_basic.jsonl</x:v>
      </x:c>
      <x:c r="Y162" s="14" t="n">
        <x:v>3</x:v>
      </x:c>
      <x:c r="Z162" s="6" t="str">
        <x:v>https://github.com/hagenhaeussler/Industrial-Agents-Hackathon-2026/blob/f41616590b69f3ea0c1cbfb41d6c35edd9ce53df/data/train/resplan-14012/questions_basic.jsonl#L3</x:v>
      </x:c>
      <x:c r="AA162" s="6" t="str">
        <x:v>resplan</x:v>
      </x:c>
      <x:c r="AB162" s="6" t="str">
        <x:v>CC-BY-4.0</x:v>
      </x:c>
    </x:row>
    <x:row r="163" ht="72" customHeight="1">
      <x:c r="A163" s="14" t="n">
        <x:v>158</x:v>
      </x:c>
      <x:c r="B163" s="6" t="str">
        <x:v>locate</x:v>
      </x:c>
      <x:c r="C163" s="6" t="str">
        <x:v>Where is the fridge?</x:v>
      </x:c>
      <x:c r="D163" s="6" t="str">
        <x:v>Kitchen 0.06
Floor level: 0
Asset ID: resplan-14211-A00021
Position (m): 10.496, 7.572</x:v>
      </x:c>
      <x:c r="E163" s="6" t="str">
        <x:v>Reference supplied</x:v>
      </x:c>
      <x:c r="F163" s="6" t="str">
        <x:v>train</x:v>
      </x:c>
      <x:c r="G163" s="6" t="str">
        <x:v>resplan-14211</x:v>
      </x:c>
      <x:c r="H163" s="6" t="str">
        <x:v>resplan-14211-Q01</x:v>
      </x:c>
      <x:c r="I163" s="6" t="str">
        <x:v>Find and count assets</x:v>
      </x:c>
      <x:c r="J163" s="6" t="str">
        <x:v>Warm-up</x:v>
      </x:c>
      <x:c r="K163" s="6" t="str">
        <x:v>Room name, floor and asset identity. Coordinates may help the UI.</x:v>
      </x:c>
      <x:c r="L163" s="6" t="str">
        <x:v>T02, T03</x:v>
      </x:c>
      <x:c r="M163" s="6" t="str">
        <x:v>Find a named item and identify its containing room and floor.</x:v>
      </x:c>
      <x:c r="N163" s="6" t="str">
        <x:v>{"asset_id":"resplan-14211-A00021","space_id":"resplan-14211-F0-S006","space_name":"Kitchen 0.06","floor_level":0,"position":[10.496,7.572]}</x:v>
      </x:c>
      <x:c r="O163" s="6"/>
      <x:c r="P163" s="6" t="str">
        <x:v>Resolve the intended asset and its containing room/floor.</x:v>
      </x:c>
      <x:c r="Q163" s="15"/>
      <x:c r="R163" s="6"/>
      <x:c r="S163" s="16"/>
      <x:c r="T163" s="15"/>
      <x:c r="U163" s="6"/>
      <x:c r="V163" s="6"/>
      <x:c r="W163" s="6" t="str">
        <x:v>Existing search_building. Improve disambiguation and complete result pagination.</x:v>
      </x:c>
      <x:c r="X163" s="6" t="str">
        <x:v>data/train/resplan-14211/questions_basic.jsonl</x:v>
      </x:c>
      <x:c r="Y163" s="14" t="n">
        <x:v>1</x:v>
      </x:c>
      <x:c r="Z163" s="6" t="str">
        <x:v>https://github.com/hagenhaeussler/Industrial-Agents-Hackathon-2026/blob/f41616590b69f3ea0c1cbfb41d6c35edd9ce53df/data/train/resplan-14211/questions_basic.jsonl#L1</x:v>
      </x:c>
      <x:c r="AA163" s="6" t="str">
        <x:v>resplan</x:v>
      </x:c>
      <x:c r="AB163" s="6" t="str">
        <x:v>CC-BY-4.0</x:v>
      </x:c>
    </x:row>
    <x:row r="164" ht="72" customHeight="1">
      <x:c r="A164" s="14" t="n">
        <x:v>159</x:v>
      </x:c>
      <x:c r="B164" s="6" t="str">
        <x:v>locate</x:v>
      </x:c>
      <x:c r="C164" s="6" t="str">
        <x:v>Where is the microwave?</x:v>
      </x:c>
      <x:c r="D164" s="6" t="str">
        <x:v>Kitchen 0.06
Floor level: 0
Asset ID: resplan-14211-A00024
Position (m): 11.173, 7.697</x:v>
      </x:c>
      <x:c r="E164" s="6" t="str">
        <x:v>Reference supplied</x:v>
      </x:c>
      <x:c r="F164" s="6" t="str">
        <x:v>train</x:v>
      </x:c>
      <x:c r="G164" s="6" t="str">
        <x:v>resplan-14211</x:v>
      </x:c>
      <x:c r="H164" s="6" t="str">
        <x:v>resplan-14211-Q02</x:v>
      </x:c>
      <x:c r="I164" s="6" t="str">
        <x:v>Find and count assets</x:v>
      </x:c>
      <x:c r="J164" s="6" t="str">
        <x:v>Warm-up</x:v>
      </x:c>
      <x:c r="K164" s="6" t="str">
        <x:v>Room name, floor and asset identity. Coordinates may help the UI.</x:v>
      </x:c>
      <x:c r="L164" s="6" t="str">
        <x:v>T02, T03</x:v>
      </x:c>
      <x:c r="M164" s="6" t="str">
        <x:v>Find a named item and identify its containing room and floor.</x:v>
      </x:c>
      <x:c r="N164" s="6" t="str">
        <x:v>{"asset_id":"resplan-14211-A00024","space_id":"resplan-14211-F0-S006","space_name":"Kitchen 0.06","floor_level":0,"position":[11.173,7.697]}</x:v>
      </x:c>
      <x:c r="O164" s="6"/>
      <x:c r="P164" s="6" t="str">
        <x:v>Resolve the intended asset and its containing room/floor.</x:v>
      </x:c>
      <x:c r="Q164" s="15"/>
      <x:c r="R164" s="6"/>
      <x:c r="S164" s="16"/>
      <x:c r="T164" s="15"/>
      <x:c r="U164" s="6"/>
      <x:c r="V164" s="6"/>
      <x:c r="W164" s="6" t="str">
        <x:v>Existing search_building. Improve disambiguation and complete result pagination.</x:v>
      </x:c>
      <x:c r="X164" s="6" t="str">
        <x:v>data/train/resplan-14211/questions_basic.jsonl</x:v>
      </x:c>
      <x:c r="Y164" s="14" t="n">
        <x:v>2</x:v>
      </x:c>
      <x:c r="Z164" s="6" t="str">
        <x:v>https://github.com/hagenhaeussler/Industrial-Agents-Hackathon-2026/blob/f41616590b69f3ea0c1cbfb41d6c35edd9ce53df/data/train/resplan-14211/questions_basic.jsonl#L2</x:v>
      </x:c>
      <x:c r="AA164" s="6" t="str">
        <x:v>resplan</x:v>
      </x:c>
      <x:c r="AB164" s="6" t="str">
        <x:v>CC-BY-4.0</x:v>
      </x:c>
    </x:row>
    <x:row r="165" ht="72" customHeight="1">
      <x:c r="A165" s="14" t="n">
        <x:v>160</x:v>
      </x:c>
      <x:c r="B165" s="6" t="str">
        <x:v>locate</x:v>
      </x:c>
      <x:c r="C165" s="6" t="str">
        <x:v>Where is the coffee table?</x:v>
      </x:c>
      <x:c r="D165" s="6" t="str">
        <x:v>Living room 0.01
Floor level: 0
Asset ID: resplan-14211-A00002
Position (m): 5.406, 5.801</x:v>
      </x:c>
      <x:c r="E165" s="6" t="str">
        <x:v>Reference supplied</x:v>
      </x:c>
      <x:c r="F165" s="6" t="str">
        <x:v>train</x:v>
      </x:c>
      <x:c r="G165" s="6" t="str">
        <x:v>resplan-14211</x:v>
      </x:c>
      <x:c r="H165" s="6" t="str">
        <x:v>resplan-14211-Q03</x:v>
      </x:c>
      <x:c r="I165" s="6" t="str">
        <x:v>Find and count assets</x:v>
      </x:c>
      <x:c r="J165" s="6" t="str">
        <x:v>Warm-up</x:v>
      </x:c>
      <x:c r="K165" s="6" t="str">
        <x:v>Room name, floor and asset identity. Coordinates may help the UI.</x:v>
      </x:c>
      <x:c r="L165" s="6" t="str">
        <x:v>T02, T03</x:v>
      </x:c>
      <x:c r="M165" s="6" t="str">
        <x:v>Find a named item and identify its containing room and floor.</x:v>
      </x:c>
      <x:c r="N165" s="6" t="str">
        <x:v>{"asset_id":"resplan-14211-A00002","space_id":"resplan-14211-F0-S001","space_name":"Living room 0.01","floor_level":0,"position":[5.406,5.801]}</x:v>
      </x:c>
      <x:c r="O165" s="6"/>
      <x:c r="P165" s="6" t="str">
        <x:v>Resolve the intended asset and its containing room/floor.</x:v>
      </x:c>
      <x:c r="Q165" s="15"/>
      <x:c r="R165" s="6"/>
      <x:c r="S165" s="16"/>
      <x:c r="T165" s="15"/>
      <x:c r="U165" s="6"/>
      <x:c r="V165" s="6"/>
      <x:c r="W165" s="6" t="str">
        <x:v>Existing search_building. Improve disambiguation and complete result pagination.</x:v>
      </x:c>
      <x:c r="X165" s="6" t="str">
        <x:v>data/train/resplan-14211/questions_basic.jsonl</x:v>
      </x:c>
      <x:c r="Y165" s="14" t="n">
        <x:v>3</x:v>
      </x:c>
      <x:c r="Z165" s="6" t="str">
        <x:v>https://github.com/hagenhaeussler/Industrial-Agents-Hackathon-2026/blob/f41616590b69f3ea0c1cbfb41d6c35edd9ce53df/data/train/resplan-14211/questions_basic.jsonl#L3</x:v>
      </x:c>
      <x:c r="AA165" s="6" t="str">
        <x:v>resplan</x:v>
      </x:c>
      <x:c r="AB165" s="6" t="str">
        <x:v>CC-BY-4.0</x:v>
      </x:c>
    </x:row>
    <x:row r="166" ht="72" customHeight="1">
      <x:c r="A166" s="14" t="n">
        <x:v>161</x:v>
      </x:c>
      <x:c r="B166" s="6" t="str">
        <x:v>locate</x:v>
      </x:c>
      <x:c r="C166" s="6" t="str">
        <x:v>Where is the tv stand?</x:v>
      </x:c>
      <x:c r="D166" s="6" t="str">
        <x:v>Living room 0.01
Floor level: 0
Asset ID: resplan-14407-A00003
Position (m): 9.383, 4.488</x:v>
      </x:c>
      <x:c r="E166" s="6" t="str">
        <x:v>Reference supplied</x:v>
      </x:c>
      <x:c r="F166" s="6" t="str">
        <x:v>train</x:v>
      </x:c>
      <x:c r="G166" s="6" t="str">
        <x:v>resplan-14407</x:v>
      </x:c>
      <x:c r="H166" s="6" t="str">
        <x:v>resplan-14407-Q01</x:v>
      </x:c>
      <x:c r="I166" s="6" t="str">
        <x:v>Find and count assets</x:v>
      </x:c>
      <x:c r="J166" s="6" t="str">
        <x:v>Warm-up</x:v>
      </x:c>
      <x:c r="K166" s="6" t="str">
        <x:v>Room name, floor and asset identity. Coordinates may help the UI.</x:v>
      </x:c>
      <x:c r="L166" s="6" t="str">
        <x:v>T02, T03</x:v>
      </x:c>
      <x:c r="M166" s="6" t="str">
        <x:v>Find a named item and identify its containing room and floor.</x:v>
      </x:c>
      <x:c r="N166" s="6" t="str">
        <x:v>{"asset_id":"resplan-14407-A00003","space_id":"resplan-14407-F0-S001","space_name":"Living room 0.01","floor_level":0,"position":[9.383,4.488]}</x:v>
      </x:c>
      <x:c r="O166" s="6"/>
      <x:c r="P166" s="6" t="str">
        <x:v>Resolve the intended asset and its containing room/floor.</x:v>
      </x:c>
      <x:c r="Q166" s="15"/>
      <x:c r="R166" s="6"/>
      <x:c r="S166" s="16"/>
      <x:c r="T166" s="15"/>
      <x:c r="U166" s="6"/>
      <x:c r="V166" s="6"/>
      <x:c r="W166" s="6" t="str">
        <x:v>Existing search_building. Improve disambiguation and complete result pagination.</x:v>
      </x:c>
      <x:c r="X166" s="6" t="str">
        <x:v>data/train/resplan-14407/questions_basic.jsonl</x:v>
      </x:c>
      <x:c r="Y166" s="14" t="n">
        <x:v>1</x:v>
      </x:c>
      <x:c r="Z166" s="6" t="str">
        <x:v>https://github.com/hagenhaeussler/Industrial-Agents-Hackathon-2026/blob/f41616590b69f3ea0c1cbfb41d6c35edd9ce53df/data/train/resplan-14407/questions_basic.jsonl#L1</x:v>
      </x:c>
      <x:c r="AA166" s="6" t="str">
        <x:v>resplan</x:v>
      </x:c>
      <x:c r="AB166" s="6" t="str">
        <x:v>CC-BY-4.0</x:v>
      </x:c>
    </x:row>
    <x:row r="167" ht="72" customHeight="1">
      <x:c r="A167" s="14" t="n">
        <x:v>162</x:v>
      </x:c>
      <x:c r="B167" s="6" t="str">
        <x:v>locate</x:v>
      </x:c>
      <x:c r="C167" s="6" t="str">
        <x:v>Where is the kitchen counter?</x:v>
      </x:c>
      <x:c r="D167" s="6" t="str">
        <x:v>Kitchen 0.08
Floor level: 0
Asset ID: resplan-14407-A00026
Position (m): 2.689, 9.131</x:v>
      </x:c>
      <x:c r="E167" s="6" t="str">
        <x:v>Reference supplied</x:v>
      </x:c>
      <x:c r="F167" s="6" t="str">
        <x:v>train</x:v>
      </x:c>
      <x:c r="G167" s="6" t="str">
        <x:v>resplan-14407</x:v>
      </x:c>
      <x:c r="H167" s="6" t="str">
        <x:v>resplan-14407-Q02</x:v>
      </x:c>
      <x:c r="I167" s="6" t="str">
        <x:v>Find and count assets</x:v>
      </x:c>
      <x:c r="J167" s="6" t="str">
        <x:v>Warm-up</x:v>
      </x:c>
      <x:c r="K167" s="6" t="str">
        <x:v>Room name, floor and asset identity. Coordinates may help the UI.</x:v>
      </x:c>
      <x:c r="L167" s="6" t="str">
        <x:v>T02, T03</x:v>
      </x:c>
      <x:c r="M167" s="6" t="str">
        <x:v>Find a named item and identify its containing room and floor.</x:v>
      </x:c>
      <x:c r="N167" s="6" t="str">
        <x:v>{"asset_id":"resplan-14407-A00026","space_id":"resplan-14407-F0-S008","space_name":"Kitchen 0.08","floor_level":0,"position":[2.689,9.131]}</x:v>
      </x:c>
      <x:c r="O167" s="6"/>
      <x:c r="P167" s="6" t="str">
        <x:v>Resolve the intended asset and its containing room/floor.</x:v>
      </x:c>
      <x:c r="Q167" s="15"/>
      <x:c r="R167" s="6"/>
      <x:c r="S167" s="16"/>
      <x:c r="T167" s="15"/>
      <x:c r="U167" s="6"/>
      <x:c r="V167" s="6"/>
      <x:c r="W167" s="6" t="str">
        <x:v>Existing search_building. Improve disambiguation and complete result pagination.</x:v>
      </x:c>
      <x:c r="X167" s="6" t="str">
        <x:v>data/train/resplan-14407/questions_basic.jsonl</x:v>
      </x:c>
      <x:c r="Y167" s="14" t="n">
        <x:v>2</x:v>
      </x:c>
      <x:c r="Z167" s="6" t="str">
        <x:v>https://github.com/hagenhaeussler/Industrial-Agents-Hackathon-2026/blob/f41616590b69f3ea0c1cbfb41d6c35edd9ce53df/data/train/resplan-14407/questions_basic.jsonl#L2</x:v>
      </x:c>
      <x:c r="AA167" s="6" t="str">
        <x:v>resplan</x:v>
      </x:c>
      <x:c r="AB167" s="6" t="str">
        <x:v>CC-BY-4.0</x:v>
      </x:c>
    </x:row>
    <x:row r="168" ht="72" customHeight="1">
      <x:c r="A168" s="14" t="n">
        <x:v>163</x:v>
      </x:c>
      <x:c r="B168" s="6" t="str">
        <x:v>locate</x:v>
      </x:c>
      <x:c r="C168" s="6" t="str">
        <x:v>Where is the coffee table?</x:v>
      </x:c>
      <x:c r="D168" s="6" t="str">
        <x:v>Living room 0.01
Floor level: 0
Asset ID: resplan-14407-A00002
Position (m): 7.939, 8.154</x:v>
      </x:c>
      <x:c r="E168" s="6" t="str">
        <x:v>Reference supplied</x:v>
      </x:c>
      <x:c r="F168" s="6" t="str">
        <x:v>train</x:v>
      </x:c>
      <x:c r="G168" s="6" t="str">
        <x:v>resplan-14407</x:v>
      </x:c>
      <x:c r="H168" s="6" t="str">
        <x:v>resplan-14407-Q03</x:v>
      </x:c>
      <x:c r="I168" s="6" t="str">
        <x:v>Find and count assets</x:v>
      </x:c>
      <x:c r="J168" s="6" t="str">
        <x:v>Warm-up</x:v>
      </x:c>
      <x:c r="K168" s="6" t="str">
        <x:v>Room name, floor and asset identity. Coordinates may help the UI.</x:v>
      </x:c>
      <x:c r="L168" s="6" t="str">
        <x:v>T02, T03</x:v>
      </x:c>
      <x:c r="M168" s="6" t="str">
        <x:v>Find a named item and identify its containing room and floor.</x:v>
      </x:c>
      <x:c r="N168" s="6" t="str">
        <x:v>{"asset_id":"resplan-14407-A00002","space_id":"resplan-14407-F0-S001","space_name":"Living room 0.01","floor_level":0,"position":[7.939,8.154]}</x:v>
      </x:c>
      <x:c r="O168" s="6"/>
      <x:c r="P168" s="6" t="str">
        <x:v>Resolve the intended asset and its containing room/floor.</x:v>
      </x:c>
      <x:c r="Q168" s="15"/>
      <x:c r="R168" s="6"/>
      <x:c r="S168" s="16"/>
      <x:c r="T168" s="15"/>
      <x:c r="U168" s="6"/>
      <x:c r="V168" s="6"/>
      <x:c r="W168" s="6" t="str">
        <x:v>Existing search_building. Improve disambiguation and complete result pagination.</x:v>
      </x:c>
      <x:c r="X168" s="6" t="str">
        <x:v>data/train/resplan-14407/questions_basic.jsonl</x:v>
      </x:c>
      <x:c r="Y168" s="14" t="n">
        <x:v>3</x:v>
      </x:c>
      <x:c r="Z168" s="6" t="str">
        <x:v>https://github.com/hagenhaeussler/Industrial-Agents-Hackathon-2026/blob/f41616590b69f3ea0c1cbfb41d6c35edd9ce53df/data/train/resplan-14407/questions_basic.jsonl#L3</x:v>
      </x:c>
      <x:c r="AA168" s="6" t="str">
        <x:v>resplan</x:v>
      </x:c>
      <x:c r="AB168" s="6" t="str">
        <x:v>CC-BY-4.0</x:v>
      </x:c>
    </x:row>
    <x:row r="169" ht="72" customHeight="1">
      <x:c r="A169" s="14" t="n">
        <x:v>164</x:v>
      </x:c>
      <x:c r="B169" s="6" t="str">
        <x:v>locate</x:v>
      </x:c>
      <x:c r="C169" s="6" t="str">
        <x:v>Where is the armchair?</x:v>
      </x:c>
      <x:c r="D169" s="6" t="str">
        <x:v>Living room 0.01
Floor level: 0
Asset ID: resplan-14602-A00004
Position (m): 6.173, 7.376</x:v>
      </x:c>
      <x:c r="E169" s="6" t="str">
        <x:v>Reference supplied</x:v>
      </x:c>
      <x:c r="F169" s="6" t="str">
        <x:v>train</x:v>
      </x:c>
      <x:c r="G169" s="6" t="str">
        <x:v>resplan-14602</x:v>
      </x:c>
      <x:c r="H169" s="6" t="str">
        <x:v>resplan-14602-Q01</x:v>
      </x:c>
      <x:c r="I169" s="6" t="str">
        <x:v>Find and count assets</x:v>
      </x:c>
      <x:c r="J169" s="6" t="str">
        <x:v>Warm-up</x:v>
      </x:c>
      <x:c r="K169" s="6" t="str">
        <x:v>Room name, floor and asset identity. Coordinates may help the UI.</x:v>
      </x:c>
      <x:c r="L169" s="6" t="str">
        <x:v>T02, T03</x:v>
      </x:c>
      <x:c r="M169" s="6" t="str">
        <x:v>Find a named item and identify its containing room and floor.</x:v>
      </x:c>
      <x:c r="N169" s="6" t="str">
        <x:v>{"asset_id":"resplan-14602-A00004","space_id":"resplan-14602-F0-S001","space_name":"Living room 0.01","floor_level":0,"position":[6.173,7.376]}</x:v>
      </x:c>
      <x:c r="O169" s="6"/>
      <x:c r="P169" s="6" t="str">
        <x:v>Resolve the intended asset and its containing room/floor.</x:v>
      </x:c>
      <x:c r="Q169" s="15"/>
      <x:c r="R169" s="6"/>
      <x:c r="S169" s="16"/>
      <x:c r="T169" s="15"/>
      <x:c r="U169" s="6"/>
      <x:c r="V169" s="6"/>
      <x:c r="W169" s="6" t="str">
        <x:v>Existing search_building. Improve disambiguation and complete result pagination.</x:v>
      </x:c>
      <x:c r="X169" s="6" t="str">
        <x:v>data/train/resplan-14602/questions_basic.jsonl</x:v>
      </x:c>
      <x:c r="Y169" s="14" t="n">
        <x:v>1</x:v>
      </x:c>
      <x:c r="Z169" s="6" t="str">
        <x:v>https://github.com/hagenhaeussler/Industrial-Agents-Hackathon-2026/blob/f41616590b69f3ea0c1cbfb41d6c35edd9ce53df/data/train/resplan-14602/questions_basic.jsonl#L1</x:v>
      </x:c>
      <x:c r="AA169" s="6" t="str">
        <x:v>resplan</x:v>
      </x:c>
      <x:c r="AB169" s="6" t="str">
        <x:v>CC-BY-4.0</x:v>
      </x:c>
    </x:row>
    <x:row r="170" ht="72" customHeight="1">
      <x:c r="A170" s="14" t="n">
        <x:v>165</x:v>
      </x:c>
      <x:c r="B170" s="6" t="str">
        <x:v>locate</x:v>
      </x:c>
      <x:c r="C170" s="6" t="str">
        <x:v>Where is the coffee machine?</x:v>
      </x:c>
      <x:c r="D170" s="6" t="str">
        <x:v>Kitchen 0.07
Floor level: 0
Asset ID: resplan-14602-A00026
Position (m): 7.864, 12.721</x:v>
      </x:c>
      <x:c r="E170" s="6" t="str">
        <x:v>Reference supplied</x:v>
      </x:c>
      <x:c r="F170" s="6" t="str">
        <x:v>train</x:v>
      </x:c>
      <x:c r="G170" s="6" t="str">
        <x:v>resplan-14602</x:v>
      </x:c>
      <x:c r="H170" s="6" t="str">
        <x:v>resplan-14602-Q02</x:v>
      </x:c>
      <x:c r="I170" s="6" t="str">
        <x:v>Find and count assets</x:v>
      </x:c>
      <x:c r="J170" s="6" t="str">
        <x:v>Warm-up</x:v>
      </x:c>
      <x:c r="K170" s="6" t="str">
        <x:v>Room name, floor and asset identity. Coordinates may help the UI.</x:v>
      </x:c>
      <x:c r="L170" s="6" t="str">
        <x:v>T02, T03</x:v>
      </x:c>
      <x:c r="M170" s="6" t="str">
        <x:v>Find a named item and identify its containing room and floor.</x:v>
      </x:c>
      <x:c r="N170" s="6" t="str">
        <x:v>{"asset_id":"resplan-14602-A00026","space_id":"resplan-14602-F0-S007","space_name":"Kitchen 0.07","floor_level":0,"position":[7.864,12.721]}</x:v>
      </x:c>
      <x:c r="O170" s="6"/>
      <x:c r="P170" s="6" t="str">
        <x:v>Resolve the intended asset and its containing room/floor.</x:v>
      </x:c>
      <x:c r="Q170" s="15"/>
      <x:c r="R170" s="6"/>
      <x:c r="S170" s="16"/>
      <x:c r="T170" s="15"/>
      <x:c r="U170" s="6"/>
      <x:c r="V170" s="6"/>
      <x:c r="W170" s="6" t="str">
        <x:v>Existing search_building. Improve disambiguation and complete result pagination.</x:v>
      </x:c>
      <x:c r="X170" s="6" t="str">
        <x:v>data/train/resplan-14602/questions_basic.jsonl</x:v>
      </x:c>
      <x:c r="Y170" s="14" t="n">
        <x:v>2</x:v>
      </x:c>
      <x:c r="Z170" s="6" t="str">
        <x:v>https://github.com/hagenhaeussler/Industrial-Agents-Hackathon-2026/blob/f41616590b69f3ea0c1cbfb41d6c35edd9ce53df/data/train/resplan-14602/questions_basic.jsonl#L2</x:v>
      </x:c>
      <x:c r="AA170" s="6" t="str">
        <x:v>resplan</x:v>
      </x:c>
      <x:c r="AB170" s="6" t="str">
        <x:v>CC-BY-4.0</x:v>
      </x:c>
    </x:row>
    <x:row r="171" ht="72" customHeight="1">
      <x:c r="A171" s="14" t="n">
        <x:v>166</x:v>
      </x:c>
      <x:c r="B171" s="6" t="str">
        <x:v>locate</x:v>
      </x:c>
      <x:c r="C171" s="6" t="str">
        <x:v>Where is the microwave?</x:v>
      </x:c>
      <x:c r="D171" s="6" t="str">
        <x:v>Kitchen 0.07
Floor level: 0
Asset ID: resplan-14602-A00025
Position (m): 10.132, 10.822</x:v>
      </x:c>
      <x:c r="E171" s="6" t="str">
        <x:v>Reference supplied</x:v>
      </x:c>
      <x:c r="F171" s="6" t="str">
        <x:v>train</x:v>
      </x:c>
      <x:c r="G171" s="6" t="str">
        <x:v>resplan-14602</x:v>
      </x:c>
      <x:c r="H171" s="6" t="str">
        <x:v>resplan-14602-Q03</x:v>
      </x:c>
      <x:c r="I171" s="6" t="str">
        <x:v>Find and count assets</x:v>
      </x:c>
      <x:c r="J171" s="6" t="str">
        <x:v>Warm-up</x:v>
      </x:c>
      <x:c r="K171" s="6" t="str">
        <x:v>Room name, floor and asset identity. Coordinates may help the UI.</x:v>
      </x:c>
      <x:c r="L171" s="6" t="str">
        <x:v>T02, T03</x:v>
      </x:c>
      <x:c r="M171" s="6" t="str">
        <x:v>Find a named item and identify its containing room and floor.</x:v>
      </x:c>
      <x:c r="N171" s="6" t="str">
        <x:v>{"asset_id":"resplan-14602-A00025","space_id":"resplan-14602-F0-S007","space_name":"Kitchen 0.07","floor_level":0,"position":[10.132,10.822]}</x:v>
      </x:c>
      <x:c r="O171" s="6"/>
      <x:c r="P171" s="6" t="str">
        <x:v>Resolve the intended asset and its containing room/floor.</x:v>
      </x:c>
      <x:c r="Q171" s="15"/>
      <x:c r="R171" s="6"/>
      <x:c r="S171" s="16"/>
      <x:c r="T171" s="15"/>
      <x:c r="U171" s="6"/>
      <x:c r="V171" s="6"/>
      <x:c r="W171" s="6" t="str">
        <x:v>Existing search_building. Improve disambiguation and complete result pagination.</x:v>
      </x:c>
      <x:c r="X171" s="6" t="str">
        <x:v>data/train/resplan-14602/questions_basic.jsonl</x:v>
      </x:c>
      <x:c r="Y171" s="14" t="n">
        <x:v>3</x:v>
      </x:c>
      <x:c r="Z171" s="6" t="str">
        <x:v>https://github.com/hagenhaeussler/Industrial-Agents-Hackathon-2026/blob/f41616590b69f3ea0c1cbfb41d6c35edd9ce53df/data/train/resplan-14602/questions_basic.jsonl#L3</x:v>
      </x:c>
      <x:c r="AA171" s="6" t="str">
        <x:v>resplan</x:v>
      </x:c>
      <x:c r="AB171" s="6" t="str">
        <x:v>CC-BY-4.0</x:v>
      </x:c>
    </x:row>
    <x:row r="172" ht="72" customHeight="1">
      <x:c r="A172" s="14" t="n">
        <x:v>167</x:v>
      </x:c>
      <x:c r="B172" s="6" t="str">
        <x:v>locate</x:v>
      </x:c>
      <x:c r="C172" s="6" t="str">
        <x:v>Where is the tv stand?</x:v>
      </x:c>
      <x:c r="D172" s="6" t="str">
        <x:v>Living room 0.01
Floor level: 0
Asset ID: resplan-15074-A00003
Position (m): 2.344, 4.341</x:v>
      </x:c>
      <x:c r="E172" s="6" t="str">
        <x:v>Reference supplied</x:v>
      </x:c>
      <x:c r="F172" s="6" t="str">
        <x:v>train</x:v>
      </x:c>
      <x:c r="G172" s="6" t="str">
        <x:v>resplan-15074</x:v>
      </x:c>
      <x:c r="H172" s="6" t="str">
        <x:v>resplan-15074-Q01</x:v>
      </x:c>
      <x:c r="I172" s="6" t="str">
        <x:v>Find and count assets</x:v>
      </x:c>
      <x:c r="J172" s="6" t="str">
        <x:v>Warm-up</x:v>
      </x:c>
      <x:c r="K172" s="6" t="str">
        <x:v>Room name, floor and asset identity. Coordinates may help the UI.</x:v>
      </x:c>
      <x:c r="L172" s="6" t="str">
        <x:v>T02, T03</x:v>
      </x:c>
      <x:c r="M172" s="6" t="str">
        <x:v>Find a named item and identify its containing room and floor.</x:v>
      </x:c>
      <x:c r="N172" s="6" t="str">
        <x:v>{"asset_id":"resplan-15074-A00003","space_id":"resplan-15074-F0-S001","space_name":"Living room 0.01","floor_level":0,"position":[2.344,4.341]}</x:v>
      </x:c>
      <x:c r="O172" s="6"/>
      <x:c r="P172" s="6" t="str">
        <x:v>Resolve the intended asset and its containing room/floor.</x:v>
      </x:c>
      <x:c r="Q172" s="15"/>
      <x:c r="R172" s="6"/>
      <x:c r="S172" s="16"/>
      <x:c r="T172" s="15"/>
      <x:c r="U172" s="6"/>
      <x:c r="V172" s="6"/>
      <x:c r="W172" s="6" t="str">
        <x:v>Existing search_building. Improve disambiguation and complete result pagination.</x:v>
      </x:c>
      <x:c r="X172" s="6" t="str">
        <x:v>data/train/resplan-15074/questions_basic.jsonl</x:v>
      </x:c>
      <x:c r="Y172" s="14" t="n">
        <x:v>1</x:v>
      </x:c>
      <x:c r="Z172" s="6" t="str">
        <x:v>https://github.com/hagenhaeussler/Industrial-Agents-Hackathon-2026/blob/f41616590b69f3ea0c1cbfb41d6c35edd9ce53df/data/train/resplan-15074/questions_basic.jsonl#L1</x:v>
      </x:c>
      <x:c r="AA172" s="6" t="str">
        <x:v>resplan</x:v>
      </x:c>
      <x:c r="AB172" s="6" t="str">
        <x:v>CC-BY-4.0</x:v>
      </x:c>
    </x:row>
    <x:row r="173" ht="72" customHeight="1">
      <x:c r="A173" s="14" t="n">
        <x:v>168</x:v>
      </x:c>
      <x:c r="B173" s="6" t="str">
        <x:v>locate</x:v>
      </x:c>
      <x:c r="C173" s="6" t="str">
        <x:v>Where is the coffee table?</x:v>
      </x:c>
      <x:c r="D173" s="6" t="str">
        <x:v>Living room 0.01
Floor level: 0
Asset ID: resplan-15074-A00002
Position (m): 4.078, 4.614</x:v>
      </x:c>
      <x:c r="E173" s="6" t="str">
        <x:v>Reference supplied</x:v>
      </x:c>
      <x:c r="F173" s="6" t="str">
        <x:v>train</x:v>
      </x:c>
      <x:c r="G173" s="6" t="str">
        <x:v>resplan-15074</x:v>
      </x:c>
      <x:c r="H173" s="6" t="str">
        <x:v>resplan-15074-Q02</x:v>
      </x:c>
      <x:c r="I173" s="6" t="str">
        <x:v>Find and count assets</x:v>
      </x:c>
      <x:c r="J173" s="6" t="str">
        <x:v>Warm-up</x:v>
      </x:c>
      <x:c r="K173" s="6" t="str">
        <x:v>Room name, floor and asset identity. Coordinates may help the UI.</x:v>
      </x:c>
      <x:c r="L173" s="6" t="str">
        <x:v>T02, T03</x:v>
      </x:c>
      <x:c r="M173" s="6" t="str">
        <x:v>Find a named item and identify its containing room and floor.</x:v>
      </x:c>
      <x:c r="N173" s="6" t="str">
        <x:v>{"asset_id":"resplan-15074-A00002","space_id":"resplan-15074-F0-S001","space_name":"Living room 0.01","floor_level":0,"position":[4.078,4.614]}</x:v>
      </x:c>
      <x:c r="O173" s="6"/>
      <x:c r="P173" s="6" t="str">
        <x:v>Resolve the intended asset and its containing room/floor.</x:v>
      </x:c>
      <x:c r="Q173" s="15"/>
      <x:c r="R173" s="6"/>
      <x:c r="S173" s="16"/>
      <x:c r="T173" s="15"/>
      <x:c r="U173" s="6"/>
      <x:c r="V173" s="6"/>
      <x:c r="W173" s="6" t="str">
        <x:v>Existing search_building. Improve disambiguation and complete result pagination.</x:v>
      </x:c>
      <x:c r="X173" s="6" t="str">
        <x:v>data/train/resplan-15074/questions_basic.jsonl</x:v>
      </x:c>
      <x:c r="Y173" s="14" t="n">
        <x:v>2</x:v>
      </x:c>
      <x:c r="Z173" s="6" t="str">
        <x:v>https://github.com/hagenhaeussler/Industrial-Agents-Hackathon-2026/blob/f41616590b69f3ea0c1cbfb41d6c35edd9ce53df/data/train/resplan-15074/questions_basic.jsonl#L2</x:v>
      </x:c>
      <x:c r="AA173" s="6" t="str">
        <x:v>resplan</x:v>
      </x:c>
      <x:c r="AB173" s="6" t="str">
        <x:v>CC-BY-4.0</x:v>
      </x:c>
    </x:row>
    <x:row r="174" ht="72" customHeight="1">
      <x:c r="A174" s="14" t="n">
        <x:v>169</x:v>
      </x:c>
      <x:c r="B174" s="6" t="str">
        <x:v>locate</x:v>
      </x:c>
      <x:c r="C174" s="6" t="str">
        <x:v>Where is the sofa?</x:v>
      </x:c>
      <x:c r="D174" s="6" t="str">
        <x:v>Living room 0.01
Floor level: 0
Asset ID: resplan-15074-A00001
Position (m): 10.952, 5.952</x:v>
      </x:c>
      <x:c r="E174" s="6" t="str">
        <x:v>Reference supplied</x:v>
      </x:c>
      <x:c r="F174" s="6" t="str">
        <x:v>train</x:v>
      </x:c>
      <x:c r="G174" s="6" t="str">
        <x:v>resplan-15074</x:v>
      </x:c>
      <x:c r="H174" s="6" t="str">
        <x:v>resplan-15074-Q03</x:v>
      </x:c>
      <x:c r="I174" s="6" t="str">
        <x:v>Find and count assets</x:v>
      </x:c>
      <x:c r="J174" s="6" t="str">
        <x:v>Warm-up</x:v>
      </x:c>
      <x:c r="K174" s="6" t="str">
        <x:v>Room name, floor and asset identity. Coordinates may help the UI.</x:v>
      </x:c>
      <x:c r="L174" s="6" t="str">
        <x:v>T02, T03</x:v>
      </x:c>
      <x:c r="M174" s="6" t="str">
        <x:v>Find a named item and identify its containing room and floor.</x:v>
      </x:c>
      <x:c r="N174" s="6" t="str">
        <x:v>{"asset_id":"resplan-15074-A00001","space_id":"resplan-15074-F0-S001","space_name":"Living room 0.01","floor_level":0,"position":[10.952,5.952]}</x:v>
      </x:c>
      <x:c r="O174" s="6"/>
      <x:c r="P174" s="6" t="str">
        <x:v>Resolve the intended asset and its containing room/floor.</x:v>
      </x:c>
      <x:c r="Q174" s="15"/>
      <x:c r="R174" s="6"/>
      <x:c r="S174" s="16"/>
      <x:c r="T174" s="15"/>
      <x:c r="U174" s="6"/>
      <x:c r="V174" s="6"/>
      <x:c r="W174" s="6" t="str">
        <x:v>Existing search_building. Improve disambiguation and complete result pagination.</x:v>
      </x:c>
      <x:c r="X174" s="6" t="str">
        <x:v>data/train/resplan-15074/questions_basic.jsonl</x:v>
      </x:c>
      <x:c r="Y174" s="14" t="n">
        <x:v>3</x:v>
      </x:c>
      <x:c r="Z174" s="6" t="str">
        <x:v>https://github.com/hagenhaeussler/Industrial-Agents-Hackathon-2026/blob/f41616590b69f3ea0c1cbfb41d6c35edd9ce53df/data/train/resplan-15074/questions_basic.jsonl#L3</x:v>
      </x:c>
      <x:c r="AA174" s="6" t="str">
        <x:v>resplan</x:v>
      </x:c>
      <x:c r="AB174" s="6" t="str">
        <x:v>CC-BY-4.0</x:v>
      </x:c>
    </x:row>
    <x:row r="175" ht="72" customHeight="1">
      <x:c r="A175" s="14" t="n">
        <x:v>170</x:v>
      </x:c>
      <x:c r="B175" s="6" t="str">
        <x:v>locate</x:v>
      </x:c>
      <x:c r="C175" s="6" t="str">
        <x:v>Where is the coffee machine?</x:v>
      </x:c>
      <x:c r="D175" s="6" t="str">
        <x:v>Kitchen 0.06
Floor level: 0
Asset ID: resplan-15183-A00025
Position (m): 11.9, 2.559</x:v>
      </x:c>
      <x:c r="E175" s="6" t="str">
        <x:v>Reference supplied</x:v>
      </x:c>
      <x:c r="F175" s="6" t="str">
        <x:v>train</x:v>
      </x:c>
      <x:c r="G175" s="6" t="str">
        <x:v>resplan-15183</x:v>
      </x:c>
      <x:c r="H175" s="6" t="str">
        <x:v>resplan-15183-Q01</x:v>
      </x:c>
      <x:c r="I175" s="6" t="str">
        <x:v>Find and count assets</x:v>
      </x:c>
      <x:c r="J175" s="6" t="str">
        <x:v>Warm-up</x:v>
      </x:c>
      <x:c r="K175" s="6" t="str">
        <x:v>Room name, floor and asset identity. Coordinates may help the UI.</x:v>
      </x:c>
      <x:c r="L175" s="6" t="str">
        <x:v>T02, T03</x:v>
      </x:c>
      <x:c r="M175" s="6" t="str">
        <x:v>Find a named item and identify its containing room and floor.</x:v>
      </x:c>
      <x:c r="N175" s="6" t="str">
        <x:v>{"asset_id":"resplan-15183-A00025","space_id":"resplan-15183-F0-S006","space_name":"Kitchen 0.06","floor_level":0,"position":[11.9,2.559]}</x:v>
      </x:c>
      <x:c r="O175" s="6"/>
      <x:c r="P175" s="6" t="str">
        <x:v>Resolve the intended asset and its containing room/floor.</x:v>
      </x:c>
      <x:c r="Q175" s="15"/>
      <x:c r="R175" s="6"/>
      <x:c r="S175" s="16"/>
      <x:c r="T175" s="15"/>
      <x:c r="U175" s="6"/>
      <x:c r="V175" s="6"/>
      <x:c r="W175" s="6" t="str">
        <x:v>Existing search_building. Improve disambiguation and complete result pagination.</x:v>
      </x:c>
      <x:c r="X175" s="6" t="str">
        <x:v>data/train/resplan-15183/questions_basic.jsonl</x:v>
      </x:c>
      <x:c r="Y175" s="14" t="n">
        <x:v>1</x:v>
      </x:c>
      <x:c r="Z175" s="6" t="str">
        <x:v>https://github.com/hagenhaeussler/Industrial-Agents-Hackathon-2026/blob/f41616590b69f3ea0c1cbfb41d6c35edd9ce53df/data/train/resplan-15183/questions_basic.jsonl#L1</x:v>
      </x:c>
      <x:c r="AA175" s="6" t="str">
        <x:v>resplan</x:v>
      </x:c>
      <x:c r="AB175" s="6" t="str">
        <x:v>CC-BY-4.0</x:v>
      </x:c>
    </x:row>
    <x:row r="176" ht="72" customHeight="1">
      <x:c r="A176" s="14" t="n">
        <x:v>171</x:v>
      </x:c>
      <x:c r="B176" s="6" t="str">
        <x:v>locate</x:v>
      </x:c>
      <x:c r="C176" s="6" t="str">
        <x:v>Where is the sofa?</x:v>
      </x:c>
      <x:c r="D176" s="6" t="str">
        <x:v>Living room 0.01
Floor level: 0
Asset ID: resplan-15183-A00001
Position (m): 4.839, 2.284</x:v>
      </x:c>
      <x:c r="E176" s="6" t="str">
        <x:v>Reference supplied</x:v>
      </x:c>
      <x:c r="F176" s="6" t="str">
        <x:v>train</x:v>
      </x:c>
      <x:c r="G176" s="6" t="str">
        <x:v>resplan-15183</x:v>
      </x:c>
      <x:c r="H176" s="6" t="str">
        <x:v>resplan-15183-Q02</x:v>
      </x:c>
      <x:c r="I176" s="6" t="str">
        <x:v>Find and count assets</x:v>
      </x:c>
      <x:c r="J176" s="6" t="str">
        <x:v>Warm-up</x:v>
      </x:c>
      <x:c r="K176" s="6" t="str">
        <x:v>Room name, floor and asset identity. Coordinates may help the UI.</x:v>
      </x:c>
      <x:c r="L176" s="6" t="str">
        <x:v>T02, T03</x:v>
      </x:c>
      <x:c r="M176" s="6" t="str">
        <x:v>Find a named item and identify its containing room and floor.</x:v>
      </x:c>
      <x:c r="N176" s="6" t="str">
        <x:v>{"asset_id":"resplan-15183-A00001","space_id":"resplan-15183-F0-S001","space_name":"Living room 0.01","floor_level":0,"position":[4.839,2.284]}</x:v>
      </x:c>
      <x:c r="O176" s="6"/>
      <x:c r="P176" s="6" t="str">
        <x:v>Resolve the intended asset and its containing room/floor.</x:v>
      </x:c>
      <x:c r="Q176" s="15"/>
      <x:c r="R176" s="6"/>
      <x:c r="S176" s="16"/>
      <x:c r="T176" s="15"/>
      <x:c r="U176" s="6"/>
      <x:c r="V176" s="6"/>
      <x:c r="W176" s="6" t="str">
        <x:v>Existing search_building. Improve disambiguation and complete result pagination.</x:v>
      </x:c>
      <x:c r="X176" s="6" t="str">
        <x:v>data/train/resplan-15183/questions_basic.jsonl</x:v>
      </x:c>
      <x:c r="Y176" s="14" t="n">
        <x:v>2</x:v>
      </x:c>
      <x:c r="Z176" s="6" t="str">
        <x:v>https://github.com/hagenhaeussler/Industrial-Agents-Hackathon-2026/blob/f41616590b69f3ea0c1cbfb41d6c35edd9ce53df/data/train/resplan-15183/questions_basic.jsonl#L2</x:v>
      </x:c>
      <x:c r="AA176" s="6" t="str">
        <x:v>resplan</x:v>
      </x:c>
      <x:c r="AB176" s="6" t="str">
        <x:v>CC-BY-4.0</x:v>
      </x:c>
    </x:row>
    <x:row r="177" ht="72" customHeight="1">
      <x:c r="A177" s="14" t="n">
        <x:v>172</x:v>
      </x:c>
      <x:c r="B177" s="6" t="str">
        <x:v>locate</x:v>
      </x:c>
      <x:c r="C177" s="6" t="str">
        <x:v>Where is the fridge?</x:v>
      </x:c>
      <x:c r="D177" s="6" t="str">
        <x:v>Kitchen 0.06
Floor level: 0
Asset ID: resplan-15183-A00022
Position (m): 10.325, 2.197</x:v>
      </x:c>
      <x:c r="E177" s="6" t="str">
        <x:v>Reference supplied</x:v>
      </x:c>
      <x:c r="F177" s="6" t="str">
        <x:v>train</x:v>
      </x:c>
      <x:c r="G177" s="6" t="str">
        <x:v>resplan-15183</x:v>
      </x:c>
      <x:c r="H177" s="6" t="str">
        <x:v>resplan-15183-Q03</x:v>
      </x:c>
      <x:c r="I177" s="6" t="str">
        <x:v>Find and count assets</x:v>
      </x:c>
      <x:c r="J177" s="6" t="str">
        <x:v>Warm-up</x:v>
      </x:c>
      <x:c r="K177" s="6" t="str">
        <x:v>Room name, floor and asset identity. Coordinates may help the UI.</x:v>
      </x:c>
      <x:c r="L177" s="6" t="str">
        <x:v>T02, T03</x:v>
      </x:c>
      <x:c r="M177" s="6" t="str">
        <x:v>Find a named item and identify its containing room and floor.</x:v>
      </x:c>
      <x:c r="N177" s="6" t="str">
        <x:v>{"asset_id":"resplan-15183-A00022","space_id":"resplan-15183-F0-S006","space_name":"Kitchen 0.06","floor_level":0,"position":[10.325,2.197]}</x:v>
      </x:c>
      <x:c r="O177" s="6"/>
      <x:c r="P177" s="6" t="str">
        <x:v>Resolve the intended asset and its containing room/floor.</x:v>
      </x:c>
      <x:c r="Q177" s="15"/>
      <x:c r="R177" s="6"/>
      <x:c r="S177" s="16"/>
      <x:c r="T177" s="15"/>
      <x:c r="U177" s="6"/>
      <x:c r="V177" s="6"/>
      <x:c r="W177" s="6" t="str">
        <x:v>Existing search_building. Improve disambiguation and complete result pagination.</x:v>
      </x:c>
      <x:c r="X177" s="6" t="str">
        <x:v>data/train/resplan-15183/questions_basic.jsonl</x:v>
      </x:c>
      <x:c r="Y177" s="14" t="n">
        <x:v>3</x:v>
      </x:c>
      <x:c r="Z177" s="6" t="str">
        <x:v>https://github.com/hagenhaeussler/Industrial-Agents-Hackathon-2026/blob/f41616590b69f3ea0c1cbfb41d6c35edd9ce53df/data/train/resplan-15183/questions_basic.jsonl#L3</x:v>
      </x:c>
      <x:c r="AA177" s="6" t="str">
        <x:v>resplan</x:v>
      </x:c>
      <x:c r="AB177" s="6" t="str">
        <x:v>CC-BY-4.0</x:v>
      </x:c>
    </x:row>
    <x:row r="178" ht="72" customHeight="1">
      <x:c r="A178" s="14" t="n">
        <x:v>173</x:v>
      </x:c>
      <x:c r="B178" s="6" t="str">
        <x:v>locate</x:v>
      </x:c>
      <x:c r="C178" s="6" t="str">
        <x:v>Where is the kitchen counter?</x:v>
      </x:c>
      <x:c r="D178" s="6" t="str">
        <x:v>Kitchen 0.06
Floor level: 0
Asset ID: resplan-15550-A00018
Position (m): 2.403, 4.739</x:v>
      </x:c>
      <x:c r="E178" s="6" t="str">
        <x:v>Reference supplied</x:v>
      </x:c>
      <x:c r="F178" s="6" t="str">
        <x:v>train</x:v>
      </x:c>
      <x:c r="G178" s="6" t="str">
        <x:v>resplan-15550</x:v>
      </x:c>
      <x:c r="H178" s="6" t="str">
        <x:v>resplan-15550-Q01</x:v>
      </x:c>
      <x:c r="I178" s="6" t="str">
        <x:v>Find and count assets</x:v>
      </x:c>
      <x:c r="J178" s="6" t="str">
        <x:v>Warm-up</x:v>
      </x:c>
      <x:c r="K178" s="6" t="str">
        <x:v>Room name, floor and asset identity. Coordinates may help the UI.</x:v>
      </x:c>
      <x:c r="L178" s="6" t="str">
        <x:v>T02, T03</x:v>
      </x:c>
      <x:c r="M178" s="6" t="str">
        <x:v>Find a named item and identify its containing room and floor.</x:v>
      </x:c>
      <x:c r="N178" s="6" t="str">
        <x:v>{"asset_id":"resplan-15550-A00018","space_id":"resplan-15550-F0-S006","space_name":"Kitchen 0.06","floor_level":0,"position":[2.403,4.739]}</x:v>
      </x:c>
      <x:c r="O178" s="6"/>
      <x:c r="P178" s="6" t="str">
        <x:v>Resolve the intended asset and its containing room/floor.</x:v>
      </x:c>
      <x:c r="Q178" s="15"/>
      <x:c r="R178" s="6"/>
      <x:c r="S178" s="16"/>
      <x:c r="T178" s="15"/>
      <x:c r="U178" s="6"/>
      <x:c r="V178" s="6"/>
      <x:c r="W178" s="6" t="str">
        <x:v>Existing search_building. Improve disambiguation and complete result pagination.</x:v>
      </x:c>
      <x:c r="X178" s="6" t="str">
        <x:v>data/train/resplan-15550/questions_basic.jsonl</x:v>
      </x:c>
      <x:c r="Y178" s="14" t="n">
        <x:v>1</x:v>
      </x:c>
      <x:c r="Z178" s="6" t="str">
        <x:v>https://github.com/hagenhaeussler/Industrial-Agents-Hackathon-2026/blob/f41616590b69f3ea0c1cbfb41d6c35edd9ce53df/data/train/resplan-15550/questions_basic.jsonl#L1</x:v>
      </x:c>
      <x:c r="AA178" s="6" t="str">
        <x:v>resplan</x:v>
      </x:c>
      <x:c r="AB178" s="6" t="str">
        <x:v>CC-BY-4.0</x:v>
      </x:c>
    </x:row>
    <x:row r="179" ht="72" customHeight="1">
      <x:c r="A179" s="14" t="n">
        <x:v>174</x:v>
      </x:c>
      <x:c r="B179" s="6" t="str">
        <x:v>locate</x:v>
      </x:c>
      <x:c r="C179" s="6" t="str">
        <x:v>Where is the sofa?</x:v>
      </x:c>
      <x:c r="D179" s="6" t="str">
        <x:v>Living room 0.01
Floor level: 0
Asset ID: resplan-15550-A00001
Position (m): 6.77, 3.1</x:v>
      </x:c>
      <x:c r="E179" s="6" t="str">
        <x:v>Reference supplied</x:v>
      </x:c>
      <x:c r="F179" s="6" t="str">
        <x:v>train</x:v>
      </x:c>
      <x:c r="G179" s="6" t="str">
        <x:v>resplan-15550</x:v>
      </x:c>
      <x:c r="H179" s="6" t="str">
        <x:v>resplan-15550-Q02</x:v>
      </x:c>
      <x:c r="I179" s="6" t="str">
        <x:v>Find and count assets</x:v>
      </x:c>
      <x:c r="J179" s="6" t="str">
        <x:v>Warm-up</x:v>
      </x:c>
      <x:c r="K179" s="6" t="str">
        <x:v>Room name, floor and asset identity. Coordinates may help the UI.</x:v>
      </x:c>
      <x:c r="L179" s="6" t="str">
        <x:v>T02, T03</x:v>
      </x:c>
      <x:c r="M179" s="6" t="str">
        <x:v>Find a named item and identify its containing room and floor.</x:v>
      </x:c>
      <x:c r="N179" s="6" t="str">
        <x:v>{"asset_id":"resplan-15550-A00001","space_id":"resplan-15550-F0-S001","space_name":"Living room 0.01","floor_level":0,"position":[6.77,3.1]}</x:v>
      </x:c>
      <x:c r="O179" s="6"/>
      <x:c r="P179" s="6" t="str">
        <x:v>Resolve the intended asset and its containing room/floor.</x:v>
      </x:c>
      <x:c r="Q179" s="15"/>
      <x:c r="R179" s="6"/>
      <x:c r="S179" s="16"/>
      <x:c r="T179" s="15"/>
      <x:c r="U179" s="6"/>
      <x:c r="V179" s="6"/>
      <x:c r="W179" s="6" t="str">
        <x:v>Existing search_building. Improve disambiguation and complete result pagination.</x:v>
      </x:c>
      <x:c r="X179" s="6" t="str">
        <x:v>data/train/resplan-15550/questions_basic.jsonl</x:v>
      </x:c>
      <x:c r="Y179" s="14" t="n">
        <x:v>2</x:v>
      </x:c>
      <x:c r="Z179" s="6" t="str">
        <x:v>https://github.com/hagenhaeussler/Industrial-Agents-Hackathon-2026/blob/f41616590b69f3ea0c1cbfb41d6c35edd9ce53df/data/train/resplan-15550/questions_basic.jsonl#L2</x:v>
      </x:c>
      <x:c r="AA179" s="6" t="str">
        <x:v>resplan</x:v>
      </x:c>
      <x:c r="AB179" s="6" t="str">
        <x:v>CC-BY-4.0</x:v>
      </x:c>
    </x:row>
    <x:row r="180" ht="72" customHeight="1">
      <x:c r="A180" s="14" t="n">
        <x:v>175</x:v>
      </x:c>
      <x:c r="B180" s="6" t="str">
        <x:v>locate</x:v>
      </x:c>
      <x:c r="C180" s="6" t="str">
        <x:v>Where is the plant?</x:v>
      </x:c>
      <x:c r="D180" s="6" t="str">
        <x:v>Balcony 0.07
Floor level: 0
Asset ID: resplan-15550-A00025
Position (m): -0.445, 8.432</x:v>
      </x:c>
      <x:c r="E180" s="6" t="str">
        <x:v>Reference supplied</x:v>
      </x:c>
      <x:c r="F180" s="6" t="str">
        <x:v>train</x:v>
      </x:c>
      <x:c r="G180" s="6" t="str">
        <x:v>resplan-15550</x:v>
      </x:c>
      <x:c r="H180" s="6" t="str">
        <x:v>resplan-15550-Q03</x:v>
      </x:c>
      <x:c r="I180" s="6" t="str">
        <x:v>Find and count assets</x:v>
      </x:c>
      <x:c r="J180" s="6" t="str">
        <x:v>Warm-up</x:v>
      </x:c>
      <x:c r="K180" s="6" t="str">
        <x:v>Room name, floor and asset identity. Coordinates may help the UI.</x:v>
      </x:c>
      <x:c r="L180" s="6" t="str">
        <x:v>T02, T03</x:v>
      </x:c>
      <x:c r="M180" s="6" t="str">
        <x:v>Find a named item and identify its containing room and floor.</x:v>
      </x:c>
      <x:c r="N180" s="6" t="str">
        <x:v>{"asset_id":"resplan-15550-A00025","space_id":"resplan-15550-F0-S007","space_name":"Balcony 0.07","floor_level":0,"position":[-0.445,8.432]}</x:v>
      </x:c>
      <x:c r="O180" s="6"/>
      <x:c r="P180" s="6" t="str">
        <x:v>Resolve the intended asset and its containing room/floor.</x:v>
      </x:c>
      <x:c r="Q180" s="15"/>
      <x:c r="R180" s="6"/>
      <x:c r="S180" s="16"/>
      <x:c r="T180" s="15"/>
      <x:c r="U180" s="6"/>
      <x:c r="V180" s="6"/>
      <x:c r="W180" s="6" t="str">
        <x:v>Existing search_building. Improve disambiguation and complete result pagination.</x:v>
      </x:c>
      <x:c r="X180" s="6" t="str">
        <x:v>data/train/resplan-15550/questions_basic.jsonl</x:v>
      </x:c>
      <x:c r="Y180" s="14" t="n">
        <x:v>3</x:v>
      </x:c>
      <x:c r="Z180" s="6" t="str">
        <x:v>https://github.com/hagenhaeussler/Industrial-Agents-Hackathon-2026/blob/f41616590b69f3ea0c1cbfb41d6c35edd9ce53df/data/train/resplan-15550/questions_basic.jsonl#L3</x:v>
      </x:c>
      <x:c r="AA180" s="6" t="str">
        <x:v>resplan</x:v>
      </x:c>
      <x:c r="AB180" s="6" t="str">
        <x:v>CC-BY-4.0</x:v>
      </x:c>
    </x:row>
    <x:row r="181" ht="72" customHeight="1">
      <x:c r="A181" s="14" t="n">
        <x:v>176</x:v>
      </x:c>
      <x:c r="B181" s="6" t="str">
        <x:v>locate</x:v>
      </x:c>
      <x:c r="C181" s="6" t="str">
        <x:v>Where is the dining table?</x:v>
      </x:c>
      <x:c r="D181" s="6" t="str">
        <x:v>Living room 0.01
Floor level: 0
Asset ID: resplan-15793-A00004
Position (m): 8.822, 6.429</x:v>
      </x:c>
      <x:c r="E181" s="6" t="str">
        <x:v>Reference supplied</x:v>
      </x:c>
      <x:c r="F181" s="6" t="str">
        <x:v>train</x:v>
      </x:c>
      <x:c r="G181" s="6" t="str">
        <x:v>resplan-15793</x:v>
      </x:c>
      <x:c r="H181" s="6" t="str">
        <x:v>resplan-15793-Q01</x:v>
      </x:c>
      <x:c r="I181" s="6" t="str">
        <x:v>Find and count assets</x:v>
      </x:c>
      <x:c r="J181" s="6" t="str">
        <x:v>Warm-up</x:v>
      </x:c>
      <x:c r="K181" s="6" t="str">
        <x:v>Room name, floor and asset identity. Coordinates may help the UI.</x:v>
      </x:c>
      <x:c r="L181" s="6" t="str">
        <x:v>T02, T03</x:v>
      </x:c>
      <x:c r="M181" s="6" t="str">
        <x:v>Find a named item and identify its containing room and floor.</x:v>
      </x:c>
      <x:c r="N181" s="6" t="str">
        <x:v>{"asset_id":"resplan-15793-A00004","space_id":"resplan-15793-F0-S001","space_name":"Living room 0.01","floor_level":0,"position":[8.822,6.429]}</x:v>
      </x:c>
      <x:c r="O181" s="6"/>
      <x:c r="P181" s="6" t="str">
        <x:v>Resolve the intended asset and its containing room/floor.</x:v>
      </x:c>
      <x:c r="Q181" s="15"/>
      <x:c r="R181" s="6"/>
      <x:c r="S181" s="16"/>
      <x:c r="T181" s="15"/>
      <x:c r="U181" s="6"/>
      <x:c r="V181" s="6"/>
      <x:c r="W181" s="6" t="str">
        <x:v>Existing search_building. Improve disambiguation and complete result pagination.</x:v>
      </x:c>
      <x:c r="X181" s="6" t="str">
        <x:v>data/train/resplan-15793/questions_basic.jsonl</x:v>
      </x:c>
      <x:c r="Y181" s="14" t="n">
        <x:v>1</x:v>
      </x:c>
      <x:c r="Z181" s="6" t="str">
        <x:v>https://github.com/hagenhaeussler/Industrial-Agents-Hackathon-2026/blob/f41616590b69f3ea0c1cbfb41d6c35edd9ce53df/data/train/resplan-15793/questions_basic.jsonl#L1</x:v>
      </x:c>
      <x:c r="AA181" s="6" t="str">
        <x:v>resplan</x:v>
      </x:c>
      <x:c r="AB181" s="6" t="str">
        <x:v>CC-BY-4.0</x:v>
      </x:c>
    </x:row>
    <x:row r="182" ht="72" customHeight="1">
      <x:c r="A182" s="14" t="n">
        <x:v>177</x:v>
      </x:c>
      <x:c r="B182" s="6" t="str">
        <x:v>locate</x:v>
      </x:c>
      <x:c r="C182" s="6" t="str">
        <x:v>Where is the sofa?</x:v>
      </x:c>
      <x:c r="D182" s="6" t="str">
        <x:v>Living room 0.01
Floor level: 0
Asset ID: resplan-15793-A00001
Position (m): 6.864, 7.155</x:v>
      </x:c>
      <x:c r="E182" s="6" t="str">
        <x:v>Reference supplied</x:v>
      </x:c>
      <x:c r="F182" s="6" t="str">
        <x:v>train</x:v>
      </x:c>
      <x:c r="G182" s="6" t="str">
        <x:v>resplan-15793</x:v>
      </x:c>
      <x:c r="H182" s="6" t="str">
        <x:v>resplan-15793-Q02</x:v>
      </x:c>
      <x:c r="I182" s="6" t="str">
        <x:v>Find and count assets</x:v>
      </x:c>
      <x:c r="J182" s="6" t="str">
        <x:v>Warm-up</x:v>
      </x:c>
      <x:c r="K182" s="6" t="str">
        <x:v>Room name, floor and asset identity. Coordinates may help the UI.</x:v>
      </x:c>
      <x:c r="L182" s="6" t="str">
        <x:v>T02, T03</x:v>
      </x:c>
      <x:c r="M182" s="6" t="str">
        <x:v>Find a named item and identify its containing room and floor.</x:v>
      </x:c>
      <x:c r="N182" s="6" t="str">
        <x:v>{"asset_id":"resplan-15793-A00001","space_id":"resplan-15793-F0-S001","space_name":"Living room 0.01","floor_level":0,"position":[6.864,7.155]}</x:v>
      </x:c>
      <x:c r="O182" s="6"/>
      <x:c r="P182" s="6" t="str">
        <x:v>Resolve the intended asset and its containing room/floor.</x:v>
      </x:c>
      <x:c r="Q182" s="15"/>
      <x:c r="R182" s="6"/>
      <x:c r="S182" s="16"/>
      <x:c r="T182" s="15"/>
      <x:c r="U182" s="6"/>
      <x:c r="V182" s="6"/>
      <x:c r="W182" s="6" t="str">
        <x:v>Existing search_building. Improve disambiguation and complete result pagination.</x:v>
      </x:c>
      <x:c r="X182" s="6" t="str">
        <x:v>data/train/resplan-15793/questions_basic.jsonl</x:v>
      </x:c>
      <x:c r="Y182" s="14" t="n">
        <x:v>2</x:v>
      </x:c>
      <x:c r="Z182" s="6" t="str">
        <x:v>https://github.com/hagenhaeussler/Industrial-Agents-Hackathon-2026/blob/f41616590b69f3ea0c1cbfb41d6c35edd9ce53df/data/train/resplan-15793/questions_basic.jsonl#L2</x:v>
      </x:c>
      <x:c r="AA182" s="6" t="str">
        <x:v>resplan</x:v>
      </x:c>
      <x:c r="AB182" s="6" t="str">
        <x:v>CC-BY-4.0</x:v>
      </x:c>
    </x:row>
    <x:row r="183" ht="72" customHeight="1">
      <x:c r="A183" s="14" t="n">
        <x:v>178</x:v>
      </x:c>
      <x:c r="B183" s="6" t="str">
        <x:v>locate</x:v>
      </x:c>
      <x:c r="C183" s="6" t="str">
        <x:v>Where is the single bed?</x:v>
      </x:c>
      <x:c r="D183" s="6" t="str">
        <x:v>Bedroom 0.02
Floor level: 0
Asset ID: resplan-15793-A00013
Position (m): 12.309, 3.889</x:v>
      </x:c>
      <x:c r="E183" s="6" t="str">
        <x:v>Reference supplied</x:v>
      </x:c>
      <x:c r="F183" s="6" t="str">
        <x:v>train</x:v>
      </x:c>
      <x:c r="G183" s="6" t="str">
        <x:v>resplan-15793</x:v>
      </x:c>
      <x:c r="H183" s="6" t="str">
        <x:v>resplan-15793-Q03</x:v>
      </x:c>
      <x:c r="I183" s="6" t="str">
        <x:v>Find and count assets</x:v>
      </x:c>
      <x:c r="J183" s="6" t="str">
        <x:v>Warm-up</x:v>
      </x:c>
      <x:c r="K183" s="6" t="str">
        <x:v>Room name, floor and asset identity. Coordinates may help the UI.</x:v>
      </x:c>
      <x:c r="L183" s="6" t="str">
        <x:v>T02, T03</x:v>
      </x:c>
      <x:c r="M183" s="6" t="str">
        <x:v>Find a named item and identify its containing room and floor.</x:v>
      </x:c>
      <x:c r="N183" s="6" t="str">
        <x:v>{"asset_id":"resplan-15793-A00013","space_id":"resplan-15793-F0-S002","space_name":"Bedroom 0.02","floor_level":0,"position":[12.309,3.889]}</x:v>
      </x:c>
      <x:c r="O183" s="6"/>
      <x:c r="P183" s="6" t="str">
        <x:v>Resolve the intended asset and its containing room/floor.</x:v>
      </x:c>
      <x:c r="Q183" s="15"/>
      <x:c r="R183" s="6"/>
      <x:c r="S183" s="16"/>
      <x:c r="T183" s="15"/>
      <x:c r="U183" s="6"/>
      <x:c r="V183" s="6"/>
      <x:c r="W183" s="6" t="str">
        <x:v>Existing search_building. Improve disambiguation and complete result pagination.</x:v>
      </x:c>
      <x:c r="X183" s="6" t="str">
        <x:v>data/train/resplan-15793/questions_basic.jsonl</x:v>
      </x:c>
      <x:c r="Y183" s="14" t="n">
        <x:v>3</x:v>
      </x:c>
      <x:c r="Z183" s="6" t="str">
        <x:v>https://github.com/hagenhaeussler/Industrial-Agents-Hackathon-2026/blob/f41616590b69f3ea0c1cbfb41d6c35edd9ce53df/data/train/resplan-15793/questions_basic.jsonl#L3</x:v>
      </x:c>
      <x:c r="AA183" s="6" t="str">
        <x:v>resplan</x:v>
      </x:c>
      <x:c r="AB183" s="6" t="str">
        <x:v>CC-BY-4.0</x:v>
      </x:c>
    </x:row>
    <x:row r="184" ht="72" customHeight="1">
      <x:c r="A184" s="14" t="n">
        <x:v>179</x:v>
      </x:c>
      <x:c r="B184" s="6" t="str">
        <x:v>locate</x:v>
      </x:c>
      <x:c r="C184" s="6" t="str">
        <x:v>Where is the sofa?</x:v>
      </x:c>
      <x:c r="D184" s="6" t="str">
        <x:v>Living room 0.01
Floor level: 0
Asset ID: resplan-16021-A00001
Position (m): 2.544, 7.786</x:v>
      </x:c>
      <x:c r="E184" s="6" t="str">
        <x:v>Reference supplied</x:v>
      </x:c>
      <x:c r="F184" s="6" t="str">
        <x:v>train</x:v>
      </x:c>
      <x:c r="G184" s="6" t="str">
        <x:v>resplan-16021</x:v>
      </x:c>
      <x:c r="H184" s="6" t="str">
        <x:v>resplan-16021-Q01</x:v>
      </x:c>
      <x:c r="I184" s="6" t="str">
        <x:v>Find and count assets</x:v>
      </x:c>
      <x:c r="J184" s="6" t="str">
        <x:v>Warm-up</x:v>
      </x:c>
      <x:c r="K184" s="6" t="str">
        <x:v>Room name, floor and asset identity. Coordinates may help the UI.</x:v>
      </x:c>
      <x:c r="L184" s="6" t="str">
        <x:v>T02, T03</x:v>
      </x:c>
      <x:c r="M184" s="6" t="str">
        <x:v>Find a named item and identify its containing room and floor.</x:v>
      </x:c>
      <x:c r="N184" s="6" t="str">
        <x:v>{"asset_id":"resplan-16021-A00001","space_id":"resplan-16021-F0-S001","space_name":"Living room 0.01","floor_level":0,"position":[2.544,7.786]}</x:v>
      </x:c>
      <x:c r="O184" s="6"/>
      <x:c r="P184" s="6" t="str">
        <x:v>Resolve the intended asset and its containing room/floor.</x:v>
      </x:c>
      <x:c r="Q184" s="15"/>
      <x:c r="R184" s="6"/>
      <x:c r="S184" s="16"/>
      <x:c r="T184" s="15"/>
      <x:c r="U184" s="6"/>
      <x:c r="V184" s="6"/>
      <x:c r="W184" s="6" t="str">
        <x:v>Existing search_building. Improve disambiguation and complete result pagination.</x:v>
      </x:c>
      <x:c r="X184" s="6" t="str">
        <x:v>data/train/resplan-16021/questions_basic.jsonl</x:v>
      </x:c>
      <x:c r="Y184" s="14" t="n">
        <x:v>1</x:v>
      </x:c>
      <x:c r="Z184" s="6" t="str">
        <x:v>https://github.com/hagenhaeussler/Industrial-Agents-Hackathon-2026/blob/f41616590b69f3ea0c1cbfb41d6c35edd9ce53df/data/train/resplan-16021/questions_basic.jsonl#L1</x:v>
      </x:c>
      <x:c r="AA184" s="6" t="str">
        <x:v>resplan</x:v>
      </x:c>
      <x:c r="AB184" s="6" t="str">
        <x:v>CC-BY-4.0</x:v>
      </x:c>
    </x:row>
    <x:row r="185" ht="72" customHeight="1">
      <x:c r="A185" s="14" t="n">
        <x:v>180</x:v>
      </x:c>
      <x:c r="B185" s="6" t="str">
        <x:v>locate</x:v>
      </x:c>
      <x:c r="C185" s="6" t="str">
        <x:v>Where is the dishwasher?</x:v>
      </x:c>
      <x:c r="D185" s="6" t="str">
        <x:v>Kitchen 0.05
Floor level: 0
Asset ID: resplan-16021-A00021
Position (m): 7.782, 7.432</x:v>
      </x:c>
      <x:c r="E185" s="6" t="str">
        <x:v>Reference supplied</x:v>
      </x:c>
      <x:c r="F185" s="6" t="str">
        <x:v>train</x:v>
      </x:c>
      <x:c r="G185" s="6" t="str">
        <x:v>resplan-16021</x:v>
      </x:c>
      <x:c r="H185" s="6" t="str">
        <x:v>resplan-16021-Q02</x:v>
      </x:c>
      <x:c r="I185" s="6" t="str">
        <x:v>Find and count assets</x:v>
      </x:c>
      <x:c r="J185" s="6" t="str">
        <x:v>Warm-up</x:v>
      </x:c>
      <x:c r="K185" s="6" t="str">
        <x:v>Room name, floor and asset identity. Coordinates may help the UI.</x:v>
      </x:c>
      <x:c r="L185" s="6" t="str">
        <x:v>T02, T03</x:v>
      </x:c>
      <x:c r="M185" s="6" t="str">
        <x:v>Find a named item and identify its containing room and floor.</x:v>
      </x:c>
      <x:c r="N185" s="6" t="str">
        <x:v>{"asset_id":"resplan-16021-A00021","space_id":"resplan-16021-F0-S005","space_name":"Kitchen 0.05","floor_level":0,"position":[7.782,7.432]}</x:v>
      </x:c>
      <x:c r="O185" s="6"/>
      <x:c r="P185" s="6" t="str">
        <x:v>Resolve the intended asset and its containing room/floor.</x:v>
      </x:c>
      <x:c r="Q185" s="15"/>
      <x:c r="R185" s="6"/>
      <x:c r="S185" s="16"/>
      <x:c r="T185" s="15"/>
      <x:c r="U185" s="6"/>
      <x:c r="V185" s="6"/>
      <x:c r="W185" s="6" t="str">
        <x:v>Existing search_building. Improve disambiguation and complete result pagination.</x:v>
      </x:c>
      <x:c r="X185" s="6" t="str">
        <x:v>data/train/resplan-16021/questions_basic.jsonl</x:v>
      </x:c>
      <x:c r="Y185" s="14" t="n">
        <x:v>2</x:v>
      </x:c>
      <x:c r="Z185" s="6" t="str">
        <x:v>https://github.com/hagenhaeussler/Industrial-Agents-Hackathon-2026/blob/f41616590b69f3ea0c1cbfb41d6c35edd9ce53df/data/train/resplan-16021/questions_basic.jsonl#L2</x:v>
      </x:c>
      <x:c r="AA185" s="6" t="str">
        <x:v>resplan</x:v>
      </x:c>
      <x:c r="AB185" s="6" t="str">
        <x:v>CC-BY-4.0</x:v>
      </x:c>
    </x:row>
    <x:row r="186" ht="72" customHeight="1">
      <x:c r="A186" s="14" t="n">
        <x:v>181</x:v>
      </x:c>
      <x:c r="B186" s="6" t="str">
        <x:v>locate</x:v>
      </x:c>
      <x:c r="C186" s="6" t="str">
        <x:v>Where is the fridge?</x:v>
      </x:c>
      <x:c r="D186" s="6" t="str">
        <x:v>Kitchen 0.05
Floor level: 0
Asset ID: resplan-16021-A00019
Position (m): 7.057, 8.896</x:v>
      </x:c>
      <x:c r="E186" s="6" t="str">
        <x:v>Reference supplied</x:v>
      </x:c>
      <x:c r="F186" s="6" t="str">
        <x:v>train</x:v>
      </x:c>
      <x:c r="G186" s="6" t="str">
        <x:v>resplan-16021</x:v>
      </x:c>
      <x:c r="H186" s="6" t="str">
        <x:v>resplan-16021-Q03</x:v>
      </x:c>
      <x:c r="I186" s="6" t="str">
        <x:v>Find and count assets</x:v>
      </x:c>
      <x:c r="J186" s="6" t="str">
        <x:v>Warm-up</x:v>
      </x:c>
      <x:c r="K186" s="6" t="str">
        <x:v>Room name, floor and asset identity. Coordinates may help the UI.</x:v>
      </x:c>
      <x:c r="L186" s="6" t="str">
        <x:v>T02, T03</x:v>
      </x:c>
      <x:c r="M186" s="6" t="str">
        <x:v>Find a named item and identify its containing room and floor.</x:v>
      </x:c>
      <x:c r="N186" s="6" t="str">
        <x:v>{"asset_id":"resplan-16021-A00019","space_id":"resplan-16021-F0-S005","space_name":"Kitchen 0.05","floor_level":0,"position":[7.057,8.896]}</x:v>
      </x:c>
      <x:c r="O186" s="6"/>
      <x:c r="P186" s="6" t="str">
        <x:v>Resolve the intended asset and its containing room/floor.</x:v>
      </x:c>
      <x:c r="Q186" s="15"/>
      <x:c r="R186" s="6"/>
      <x:c r="S186" s="16"/>
      <x:c r="T186" s="15"/>
      <x:c r="U186" s="6"/>
      <x:c r="V186" s="6"/>
      <x:c r="W186" s="6" t="str">
        <x:v>Existing search_building. Improve disambiguation and complete result pagination.</x:v>
      </x:c>
      <x:c r="X186" s="6" t="str">
        <x:v>data/train/resplan-16021/questions_basic.jsonl</x:v>
      </x:c>
      <x:c r="Y186" s="14" t="n">
        <x:v>3</x:v>
      </x:c>
      <x:c r="Z186" s="6" t="str">
        <x:v>https://github.com/hagenhaeussler/Industrial-Agents-Hackathon-2026/blob/f41616590b69f3ea0c1cbfb41d6c35edd9ce53df/data/train/resplan-16021/questions_basic.jsonl#L3</x:v>
      </x:c>
      <x:c r="AA186" s="6" t="str">
        <x:v>resplan</x:v>
      </x:c>
      <x:c r="AB186" s="6" t="str">
        <x:v>CC-BY-4.0</x:v>
      </x:c>
    </x:row>
    <x:row r="187" ht="72" customHeight="1">
      <x:c r="A187" s="14" t="n">
        <x:v>182</x:v>
      </x:c>
      <x:c r="B187" s="6" t="str">
        <x:v>locate</x:v>
      </x:c>
      <x:c r="C187" s="6" t="str">
        <x:v>Where is the dishwasher?</x:v>
      </x:c>
      <x:c r="D187" s="6" t="str">
        <x:v>Kitchen 0.08
Floor level: 0
Asset ID: resplan-16188-A00033
Position (m): 18.064, 19.572</x:v>
      </x:c>
      <x:c r="E187" s="6" t="str">
        <x:v>Reference supplied</x:v>
      </x:c>
      <x:c r="F187" s="6" t="str">
        <x:v>train</x:v>
      </x:c>
      <x:c r="G187" s="6" t="str">
        <x:v>resplan-16188</x:v>
      </x:c>
      <x:c r="H187" s="6" t="str">
        <x:v>resplan-16188-Q01</x:v>
      </x:c>
      <x:c r="I187" s="6" t="str">
        <x:v>Find and count assets</x:v>
      </x:c>
      <x:c r="J187" s="6" t="str">
        <x:v>Warm-up</x:v>
      </x:c>
      <x:c r="K187" s="6" t="str">
        <x:v>Room name, floor and asset identity. Coordinates may help the UI.</x:v>
      </x:c>
      <x:c r="L187" s="6" t="str">
        <x:v>T02, T03</x:v>
      </x:c>
      <x:c r="M187" s="6" t="str">
        <x:v>Find a named item and identify its containing room and floor.</x:v>
      </x:c>
      <x:c r="N187" s="6" t="str">
        <x:v>{"asset_id":"resplan-16188-A00033","space_id":"resplan-16188-F0-S008","space_name":"Kitchen 0.08","floor_level":0,"position":[18.064,19.572]}</x:v>
      </x:c>
      <x:c r="O187" s="6"/>
      <x:c r="P187" s="6" t="str">
        <x:v>Resolve the intended asset and its containing room/floor.</x:v>
      </x:c>
      <x:c r="Q187" s="15"/>
      <x:c r="R187" s="6"/>
      <x:c r="S187" s="16"/>
      <x:c r="T187" s="15"/>
      <x:c r="U187" s="6"/>
      <x:c r="V187" s="6"/>
      <x:c r="W187" s="6" t="str">
        <x:v>Existing search_building. Improve disambiguation and complete result pagination.</x:v>
      </x:c>
      <x:c r="X187" s="6" t="str">
        <x:v>data/train/resplan-16188/questions_basic.jsonl</x:v>
      </x:c>
      <x:c r="Y187" s="14" t="n">
        <x:v>1</x:v>
      </x:c>
      <x:c r="Z187" s="6" t="str">
        <x:v>https://github.com/hagenhaeussler/Industrial-Agents-Hackathon-2026/blob/f41616590b69f3ea0c1cbfb41d6c35edd9ce53df/data/train/resplan-16188/questions_basic.jsonl#L1</x:v>
      </x:c>
      <x:c r="AA187" s="6" t="str">
        <x:v>resplan</x:v>
      </x:c>
      <x:c r="AB187" s="6" t="str">
        <x:v>CC-BY-4.0</x:v>
      </x:c>
    </x:row>
    <x:row r="188" ht="72" customHeight="1">
      <x:c r="A188" s="14" t="n">
        <x:v>183</x:v>
      </x:c>
      <x:c r="B188" s="6" t="str">
        <x:v>locate</x:v>
      </x:c>
      <x:c r="C188" s="6" t="str">
        <x:v>Where is the coffee machine?</x:v>
      </x:c>
      <x:c r="D188" s="6" t="str">
        <x:v>Kitchen 0.08
Floor level: 0
Asset ID: resplan-16188-A00034
Position (m): 18.164, 18.234</x:v>
      </x:c>
      <x:c r="E188" s="6" t="str">
        <x:v>Reference supplied</x:v>
      </x:c>
      <x:c r="F188" s="6" t="str">
        <x:v>train</x:v>
      </x:c>
      <x:c r="G188" s="6" t="str">
        <x:v>resplan-16188</x:v>
      </x:c>
      <x:c r="H188" s="6" t="str">
        <x:v>resplan-16188-Q02</x:v>
      </x:c>
      <x:c r="I188" s="6" t="str">
        <x:v>Find and count assets</x:v>
      </x:c>
      <x:c r="J188" s="6" t="str">
        <x:v>Warm-up</x:v>
      </x:c>
      <x:c r="K188" s="6" t="str">
        <x:v>Room name, floor and asset identity. Coordinates may help the UI.</x:v>
      </x:c>
      <x:c r="L188" s="6" t="str">
        <x:v>T02, T03</x:v>
      </x:c>
      <x:c r="M188" s="6" t="str">
        <x:v>Find a named item and identify its containing room and floor.</x:v>
      </x:c>
      <x:c r="N188" s="6" t="str">
        <x:v>{"asset_id":"resplan-16188-A00034","space_id":"resplan-16188-F0-S008","space_name":"Kitchen 0.08","floor_level":0,"position":[18.164,18.234]}</x:v>
      </x:c>
      <x:c r="O188" s="6"/>
      <x:c r="P188" s="6" t="str">
        <x:v>Resolve the intended asset and its containing room/floor.</x:v>
      </x:c>
      <x:c r="Q188" s="15"/>
      <x:c r="R188" s="6"/>
      <x:c r="S188" s="16"/>
      <x:c r="T188" s="15"/>
      <x:c r="U188" s="6"/>
      <x:c r="V188" s="6"/>
      <x:c r="W188" s="6" t="str">
        <x:v>Existing search_building. Improve disambiguation and complete result pagination.</x:v>
      </x:c>
      <x:c r="X188" s="6" t="str">
        <x:v>data/train/resplan-16188/questions_basic.jsonl</x:v>
      </x:c>
      <x:c r="Y188" s="14" t="n">
        <x:v>2</x:v>
      </x:c>
      <x:c r="Z188" s="6" t="str">
        <x:v>https://github.com/hagenhaeussler/Industrial-Agents-Hackathon-2026/blob/f41616590b69f3ea0c1cbfb41d6c35edd9ce53df/data/train/resplan-16188/questions_basic.jsonl#L2</x:v>
      </x:c>
      <x:c r="AA188" s="6" t="str">
        <x:v>resplan</x:v>
      </x:c>
      <x:c r="AB188" s="6" t="str">
        <x:v>CC-BY-4.0</x:v>
      </x:c>
    </x:row>
    <x:row r="189" ht="72" customHeight="1">
      <x:c r="A189" s="14" t="n">
        <x:v>184</x:v>
      </x:c>
      <x:c r="B189" s="6" t="str">
        <x:v>locate</x:v>
      </x:c>
      <x:c r="C189" s="6" t="str">
        <x:v>Where is the coffee table?</x:v>
      </x:c>
      <x:c r="D189" s="6" t="str">
        <x:v>Living room 0.01
Floor level: 0
Asset ID: resplan-16188-A00002
Position (m): 16.698, 14.734</x:v>
      </x:c>
      <x:c r="E189" s="6" t="str">
        <x:v>Reference supplied</x:v>
      </x:c>
      <x:c r="F189" s="6" t="str">
        <x:v>train</x:v>
      </x:c>
      <x:c r="G189" s="6" t="str">
        <x:v>resplan-16188</x:v>
      </x:c>
      <x:c r="H189" s="6" t="str">
        <x:v>resplan-16188-Q03</x:v>
      </x:c>
      <x:c r="I189" s="6" t="str">
        <x:v>Find and count assets</x:v>
      </x:c>
      <x:c r="J189" s="6" t="str">
        <x:v>Warm-up</x:v>
      </x:c>
      <x:c r="K189" s="6" t="str">
        <x:v>Room name, floor and asset identity. Coordinates may help the UI.</x:v>
      </x:c>
      <x:c r="L189" s="6" t="str">
        <x:v>T02, T03</x:v>
      </x:c>
      <x:c r="M189" s="6" t="str">
        <x:v>Find a named item and identify its containing room and floor.</x:v>
      </x:c>
      <x:c r="N189" s="6" t="str">
        <x:v>{"asset_id":"resplan-16188-A00002","space_id":"resplan-16188-F0-S001","space_name":"Living room 0.01","floor_level":0,"position":[16.698,14.734]}</x:v>
      </x:c>
      <x:c r="O189" s="6"/>
      <x:c r="P189" s="6" t="str">
        <x:v>Resolve the intended asset and its containing room/floor.</x:v>
      </x:c>
      <x:c r="Q189" s="15"/>
      <x:c r="R189" s="6"/>
      <x:c r="S189" s="16"/>
      <x:c r="T189" s="15"/>
      <x:c r="U189" s="6"/>
      <x:c r="V189" s="6"/>
      <x:c r="W189" s="6" t="str">
        <x:v>Existing search_building. Improve disambiguation and complete result pagination.</x:v>
      </x:c>
      <x:c r="X189" s="6" t="str">
        <x:v>data/train/resplan-16188/questions_basic.jsonl</x:v>
      </x:c>
      <x:c r="Y189" s="14" t="n">
        <x:v>3</x:v>
      </x:c>
      <x:c r="Z189" s="6" t="str">
        <x:v>https://github.com/hagenhaeussler/Industrial-Agents-Hackathon-2026/blob/f41616590b69f3ea0c1cbfb41d6c35edd9ce53df/data/train/resplan-16188/questions_basic.jsonl#L3</x:v>
      </x:c>
      <x:c r="AA189" s="6" t="str">
        <x:v>resplan</x:v>
      </x:c>
      <x:c r="AB189" s="6" t="str">
        <x:v>CC-BY-4.0</x:v>
      </x:c>
    </x:row>
    <x:row r="190" ht="72" customHeight="1">
      <x:c r="A190" s="14" t="n">
        <x:v>185</x:v>
      </x:c>
      <x:c r="B190" s="6" t="str">
        <x:v>locate</x:v>
      </x:c>
      <x:c r="C190" s="6" t="str">
        <x:v>Where is the kitchen counter?</x:v>
      </x:c>
      <x:c r="D190" s="6" t="str">
        <x:v>Kitchen 0.07
Floor level: 0
Asset ID: resplan-16407-A00021
Position (m): 10.198, 11.35</x:v>
      </x:c>
      <x:c r="E190" s="6" t="str">
        <x:v>Reference supplied</x:v>
      </x:c>
      <x:c r="F190" s="6" t="str">
        <x:v>train</x:v>
      </x:c>
      <x:c r="G190" s="6" t="str">
        <x:v>resplan-16407</x:v>
      </x:c>
      <x:c r="H190" s="6" t="str">
        <x:v>resplan-16407-Q01</x:v>
      </x:c>
      <x:c r="I190" s="6" t="str">
        <x:v>Find and count assets</x:v>
      </x:c>
      <x:c r="J190" s="6" t="str">
        <x:v>Warm-up</x:v>
      </x:c>
      <x:c r="K190" s="6" t="str">
        <x:v>Room name, floor and asset identity. Coordinates may help the UI.</x:v>
      </x:c>
      <x:c r="L190" s="6" t="str">
        <x:v>T02, T03</x:v>
      </x:c>
      <x:c r="M190" s="6" t="str">
        <x:v>Find a named item and identify its containing room and floor.</x:v>
      </x:c>
      <x:c r="N190" s="6" t="str">
        <x:v>{"asset_id":"resplan-16407-A00021","space_id":"resplan-16407-F0-S007","space_name":"Kitchen 0.07","floor_level":0,"position":[10.198,11.35]}</x:v>
      </x:c>
      <x:c r="O190" s="6"/>
      <x:c r="P190" s="6" t="str">
        <x:v>Resolve the intended asset and its containing room/floor.</x:v>
      </x:c>
      <x:c r="Q190" s="15"/>
      <x:c r="R190" s="6"/>
      <x:c r="S190" s="16"/>
      <x:c r="T190" s="15"/>
      <x:c r="U190" s="6"/>
      <x:c r="V190" s="6"/>
      <x:c r="W190" s="6" t="str">
        <x:v>Existing search_building. Improve disambiguation and complete result pagination.</x:v>
      </x:c>
      <x:c r="X190" s="6" t="str">
        <x:v>data/train/resplan-16407/questions_basic.jsonl</x:v>
      </x:c>
      <x:c r="Y190" s="14" t="n">
        <x:v>1</x:v>
      </x:c>
      <x:c r="Z190" s="6" t="str">
        <x:v>https://github.com/hagenhaeussler/Industrial-Agents-Hackathon-2026/blob/f41616590b69f3ea0c1cbfb41d6c35edd9ce53df/data/train/resplan-16407/questions_basic.jsonl#L1</x:v>
      </x:c>
      <x:c r="AA190" s="6" t="str">
        <x:v>resplan</x:v>
      </x:c>
      <x:c r="AB190" s="6" t="str">
        <x:v>CC-BY-4.0</x:v>
      </x:c>
    </x:row>
    <x:row r="191" ht="72" customHeight="1">
      <x:c r="A191" s="14" t="n">
        <x:v>186</x:v>
      </x:c>
      <x:c r="B191" s="6" t="str">
        <x:v>locate</x:v>
      </x:c>
      <x:c r="C191" s="6" t="str">
        <x:v>Where is the tv stand?</x:v>
      </x:c>
      <x:c r="D191" s="6" t="str">
        <x:v>Living room 0.01
Floor level: 0
Asset ID: resplan-16407-A00003
Position (m): 8.16, 4.602</x:v>
      </x:c>
      <x:c r="E191" s="6" t="str">
        <x:v>Reference supplied</x:v>
      </x:c>
      <x:c r="F191" s="6" t="str">
        <x:v>train</x:v>
      </x:c>
      <x:c r="G191" s="6" t="str">
        <x:v>resplan-16407</x:v>
      </x:c>
      <x:c r="H191" s="6" t="str">
        <x:v>resplan-16407-Q02</x:v>
      </x:c>
      <x:c r="I191" s="6" t="str">
        <x:v>Find and count assets</x:v>
      </x:c>
      <x:c r="J191" s="6" t="str">
        <x:v>Warm-up</x:v>
      </x:c>
      <x:c r="K191" s="6" t="str">
        <x:v>Room name, floor and asset identity. Coordinates may help the UI.</x:v>
      </x:c>
      <x:c r="L191" s="6" t="str">
        <x:v>T02, T03</x:v>
      </x:c>
      <x:c r="M191" s="6" t="str">
        <x:v>Find a named item and identify its containing room and floor.</x:v>
      </x:c>
      <x:c r="N191" s="6" t="str">
        <x:v>{"asset_id":"resplan-16407-A00003","space_id":"resplan-16407-F0-S001","space_name":"Living room 0.01","floor_level":0,"position":[8.16,4.602]}</x:v>
      </x:c>
      <x:c r="O191" s="6"/>
      <x:c r="P191" s="6" t="str">
        <x:v>Resolve the intended asset and its containing room/floor.</x:v>
      </x:c>
      <x:c r="Q191" s="15"/>
      <x:c r="R191" s="6"/>
      <x:c r="S191" s="16"/>
      <x:c r="T191" s="15"/>
      <x:c r="U191" s="6"/>
      <x:c r="V191" s="6"/>
      <x:c r="W191" s="6" t="str">
        <x:v>Existing search_building. Improve disambiguation and complete result pagination.</x:v>
      </x:c>
      <x:c r="X191" s="6" t="str">
        <x:v>data/train/resplan-16407/questions_basic.jsonl</x:v>
      </x:c>
      <x:c r="Y191" s="14" t="n">
        <x:v>2</x:v>
      </x:c>
      <x:c r="Z191" s="6" t="str">
        <x:v>https://github.com/hagenhaeussler/Industrial-Agents-Hackathon-2026/blob/f41616590b69f3ea0c1cbfb41d6c35edd9ce53df/data/train/resplan-16407/questions_basic.jsonl#L2</x:v>
      </x:c>
      <x:c r="AA191" s="6" t="str">
        <x:v>resplan</x:v>
      </x:c>
      <x:c r="AB191" s="6" t="str">
        <x:v>CC-BY-4.0</x:v>
      </x:c>
    </x:row>
    <x:row r="192" ht="72" customHeight="1">
      <x:c r="A192" s="14" t="n">
        <x:v>187</x:v>
      </x:c>
      <x:c r="B192" s="6" t="str">
        <x:v>locate</x:v>
      </x:c>
      <x:c r="C192" s="6" t="str">
        <x:v>Where is the sofa?</x:v>
      </x:c>
      <x:c r="D192" s="6" t="str">
        <x:v>Living room 0.01
Floor level: 0
Asset ID: resplan-16407-A00001
Position (m): 1.873, 5.39</x:v>
      </x:c>
      <x:c r="E192" s="6" t="str">
        <x:v>Reference supplied</x:v>
      </x:c>
      <x:c r="F192" s="6" t="str">
        <x:v>train</x:v>
      </x:c>
      <x:c r="G192" s="6" t="str">
        <x:v>resplan-16407</x:v>
      </x:c>
      <x:c r="H192" s="6" t="str">
        <x:v>resplan-16407-Q03</x:v>
      </x:c>
      <x:c r="I192" s="6" t="str">
        <x:v>Find and count assets</x:v>
      </x:c>
      <x:c r="J192" s="6" t="str">
        <x:v>Warm-up</x:v>
      </x:c>
      <x:c r="K192" s="6" t="str">
        <x:v>Room name, floor and asset identity. Coordinates may help the UI.</x:v>
      </x:c>
      <x:c r="L192" s="6" t="str">
        <x:v>T02, T03</x:v>
      </x:c>
      <x:c r="M192" s="6" t="str">
        <x:v>Find a named item and identify its containing room and floor.</x:v>
      </x:c>
      <x:c r="N192" s="6" t="str">
        <x:v>{"asset_id":"resplan-16407-A00001","space_id":"resplan-16407-F0-S001","space_name":"Living room 0.01","floor_level":0,"position":[1.873,5.39]}</x:v>
      </x:c>
      <x:c r="O192" s="6"/>
      <x:c r="P192" s="6" t="str">
        <x:v>Resolve the intended asset and its containing room/floor.</x:v>
      </x:c>
      <x:c r="Q192" s="15"/>
      <x:c r="R192" s="6"/>
      <x:c r="S192" s="16"/>
      <x:c r="T192" s="15"/>
      <x:c r="U192" s="6"/>
      <x:c r="V192" s="6"/>
      <x:c r="W192" s="6" t="str">
        <x:v>Existing search_building. Improve disambiguation and complete result pagination.</x:v>
      </x:c>
      <x:c r="X192" s="6" t="str">
        <x:v>data/train/resplan-16407/questions_basic.jsonl</x:v>
      </x:c>
      <x:c r="Y192" s="14" t="n">
        <x:v>3</x:v>
      </x:c>
      <x:c r="Z192" s="6" t="str">
        <x:v>https://github.com/hagenhaeussler/Industrial-Agents-Hackathon-2026/blob/f41616590b69f3ea0c1cbfb41d6c35edd9ce53df/data/train/resplan-16407/questions_basic.jsonl#L3</x:v>
      </x:c>
      <x:c r="AA192" s="6" t="str">
        <x:v>resplan</x:v>
      </x:c>
      <x:c r="AB192" s="6" t="str">
        <x:v>CC-BY-4.0</x:v>
      </x:c>
    </x:row>
    <x:row r="193" ht="72" customHeight="1">
      <x:c r="A193" s="14" t="n">
        <x:v>188</x:v>
      </x:c>
      <x:c r="B193" s="6" t="str">
        <x:v>locate</x:v>
      </x:c>
      <x:c r="C193" s="6" t="str">
        <x:v>Where is the sofa?</x:v>
      </x:c>
      <x:c r="D193" s="6" t="str">
        <x:v>Living room 0.01
Floor level: 0
Asset ID: resplan-16484-A00001
Position (m): 0.52, 7.124</x:v>
      </x:c>
      <x:c r="E193" s="6" t="str">
        <x:v>Reference supplied</x:v>
      </x:c>
      <x:c r="F193" s="6" t="str">
        <x:v>train</x:v>
      </x:c>
      <x:c r="G193" s="6" t="str">
        <x:v>resplan-16484</x:v>
      </x:c>
      <x:c r="H193" s="6" t="str">
        <x:v>resplan-16484-Q01</x:v>
      </x:c>
      <x:c r="I193" s="6" t="str">
        <x:v>Find and count assets</x:v>
      </x:c>
      <x:c r="J193" s="6" t="str">
        <x:v>Warm-up</x:v>
      </x:c>
      <x:c r="K193" s="6" t="str">
        <x:v>Room name, floor and asset identity. Coordinates may help the UI.</x:v>
      </x:c>
      <x:c r="L193" s="6" t="str">
        <x:v>T02, T03</x:v>
      </x:c>
      <x:c r="M193" s="6" t="str">
        <x:v>Find a named item and identify its containing room and floor.</x:v>
      </x:c>
      <x:c r="N193" s="6" t="str">
        <x:v>{"asset_id":"resplan-16484-A00001","space_id":"resplan-16484-F0-S001","space_name":"Living room 0.01","floor_level":0,"position":[0.52,7.124]}</x:v>
      </x:c>
      <x:c r="O193" s="6"/>
      <x:c r="P193" s="6" t="str">
        <x:v>Resolve the intended asset and its containing room/floor.</x:v>
      </x:c>
      <x:c r="Q193" s="15"/>
      <x:c r="R193" s="6"/>
      <x:c r="S193" s="16"/>
      <x:c r="T193" s="15"/>
      <x:c r="U193" s="6"/>
      <x:c r="V193" s="6"/>
      <x:c r="W193" s="6" t="str">
        <x:v>Existing search_building. Improve disambiguation and complete result pagination.</x:v>
      </x:c>
      <x:c r="X193" s="6" t="str">
        <x:v>data/train/resplan-16484/questions_basic.jsonl</x:v>
      </x:c>
      <x:c r="Y193" s="14" t="n">
        <x:v>1</x:v>
      </x:c>
      <x:c r="Z193" s="6" t="str">
        <x:v>https://github.com/hagenhaeussler/Industrial-Agents-Hackathon-2026/blob/f41616590b69f3ea0c1cbfb41d6c35edd9ce53df/data/train/resplan-16484/questions_basic.jsonl#L1</x:v>
      </x:c>
      <x:c r="AA193" s="6" t="str">
        <x:v>resplan</x:v>
      </x:c>
      <x:c r="AB193" s="6" t="str">
        <x:v>CC-BY-4.0</x:v>
      </x:c>
    </x:row>
    <x:row r="194" ht="72" customHeight="1">
      <x:c r="A194" s="14" t="n">
        <x:v>189</x:v>
      </x:c>
      <x:c r="B194" s="6" t="str">
        <x:v>locate</x:v>
      </x:c>
      <x:c r="C194" s="6" t="str">
        <x:v>Where is the coffee machine?</x:v>
      </x:c>
      <x:c r="D194" s="6" t="str">
        <x:v>Kitchen 0.08
Floor level: 0
Asset ID: resplan-16484-A00031
Position (m): 1.123, 3.185</x:v>
      </x:c>
      <x:c r="E194" s="6" t="str">
        <x:v>Reference supplied</x:v>
      </x:c>
      <x:c r="F194" s="6" t="str">
        <x:v>train</x:v>
      </x:c>
      <x:c r="G194" s="6" t="str">
        <x:v>resplan-16484</x:v>
      </x:c>
      <x:c r="H194" s="6" t="str">
        <x:v>resplan-16484-Q02</x:v>
      </x:c>
      <x:c r="I194" s="6" t="str">
        <x:v>Find and count assets</x:v>
      </x:c>
      <x:c r="J194" s="6" t="str">
        <x:v>Warm-up</x:v>
      </x:c>
      <x:c r="K194" s="6" t="str">
        <x:v>Room name, floor and asset identity. Coordinates may help the UI.</x:v>
      </x:c>
      <x:c r="L194" s="6" t="str">
        <x:v>T02, T03</x:v>
      </x:c>
      <x:c r="M194" s="6" t="str">
        <x:v>Find a named item and identify its containing room and floor.</x:v>
      </x:c>
      <x:c r="N194" s="6" t="str">
        <x:v>{"asset_id":"resplan-16484-A00031","space_id":"resplan-16484-F0-S008","space_name":"Kitchen 0.08","floor_level":0,"position":[1.123,3.185]}</x:v>
      </x:c>
      <x:c r="O194" s="6"/>
      <x:c r="P194" s="6" t="str">
        <x:v>Resolve the intended asset and its containing room/floor.</x:v>
      </x:c>
      <x:c r="Q194" s="15"/>
      <x:c r="R194" s="6"/>
      <x:c r="S194" s="16"/>
      <x:c r="T194" s="15"/>
      <x:c r="U194" s="6"/>
      <x:c r="V194" s="6"/>
      <x:c r="W194" s="6" t="str">
        <x:v>Existing search_building. Improve disambiguation and complete result pagination.</x:v>
      </x:c>
      <x:c r="X194" s="6" t="str">
        <x:v>data/train/resplan-16484/questions_basic.jsonl</x:v>
      </x:c>
      <x:c r="Y194" s="14" t="n">
        <x:v>2</x:v>
      </x:c>
      <x:c r="Z194" s="6" t="str">
        <x:v>https://github.com/hagenhaeussler/Industrial-Agents-Hackathon-2026/blob/f41616590b69f3ea0c1cbfb41d6c35edd9ce53df/data/train/resplan-16484/questions_basic.jsonl#L2</x:v>
      </x:c>
      <x:c r="AA194" s="6" t="str">
        <x:v>resplan</x:v>
      </x:c>
      <x:c r="AB194" s="6" t="str">
        <x:v>CC-BY-4.0</x:v>
      </x:c>
    </x:row>
    <x:row r="195" ht="72" customHeight="1">
      <x:c r="A195" s="14" t="n">
        <x:v>190</x:v>
      </x:c>
      <x:c r="B195" s="6" t="str">
        <x:v>locate</x:v>
      </x:c>
      <x:c r="C195" s="6" t="str">
        <x:v>Where is the dining table?</x:v>
      </x:c>
      <x:c r="D195" s="6" t="str">
        <x:v>Living room 0.01
Floor level: 0
Asset ID: resplan-16484-A00004
Position (m): 6.363, 6.897</x:v>
      </x:c>
      <x:c r="E195" s="6" t="str">
        <x:v>Reference supplied</x:v>
      </x:c>
      <x:c r="F195" s="6" t="str">
        <x:v>train</x:v>
      </x:c>
      <x:c r="G195" s="6" t="str">
        <x:v>resplan-16484</x:v>
      </x:c>
      <x:c r="H195" s="6" t="str">
        <x:v>resplan-16484-Q03</x:v>
      </x:c>
      <x:c r="I195" s="6" t="str">
        <x:v>Find and count assets</x:v>
      </x:c>
      <x:c r="J195" s="6" t="str">
        <x:v>Warm-up</x:v>
      </x:c>
      <x:c r="K195" s="6" t="str">
        <x:v>Room name, floor and asset identity. Coordinates may help the UI.</x:v>
      </x:c>
      <x:c r="L195" s="6" t="str">
        <x:v>T02, T03</x:v>
      </x:c>
      <x:c r="M195" s="6" t="str">
        <x:v>Find a named item and identify its containing room and floor.</x:v>
      </x:c>
      <x:c r="N195" s="6" t="str">
        <x:v>{"asset_id":"resplan-16484-A00004","space_id":"resplan-16484-F0-S001","space_name":"Living room 0.01","floor_level":0,"position":[6.363,6.897]}</x:v>
      </x:c>
      <x:c r="O195" s="6"/>
      <x:c r="P195" s="6" t="str">
        <x:v>Resolve the intended asset and its containing room/floor.</x:v>
      </x:c>
      <x:c r="Q195" s="15"/>
      <x:c r="R195" s="6"/>
      <x:c r="S195" s="16"/>
      <x:c r="T195" s="15"/>
      <x:c r="U195" s="6"/>
      <x:c r="V195" s="6"/>
      <x:c r="W195" s="6" t="str">
        <x:v>Existing search_building. Improve disambiguation and complete result pagination.</x:v>
      </x:c>
      <x:c r="X195" s="6" t="str">
        <x:v>data/train/resplan-16484/questions_basic.jsonl</x:v>
      </x:c>
      <x:c r="Y195" s="14" t="n">
        <x:v>3</x:v>
      </x:c>
      <x:c r="Z195" s="6" t="str">
        <x:v>https://github.com/hagenhaeussler/Industrial-Agents-Hackathon-2026/blob/f41616590b69f3ea0c1cbfb41d6c35edd9ce53df/data/train/resplan-16484/questions_basic.jsonl#L3</x:v>
      </x:c>
      <x:c r="AA195" s="6" t="str">
        <x:v>resplan</x:v>
      </x:c>
      <x:c r="AB195" s="6" t="str">
        <x:v>CC-BY-4.0</x:v>
      </x:c>
    </x:row>
    <x:row r="196" ht="72" customHeight="1">
      <x:c r="A196" s="14" t="n">
        <x:v>191</x:v>
      </x:c>
      <x:c r="B196" s="6" t="str">
        <x:v>locate</x:v>
      </x:c>
      <x:c r="C196" s="6" t="str">
        <x:v>Where is the desk?</x:v>
      </x:c>
      <x:c r="D196" s="6" t="str">
        <x:v>Bedroom 0.03
Floor level: 0
Asset ID: resplan-16645-A00016
Position (m): 6.528, 3.501</x:v>
      </x:c>
      <x:c r="E196" s="6" t="str">
        <x:v>Reference supplied</x:v>
      </x:c>
      <x:c r="F196" s="6" t="str">
        <x:v>train</x:v>
      </x:c>
      <x:c r="G196" s="6" t="str">
        <x:v>resplan-16645</x:v>
      </x:c>
      <x:c r="H196" s="6" t="str">
        <x:v>resplan-16645-Q01</x:v>
      </x:c>
      <x:c r="I196" s="6" t="str">
        <x:v>Find and count assets</x:v>
      </x:c>
      <x:c r="J196" s="6" t="str">
        <x:v>Warm-up</x:v>
      </x:c>
      <x:c r="K196" s="6" t="str">
        <x:v>Room name, floor and asset identity. Coordinates may help the UI.</x:v>
      </x:c>
      <x:c r="L196" s="6" t="str">
        <x:v>T02, T03</x:v>
      </x:c>
      <x:c r="M196" s="6" t="str">
        <x:v>Find a named item and identify its containing room and floor.</x:v>
      </x:c>
      <x:c r="N196" s="6" t="str">
        <x:v>{"asset_id":"resplan-16645-A00016","space_id":"resplan-16645-F0-S003","space_name":"Bedroom 0.03","floor_level":0,"position":[6.528,3.501]}</x:v>
      </x:c>
      <x:c r="O196" s="6"/>
      <x:c r="P196" s="6" t="str">
        <x:v>Resolve the intended asset and its containing room/floor.</x:v>
      </x:c>
      <x:c r="Q196" s="15"/>
      <x:c r="R196" s="6"/>
      <x:c r="S196" s="16"/>
      <x:c r="T196" s="15"/>
      <x:c r="U196" s="6"/>
      <x:c r="V196" s="6"/>
      <x:c r="W196" s="6" t="str">
        <x:v>Existing search_building. Improve disambiguation and complete result pagination.</x:v>
      </x:c>
      <x:c r="X196" s="6" t="str">
        <x:v>data/train/resplan-16645/questions_basic.jsonl</x:v>
      </x:c>
      <x:c r="Y196" s="14" t="n">
        <x:v>1</x:v>
      </x:c>
      <x:c r="Z196" s="6" t="str">
        <x:v>https://github.com/hagenhaeussler/Industrial-Agents-Hackathon-2026/blob/f41616590b69f3ea0c1cbfb41d6c35edd9ce53df/data/train/resplan-16645/questions_basic.jsonl#L1</x:v>
      </x:c>
      <x:c r="AA196" s="6" t="str">
        <x:v>resplan</x:v>
      </x:c>
      <x:c r="AB196" s="6" t="str">
        <x:v>CC-BY-4.0</x:v>
      </x:c>
    </x:row>
    <x:row r="197" ht="72" customHeight="1">
      <x:c r="A197" s="14" t="n">
        <x:v>192</x:v>
      </x:c>
      <x:c r="B197" s="6" t="str">
        <x:v>locate</x:v>
      </x:c>
      <x:c r="C197" s="6" t="str">
        <x:v>Where is the sofa?</x:v>
      </x:c>
      <x:c r="D197" s="6" t="str">
        <x:v>Living room 0.01
Floor level: 0
Asset ID: resplan-16645-A00001
Position (m): 5.156, 8.834</x:v>
      </x:c>
      <x:c r="E197" s="6" t="str">
        <x:v>Reference supplied</x:v>
      </x:c>
      <x:c r="F197" s="6" t="str">
        <x:v>train</x:v>
      </x:c>
      <x:c r="G197" s="6" t="str">
        <x:v>resplan-16645</x:v>
      </x:c>
      <x:c r="H197" s="6" t="str">
        <x:v>resplan-16645-Q02</x:v>
      </x:c>
      <x:c r="I197" s="6" t="str">
        <x:v>Find and count assets</x:v>
      </x:c>
      <x:c r="J197" s="6" t="str">
        <x:v>Warm-up</x:v>
      </x:c>
      <x:c r="K197" s="6" t="str">
        <x:v>Room name, floor and asset identity. Coordinates may help the UI.</x:v>
      </x:c>
      <x:c r="L197" s="6" t="str">
        <x:v>T02, T03</x:v>
      </x:c>
      <x:c r="M197" s="6" t="str">
        <x:v>Find a named item and identify its containing room and floor.</x:v>
      </x:c>
      <x:c r="N197" s="6" t="str">
        <x:v>{"asset_id":"resplan-16645-A00001","space_id":"resplan-16645-F0-S001","space_name":"Living room 0.01","floor_level":0,"position":[5.156,8.834]}</x:v>
      </x:c>
      <x:c r="O197" s="6"/>
      <x:c r="P197" s="6" t="str">
        <x:v>Resolve the intended asset and its containing room/floor.</x:v>
      </x:c>
      <x:c r="Q197" s="15"/>
      <x:c r="R197" s="6"/>
      <x:c r="S197" s="16"/>
      <x:c r="T197" s="15"/>
      <x:c r="U197" s="6"/>
      <x:c r="V197" s="6"/>
      <x:c r="W197" s="6" t="str">
        <x:v>Existing search_building. Improve disambiguation and complete result pagination.</x:v>
      </x:c>
      <x:c r="X197" s="6" t="str">
        <x:v>data/train/resplan-16645/questions_basic.jsonl</x:v>
      </x:c>
      <x:c r="Y197" s="14" t="n">
        <x:v>2</x:v>
      </x:c>
      <x:c r="Z197" s="6" t="str">
        <x:v>https://github.com/hagenhaeussler/Industrial-Agents-Hackathon-2026/blob/f41616590b69f3ea0c1cbfb41d6c35edd9ce53df/data/train/resplan-16645/questions_basic.jsonl#L2</x:v>
      </x:c>
      <x:c r="AA197" s="6" t="str">
        <x:v>resplan</x:v>
      </x:c>
      <x:c r="AB197" s="6" t="str">
        <x:v>CC-BY-4.0</x:v>
      </x:c>
    </x:row>
    <x:row r="198" ht="72" customHeight="1">
      <x:c r="A198" s="14" t="n">
        <x:v>193</x:v>
      </x:c>
      <x:c r="B198" s="6" t="str">
        <x:v>locate</x:v>
      </x:c>
      <x:c r="C198" s="6" t="str">
        <x:v>Where is the tv stand?</x:v>
      </x:c>
      <x:c r="D198" s="6" t="str">
        <x:v>Living room 0.01
Floor level: 0
Asset ID: resplan-16645-A00003
Position (m): 5.422, 5.853</x:v>
      </x:c>
      <x:c r="E198" s="6" t="str">
        <x:v>Reference supplied</x:v>
      </x:c>
      <x:c r="F198" s="6" t="str">
        <x:v>train</x:v>
      </x:c>
      <x:c r="G198" s="6" t="str">
        <x:v>resplan-16645</x:v>
      </x:c>
      <x:c r="H198" s="6" t="str">
        <x:v>resplan-16645-Q03</x:v>
      </x:c>
      <x:c r="I198" s="6" t="str">
        <x:v>Find and count assets</x:v>
      </x:c>
      <x:c r="J198" s="6" t="str">
        <x:v>Warm-up</x:v>
      </x:c>
      <x:c r="K198" s="6" t="str">
        <x:v>Room name, floor and asset identity. Coordinates may help the UI.</x:v>
      </x:c>
      <x:c r="L198" s="6" t="str">
        <x:v>T02, T03</x:v>
      </x:c>
      <x:c r="M198" s="6" t="str">
        <x:v>Find a named item and identify its containing room and floor.</x:v>
      </x:c>
      <x:c r="N198" s="6" t="str">
        <x:v>{"asset_id":"resplan-16645-A00003","space_id":"resplan-16645-F0-S001","space_name":"Living room 0.01","floor_level":0,"position":[5.422,5.853]}</x:v>
      </x:c>
      <x:c r="O198" s="6"/>
      <x:c r="P198" s="6" t="str">
        <x:v>Resolve the intended asset and its containing room/floor.</x:v>
      </x:c>
      <x:c r="Q198" s="15"/>
      <x:c r="R198" s="6"/>
      <x:c r="S198" s="16"/>
      <x:c r="T198" s="15"/>
      <x:c r="U198" s="6"/>
      <x:c r="V198" s="6"/>
      <x:c r="W198" s="6" t="str">
        <x:v>Existing search_building. Improve disambiguation and complete result pagination.</x:v>
      </x:c>
      <x:c r="X198" s="6" t="str">
        <x:v>data/train/resplan-16645/questions_basic.jsonl</x:v>
      </x:c>
      <x:c r="Y198" s="14" t="n">
        <x:v>3</x:v>
      </x:c>
      <x:c r="Z198" s="6" t="str">
        <x:v>https://github.com/hagenhaeussler/Industrial-Agents-Hackathon-2026/blob/f41616590b69f3ea0c1cbfb41d6c35edd9ce53df/data/train/resplan-16645/questions_basic.jsonl#L3</x:v>
      </x:c>
      <x:c r="AA198" s="6" t="str">
        <x:v>resplan</x:v>
      </x:c>
      <x:c r="AB198" s="6" t="str">
        <x:v>CC-BY-4.0</x:v>
      </x:c>
    </x:row>
    <x:row r="199" ht="72" customHeight="1">
      <x:c r="A199" s="14" t="n">
        <x:v>194</x:v>
      </x:c>
      <x:c r="B199" s="6" t="str">
        <x:v>locate</x:v>
      </x:c>
      <x:c r="C199" s="6" t="str">
        <x:v>Where is the coffee table?</x:v>
      </x:c>
      <x:c r="D199" s="6" t="str">
        <x:v>Living room 0.01
Floor level: 0
Asset ID: resplan-16778-A00002
Position (m): 6.465, 6.052</x:v>
      </x:c>
      <x:c r="E199" s="6" t="str">
        <x:v>Reference supplied</x:v>
      </x:c>
      <x:c r="F199" s="6" t="str">
        <x:v>train</x:v>
      </x:c>
      <x:c r="G199" s="6" t="str">
        <x:v>resplan-16778</x:v>
      </x:c>
      <x:c r="H199" s="6" t="str">
        <x:v>resplan-16778-Q01</x:v>
      </x:c>
      <x:c r="I199" s="6" t="str">
        <x:v>Find and count assets</x:v>
      </x:c>
      <x:c r="J199" s="6" t="str">
        <x:v>Warm-up</x:v>
      </x:c>
      <x:c r="K199" s="6" t="str">
        <x:v>Room name, floor and asset identity. Coordinates may help the UI.</x:v>
      </x:c>
      <x:c r="L199" s="6" t="str">
        <x:v>T02, T03</x:v>
      </x:c>
      <x:c r="M199" s="6" t="str">
        <x:v>Find a named item and identify its containing room and floor.</x:v>
      </x:c>
      <x:c r="N199" s="6" t="str">
        <x:v>{"asset_id":"resplan-16778-A00002","space_id":"resplan-16778-F0-S001","space_name":"Living room 0.01","floor_level":0,"position":[6.465,6.052]}</x:v>
      </x:c>
      <x:c r="O199" s="6"/>
      <x:c r="P199" s="6" t="str">
        <x:v>Resolve the intended asset and its containing room/floor.</x:v>
      </x:c>
      <x:c r="Q199" s="15"/>
      <x:c r="R199" s="6"/>
      <x:c r="S199" s="16"/>
      <x:c r="T199" s="15"/>
      <x:c r="U199" s="6"/>
      <x:c r="V199" s="6"/>
      <x:c r="W199" s="6" t="str">
        <x:v>Existing search_building. Improve disambiguation and complete result pagination.</x:v>
      </x:c>
      <x:c r="X199" s="6" t="str">
        <x:v>data/train/resplan-16778/questions_basic.jsonl</x:v>
      </x:c>
      <x:c r="Y199" s="14" t="n">
        <x:v>1</x:v>
      </x:c>
      <x:c r="Z199" s="6" t="str">
        <x:v>https://github.com/hagenhaeussler/Industrial-Agents-Hackathon-2026/blob/f41616590b69f3ea0c1cbfb41d6c35edd9ce53df/data/train/resplan-16778/questions_basic.jsonl#L1</x:v>
      </x:c>
      <x:c r="AA199" s="6" t="str">
        <x:v>resplan</x:v>
      </x:c>
      <x:c r="AB199" s="6" t="str">
        <x:v>CC-BY-4.0</x:v>
      </x:c>
    </x:row>
    <x:row r="200" ht="72" customHeight="1">
      <x:c r="A200" s="14" t="n">
        <x:v>195</x:v>
      </x:c>
      <x:c r="B200" s="6" t="str">
        <x:v>locate</x:v>
      </x:c>
      <x:c r="C200" s="6" t="str">
        <x:v>Where is the shower?</x:v>
      </x:c>
      <x:c r="D200" s="6" t="str">
        <x:v>Bathroom 0.05
Floor level: 0
Asset ID: resplan-16778-A00019
Position (m): 1.33, 5.812</x:v>
      </x:c>
      <x:c r="E200" s="6" t="str">
        <x:v>Reference supplied</x:v>
      </x:c>
      <x:c r="F200" s="6" t="str">
        <x:v>train</x:v>
      </x:c>
      <x:c r="G200" s="6" t="str">
        <x:v>resplan-16778</x:v>
      </x:c>
      <x:c r="H200" s="6" t="str">
        <x:v>resplan-16778-Q02</x:v>
      </x:c>
      <x:c r="I200" s="6" t="str">
        <x:v>Find and count assets</x:v>
      </x:c>
      <x:c r="J200" s="6" t="str">
        <x:v>Warm-up</x:v>
      </x:c>
      <x:c r="K200" s="6" t="str">
        <x:v>Room name, floor and asset identity. Coordinates may help the UI.</x:v>
      </x:c>
      <x:c r="L200" s="6" t="str">
        <x:v>T02, T03</x:v>
      </x:c>
      <x:c r="M200" s="6" t="str">
        <x:v>Find a named item and identify its containing room and floor.</x:v>
      </x:c>
      <x:c r="N200" s="6" t="str">
        <x:v>{"asset_id":"resplan-16778-A00019","space_id":"resplan-16778-F0-S005","space_name":"Bathroom 0.05","floor_level":0,"position":[1.33,5.812]}</x:v>
      </x:c>
      <x:c r="O200" s="6"/>
      <x:c r="P200" s="6" t="str">
        <x:v>Resolve the intended asset and its containing room/floor.</x:v>
      </x:c>
      <x:c r="Q200" s="15"/>
      <x:c r="R200" s="6"/>
      <x:c r="S200" s="16"/>
      <x:c r="T200" s="15"/>
      <x:c r="U200" s="6"/>
      <x:c r="V200" s="6"/>
      <x:c r="W200" s="6" t="str">
        <x:v>Existing search_building. Improve disambiguation and complete result pagination.</x:v>
      </x:c>
      <x:c r="X200" s="6" t="str">
        <x:v>data/train/resplan-16778/questions_basic.jsonl</x:v>
      </x:c>
      <x:c r="Y200" s="14" t="n">
        <x:v>2</x:v>
      </x:c>
      <x:c r="Z200" s="6" t="str">
        <x:v>https://github.com/hagenhaeussler/Industrial-Agents-Hackathon-2026/blob/f41616590b69f3ea0c1cbfb41d6c35edd9ce53df/data/train/resplan-16778/questions_basic.jsonl#L2</x:v>
      </x:c>
      <x:c r="AA200" s="6" t="str">
        <x:v>resplan</x:v>
      </x:c>
      <x:c r="AB200" s="6" t="str">
        <x:v>CC-BY-4.0</x:v>
      </x:c>
    </x:row>
    <x:row r="201" ht="72" customHeight="1">
      <x:c r="A201" s="14" t="n">
        <x:v>196</x:v>
      </x:c>
      <x:c r="B201" s="6" t="str">
        <x:v>locate</x:v>
      </x:c>
      <x:c r="C201" s="6" t="str">
        <x:v>Where is the bookshelf?</x:v>
      </x:c>
      <x:c r="D201" s="6" t="str">
        <x:v>Living room 0.01
Floor level: 0
Asset ID: resplan-16778-A00007
Position (m): 5.223, 1.713</x:v>
      </x:c>
      <x:c r="E201" s="6" t="str">
        <x:v>Reference supplied</x:v>
      </x:c>
      <x:c r="F201" s="6" t="str">
        <x:v>train</x:v>
      </x:c>
      <x:c r="G201" s="6" t="str">
        <x:v>resplan-16778</x:v>
      </x:c>
      <x:c r="H201" s="6" t="str">
        <x:v>resplan-16778-Q03</x:v>
      </x:c>
      <x:c r="I201" s="6" t="str">
        <x:v>Find and count assets</x:v>
      </x:c>
      <x:c r="J201" s="6" t="str">
        <x:v>Warm-up</x:v>
      </x:c>
      <x:c r="K201" s="6" t="str">
        <x:v>Room name, floor and asset identity. Coordinates may help the UI.</x:v>
      </x:c>
      <x:c r="L201" s="6" t="str">
        <x:v>T02, T03</x:v>
      </x:c>
      <x:c r="M201" s="6" t="str">
        <x:v>Find a named item and identify its containing room and floor.</x:v>
      </x:c>
      <x:c r="N201" s="6" t="str">
        <x:v>{"asset_id":"resplan-16778-A00007","space_id":"resplan-16778-F0-S001","space_name":"Living room 0.01","floor_level":0,"position":[5.223,1.713]}</x:v>
      </x:c>
      <x:c r="O201" s="6"/>
      <x:c r="P201" s="6" t="str">
        <x:v>Resolve the intended asset and its containing room/floor.</x:v>
      </x:c>
      <x:c r="Q201" s="15"/>
      <x:c r="R201" s="6"/>
      <x:c r="S201" s="16"/>
      <x:c r="T201" s="15"/>
      <x:c r="U201" s="6"/>
      <x:c r="V201" s="6"/>
      <x:c r="W201" s="6" t="str">
        <x:v>Existing search_building. Improve disambiguation and complete result pagination.</x:v>
      </x:c>
      <x:c r="X201" s="6" t="str">
        <x:v>data/train/resplan-16778/questions_basic.jsonl</x:v>
      </x:c>
      <x:c r="Y201" s="14" t="n">
        <x:v>3</x:v>
      </x:c>
      <x:c r="Z201" s="6" t="str">
        <x:v>https://github.com/hagenhaeussler/Industrial-Agents-Hackathon-2026/blob/f41616590b69f3ea0c1cbfb41d6c35edd9ce53df/data/train/resplan-16778/questions_basic.jsonl#L3</x:v>
      </x:c>
      <x:c r="AA201" s="6" t="str">
        <x:v>resplan</x:v>
      </x:c>
      <x:c r="AB201" s="6" t="str">
        <x:v>CC-BY-4.0</x:v>
      </x:c>
    </x:row>
    <x:row r="202" ht="72" customHeight="1">
      <x:c r="A202" s="14" t="n">
        <x:v>197</x:v>
      </x:c>
      <x:c r="B202" s="6" t="str">
        <x:v>locate</x:v>
      </x:c>
      <x:c r="C202" s="6" t="str">
        <x:v>Where is the shower?</x:v>
      </x:c>
      <x:c r="D202" s="6" t="str">
        <x:v>Bathroom 0.04
Floor level: 0
Asset ID: resplan-1702-A00015
Position (m): 11.386, 5.195</x:v>
      </x:c>
      <x:c r="E202" s="6" t="str">
        <x:v>Reference supplied</x:v>
      </x:c>
      <x:c r="F202" s="6" t="str">
        <x:v>train</x:v>
      </x:c>
      <x:c r="G202" s="6" t="str">
        <x:v>resplan-1702</x:v>
      </x:c>
      <x:c r="H202" s="6" t="str">
        <x:v>resplan-1702-Q01</x:v>
      </x:c>
      <x:c r="I202" s="6" t="str">
        <x:v>Find and count assets</x:v>
      </x:c>
      <x:c r="J202" s="6" t="str">
        <x:v>Warm-up</x:v>
      </x:c>
      <x:c r="K202" s="6" t="str">
        <x:v>Room name, floor and asset identity. Coordinates may help the UI.</x:v>
      </x:c>
      <x:c r="L202" s="6" t="str">
        <x:v>T02, T03</x:v>
      </x:c>
      <x:c r="M202" s="6" t="str">
        <x:v>Find a named item and identify its containing room and floor.</x:v>
      </x:c>
      <x:c r="N202" s="6" t="str">
        <x:v>{"asset_id":"resplan-1702-A00015","space_id":"resplan-1702-F0-S004","space_name":"Bathroom 0.04","floor_level":0,"position":[11.386,5.195]}</x:v>
      </x:c>
      <x:c r="O202" s="6"/>
      <x:c r="P202" s="6" t="str">
        <x:v>Resolve the intended asset and its containing room/floor.</x:v>
      </x:c>
      <x:c r="Q202" s="15"/>
      <x:c r="R202" s="6"/>
      <x:c r="S202" s="16"/>
      <x:c r="T202" s="15"/>
      <x:c r="U202" s="6"/>
      <x:c r="V202" s="6"/>
      <x:c r="W202" s="6" t="str">
        <x:v>Existing search_building. Improve disambiguation and complete result pagination.</x:v>
      </x:c>
      <x:c r="X202" s="6" t="str">
        <x:v>data/train/resplan-1702/questions_basic.jsonl</x:v>
      </x:c>
      <x:c r="Y202" s="14" t="n">
        <x:v>1</x:v>
      </x:c>
      <x:c r="Z202" s="6" t="str">
        <x:v>https://github.com/hagenhaeussler/Industrial-Agents-Hackathon-2026/blob/f41616590b69f3ea0c1cbfb41d6c35edd9ce53df/data/train/resplan-1702/questions_basic.jsonl#L1</x:v>
      </x:c>
      <x:c r="AA202" s="6" t="str">
        <x:v>resplan</x:v>
      </x:c>
      <x:c r="AB202" s="6" t="str">
        <x:v>CC-BY-4.0</x:v>
      </x:c>
    </x:row>
    <x:row r="203" ht="72" customHeight="1">
      <x:c r="A203" s="14" t="n">
        <x:v>198</x:v>
      </x:c>
      <x:c r="B203" s="6" t="str">
        <x:v>locate</x:v>
      </x:c>
      <x:c r="C203" s="6" t="str">
        <x:v>Where is the single bed?</x:v>
      </x:c>
      <x:c r="D203" s="6" t="str">
        <x:v>Bedroom 0.03
Floor level: 0
Asset ID: resplan-1702-A00010
Position (m): 8.607, 9.927</x:v>
      </x:c>
      <x:c r="E203" s="6" t="str">
        <x:v>Reference supplied</x:v>
      </x:c>
      <x:c r="F203" s="6" t="str">
        <x:v>train</x:v>
      </x:c>
      <x:c r="G203" s="6" t="str">
        <x:v>resplan-1702</x:v>
      </x:c>
      <x:c r="H203" s="6" t="str">
        <x:v>resplan-1702-Q02</x:v>
      </x:c>
      <x:c r="I203" s="6" t="str">
        <x:v>Find and count assets</x:v>
      </x:c>
      <x:c r="J203" s="6" t="str">
        <x:v>Warm-up</x:v>
      </x:c>
      <x:c r="K203" s="6" t="str">
        <x:v>Room name, floor and asset identity. Coordinates may help the UI.</x:v>
      </x:c>
      <x:c r="L203" s="6" t="str">
        <x:v>T02, T03</x:v>
      </x:c>
      <x:c r="M203" s="6" t="str">
        <x:v>Find a named item and identify its containing room and floor.</x:v>
      </x:c>
      <x:c r="N203" s="6" t="str">
        <x:v>{"asset_id":"resplan-1702-A00010","space_id":"resplan-1702-F0-S003","space_name":"Bedroom 0.03","floor_level":0,"position":[8.607,9.927]}</x:v>
      </x:c>
      <x:c r="O203" s="6"/>
      <x:c r="P203" s="6" t="str">
        <x:v>Resolve the intended asset and its containing room/floor.</x:v>
      </x:c>
      <x:c r="Q203" s="15"/>
      <x:c r="R203" s="6"/>
      <x:c r="S203" s="16"/>
      <x:c r="T203" s="15"/>
      <x:c r="U203" s="6"/>
      <x:c r="V203" s="6"/>
      <x:c r="W203" s="6" t="str">
        <x:v>Existing search_building. Improve disambiguation and complete result pagination.</x:v>
      </x:c>
      <x:c r="X203" s="6" t="str">
        <x:v>data/train/resplan-1702/questions_basic.jsonl</x:v>
      </x:c>
      <x:c r="Y203" s="14" t="n">
        <x:v>2</x:v>
      </x:c>
      <x:c r="Z203" s="6" t="str">
        <x:v>https://github.com/hagenhaeussler/Industrial-Agents-Hackathon-2026/blob/f41616590b69f3ea0c1cbfb41d6c35edd9ce53df/data/train/resplan-1702/questions_basic.jsonl#L2</x:v>
      </x:c>
      <x:c r="AA203" s="6" t="str">
        <x:v>resplan</x:v>
      </x:c>
      <x:c r="AB203" s="6" t="str">
        <x:v>CC-BY-4.0</x:v>
      </x:c>
    </x:row>
    <x:row r="204" ht="72" customHeight="1">
      <x:c r="A204" s="14" t="n">
        <x:v>199</x:v>
      </x:c>
      <x:c r="B204" s="6" t="str">
        <x:v>locate</x:v>
      </x:c>
      <x:c r="C204" s="6" t="str">
        <x:v>Where is the nightstand?</x:v>
      </x:c>
      <x:c r="D204" s="6" t="str">
        <x:v>Bedroom 0.03
Floor level: 0
Asset ID: resplan-1702-A00012
Position (m): 6.234, 8.666</x:v>
      </x:c>
      <x:c r="E204" s="6" t="str">
        <x:v>Reference supplied</x:v>
      </x:c>
      <x:c r="F204" s="6" t="str">
        <x:v>train</x:v>
      </x:c>
      <x:c r="G204" s="6" t="str">
        <x:v>resplan-1702</x:v>
      </x:c>
      <x:c r="H204" s="6" t="str">
        <x:v>resplan-1702-Q03</x:v>
      </x:c>
      <x:c r="I204" s="6" t="str">
        <x:v>Find and count assets</x:v>
      </x:c>
      <x:c r="J204" s="6" t="str">
        <x:v>Warm-up</x:v>
      </x:c>
      <x:c r="K204" s="6" t="str">
        <x:v>Room name, floor and asset identity. Coordinates may help the UI.</x:v>
      </x:c>
      <x:c r="L204" s="6" t="str">
        <x:v>T02, T03</x:v>
      </x:c>
      <x:c r="M204" s="6" t="str">
        <x:v>Find a named item and identify its containing room and floor.</x:v>
      </x:c>
      <x:c r="N204" s="6" t="str">
        <x:v>{"asset_id":"resplan-1702-A00012","space_id":"resplan-1702-F0-S003","space_name":"Bedroom 0.03","floor_level":0,"position":[6.234,8.666]}</x:v>
      </x:c>
      <x:c r="O204" s="6"/>
      <x:c r="P204" s="6" t="str">
        <x:v>Resolve the intended asset and its containing room/floor.</x:v>
      </x:c>
      <x:c r="Q204" s="15"/>
      <x:c r="R204" s="6"/>
      <x:c r="S204" s="16"/>
      <x:c r="T204" s="15"/>
      <x:c r="U204" s="6"/>
      <x:c r="V204" s="6"/>
      <x:c r="W204" s="6" t="str">
        <x:v>Existing search_building. Improve disambiguation and complete result pagination.</x:v>
      </x:c>
      <x:c r="X204" s="6" t="str">
        <x:v>data/train/resplan-1702/questions_basic.jsonl</x:v>
      </x:c>
      <x:c r="Y204" s="14" t="n">
        <x:v>3</x:v>
      </x:c>
      <x:c r="Z204" s="6" t="str">
        <x:v>https://github.com/hagenhaeussler/Industrial-Agents-Hackathon-2026/blob/f41616590b69f3ea0c1cbfb41d6c35edd9ce53df/data/train/resplan-1702/questions_basic.jsonl#L3</x:v>
      </x:c>
      <x:c r="AA204" s="6" t="str">
        <x:v>resplan</x:v>
      </x:c>
      <x:c r="AB204" s="6" t="str">
        <x:v>CC-BY-4.0</x:v>
      </x:c>
    </x:row>
    <x:row r="205" ht="72" customHeight="1">
      <x:c r="A205" s="14" t="n">
        <x:v>200</x:v>
      </x:c>
      <x:c r="B205" s="6" t="str">
        <x:v>locate</x:v>
      </x:c>
      <x:c r="C205" s="6" t="str">
        <x:v>Where is the fridge?</x:v>
      </x:c>
      <x:c r="D205" s="6" t="str">
        <x:v>Kitchen 0.06
Floor level: 0
Asset ID: resplan-1804-A00020
Position (m): 0.436, 7.796</x:v>
      </x:c>
      <x:c r="E205" s="6" t="str">
        <x:v>Reference supplied</x:v>
      </x:c>
      <x:c r="F205" s="6" t="str">
        <x:v>train</x:v>
      </x:c>
      <x:c r="G205" s="6" t="str">
        <x:v>resplan-1804</x:v>
      </x:c>
      <x:c r="H205" s="6" t="str">
        <x:v>resplan-1804-Q01</x:v>
      </x:c>
      <x:c r="I205" s="6" t="str">
        <x:v>Find and count assets</x:v>
      </x:c>
      <x:c r="J205" s="6" t="str">
        <x:v>Warm-up</x:v>
      </x:c>
      <x:c r="K205" s="6" t="str">
        <x:v>Room name, floor and asset identity. Coordinates may help the UI.</x:v>
      </x:c>
      <x:c r="L205" s="6" t="str">
        <x:v>T02, T03</x:v>
      </x:c>
      <x:c r="M205" s="6" t="str">
        <x:v>Find a named item and identify its containing room and floor.</x:v>
      </x:c>
      <x:c r="N205" s="6" t="str">
        <x:v>{"asset_id":"resplan-1804-A00020","space_id":"resplan-1804-F0-S006","space_name":"Kitchen 0.06","floor_level":0,"position":[0.436,7.796]}</x:v>
      </x:c>
      <x:c r="O205" s="6"/>
      <x:c r="P205" s="6" t="str">
        <x:v>Resolve the intended asset and its containing room/floor.</x:v>
      </x:c>
      <x:c r="Q205" s="15"/>
      <x:c r="R205" s="6"/>
      <x:c r="S205" s="16"/>
      <x:c r="T205" s="15"/>
      <x:c r="U205" s="6"/>
      <x:c r="V205" s="6"/>
      <x:c r="W205" s="6" t="str">
        <x:v>Existing search_building. Improve disambiguation and complete result pagination.</x:v>
      </x:c>
      <x:c r="X205" s="6" t="str">
        <x:v>data/train/resplan-1804/questions_basic.jsonl</x:v>
      </x:c>
      <x:c r="Y205" s="14" t="n">
        <x:v>1</x:v>
      </x:c>
      <x:c r="Z205" s="6" t="str">
        <x:v>https://github.com/hagenhaeussler/Industrial-Agents-Hackathon-2026/blob/f41616590b69f3ea0c1cbfb41d6c35edd9ce53df/data/train/resplan-1804/questions_basic.jsonl#L1</x:v>
      </x:c>
      <x:c r="AA205" s="6" t="str">
        <x:v>resplan</x:v>
      </x:c>
      <x:c r="AB205" s="6" t="str">
        <x:v>CC-BY-4.0</x:v>
      </x:c>
    </x:row>
    <x:row r="206" ht="72" customHeight="1">
      <x:c r="A206" s="14" t="n">
        <x:v>201</x:v>
      </x:c>
      <x:c r="B206" s="6" t="str">
        <x:v>locate</x:v>
      </x:c>
      <x:c r="C206" s="6" t="str">
        <x:v>Where is the coffee machine?</x:v>
      </x:c>
      <x:c r="D206" s="6" t="str">
        <x:v>Kitchen 0.06
Floor level: 0
Asset ID: resplan-1804-A00022
Position (m): 2.368, 7.913</x:v>
      </x:c>
      <x:c r="E206" s="6" t="str">
        <x:v>Reference supplied</x:v>
      </x:c>
      <x:c r="F206" s="6" t="str">
        <x:v>train</x:v>
      </x:c>
      <x:c r="G206" s="6" t="str">
        <x:v>resplan-1804</x:v>
      </x:c>
      <x:c r="H206" s="6" t="str">
        <x:v>resplan-1804-Q02</x:v>
      </x:c>
      <x:c r="I206" s="6" t="str">
        <x:v>Find and count assets</x:v>
      </x:c>
      <x:c r="J206" s="6" t="str">
        <x:v>Warm-up</x:v>
      </x:c>
      <x:c r="K206" s="6" t="str">
        <x:v>Room name, floor and asset identity. Coordinates may help the UI.</x:v>
      </x:c>
      <x:c r="L206" s="6" t="str">
        <x:v>T02, T03</x:v>
      </x:c>
      <x:c r="M206" s="6" t="str">
        <x:v>Find a named item and identify its containing room and floor.</x:v>
      </x:c>
      <x:c r="N206" s="6" t="str">
        <x:v>{"asset_id":"resplan-1804-A00022","space_id":"resplan-1804-F0-S006","space_name":"Kitchen 0.06","floor_level":0,"position":[2.368,7.913]}</x:v>
      </x:c>
      <x:c r="O206" s="6"/>
      <x:c r="P206" s="6" t="str">
        <x:v>Resolve the intended asset and its containing room/floor.</x:v>
      </x:c>
      <x:c r="Q206" s="15"/>
      <x:c r="R206" s="6"/>
      <x:c r="S206" s="16"/>
      <x:c r="T206" s="15"/>
      <x:c r="U206" s="6"/>
      <x:c r="V206" s="6"/>
      <x:c r="W206" s="6" t="str">
        <x:v>Existing search_building. Improve disambiguation and complete result pagination.</x:v>
      </x:c>
      <x:c r="X206" s="6" t="str">
        <x:v>data/train/resplan-1804/questions_basic.jsonl</x:v>
      </x:c>
      <x:c r="Y206" s="14" t="n">
        <x:v>2</x:v>
      </x:c>
      <x:c r="Z206" s="6" t="str">
        <x:v>https://github.com/hagenhaeussler/Industrial-Agents-Hackathon-2026/blob/f41616590b69f3ea0c1cbfb41d6c35edd9ce53df/data/train/resplan-1804/questions_basic.jsonl#L2</x:v>
      </x:c>
      <x:c r="AA206" s="6" t="str">
        <x:v>resplan</x:v>
      </x:c>
      <x:c r="AB206" s="6" t="str">
        <x:v>CC-BY-4.0</x:v>
      </x:c>
    </x:row>
    <x:row r="207" ht="72" customHeight="1">
      <x:c r="A207" s="14" t="n">
        <x:v>202</x:v>
      </x:c>
      <x:c r="B207" s="6" t="str">
        <x:v>locate</x:v>
      </x:c>
      <x:c r="C207" s="6" t="str">
        <x:v>Where is the single bed?</x:v>
      </x:c>
      <x:c r="D207" s="6" t="str">
        <x:v>Bedroom 0.03
Floor level: 0
Asset ID: resplan-1804-A00012
Position (m): 8.56, 5.723</x:v>
      </x:c>
      <x:c r="E207" s="6" t="str">
        <x:v>Reference supplied</x:v>
      </x:c>
      <x:c r="F207" s="6" t="str">
        <x:v>train</x:v>
      </x:c>
      <x:c r="G207" s="6" t="str">
        <x:v>resplan-1804</x:v>
      </x:c>
      <x:c r="H207" s="6" t="str">
        <x:v>resplan-1804-Q03</x:v>
      </x:c>
      <x:c r="I207" s="6" t="str">
        <x:v>Find and count assets</x:v>
      </x:c>
      <x:c r="J207" s="6" t="str">
        <x:v>Warm-up</x:v>
      </x:c>
      <x:c r="K207" s="6" t="str">
        <x:v>Room name, floor and asset identity. Coordinates may help the UI.</x:v>
      </x:c>
      <x:c r="L207" s="6" t="str">
        <x:v>T02, T03</x:v>
      </x:c>
      <x:c r="M207" s="6" t="str">
        <x:v>Find a named item and identify its containing room and floor.</x:v>
      </x:c>
      <x:c r="N207" s="6" t="str">
        <x:v>{"asset_id":"resplan-1804-A00012","space_id":"resplan-1804-F0-S003","space_name":"Bedroom 0.03","floor_level":0,"position":[8.56,5.723]}</x:v>
      </x:c>
      <x:c r="O207" s="6"/>
      <x:c r="P207" s="6" t="str">
        <x:v>Resolve the intended asset and its containing room/floor.</x:v>
      </x:c>
      <x:c r="Q207" s="15"/>
      <x:c r="R207" s="6"/>
      <x:c r="S207" s="16"/>
      <x:c r="T207" s="15"/>
      <x:c r="U207" s="6"/>
      <x:c r="V207" s="6"/>
      <x:c r="W207" s="6" t="str">
        <x:v>Existing search_building. Improve disambiguation and complete result pagination.</x:v>
      </x:c>
      <x:c r="X207" s="6" t="str">
        <x:v>data/train/resplan-1804/questions_basic.jsonl</x:v>
      </x:c>
      <x:c r="Y207" s="14" t="n">
        <x:v>3</x:v>
      </x:c>
      <x:c r="Z207" s="6" t="str">
        <x:v>https://github.com/hagenhaeussler/Industrial-Agents-Hackathon-2026/blob/f41616590b69f3ea0c1cbfb41d6c35edd9ce53df/data/train/resplan-1804/questions_basic.jsonl#L3</x:v>
      </x:c>
      <x:c r="AA207" s="6" t="str">
        <x:v>resplan</x:v>
      </x:c>
      <x:c r="AB207" s="6" t="str">
        <x:v>CC-BY-4.0</x:v>
      </x:c>
    </x:row>
    <x:row r="208" ht="72" customHeight="1">
      <x:c r="A208" s="14" t="n">
        <x:v>203</x:v>
      </x:c>
      <x:c r="B208" s="6" t="str">
        <x:v>locate</x:v>
      </x:c>
      <x:c r="C208" s="6" t="str">
        <x:v>Where is the coffee machine?</x:v>
      </x:c>
      <x:c r="D208" s="6" t="str">
        <x:v>Kitchen 0.08
Floor level: 0
Asset ID: resplan-2100-A00031
Position (m): 3.324, 8.273</x:v>
      </x:c>
      <x:c r="E208" s="6" t="str">
        <x:v>Reference supplied</x:v>
      </x:c>
      <x:c r="F208" s="6" t="str">
        <x:v>train</x:v>
      </x:c>
      <x:c r="G208" s="6" t="str">
        <x:v>resplan-2100</x:v>
      </x:c>
      <x:c r="H208" s="6" t="str">
        <x:v>resplan-2100-Q01</x:v>
      </x:c>
      <x:c r="I208" s="6" t="str">
        <x:v>Find and count assets</x:v>
      </x:c>
      <x:c r="J208" s="6" t="str">
        <x:v>Warm-up</x:v>
      </x:c>
      <x:c r="K208" s="6" t="str">
        <x:v>Room name, floor and asset identity. Coordinates may help the UI.</x:v>
      </x:c>
      <x:c r="L208" s="6" t="str">
        <x:v>T02, T03</x:v>
      </x:c>
      <x:c r="M208" s="6" t="str">
        <x:v>Find a named item and identify its containing room and floor.</x:v>
      </x:c>
      <x:c r="N208" s="6" t="str">
        <x:v>{"asset_id":"resplan-2100-A00031","space_id":"resplan-2100-F0-S008","space_name":"Kitchen 0.08","floor_level":0,"position":[3.324,8.273]}</x:v>
      </x:c>
      <x:c r="O208" s="6"/>
      <x:c r="P208" s="6" t="str">
        <x:v>Resolve the intended asset and its containing room/floor.</x:v>
      </x:c>
      <x:c r="Q208" s="15"/>
      <x:c r="R208" s="6"/>
      <x:c r="S208" s="16"/>
      <x:c r="T208" s="15"/>
      <x:c r="U208" s="6"/>
      <x:c r="V208" s="6"/>
      <x:c r="W208" s="6" t="str">
        <x:v>Existing search_building. Improve disambiguation and complete result pagination.</x:v>
      </x:c>
      <x:c r="X208" s="6" t="str">
        <x:v>data/train/resplan-2100/questions_basic.jsonl</x:v>
      </x:c>
      <x:c r="Y208" s="14" t="n">
        <x:v>1</x:v>
      </x:c>
      <x:c r="Z208" s="6" t="str">
        <x:v>https://github.com/hagenhaeussler/Industrial-Agents-Hackathon-2026/blob/f41616590b69f3ea0c1cbfb41d6c35edd9ce53df/data/train/resplan-2100/questions_basic.jsonl#L1</x:v>
      </x:c>
      <x:c r="AA208" s="6" t="str">
        <x:v>resplan</x:v>
      </x:c>
      <x:c r="AB208" s="6" t="str">
        <x:v>CC-BY-4.0</x:v>
      </x:c>
    </x:row>
    <x:row r="209" ht="72" customHeight="1">
      <x:c r="A209" s="14" t="n">
        <x:v>204</x:v>
      </x:c>
      <x:c r="B209" s="6" t="str">
        <x:v>locate</x:v>
      </x:c>
      <x:c r="C209" s="6" t="str">
        <x:v>Where is the stove?</x:v>
      </x:c>
      <x:c r="D209" s="6" t="str">
        <x:v>Kitchen 0.08
Floor level: 0
Asset ID: resplan-2100-A00028
Position (m): 2.072, 8.173</x:v>
      </x:c>
      <x:c r="E209" s="6" t="str">
        <x:v>Reference supplied</x:v>
      </x:c>
      <x:c r="F209" s="6" t="str">
        <x:v>train</x:v>
      </x:c>
      <x:c r="G209" s="6" t="str">
        <x:v>resplan-2100</x:v>
      </x:c>
      <x:c r="H209" s="6" t="str">
        <x:v>resplan-2100-Q02</x:v>
      </x:c>
      <x:c r="I209" s="6" t="str">
        <x:v>Find and count assets</x:v>
      </x:c>
      <x:c r="J209" s="6" t="str">
        <x:v>Warm-up</x:v>
      </x:c>
      <x:c r="K209" s="6" t="str">
        <x:v>Room name, floor and asset identity. Coordinates may help the UI.</x:v>
      </x:c>
      <x:c r="L209" s="6" t="str">
        <x:v>T02, T03</x:v>
      </x:c>
      <x:c r="M209" s="6" t="str">
        <x:v>Find a named item and identify its containing room and floor.</x:v>
      </x:c>
      <x:c r="N209" s="6" t="str">
        <x:v>{"asset_id":"resplan-2100-A00028","space_id":"resplan-2100-F0-S008","space_name":"Kitchen 0.08","floor_level":0,"position":[2.072,8.173]}</x:v>
      </x:c>
      <x:c r="O209" s="6"/>
      <x:c r="P209" s="6" t="str">
        <x:v>Resolve the intended asset and its containing room/floor.</x:v>
      </x:c>
      <x:c r="Q209" s="15"/>
      <x:c r="R209" s="6"/>
      <x:c r="S209" s="16"/>
      <x:c r="T209" s="15"/>
      <x:c r="U209" s="6"/>
      <x:c r="V209" s="6"/>
      <x:c r="W209" s="6" t="str">
        <x:v>Existing search_building. Improve disambiguation and complete result pagination.</x:v>
      </x:c>
      <x:c r="X209" s="6" t="str">
        <x:v>data/train/resplan-2100/questions_basic.jsonl</x:v>
      </x:c>
      <x:c r="Y209" s="14" t="n">
        <x:v>2</x:v>
      </x:c>
      <x:c r="Z209" s="6" t="str">
        <x:v>https://github.com/hagenhaeussler/Industrial-Agents-Hackathon-2026/blob/f41616590b69f3ea0c1cbfb41d6c35edd9ce53df/data/train/resplan-2100/questions_basic.jsonl#L2</x:v>
      </x:c>
      <x:c r="AA209" s="6" t="str">
        <x:v>resplan</x:v>
      </x:c>
      <x:c r="AB209" s="6" t="str">
        <x:v>CC-BY-4.0</x:v>
      </x:c>
    </x:row>
    <x:row r="210" ht="72" customHeight="1">
      <x:c r="A210" s="14" t="n">
        <x:v>205</x:v>
      </x:c>
      <x:c r="B210" s="6" t="str">
        <x:v>locate</x:v>
      </x:c>
      <x:c r="C210" s="6" t="str">
        <x:v>Where is the tv stand?</x:v>
      </x:c>
      <x:c r="D210" s="6" t="str">
        <x:v>Living room 0.01
Floor level: 0
Asset ID: resplan-2100-A00003
Position (m): 7.876, 8.475</x:v>
      </x:c>
      <x:c r="E210" s="6" t="str">
        <x:v>Reference supplied</x:v>
      </x:c>
      <x:c r="F210" s="6" t="str">
        <x:v>train</x:v>
      </x:c>
      <x:c r="G210" s="6" t="str">
        <x:v>resplan-2100</x:v>
      </x:c>
      <x:c r="H210" s="6" t="str">
        <x:v>resplan-2100-Q03</x:v>
      </x:c>
      <x:c r="I210" s="6" t="str">
        <x:v>Find and count assets</x:v>
      </x:c>
      <x:c r="J210" s="6" t="str">
        <x:v>Warm-up</x:v>
      </x:c>
      <x:c r="K210" s="6" t="str">
        <x:v>Room name, floor and asset identity. Coordinates may help the UI.</x:v>
      </x:c>
      <x:c r="L210" s="6" t="str">
        <x:v>T02, T03</x:v>
      </x:c>
      <x:c r="M210" s="6" t="str">
        <x:v>Find a named item and identify its containing room and floor.</x:v>
      </x:c>
      <x:c r="N210" s="6" t="str">
        <x:v>{"asset_id":"resplan-2100-A00003","space_id":"resplan-2100-F0-S001","space_name":"Living room 0.01","floor_level":0,"position":[7.876,8.475]}</x:v>
      </x:c>
      <x:c r="O210" s="6"/>
      <x:c r="P210" s="6" t="str">
        <x:v>Resolve the intended asset and its containing room/floor.</x:v>
      </x:c>
      <x:c r="Q210" s="15"/>
      <x:c r="R210" s="6"/>
      <x:c r="S210" s="16"/>
      <x:c r="T210" s="15"/>
      <x:c r="U210" s="6"/>
      <x:c r="V210" s="6"/>
      <x:c r="W210" s="6" t="str">
        <x:v>Existing search_building. Improve disambiguation and complete result pagination.</x:v>
      </x:c>
      <x:c r="X210" s="6" t="str">
        <x:v>data/train/resplan-2100/questions_basic.jsonl</x:v>
      </x:c>
      <x:c r="Y210" s="14" t="n">
        <x:v>3</x:v>
      </x:c>
      <x:c r="Z210" s="6" t="str">
        <x:v>https://github.com/hagenhaeussler/Industrial-Agents-Hackathon-2026/blob/f41616590b69f3ea0c1cbfb41d6c35edd9ce53df/data/train/resplan-2100/questions_basic.jsonl#L3</x:v>
      </x:c>
      <x:c r="AA210" s="6" t="str">
        <x:v>resplan</x:v>
      </x:c>
      <x:c r="AB210" s="6" t="str">
        <x:v>CC-BY-4.0</x:v>
      </x:c>
    </x:row>
    <x:row r="211" ht="72" customHeight="1">
      <x:c r="A211" s="14" t="n">
        <x:v>206</x:v>
      </x:c>
      <x:c r="B211" s="6" t="str">
        <x:v>locate</x:v>
      </x:c>
      <x:c r="C211" s="6" t="str">
        <x:v>Where is the nightstand?</x:v>
      </x:c>
      <x:c r="D211" s="6" t="str">
        <x:v>Bedroom 0.02
Floor level: 0
Asset ID: resplan-2247-A00013
Position (m): 2.42, 9.867</x:v>
      </x:c>
      <x:c r="E211" s="6" t="str">
        <x:v>Reference supplied</x:v>
      </x:c>
      <x:c r="F211" s="6" t="str">
        <x:v>train</x:v>
      </x:c>
      <x:c r="G211" s="6" t="str">
        <x:v>resplan-2247</x:v>
      </x:c>
      <x:c r="H211" s="6" t="str">
        <x:v>resplan-2247-Q01</x:v>
      </x:c>
      <x:c r="I211" s="6" t="str">
        <x:v>Find and count assets</x:v>
      </x:c>
      <x:c r="J211" s="6" t="str">
        <x:v>Warm-up</x:v>
      </x:c>
      <x:c r="K211" s="6" t="str">
        <x:v>Room name, floor and asset identity. Coordinates may help the UI.</x:v>
      </x:c>
      <x:c r="L211" s="6" t="str">
        <x:v>T02, T03</x:v>
      </x:c>
      <x:c r="M211" s="6" t="str">
        <x:v>Find a named item and identify its containing room and floor.</x:v>
      </x:c>
      <x:c r="N211" s="6" t="str">
        <x:v>{"asset_id":"resplan-2247-A00013","space_id":"resplan-2247-F0-S002","space_name":"Bedroom 0.02","floor_level":0,"position":[2.42,9.867]}</x:v>
      </x:c>
      <x:c r="O211" s="6"/>
      <x:c r="P211" s="6" t="str">
        <x:v>Resolve the intended asset and its containing room/floor.</x:v>
      </x:c>
      <x:c r="Q211" s="15"/>
      <x:c r="R211" s="6"/>
      <x:c r="S211" s="16"/>
      <x:c r="T211" s="15"/>
      <x:c r="U211" s="6"/>
      <x:c r="V211" s="6"/>
      <x:c r="W211" s="6" t="str">
        <x:v>Existing search_building. Improve disambiguation and complete result pagination.</x:v>
      </x:c>
      <x:c r="X211" s="6" t="str">
        <x:v>data/train/resplan-2247/questions_basic.jsonl</x:v>
      </x:c>
      <x:c r="Y211" s="14" t="n">
        <x:v>1</x:v>
      </x:c>
      <x:c r="Z211" s="6" t="str">
        <x:v>https://github.com/hagenhaeussler/Industrial-Agents-Hackathon-2026/blob/f41616590b69f3ea0c1cbfb41d6c35edd9ce53df/data/train/resplan-2247/questions_basic.jsonl#L1</x:v>
      </x:c>
      <x:c r="AA211" s="6" t="str">
        <x:v>resplan</x:v>
      </x:c>
      <x:c r="AB211" s="6" t="str">
        <x:v>CC-BY-4.0</x:v>
      </x:c>
    </x:row>
    <x:row r="212" ht="72" customHeight="1">
      <x:c r="A212" s="14" t="n">
        <x:v>207</x:v>
      </x:c>
      <x:c r="B212" s="6" t="str">
        <x:v>locate</x:v>
      </x:c>
      <x:c r="C212" s="6" t="str">
        <x:v>Where is the sofa?</x:v>
      </x:c>
      <x:c r="D212" s="6" t="str">
        <x:v>Living room 0.01
Floor level: 0
Asset ID: resplan-2247-A00001
Position (m): 5.481, 0.52</x:v>
      </x:c>
      <x:c r="E212" s="6" t="str">
        <x:v>Reference supplied</x:v>
      </x:c>
      <x:c r="F212" s="6" t="str">
        <x:v>train</x:v>
      </x:c>
      <x:c r="G212" s="6" t="str">
        <x:v>resplan-2247</x:v>
      </x:c>
      <x:c r="H212" s="6" t="str">
        <x:v>resplan-2247-Q02</x:v>
      </x:c>
      <x:c r="I212" s="6" t="str">
        <x:v>Find and count assets</x:v>
      </x:c>
      <x:c r="J212" s="6" t="str">
        <x:v>Warm-up</x:v>
      </x:c>
      <x:c r="K212" s="6" t="str">
        <x:v>Room name, floor and asset identity. Coordinates may help the UI.</x:v>
      </x:c>
      <x:c r="L212" s="6" t="str">
        <x:v>T02, T03</x:v>
      </x:c>
      <x:c r="M212" s="6" t="str">
        <x:v>Find a named item and identify its containing room and floor.</x:v>
      </x:c>
      <x:c r="N212" s="6" t="str">
        <x:v>{"asset_id":"resplan-2247-A00001","space_id":"resplan-2247-F0-S001","space_name":"Living room 0.01","floor_level":0,"position":[5.481,0.52]}</x:v>
      </x:c>
      <x:c r="O212" s="6"/>
      <x:c r="P212" s="6" t="str">
        <x:v>Resolve the intended asset and its containing room/floor.</x:v>
      </x:c>
      <x:c r="Q212" s="15"/>
      <x:c r="R212" s="6"/>
      <x:c r="S212" s="16"/>
      <x:c r="T212" s="15"/>
      <x:c r="U212" s="6"/>
      <x:c r="V212" s="6"/>
      <x:c r="W212" s="6" t="str">
        <x:v>Existing search_building. Improve disambiguation and complete result pagination.</x:v>
      </x:c>
      <x:c r="X212" s="6" t="str">
        <x:v>data/train/resplan-2247/questions_basic.jsonl</x:v>
      </x:c>
      <x:c r="Y212" s="14" t="n">
        <x:v>2</x:v>
      </x:c>
      <x:c r="Z212" s="6" t="str">
        <x:v>https://github.com/hagenhaeussler/Industrial-Agents-Hackathon-2026/blob/f41616590b69f3ea0c1cbfb41d6c35edd9ce53df/data/train/resplan-2247/questions_basic.jsonl#L2</x:v>
      </x:c>
      <x:c r="AA212" s="6" t="str">
        <x:v>resplan</x:v>
      </x:c>
      <x:c r="AB212" s="6" t="str">
        <x:v>CC-BY-4.0</x:v>
      </x:c>
    </x:row>
    <x:row r="213" ht="72" customHeight="1">
      <x:c r="A213" s="14" t="n">
        <x:v>208</x:v>
      </x:c>
      <x:c r="B213" s="6" t="str">
        <x:v>locate</x:v>
      </x:c>
      <x:c r="C213" s="6" t="str">
        <x:v>Where is the coffee table?</x:v>
      </x:c>
      <x:c r="D213" s="6" t="str">
        <x:v>Living room 0.01
Floor level: 0
Asset ID: resplan-2247-A00002
Position (m): 5.959, 1.713</x:v>
      </x:c>
      <x:c r="E213" s="6" t="str">
        <x:v>Reference supplied</x:v>
      </x:c>
      <x:c r="F213" s="6" t="str">
        <x:v>train</x:v>
      </x:c>
      <x:c r="G213" s="6" t="str">
        <x:v>resplan-2247</x:v>
      </x:c>
      <x:c r="H213" s="6" t="str">
        <x:v>resplan-2247-Q03</x:v>
      </x:c>
      <x:c r="I213" s="6" t="str">
        <x:v>Find and count assets</x:v>
      </x:c>
      <x:c r="J213" s="6" t="str">
        <x:v>Warm-up</x:v>
      </x:c>
      <x:c r="K213" s="6" t="str">
        <x:v>Room name, floor and asset identity. Coordinates may help the UI.</x:v>
      </x:c>
      <x:c r="L213" s="6" t="str">
        <x:v>T02, T03</x:v>
      </x:c>
      <x:c r="M213" s="6" t="str">
        <x:v>Find a named item and identify its containing room and floor.</x:v>
      </x:c>
      <x:c r="N213" s="6" t="str">
        <x:v>{"asset_id":"resplan-2247-A00002","space_id":"resplan-2247-F0-S001","space_name":"Living room 0.01","floor_level":0,"position":[5.959,1.713]}</x:v>
      </x:c>
      <x:c r="O213" s="6"/>
      <x:c r="P213" s="6" t="str">
        <x:v>Resolve the intended asset and its containing room/floor.</x:v>
      </x:c>
      <x:c r="Q213" s="15"/>
      <x:c r="R213" s="6"/>
      <x:c r="S213" s="16"/>
      <x:c r="T213" s="15"/>
      <x:c r="U213" s="6"/>
      <x:c r="V213" s="6"/>
      <x:c r="W213" s="6" t="str">
        <x:v>Existing search_building. Improve disambiguation and complete result pagination.</x:v>
      </x:c>
      <x:c r="X213" s="6" t="str">
        <x:v>data/train/resplan-2247/questions_basic.jsonl</x:v>
      </x:c>
      <x:c r="Y213" s="14" t="n">
        <x:v>3</x:v>
      </x:c>
      <x:c r="Z213" s="6" t="str">
        <x:v>https://github.com/hagenhaeussler/Industrial-Agents-Hackathon-2026/blob/f41616590b69f3ea0c1cbfb41d6c35edd9ce53df/data/train/resplan-2247/questions_basic.jsonl#L3</x:v>
      </x:c>
      <x:c r="AA213" s="6" t="str">
        <x:v>resplan</x:v>
      </x:c>
      <x:c r="AB213" s="6" t="str">
        <x:v>CC-BY-4.0</x:v>
      </x:c>
    </x:row>
    <x:row r="214" ht="72" customHeight="1">
      <x:c r="A214" s="14" t="n">
        <x:v>209</x:v>
      </x:c>
      <x:c r="B214" s="6" t="str">
        <x:v>locate</x:v>
      </x:c>
      <x:c r="C214" s="6" t="str">
        <x:v>Where is the coffee machine?</x:v>
      </x:c>
      <x:c r="D214" s="6" t="str">
        <x:v>Kitchen 0.07
Floor level: 0
Asset ID: resplan-2478-A00033
Position (m): 11.579, 12.264</x:v>
      </x:c>
      <x:c r="E214" s="6" t="str">
        <x:v>Reference supplied</x:v>
      </x:c>
      <x:c r="F214" s="6" t="str">
        <x:v>train</x:v>
      </x:c>
      <x:c r="G214" s="6" t="str">
        <x:v>resplan-2478</x:v>
      </x:c>
      <x:c r="H214" s="6" t="str">
        <x:v>resplan-2478-Q01</x:v>
      </x:c>
      <x:c r="I214" s="6" t="str">
        <x:v>Find and count assets</x:v>
      </x:c>
      <x:c r="J214" s="6" t="str">
        <x:v>Warm-up</x:v>
      </x:c>
      <x:c r="K214" s="6" t="str">
        <x:v>Room name, floor and asset identity. Coordinates may help the UI.</x:v>
      </x:c>
      <x:c r="L214" s="6" t="str">
        <x:v>T02, T03</x:v>
      </x:c>
      <x:c r="M214" s="6" t="str">
        <x:v>Find a named item and identify its containing room and floor.</x:v>
      </x:c>
      <x:c r="N214" s="6" t="str">
        <x:v>{"asset_id":"resplan-2478-A00033","space_id":"resplan-2478-F0-S007","space_name":"Kitchen 0.07","floor_level":0,"position":[11.579,12.264]}</x:v>
      </x:c>
      <x:c r="O214" s="6"/>
      <x:c r="P214" s="6" t="str">
        <x:v>Resolve the intended asset and its containing room/floor.</x:v>
      </x:c>
      <x:c r="Q214" s="15"/>
      <x:c r="R214" s="6"/>
      <x:c r="S214" s="16"/>
      <x:c r="T214" s="15"/>
      <x:c r="U214" s="6"/>
      <x:c r="V214" s="6"/>
      <x:c r="W214" s="6" t="str">
        <x:v>Existing search_building. Improve disambiguation and complete result pagination.</x:v>
      </x:c>
      <x:c r="X214" s="6" t="str">
        <x:v>data/train/resplan-2478/questions_basic.jsonl</x:v>
      </x:c>
      <x:c r="Y214" s="14" t="n">
        <x:v>1</x:v>
      </x:c>
      <x:c r="Z214" s="6" t="str">
        <x:v>https://github.com/hagenhaeussler/Industrial-Agents-Hackathon-2026/blob/f41616590b69f3ea0c1cbfb41d6c35edd9ce53df/data/train/resplan-2478/questions_basic.jsonl#L1</x:v>
      </x:c>
      <x:c r="AA214" s="6" t="str">
        <x:v>resplan</x:v>
      </x:c>
      <x:c r="AB214" s="6" t="str">
        <x:v>CC-BY-4.0</x:v>
      </x:c>
    </x:row>
    <x:row r="215" ht="72" customHeight="1">
      <x:c r="A215" s="14" t="n">
        <x:v>210</x:v>
      </x:c>
      <x:c r="B215" s="6" t="str">
        <x:v>locate</x:v>
      </x:c>
      <x:c r="C215" s="6" t="str">
        <x:v>Where is the stove?</x:v>
      </x:c>
      <x:c r="D215" s="6" t="str">
        <x:v>Kitchen 0.07
Floor level: 0
Asset ID: resplan-2478-A00030
Position (m): 11.053, 12.364</x:v>
      </x:c>
      <x:c r="E215" s="6" t="str">
        <x:v>Reference supplied</x:v>
      </x:c>
      <x:c r="F215" s="6" t="str">
        <x:v>train</x:v>
      </x:c>
      <x:c r="G215" s="6" t="str">
        <x:v>resplan-2478</x:v>
      </x:c>
      <x:c r="H215" s="6" t="str">
        <x:v>resplan-2478-Q02</x:v>
      </x:c>
      <x:c r="I215" s="6" t="str">
        <x:v>Find and count assets</x:v>
      </x:c>
      <x:c r="J215" s="6" t="str">
        <x:v>Warm-up</x:v>
      </x:c>
      <x:c r="K215" s="6" t="str">
        <x:v>Room name, floor and asset identity. Coordinates may help the UI.</x:v>
      </x:c>
      <x:c r="L215" s="6" t="str">
        <x:v>T02, T03</x:v>
      </x:c>
      <x:c r="M215" s="6" t="str">
        <x:v>Find a named item and identify its containing room and floor.</x:v>
      </x:c>
      <x:c r="N215" s="6" t="str">
        <x:v>{"asset_id":"resplan-2478-A00030","space_id":"resplan-2478-F0-S007","space_name":"Kitchen 0.07","floor_level":0,"position":[11.053,12.364]}</x:v>
      </x:c>
      <x:c r="O215" s="6"/>
      <x:c r="P215" s="6" t="str">
        <x:v>Resolve the intended asset and its containing room/floor.</x:v>
      </x:c>
      <x:c r="Q215" s="15"/>
      <x:c r="R215" s="6"/>
      <x:c r="S215" s="16"/>
      <x:c r="T215" s="15"/>
      <x:c r="U215" s="6"/>
      <x:c r="V215" s="6"/>
      <x:c r="W215" s="6" t="str">
        <x:v>Existing search_building. Improve disambiguation and complete result pagination.</x:v>
      </x:c>
      <x:c r="X215" s="6" t="str">
        <x:v>data/train/resplan-2478/questions_basic.jsonl</x:v>
      </x:c>
      <x:c r="Y215" s="14" t="n">
        <x:v>2</x:v>
      </x:c>
      <x:c r="Z215" s="6" t="str">
        <x:v>https://github.com/hagenhaeussler/Industrial-Agents-Hackathon-2026/blob/f41616590b69f3ea0c1cbfb41d6c35edd9ce53df/data/train/resplan-2478/questions_basic.jsonl#L2</x:v>
      </x:c>
      <x:c r="AA215" s="6" t="str">
        <x:v>resplan</x:v>
      </x:c>
      <x:c r="AB215" s="6" t="str">
        <x:v>CC-BY-4.0</x:v>
      </x:c>
    </x:row>
    <x:row r="216" ht="72" customHeight="1">
      <x:c r="A216" s="14" t="n">
        <x:v>211</x:v>
      </x:c>
      <x:c r="B216" s="6" t="str">
        <x:v>locate</x:v>
      </x:c>
      <x:c r="C216" s="6" t="str">
        <x:v>Where is the fridge?</x:v>
      </x:c>
      <x:c r="D216" s="6" t="str">
        <x:v>Kitchen 0.07
Floor level: 0
Asset ID: resplan-2478-A00029
Position (m): 10.214, 13.571</x:v>
      </x:c>
      <x:c r="E216" s="6" t="str">
        <x:v>Reference supplied</x:v>
      </x:c>
      <x:c r="F216" s="6" t="str">
        <x:v>train</x:v>
      </x:c>
      <x:c r="G216" s="6" t="str">
        <x:v>resplan-2478</x:v>
      </x:c>
      <x:c r="H216" s="6" t="str">
        <x:v>resplan-2478-Q03</x:v>
      </x:c>
      <x:c r="I216" s="6" t="str">
        <x:v>Find and count assets</x:v>
      </x:c>
      <x:c r="J216" s="6" t="str">
        <x:v>Warm-up</x:v>
      </x:c>
      <x:c r="K216" s="6" t="str">
        <x:v>Room name, floor and asset identity. Coordinates may help the UI.</x:v>
      </x:c>
      <x:c r="L216" s="6" t="str">
        <x:v>T02, T03</x:v>
      </x:c>
      <x:c r="M216" s="6" t="str">
        <x:v>Find a named item and identify its containing room and floor.</x:v>
      </x:c>
      <x:c r="N216" s="6" t="str">
        <x:v>{"asset_id":"resplan-2478-A00029","space_id":"resplan-2478-F0-S007","space_name":"Kitchen 0.07","floor_level":0,"position":[10.214,13.571]}</x:v>
      </x:c>
      <x:c r="O216" s="6"/>
      <x:c r="P216" s="6" t="str">
        <x:v>Resolve the intended asset and its containing room/floor.</x:v>
      </x:c>
      <x:c r="Q216" s="15"/>
      <x:c r="R216" s="6"/>
      <x:c r="S216" s="16"/>
      <x:c r="T216" s="15"/>
      <x:c r="U216" s="6"/>
      <x:c r="V216" s="6"/>
      <x:c r="W216" s="6" t="str">
        <x:v>Existing search_building. Improve disambiguation and complete result pagination.</x:v>
      </x:c>
      <x:c r="X216" s="6" t="str">
        <x:v>data/train/resplan-2478/questions_basic.jsonl</x:v>
      </x:c>
      <x:c r="Y216" s="14" t="n">
        <x:v>3</x:v>
      </x:c>
      <x:c r="Z216" s="6" t="str">
        <x:v>https://github.com/hagenhaeussler/Industrial-Agents-Hackathon-2026/blob/f41616590b69f3ea0c1cbfb41d6c35edd9ce53df/data/train/resplan-2478/questions_basic.jsonl#L3</x:v>
      </x:c>
      <x:c r="AA216" s="6" t="str">
        <x:v>resplan</x:v>
      </x:c>
      <x:c r="AB216" s="6" t="str">
        <x:v>CC-BY-4.0</x:v>
      </x:c>
    </x:row>
    <x:row r="217" ht="72" customHeight="1">
      <x:c r="A217" s="14" t="n">
        <x:v>212</x:v>
      </x:c>
      <x:c r="B217" s="6" t="str">
        <x:v>locate</x:v>
      </x:c>
      <x:c r="C217" s="6" t="str">
        <x:v>Where is the fridge?</x:v>
      </x:c>
      <x:c r="D217" s="6" t="str">
        <x:v>Kitchen 0.07
Floor level: 0
Asset ID: resplan-2515-A00022
Position (m): 5.467, 7.056</x:v>
      </x:c>
      <x:c r="E217" s="6" t="str">
        <x:v>Reference supplied</x:v>
      </x:c>
      <x:c r="F217" s="6" t="str">
        <x:v>train</x:v>
      </x:c>
      <x:c r="G217" s="6" t="str">
        <x:v>resplan-2515</x:v>
      </x:c>
      <x:c r="H217" s="6" t="str">
        <x:v>resplan-2515-Q01</x:v>
      </x:c>
      <x:c r="I217" s="6" t="str">
        <x:v>Find and count assets</x:v>
      </x:c>
      <x:c r="J217" s="6" t="str">
        <x:v>Warm-up</x:v>
      </x:c>
      <x:c r="K217" s="6" t="str">
        <x:v>Room name, floor and asset identity. Coordinates may help the UI.</x:v>
      </x:c>
      <x:c r="L217" s="6" t="str">
        <x:v>T02, T03</x:v>
      </x:c>
      <x:c r="M217" s="6" t="str">
        <x:v>Find a named item and identify its containing room and floor.</x:v>
      </x:c>
      <x:c r="N217" s="6" t="str">
        <x:v>{"asset_id":"resplan-2515-A00022","space_id":"resplan-2515-F0-S007","space_name":"Kitchen 0.07","floor_level":0,"position":[5.467,7.056]}</x:v>
      </x:c>
      <x:c r="O217" s="6"/>
      <x:c r="P217" s="6" t="str">
        <x:v>Resolve the intended asset and its containing room/floor.</x:v>
      </x:c>
      <x:c r="Q217" s="15"/>
      <x:c r="R217" s="6"/>
      <x:c r="S217" s="16"/>
      <x:c r="T217" s="15"/>
      <x:c r="U217" s="6"/>
      <x:c r="V217" s="6"/>
      <x:c r="W217" s="6" t="str">
        <x:v>Existing search_building. Improve disambiguation and complete result pagination.</x:v>
      </x:c>
      <x:c r="X217" s="6" t="str">
        <x:v>data/train/resplan-2515/questions_basic.jsonl</x:v>
      </x:c>
      <x:c r="Y217" s="14" t="n">
        <x:v>1</x:v>
      </x:c>
      <x:c r="Z217" s="6" t="str">
        <x:v>https://github.com/hagenhaeussler/Industrial-Agents-Hackathon-2026/blob/f41616590b69f3ea0c1cbfb41d6c35edd9ce53df/data/train/resplan-2515/questions_basic.jsonl#L1</x:v>
      </x:c>
      <x:c r="AA217" s="6" t="str">
        <x:v>resplan</x:v>
      </x:c>
      <x:c r="AB217" s="6" t="str">
        <x:v>CC-BY-4.0</x:v>
      </x:c>
    </x:row>
    <x:row r="218" ht="72" customHeight="1">
      <x:c r="A218" s="14" t="n">
        <x:v>213</x:v>
      </x:c>
      <x:c r="B218" s="6" t="str">
        <x:v>locate</x:v>
      </x:c>
      <x:c r="C218" s="6" t="str">
        <x:v>Where is the bookshelf?</x:v>
      </x:c>
      <x:c r="D218" s="6" t="str">
        <x:v>Living room 0.01
Floor level: 0
Asset ID: resplan-2515-A00004
Position (m): 6.054, 6.413</x:v>
      </x:c>
      <x:c r="E218" s="6" t="str">
        <x:v>Reference supplied</x:v>
      </x:c>
      <x:c r="F218" s="6" t="str">
        <x:v>train</x:v>
      </x:c>
      <x:c r="G218" s="6" t="str">
        <x:v>resplan-2515</x:v>
      </x:c>
      <x:c r="H218" s="6" t="str">
        <x:v>resplan-2515-Q02</x:v>
      </x:c>
      <x:c r="I218" s="6" t="str">
        <x:v>Find and count assets</x:v>
      </x:c>
      <x:c r="J218" s="6" t="str">
        <x:v>Warm-up</x:v>
      </x:c>
      <x:c r="K218" s="6" t="str">
        <x:v>Room name, floor and asset identity. Coordinates may help the UI.</x:v>
      </x:c>
      <x:c r="L218" s="6" t="str">
        <x:v>T02, T03</x:v>
      </x:c>
      <x:c r="M218" s="6" t="str">
        <x:v>Find a named item and identify its containing room and floor.</x:v>
      </x:c>
      <x:c r="N218" s="6" t="str">
        <x:v>{"asset_id":"resplan-2515-A00004","space_id":"resplan-2515-F0-S001","space_name":"Living room 0.01","floor_level":0,"position":[6.054,6.413]}</x:v>
      </x:c>
      <x:c r="O218" s="6"/>
      <x:c r="P218" s="6" t="str">
        <x:v>Resolve the intended asset and its containing room/floor.</x:v>
      </x:c>
      <x:c r="Q218" s="15"/>
      <x:c r="R218" s="6"/>
      <x:c r="S218" s="16"/>
      <x:c r="T218" s="15"/>
      <x:c r="U218" s="6"/>
      <x:c r="V218" s="6"/>
      <x:c r="W218" s="6" t="str">
        <x:v>Existing search_building. Improve disambiguation and complete result pagination.</x:v>
      </x:c>
      <x:c r="X218" s="6" t="str">
        <x:v>data/train/resplan-2515/questions_basic.jsonl</x:v>
      </x:c>
      <x:c r="Y218" s="14" t="n">
        <x:v>2</x:v>
      </x:c>
      <x:c r="Z218" s="6" t="str">
        <x:v>https://github.com/hagenhaeussler/Industrial-Agents-Hackathon-2026/blob/f41616590b69f3ea0c1cbfb41d6c35edd9ce53df/data/train/resplan-2515/questions_basic.jsonl#L2</x:v>
      </x:c>
      <x:c r="AA218" s="6" t="str">
        <x:v>resplan</x:v>
      </x:c>
      <x:c r="AB218" s="6" t="str">
        <x:v>CC-BY-4.0</x:v>
      </x:c>
    </x:row>
    <x:row r="219" ht="72" customHeight="1">
      <x:c r="A219" s="14" t="n">
        <x:v>214</x:v>
      </x:c>
      <x:c r="B219" s="6" t="str">
        <x:v>locate</x:v>
      </x:c>
      <x:c r="C219" s="6" t="str">
        <x:v>Where is the coffee machine?</x:v>
      </x:c>
      <x:c r="D219" s="6" t="str">
        <x:v>Kitchen 0.07
Floor level: 0
Asset ID: resplan-2515-A00024
Position (m): 6.717, 9.507</x:v>
      </x:c>
      <x:c r="E219" s="6" t="str">
        <x:v>Reference supplied</x:v>
      </x:c>
      <x:c r="F219" s="6" t="str">
        <x:v>train</x:v>
      </x:c>
      <x:c r="G219" s="6" t="str">
        <x:v>resplan-2515</x:v>
      </x:c>
      <x:c r="H219" s="6" t="str">
        <x:v>resplan-2515-Q03</x:v>
      </x:c>
      <x:c r="I219" s="6" t="str">
        <x:v>Find and count assets</x:v>
      </x:c>
      <x:c r="J219" s="6" t="str">
        <x:v>Warm-up</x:v>
      </x:c>
      <x:c r="K219" s="6" t="str">
        <x:v>Room name, floor and asset identity. Coordinates may help the UI.</x:v>
      </x:c>
      <x:c r="L219" s="6" t="str">
        <x:v>T02, T03</x:v>
      </x:c>
      <x:c r="M219" s="6" t="str">
        <x:v>Find a named item and identify its containing room and floor.</x:v>
      </x:c>
      <x:c r="N219" s="6" t="str">
        <x:v>{"asset_id":"resplan-2515-A00024","space_id":"resplan-2515-F0-S007","space_name":"Kitchen 0.07","floor_level":0,"position":[6.717,9.507]}</x:v>
      </x:c>
      <x:c r="O219" s="6"/>
      <x:c r="P219" s="6" t="str">
        <x:v>Resolve the intended asset and its containing room/floor.</x:v>
      </x:c>
      <x:c r="Q219" s="15"/>
      <x:c r="R219" s="6"/>
      <x:c r="S219" s="16"/>
      <x:c r="T219" s="15"/>
      <x:c r="U219" s="6"/>
      <x:c r="V219" s="6"/>
      <x:c r="W219" s="6" t="str">
        <x:v>Existing search_building. Improve disambiguation and complete result pagination.</x:v>
      </x:c>
      <x:c r="X219" s="6" t="str">
        <x:v>data/train/resplan-2515/questions_basic.jsonl</x:v>
      </x:c>
      <x:c r="Y219" s="14" t="n">
        <x:v>3</x:v>
      </x:c>
      <x:c r="Z219" s="6" t="str">
        <x:v>https://github.com/hagenhaeussler/Industrial-Agents-Hackathon-2026/blob/f41616590b69f3ea0c1cbfb41d6c35edd9ce53df/data/train/resplan-2515/questions_basic.jsonl#L3</x:v>
      </x:c>
      <x:c r="AA219" s="6" t="str">
        <x:v>resplan</x:v>
      </x:c>
      <x:c r="AB219" s="6" t="str">
        <x:v>CC-BY-4.0</x:v>
      </x:c>
    </x:row>
    <x:row r="220" ht="72" customHeight="1">
      <x:c r="A220" s="14" t="n">
        <x:v>215</x:v>
      </x:c>
      <x:c r="B220" s="6" t="str">
        <x:v>locate</x:v>
      </x:c>
      <x:c r="C220" s="6" t="str">
        <x:v>Where is the coffee table?</x:v>
      </x:c>
      <x:c r="D220" s="6" t="str">
        <x:v>Living room 0.01
Floor level: 0
Asset ID: resplan-2587-A00002
Position (m): 5.929, 6.589</x:v>
      </x:c>
      <x:c r="E220" s="6" t="str">
        <x:v>Reference supplied</x:v>
      </x:c>
      <x:c r="F220" s="6" t="str">
        <x:v>train</x:v>
      </x:c>
      <x:c r="G220" s="6" t="str">
        <x:v>resplan-2587</x:v>
      </x:c>
      <x:c r="H220" s="6" t="str">
        <x:v>resplan-2587-Q01</x:v>
      </x:c>
      <x:c r="I220" s="6" t="str">
        <x:v>Find and count assets</x:v>
      </x:c>
      <x:c r="J220" s="6" t="str">
        <x:v>Warm-up</x:v>
      </x:c>
      <x:c r="K220" s="6" t="str">
        <x:v>Room name, floor and asset identity. Coordinates may help the UI.</x:v>
      </x:c>
      <x:c r="L220" s="6" t="str">
        <x:v>T02, T03</x:v>
      </x:c>
      <x:c r="M220" s="6" t="str">
        <x:v>Find a named item and identify its containing room and floor.</x:v>
      </x:c>
      <x:c r="N220" s="6" t="str">
        <x:v>{"asset_id":"resplan-2587-A00002","space_id":"resplan-2587-F0-S001","space_name":"Living room 0.01","floor_level":0,"position":[5.929,6.589]}</x:v>
      </x:c>
      <x:c r="O220" s="6"/>
      <x:c r="P220" s="6" t="str">
        <x:v>Resolve the intended asset and its containing room/floor.</x:v>
      </x:c>
      <x:c r="Q220" s="15"/>
      <x:c r="R220" s="6"/>
      <x:c r="S220" s="16"/>
      <x:c r="T220" s="15"/>
      <x:c r="U220" s="6"/>
      <x:c r="V220" s="6"/>
      <x:c r="W220" s="6" t="str">
        <x:v>Existing search_building. Improve disambiguation and complete result pagination.</x:v>
      </x:c>
      <x:c r="X220" s="6" t="str">
        <x:v>data/train/resplan-2587/questions_basic.jsonl</x:v>
      </x:c>
      <x:c r="Y220" s="14" t="n">
        <x:v>1</x:v>
      </x:c>
      <x:c r="Z220" s="6" t="str">
        <x:v>https://github.com/hagenhaeussler/Industrial-Agents-Hackathon-2026/blob/f41616590b69f3ea0c1cbfb41d6c35edd9ce53df/data/train/resplan-2587/questions_basic.jsonl#L1</x:v>
      </x:c>
      <x:c r="AA220" s="6" t="str">
        <x:v>resplan</x:v>
      </x:c>
      <x:c r="AB220" s="6" t="str">
        <x:v>CC-BY-4.0</x:v>
      </x:c>
    </x:row>
    <x:row r="221" ht="72" customHeight="1">
      <x:c r="A221" s="14" t="n">
        <x:v>216</x:v>
      </x:c>
      <x:c r="B221" s="6" t="str">
        <x:v>locate</x:v>
      </x:c>
      <x:c r="C221" s="6" t="str">
        <x:v>Where is the sofa?</x:v>
      </x:c>
      <x:c r="D221" s="6" t="str">
        <x:v>Living room 0.01
Floor level: 0
Asset ID: resplan-2587-A00001
Position (m): 10.88, 7.844</x:v>
      </x:c>
      <x:c r="E221" s="6" t="str">
        <x:v>Reference supplied</x:v>
      </x:c>
      <x:c r="F221" s="6" t="str">
        <x:v>train</x:v>
      </x:c>
      <x:c r="G221" s="6" t="str">
        <x:v>resplan-2587</x:v>
      </x:c>
      <x:c r="H221" s="6" t="str">
        <x:v>resplan-2587-Q02</x:v>
      </x:c>
      <x:c r="I221" s="6" t="str">
        <x:v>Find and count assets</x:v>
      </x:c>
      <x:c r="J221" s="6" t="str">
        <x:v>Warm-up</x:v>
      </x:c>
      <x:c r="K221" s="6" t="str">
        <x:v>Room name, floor and asset identity. Coordinates may help the UI.</x:v>
      </x:c>
      <x:c r="L221" s="6" t="str">
        <x:v>T02, T03</x:v>
      </x:c>
      <x:c r="M221" s="6" t="str">
        <x:v>Find a named item and identify its containing room and floor.</x:v>
      </x:c>
      <x:c r="N221" s="6" t="str">
        <x:v>{"asset_id":"resplan-2587-A00001","space_id":"resplan-2587-F0-S001","space_name":"Living room 0.01","floor_level":0,"position":[10.88,7.844]}</x:v>
      </x:c>
      <x:c r="O221" s="6"/>
      <x:c r="P221" s="6" t="str">
        <x:v>Resolve the intended asset and its containing room/floor.</x:v>
      </x:c>
      <x:c r="Q221" s="15"/>
      <x:c r="R221" s="6"/>
      <x:c r="S221" s="16"/>
      <x:c r="T221" s="15"/>
      <x:c r="U221" s="6"/>
      <x:c r="V221" s="6"/>
      <x:c r="W221" s="6" t="str">
        <x:v>Existing search_building. Improve disambiguation and complete result pagination.</x:v>
      </x:c>
      <x:c r="X221" s="6" t="str">
        <x:v>data/train/resplan-2587/questions_basic.jsonl</x:v>
      </x:c>
      <x:c r="Y221" s="14" t="n">
        <x:v>2</x:v>
      </x:c>
      <x:c r="Z221" s="6" t="str">
        <x:v>https://github.com/hagenhaeussler/Industrial-Agents-Hackathon-2026/blob/f41616590b69f3ea0c1cbfb41d6c35edd9ce53df/data/train/resplan-2587/questions_basic.jsonl#L2</x:v>
      </x:c>
      <x:c r="AA221" s="6" t="str">
        <x:v>resplan</x:v>
      </x:c>
      <x:c r="AB221" s="6" t="str">
        <x:v>CC-BY-4.0</x:v>
      </x:c>
    </x:row>
    <x:row r="222" ht="72" customHeight="1">
      <x:c r="A222" s="14" t="n">
        <x:v>217</x:v>
      </x:c>
      <x:c r="B222" s="6" t="str">
        <x:v>locate</x:v>
      </x:c>
      <x:c r="C222" s="6" t="str">
        <x:v>Where is the tv stand?</x:v>
      </x:c>
      <x:c r="D222" s="6" t="str">
        <x:v>Living room 0.01
Floor level: 0
Asset ID: resplan-2587-A00003
Position (m): 2.955, 2.535</x:v>
      </x:c>
      <x:c r="E222" s="6" t="str">
        <x:v>Reference supplied</x:v>
      </x:c>
      <x:c r="F222" s="6" t="str">
        <x:v>train</x:v>
      </x:c>
      <x:c r="G222" s="6" t="str">
        <x:v>resplan-2587</x:v>
      </x:c>
      <x:c r="H222" s="6" t="str">
        <x:v>resplan-2587-Q03</x:v>
      </x:c>
      <x:c r="I222" s="6" t="str">
        <x:v>Find and count assets</x:v>
      </x:c>
      <x:c r="J222" s="6" t="str">
        <x:v>Warm-up</x:v>
      </x:c>
      <x:c r="K222" s="6" t="str">
        <x:v>Room name, floor and asset identity. Coordinates may help the UI.</x:v>
      </x:c>
      <x:c r="L222" s="6" t="str">
        <x:v>T02, T03</x:v>
      </x:c>
      <x:c r="M222" s="6" t="str">
        <x:v>Find a named item and identify its containing room and floor.</x:v>
      </x:c>
      <x:c r="N222" s="6" t="str">
        <x:v>{"asset_id":"resplan-2587-A00003","space_id":"resplan-2587-F0-S001","space_name":"Living room 0.01","floor_level":0,"position":[2.955,2.535]}</x:v>
      </x:c>
      <x:c r="O222" s="6"/>
      <x:c r="P222" s="6" t="str">
        <x:v>Resolve the intended asset and its containing room/floor.</x:v>
      </x:c>
      <x:c r="Q222" s="15"/>
      <x:c r="R222" s="6"/>
      <x:c r="S222" s="16"/>
      <x:c r="T222" s="15"/>
      <x:c r="U222" s="6"/>
      <x:c r="V222" s="6"/>
      <x:c r="W222" s="6" t="str">
        <x:v>Existing search_building. Improve disambiguation and complete result pagination.</x:v>
      </x:c>
      <x:c r="X222" s="6" t="str">
        <x:v>data/train/resplan-2587/questions_basic.jsonl</x:v>
      </x:c>
      <x:c r="Y222" s="14" t="n">
        <x:v>3</x:v>
      </x:c>
      <x:c r="Z222" s="6" t="str">
        <x:v>https://github.com/hagenhaeussler/Industrial-Agents-Hackathon-2026/blob/f41616590b69f3ea0c1cbfb41d6c35edd9ce53df/data/train/resplan-2587/questions_basic.jsonl#L3</x:v>
      </x:c>
      <x:c r="AA222" s="6" t="str">
        <x:v>resplan</x:v>
      </x:c>
      <x:c r="AB222" s="6" t="str">
        <x:v>CC-BY-4.0</x:v>
      </x:c>
    </x:row>
    <x:row r="223" ht="72" customHeight="1">
      <x:c r="A223" s="14" t="n">
        <x:v>218</x:v>
      </x:c>
      <x:c r="B223" s="6" t="str">
        <x:v>locate</x:v>
      </x:c>
      <x:c r="C223" s="6" t="str">
        <x:v>Where is the coffee table?</x:v>
      </x:c>
      <x:c r="D223" s="6" t="str">
        <x:v>Living room 0.01
Floor level: 0
Asset ID: resplan-3207-A00002
Position (m): 10.097, 9.934</x:v>
      </x:c>
      <x:c r="E223" s="6" t="str">
        <x:v>Reference supplied</x:v>
      </x:c>
      <x:c r="F223" s="6" t="str">
        <x:v>train</x:v>
      </x:c>
      <x:c r="G223" s="6" t="str">
        <x:v>resplan-3207</x:v>
      </x:c>
      <x:c r="H223" s="6" t="str">
        <x:v>resplan-3207-Q01</x:v>
      </x:c>
      <x:c r="I223" s="6" t="str">
        <x:v>Find and count assets</x:v>
      </x:c>
      <x:c r="J223" s="6" t="str">
        <x:v>Warm-up</x:v>
      </x:c>
      <x:c r="K223" s="6" t="str">
        <x:v>Room name, floor and asset identity. Coordinates may help the UI.</x:v>
      </x:c>
      <x:c r="L223" s="6" t="str">
        <x:v>T02, T03</x:v>
      </x:c>
      <x:c r="M223" s="6" t="str">
        <x:v>Find a named item and identify its containing room and floor.</x:v>
      </x:c>
      <x:c r="N223" s="6" t="str">
        <x:v>{"asset_id":"resplan-3207-A00002","space_id":"resplan-3207-F0-S001","space_name":"Living room 0.01","floor_level":0,"position":[10.097,9.934]}</x:v>
      </x:c>
      <x:c r="O223" s="6"/>
      <x:c r="P223" s="6" t="str">
        <x:v>Resolve the intended asset and its containing room/floor.</x:v>
      </x:c>
      <x:c r="Q223" s="15"/>
      <x:c r="R223" s="6"/>
      <x:c r="S223" s="16"/>
      <x:c r="T223" s="15"/>
      <x:c r="U223" s="6"/>
      <x:c r="V223" s="6"/>
      <x:c r="W223" s="6" t="str">
        <x:v>Existing search_building. Improve disambiguation and complete result pagination.</x:v>
      </x:c>
      <x:c r="X223" s="6" t="str">
        <x:v>data/train/resplan-3207/questions_basic.jsonl</x:v>
      </x:c>
      <x:c r="Y223" s="14" t="n">
        <x:v>1</x:v>
      </x:c>
      <x:c r="Z223" s="6" t="str">
        <x:v>https://github.com/hagenhaeussler/Industrial-Agents-Hackathon-2026/blob/f41616590b69f3ea0c1cbfb41d6c35edd9ce53df/data/train/resplan-3207/questions_basic.jsonl#L1</x:v>
      </x:c>
      <x:c r="AA223" s="6" t="str">
        <x:v>resplan</x:v>
      </x:c>
      <x:c r="AB223" s="6" t="str">
        <x:v>CC-BY-4.0</x:v>
      </x:c>
    </x:row>
    <x:row r="224" ht="72" customHeight="1">
      <x:c r="A224" s="14" t="n">
        <x:v>219</x:v>
      </x:c>
      <x:c r="B224" s="6" t="str">
        <x:v>locate</x:v>
      </x:c>
      <x:c r="C224" s="6" t="str">
        <x:v>Where is the bathtub?</x:v>
      </x:c>
      <x:c r="D224" s="6" t="str">
        <x:v>Bathroom 0.06
Floor level: 0
Asset ID: resplan-3207-A00022
Position (m): 1.182, 8.057</x:v>
      </x:c>
      <x:c r="E224" s="6" t="str">
        <x:v>Reference supplied</x:v>
      </x:c>
      <x:c r="F224" s="6" t="str">
        <x:v>train</x:v>
      </x:c>
      <x:c r="G224" s="6" t="str">
        <x:v>resplan-3207</x:v>
      </x:c>
      <x:c r="H224" s="6" t="str">
        <x:v>resplan-3207-Q02</x:v>
      </x:c>
      <x:c r="I224" s="6" t="str">
        <x:v>Find and count assets</x:v>
      </x:c>
      <x:c r="J224" s="6" t="str">
        <x:v>Warm-up</x:v>
      </x:c>
      <x:c r="K224" s="6" t="str">
        <x:v>Room name, floor and asset identity. Coordinates may help the UI.</x:v>
      </x:c>
      <x:c r="L224" s="6" t="str">
        <x:v>T02, T03</x:v>
      </x:c>
      <x:c r="M224" s="6" t="str">
        <x:v>Find a named item and identify its containing room and floor.</x:v>
      </x:c>
      <x:c r="N224" s="6" t="str">
        <x:v>{"asset_id":"resplan-3207-A00022","space_id":"resplan-3207-F0-S006","space_name":"Bathroom 0.06","floor_level":0,"position":[1.182,8.057]}</x:v>
      </x:c>
      <x:c r="O224" s="6"/>
      <x:c r="P224" s="6" t="str">
        <x:v>Resolve the intended asset and its containing room/floor.</x:v>
      </x:c>
      <x:c r="Q224" s="15"/>
      <x:c r="R224" s="6"/>
      <x:c r="S224" s="16"/>
      <x:c r="T224" s="15"/>
      <x:c r="U224" s="6"/>
      <x:c r="V224" s="6"/>
      <x:c r="W224" s="6" t="str">
        <x:v>Existing search_building. Improve disambiguation and complete result pagination.</x:v>
      </x:c>
      <x:c r="X224" s="6" t="str">
        <x:v>data/train/resplan-3207/questions_basic.jsonl</x:v>
      </x:c>
      <x:c r="Y224" s="14" t="n">
        <x:v>2</x:v>
      </x:c>
      <x:c r="Z224" s="6" t="str">
        <x:v>https://github.com/hagenhaeussler/Industrial-Agents-Hackathon-2026/blob/f41616590b69f3ea0c1cbfb41d6c35edd9ce53df/data/train/resplan-3207/questions_basic.jsonl#L2</x:v>
      </x:c>
      <x:c r="AA224" s="6" t="str">
        <x:v>resplan</x:v>
      </x:c>
      <x:c r="AB224" s="6" t="str">
        <x:v>CC-BY-4.0</x:v>
      </x:c>
    </x:row>
    <x:row r="225" ht="72" customHeight="1">
      <x:c r="A225" s="14" t="n">
        <x:v>220</x:v>
      </x:c>
      <x:c r="B225" s="6" t="str">
        <x:v>locate</x:v>
      </x:c>
      <x:c r="C225" s="6" t="str">
        <x:v>Where is the stove?</x:v>
      </x:c>
      <x:c r="D225" s="6" t="str">
        <x:v>Kitchen 0.09
Floor level: 0
Asset ID: resplan-3207-A00031
Position (m): 8.836, 7.363</x:v>
      </x:c>
      <x:c r="E225" s="6" t="str">
        <x:v>Reference supplied</x:v>
      </x:c>
      <x:c r="F225" s="6" t="str">
        <x:v>train</x:v>
      </x:c>
      <x:c r="G225" s="6" t="str">
        <x:v>resplan-3207</x:v>
      </x:c>
      <x:c r="H225" s="6" t="str">
        <x:v>resplan-3207-Q03</x:v>
      </x:c>
      <x:c r="I225" s="6" t="str">
        <x:v>Find and count assets</x:v>
      </x:c>
      <x:c r="J225" s="6" t="str">
        <x:v>Warm-up</x:v>
      </x:c>
      <x:c r="K225" s="6" t="str">
        <x:v>Room name, floor and asset identity. Coordinates may help the UI.</x:v>
      </x:c>
      <x:c r="L225" s="6" t="str">
        <x:v>T02, T03</x:v>
      </x:c>
      <x:c r="M225" s="6" t="str">
        <x:v>Find a named item and identify its containing room and floor.</x:v>
      </x:c>
      <x:c r="N225" s="6" t="str">
        <x:v>{"asset_id":"resplan-3207-A00031","space_id":"resplan-3207-F0-S009","space_name":"Kitchen 0.09","floor_level":0,"position":[8.836,7.363]}</x:v>
      </x:c>
      <x:c r="O225" s="6"/>
      <x:c r="P225" s="6" t="str">
        <x:v>Resolve the intended asset and its containing room/floor.</x:v>
      </x:c>
      <x:c r="Q225" s="15"/>
      <x:c r="R225" s="6"/>
      <x:c r="S225" s="16"/>
      <x:c r="T225" s="15"/>
      <x:c r="U225" s="6"/>
      <x:c r="V225" s="6"/>
      <x:c r="W225" s="6" t="str">
        <x:v>Existing search_building. Improve disambiguation and complete result pagination.</x:v>
      </x:c>
      <x:c r="X225" s="6" t="str">
        <x:v>data/train/resplan-3207/questions_basic.jsonl</x:v>
      </x:c>
      <x:c r="Y225" s="14" t="n">
        <x:v>3</x:v>
      </x:c>
      <x:c r="Z225" s="6" t="str">
        <x:v>https://github.com/hagenhaeussler/Industrial-Agents-Hackathon-2026/blob/f41616590b69f3ea0c1cbfb41d6c35edd9ce53df/data/train/resplan-3207/questions_basic.jsonl#L3</x:v>
      </x:c>
      <x:c r="AA225" s="6" t="str">
        <x:v>resplan</x:v>
      </x:c>
      <x:c r="AB225" s="6" t="str">
        <x:v>CC-BY-4.0</x:v>
      </x:c>
    </x:row>
    <x:row r="226" ht="72" customHeight="1">
      <x:c r="A226" s="14" t="n">
        <x:v>221</x:v>
      </x:c>
      <x:c r="B226" s="6" t="str">
        <x:v>locate</x:v>
      </x:c>
      <x:c r="C226" s="6" t="str">
        <x:v>Where is the single bed?</x:v>
      </x:c>
      <x:c r="D226" s="6" t="str">
        <x:v>Bedroom 0.04
Floor level: 0
Asset ID: resplan-3221-A00013
Position (m): 2.405, 13.233</x:v>
      </x:c>
      <x:c r="E226" s="6" t="str">
        <x:v>Reference supplied</x:v>
      </x:c>
      <x:c r="F226" s="6" t="str">
        <x:v>train</x:v>
      </x:c>
      <x:c r="G226" s="6" t="str">
        <x:v>resplan-3221</x:v>
      </x:c>
      <x:c r="H226" s="6" t="str">
        <x:v>resplan-3221-Q01</x:v>
      </x:c>
      <x:c r="I226" s="6" t="str">
        <x:v>Find and count assets</x:v>
      </x:c>
      <x:c r="J226" s="6" t="str">
        <x:v>Warm-up</x:v>
      </x:c>
      <x:c r="K226" s="6" t="str">
        <x:v>Room name, floor and asset identity. Coordinates may help the UI.</x:v>
      </x:c>
      <x:c r="L226" s="6" t="str">
        <x:v>T02, T03</x:v>
      </x:c>
      <x:c r="M226" s="6" t="str">
        <x:v>Find a named item and identify its containing room and floor.</x:v>
      </x:c>
      <x:c r="N226" s="6" t="str">
        <x:v>{"asset_id":"resplan-3221-A00013","space_id":"resplan-3221-F0-S004","space_name":"Bedroom 0.04","floor_level":0,"position":[2.405,13.233]}</x:v>
      </x:c>
      <x:c r="O226" s="6"/>
      <x:c r="P226" s="6" t="str">
        <x:v>Resolve the intended asset and its containing room/floor.</x:v>
      </x:c>
      <x:c r="Q226" s="15"/>
      <x:c r="R226" s="6"/>
      <x:c r="S226" s="16"/>
      <x:c r="T226" s="15"/>
      <x:c r="U226" s="6"/>
      <x:c r="V226" s="6"/>
      <x:c r="W226" s="6" t="str">
        <x:v>Existing search_building. Improve disambiguation and complete result pagination.</x:v>
      </x:c>
      <x:c r="X226" s="6" t="str">
        <x:v>data/train/resplan-3221/questions_basic.jsonl</x:v>
      </x:c>
      <x:c r="Y226" s="14" t="n">
        <x:v>1</x:v>
      </x:c>
      <x:c r="Z226" s="6" t="str">
        <x:v>https://github.com/hagenhaeussler/Industrial-Agents-Hackathon-2026/blob/f41616590b69f3ea0c1cbfb41d6c35edd9ce53df/data/train/resplan-3221/questions_basic.jsonl#L1</x:v>
      </x:c>
      <x:c r="AA226" s="6" t="str">
        <x:v>resplan</x:v>
      </x:c>
      <x:c r="AB226" s="6" t="str">
        <x:v>CC-BY-4.0</x:v>
      </x:c>
    </x:row>
    <x:row r="227" ht="72" customHeight="1">
      <x:c r="A227" s="14" t="n">
        <x:v>222</x:v>
      </x:c>
      <x:c r="B227" s="6" t="str">
        <x:v>locate</x:v>
      </x:c>
      <x:c r="C227" s="6" t="str">
        <x:v>Where is the fridge?</x:v>
      </x:c>
      <x:c r="D227" s="6" t="str">
        <x:v>Kitchen 0.09
Floor level: 0
Asset ID: resplan-3221-A00026
Position (m): 9.387, 13.811</x:v>
      </x:c>
      <x:c r="E227" s="6" t="str">
        <x:v>Reference supplied</x:v>
      </x:c>
      <x:c r="F227" s="6" t="str">
        <x:v>train</x:v>
      </x:c>
      <x:c r="G227" s="6" t="str">
        <x:v>resplan-3221</x:v>
      </x:c>
      <x:c r="H227" s="6" t="str">
        <x:v>resplan-3221-Q02</x:v>
      </x:c>
      <x:c r="I227" s="6" t="str">
        <x:v>Find and count assets</x:v>
      </x:c>
      <x:c r="J227" s="6" t="str">
        <x:v>Warm-up</x:v>
      </x:c>
      <x:c r="K227" s="6" t="str">
        <x:v>Room name, floor and asset identity. Coordinates may help the UI.</x:v>
      </x:c>
      <x:c r="L227" s="6" t="str">
        <x:v>T02, T03</x:v>
      </x:c>
      <x:c r="M227" s="6" t="str">
        <x:v>Find a named item and identify its containing room and floor.</x:v>
      </x:c>
      <x:c r="N227" s="6" t="str">
        <x:v>{"asset_id":"resplan-3221-A00026","space_id":"resplan-3221-F0-S009","space_name":"Kitchen 0.09","floor_level":0,"position":[9.387,13.811]}</x:v>
      </x:c>
      <x:c r="O227" s="6"/>
      <x:c r="P227" s="6" t="str">
        <x:v>Resolve the intended asset and its containing room/floor.</x:v>
      </x:c>
      <x:c r="Q227" s="15"/>
      <x:c r="R227" s="6"/>
      <x:c r="S227" s="16"/>
      <x:c r="T227" s="15"/>
      <x:c r="U227" s="6"/>
      <x:c r="V227" s="6"/>
      <x:c r="W227" s="6" t="str">
        <x:v>Existing search_building. Improve disambiguation and complete result pagination.</x:v>
      </x:c>
      <x:c r="X227" s="6" t="str">
        <x:v>data/train/resplan-3221/questions_basic.jsonl</x:v>
      </x:c>
      <x:c r="Y227" s="14" t="n">
        <x:v>2</x:v>
      </x:c>
      <x:c r="Z227" s="6" t="str">
        <x:v>https://github.com/hagenhaeussler/Industrial-Agents-Hackathon-2026/blob/f41616590b69f3ea0c1cbfb41d6c35edd9ce53df/data/train/resplan-3221/questions_basic.jsonl#L2</x:v>
      </x:c>
      <x:c r="AA227" s="6" t="str">
        <x:v>resplan</x:v>
      </x:c>
      <x:c r="AB227" s="6" t="str">
        <x:v>CC-BY-4.0</x:v>
      </x:c>
    </x:row>
    <x:row r="228" ht="72" customHeight="1">
      <x:c r="A228" s="14" t="n">
        <x:v>223</x:v>
      </x:c>
      <x:c r="B228" s="6" t="str">
        <x:v>locate</x:v>
      </x:c>
      <x:c r="C228" s="6" t="str">
        <x:v>Where is the armchair?</x:v>
      </x:c>
      <x:c r="D228" s="6" t="str">
        <x:v>Living room 0.01
Floor level: 0
Asset ID: resplan-3221-A00007
Position (m): 10.981, 8.77</x:v>
      </x:c>
      <x:c r="E228" s="6" t="str">
        <x:v>Reference supplied</x:v>
      </x:c>
      <x:c r="F228" s="6" t="str">
        <x:v>train</x:v>
      </x:c>
      <x:c r="G228" s="6" t="str">
        <x:v>resplan-3221</x:v>
      </x:c>
      <x:c r="H228" s="6" t="str">
        <x:v>resplan-3221-Q03</x:v>
      </x:c>
      <x:c r="I228" s="6" t="str">
        <x:v>Find and count assets</x:v>
      </x:c>
      <x:c r="J228" s="6" t="str">
        <x:v>Warm-up</x:v>
      </x:c>
      <x:c r="K228" s="6" t="str">
        <x:v>Room name, floor and asset identity. Coordinates may help the UI.</x:v>
      </x:c>
      <x:c r="L228" s="6" t="str">
        <x:v>T02, T03</x:v>
      </x:c>
      <x:c r="M228" s="6" t="str">
        <x:v>Find a named item and identify its containing room and floor.</x:v>
      </x:c>
      <x:c r="N228" s="6" t="str">
        <x:v>{"asset_id":"resplan-3221-A00007","space_id":"resplan-3221-F0-S001","space_name":"Living room 0.01","floor_level":0,"position":[10.981,8.77]}</x:v>
      </x:c>
      <x:c r="O228" s="6"/>
      <x:c r="P228" s="6" t="str">
        <x:v>Resolve the intended asset and its containing room/floor.</x:v>
      </x:c>
      <x:c r="Q228" s="15"/>
      <x:c r="R228" s="6"/>
      <x:c r="S228" s="16"/>
      <x:c r="T228" s="15"/>
      <x:c r="U228" s="6"/>
      <x:c r="V228" s="6"/>
      <x:c r="W228" s="6" t="str">
        <x:v>Existing search_building. Improve disambiguation and complete result pagination.</x:v>
      </x:c>
      <x:c r="X228" s="6" t="str">
        <x:v>data/train/resplan-3221/questions_basic.jsonl</x:v>
      </x:c>
      <x:c r="Y228" s="14" t="n">
        <x:v>3</x:v>
      </x:c>
      <x:c r="Z228" s="6" t="str">
        <x:v>https://github.com/hagenhaeussler/Industrial-Agents-Hackathon-2026/blob/f41616590b69f3ea0c1cbfb41d6c35edd9ce53df/data/train/resplan-3221/questions_basic.jsonl#L3</x:v>
      </x:c>
      <x:c r="AA228" s="6" t="str">
        <x:v>resplan</x:v>
      </x:c>
      <x:c r="AB228" s="6" t="str">
        <x:v>CC-BY-4.0</x:v>
      </x:c>
    </x:row>
    <x:row r="229" ht="72" customHeight="1">
      <x:c r="A229" s="14" t="n">
        <x:v>224</x:v>
      </x:c>
      <x:c r="B229" s="6" t="str">
        <x:v>locate</x:v>
      </x:c>
      <x:c r="C229" s="6" t="str">
        <x:v>Where is the coffee table?</x:v>
      </x:c>
      <x:c r="D229" s="6" t="str">
        <x:v>Living room 0.01
Floor level: 0
Asset ID: resplan-3562-A00002
Position (m): 8.145, 8.729</x:v>
      </x:c>
      <x:c r="E229" s="6" t="str">
        <x:v>Reference supplied</x:v>
      </x:c>
      <x:c r="F229" s="6" t="str">
        <x:v>train</x:v>
      </x:c>
      <x:c r="G229" s="6" t="str">
        <x:v>resplan-3562</x:v>
      </x:c>
      <x:c r="H229" s="6" t="str">
        <x:v>resplan-3562-Q01</x:v>
      </x:c>
      <x:c r="I229" s="6" t="str">
        <x:v>Find and count assets</x:v>
      </x:c>
      <x:c r="J229" s="6" t="str">
        <x:v>Warm-up</x:v>
      </x:c>
      <x:c r="K229" s="6" t="str">
        <x:v>Room name, floor and asset identity. Coordinates may help the UI.</x:v>
      </x:c>
      <x:c r="L229" s="6" t="str">
        <x:v>T02, T03</x:v>
      </x:c>
      <x:c r="M229" s="6" t="str">
        <x:v>Find a named item and identify its containing room and floor.</x:v>
      </x:c>
      <x:c r="N229" s="6" t="str">
        <x:v>{"asset_id":"resplan-3562-A00002","space_id":"resplan-3562-F0-S001","space_name":"Living room 0.01","floor_level":0,"position":[8.145,8.729]}</x:v>
      </x:c>
      <x:c r="O229" s="6"/>
      <x:c r="P229" s="6" t="str">
        <x:v>Resolve the intended asset and its containing room/floor.</x:v>
      </x:c>
      <x:c r="Q229" s="15"/>
      <x:c r="R229" s="6"/>
      <x:c r="S229" s="16"/>
      <x:c r="T229" s="15"/>
      <x:c r="U229" s="6"/>
      <x:c r="V229" s="6"/>
      <x:c r="W229" s="6" t="str">
        <x:v>Existing search_building. Improve disambiguation and complete result pagination.</x:v>
      </x:c>
      <x:c r="X229" s="6" t="str">
        <x:v>data/train/resplan-3562/questions_basic.jsonl</x:v>
      </x:c>
      <x:c r="Y229" s="14" t="n">
        <x:v>1</x:v>
      </x:c>
      <x:c r="Z229" s="6" t="str">
        <x:v>https://github.com/hagenhaeussler/Industrial-Agents-Hackathon-2026/blob/f41616590b69f3ea0c1cbfb41d6c35edd9ce53df/data/train/resplan-3562/questions_basic.jsonl#L1</x:v>
      </x:c>
      <x:c r="AA229" s="6" t="str">
        <x:v>resplan</x:v>
      </x:c>
      <x:c r="AB229" s="6" t="str">
        <x:v>CC-BY-4.0</x:v>
      </x:c>
    </x:row>
    <x:row r="230" ht="72" customHeight="1">
      <x:c r="A230" s="14" t="n">
        <x:v>225</x:v>
      </x:c>
      <x:c r="B230" s="6" t="str">
        <x:v>locate</x:v>
      </x:c>
      <x:c r="C230" s="6" t="str">
        <x:v>Where is the washing machine?</x:v>
      </x:c>
      <x:c r="D230" s="6" t="str">
        <x:v>Bathroom 0.06
Floor level: 0
Asset ID: resplan-3562-A00019
Position (m): 5.509, 9.751</x:v>
      </x:c>
      <x:c r="E230" s="6" t="str">
        <x:v>Reference supplied</x:v>
      </x:c>
      <x:c r="F230" s="6" t="str">
        <x:v>train</x:v>
      </x:c>
      <x:c r="G230" s="6" t="str">
        <x:v>resplan-3562</x:v>
      </x:c>
      <x:c r="H230" s="6" t="str">
        <x:v>resplan-3562-Q02</x:v>
      </x:c>
      <x:c r="I230" s="6" t="str">
        <x:v>Find and count assets</x:v>
      </x:c>
      <x:c r="J230" s="6" t="str">
        <x:v>Warm-up</x:v>
      </x:c>
      <x:c r="K230" s="6" t="str">
        <x:v>Room name, floor and asset identity. Coordinates may help the UI.</x:v>
      </x:c>
      <x:c r="L230" s="6" t="str">
        <x:v>T02, T03</x:v>
      </x:c>
      <x:c r="M230" s="6" t="str">
        <x:v>Find a named item and identify its containing room and floor.</x:v>
      </x:c>
      <x:c r="N230" s="6" t="str">
        <x:v>{"asset_id":"resplan-3562-A00019","space_id":"resplan-3562-F0-S006","space_name":"Bathroom 0.06","floor_level":0,"position":[5.509,9.751]}</x:v>
      </x:c>
      <x:c r="O230" s="6"/>
      <x:c r="P230" s="6" t="str">
        <x:v>Resolve the intended asset and its containing room/floor.</x:v>
      </x:c>
      <x:c r="Q230" s="15"/>
      <x:c r="R230" s="6"/>
      <x:c r="S230" s="16"/>
      <x:c r="T230" s="15"/>
      <x:c r="U230" s="6"/>
      <x:c r="V230" s="6"/>
      <x:c r="W230" s="6" t="str">
        <x:v>Existing search_building. Improve disambiguation and complete result pagination.</x:v>
      </x:c>
      <x:c r="X230" s="6" t="str">
        <x:v>data/train/resplan-3562/questions_basic.jsonl</x:v>
      </x:c>
      <x:c r="Y230" s="14" t="n">
        <x:v>2</x:v>
      </x:c>
      <x:c r="Z230" s="6" t="str">
        <x:v>https://github.com/hagenhaeussler/Industrial-Agents-Hackathon-2026/blob/f41616590b69f3ea0c1cbfb41d6c35edd9ce53df/data/train/resplan-3562/questions_basic.jsonl#L2</x:v>
      </x:c>
      <x:c r="AA230" s="6" t="str">
        <x:v>resplan</x:v>
      </x:c>
      <x:c r="AB230" s="6" t="str">
        <x:v>CC-BY-4.0</x:v>
      </x:c>
    </x:row>
    <x:row r="231" ht="72" customHeight="1">
      <x:c r="A231" s="14" t="n">
        <x:v>226</x:v>
      </x:c>
      <x:c r="B231" s="6" t="str">
        <x:v>locate</x:v>
      </x:c>
      <x:c r="C231" s="6" t="str">
        <x:v>Where is the desk?</x:v>
      </x:c>
      <x:c r="D231" s="6" t="str">
        <x:v>Bedroom 0.03
Floor level: 0
Asset ID: resplan-3562-A00010
Position (m): 0.42, 14.116</x:v>
      </x:c>
      <x:c r="E231" s="6" t="str">
        <x:v>Reference supplied</x:v>
      </x:c>
      <x:c r="F231" s="6" t="str">
        <x:v>train</x:v>
      </x:c>
      <x:c r="G231" s="6" t="str">
        <x:v>resplan-3562</x:v>
      </x:c>
      <x:c r="H231" s="6" t="str">
        <x:v>resplan-3562-Q03</x:v>
      </x:c>
      <x:c r="I231" s="6" t="str">
        <x:v>Find and count assets</x:v>
      </x:c>
      <x:c r="J231" s="6" t="str">
        <x:v>Warm-up</x:v>
      </x:c>
      <x:c r="K231" s="6" t="str">
        <x:v>Room name, floor and asset identity. Coordinates may help the UI.</x:v>
      </x:c>
      <x:c r="L231" s="6" t="str">
        <x:v>T02, T03</x:v>
      </x:c>
      <x:c r="M231" s="6" t="str">
        <x:v>Find a named item and identify its containing room and floor.</x:v>
      </x:c>
      <x:c r="N231" s="6" t="str">
        <x:v>{"asset_id":"resplan-3562-A00010","space_id":"resplan-3562-F0-S003","space_name":"Bedroom 0.03","floor_level":0,"position":[0.42,14.116]}</x:v>
      </x:c>
      <x:c r="O231" s="6"/>
      <x:c r="P231" s="6" t="str">
        <x:v>Resolve the intended asset and its containing room/floor.</x:v>
      </x:c>
      <x:c r="Q231" s="15"/>
      <x:c r="R231" s="6"/>
      <x:c r="S231" s="16"/>
      <x:c r="T231" s="15"/>
      <x:c r="U231" s="6"/>
      <x:c r="V231" s="6"/>
      <x:c r="W231" s="6" t="str">
        <x:v>Existing search_building. Improve disambiguation and complete result pagination.</x:v>
      </x:c>
      <x:c r="X231" s="6" t="str">
        <x:v>data/train/resplan-3562/questions_basic.jsonl</x:v>
      </x:c>
      <x:c r="Y231" s="14" t="n">
        <x:v>3</x:v>
      </x:c>
      <x:c r="Z231" s="6" t="str">
        <x:v>https://github.com/hagenhaeussler/Industrial-Agents-Hackathon-2026/blob/f41616590b69f3ea0c1cbfb41d6c35edd9ce53df/data/train/resplan-3562/questions_basic.jsonl#L3</x:v>
      </x:c>
      <x:c r="AA231" s="6" t="str">
        <x:v>resplan</x:v>
      </x:c>
      <x:c r="AB231" s="6" t="str">
        <x:v>CC-BY-4.0</x:v>
      </x:c>
    </x:row>
    <x:row r="232" ht="72" customHeight="1">
      <x:c r="A232" s="14" t="n">
        <x:v>227</x:v>
      </x:c>
      <x:c r="B232" s="6" t="str">
        <x:v>locate</x:v>
      </x:c>
      <x:c r="C232" s="6" t="str">
        <x:v>Where is the coffee machine?</x:v>
      </x:c>
      <x:c r="D232" s="6" t="str">
        <x:v>Kitchen 0.11
Floor level: 0
Asset ID: resplan-3806-A00032
Position (m): 8.632, 6.728</x:v>
      </x:c>
      <x:c r="E232" s="6" t="str">
        <x:v>Reference supplied</x:v>
      </x:c>
      <x:c r="F232" s="6" t="str">
        <x:v>train</x:v>
      </x:c>
      <x:c r="G232" s="6" t="str">
        <x:v>resplan-3806</x:v>
      </x:c>
      <x:c r="H232" s="6" t="str">
        <x:v>resplan-3806-Q01</x:v>
      </x:c>
      <x:c r="I232" s="6" t="str">
        <x:v>Find and count assets</x:v>
      </x:c>
      <x:c r="J232" s="6" t="str">
        <x:v>Warm-up</x:v>
      </x:c>
      <x:c r="K232" s="6" t="str">
        <x:v>Room name, floor and asset identity. Coordinates may help the UI.</x:v>
      </x:c>
      <x:c r="L232" s="6" t="str">
        <x:v>T02, T03</x:v>
      </x:c>
      <x:c r="M232" s="6" t="str">
        <x:v>Find a named item and identify its containing room and floor.</x:v>
      </x:c>
      <x:c r="N232" s="6" t="str">
        <x:v>{"asset_id":"resplan-3806-A00032","space_id":"resplan-3806-F0-S011","space_name":"Kitchen 0.11","floor_level":0,"position":[8.632,6.728]}</x:v>
      </x:c>
      <x:c r="O232" s="6"/>
      <x:c r="P232" s="6" t="str">
        <x:v>Resolve the intended asset and its containing room/floor.</x:v>
      </x:c>
      <x:c r="Q232" s="15"/>
      <x:c r="R232" s="6"/>
      <x:c r="S232" s="16"/>
      <x:c r="T232" s="15"/>
      <x:c r="U232" s="6"/>
      <x:c r="V232" s="6"/>
      <x:c r="W232" s="6" t="str">
        <x:v>Existing search_building. Improve disambiguation and complete result pagination.</x:v>
      </x:c>
      <x:c r="X232" s="6" t="str">
        <x:v>data/train/resplan-3806/questions_basic.jsonl</x:v>
      </x:c>
      <x:c r="Y232" s="14" t="n">
        <x:v>1</x:v>
      </x:c>
      <x:c r="Z232" s="6" t="str">
        <x:v>https://github.com/hagenhaeussler/Industrial-Agents-Hackathon-2026/blob/f41616590b69f3ea0c1cbfb41d6c35edd9ce53df/data/train/resplan-3806/questions_basic.jsonl#L1</x:v>
      </x:c>
      <x:c r="AA232" s="6" t="str">
        <x:v>resplan</x:v>
      </x:c>
      <x:c r="AB232" s="6" t="str">
        <x:v>CC-BY-4.0</x:v>
      </x:c>
    </x:row>
    <x:row r="233" ht="72" customHeight="1">
      <x:c r="A233" s="14" t="n">
        <x:v>228</x:v>
      </x:c>
      <x:c r="B233" s="6" t="str">
        <x:v>locate</x:v>
      </x:c>
      <x:c r="C233" s="6" t="str">
        <x:v>Where is the tv stand?</x:v>
      </x:c>
      <x:c r="D233" s="6" t="str">
        <x:v>Living room 0.01
Floor level: 0
Asset ID: resplan-3806-A00003
Position (m): 14.396, 0.819</x:v>
      </x:c>
      <x:c r="E233" s="6" t="str">
        <x:v>Reference supplied</x:v>
      </x:c>
      <x:c r="F233" s="6" t="str">
        <x:v>train</x:v>
      </x:c>
      <x:c r="G233" s="6" t="str">
        <x:v>resplan-3806</x:v>
      </x:c>
      <x:c r="H233" s="6" t="str">
        <x:v>resplan-3806-Q02</x:v>
      </x:c>
      <x:c r="I233" s="6" t="str">
        <x:v>Find and count assets</x:v>
      </x:c>
      <x:c r="J233" s="6" t="str">
        <x:v>Warm-up</x:v>
      </x:c>
      <x:c r="K233" s="6" t="str">
        <x:v>Room name, floor and asset identity. Coordinates may help the UI.</x:v>
      </x:c>
      <x:c r="L233" s="6" t="str">
        <x:v>T02, T03</x:v>
      </x:c>
      <x:c r="M233" s="6" t="str">
        <x:v>Find a named item and identify its containing room and floor.</x:v>
      </x:c>
      <x:c r="N233" s="6" t="str">
        <x:v>{"asset_id":"resplan-3806-A00003","space_id":"resplan-3806-F0-S001","space_name":"Living room 0.01","floor_level":0,"position":[14.396,0.819]}</x:v>
      </x:c>
      <x:c r="O233" s="6"/>
      <x:c r="P233" s="6" t="str">
        <x:v>Resolve the intended asset and its containing room/floor.</x:v>
      </x:c>
      <x:c r="Q233" s="15"/>
      <x:c r="R233" s="6"/>
      <x:c r="S233" s="16"/>
      <x:c r="T233" s="15"/>
      <x:c r="U233" s="6"/>
      <x:c r="V233" s="6"/>
      <x:c r="W233" s="6" t="str">
        <x:v>Existing search_building. Improve disambiguation and complete result pagination.</x:v>
      </x:c>
      <x:c r="X233" s="6" t="str">
        <x:v>data/train/resplan-3806/questions_basic.jsonl</x:v>
      </x:c>
      <x:c r="Y233" s="14" t="n">
        <x:v>2</x:v>
      </x:c>
      <x:c r="Z233" s="6" t="str">
        <x:v>https://github.com/hagenhaeussler/Industrial-Agents-Hackathon-2026/blob/f41616590b69f3ea0c1cbfb41d6c35edd9ce53df/data/train/resplan-3806/questions_basic.jsonl#L2</x:v>
      </x:c>
      <x:c r="AA233" s="6" t="str">
        <x:v>resplan</x:v>
      </x:c>
      <x:c r="AB233" s="6" t="str">
        <x:v>CC-BY-4.0</x:v>
      </x:c>
    </x:row>
    <x:row r="234" ht="72" customHeight="1">
      <x:c r="A234" s="14" t="n">
        <x:v>229</x:v>
      </x:c>
      <x:c r="B234" s="6" t="str">
        <x:v>locate</x:v>
      </x:c>
      <x:c r="C234" s="6" t="str">
        <x:v>Where is the fridge?</x:v>
      </x:c>
      <x:c r="D234" s="6" t="str">
        <x:v>Kitchen 0.11
Floor level: 0
Asset ID: resplan-3806-A00029
Position (m): 7.874, 8.774</x:v>
      </x:c>
      <x:c r="E234" s="6" t="str">
        <x:v>Reference supplied</x:v>
      </x:c>
      <x:c r="F234" s="6" t="str">
        <x:v>train</x:v>
      </x:c>
      <x:c r="G234" s="6" t="str">
        <x:v>resplan-3806</x:v>
      </x:c>
      <x:c r="H234" s="6" t="str">
        <x:v>resplan-3806-Q03</x:v>
      </x:c>
      <x:c r="I234" s="6" t="str">
        <x:v>Find and count assets</x:v>
      </x:c>
      <x:c r="J234" s="6" t="str">
        <x:v>Warm-up</x:v>
      </x:c>
      <x:c r="K234" s="6" t="str">
        <x:v>Room name, floor and asset identity. Coordinates may help the UI.</x:v>
      </x:c>
      <x:c r="L234" s="6" t="str">
        <x:v>T02, T03</x:v>
      </x:c>
      <x:c r="M234" s="6" t="str">
        <x:v>Find a named item and identify its containing room and floor.</x:v>
      </x:c>
      <x:c r="N234" s="6" t="str">
        <x:v>{"asset_id":"resplan-3806-A00029","space_id":"resplan-3806-F0-S011","space_name":"Kitchen 0.11","floor_level":0,"position":[7.874,8.774]}</x:v>
      </x:c>
      <x:c r="O234" s="6"/>
      <x:c r="P234" s="6" t="str">
        <x:v>Resolve the intended asset and its containing room/floor.</x:v>
      </x:c>
      <x:c r="Q234" s="15"/>
      <x:c r="R234" s="6"/>
      <x:c r="S234" s="16"/>
      <x:c r="T234" s="15"/>
      <x:c r="U234" s="6"/>
      <x:c r="V234" s="6"/>
      <x:c r="W234" s="6" t="str">
        <x:v>Existing search_building. Improve disambiguation and complete result pagination.</x:v>
      </x:c>
      <x:c r="X234" s="6" t="str">
        <x:v>data/train/resplan-3806/questions_basic.jsonl</x:v>
      </x:c>
      <x:c r="Y234" s="14" t="n">
        <x:v>3</x:v>
      </x:c>
      <x:c r="Z234" s="6" t="str">
        <x:v>https://github.com/hagenhaeussler/Industrial-Agents-Hackathon-2026/blob/f41616590b69f3ea0c1cbfb41d6c35edd9ce53df/data/train/resplan-3806/questions_basic.jsonl#L3</x:v>
      </x:c>
      <x:c r="AA234" s="6" t="str">
        <x:v>resplan</x:v>
      </x:c>
      <x:c r="AB234" s="6" t="str">
        <x:v>CC-BY-4.0</x:v>
      </x:c>
    </x:row>
    <x:row r="235" ht="72" customHeight="1">
      <x:c r="A235" s="14" t="n">
        <x:v>230</x:v>
      </x:c>
      <x:c r="B235" s="6" t="str">
        <x:v>locate</x:v>
      </x:c>
      <x:c r="C235" s="6" t="str">
        <x:v>Where is the tv stand?</x:v>
      </x:c>
      <x:c r="D235" s="6" t="str">
        <x:v>Living room 0.01
Floor level: 0
Asset ID: resplan-3971-A00003
Position (m): 14.472, 5.53</x:v>
      </x:c>
      <x:c r="E235" s="6" t="str">
        <x:v>Reference supplied</x:v>
      </x:c>
      <x:c r="F235" s="6" t="str">
        <x:v>train</x:v>
      </x:c>
      <x:c r="G235" s="6" t="str">
        <x:v>resplan-3971</x:v>
      </x:c>
      <x:c r="H235" s="6" t="str">
        <x:v>resplan-3971-Q01</x:v>
      </x:c>
      <x:c r="I235" s="6" t="str">
        <x:v>Find and count assets</x:v>
      </x:c>
      <x:c r="J235" s="6" t="str">
        <x:v>Warm-up</x:v>
      </x:c>
      <x:c r="K235" s="6" t="str">
        <x:v>Room name, floor and asset identity. Coordinates may help the UI.</x:v>
      </x:c>
      <x:c r="L235" s="6" t="str">
        <x:v>T02, T03</x:v>
      </x:c>
      <x:c r="M235" s="6" t="str">
        <x:v>Find a named item and identify its containing room and floor.</x:v>
      </x:c>
      <x:c r="N235" s="6" t="str">
        <x:v>{"asset_id":"resplan-3971-A00003","space_id":"resplan-3971-F0-S001","space_name":"Living room 0.01","floor_level":0,"position":[14.472,5.53]}</x:v>
      </x:c>
      <x:c r="O235" s="6"/>
      <x:c r="P235" s="6" t="str">
        <x:v>Resolve the intended asset and its containing room/floor.</x:v>
      </x:c>
      <x:c r="Q235" s="15"/>
      <x:c r="R235" s="6"/>
      <x:c r="S235" s="16"/>
      <x:c r="T235" s="15"/>
      <x:c r="U235" s="6"/>
      <x:c r="V235" s="6"/>
      <x:c r="W235" s="6" t="str">
        <x:v>Existing search_building. Improve disambiguation and complete result pagination.</x:v>
      </x:c>
      <x:c r="X235" s="6" t="str">
        <x:v>data/train/resplan-3971/questions_basic.jsonl</x:v>
      </x:c>
      <x:c r="Y235" s="14" t="n">
        <x:v>1</x:v>
      </x:c>
      <x:c r="Z235" s="6" t="str">
        <x:v>https://github.com/hagenhaeussler/Industrial-Agents-Hackathon-2026/blob/f41616590b69f3ea0c1cbfb41d6c35edd9ce53df/data/train/resplan-3971/questions_basic.jsonl#L1</x:v>
      </x:c>
      <x:c r="AA235" s="6" t="str">
        <x:v>resplan</x:v>
      </x:c>
      <x:c r="AB235" s="6" t="str">
        <x:v>CC-BY-4.0</x:v>
      </x:c>
    </x:row>
    <x:row r="236" ht="72" customHeight="1">
      <x:c r="A236" s="14" t="n">
        <x:v>231</x:v>
      </x:c>
      <x:c r="B236" s="6" t="str">
        <x:v>locate</x:v>
      </x:c>
      <x:c r="C236" s="6" t="str">
        <x:v>Where is the coffee machine?</x:v>
      </x:c>
      <x:c r="D236" s="6" t="str">
        <x:v>Kitchen 0.06
Floor level: 0
Asset ID: resplan-3971-A00025
Position (m): 9.263, 7.545</x:v>
      </x:c>
      <x:c r="E236" s="6" t="str">
        <x:v>Reference supplied</x:v>
      </x:c>
      <x:c r="F236" s="6" t="str">
        <x:v>train</x:v>
      </x:c>
      <x:c r="G236" s="6" t="str">
        <x:v>resplan-3971</x:v>
      </x:c>
      <x:c r="H236" s="6" t="str">
        <x:v>resplan-3971-Q02</x:v>
      </x:c>
      <x:c r="I236" s="6" t="str">
        <x:v>Find and count assets</x:v>
      </x:c>
      <x:c r="J236" s="6" t="str">
        <x:v>Warm-up</x:v>
      </x:c>
      <x:c r="K236" s="6" t="str">
        <x:v>Room name, floor and asset identity. Coordinates may help the UI.</x:v>
      </x:c>
      <x:c r="L236" s="6" t="str">
        <x:v>T02, T03</x:v>
      </x:c>
      <x:c r="M236" s="6" t="str">
        <x:v>Find a named item and identify its containing room and floor.</x:v>
      </x:c>
      <x:c r="N236" s="6" t="str">
        <x:v>{"asset_id":"resplan-3971-A00025","space_id":"resplan-3971-F0-S006","space_name":"Kitchen 0.06","floor_level":0,"position":[9.263,7.545]}</x:v>
      </x:c>
      <x:c r="O236" s="6"/>
      <x:c r="P236" s="6" t="str">
        <x:v>Resolve the intended asset and its containing room/floor.</x:v>
      </x:c>
      <x:c r="Q236" s="15"/>
      <x:c r="R236" s="6"/>
      <x:c r="S236" s="16"/>
      <x:c r="T236" s="15"/>
      <x:c r="U236" s="6"/>
      <x:c r="V236" s="6"/>
      <x:c r="W236" s="6" t="str">
        <x:v>Existing search_building. Improve disambiguation and complete result pagination.</x:v>
      </x:c>
      <x:c r="X236" s="6" t="str">
        <x:v>data/train/resplan-3971/questions_basic.jsonl</x:v>
      </x:c>
      <x:c r="Y236" s="14" t="n">
        <x:v>2</x:v>
      </x:c>
      <x:c r="Z236" s="6" t="str">
        <x:v>https://github.com/hagenhaeussler/Industrial-Agents-Hackathon-2026/blob/f41616590b69f3ea0c1cbfb41d6c35edd9ce53df/data/train/resplan-3971/questions_basic.jsonl#L2</x:v>
      </x:c>
      <x:c r="AA236" s="6" t="str">
        <x:v>resplan</x:v>
      </x:c>
      <x:c r="AB236" s="6" t="str">
        <x:v>CC-BY-4.0</x:v>
      </x:c>
    </x:row>
    <x:row r="237" ht="72" customHeight="1">
      <x:c r="A237" s="14" t="n">
        <x:v>232</x:v>
      </x:c>
      <x:c r="B237" s="6" t="str">
        <x:v>locate</x:v>
      </x:c>
      <x:c r="C237" s="6" t="str">
        <x:v>Where is the dishwasher?</x:v>
      </x:c>
      <x:c r="D237" s="6" t="str">
        <x:v>Kitchen 0.06
Floor level: 0
Asset ID: resplan-3971-A00023
Position (m): 9.883, 7.422</x:v>
      </x:c>
      <x:c r="E237" s="6" t="str">
        <x:v>Reference supplied</x:v>
      </x:c>
      <x:c r="F237" s="6" t="str">
        <x:v>train</x:v>
      </x:c>
      <x:c r="G237" s="6" t="str">
        <x:v>resplan-3971</x:v>
      </x:c>
      <x:c r="H237" s="6" t="str">
        <x:v>resplan-3971-Q03</x:v>
      </x:c>
      <x:c r="I237" s="6" t="str">
        <x:v>Find and count assets</x:v>
      </x:c>
      <x:c r="J237" s="6" t="str">
        <x:v>Warm-up</x:v>
      </x:c>
      <x:c r="K237" s="6" t="str">
        <x:v>Room name, floor and asset identity. Coordinates may help the UI.</x:v>
      </x:c>
      <x:c r="L237" s="6" t="str">
        <x:v>T02, T03</x:v>
      </x:c>
      <x:c r="M237" s="6" t="str">
        <x:v>Find a named item and identify its containing room and floor.</x:v>
      </x:c>
      <x:c r="N237" s="6" t="str">
        <x:v>{"asset_id":"resplan-3971-A00023","space_id":"resplan-3971-F0-S006","space_name":"Kitchen 0.06","floor_level":0,"position":[9.883,7.422]}</x:v>
      </x:c>
      <x:c r="O237" s="6"/>
      <x:c r="P237" s="6" t="str">
        <x:v>Resolve the intended asset and its containing room/floor.</x:v>
      </x:c>
      <x:c r="Q237" s="15"/>
      <x:c r="R237" s="6"/>
      <x:c r="S237" s="16"/>
      <x:c r="T237" s="15"/>
      <x:c r="U237" s="6"/>
      <x:c r="V237" s="6"/>
      <x:c r="W237" s="6" t="str">
        <x:v>Existing search_building. Improve disambiguation and complete result pagination.</x:v>
      </x:c>
      <x:c r="X237" s="6" t="str">
        <x:v>data/train/resplan-3971/questions_basic.jsonl</x:v>
      </x:c>
      <x:c r="Y237" s="14" t="n">
        <x:v>3</x:v>
      </x:c>
      <x:c r="Z237" s="6" t="str">
        <x:v>https://github.com/hagenhaeussler/Industrial-Agents-Hackathon-2026/blob/f41616590b69f3ea0c1cbfb41d6c35edd9ce53df/data/train/resplan-3971/questions_basic.jsonl#L3</x:v>
      </x:c>
      <x:c r="AA237" s="6" t="str">
        <x:v>resplan</x:v>
      </x:c>
      <x:c r="AB237" s="6" t="str">
        <x:v>CC-BY-4.0</x:v>
      </x:c>
    </x:row>
    <x:row r="238" ht="72" customHeight="1">
      <x:c r="A238" s="14" t="n">
        <x:v>233</x:v>
      </x:c>
      <x:c r="B238" s="6" t="str">
        <x:v>locate</x:v>
      </x:c>
      <x:c r="C238" s="6" t="str">
        <x:v>Where is the bookshelf?</x:v>
      </x:c>
      <x:c r="D238" s="6" t="str">
        <x:v>Living room 0.01
Floor level: 0
Asset ID: resplan-4294-A00009
Position (m): 8.876, 1.876</x:v>
      </x:c>
      <x:c r="E238" s="6" t="str">
        <x:v>Reference supplied</x:v>
      </x:c>
      <x:c r="F238" s="6" t="str">
        <x:v>train</x:v>
      </x:c>
      <x:c r="G238" s="6" t="str">
        <x:v>resplan-4294</x:v>
      </x:c>
      <x:c r="H238" s="6" t="str">
        <x:v>resplan-4294-Q01</x:v>
      </x:c>
      <x:c r="I238" s="6" t="str">
        <x:v>Find and count assets</x:v>
      </x:c>
      <x:c r="J238" s="6" t="str">
        <x:v>Warm-up</x:v>
      </x:c>
      <x:c r="K238" s="6" t="str">
        <x:v>Room name, floor and asset identity. Coordinates may help the UI.</x:v>
      </x:c>
      <x:c r="L238" s="6" t="str">
        <x:v>T02, T03</x:v>
      </x:c>
      <x:c r="M238" s="6" t="str">
        <x:v>Find a named item and identify its containing room and floor.</x:v>
      </x:c>
      <x:c r="N238" s="6" t="str">
        <x:v>{"asset_id":"resplan-4294-A00009","space_id":"resplan-4294-F0-S001","space_name":"Living room 0.01","floor_level":0,"position":[8.876,1.876]}</x:v>
      </x:c>
      <x:c r="O238" s="6"/>
      <x:c r="P238" s="6" t="str">
        <x:v>Resolve the intended asset and its containing room/floor.</x:v>
      </x:c>
      <x:c r="Q238" s="15"/>
      <x:c r="R238" s="6"/>
      <x:c r="S238" s="16"/>
      <x:c r="T238" s="15"/>
      <x:c r="U238" s="6"/>
      <x:c r="V238" s="6"/>
      <x:c r="W238" s="6" t="str">
        <x:v>Existing search_building. Improve disambiguation and complete result pagination.</x:v>
      </x:c>
      <x:c r="X238" s="6" t="str">
        <x:v>data/train/resplan-4294/questions_basic.jsonl</x:v>
      </x:c>
      <x:c r="Y238" s="14" t="n">
        <x:v>1</x:v>
      </x:c>
      <x:c r="Z238" s="6" t="str">
        <x:v>https://github.com/hagenhaeussler/Industrial-Agents-Hackathon-2026/blob/f41616590b69f3ea0c1cbfb41d6c35edd9ce53df/data/train/resplan-4294/questions_basic.jsonl#L1</x:v>
      </x:c>
      <x:c r="AA238" s="6" t="str">
        <x:v>resplan</x:v>
      </x:c>
      <x:c r="AB238" s="6" t="str">
        <x:v>CC-BY-4.0</x:v>
      </x:c>
    </x:row>
    <x:row r="239" ht="72" customHeight="1">
      <x:c r="A239" s="14" t="n">
        <x:v>234</x:v>
      </x:c>
      <x:c r="B239" s="6" t="str">
        <x:v>locate</x:v>
      </x:c>
      <x:c r="C239" s="6" t="str">
        <x:v>Where is the sink?</x:v>
      </x:c>
      <x:c r="D239" s="6" t="str">
        <x:v>Bathroom 0.04
Floor level: 0
Asset ID: resplan-4294-A00014
Position (m): 0.295, 3.242</x:v>
      </x:c>
      <x:c r="E239" s="6" t="str">
        <x:v>Reference supplied</x:v>
      </x:c>
      <x:c r="F239" s="6" t="str">
        <x:v>train</x:v>
      </x:c>
      <x:c r="G239" s="6" t="str">
        <x:v>resplan-4294</x:v>
      </x:c>
      <x:c r="H239" s="6" t="str">
        <x:v>resplan-4294-Q02</x:v>
      </x:c>
      <x:c r="I239" s="6" t="str">
        <x:v>Find and count assets</x:v>
      </x:c>
      <x:c r="J239" s="6" t="str">
        <x:v>Warm-up</x:v>
      </x:c>
      <x:c r="K239" s="6" t="str">
        <x:v>Room name, floor and asset identity. Coordinates may help the UI.</x:v>
      </x:c>
      <x:c r="L239" s="6" t="str">
        <x:v>T02, T03</x:v>
      </x:c>
      <x:c r="M239" s="6" t="str">
        <x:v>Find a named item and identify its containing room and floor.</x:v>
      </x:c>
      <x:c r="N239" s="6" t="str">
        <x:v>{"asset_id":"resplan-4294-A00014","space_id":"resplan-4294-F0-S004","space_name":"Bathroom 0.04","floor_level":0,"position":[0.295,3.242]}</x:v>
      </x:c>
      <x:c r="O239" s="6"/>
      <x:c r="P239" s="6" t="str">
        <x:v>Resolve the intended asset and its containing room/floor.</x:v>
      </x:c>
      <x:c r="Q239" s="15"/>
      <x:c r="R239" s="6"/>
      <x:c r="S239" s="16"/>
      <x:c r="T239" s="15"/>
      <x:c r="U239" s="6"/>
      <x:c r="V239" s="6"/>
      <x:c r="W239" s="6" t="str">
        <x:v>Existing search_building. Improve disambiguation and complete result pagination.</x:v>
      </x:c>
      <x:c r="X239" s="6" t="str">
        <x:v>data/train/resplan-4294/questions_basic.jsonl</x:v>
      </x:c>
      <x:c r="Y239" s="14" t="n">
        <x:v>2</x:v>
      </x:c>
      <x:c r="Z239" s="6" t="str">
        <x:v>https://github.com/hagenhaeussler/Industrial-Agents-Hackathon-2026/blob/f41616590b69f3ea0c1cbfb41d6c35edd9ce53df/data/train/resplan-4294/questions_basic.jsonl#L2</x:v>
      </x:c>
      <x:c r="AA239" s="6" t="str">
        <x:v>resplan</x:v>
      </x:c>
      <x:c r="AB239" s="6" t="str">
        <x:v>CC-BY-4.0</x:v>
      </x:c>
    </x:row>
    <x:row r="240" ht="72" customHeight="1">
      <x:c r="A240" s="14" t="n">
        <x:v>235</x:v>
      </x:c>
      <x:c r="B240" s="6" t="str">
        <x:v>locate</x:v>
      </x:c>
      <x:c r="C240" s="6" t="str">
        <x:v>Where is the kitchen counter?</x:v>
      </x:c>
      <x:c r="D240" s="6" t="str">
        <x:v>Kitchen 0.05
Floor level: 0
Asset ID: resplan-4294-A00016
Position (m): 5.489, 2.001</x:v>
      </x:c>
      <x:c r="E240" s="6" t="str">
        <x:v>Reference supplied</x:v>
      </x:c>
      <x:c r="F240" s="6" t="str">
        <x:v>train</x:v>
      </x:c>
      <x:c r="G240" s="6" t="str">
        <x:v>resplan-4294</x:v>
      </x:c>
      <x:c r="H240" s="6" t="str">
        <x:v>resplan-4294-Q03</x:v>
      </x:c>
      <x:c r="I240" s="6" t="str">
        <x:v>Find and count assets</x:v>
      </x:c>
      <x:c r="J240" s="6" t="str">
        <x:v>Warm-up</x:v>
      </x:c>
      <x:c r="K240" s="6" t="str">
        <x:v>Room name, floor and asset identity. Coordinates may help the UI.</x:v>
      </x:c>
      <x:c r="L240" s="6" t="str">
        <x:v>T02, T03</x:v>
      </x:c>
      <x:c r="M240" s="6" t="str">
        <x:v>Find a named item and identify its containing room and floor.</x:v>
      </x:c>
      <x:c r="N240" s="6" t="str">
        <x:v>{"asset_id":"resplan-4294-A00016","space_id":"resplan-4294-F0-S005","space_name":"Kitchen 0.05","floor_level":0,"position":[5.489,2.001]}</x:v>
      </x:c>
      <x:c r="O240" s="6"/>
      <x:c r="P240" s="6" t="str">
        <x:v>Resolve the intended asset and its containing room/floor.</x:v>
      </x:c>
      <x:c r="Q240" s="15"/>
      <x:c r="R240" s="6"/>
      <x:c r="S240" s="16"/>
      <x:c r="T240" s="15"/>
      <x:c r="U240" s="6"/>
      <x:c r="V240" s="6"/>
      <x:c r="W240" s="6" t="str">
        <x:v>Existing search_building. Improve disambiguation and complete result pagination.</x:v>
      </x:c>
      <x:c r="X240" s="6" t="str">
        <x:v>data/train/resplan-4294/questions_basic.jsonl</x:v>
      </x:c>
      <x:c r="Y240" s="14" t="n">
        <x:v>3</x:v>
      </x:c>
      <x:c r="Z240" s="6" t="str">
        <x:v>https://github.com/hagenhaeussler/Industrial-Agents-Hackathon-2026/blob/f41616590b69f3ea0c1cbfb41d6c35edd9ce53df/data/train/resplan-4294/questions_basic.jsonl#L3</x:v>
      </x:c>
      <x:c r="AA240" s="6" t="str">
        <x:v>resplan</x:v>
      </x:c>
      <x:c r="AB240" s="6" t="str">
        <x:v>CC-BY-4.0</x:v>
      </x:c>
    </x:row>
    <x:row r="241" ht="72" customHeight="1">
      <x:c r="A241" s="14" t="n">
        <x:v>236</x:v>
      </x:c>
      <x:c r="B241" s="6" t="str">
        <x:v>locate</x:v>
      </x:c>
      <x:c r="C241" s="6" t="str">
        <x:v>Where is the microwave?</x:v>
      </x:c>
      <x:c r="D241" s="6" t="str">
        <x:v>Kitchen 0.06
Floor level: 0
Asset ID: resplan-4303-A00026
Position (m): 4.337, 4.944</x:v>
      </x:c>
      <x:c r="E241" s="6" t="str">
        <x:v>Reference supplied</x:v>
      </x:c>
      <x:c r="F241" s="6" t="str">
        <x:v>train</x:v>
      </x:c>
      <x:c r="G241" s="6" t="str">
        <x:v>resplan-4303</x:v>
      </x:c>
      <x:c r="H241" s="6" t="str">
        <x:v>resplan-4303-Q01</x:v>
      </x:c>
      <x:c r="I241" s="6" t="str">
        <x:v>Find and count assets</x:v>
      </x:c>
      <x:c r="J241" s="6" t="str">
        <x:v>Warm-up</x:v>
      </x:c>
      <x:c r="K241" s="6" t="str">
        <x:v>Room name, floor and asset identity. Coordinates may help the UI.</x:v>
      </x:c>
      <x:c r="L241" s="6" t="str">
        <x:v>T02, T03</x:v>
      </x:c>
      <x:c r="M241" s="6" t="str">
        <x:v>Find a named item and identify its containing room and floor.</x:v>
      </x:c>
      <x:c r="N241" s="6" t="str">
        <x:v>{"asset_id":"resplan-4303-A00026","space_id":"resplan-4303-F0-S006","space_name":"Kitchen 0.06","floor_level":0,"position":[4.337,4.944]}</x:v>
      </x:c>
      <x:c r="O241" s="6"/>
      <x:c r="P241" s="6" t="str">
        <x:v>Resolve the intended asset and its containing room/floor.</x:v>
      </x:c>
      <x:c r="Q241" s="15"/>
      <x:c r="R241" s="6"/>
      <x:c r="S241" s="16"/>
      <x:c r="T241" s="15"/>
      <x:c r="U241" s="6"/>
      <x:c r="V241" s="6"/>
      <x:c r="W241" s="6" t="str">
        <x:v>Existing search_building. Improve disambiguation and complete result pagination.</x:v>
      </x:c>
      <x:c r="X241" s="6" t="str">
        <x:v>data/train/resplan-4303/questions_basic.jsonl</x:v>
      </x:c>
      <x:c r="Y241" s="14" t="n">
        <x:v>1</x:v>
      </x:c>
      <x:c r="Z241" s="6" t="str">
        <x:v>https://github.com/hagenhaeussler/Industrial-Agents-Hackathon-2026/blob/f41616590b69f3ea0c1cbfb41d6c35edd9ce53df/data/train/resplan-4303/questions_basic.jsonl#L1</x:v>
      </x:c>
      <x:c r="AA241" s="6" t="str">
        <x:v>resplan</x:v>
      </x:c>
      <x:c r="AB241" s="6" t="str">
        <x:v>CC-BY-4.0</x:v>
      </x:c>
    </x:row>
    <x:row r="242" ht="72" customHeight="1">
      <x:c r="A242" s="14" t="n">
        <x:v>237</x:v>
      </x:c>
      <x:c r="B242" s="6" t="str">
        <x:v>locate</x:v>
      </x:c>
      <x:c r="C242" s="6" t="str">
        <x:v>Where is the fridge?</x:v>
      </x:c>
      <x:c r="D242" s="6" t="str">
        <x:v>Kitchen 0.06
Floor level: 0
Asset ID: resplan-4303-A00024
Position (m): 3.383, 5.271</x:v>
      </x:c>
      <x:c r="E242" s="6" t="str">
        <x:v>Reference supplied</x:v>
      </x:c>
      <x:c r="F242" s="6" t="str">
        <x:v>train</x:v>
      </x:c>
      <x:c r="G242" s="6" t="str">
        <x:v>resplan-4303</x:v>
      </x:c>
      <x:c r="H242" s="6" t="str">
        <x:v>resplan-4303-Q02</x:v>
      </x:c>
      <x:c r="I242" s="6" t="str">
        <x:v>Find and count assets</x:v>
      </x:c>
      <x:c r="J242" s="6" t="str">
        <x:v>Warm-up</x:v>
      </x:c>
      <x:c r="K242" s="6" t="str">
        <x:v>Room name, floor and asset identity. Coordinates may help the UI.</x:v>
      </x:c>
      <x:c r="L242" s="6" t="str">
        <x:v>T02, T03</x:v>
      </x:c>
      <x:c r="M242" s="6" t="str">
        <x:v>Find a named item and identify its containing room and floor.</x:v>
      </x:c>
      <x:c r="N242" s="6" t="str">
        <x:v>{"asset_id":"resplan-4303-A00024","space_id":"resplan-4303-F0-S006","space_name":"Kitchen 0.06","floor_level":0,"position":[3.383,5.271]}</x:v>
      </x:c>
      <x:c r="O242" s="6"/>
      <x:c r="P242" s="6" t="str">
        <x:v>Resolve the intended asset and its containing room/floor.</x:v>
      </x:c>
      <x:c r="Q242" s="15"/>
      <x:c r="R242" s="6"/>
      <x:c r="S242" s="16"/>
      <x:c r="T242" s="15"/>
      <x:c r="U242" s="6"/>
      <x:c r="V242" s="6"/>
      <x:c r="W242" s="6" t="str">
        <x:v>Existing search_building. Improve disambiguation and complete result pagination.</x:v>
      </x:c>
      <x:c r="X242" s="6" t="str">
        <x:v>data/train/resplan-4303/questions_basic.jsonl</x:v>
      </x:c>
      <x:c r="Y242" s="14" t="n">
        <x:v>2</x:v>
      </x:c>
      <x:c r="Z242" s="6" t="str">
        <x:v>https://github.com/hagenhaeussler/Industrial-Agents-Hackathon-2026/blob/f41616590b69f3ea0c1cbfb41d6c35edd9ce53df/data/train/resplan-4303/questions_basic.jsonl#L2</x:v>
      </x:c>
      <x:c r="AA242" s="6" t="str">
        <x:v>resplan</x:v>
      </x:c>
      <x:c r="AB242" s="6" t="str">
        <x:v>CC-BY-4.0</x:v>
      </x:c>
    </x:row>
    <x:row r="243" ht="72" customHeight="1">
      <x:c r="A243" s="14" t="n">
        <x:v>238</x:v>
      </x:c>
      <x:c r="B243" s="6" t="str">
        <x:v>locate</x:v>
      </x:c>
      <x:c r="C243" s="6" t="str">
        <x:v>Where is the dining table?</x:v>
      </x:c>
      <x:c r="D243" s="6" t="str">
        <x:v>Living room 0.01
Floor level: 0
Asset ID: resplan-4303-A00004
Position (m): 4.937, 1.803</x:v>
      </x:c>
      <x:c r="E243" s="6" t="str">
        <x:v>Reference supplied</x:v>
      </x:c>
      <x:c r="F243" s="6" t="str">
        <x:v>train</x:v>
      </x:c>
      <x:c r="G243" s="6" t="str">
        <x:v>resplan-4303</x:v>
      </x:c>
      <x:c r="H243" s="6" t="str">
        <x:v>resplan-4303-Q03</x:v>
      </x:c>
      <x:c r="I243" s="6" t="str">
        <x:v>Find and count assets</x:v>
      </x:c>
      <x:c r="J243" s="6" t="str">
        <x:v>Warm-up</x:v>
      </x:c>
      <x:c r="K243" s="6" t="str">
        <x:v>Room name, floor and asset identity. Coordinates may help the UI.</x:v>
      </x:c>
      <x:c r="L243" s="6" t="str">
        <x:v>T02, T03</x:v>
      </x:c>
      <x:c r="M243" s="6" t="str">
        <x:v>Find a named item and identify its containing room and floor.</x:v>
      </x:c>
      <x:c r="N243" s="6" t="str">
        <x:v>{"asset_id":"resplan-4303-A00004","space_id":"resplan-4303-F0-S001","space_name":"Living room 0.01","floor_level":0,"position":[4.937,1.803]}</x:v>
      </x:c>
      <x:c r="O243" s="6"/>
      <x:c r="P243" s="6" t="str">
        <x:v>Resolve the intended asset and its containing room/floor.</x:v>
      </x:c>
      <x:c r="Q243" s="15"/>
      <x:c r="R243" s="6"/>
      <x:c r="S243" s="16"/>
      <x:c r="T243" s="15"/>
      <x:c r="U243" s="6"/>
      <x:c r="V243" s="6"/>
      <x:c r="W243" s="6" t="str">
        <x:v>Existing search_building. Improve disambiguation and complete result pagination.</x:v>
      </x:c>
      <x:c r="X243" s="6" t="str">
        <x:v>data/train/resplan-4303/questions_basic.jsonl</x:v>
      </x:c>
      <x:c r="Y243" s="14" t="n">
        <x:v>3</x:v>
      </x:c>
      <x:c r="Z243" s="6" t="str">
        <x:v>https://github.com/hagenhaeussler/Industrial-Agents-Hackathon-2026/blob/f41616590b69f3ea0c1cbfb41d6c35edd9ce53df/data/train/resplan-4303/questions_basic.jsonl#L3</x:v>
      </x:c>
      <x:c r="AA243" s="6" t="str">
        <x:v>resplan</x:v>
      </x:c>
      <x:c r="AB243" s="6" t="str">
        <x:v>CC-BY-4.0</x:v>
      </x:c>
    </x:row>
    <x:row r="244" ht="72" customHeight="1">
      <x:c r="A244" s="14" t="n">
        <x:v>239</x:v>
      </x:c>
      <x:c r="B244" s="6" t="str">
        <x:v>locate</x:v>
      </x:c>
      <x:c r="C244" s="6" t="str">
        <x:v>Where is the bed?</x:v>
      </x:c>
      <x:c r="D244" s="6" t="str">
        <x:v>Bedroom 0.02
Floor level: 0
Asset ID: resplan-433-A00006
Position (m): 1.919, 6.596</x:v>
      </x:c>
      <x:c r="E244" s="6" t="str">
        <x:v>Reference supplied</x:v>
      </x:c>
      <x:c r="F244" s="6" t="str">
        <x:v>train</x:v>
      </x:c>
      <x:c r="G244" s="6" t="str">
        <x:v>resplan-433</x:v>
      </x:c>
      <x:c r="H244" s="6" t="str">
        <x:v>resplan-433-Q01</x:v>
      </x:c>
      <x:c r="I244" s="6" t="str">
        <x:v>Find and count assets</x:v>
      </x:c>
      <x:c r="J244" s="6" t="str">
        <x:v>Warm-up</x:v>
      </x:c>
      <x:c r="K244" s="6" t="str">
        <x:v>Room name, floor and asset identity. Coordinates may help the UI.</x:v>
      </x:c>
      <x:c r="L244" s="6" t="str">
        <x:v>T02, T03</x:v>
      </x:c>
      <x:c r="M244" s="6" t="str">
        <x:v>Find a named item and identify its containing room and floor.</x:v>
      </x:c>
      <x:c r="N244" s="6" t="str">
        <x:v>{"asset_id":"resplan-433-A00006","space_id":"resplan-433-F0-S002","space_name":"Bedroom 0.02","floor_level":0,"position":[1.919,6.596]}</x:v>
      </x:c>
      <x:c r="O244" s="6"/>
      <x:c r="P244" s="6" t="str">
        <x:v>Resolve the intended asset and its containing room/floor.</x:v>
      </x:c>
      <x:c r="Q244" s="15"/>
      <x:c r="R244" s="6"/>
      <x:c r="S244" s="16"/>
      <x:c r="T244" s="15"/>
      <x:c r="U244" s="6"/>
      <x:c r="V244" s="6"/>
      <x:c r="W244" s="6" t="str">
        <x:v>Existing search_building. Improve disambiguation and complete result pagination.</x:v>
      </x:c>
      <x:c r="X244" s="6" t="str">
        <x:v>data/train/resplan-433/questions_basic.jsonl</x:v>
      </x:c>
      <x:c r="Y244" s="14" t="n">
        <x:v>1</x:v>
      </x:c>
      <x:c r="Z244" s="6" t="str">
        <x:v>https://github.com/hagenhaeussler/Industrial-Agents-Hackathon-2026/blob/f41616590b69f3ea0c1cbfb41d6c35edd9ce53df/data/train/resplan-433/questions_basic.jsonl#L1</x:v>
      </x:c>
      <x:c r="AA244" s="6" t="str">
        <x:v>resplan</x:v>
      </x:c>
      <x:c r="AB244" s="6" t="str">
        <x:v>CC-BY-4.0</x:v>
      </x:c>
    </x:row>
    <x:row r="245" ht="72" customHeight="1">
      <x:c r="A245" s="14" t="n">
        <x:v>240</x:v>
      </x:c>
      <x:c r="B245" s="6" t="str">
        <x:v>locate</x:v>
      </x:c>
      <x:c r="C245" s="6" t="str">
        <x:v>Where is the dining table?</x:v>
      </x:c>
      <x:c r="D245" s="6" t="str">
        <x:v>Living room 0.01
Floor level: 0
Asset ID: resplan-433-A00004
Position (m): 11.311, 4.552</x:v>
      </x:c>
      <x:c r="E245" s="6" t="str">
        <x:v>Reference supplied</x:v>
      </x:c>
      <x:c r="F245" s="6" t="str">
        <x:v>train</x:v>
      </x:c>
      <x:c r="G245" s="6" t="str">
        <x:v>resplan-433</x:v>
      </x:c>
      <x:c r="H245" s="6" t="str">
        <x:v>resplan-433-Q02</x:v>
      </x:c>
      <x:c r="I245" s="6" t="str">
        <x:v>Find and count assets</x:v>
      </x:c>
      <x:c r="J245" s="6" t="str">
        <x:v>Warm-up</x:v>
      </x:c>
      <x:c r="K245" s="6" t="str">
        <x:v>Room name, floor and asset identity. Coordinates may help the UI.</x:v>
      </x:c>
      <x:c r="L245" s="6" t="str">
        <x:v>T02, T03</x:v>
      </x:c>
      <x:c r="M245" s="6" t="str">
        <x:v>Find a named item and identify its containing room and floor.</x:v>
      </x:c>
      <x:c r="N245" s="6" t="str">
        <x:v>{"asset_id":"resplan-433-A00004","space_id":"resplan-433-F0-S001","space_name":"Living room 0.01","floor_level":0,"position":[11.311,4.552]}</x:v>
      </x:c>
      <x:c r="O245" s="6"/>
      <x:c r="P245" s="6" t="str">
        <x:v>Resolve the intended asset and its containing room/floor.</x:v>
      </x:c>
      <x:c r="Q245" s="15"/>
      <x:c r="R245" s="6"/>
      <x:c r="S245" s="16"/>
      <x:c r="T245" s="15"/>
      <x:c r="U245" s="6"/>
      <x:c r="V245" s="6"/>
      <x:c r="W245" s="6" t="str">
        <x:v>Existing search_building. Improve disambiguation and complete result pagination.</x:v>
      </x:c>
      <x:c r="X245" s="6" t="str">
        <x:v>data/train/resplan-433/questions_basic.jsonl</x:v>
      </x:c>
      <x:c r="Y245" s="14" t="n">
        <x:v>2</x:v>
      </x:c>
      <x:c r="Z245" s="6" t="str">
        <x:v>https://github.com/hagenhaeussler/Industrial-Agents-Hackathon-2026/blob/f41616590b69f3ea0c1cbfb41d6c35edd9ce53df/data/train/resplan-433/questions_basic.jsonl#L2</x:v>
      </x:c>
      <x:c r="AA245" s="6" t="str">
        <x:v>resplan</x:v>
      </x:c>
      <x:c r="AB245" s="6" t="str">
        <x:v>CC-BY-4.0</x:v>
      </x:c>
    </x:row>
    <x:row r="246" ht="72" customHeight="1">
      <x:c r="A246" s="14" t="n">
        <x:v>241</x:v>
      </x:c>
      <x:c r="B246" s="6" t="str">
        <x:v>locate</x:v>
      </x:c>
      <x:c r="C246" s="6" t="str">
        <x:v>Where is the stove?</x:v>
      </x:c>
      <x:c r="D246" s="6" t="str">
        <x:v>Kitchen 0.05
Floor level: 0
Asset ID: resplan-433-A00014
Position (m): 6.786, 7.242</x:v>
      </x:c>
      <x:c r="E246" s="6" t="str">
        <x:v>Reference supplied</x:v>
      </x:c>
      <x:c r="F246" s="6" t="str">
        <x:v>train</x:v>
      </x:c>
      <x:c r="G246" s="6" t="str">
        <x:v>resplan-433</x:v>
      </x:c>
      <x:c r="H246" s="6" t="str">
        <x:v>resplan-433-Q03</x:v>
      </x:c>
      <x:c r="I246" s="6" t="str">
        <x:v>Find and count assets</x:v>
      </x:c>
      <x:c r="J246" s="6" t="str">
        <x:v>Warm-up</x:v>
      </x:c>
      <x:c r="K246" s="6" t="str">
        <x:v>Room name, floor and asset identity. Coordinates may help the UI.</x:v>
      </x:c>
      <x:c r="L246" s="6" t="str">
        <x:v>T02, T03</x:v>
      </x:c>
      <x:c r="M246" s="6" t="str">
        <x:v>Find a named item and identify its containing room and floor.</x:v>
      </x:c>
      <x:c r="N246" s="6" t="str">
        <x:v>{"asset_id":"resplan-433-A00014","space_id":"resplan-433-F0-S005","space_name":"Kitchen 0.05","floor_level":0,"position":[6.786,7.242]}</x:v>
      </x:c>
      <x:c r="O246" s="6"/>
      <x:c r="P246" s="6" t="str">
        <x:v>Resolve the intended asset and its containing room/floor.</x:v>
      </x:c>
      <x:c r="Q246" s="15"/>
      <x:c r="R246" s="6"/>
      <x:c r="S246" s="16"/>
      <x:c r="T246" s="15"/>
      <x:c r="U246" s="6"/>
      <x:c r="V246" s="6"/>
      <x:c r="W246" s="6" t="str">
        <x:v>Existing search_building. Improve disambiguation and complete result pagination.</x:v>
      </x:c>
      <x:c r="X246" s="6" t="str">
        <x:v>data/train/resplan-433/questions_basic.jsonl</x:v>
      </x:c>
      <x:c r="Y246" s="14" t="n">
        <x:v>3</x:v>
      </x:c>
      <x:c r="Z246" s="6" t="str">
        <x:v>https://github.com/hagenhaeussler/Industrial-Agents-Hackathon-2026/blob/f41616590b69f3ea0c1cbfb41d6c35edd9ce53df/data/train/resplan-433/questions_basic.jsonl#L3</x:v>
      </x:c>
      <x:c r="AA246" s="6" t="str">
        <x:v>resplan</x:v>
      </x:c>
      <x:c r="AB246" s="6" t="str">
        <x:v>CC-BY-4.0</x:v>
      </x:c>
    </x:row>
    <x:row r="247" ht="72" customHeight="1">
      <x:c r="A247" s="14" t="n">
        <x:v>242</x:v>
      </x:c>
      <x:c r="B247" s="6" t="str">
        <x:v>locate</x:v>
      </x:c>
      <x:c r="C247" s="6" t="str">
        <x:v>Where is the armchair?</x:v>
      </x:c>
      <x:c r="D247" s="6" t="str">
        <x:v>Living room 0.01
Floor level: 0
Asset ID: resplan-4378-A00007
Position (m): 6.996, 3.662</x:v>
      </x:c>
      <x:c r="E247" s="6" t="str">
        <x:v>Reference supplied</x:v>
      </x:c>
      <x:c r="F247" s="6" t="str">
        <x:v>train</x:v>
      </x:c>
      <x:c r="G247" s="6" t="str">
        <x:v>resplan-4378</x:v>
      </x:c>
      <x:c r="H247" s="6" t="str">
        <x:v>resplan-4378-Q01</x:v>
      </x:c>
      <x:c r="I247" s="6" t="str">
        <x:v>Find and count assets</x:v>
      </x:c>
      <x:c r="J247" s="6" t="str">
        <x:v>Warm-up</x:v>
      </x:c>
      <x:c r="K247" s="6" t="str">
        <x:v>Room name, floor and asset identity. Coordinates may help the UI.</x:v>
      </x:c>
      <x:c r="L247" s="6" t="str">
        <x:v>T02, T03</x:v>
      </x:c>
      <x:c r="M247" s="6" t="str">
        <x:v>Find a named item and identify its containing room and floor.</x:v>
      </x:c>
      <x:c r="N247" s="6" t="str">
        <x:v>{"asset_id":"resplan-4378-A00007","space_id":"resplan-4378-F0-S001","space_name":"Living room 0.01","floor_level":0,"position":[6.996,3.662]}</x:v>
      </x:c>
      <x:c r="O247" s="6"/>
      <x:c r="P247" s="6" t="str">
        <x:v>Resolve the intended asset and its containing room/floor.</x:v>
      </x:c>
      <x:c r="Q247" s="15"/>
      <x:c r="R247" s="6"/>
      <x:c r="S247" s="16"/>
      <x:c r="T247" s="15"/>
      <x:c r="U247" s="6"/>
      <x:c r="V247" s="6"/>
      <x:c r="W247" s="6" t="str">
        <x:v>Existing search_building. Improve disambiguation and complete result pagination.</x:v>
      </x:c>
      <x:c r="X247" s="6" t="str">
        <x:v>data/train/resplan-4378/questions_basic.jsonl</x:v>
      </x:c>
      <x:c r="Y247" s="14" t="n">
        <x:v>1</x:v>
      </x:c>
      <x:c r="Z247" s="6" t="str">
        <x:v>https://github.com/hagenhaeussler/Industrial-Agents-Hackathon-2026/blob/f41616590b69f3ea0c1cbfb41d6c35edd9ce53df/data/train/resplan-4378/questions_basic.jsonl#L1</x:v>
      </x:c>
      <x:c r="AA247" s="6" t="str">
        <x:v>resplan</x:v>
      </x:c>
      <x:c r="AB247" s="6" t="str">
        <x:v>CC-BY-4.0</x:v>
      </x:c>
    </x:row>
    <x:row r="248" ht="72" customHeight="1">
      <x:c r="A248" s="14" t="n">
        <x:v>243</x:v>
      </x:c>
      <x:c r="B248" s="6" t="str">
        <x:v>locate</x:v>
      </x:c>
      <x:c r="C248" s="6" t="str">
        <x:v>Where is the kitchen counter?</x:v>
      </x:c>
      <x:c r="D248" s="6" t="str">
        <x:v>Kitchen 0.06
Floor level: 0
Asset ID: resplan-4378-A00021
Position (m): 12.182, 8.297</x:v>
      </x:c>
      <x:c r="E248" s="6" t="str">
        <x:v>Reference supplied</x:v>
      </x:c>
      <x:c r="F248" s="6" t="str">
        <x:v>train</x:v>
      </x:c>
      <x:c r="G248" s="6" t="str">
        <x:v>resplan-4378</x:v>
      </x:c>
      <x:c r="H248" s="6" t="str">
        <x:v>resplan-4378-Q02</x:v>
      </x:c>
      <x:c r="I248" s="6" t="str">
        <x:v>Find and count assets</x:v>
      </x:c>
      <x:c r="J248" s="6" t="str">
        <x:v>Warm-up</x:v>
      </x:c>
      <x:c r="K248" s="6" t="str">
        <x:v>Room name, floor and asset identity. Coordinates may help the UI.</x:v>
      </x:c>
      <x:c r="L248" s="6" t="str">
        <x:v>T02, T03</x:v>
      </x:c>
      <x:c r="M248" s="6" t="str">
        <x:v>Find a named item and identify its containing room and floor.</x:v>
      </x:c>
      <x:c r="N248" s="6" t="str">
        <x:v>{"asset_id":"resplan-4378-A00021","space_id":"resplan-4378-F0-S006","space_name":"Kitchen 0.06","floor_level":0,"position":[12.182,8.297]}</x:v>
      </x:c>
      <x:c r="O248" s="6"/>
      <x:c r="P248" s="6" t="str">
        <x:v>Resolve the intended asset and its containing room/floor.</x:v>
      </x:c>
      <x:c r="Q248" s="15"/>
      <x:c r="R248" s="6"/>
      <x:c r="S248" s="16"/>
      <x:c r="T248" s="15"/>
      <x:c r="U248" s="6"/>
      <x:c r="V248" s="6"/>
      <x:c r="W248" s="6" t="str">
        <x:v>Existing search_building. Improve disambiguation and complete result pagination.</x:v>
      </x:c>
      <x:c r="X248" s="6" t="str">
        <x:v>data/train/resplan-4378/questions_basic.jsonl</x:v>
      </x:c>
      <x:c r="Y248" s="14" t="n">
        <x:v>2</x:v>
      </x:c>
      <x:c r="Z248" s="6" t="str">
        <x:v>https://github.com/hagenhaeussler/Industrial-Agents-Hackathon-2026/blob/f41616590b69f3ea0c1cbfb41d6c35edd9ce53df/data/train/resplan-4378/questions_basic.jsonl#L2</x:v>
      </x:c>
      <x:c r="AA248" s="6" t="str">
        <x:v>resplan</x:v>
      </x:c>
      <x:c r="AB248" s="6" t="str">
        <x:v>CC-BY-4.0</x:v>
      </x:c>
    </x:row>
    <x:row r="249" ht="72" customHeight="1">
      <x:c r="A249" s="14" t="n">
        <x:v>244</x:v>
      </x:c>
      <x:c r="B249" s="6" t="str">
        <x:v>locate</x:v>
      </x:c>
      <x:c r="C249" s="6" t="str">
        <x:v>Where is the microwave?</x:v>
      </x:c>
      <x:c r="D249" s="6" t="str">
        <x:v>Kitchen 0.06
Floor level: 0
Asset ID: resplan-4378-A00024
Position (m): 12.144, 6.271</x:v>
      </x:c>
      <x:c r="E249" s="6" t="str">
        <x:v>Reference supplied</x:v>
      </x:c>
      <x:c r="F249" s="6" t="str">
        <x:v>train</x:v>
      </x:c>
      <x:c r="G249" s="6" t="str">
        <x:v>resplan-4378</x:v>
      </x:c>
      <x:c r="H249" s="6" t="str">
        <x:v>resplan-4378-Q03</x:v>
      </x:c>
      <x:c r="I249" s="6" t="str">
        <x:v>Find and count assets</x:v>
      </x:c>
      <x:c r="J249" s="6" t="str">
        <x:v>Warm-up</x:v>
      </x:c>
      <x:c r="K249" s="6" t="str">
        <x:v>Room name, floor and asset identity. Coordinates may help the UI.</x:v>
      </x:c>
      <x:c r="L249" s="6" t="str">
        <x:v>T02, T03</x:v>
      </x:c>
      <x:c r="M249" s="6" t="str">
        <x:v>Find a named item and identify its containing room and floor.</x:v>
      </x:c>
      <x:c r="N249" s="6" t="str">
        <x:v>{"asset_id":"resplan-4378-A00024","space_id":"resplan-4378-F0-S006","space_name":"Kitchen 0.06","floor_level":0,"position":[12.144,6.271]}</x:v>
      </x:c>
      <x:c r="O249" s="6"/>
      <x:c r="P249" s="6" t="str">
        <x:v>Resolve the intended asset and its containing room/floor.</x:v>
      </x:c>
      <x:c r="Q249" s="15"/>
      <x:c r="R249" s="6"/>
      <x:c r="S249" s="16"/>
      <x:c r="T249" s="15"/>
      <x:c r="U249" s="6"/>
      <x:c r="V249" s="6"/>
      <x:c r="W249" s="6" t="str">
        <x:v>Existing search_building. Improve disambiguation and complete result pagination.</x:v>
      </x:c>
      <x:c r="X249" s="6" t="str">
        <x:v>data/train/resplan-4378/questions_basic.jsonl</x:v>
      </x:c>
      <x:c r="Y249" s="14" t="n">
        <x:v>3</x:v>
      </x:c>
      <x:c r="Z249" s="6" t="str">
        <x:v>https://github.com/hagenhaeussler/Industrial-Agents-Hackathon-2026/blob/f41616590b69f3ea0c1cbfb41d6c35edd9ce53df/data/train/resplan-4378/questions_basic.jsonl#L3</x:v>
      </x:c>
      <x:c r="AA249" s="6" t="str">
        <x:v>resplan</x:v>
      </x:c>
      <x:c r="AB249" s="6" t="str">
        <x:v>CC-BY-4.0</x:v>
      </x:c>
    </x:row>
    <x:row r="250" ht="72" customHeight="1">
      <x:c r="A250" s="14" t="n">
        <x:v>245</x:v>
      </x:c>
      <x:c r="B250" s="6" t="str">
        <x:v>locate</x:v>
      </x:c>
      <x:c r="C250" s="6" t="str">
        <x:v>Where is the tv stand?</x:v>
      </x:c>
      <x:c r="D250" s="6" t="str">
        <x:v>Living room 0.01
Floor level: 0
Asset ID: resplan-4429-A00003
Position (m): 7.579, 4.108</x:v>
      </x:c>
      <x:c r="E250" s="6" t="str">
        <x:v>Reference supplied</x:v>
      </x:c>
      <x:c r="F250" s="6" t="str">
        <x:v>train</x:v>
      </x:c>
      <x:c r="G250" s="6" t="str">
        <x:v>resplan-4429</x:v>
      </x:c>
      <x:c r="H250" s="6" t="str">
        <x:v>resplan-4429-Q01</x:v>
      </x:c>
      <x:c r="I250" s="6" t="str">
        <x:v>Find and count assets</x:v>
      </x:c>
      <x:c r="J250" s="6" t="str">
        <x:v>Warm-up</x:v>
      </x:c>
      <x:c r="K250" s="6" t="str">
        <x:v>Room name, floor and asset identity. Coordinates may help the UI.</x:v>
      </x:c>
      <x:c r="L250" s="6" t="str">
        <x:v>T02, T03</x:v>
      </x:c>
      <x:c r="M250" s="6" t="str">
        <x:v>Find a named item and identify its containing room and floor.</x:v>
      </x:c>
      <x:c r="N250" s="6" t="str">
        <x:v>{"asset_id":"resplan-4429-A00003","space_id":"resplan-4429-F0-S001","space_name":"Living room 0.01","floor_level":0,"position":[7.579,4.108]}</x:v>
      </x:c>
      <x:c r="O250" s="6"/>
      <x:c r="P250" s="6" t="str">
        <x:v>Resolve the intended asset and its containing room/floor.</x:v>
      </x:c>
      <x:c r="Q250" s="15"/>
      <x:c r="R250" s="6"/>
      <x:c r="S250" s="16"/>
      <x:c r="T250" s="15"/>
      <x:c r="U250" s="6"/>
      <x:c r="V250" s="6"/>
      <x:c r="W250" s="6" t="str">
        <x:v>Existing search_building. Improve disambiguation and complete result pagination.</x:v>
      </x:c>
      <x:c r="X250" s="6" t="str">
        <x:v>data/train/resplan-4429/questions_basic.jsonl</x:v>
      </x:c>
      <x:c r="Y250" s="14" t="n">
        <x:v>1</x:v>
      </x:c>
      <x:c r="Z250" s="6" t="str">
        <x:v>https://github.com/hagenhaeussler/Industrial-Agents-Hackathon-2026/blob/f41616590b69f3ea0c1cbfb41d6c35edd9ce53df/data/train/resplan-4429/questions_basic.jsonl#L1</x:v>
      </x:c>
      <x:c r="AA250" s="6" t="str">
        <x:v>resplan</x:v>
      </x:c>
      <x:c r="AB250" s="6" t="str">
        <x:v>CC-BY-4.0</x:v>
      </x:c>
    </x:row>
    <x:row r="251" ht="72" customHeight="1">
      <x:c r="A251" s="14" t="n">
        <x:v>246</x:v>
      </x:c>
      <x:c r="B251" s="6" t="str">
        <x:v>locate</x:v>
      </x:c>
      <x:c r="C251" s="6" t="str">
        <x:v>Where is the kitchen counter?</x:v>
      </x:c>
      <x:c r="D251" s="6" t="str">
        <x:v>Kitchen 0.06
Floor level: 0
Asset ID: resplan-4429-A00017
Position (m): 0.81, 3.35</x:v>
      </x:c>
      <x:c r="E251" s="6" t="str">
        <x:v>Reference supplied</x:v>
      </x:c>
      <x:c r="F251" s="6" t="str">
        <x:v>train</x:v>
      </x:c>
      <x:c r="G251" s="6" t="str">
        <x:v>resplan-4429</x:v>
      </x:c>
      <x:c r="H251" s="6" t="str">
        <x:v>resplan-4429-Q02</x:v>
      </x:c>
      <x:c r="I251" s="6" t="str">
        <x:v>Find and count assets</x:v>
      </x:c>
      <x:c r="J251" s="6" t="str">
        <x:v>Warm-up</x:v>
      </x:c>
      <x:c r="K251" s="6" t="str">
        <x:v>Room name, floor and asset identity. Coordinates may help the UI.</x:v>
      </x:c>
      <x:c r="L251" s="6" t="str">
        <x:v>T02, T03</x:v>
      </x:c>
      <x:c r="M251" s="6" t="str">
        <x:v>Find a named item and identify its containing room and floor.</x:v>
      </x:c>
      <x:c r="N251" s="6" t="str">
        <x:v>{"asset_id":"resplan-4429-A00017","space_id":"resplan-4429-F0-S006","space_name":"Kitchen 0.06","floor_level":0,"position":[0.81,3.35]}</x:v>
      </x:c>
      <x:c r="O251" s="6"/>
      <x:c r="P251" s="6" t="str">
        <x:v>Resolve the intended asset and its containing room/floor.</x:v>
      </x:c>
      <x:c r="Q251" s="15"/>
      <x:c r="R251" s="6"/>
      <x:c r="S251" s="16"/>
      <x:c r="T251" s="15"/>
      <x:c r="U251" s="6"/>
      <x:c r="V251" s="6"/>
      <x:c r="W251" s="6" t="str">
        <x:v>Existing search_building. Improve disambiguation and complete result pagination.</x:v>
      </x:c>
      <x:c r="X251" s="6" t="str">
        <x:v>data/train/resplan-4429/questions_basic.jsonl</x:v>
      </x:c>
      <x:c r="Y251" s="14" t="n">
        <x:v>2</x:v>
      </x:c>
      <x:c r="Z251" s="6" t="str">
        <x:v>https://github.com/hagenhaeussler/Industrial-Agents-Hackathon-2026/blob/f41616590b69f3ea0c1cbfb41d6c35edd9ce53df/data/train/resplan-4429/questions_basic.jsonl#L2</x:v>
      </x:c>
      <x:c r="AA251" s="6" t="str">
        <x:v>resplan</x:v>
      </x:c>
      <x:c r="AB251" s="6" t="str">
        <x:v>CC-BY-4.0</x:v>
      </x:c>
    </x:row>
    <x:row r="252" ht="72" customHeight="1">
      <x:c r="A252" s="14" t="n">
        <x:v>247</x:v>
      </x:c>
      <x:c r="B252" s="6" t="str">
        <x:v>locate</x:v>
      </x:c>
      <x:c r="C252" s="6" t="str">
        <x:v>Where is the sofa?</x:v>
      </x:c>
      <x:c r="D252" s="6" t="str">
        <x:v>Living room 0.01
Floor level: 0
Asset ID: resplan-4429-A00001
Position (m): 7.611, 0.574</x:v>
      </x:c>
      <x:c r="E252" s="6" t="str">
        <x:v>Reference supplied</x:v>
      </x:c>
      <x:c r="F252" s="6" t="str">
        <x:v>train</x:v>
      </x:c>
      <x:c r="G252" s="6" t="str">
        <x:v>resplan-4429</x:v>
      </x:c>
      <x:c r="H252" s="6" t="str">
        <x:v>resplan-4429-Q03</x:v>
      </x:c>
      <x:c r="I252" s="6" t="str">
        <x:v>Find and count assets</x:v>
      </x:c>
      <x:c r="J252" s="6" t="str">
        <x:v>Warm-up</x:v>
      </x:c>
      <x:c r="K252" s="6" t="str">
        <x:v>Room name, floor and asset identity. Coordinates may help the UI.</x:v>
      </x:c>
      <x:c r="L252" s="6" t="str">
        <x:v>T02, T03</x:v>
      </x:c>
      <x:c r="M252" s="6" t="str">
        <x:v>Find a named item and identify its containing room and floor.</x:v>
      </x:c>
      <x:c r="N252" s="6" t="str">
        <x:v>{"asset_id":"resplan-4429-A00001","space_id":"resplan-4429-F0-S001","space_name":"Living room 0.01","floor_level":0,"position":[7.611,0.574]}</x:v>
      </x:c>
      <x:c r="O252" s="6"/>
      <x:c r="P252" s="6" t="str">
        <x:v>Resolve the intended asset and its containing room/floor.</x:v>
      </x:c>
      <x:c r="Q252" s="15"/>
      <x:c r="R252" s="6"/>
      <x:c r="S252" s="16"/>
      <x:c r="T252" s="15"/>
      <x:c r="U252" s="6"/>
      <x:c r="V252" s="6"/>
      <x:c r="W252" s="6" t="str">
        <x:v>Existing search_building. Improve disambiguation and complete result pagination.</x:v>
      </x:c>
      <x:c r="X252" s="6" t="str">
        <x:v>data/train/resplan-4429/questions_basic.jsonl</x:v>
      </x:c>
      <x:c r="Y252" s="14" t="n">
        <x:v>3</x:v>
      </x:c>
      <x:c r="Z252" s="6" t="str">
        <x:v>https://github.com/hagenhaeussler/Industrial-Agents-Hackathon-2026/blob/f41616590b69f3ea0c1cbfb41d6c35edd9ce53df/data/train/resplan-4429/questions_basic.jsonl#L3</x:v>
      </x:c>
      <x:c r="AA252" s="6" t="str">
        <x:v>resplan</x:v>
      </x:c>
      <x:c r="AB252" s="6" t="str">
        <x:v>CC-BY-4.0</x:v>
      </x:c>
    </x:row>
    <x:row r="253" ht="72" customHeight="1">
      <x:c r="A253" s="14" t="n">
        <x:v>248</x:v>
      </x:c>
      <x:c r="B253" s="6" t="str">
        <x:v>locate</x:v>
      </x:c>
      <x:c r="C253" s="6" t="str">
        <x:v>Where is the sofa?</x:v>
      </x:c>
      <x:c r="D253" s="6" t="str">
        <x:v>Living room 0.01
Floor level: 0
Asset ID: resplan-4453-A00001
Position (m): 1.406, 4.93</x:v>
      </x:c>
      <x:c r="E253" s="6" t="str">
        <x:v>Reference supplied</x:v>
      </x:c>
      <x:c r="F253" s="6" t="str">
        <x:v>train</x:v>
      </x:c>
      <x:c r="G253" s="6" t="str">
        <x:v>resplan-4453</x:v>
      </x:c>
      <x:c r="H253" s="6" t="str">
        <x:v>resplan-4453-Q01</x:v>
      </x:c>
      <x:c r="I253" s="6" t="str">
        <x:v>Find and count assets</x:v>
      </x:c>
      <x:c r="J253" s="6" t="str">
        <x:v>Warm-up</x:v>
      </x:c>
      <x:c r="K253" s="6" t="str">
        <x:v>Room name, floor and asset identity. Coordinates may help the UI.</x:v>
      </x:c>
      <x:c r="L253" s="6" t="str">
        <x:v>T02, T03</x:v>
      </x:c>
      <x:c r="M253" s="6" t="str">
        <x:v>Find a named item and identify its containing room and floor.</x:v>
      </x:c>
      <x:c r="N253" s="6" t="str">
        <x:v>{"asset_id":"resplan-4453-A00001","space_id":"resplan-4453-F0-S001","space_name":"Living room 0.01","floor_level":0,"position":[1.406,4.93]}</x:v>
      </x:c>
      <x:c r="O253" s="6"/>
      <x:c r="P253" s="6" t="str">
        <x:v>Resolve the intended asset and its containing room/floor.</x:v>
      </x:c>
      <x:c r="Q253" s="15"/>
      <x:c r="R253" s="6"/>
      <x:c r="S253" s="16"/>
      <x:c r="T253" s="15"/>
      <x:c r="U253" s="6"/>
      <x:c r="V253" s="6"/>
      <x:c r="W253" s="6" t="str">
        <x:v>Existing search_building. Improve disambiguation and complete result pagination.</x:v>
      </x:c>
      <x:c r="X253" s="6" t="str">
        <x:v>data/train/resplan-4453/questions_basic.jsonl</x:v>
      </x:c>
      <x:c r="Y253" s="14" t="n">
        <x:v>1</x:v>
      </x:c>
      <x:c r="Z253" s="6" t="str">
        <x:v>https://github.com/hagenhaeussler/Industrial-Agents-Hackathon-2026/blob/f41616590b69f3ea0c1cbfb41d6c35edd9ce53df/data/train/resplan-4453/questions_basic.jsonl#L1</x:v>
      </x:c>
      <x:c r="AA253" s="6" t="str">
        <x:v>resplan</x:v>
      </x:c>
      <x:c r="AB253" s="6" t="str">
        <x:v>CC-BY-4.0</x:v>
      </x:c>
    </x:row>
    <x:row r="254" ht="72" customHeight="1">
      <x:c r="A254" s="14" t="n">
        <x:v>249</x:v>
      </x:c>
      <x:c r="B254" s="6" t="str">
        <x:v>locate</x:v>
      </x:c>
      <x:c r="C254" s="6" t="str">
        <x:v>Where is the stove?</x:v>
      </x:c>
      <x:c r="D254" s="6" t="str">
        <x:v>Kitchen 0.07
Floor level: 0
Asset ID: resplan-4453-A00030
Position (m): 6.301, 8.821</x:v>
      </x:c>
      <x:c r="E254" s="6" t="str">
        <x:v>Reference supplied</x:v>
      </x:c>
      <x:c r="F254" s="6" t="str">
        <x:v>train</x:v>
      </x:c>
      <x:c r="G254" s="6" t="str">
        <x:v>resplan-4453</x:v>
      </x:c>
      <x:c r="H254" s="6" t="str">
        <x:v>resplan-4453-Q02</x:v>
      </x:c>
      <x:c r="I254" s="6" t="str">
        <x:v>Find and count assets</x:v>
      </x:c>
      <x:c r="J254" s="6" t="str">
        <x:v>Warm-up</x:v>
      </x:c>
      <x:c r="K254" s="6" t="str">
        <x:v>Room name, floor and asset identity. Coordinates may help the UI.</x:v>
      </x:c>
      <x:c r="L254" s="6" t="str">
        <x:v>T02, T03</x:v>
      </x:c>
      <x:c r="M254" s="6" t="str">
        <x:v>Find a named item and identify its containing room and floor.</x:v>
      </x:c>
      <x:c r="N254" s="6" t="str">
        <x:v>{"asset_id":"resplan-4453-A00030","space_id":"resplan-4453-F0-S007","space_name":"Kitchen 0.07","floor_level":0,"position":[6.301,8.821]}</x:v>
      </x:c>
      <x:c r="O254" s="6"/>
      <x:c r="P254" s="6" t="str">
        <x:v>Resolve the intended asset and its containing room/floor.</x:v>
      </x:c>
      <x:c r="Q254" s="15"/>
      <x:c r="R254" s="6"/>
      <x:c r="S254" s="16"/>
      <x:c r="T254" s="15"/>
      <x:c r="U254" s="6"/>
      <x:c r="V254" s="6"/>
      <x:c r="W254" s="6" t="str">
        <x:v>Existing search_building. Improve disambiguation and complete result pagination.</x:v>
      </x:c>
      <x:c r="X254" s="6" t="str">
        <x:v>data/train/resplan-4453/questions_basic.jsonl</x:v>
      </x:c>
      <x:c r="Y254" s="14" t="n">
        <x:v>2</x:v>
      </x:c>
      <x:c r="Z254" s="6" t="str">
        <x:v>https://github.com/hagenhaeussler/Industrial-Agents-Hackathon-2026/blob/f41616590b69f3ea0c1cbfb41d6c35edd9ce53df/data/train/resplan-4453/questions_basic.jsonl#L2</x:v>
      </x:c>
      <x:c r="AA254" s="6" t="str">
        <x:v>resplan</x:v>
      </x:c>
      <x:c r="AB254" s="6" t="str">
        <x:v>CC-BY-4.0</x:v>
      </x:c>
    </x:row>
    <x:row r="255" ht="72" customHeight="1">
      <x:c r="A255" s="14" t="n">
        <x:v>250</x:v>
      </x:c>
      <x:c r="B255" s="6" t="str">
        <x:v>locate</x:v>
      </x:c>
      <x:c r="C255" s="6" t="str">
        <x:v>Where is the outdoor chair?</x:v>
      </x:c>
      <x:c r="D255" s="6" t="str">
        <x:v>Balcony 0.08
Floor level: 0
Asset ID: resplan-4453-A00033
Position (m): 0.903, 9.714</x:v>
      </x:c>
      <x:c r="E255" s="6" t="str">
        <x:v>Reference supplied</x:v>
      </x:c>
      <x:c r="F255" s="6" t="str">
        <x:v>train</x:v>
      </x:c>
      <x:c r="G255" s="6" t="str">
        <x:v>resplan-4453</x:v>
      </x:c>
      <x:c r="H255" s="6" t="str">
        <x:v>resplan-4453-Q03</x:v>
      </x:c>
      <x:c r="I255" s="6" t="str">
        <x:v>Find and count assets</x:v>
      </x:c>
      <x:c r="J255" s="6" t="str">
        <x:v>Warm-up</x:v>
      </x:c>
      <x:c r="K255" s="6" t="str">
        <x:v>Room name, floor and asset identity. Coordinates may help the UI.</x:v>
      </x:c>
      <x:c r="L255" s="6" t="str">
        <x:v>T02, T03</x:v>
      </x:c>
      <x:c r="M255" s="6" t="str">
        <x:v>Find a named item and identify its containing room and floor.</x:v>
      </x:c>
      <x:c r="N255" s="6" t="str">
        <x:v>{"asset_id":"resplan-4453-A00033","space_id":"resplan-4453-F0-S008","space_name":"Balcony 0.08","floor_level":0,"position":[0.903,9.714]}</x:v>
      </x:c>
      <x:c r="O255" s="6"/>
      <x:c r="P255" s="6" t="str">
        <x:v>Resolve the intended asset and its containing room/floor.</x:v>
      </x:c>
      <x:c r="Q255" s="15"/>
      <x:c r="R255" s="6"/>
      <x:c r="S255" s="16"/>
      <x:c r="T255" s="15"/>
      <x:c r="U255" s="6"/>
      <x:c r="V255" s="6"/>
      <x:c r="W255" s="6" t="str">
        <x:v>Existing search_building. Improve disambiguation and complete result pagination.</x:v>
      </x:c>
      <x:c r="X255" s="6" t="str">
        <x:v>data/train/resplan-4453/questions_basic.jsonl</x:v>
      </x:c>
      <x:c r="Y255" s="14" t="n">
        <x:v>3</x:v>
      </x:c>
      <x:c r="Z255" s="6" t="str">
        <x:v>https://github.com/hagenhaeussler/Industrial-Agents-Hackathon-2026/blob/f41616590b69f3ea0c1cbfb41d6c35edd9ce53df/data/train/resplan-4453/questions_basic.jsonl#L3</x:v>
      </x:c>
      <x:c r="AA255" s="6" t="str">
        <x:v>resplan</x:v>
      </x:c>
      <x:c r="AB255" s="6" t="str">
        <x:v>CC-BY-4.0</x:v>
      </x:c>
    </x:row>
    <x:row r="256" ht="72" customHeight="1">
      <x:c r="A256" s="14" t="n">
        <x:v>251</x:v>
      </x:c>
      <x:c r="B256" s="6" t="str">
        <x:v>locate</x:v>
      </x:c>
      <x:c r="C256" s="6" t="str">
        <x:v>Where is the tv stand?</x:v>
      </x:c>
      <x:c r="D256" s="6" t="str">
        <x:v>Living room 0.01
Floor level: 0
Asset ID: resplan-457-A00003
Position (m): 10.066, 0.449</x:v>
      </x:c>
      <x:c r="E256" s="6" t="str">
        <x:v>Reference supplied</x:v>
      </x:c>
      <x:c r="F256" s="6" t="str">
        <x:v>train</x:v>
      </x:c>
      <x:c r="G256" s="6" t="str">
        <x:v>resplan-457</x:v>
      </x:c>
      <x:c r="H256" s="6" t="str">
        <x:v>resplan-457-Q01</x:v>
      </x:c>
      <x:c r="I256" s="6" t="str">
        <x:v>Find and count assets</x:v>
      </x:c>
      <x:c r="J256" s="6" t="str">
        <x:v>Warm-up</x:v>
      </x:c>
      <x:c r="K256" s="6" t="str">
        <x:v>Room name, floor and asset identity. Coordinates may help the UI.</x:v>
      </x:c>
      <x:c r="L256" s="6" t="str">
        <x:v>T02, T03</x:v>
      </x:c>
      <x:c r="M256" s="6" t="str">
        <x:v>Find a named item and identify its containing room and floor.</x:v>
      </x:c>
      <x:c r="N256" s="6" t="str">
        <x:v>{"asset_id":"resplan-457-A00003","space_id":"resplan-457-F0-S001","space_name":"Living room 0.01","floor_level":0,"position":[10.066,0.449]}</x:v>
      </x:c>
      <x:c r="O256" s="6"/>
      <x:c r="P256" s="6" t="str">
        <x:v>Resolve the intended asset and its containing room/floor.</x:v>
      </x:c>
      <x:c r="Q256" s="15"/>
      <x:c r="R256" s="6"/>
      <x:c r="S256" s="16"/>
      <x:c r="T256" s="15"/>
      <x:c r="U256" s="6"/>
      <x:c r="V256" s="6"/>
      <x:c r="W256" s="6" t="str">
        <x:v>Existing search_building. Improve disambiguation and complete result pagination.</x:v>
      </x:c>
      <x:c r="X256" s="6" t="str">
        <x:v>data/train/resplan-457/questions_basic.jsonl</x:v>
      </x:c>
      <x:c r="Y256" s="14" t="n">
        <x:v>1</x:v>
      </x:c>
      <x:c r="Z256" s="6" t="str">
        <x:v>https://github.com/hagenhaeussler/Industrial-Agents-Hackathon-2026/blob/f41616590b69f3ea0c1cbfb41d6c35edd9ce53df/data/train/resplan-457/questions_basic.jsonl#L1</x:v>
      </x:c>
      <x:c r="AA256" s="6" t="str">
        <x:v>resplan</x:v>
      </x:c>
      <x:c r="AB256" s="6" t="str">
        <x:v>CC-BY-4.0</x:v>
      </x:c>
    </x:row>
    <x:row r="257" ht="72" customHeight="1">
      <x:c r="A257" s="14" t="n">
        <x:v>252</x:v>
      </x:c>
      <x:c r="B257" s="6" t="str">
        <x:v>locate</x:v>
      </x:c>
      <x:c r="C257" s="6" t="str">
        <x:v>Where is the shower?</x:v>
      </x:c>
      <x:c r="D257" s="6" t="str">
        <x:v>Bathroom 0.05
Floor level: 0
Asset ID: resplan-457-A00018
Position (m): 1.265, 4.733</x:v>
      </x:c>
      <x:c r="E257" s="6" t="str">
        <x:v>Reference supplied</x:v>
      </x:c>
      <x:c r="F257" s="6" t="str">
        <x:v>train</x:v>
      </x:c>
      <x:c r="G257" s="6" t="str">
        <x:v>resplan-457</x:v>
      </x:c>
      <x:c r="H257" s="6" t="str">
        <x:v>resplan-457-Q02</x:v>
      </x:c>
      <x:c r="I257" s="6" t="str">
        <x:v>Find and count assets</x:v>
      </x:c>
      <x:c r="J257" s="6" t="str">
        <x:v>Warm-up</x:v>
      </x:c>
      <x:c r="K257" s="6" t="str">
        <x:v>Room name, floor and asset identity. Coordinates may help the UI.</x:v>
      </x:c>
      <x:c r="L257" s="6" t="str">
        <x:v>T02, T03</x:v>
      </x:c>
      <x:c r="M257" s="6" t="str">
        <x:v>Find a named item and identify its containing room and floor.</x:v>
      </x:c>
      <x:c r="N257" s="6" t="str">
        <x:v>{"asset_id":"resplan-457-A00018","space_id":"resplan-457-F0-S005","space_name":"Bathroom 0.05","floor_level":0,"position":[1.265,4.733]}</x:v>
      </x:c>
      <x:c r="O257" s="6"/>
      <x:c r="P257" s="6" t="str">
        <x:v>Resolve the intended asset and its containing room/floor.</x:v>
      </x:c>
      <x:c r="Q257" s="15"/>
      <x:c r="R257" s="6"/>
      <x:c r="S257" s="16"/>
      <x:c r="T257" s="15"/>
      <x:c r="U257" s="6"/>
      <x:c r="V257" s="6"/>
      <x:c r="W257" s="6" t="str">
        <x:v>Existing search_building. Improve disambiguation and complete result pagination.</x:v>
      </x:c>
      <x:c r="X257" s="6" t="str">
        <x:v>data/train/resplan-457/questions_basic.jsonl</x:v>
      </x:c>
      <x:c r="Y257" s="14" t="n">
        <x:v>2</x:v>
      </x:c>
      <x:c r="Z257" s="6" t="str">
        <x:v>https://github.com/hagenhaeussler/Industrial-Agents-Hackathon-2026/blob/f41616590b69f3ea0c1cbfb41d6c35edd9ce53df/data/train/resplan-457/questions_basic.jsonl#L2</x:v>
      </x:c>
      <x:c r="AA257" s="6" t="str">
        <x:v>resplan</x:v>
      </x:c>
      <x:c r="AB257" s="6" t="str">
        <x:v>CC-BY-4.0</x:v>
      </x:c>
    </x:row>
    <x:row r="258" ht="72" customHeight="1">
      <x:c r="A258" s="14" t="n">
        <x:v>253</x:v>
      </x:c>
      <x:c r="B258" s="6" t="str">
        <x:v>locate</x:v>
      </x:c>
      <x:c r="C258" s="6" t="str">
        <x:v>Where is the stove?</x:v>
      </x:c>
      <x:c r="D258" s="6" t="str">
        <x:v>Kitchen 0.06
Floor level: 0
Asset ID: resplan-457-A00021
Position (m): 5.931, 2.646</x:v>
      </x:c>
      <x:c r="E258" s="6" t="str">
        <x:v>Reference supplied</x:v>
      </x:c>
      <x:c r="F258" s="6" t="str">
        <x:v>train</x:v>
      </x:c>
      <x:c r="G258" s="6" t="str">
        <x:v>resplan-457</x:v>
      </x:c>
      <x:c r="H258" s="6" t="str">
        <x:v>resplan-457-Q03</x:v>
      </x:c>
      <x:c r="I258" s="6" t="str">
        <x:v>Find and count assets</x:v>
      </x:c>
      <x:c r="J258" s="6" t="str">
        <x:v>Warm-up</x:v>
      </x:c>
      <x:c r="K258" s="6" t="str">
        <x:v>Room name, floor and asset identity. Coordinates may help the UI.</x:v>
      </x:c>
      <x:c r="L258" s="6" t="str">
        <x:v>T02, T03</x:v>
      </x:c>
      <x:c r="M258" s="6" t="str">
        <x:v>Find a named item and identify its containing room and floor.</x:v>
      </x:c>
      <x:c r="N258" s="6" t="str">
        <x:v>{"asset_id":"resplan-457-A00021","space_id":"resplan-457-F0-S006","space_name":"Kitchen 0.06","floor_level":0,"position":[5.931,2.646]}</x:v>
      </x:c>
      <x:c r="O258" s="6"/>
      <x:c r="P258" s="6" t="str">
        <x:v>Resolve the intended asset and its containing room/floor.</x:v>
      </x:c>
      <x:c r="Q258" s="15"/>
      <x:c r="R258" s="6"/>
      <x:c r="S258" s="16"/>
      <x:c r="T258" s="15"/>
      <x:c r="U258" s="6"/>
      <x:c r="V258" s="6"/>
      <x:c r="W258" s="6" t="str">
        <x:v>Existing search_building. Improve disambiguation and complete result pagination.</x:v>
      </x:c>
      <x:c r="X258" s="6" t="str">
        <x:v>data/train/resplan-457/questions_basic.jsonl</x:v>
      </x:c>
      <x:c r="Y258" s="14" t="n">
        <x:v>3</x:v>
      </x:c>
      <x:c r="Z258" s="6" t="str">
        <x:v>https://github.com/hagenhaeussler/Industrial-Agents-Hackathon-2026/blob/f41616590b69f3ea0c1cbfb41d6c35edd9ce53df/data/train/resplan-457/questions_basic.jsonl#L3</x:v>
      </x:c>
      <x:c r="AA258" s="6" t="str">
        <x:v>resplan</x:v>
      </x:c>
      <x:c r="AB258" s="6" t="str">
        <x:v>CC-BY-4.0</x:v>
      </x:c>
    </x:row>
    <x:row r="259" ht="72" customHeight="1">
      <x:c r="A259" s="14" t="n">
        <x:v>254</x:v>
      </x:c>
      <x:c r="B259" s="6" t="str">
        <x:v>locate</x:v>
      </x:c>
      <x:c r="C259" s="6" t="str">
        <x:v>Where is the coffee machine?</x:v>
      </x:c>
      <x:c r="D259" s="6" t="str">
        <x:v>Kitchen 0.09
Floor level: 0
Asset ID: resplan-47-A00038
Position (m): 7.993, 7.673</x:v>
      </x:c>
      <x:c r="E259" s="6" t="str">
        <x:v>Reference supplied</x:v>
      </x:c>
      <x:c r="F259" s="6" t="str">
        <x:v>train</x:v>
      </x:c>
      <x:c r="G259" s="6" t="str">
        <x:v>resplan-47</x:v>
      </x:c>
      <x:c r="H259" s="6" t="str">
        <x:v>resplan-47-Q01</x:v>
      </x:c>
      <x:c r="I259" s="6" t="str">
        <x:v>Find and count assets</x:v>
      </x:c>
      <x:c r="J259" s="6" t="str">
        <x:v>Warm-up</x:v>
      </x:c>
      <x:c r="K259" s="6" t="str">
        <x:v>Room name, floor and asset identity. Coordinates may help the UI.</x:v>
      </x:c>
      <x:c r="L259" s="6" t="str">
        <x:v>T02, T03</x:v>
      </x:c>
      <x:c r="M259" s="6" t="str">
        <x:v>Find a named item and identify its containing room and floor.</x:v>
      </x:c>
      <x:c r="N259" s="6" t="str">
        <x:v>{"asset_id":"resplan-47-A00038","space_id":"resplan-47-F0-S009","space_name":"Kitchen 0.09","floor_level":0,"position":[7.993,7.673]}</x:v>
      </x:c>
      <x:c r="O259" s="6"/>
      <x:c r="P259" s="6" t="str">
        <x:v>Resolve the intended asset and its containing room/floor.</x:v>
      </x:c>
      <x:c r="Q259" s="15"/>
      <x:c r="R259" s="6"/>
      <x:c r="S259" s="16"/>
      <x:c r="T259" s="15"/>
      <x:c r="U259" s="6"/>
      <x:c r="V259" s="6"/>
      <x:c r="W259" s="6" t="str">
        <x:v>Existing search_building. Improve disambiguation and complete result pagination.</x:v>
      </x:c>
      <x:c r="X259" s="6" t="str">
        <x:v>data/train/resplan-47/questions_basic.jsonl</x:v>
      </x:c>
      <x:c r="Y259" s="14" t="n">
        <x:v>1</x:v>
      </x:c>
      <x:c r="Z259" s="6" t="str">
        <x:v>https://github.com/hagenhaeussler/Industrial-Agents-Hackathon-2026/blob/f41616590b69f3ea0c1cbfb41d6c35edd9ce53df/data/train/resplan-47/questions_basic.jsonl#L1</x:v>
      </x:c>
      <x:c r="AA259" s="6" t="str">
        <x:v>resplan</x:v>
      </x:c>
      <x:c r="AB259" s="6" t="str">
        <x:v>CC-BY-4.0</x:v>
      </x:c>
    </x:row>
    <x:row r="260" ht="72" customHeight="1">
      <x:c r="A260" s="14" t="n">
        <x:v>255</x:v>
      </x:c>
      <x:c r="B260" s="6" t="str">
        <x:v>locate</x:v>
      </x:c>
      <x:c r="C260" s="6" t="str">
        <x:v>Where is the microwave?</x:v>
      </x:c>
      <x:c r="D260" s="6" t="str">
        <x:v>Kitchen 0.09
Floor level: 0
Asset ID: resplan-47-A00037
Position (m): 5.124, 7.111</x:v>
      </x:c>
      <x:c r="E260" s="6" t="str">
        <x:v>Reference supplied</x:v>
      </x:c>
      <x:c r="F260" s="6" t="str">
        <x:v>train</x:v>
      </x:c>
      <x:c r="G260" s="6" t="str">
        <x:v>resplan-47</x:v>
      </x:c>
      <x:c r="H260" s="6" t="str">
        <x:v>resplan-47-Q02</x:v>
      </x:c>
      <x:c r="I260" s="6" t="str">
        <x:v>Find and count assets</x:v>
      </x:c>
      <x:c r="J260" s="6" t="str">
        <x:v>Warm-up</x:v>
      </x:c>
      <x:c r="K260" s="6" t="str">
        <x:v>Room name, floor and asset identity. Coordinates may help the UI.</x:v>
      </x:c>
      <x:c r="L260" s="6" t="str">
        <x:v>T02, T03</x:v>
      </x:c>
      <x:c r="M260" s="6" t="str">
        <x:v>Find a named item and identify its containing room and floor.</x:v>
      </x:c>
      <x:c r="N260" s="6" t="str">
        <x:v>{"asset_id":"resplan-47-A00037","space_id":"resplan-47-F0-S009","space_name":"Kitchen 0.09","floor_level":0,"position":[5.124,7.111]}</x:v>
      </x:c>
      <x:c r="O260" s="6"/>
      <x:c r="P260" s="6" t="str">
        <x:v>Resolve the intended asset and its containing room/floor.</x:v>
      </x:c>
      <x:c r="Q260" s="15"/>
      <x:c r="R260" s="6"/>
      <x:c r="S260" s="16"/>
      <x:c r="T260" s="15"/>
      <x:c r="U260" s="6"/>
      <x:c r="V260" s="6"/>
      <x:c r="W260" s="6" t="str">
        <x:v>Existing search_building. Improve disambiguation and complete result pagination.</x:v>
      </x:c>
      <x:c r="X260" s="6" t="str">
        <x:v>data/train/resplan-47/questions_basic.jsonl</x:v>
      </x:c>
      <x:c r="Y260" s="14" t="n">
        <x:v>2</x:v>
      </x:c>
      <x:c r="Z260" s="6" t="str">
        <x:v>https://github.com/hagenhaeussler/Industrial-Agents-Hackathon-2026/blob/f41616590b69f3ea0c1cbfb41d6c35edd9ce53df/data/train/resplan-47/questions_basic.jsonl#L2</x:v>
      </x:c>
      <x:c r="AA260" s="6" t="str">
        <x:v>resplan</x:v>
      </x:c>
      <x:c r="AB260" s="6" t="str">
        <x:v>CC-BY-4.0</x:v>
      </x:c>
    </x:row>
    <x:row r="261" ht="72" customHeight="1">
      <x:c r="A261" s="14" t="n">
        <x:v>256</x:v>
      </x:c>
      <x:c r="B261" s="6" t="str">
        <x:v>locate</x:v>
      </x:c>
      <x:c r="C261" s="6" t="str">
        <x:v>Where is the bathtub?</x:v>
      </x:c>
      <x:c r="D261" s="6" t="str">
        <x:v>Bathroom 0.08
Floor level: 0
Asset ID: resplan-47-A00031
Position (m): 20.322, 11.917</x:v>
      </x:c>
      <x:c r="E261" s="6" t="str">
        <x:v>Reference supplied</x:v>
      </x:c>
      <x:c r="F261" s="6" t="str">
        <x:v>train</x:v>
      </x:c>
      <x:c r="G261" s="6" t="str">
        <x:v>resplan-47</x:v>
      </x:c>
      <x:c r="H261" s="6" t="str">
        <x:v>resplan-47-Q03</x:v>
      </x:c>
      <x:c r="I261" s="6" t="str">
        <x:v>Find and count assets</x:v>
      </x:c>
      <x:c r="J261" s="6" t="str">
        <x:v>Warm-up</x:v>
      </x:c>
      <x:c r="K261" s="6" t="str">
        <x:v>Room name, floor and asset identity. Coordinates may help the UI.</x:v>
      </x:c>
      <x:c r="L261" s="6" t="str">
        <x:v>T02, T03</x:v>
      </x:c>
      <x:c r="M261" s="6" t="str">
        <x:v>Find a named item and identify its containing room and floor.</x:v>
      </x:c>
      <x:c r="N261" s="6" t="str">
        <x:v>{"asset_id":"resplan-47-A00031","space_id":"resplan-47-F0-S008","space_name":"Bathroom 0.08","floor_level":0,"position":[20.322,11.917]}</x:v>
      </x:c>
      <x:c r="O261" s="6"/>
      <x:c r="P261" s="6" t="str">
        <x:v>Resolve the intended asset and its containing room/floor.</x:v>
      </x:c>
      <x:c r="Q261" s="15"/>
      <x:c r="R261" s="6"/>
      <x:c r="S261" s="16"/>
      <x:c r="T261" s="15"/>
      <x:c r="U261" s="6"/>
      <x:c r="V261" s="6"/>
      <x:c r="W261" s="6" t="str">
        <x:v>Existing search_building. Improve disambiguation and complete result pagination.</x:v>
      </x:c>
      <x:c r="X261" s="6" t="str">
        <x:v>data/train/resplan-47/questions_basic.jsonl</x:v>
      </x:c>
      <x:c r="Y261" s="14" t="n">
        <x:v>3</x:v>
      </x:c>
      <x:c r="Z261" s="6" t="str">
        <x:v>https://github.com/hagenhaeussler/Industrial-Agents-Hackathon-2026/blob/f41616590b69f3ea0c1cbfb41d6c35edd9ce53df/data/train/resplan-47/questions_basic.jsonl#L3</x:v>
      </x:c>
      <x:c r="AA261" s="6" t="str">
        <x:v>resplan</x:v>
      </x:c>
      <x:c r="AB261" s="6" t="str">
        <x:v>CC-BY-4.0</x:v>
      </x:c>
    </x:row>
    <x:row r="262" ht="72" customHeight="1">
      <x:c r="A262" s="14" t="n">
        <x:v>257</x:v>
      </x:c>
      <x:c r="B262" s="6" t="str">
        <x:v>locate</x:v>
      </x:c>
      <x:c r="C262" s="6" t="str">
        <x:v>Where is the fridge?</x:v>
      </x:c>
      <x:c r="D262" s="6" t="str">
        <x:v>Kitchen 0.05
Floor level: 0
Asset ID: resplan-5277-A00018
Position (m): 5.527, 6.044</x:v>
      </x:c>
      <x:c r="E262" s="6" t="str">
        <x:v>Reference supplied</x:v>
      </x:c>
      <x:c r="F262" s="6" t="str">
        <x:v>train</x:v>
      </x:c>
      <x:c r="G262" s="6" t="str">
        <x:v>resplan-5277</x:v>
      </x:c>
      <x:c r="H262" s="6" t="str">
        <x:v>resplan-5277-Q01</x:v>
      </x:c>
      <x:c r="I262" s="6" t="str">
        <x:v>Find and count assets</x:v>
      </x:c>
      <x:c r="J262" s="6" t="str">
        <x:v>Warm-up</x:v>
      </x:c>
      <x:c r="K262" s="6" t="str">
        <x:v>Room name, floor and asset identity. Coordinates may help the UI.</x:v>
      </x:c>
      <x:c r="L262" s="6" t="str">
        <x:v>T02, T03</x:v>
      </x:c>
      <x:c r="M262" s="6" t="str">
        <x:v>Find a named item and identify its containing room and floor.</x:v>
      </x:c>
      <x:c r="N262" s="6" t="str">
        <x:v>{"asset_id":"resplan-5277-A00018","space_id":"resplan-5277-F0-S005","space_name":"Kitchen 0.05","floor_level":0,"position":[5.527,6.044]}</x:v>
      </x:c>
      <x:c r="O262" s="6"/>
      <x:c r="P262" s="6" t="str">
        <x:v>Resolve the intended asset and its containing room/floor.</x:v>
      </x:c>
      <x:c r="Q262" s="15"/>
      <x:c r="R262" s="6"/>
      <x:c r="S262" s="16"/>
      <x:c r="T262" s="15"/>
      <x:c r="U262" s="6"/>
      <x:c r="V262" s="6"/>
      <x:c r="W262" s="6" t="str">
        <x:v>Existing search_building. Improve disambiguation and complete result pagination.</x:v>
      </x:c>
      <x:c r="X262" s="6" t="str">
        <x:v>data/train/resplan-5277/questions_basic.jsonl</x:v>
      </x:c>
      <x:c r="Y262" s="14" t="n">
        <x:v>1</x:v>
      </x:c>
      <x:c r="Z262" s="6" t="str">
        <x:v>https://github.com/hagenhaeussler/Industrial-Agents-Hackathon-2026/blob/f41616590b69f3ea0c1cbfb41d6c35edd9ce53df/data/train/resplan-5277/questions_basic.jsonl#L1</x:v>
      </x:c>
      <x:c r="AA262" s="6" t="str">
        <x:v>resplan</x:v>
      </x:c>
      <x:c r="AB262" s="6" t="str">
        <x:v>CC-BY-4.0</x:v>
      </x:c>
    </x:row>
    <x:row r="263" ht="72" customHeight="1">
      <x:c r="A263" s="14" t="n">
        <x:v>258</x:v>
      </x:c>
      <x:c r="B263" s="6" t="str">
        <x:v>locate</x:v>
      </x:c>
      <x:c r="C263" s="6" t="str">
        <x:v>Where is the coffee machine?</x:v>
      </x:c>
      <x:c r="D263" s="6" t="str">
        <x:v>Kitchen 0.05
Floor level: 0
Asset ID: resplan-5277-A00020
Position (m): 4.966, 5.96</x:v>
      </x:c>
      <x:c r="E263" s="6" t="str">
        <x:v>Reference supplied</x:v>
      </x:c>
      <x:c r="F263" s="6" t="str">
        <x:v>train</x:v>
      </x:c>
      <x:c r="G263" s="6" t="str">
        <x:v>resplan-5277</x:v>
      </x:c>
      <x:c r="H263" s="6" t="str">
        <x:v>resplan-5277-Q02</x:v>
      </x:c>
      <x:c r="I263" s="6" t="str">
        <x:v>Find and count assets</x:v>
      </x:c>
      <x:c r="J263" s="6" t="str">
        <x:v>Warm-up</x:v>
      </x:c>
      <x:c r="K263" s="6" t="str">
        <x:v>Room name, floor and asset identity. Coordinates may help the UI.</x:v>
      </x:c>
      <x:c r="L263" s="6" t="str">
        <x:v>T02, T03</x:v>
      </x:c>
      <x:c r="M263" s="6" t="str">
        <x:v>Find a named item and identify its containing room and floor.</x:v>
      </x:c>
      <x:c r="N263" s="6" t="str">
        <x:v>{"asset_id":"resplan-5277-A00020","space_id":"resplan-5277-F0-S005","space_name":"Kitchen 0.05","floor_level":0,"position":[4.966,5.96]}</x:v>
      </x:c>
      <x:c r="O263" s="6"/>
      <x:c r="P263" s="6" t="str">
        <x:v>Resolve the intended asset and its containing room/floor.</x:v>
      </x:c>
      <x:c r="Q263" s="15"/>
      <x:c r="R263" s="6"/>
      <x:c r="S263" s="16"/>
      <x:c r="T263" s="15"/>
      <x:c r="U263" s="6"/>
      <x:c r="V263" s="6"/>
      <x:c r="W263" s="6" t="str">
        <x:v>Existing search_building. Improve disambiguation and complete result pagination.</x:v>
      </x:c>
      <x:c r="X263" s="6" t="str">
        <x:v>data/train/resplan-5277/questions_basic.jsonl</x:v>
      </x:c>
      <x:c r="Y263" s="14" t="n">
        <x:v>2</x:v>
      </x:c>
      <x:c r="Z263" s="6" t="str">
        <x:v>https://github.com/hagenhaeussler/Industrial-Agents-Hackathon-2026/blob/f41616590b69f3ea0c1cbfb41d6c35edd9ce53df/data/train/resplan-5277/questions_basic.jsonl#L2</x:v>
      </x:c>
      <x:c r="AA263" s="6" t="str">
        <x:v>resplan</x:v>
      </x:c>
      <x:c r="AB263" s="6" t="str">
        <x:v>CC-BY-4.0</x:v>
      </x:c>
    </x:row>
    <x:row r="264" ht="72" customHeight="1">
      <x:c r="A264" s="14" t="n">
        <x:v>259</x:v>
      </x:c>
      <x:c r="B264" s="6" t="str">
        <x:v>locate</x:v>
      </x:c>
      <x:c r="C264" s="6" t="str">
        <x:v>Where is the single bed?</x:v>
      </x:c>
      <x:c r="D264" s="6" t="str">
        <x:v>Bedroom 0.02
Floor level: 0
Asset ID: resplan-5277-A00009
Position (m): 1.411, 7.649</x:v>
      </x:c>
      <x:c r="E264" s="6" t="str">
        <x:v>Reference supplied</x:v>
      </x:c>
      <x:c r="F264" s="6" t="str">
        <x:v>train</x:v>
      </x:c>
      <x:c r="G264" s="6" t="str">
        <x:v>resplan-5277</x:v>
      </x:c>
      <x:c r="H264" s="6" t="str">
        <x:v>resplan-5277-Q03</x:v>
      </x:c>
      <x:c r="I264" s="6" t="str">
        <x:v>Find and count assets</x:v>
      </x:c>
      <x:c r="J264" s="6" t="str">
        <x:v>Warm-up</x:v>
      </x:c>
      <x:c r="K264" s="6" t="str">
        <x:v>Room name, floor and asset identity. Coordinates may help the UI.</x:v>
      </x:c>
      <x:c r="L264" s="6" t="str">
        <x:v>T02, T03</x:v>
      </x:c>
      <x:c r="M264" s="6" t="str">
        <x:v>Find a named item and identify its containing room and floor.</x:v>
      </x:c>
      <x:c r="N264" s="6" t="str">
        <x:v>{"asset_id":"resplan-5277-A00009","space_id":"resplan-5277-F0-S002","space_name":"Bedroom 0.02","floor_level":0,"position":[1.411,7.649]}</x:v>
      </x:c>
      <x:c r="O264" s="6"/>
      <x:c r="P264" s="6" t="str">
        <x:v>Resolve the intended asset and its containing room/floor.</x:v>
      </x:c>
      <x:c r="Q264" s="15"/>
      <x:c r="R264" s="6"/>
      <x:c r="S264" s="16"/>
      <x:c r="T264" s="15"/>
      <x:c r="U264" s="6"/>
      <x:c r="V264" s="6"/>
      <x:c r="W264" s="6" t="str">
        <x:v>Existing search_building. Improve disambiguation and complete result pagination.</x:v>
      </x:c>
      <x:c r="X264" s="6" t="str">
        <x:v>data/train/resplan-5277/questions_basic.jsonl</x:v>
      </x:c>
      <x:c r="Y264" s="14" t="n">
        <x:v>3</x:v>
      </x:c>
      <x:c r="Z264" s="6" t="str">
        <x:v>https://github.com/hagenhaeussler/Industrial-Agents-Hackathon-2026/blob/f41616590b69f3ea0c1cbfb41d6c35edd9ce53df/data/train/resplan-5277/questions_basic.jsonl#L3</x:v>
      </x:c>
      <x:c r="AA264" s="6" t="str">
        <x:v>resplan</x:v>
      </x:c>
      <x:c r="AB264" s="6" t="str">
        <x:v>CC-BY-4.0</x:v>
      </x:c>
    </x:row>
    <x:row r="265" ht="72" customHeight="1">
      <x:c r="A265" s="14" t="n">
        <x:v>260</x:v>
      </x:c>
      <x:c r="B265" s="6" t="str">
        <x:v>locate</x:v>
      </x:c>
      <x:c r="C265" s="6" t="str">
        <x:v>Where is the stove?</x:v>
      </x:c>
      <x:c r="D265" s="6" t="str">
        <x:v>Kitchen 0.05
Floor level: 0
Asset ID: resplan-553-A00021
Position (m): 11.391, 3.477</x:v>
      </x:c>
      <x:c r="E265" s="6" t="str">
        <x:v>Reference supplied</x:v>
      </x:c>
      <x:c r="F265" s="6" t="str">
        <x:v>train</x:v>
      </x:c>
      <x:c r="G265" s="6" t="str">
        <x:v>resplan-553</x:v>
      </x:c>
      <x:c r="H265" s="6" t="str">
        <x:v>resplan-553-Q01</x:v>
      </x:c>
      <x:c r="I265" s="6" t="str">
        <x:v>Find and count assets</x:v>
      </x:c>
      <x:c r="J265" s="6" t="str">
        <x:v>Warm-up</x:v>
      </x:c>
      <x:c r="K265" s="6" t="str">
        <x:v>Room name, floor and asset identity. Coordinates may help the UI.</x:v>
      </x:c>
      <x:c r="L265" s="6" t="str">
        <x:v>T02, T03</x:v>
      </x:c>
      <x:c r="M265" s="6" t="str">
        <x:v>Find a named item and identify its containing room and floor.</x:v>
      </x:c>
      <x:c r="N265" s="6" t="str">
        <x:v>{"asset_id":"resplan-553-A00021","space_id":"resplan-553-F0-S005","space_name":"Kitchen 0.05","floor_level":0,"position":[11.391,3.477]}</x:v>
      </x:c>
      <x:c r="O265" s="6"/>
      <x:c r="P265" s="6" t="str">
        <x:v>Resolve the intended asset and its containing room/floor.</x:v>
      </x:c>
      <x:c r="Q265" s="15"/>
      <x:c r="R265" s="6"/>
      <x:c r="S265" s="16"/>
      <x:c r="T265" s="15"/>
      <x:c r="U265" s="6"/>
      <x:c r="V265" s="6"/>
      <x:c r="W265" s="6" t="str">
        <x:v>Existing search_building. Improve disambiguation and complete result pagination.</x:v>
      </x:c>
      <x:c r="X265" s="6" t="str">
        <x:v>data/train/resplan-553/questions_basic.jsonl</x:v>
      </x:c>
      <x:c r="Y265" s="14" t="n">
        <x:v>1</x:v>
      </x:c>
      <x:c r="Z265" s="6" t="str">
        <x:v>https://github.com/hagenhaeussler/Industrial-Agents-Hackathon-2026/blob/f41616590b69f3ea0c1cbfb41d6c35edd9ce53df/data/train/resplan-553/questions_basic.jsonl#L1</x:v>
      </x:c>
      <x:c r="AA265" s="6" t="str">
        <x:v>resplan</x:v>
      </x:c>
      <x:c r="AB265" s="6" t="str">
        <x:v>CC-BY-4.0</x:v>
      </x:c>
    </x:row>
    <x:row r="266" ht="72" customHeight="1">
      <x:c r="A266" s="14" t="n">
        <x:v>261</x:v>
      </x:c>
      <x:c r="B266" s="6" t="str">
        <x:v>locate</x:v>
      </x:c>
      <x:c r="C266" s="6" t="str">
        <x:v>Where is the sofa?</x:v>
      </x:c>
      <x:c r="D266" s="6" t="str">
        <x:v>Living room 0.01
Floor level: 0
Asset ID: resplan-553-A00001
Position (m): 7.365, 7.59</x:v>
      </x:c>
      <x:c r="E266" s="6" t="str">
        <x:v>Reference supplied</x:v>
      </x:c>
      <x:c r="F266" s="6" t="str">
        <x:v>train</x:v>
      </x:c>
      <x:c r="G266" s="6" t="str">
        <x:v>resplan-553</x:v>
      </x:c>
      <x:c r="H266" s="6" t="str">
        <x:v>resplan-553-Q02</x:v>
      </x:c>
      <x:c r="I266" s="6" t="str">
        <x:v>Find and count assets</x:v>
      </x:c>
      <x:c r="J266" s="6" t="str">
        <x:v>Warm-up</x:v>
      </x:c>
      <x:c r="K266" s="6" t="str">
        <x:v>Room name, floor and asset identity. Coordinates may help the UI.</x:v>
      </x:c>
      <x:c r="L266" s="6" t="str">
        <x:v>T02, T03</x:v>
      </x:c>
      <x:c r="M266" s="6" t="str">
        <x:v>Find a named item and identify its containing room and floor.</x:v>
      </x:c>
      <x:c r="N266" s="6" t="str">
        <x:v>{"asset_id":"resplan-553-A00001","space_id":"resplan-553-F0-S001","space_name":"Living room 0.01","floor_level":0,"position":[7.365,7.59]}</x:v>
      </x:c>
      <x:c r="O266" s="6"/>
      <x:c r="P266" s="6" t="str">
        <x:v>Resolve the intended asset and its containing room/floor.</x:v>
      </x:c>
      <x:c r="Q266" s="15"/>
      <x:c r="R266" s="6"/>
      <x:c r="S266" s="16"/>
      <x:c r="T266" s="15"/>
      <x:c r="U266" s="6"/>
      <x:c r="V266" s="6"/>
      <x:c r="W266" s="6" t="str">
        <x:v>Existing search_building. Improve disambiguation and complete result pagination.</x:v>
      </x:c>
      <x:c r="X266" s="6" t="str">
        <x:v>data/train/resplan-553/questions_basic.jsonl</x:v>
      </x:c>
      <x:c r="Y266" s="14" t="n">
        <x:v>2</x:v>
      </x:c>
      <x:c r="Z266" s="6" t="str">
        <x:v>https://github.com/hagenhaeussler/Industrial-Agents-Hackathon-2026/blob/f41616590b69f3ea0c1cbfb41d6c35edd9ce53df/data/train/resplan-553/questions_basic.jsonl#L2</x:v>
      </x:c>
      <x:c r="AA266" s="6" t="str">
        <x:v>resplan</x:v>
      </x:c>
      <x:c r="AB266" s="6" t="str">
        <x:v>CC-BY-4.0</x:v>
      </x:c>
    </x:row>
    <x:row r="267" ht="72" customHeight="1">
      <x:c r="A267" s="14" t="n">
        <x:v>262</x:v>
      </x:c>
      <x:c r="B267" s="6" t="str">
        <x:v>locate</x:v>
      </x:c>
      <x:c r="C267" s="6" t="str">
        <x:v>Where is the armchair?</x:v>
      </x:c>
      <x:c r="D267" s="6" t="str">
        <x:v>Living room 0.01
Floor level: 0
Asset ID: resplan-553-A00008
Position (m): 5.883, 5.502</x:v>
      </x:c>
      <x:c r="E267" s="6" t="str">
        <x:v>Reference supplied</x:v>
      </x:c>
      <x:c r="F267" s="6" t="str">
        <x:v>train</x:v>
      </x:c>
      <x:c r="G267" s="6" t="str">
        <x:v>resplan-553</x:v>
      </x:c>
      <x:c r="H267" s="6" t="str">
        <x:v>resplan-553-Q03</x:v>
      </x:c>
      <x:c r="I267" s="6" t="str">
        <x:v>Find and count assets</x:v>
      </x:c>
      <x:c r="J267" s="6" t="str">
        <x:v>Warm-up</x:v>
      </x:c>
      <x:c r="K267" s="6" t="str">
        <x:v>Room name, floor and asset identity. Coordinates may help the UI.</x:v>
      </x:c>
      <x:c r="L267" s="6" t="str">
        <x:v>T02, T03</x:v>
      </x:c>
      <x:c r="M267" s="6" t="str">
        <x:v>Find a named item and identify its containing room and floor.</x:v>
      </x:c>
      <x:c r="N267" s="6" t="str">
        <x:v>{"asset_id":"resplan-553-A00008","space_id":"resplan-553-F0-S001","space_name":"Living room 0.01","floor_level":0,"position":[5.883,5.502]}</x:v>
      </x:c>
      <x:c r="O267" s="6"/>
      <x:c r="P267" s="6" t="str">
        <x:v>Resolve the intended asset and its containing room/floor.</x:v>
      </x:c>
      <x:c r="Q267" s="15"/>
      <x:c r="R267" s="6"/>
      <x:c r="S267" s="16"/>
      <x:c r="T267" s="15"/>
      <x:c r="U267" s="6"/>
      <x:c r="V267" s="6"/>
      <x:c r="W267" s="6" t="str">
        <x:v>Existing search_building. Improve disambiguation and complete result pagination.</x:v>
      </x:c>
      <x:c r="X267" s="6" t="str">
        <x:v>data/train/resplan-553/questions_basic.jsonl</x:v>
      </x:c>
      <x:c r="Y267" s="14" t="n">
        <x:v>3</x:v>
      </x:c>
      <x:c r="Z267" s="6" t="str">
        <x:v>https://github.com/hagenhaeussler/Industrial-Agents-Hackathon-2026/blob/f41616590b69f3ea0c1cbfb41d6c35edd9ce53df/data/train/resplan-553/questions_basic.jsonl#L3</x:v>
      </x:c>
      <x:c r="AA267" s="6" t="str">
        <x:v>resplan</x:v>
      </x:c>
      <x:c r="AB267" s="6" t="str">
        <x:v>CC-BY-4.0</x:v>
      </x:c>
    </x:row>
    <x:row r="268" ht="72" customHeight="1">
      <x:c r="A268" s="14" t="n">
        <x:v>263</x:v>
      </x:c>
      <x:c r="B268" s="6" t="str">
        <x:v>locate</x:v>
      </x:c>
      <x:c r="C268" s="6" t="str">
        <x:v>Where is the dishwasher?</x:v>
      </x:c>
      <x:c r="D268" s="6" t="str">
        <x:v>Kitchen 0.06
Floor level: 0
Asset ID: resplan-56-A00023
Position (m): 8.946, 8.719</x:v>
      </x:c>
      <x:c r="E268" s="6" t="str">
        <x:v>Reference supplied</x:v>
      </x:c>
      <x:c r="F268" s="6" t="str">
        <x:v>train</x:v>
      </x:c>
      <x:c r="G268" s="6" t="str">
        <x:v>resplan-56</x:v>
      </x:c>
      <x:c r="H268" s="6" t="str">
        <x:v>resplan-56-Q01</x:v>
      </x:c>
      <x:c r="I268" s="6" t="str">
        <x:v>Find and count assets</x:v>
      </x:c>
      <x:c r="J268" s="6" t="str">
        <x:v>Warm-up</x:v>
      </x:c>
      <x:c r="K268" s="6" t="str">
        <x:v>Room name, floor and asset identity. Coordinates may help the UI.</x:v>
      </x:c>
      <x:c r="L268" s="6" t="str">
        <x:v>T02, T03</x:v>
      </x:c>
      <x:c r="M268" s="6" t="str">
        <x:v>Find a named item and identify its containing room and floor.</x:v>
      </x:c>
      <x:c r="N268" s="6" t="str">
        <x:v>{"asset_id":"resplan-56-A00023","space_id":"resplan-56-F0-S006","space_name":"Kitchen 0.06","floor_level":0,"position":[8.946,8.719]}</x:v>
      </x:c>
      <x:c r="O268" s="6"/>
      <x:c r="P268" s="6" t="str">
        <x:v>Resolve the intended asset and its containing room/floor.</x:v>
      </x:c>
      <x:c r="Q268" s="15"/>
      <x:c r="R268" s="6"/>
      <x:c r="S268" s="16"/>
      <x:c r="T268" s="15"/>
      <x:c r="U268" s="6"/>
      <x:c r="V268" s="6"/>
      <x:c r="W268" s="6" t="str">
        <x:v>Existing search_building. Improve disambiguation and complete result pagination.</x:v>
      </x:c>
      <x:c r="X268" s="6" t="str">
        <x:v>data/train/resplan-56/questions_basic.jsonl</x:v>
      </x:c>
      <x:c r="Y268" s="14" t="n">
        <x:v>1</x:v>
      </x:c>
      <x:c r="Z268" s="6" t="str">
        <x:v>https://github.com/hagenhaeussler/Industrial-Agents-Hackathon-2026/blob/f41616590b69f3ea0c1cbfb41d6c35edd9ce53df/data/train/resplan-56/questions_basic.jsonl#L1</x:v>
      </x:c>
      <x:c r="AA268" s="6" t="str">
        <x:v>resplan</x:v>
      </x:c>
      <x:c r="AB268" s="6" t="str">
        <x:v>CC-BY-4.0</x:v>
      </x:c>
    </x:row>
    <x:row r="269" ht="72" customHeight="1">
      <x:c r="A269" s="14" t="n">
        <x:v>264</x:v>
      </x:c>
      <x:c r="B269" s="6" t="str">
        <x:v>locate</x:v>
      </x:c>
      <x:c r="C269" s="6" t="str">
        <x:v>Where is the fridge?</x:v>
      </x:c>
      <x:c r="D269" s="6" t="str">
        <x:v>Kitchen 0.06
Floor level: 0
Asset ID: resplan-56-A00021
Position (m): 11.544, 9.022</x:v>
      </x:c>
      <x:c r="E269" s="6" t="str">
        <x:v>Reference supplied</x:v>
      </x:c>
      <x:c r="F269" s="6" t="str">
        <x:v>train</x:v>
      </x:c>
      <x:c r="G269" s="6" t="str">
        <x:v>resplan-56</x:v>
      </x:c>
      <x:c r="H269" s="6" t="str">
        <x:v>resplan-56-Q02</x:v>
      </x:c>
      <x:c r="I269" s="6" t="str">
        <x:v>Find and count assets</x:v>
      </x:c>
      <x:c r="J269" s="6" t="str">
        <x:v>Warm-up</x:v>
      </x:c>
      <x:c r="K269" s="6" t="str">
        <x:v>Room name, floor and asset identity. Coordinates may help the UI.</x:v>
      </x:c>
      <x:c r="L269" s="6" t="str">
        <x:v>T02, T03</x:v>
      </x:c>
      <x:c r="M269" s="6" t="str">
        <x:v>Find a named item and identify its containing room and floor.</x:v>
      </x:c>
      <x:c r="N269" s="6" t="str">
        <x:v>{"asset_id":"resplan-56-A00021","space_id":"resplan-56-F0-S006","space_name":"Kitchen 0.06","floor_level":0,"position":[11.544,9.022]}</x:v>
      </x:c>
      <x:c r="O269" s="6"/>
      <x:c r="P269" s="6" t="str">
        <x:v>Resolve the intended asset and its containing room/floor.</x:v>
      </x:c>
      <x:c r="Q269" s="15"/>
      <x:c r="R269" s="6"/>
      <x:c r="S269" s="16"/>
      <x:c r="T269" s="15"/>
      <x:c r="U269" s="6"/>
      <x:c r="V269" s="6"/>
      <x:c r="W269" s="6" t="str">
        <x:v>Existing search_building. Improve disambiguation and complete result pagination.</x:v>
      </x:c>
      <x:c r="X269" s="6" t="str">
        <x:v>data/train/resplan-56/questions_basic.jsonl</x:v>
      </x:c>
      <x:c r="Y269" s="14" t="n">
        <x:v>2</x:v>
      </x:c>
      <x:c r="Z269" s="6" t="str">
        <x:v>https://github.com/hagenhaeussler/Industrial-Agents-Hackathon-2026/blob/f41616590b69f3ea0c1cbfb41d6c35edd9ce53df/data/train/resplan-56/questions_basic.jsonl#L2</x:v>
      </x:c>
      <x:c r="AA269" s="6" t="str">
        <x:v>resplan</x:v>
      </x:c>
      <x:c r="AB269" s="6" t="str">
        <x:v>CC-BY-4.0</x:v>
      </x:c>
    </x:row>
    <x:row r="270" ht="72" customHeight="1">
      <x:c r="A270" s="14" t="n">
        <x:v>265</x:v>
      </x:c>
      <x:c r="B270" s="6" t="str">
        <x:v>locate</x:v>
      </x:c>
      <x:c r="C270" s="6" t="str">
        <x:v>Where is the tv stand?</x:v>
      </x:c>
      <x:c r="D270" s="6" t="str">
        <x:v>Living room 0.01
Floor level: 0
Asset ID: resplan-56-A00003
Position (m): 7.295, 2.717</x:v>
      </x:c>
      <x:c r="E270" s="6" t="str">
        <x:v>Reference supplied</x:v>
      </x:c>
      <x:c r="F270" s="6" t="str">
        <x:v>train</x:v>
      </x:c>
      <x:c r="G270" s="6" t="str">
        <x:v>resplan-56</x:v>
      </x:c>
      <x:c r="H270" s="6" t="str">
        <x:v>resplan-56-Q03</x:v>
      </x:c>
      <x:c r="I270" s="6" t="str">
        <x:v>Find and count assets</x:v>
      </x:c>
      <x:c r="J270" s="6" t="str">
        <x:v>Warm-up</x:v>
      </x:c>
      <x:c r="K270" s="6" t="str">
        <x:v>Room name, floor and asset identity. Coordinates may help the UI.</x:v>
      </x:c>
      <x:c r="L270" s="6" t="str">
        <x:v>T02, T03</x:v>
      </x:c>
      <x:c r="M270" s="6" t="str">
        <x:v>Find a named item and identify its containing room and floor.</x:v>
      </x:c>
      <x:c r="N270" s="6" t="str">
        <x:v>{"asset_id":"resplan-56-A00003","space_id":"resplan-56-F0-S001","space_name":"Living room 0.01","floor_level":0,"position":[7.295,2.717]}</x:v>
      </x:c>
      <x:c r="O270" s="6"/>
      <x:c r="P270" s="6" t="str">
        <x:v>Resolve the intended asset and its containing room/floor.</x:v>
      </x:c>
      <x:c r="Q270" s="15"/>
      <x:c r="R270" s="6"/>
      <x:c r="S270" s="16"/>
      <x:c r="T270" s="15"/>
      <x:c r="U270" s="6"/>
      <x:c r="V270" s="6"/>
      <x:c r="W270" s="6" t="str">
        <x:v>Existing search_building. Improve disambiguation and complete result pagination.</x:v>
      </x:c>
      <x:c r="X270" s="6" t="str">
        <x:v>data/train/resplan-56/questions_basic.jsonl</x:v>
      </x:c>
      <x:c r="Y270" s="14" t="n">
        <x:v>3</x:v>
      </x:c>
      <x:c r="Z270" s="6" t="str">
        <x:v>https://github.com/hagenhaeussler/Industrial-Agents-Hackathon-2026/blob/f41616590b69f3ea0c1cbfb41d6c35edd9ce53df/data/train/resplan-56/questions_basic.jsonl#L3</x:v>
      </x:c>
      <x:c r="AA270" s="6" t="str">
        <x:v>resplan</x:v>
      </x:c>
      <x:c r="AB270" s="6" t="str">
        <x:v>CC-BY-4.0</x:v>
      </x:c>
    </x:row>
    <x:row r="271" ht="72" customHeight="1">
      <x:c r="A271" s="14" t="n">
        <x:v>266</x:v>
      </x:c>
      <x:c r="B271" s="6" t="str">
        <x:v>locate</x:v>
      </x:c>
      <x:c r="C271" s="6" t="str">
        <x:v>Where is the dining table?</x:v>
      </x:c>
      <x:c r="D271" s="6" t="str">
        <x:v>Living room 0.01
Floor level: 0
Asset ID: resplan-5783-A00004
Position (m): 6.133, 4.921</x:v>
      </x:c>
      <x:c r="E271" s="6" t="str">
        <x:v>Reference supplied</x:v>
      </x:c>
      <x:c r="F271" s="6" t="str">
        <x:v>train</x:v>
      </x:c>
      <x:c r="G271" s="6" t="str">
        <x:v>resplan-5783</x:v>
      </x:c>
      <x:c r="H271" s="6" t="str">
        <x:v>resplan-5783-Q01</x:v>
      </x:c>
      <x:c r="I271" s="6" t="str">
        <x:v>Find and count assets</x:v>
      </x:c>
      <x:c r="J271" s="6" t="str">
        <x:v>Warm-up</x:v>
      </x:c>
      <x:c r="K271" s="6" t="str">
        <x:v>Room name, floor and asset identity. Coordinates may help the UI.</x:v>
      </x:c>
      <x:c r="L271" s="6" t="str">
        <x:v>T02, T03</x:v>
      </x:c>
      <x:c r="M271" s="6" t="str">
        <x:v>Find a named item and identify its containing room and floor.</x:v>
      </x:c>
      <x:c r="N271" s="6" t="str">
        <x:v>{"asset_id":"resplan-5783-A00004","space_id":"resplan-5783-F0-S001","space_name":"Living room 0.01","floor_level":0,"position":[6.133,4.921]}</x:v>
      </x:c>
      <x:c r="O271" s="6"/>
      <x:c r="P271" s="6" t="str">
        <x:v>Resolve the intended asset and its containing room/floor.</x:v>
      </x:c>
      <x:c r="Q271" s="15"/>
      <x:c r="R271" s="6"/>
      <x:c r="S271" s="16"/>
      <x:c r="T271" s="15"/>
      <x:c r="U271" s="6"/>
      <x:c r="V271" s="6"/>
      <x:c r="W271" s="6" t="str">
        <x:v>Existing search_building. Improve disambiguation and complete result pagination.</x:v>
      </x:c>
      <x:c r="X271" s="6" t="str">
        <x:v>data/train/resplan-5783/questions_basic.jsonl</x:v>
      </x:c>
      <x:c r="Y271" s="14" t="n">
        <x:v>1</x:v>
      </x:c>
      <x:c r="Z271" s="6" t="str">
        <x:v>https://github.com/hagenhaeussler/Industrial-Agents-Hackathon-2026/blob/f41616590b69f3ea0c1cbfb41d6c35edd9ce53df/data/train/resplan-5783/questions_basic.jsonl#L1</x:v>
      </x:c>
      <x:c r="AA271" s="6" t="str">
        <x:v>resplan</x:v>
      </x:c>
      <x:c r="AB271" s="6" t="str">
        <x:v>CC-BY-4.0</x:v>
      </x:c>
    </x:row>
    <x:row r="272" ht="72" customHeight="1">
      <x:c r="A272" s="14" t="n">
        <x:v>267</x:v>
      </x:c>
      <x:c r="B272" s="6" t="str">
        <x:v>locate</x:v>
      </x:c>
      <x:c r="C272" s="6" t="str">
        <x:v>Where is the coffee table?</x:v>
      </x:c>
      <x:c r="D272" s="6" t="str">
        <x:v>Living room 0.01
Floor level: 0
Asset ID: resplan-5783-A00002
Position (m): 6.135, 2.258</x:v>
      </x:c>
      <x:c r="E272" s="6" t="str">
        <x:v>Reference supplied</x:v>
      </x:c>
      <x:c r="F272" s="6" t="str">
        <x:v>train</x:v>
      </x:c>
      <x:c r="G272" s="6" t="str">
        <x:v>resplan-5783</x:v>
      </x:c>
      <x:c r="H272" s="6" t="str">
        <x:v>resplan-5783-Q02</x:v>
      </x:c>
      <x:c r="I272" s="6" t="str">
        <x:v>Find and count assets</x:v>
      </x:c>
      <x:c r="J272" s="6" t="str">
        <x:v>Warm-up</x:v>
      </x:c>
      <x:c r="K272" s="6" t="str">
        <x:v>Room name, floor and asset identity. Coordinates may help the UI.</x:v>
      </x:c>
      <x:c r="L272" s="6" t="str">
        <x:v>T02, T03</x:v>
      </x:c>
      <x:c r="M272" s="6" t="str">
        <x:v>Find a named item and identify its containing room and floor.</x:v>
      </x:c>
      <x:c r="N272" s="6" t="str">
        <x:v>{"asset_id":"resplan-5783-A00002","space_id":"resplan-5783-F0-S001","space_name":"Living room 0.01","floor_level":0,"position":[6.135,2.258]}</x:v>
      </x:c>
      <x:c r="O272" s="6"/>
      <x:c r="P272" s="6" t="str">
        <x:v>Resolve the intended asset and its containing room/floor.</x:v>
      </x:c>
      <x:c r="Q272" s="15"/>
      <x:c r="R272" s="6"/>
      <x:c r="S272" s="16"/>
      <x:c r="T272" s="15"/>
      <x:c r="U272" s="6"/>
      <x:c r="V272" s="6"/>
      <x:c r="W272" s="6" t="str">
        <x:v>Existing search_building. Improve disambiguation and complete result pagination.</x:v>
      </x:c>
      <x:c r="X272" s="6" t="str">
        <x:v>data/train/resplan-5783/questions_basic.jsonl</x:v>
      </x:c>
      <x:c r="Y272" s="14" t="n">
        <x:v>2</x:v>
      </x:c>
      <x:c r="Z272" s="6" t="str">
        <x:v>https://github.com/hagenhaeussler/Industrial-Agents-Hackathon-2026/blob/f41616590b69f3ea0c1cbfb41d6c35edd9ce53df/data/train/resplan-5783/questions_basic.jsonl#L2</x:v>
      </x:c>
      <x:c r="AA272" s="6" t="str">
        <x:v>resplan</x:v>
      </x:c>
      <x:c r="AB272" s="6" t="str">
        <x:v>CC-BY-4.0</x:v>
      </x:c>
    </x:row>
    <x:row r="273" ht="72" customHeight="1">
      <x:c r="A273" s="14" t="n">
        <x:v>268</x:v>
      </x:c>
      <x:c r="B273" s="6" t="str">
        <x:v>locate</x:v>
      </x:c>
      <x:c r="C273" s="6" t="str">
        <x:v>Where is the sofa?</x:v>
      </x:c>
      <x:c r="D273" s="6" t="str">
        <x:v>Living room 0.01
Floor level: 0
Asset ID: resplan-5783-A00001
Position (m): 7.53, 3.929</x:v>
      </x:c>
      <x:c r="E273" s="6" t="str">
        <x:v>Reference supplied</x:v>
      </x:c>
      <x:c r="F273" s="6" t="str">
        <x:v>train</x:v>
      </x:c>
      <x:c r="G273" s="6" t="str">
        <x:v>resplan-5783</x:v>
      </x:c>
      <x:c r="H273" s="6" t="str">
        <x:v>resplan-5783-Q03</x:v>
      </x:c>
      <x:c r="I273" s="6" t="str">
        <x:v>Find and count assets</x:v>
      </x:c>
      <x:c r="J273" s="6" t="str">
        <x:v>Warm-up</x:v>
      </x:c>
      <x:c r="K273" s="6" t="str">
        <x:v>Room name, floor and asset identity. Coordinates may help the UI.</x:v>
      </x:c>
      <x:c r="L273" s="6" t="str">
        <x:v>T02, T03</x:v>
      </x:c>
      <x:c r="M273" s="6" t="str">
        <x:v>Find a named item and identify its containing room and floor.</x:v>
      </x:c>
      <x:c r="N273" s="6" t="str">
        <x:v>{"asset_id":"resplan-5783-A00001","space_id":"resplan-5783-F0-S001","space_name":"Living room 0.01","floor_level":0,"position":[7.53,3.929]}</x:v>
      </x:c>
      <x:c r="O273" s="6"/>
      <x:c r="P273" s="6" t="str">
        <x:v>Resolve the intended asset and its containing room/floor.</x:v>
      </x:c>
      <x:c r="Q273" s="15"/>
      <x:c r="R273" s="6"/>
      <x:c r="S273" s="16"/>
      <x:c r="T273" s="15"/>
      <x:c r="U273" s="6"/>
      <x:c r="V273" s="6"/>
      <x:c r="W273" s="6" t="str">
        <x:v>Existing search_building. Improve disambiguation and complete result pagination.</x:v>
      </x:c>
      <x:c r="X273" s="6" t="str">
        <x:v>data/train/resplan-5783/questions_basic.jsonl</x:v>
      </x:c>
      <x:c r="Y273" s="14" t="n">
        <x:v>3</x:v>
      </x:c>
      <x:c r="Z273" s="6" t="str">
        <x:v>https://github.com/hagenhaeussler/Industrial-Agents-Hackathon-2026/blob/f41616590b69f3ea0c1cbfb41d6c35edd9ce53df/data/train/resplan-5783/questions_basic.jsonl#L3</x:v>
      </x:c>
      <x:c r="AA273" s="6" t="str">
        <x:v>resplan</x:v>
      </x:c>
      <x:c r="AB273" s="6" t="str">
        <x:v>CC-BY-4.0</x:v>
      </x:c>
    </x:row>
    <x:row r="274" ht="72" customHeight="1">
      <x:c r="A274" s="14" t="n">
        <x:v>269</x:v>
      </x:c>
      <x:c r="B274" s="6" t="str">
        <x:v>locate</x:v>
      </x:c>
      <x:c r="C274" s="6" t="str">
        <x:v>Where is the desk?</x:v>
      </x:c>
      <x:c r="D274" s="6" t="str">
        <x:v>Bedroom 0.04
Floor level: 0
Asset ID: resplan-5871-A00017
Position (m): 4.229, 1.861</x:v>
      </x:c>
      <x:c r="E274" s="6" t="str">
        <x:v>Reference supplied</x:v>
      </x:c>
      <x:c r="F274" s="6" t="str">
        <x:v>train</x:v>
      </x:c>
      <x:c r="G274" s="6" t="str">
        <x:v>resplan-5871</x:v>
      </x:c>
      <x:c r="H274" s="6" t="str">
        <x:v>resplan-5871-Q01</x:v>
      </x:c>
      <x:c r="I274" s="6" t="str">
        <x:v>Find and count assets</x:v>
      </x:c>
      <x:c r="J274" s="6" t="str">
        <x:v>Warm-up</x:v>
      </x:c>
      <x:c r="K274" s="6" t="str">
        <x:v>Room name, floor and asset identity. Coordinates may help the UI.</x:v>
      </x:c>
      <x:c r="L274" s="6" t="str">
        <x:v>T02, T03</x:v>
      </x:c>
      <x:c r="M274" s="6" t="str">
        <x:v>Find a named item and identify its containing room and floor.</x:v>
      </x:c>
      <x:c r="N274" s="6" t="str">
        <x:v>{"asset_id":"resplan-5871-A00017","space_id":"resplan-5871-F0-S004","space_name":"Bedroom 0.04","floor_level":0,"position":[4.229,1.861]}</x:v>
      </x:c>
      <x:c r="O274" s="6"/>
      <x:c r="P274" s="6" t="str">
        <x:v>Resolve the intended asset and its containing room/floor.</x:v>
      </x:c>
      <x:c r="Q274" s="15"/>
      <x:c r="R274" s="6"/>
      <x:c r="S274" s="16"/>
      <x:c r="T274" s="15"/>
      <x:c r="U274" s="6"/>
      <x:c r="V274" s="6"/>
      <x:c r="W274" s="6" t="str">
        <x:v>Existing search_building. Improve disambiguation and complete result pagination.</x:v>
      </x:c>
      <x:c r="X274" s="6" t="str">
        <x:v>data/train/resplan-5871/questions_basic.jsonl</x:v>
      </x:c>
      <x:c r="Y274" s="14" t="n">
        <x:v>1</x:v>
      </x:c>
      <x:c r="Z274" s="6" t="str">
        <x:v>https://github.com/hagenhaeussler/Industrial-Agents-Hackathon-2026/blob/f41616590b69f3ea0c1cbfb41d6c35edd9ce53df/data/train/resplan-5871/questions_basic.jsonl#L1</x:v>
      </x:c>
      <x:c r="AA274" s="6" t="str">
        <x:v>resplan</x:v>
      </x:c>
      <x:c r="AB274" s="6" t="str">
        <x:v>CC-BY-4.0</x:v>
      </x:c>
    </x:row>
    <x:row r="275" ht="72" customHeight="1">
      <x:c r="A275" s="14" t="n">
        <x:v>270</x:v>
      </x:c>
      <x:c r="B275" s="6" t="str">
        <x:v>locate</x:v>
      </x:c>
      <x:c r="C275" s="6" t="str">
        <x:v>Where is the microwave?</x:v>
      </x:c>
      <x:c r="D275" s="6" t="str">
        <x:v>Kitchen 0.07
Floor level: 0
Asset ID: resplan-5871-A00025
Position (m): 3.174, 4.208</x:v>
      </x:c>
      <x:c r="E275" s="6" t="str">
        <x:v>Reference supplied</x:v>
      </x:c>
      <x:c r="F275" s="6" t="str">
        <x:v>train</x:v>
      </x:c>
      <x:c r="G275" s="6" t="str">
        <x:v>resplan-5871</x:v>
      </x:c>
      <x:c r="H275" s="6" t="str">
        <x:v>resplan-5871-Q02</x:v>
      </x:c>
      <x:c r="I275" s="6" t="str">
        <x:v>Find and count assets</x:v>
      </x:c>
      <x:c r="J275" s="6" t="str">
        <x:v>Warm-up</x:v>
      </x:c>
      <x:c r="K275" s="6" t="str">
        <x:v>Room name, floor and asset identity. Coordinates may help the UI.</x:v>
      </x:c>
      <x:c r="L275" s="6" t="str">
        <x:v>T02, T03</x:v>
      </x:c>
      <x:c r="M275" s="6" t="str">
        <x:v>Find a named item and identify its containing room and floor.</x:v>
      </x:c>
      <x:c r="N275" s="6" t="str">
        <x:v>{"asset_id":"resplan-5871-A00025","space_id":"resplan-5871-F0-S007","space_name":"Kitchen 0.07","floor_level":0,"position":[3.174,4.208]}</x:v>
      </x:c>
      <x:c r="O275" s="6"/>
      <x:c r="P275" s="6" t="str">
        <x:v>Resolve the intended asset and its containing room/floor.</x:v>
      </x:c>
      <x:c r="Q275" s="15"/>
      <x:c r="R275" s="6"/>
      <x:c r="S275" s="16"/>
      <x:c r="T275" s="15"/>
      <x:c r="U275" s="6"/>
      <x:c r="V275" s="6"/>
      <x:c r="W275" s="6" t="str">
        <x:v>Existing search_building. Improve disambiguation and complete result pagination.</x:v>
      </x:c>
      <x:c r="X275" s="6" t="str">
        <x:v>data/train/resplan-5871/questions_basic.jsonl</x:v>
      </x:c>
      <x:c r="Y275" s="14" t="n">
        <x:v>2</x:v>
      </x:c>
      <x:c r="Z275" s="6" t="str">
        <x:v>https://github.com/hagenhaeussler/Industrial-Agents-Hackathon-2026/blob/f41616590b69f3ea0c1cbfb41d6c35edd9ce53df/data/train/resplan-5871/questions_basic.jsonl#L2</x:v>
      </x:c>
      <x:c r="AA275" s="6" t="str">
        <x:v>resplan</x:v>
      </x:c>
      <x:c r="AB275" s="6" t="str">
        <x:v>CC-BY-4.0</x:v>
      </x:c>
    </x:row>
    <x:row r="276" ht="72" customHeight="1">
      <x:c r="A276" s="14" t="n">
        <x:v>271</x:v>
      </x:c>
      <x:c r="B276" s="6" t="str">
        <x:v>locate</x:v>
      </x:c>
      <x:c r="C276" s="6" t="str">
        <x:v>Where is the armchair?</x:v>
      </x:c>
      <x:c r="D276" s="6" t="str">
        <x:v>Living room 0.01
Floor level: 0
Asset ID: resplan-5871-A00005
Position (m): 6.664, 5.776</x:v>
      </x:c>
      <x:c r="E276" s="6" t="str">
        <x:v>Reference supplied</x:v>
      </x:c>
      <x:c r="F276" s="6" t="str">
        <x:v>train</x:v>
      </x:c>
      <x:c r="G276" s="6" t="str">
        <x:v>resplan-5871</x:v>
      </x:c>
      <x:c r="H276" s="6" t="str">
        <x:v>resplan-5871-Q03</x:v>
      </x:c>
      <x:c r="I276" s="6" t="str">
        <x:v>Find and count assets</x:v>
      </x:c>
      <x:c r="J276" s="6" t="str">
        <x:v>Warm-up</x:v>
      </x:c>
      <x:c r="K276" s="6" t="str">
        <x:v>Room name, floor and asset identity. Coordinates may help the UI.</x:v>
      </x:c>
      <x:c r="L276" s="6" t="str">
        <x:v>T02, T03</x:v>
      </x:c>
      <x:c r="M276" s="6" t="str">
        <x:v>Find a named item and identify its containing room and floor.</x:v>
      </x:c>
      <x:c r="N276" s="6" t="str">
        <x:v>{"asset_id":"resplan-5871-A00005","space_id":"resplan-5871-F0-S001","space_name":"Living room 0.01","floor_level":0,"position":[6.664,5.776]}</x:v>
      </x:c>
      <x:c r="O276" s="6"/>
      <x:c r="P276" s="6" t="str">
        <x:v>Resolve the intended asset and its containing room/floor.</x:v>
      </x:c>
      <x:c r="Q276" s="15"/>
      <x:c r="R276" s="6"/>
      <x:c r="S276" s="16"/>
      <x:c r="T276" s="15"/>
      <x:c r="U276" s="6"/>
      <x:c r="V276" s="6"/>
      <x:c r="W276" s="6" t="str">
        <x:v>Existing search_building. Improve disambiguation and complete result pagination.</x:v>
      </x:c>
      <x:c r="X276" s="6" t="str">
        <x:v>data/train/resplan-5871/questions_basic.jsonl</x:v>
      </x:c>
      <x:c r="Y276" s="14" t="n">
        <x:v>3</x:v>
      </x:c>
      <x:c r="Z276" s="6" t="str">
        <x:v>https://github.com/hagenhaeussler/Industrial-Agents-Hackathon-2026/blob/f41616590b69f3ea0c1cbfb41d6c35edd9ce53df/data/train/resplan-5871/questions_basic.jsonl#L3</x:v>
      </x:c>
      <x:c r="AA276" s="6" t="str">
        <x:v>resplan</x:v>
      </x:c>
      <x:c r="AB276" s="6" t="str">
        <x:v>CC-BY-4.0</x:v>
      </x:c>
    </x:row>
    <x:row r="277" ht="72" customHeight="1">
      <x:c r="A277" s="14" t="n">
        <x:v>272</x:v>
      </x:c>
      <x:c r="B277" s="6" t="str">
        <x:v>locate</x:v>
      </x:c>
      <x:c r="C277" s="6" t="str">
        <x:v>Where is the kitchen counter?</x:v>
      </x:c>
      <x:c r="D277" s="6" t="str">
        <x:v>Kitchen 0.08
Floor level: 0
Asset ID: resplan-6242-A00026
Position (m): 2.2, 10.986</x:v>
      </x:c>
      <x:c r="E277" s="6" t="str">
        <x:v>Reference supplied</x:v>
      </x:c>
      <x:c r="F277" s="6" t="str">
        <x:v>train</x:v>
      </x:c>
      <x:c r="G277" s="6" t="str">
        <x:v>resplan-6242</x:v>
      </x:c>
      <x:c r="H277" s="6" t="str">
        <x:v>resplan-6242-Q01</x:v>
      </x:c>
      <x:c r="I277" s="6" t="str">
        <x:v>Find and count assets</x:v>
      </x:c>
      <x:c r="J277" s="6" t="str">
        <x:v>Warm-up</x:v>
      </x:c>
      <x:c r="K277" s="6" t="str">
        <x:v>Room name, floor and asset identity. Coordinates may help the UI.</x:v>
      </x:c>
      <x:c r="L277" s="6" t="str">
        <x:v>T02, T03</x:v>
      </x:c>
      <x:c r="M277" s="6" t="str">
        <x:v>Find a named item and identify its containing room and floor.</x:v>
      </x:c>
      <x:c r="N277" s="6" t="str">
        <x:v>{"asset_id":"resplan-6242-A00026","space_id":"resplan-6242-F0-S008","space_name":"Kitchen 0.08","floor_level":0,"position":[2.2,10.986]}</x:v>
      </x:c>
      <x:c r="O277" s="6"/>
      <x:c r="P277" s="6" t="str">
        <x:v>Resolve the intended asset and its containing room/floor.</x:v>
      </x:c>
      <x:c r="Q277" s="15"/>
      <x:c r="R277" s="6"/>
      <x:c r="S277" s="16"/>
      <x:c r="T277" s="15"/>
      <x:c r="U277" s="6"/>
      <x:c r="V277" s="6"/>
      <x:c r="W277" s="6" t="str">
        <x:v>Existing search_building. Improve disambiguation and complete result pagination.</x:v>
      </x:c>
      <x:c r="X277" s="6" t="str">
        <x:v>data/train/resplan-6242/questions_basic.jsonl</x:v>
      </x:c>
      <x:c r="Y277" s="14" t="n">
        <x:v>1</x:v>
      </x:c>
      <x:c r="Z277" s="6" t="str">
        <x:v>https://github.com/hagenhaeussler/Industrial-Agents-Hackathon-2026/blob/f41616590b69f3ea0c1cbfb41d6c35edd9ce53df/data/train/resplan-6242/questions_basic.jsonl#L1</x:v>
      </x:c>
      <x:c r="AA277" s="6" t="str">
        <x:v>resplan</x:v>
      </x:c>
      <x:c r="AB277" s="6" t="str">
        <x:v>CC-BY-4.0</x:v>
      </x:c>
    </x:row>
    <x:row r="278" ht="72" customHeight="1">
      <x:c r="A278" s="14" t="n">
        <x:v>273</x:v>
      </x:c>
      <x:c r="B278" s="6" t="str">
        <x:v>locate</x:v>
      </x:c>
      <x:c r="C278" s="6" t="str">
        <x:v>Where is the coffee table?</x:v>
      </x:c>
      <x:c r="D278" s="6" t="str">
        <x:v>Living room 0.01
Floor level: 0
Asset ID: resplan-6242-A00002
Position (m): 4.512, 14.119</x:v>
      </x:c>
      <x:c r="E278" s="6" t="str">
        <x:v>Reference supplied</x:v>
      </x:c>
      <x:c r="F278" s="6" t="str">
        <x:v>train</x:v>
      </x:c>
      <x:c r="G278" s="6" t="str">
        <x:v>resplan-6242</x:v>
      </x:c>
      <x:c r="H278" s="6" t="str">
        <x:v>resplan-6242-Q02</x:v>
      </x:c>
      <x:c r="I278" s="6" t="str">
        <x:v>Find and count assets</x:v>
      </x:c>
      <x:c r="J278" s="6" t="str">
        <x:v>Warm-up</x:v>
      </x:c>
      <x:c r="K278" s="6" t="str">
        <x:v>Room name, floor and asset identity. Coordinates may help the UI.</x:v>
      </x:c>
      <x:c r="L278" s="6" t="str">
        <x:v>T02, T03</x:v>
      </x:c>
      <x:c r="M278" s="6" t="str">
        <x:v>Find a named item and identify its containing room and floor.</x:v>
      </x:c>
      <x:c r="N278" s="6" t="str">
        <x:v>{"asset_id":"resplan-6242-A00002","space_id":"resplan-6242-F0-S001","space_name":"Living room 0.01","floor_level":0,"position":[4.512,14.119]}</x:v>
      </x:c>
      <x:c r="O278" s="6"/>
      <x:c r="P278" s="6" t="str">
        <x:v>Resolve the intended asset and its containing room/floor.</x:v>
      </x:c>
      <x:c r="Q278" s="15"/>
      <x:c r="R278" s="6"/>
      <x:c r="S278" s="16"/>
      <x:c r="T278" s="15"/>
      <x:c r="U278" s="6"/>
      <x:c r="V278" s="6"/>
      <x:c r="W278" s="6" t="str">
        <x:v>Existing search_building. Improve disambiguation and complete result pagination.</x:v>
      </x:c>
      <x:c r="X278" s="6" t="str">
        <x:v>data/train/resplan-6242/questions_basic.jsonl</x:v>
      </x:c>
      <x:c r="Y278" s="14" t="n">
        <x:v>2</x:v>
      </x:c>
      <x:c r="Z278" s="6" t="str">
        <x:v>https://github.com/hagenhaeussler/Industrial-Agents-Hackathon-2026/blob/f41616590b69f3ea0c1cbfb41d6c35edd9ce53df/data/train/resplan-6242/questions_basic.jsonl#L2</x:v>
      </x:c>
      <x:c r="AA278" s="6" t="str">
        <x:v>resplan</x:v>
      </x:c>
      <x:c r="AB278" s="6" t="str">
        <x:v>CC-BY-4.0</x:v>
      </x:c>
    </x:row>
    <x:row r="279" ht="72" customHeight="1">
      <x:c r="A279" s="14" t="n">
        <x:v>274</x:v>
      </x:c>
      <x:c r="B279" s="6" t="str">
        <x:v>locate</x:v>
      </x:c>
      <x:c r="C279" s="6" t="str">
        <x:v>Where is the tv stand?</x:v>
      </x:c>
      <x:c r="D279" s="6" t="str">
        <x:v>Living room 0.01
Floor level: 0
Asset ID: resplan-6242-A00003
Position (m): 8.437, 15.74</x:v>
      </x:c>
      <x:c r="E279" s="6" t="str">
        <x:v>Reference supplied</x:v>
      </x:c>
      <x:c r="F279" s="6" t="str">
        <x:v>train</x:v>
      </x:c>
      <x:c r="G279" s="6" t="str">
        <x:v>resplan-6242</x:v>
      </x:c>
      <x:c r="H279" s="6" t="str">
        <x:v>resplan-6242-Q03</x:v>
      </x:c>
      <x:c r="I279" s="6" t="str">
        <x:v>Find and count assets</x:v>
      </x:c>
      <x:c r="J279" s="6" t="str">
        <x:v>Warm-up</x:v>
      </x:c>
      <x:c r="K279" s="6" t="str">
        <x:v>Room name, floor and asset identity. Coordinates may help the UI.</x:v>
      </x:c>
      <x:c r="L279" s="6" t="str">
        <x:v>T02, T03</x:v>
      </x:c>
      <x:c r="M279" s="6" t="str">
        <x:v>Find a named item and identify its containing room and floor.</x:v>
      </x:c>
      <x:c r="N279" s="6" t="str">
        <x:v>{"asset_id":"resplan-6242-A00003","space_id":"resplan-6242-F0-S001","space_name":"Living room 0.01","floor_level":0,"position":[8.437,15.74]}</x:v>
      </x:c>
      <x:c r="O279" s="6"/>
      <x:c r="P279" s="6" t="str">
        <x:v>Resolve the intended asset and its containing room/floor.</x:v>
      </x:c>
      <x:c r="Q279" s="15"/>
      <x:c r="R279" s="6"/>
      <x:c r="S279" s="16"/>
      <x:c r="T279" s="15"/>
      <x:c r="U279" s="6"/>
      <x:c r="V279" s="6"/>
      <x:c r="W279" s="6" t="str">
        <x:v>Existing search_building. Improve disambiguation and complete result pagination.</x:v>
      </x:c>
      <x:c r="X279" s="6" t="str">
        <x:v>data/train/resplan-6242/questions_basic.jsonl</x:v>
      </x:c>
      <x:c r="Y279" s="14" t="n">
        <x:v>3</x:v>
      </x:c>
      <x:c r="Z279" s="6" t="str">
        <x:v>https://github.com/hagenhaeussler/Industrial-Agents-Hackathon-2026/blob/f41616590b69f3ea0c1cbfb41d6c35edd9ce53df/data/train/resplan-6242/questions_basic.jsonl#L3</x:v>
      </x:c>
      <x:c r="AA279" s="6" t="str">
        <x:v>resplan</x:v>
      </x:c>
      <x:c r="AB279" s="6" t="str">
        <x:v>CC-BY-4.0</x:v>
      </x:c>
    </x:row>
    <x:row r="280" ht="72" customHeight="1">
      <x:c r="A280" s="14" t="n">
        <x:v>275</x:v>
      </x:c>
      <x:c r="B280" s="6" t="str">
        <x:v>locate</x:v>
      </x:c>
      <x:c r="C280" s="6" t="str">
        <x:v>Where is the plant?</x:v>
      </x:c>
      <x:c r="D280" s="6" t="str">
        <x:v>Balcony 0.07
Floor level: 0
Asset ID: resplan-6565-A00025
Position (m): 0.444, 10.098</x:v>
      </x:c>
      <x:c r="E280" s="6" t="str">
        <x:v>Reference supplied</x:v>
      </x:c>
      <x:c r="F280" s="6" t="str">
        <x:v>train</x:v>
      </x:c>
      <x:c r="G280" s="6" t="str">
        <x:v>resplan-6565</x:v>
      </x:c>
      <x:c r="H280" s="6" t="str">
        <x:v>resplan-6565-Q01</x:v>
      </x:c>
      <x:c r="I280" s="6" t="str">
        <x:v>Find and count assets</x:v>
      </x:c>
      <x:c r="J280" s="6" t="str">
        <x:v>Warm-up</x:v>
      </x:c>
      <x:c r="K280" s="6" t="str">
        <x:v>Room name, floor and asset identity. Coordinates may help the UI.</x:v>
      </x:c>
      <x:c r="L280" s="6" t="str">
        <x:v>T02, T03</x:v>
      </x:c>
      <x:c r="M280" s="6" t="str">
        <x:v>Find a named item and identify its containing room and floor.</x:v>
      </x:c>
      <x:c r="N280" s="6" t="str">
        <x:v>{"asset_id":"resplan-6565-A00025","space_id":"resplan-6565-F0-S007","space_name":"Balcony 0.07","floor_level":0,"position":[0.444,10.098]}</x:v>
      </x:c>
      <x:c r="O280" s="6"/>
      <x:c r="P280" s="6" t="str">
        <x:v>Resolve the intended asset and its containing room/floor.</x:v>
      </x:c>
      <x:c r="Q280" s="15"/>
      <x:c r="R280" s="6"/>
      <x:c r="S280" s="16"/>
      <x:c r="T280" s="15"/>
      <x:c r="U280" s="6"/>
      <x:c r="V280" s="6"/>
      <x:c r="W280" s="6" t="str">
        <x:v>Existing search_building. Improve disambiguation and complete result pagination.</x:v>
      </x:c>
      <x:c r="X280" s="6" t="str">
        <x:v>data/train/resplan-6565/questions_basic.jsonl</x:v>
      </x:c>
      <x:c r="Y280" s="14" t="n">
        <x:v>1</x:v>
      </x:c>
      <x:c r="Z280" s="6" t="str">
        <x:v>https://github.com/hagenhaeussler/Industrial-Agents-Hackathon-2026/blob/f41616590b69f3ea0c1cbfb41d6c35edd9ce53df/data/train/resplan-6565/questions_basic.jsonl#L1</x:v>
      </x:c>
      <x:c r="AA280" s="6" t="str">
        <x:v>resplan</x:v>
      </x:c>
      <x:c r="AB280" s="6" t="str">
        <x:v>CC-BY-4.0</x:v>
      </x:c>
    </x:row>
    <x:row r="281" ht="72" customHeight="1">
      <x:c r="A281" s="14" t="n">
        <x:v>276</x:v>
      </x:c>
      <x:c r="B281" s="6" t="str">
        <x:v>locate</x:v>
      </x:c>
      <x:c r="C281" s="6" t="str">
        <x:v>Where is the microwave?</x:v>
      </x:c>
      <x:c r="D281" s="6" t="str">
        <x:v>Kitchen 0.06
Floor level: 0
Asset ID: resplan-6565-A00022
Position (m): 5.226, 9.404</x:v>
      </x:c>
      <x:c r="E281" s="6" t="str">
        <x:v>Reference supplied</x:v>
      </x:c>
      <x:c r="F281" s="6" t="str">
        <x:v>train</x:v>
      </x:c>
      <x:c r="G281" s="6" t="str">
        <x:v>resplan-6565</x:v>
      </x:c>
      <x:c r="H281" s="6" t="str">
        <x:v>resplan-6565-Q02</x:v>
      </x:c>
      <x:c r="I281" s="6" t="str">
        <x:v>Find and count assets</x:v>
      </x:c>
      <x:c r="J281" s="6" t="str">
        <x:v>Warm-up</x:v>
      </x:c>
      <x:c r="K281" s="6" t="str">
        <x:v>Room name, floor and asset identity. Coordinates may help the UI.</x:v>
      </x:c>
      <x:c r="L281" s="6" t="str">
        <x:v>T02, T03</x:v>
      </x:c>
      <x:c r="M281" s="6" t="str">
        <x:v>Find a named item and identify its containing room and floor.</x:v>
      </x:c>
      <x:c r="N281" s="6" t="str">
        <x:v>{"asset_id":"resplan-6565-A00022","space_id":"resplan-6565-F0-S006","space_name":"Kitchen 0.06","floor_level":0,"position":[5.226,9.404]}</x:v>
      </x:c>
      <x:c r="O281" s="6"/>
      <x:c r="P281" s="6" t="str">
        <x:v>Resolve the intended asset and its containing room/floor.</x:v>
      </x:c>
      <x:c r="Q281" s="15"/>
      <x:c r="R281" s="6"/>
      <x:c r="S281" s="16"/>
      <x:c r="T281" s="15"/>
      <x:c r="U281" s="6"/>
      <x:c r="V281" s="6"/>
      <x:c r="W281" s="6" t="str">
        <x:v>Existing search_building. Improve disambiguation and complete result pagination.</x:v>
      </x:c>
      <x:c r="X281" s="6" t="str">
        <x:v>data/train/resplan-6565/questions_basic.jsonl</x:v>
      </x:c>
      <x:c r="Y281" s="14" t="n">
        <x:v>2</x:v>
      </x:c>
      <x:c r="Z281" s="6" t="str">
        <x:v>https://github.com/hagenhaeussler/Industrial-Agents-Hackathon-2026/blob/f41616590b69f3ea0c1cbfb41d6c35edd9ce53df/data/train/resplan-6565/questions_basic.jsonl#L2</x:v>
      </x:c>
      <x:c r="AA281" s="6" t="str">
        <x:v>resplan</x:v>
      </x:c>
      <x:c r="AB281" s="6" t="str">
        <x:v>CC-BY-4.0</x:v>
      </x:c>
    </x:row>
    <x:row r="282" ht="72" customHeight="1">
      <x:c r="A282" s="14" t="n">
        <x:v>277</x:v>
      </x:c>
      <x:c r="B282" s="6" t="str">
        <x:v>locate</x:v>
      </x:c>
      <x:c r="C282" s="6" t="str">
        <x:v>Where is the single bed?</x:v>
      </x:c>
      <x:c r="D282" s="6" t="str">
        <x:v>Bedroom 0.02
Floor level: 0
Asset ID: resplan-6565-A00007
Position (m): 1.208, 5.647</x:v>
      </x:c>
      <x:c r="E282" s="6" t="str">
        <x:v>Reference supplied</x:v>
      </x:c>
      <x:c r="F282" s="6" t="str">
        <x:v>train</x:v>
      </x:c>
      <x:c r="G282" s="6" t="str">
        <x:v>resplan-6565</x:v>
      </x:c>
      <x:c r="H282" s="6" t="str">
        <x:v>resplan-6565-Q03</x:v>
      </x:c>
      <x:c r="I282" s="6" t="str">
        <x:v>Find and count assets</x:v>
      </x:c>
      <x:c r="J282" s="6" t="str">
        <x:v>Warm-up</x:v>
      </x:c>
      <x:c r="K282" s="6" t="str">
        <x:v>Room name, floor and asset identity. Coordinates may help the UI.</x:v>
      </x:c>
      <x:c r="L282" s="6" t="str">
        <x:v>T02, T03</x:v>
      </x:c>
      <x:c r="M282" s="6" t="str">
        <x:v>Find a named item and identify its containing room and floor.</x:v>
      </x:c>
      <x:c r="N282" s="6" t="str">
        <x:v>{"asset_id":"resplan-6565-A00007","space_id":"resplan-6565-F0-S002","space_name":"Bedroom 0.02","floor_level":0,"position":[1.208,5.647]}</x:v>
      </x:c>
      <x:c r="O282" s="6"/>
      <x:c r="P282" s="6" t="str">
        <x:v>Resolve the intended asset and its containing room/floor.</x:v>
      </x:c>
      <x:c r="Q282" s="15"/>
      <x:c r="R282" s="6"/>
      <x:c r="S282" s="16"/>
      <x:c r="T282" s="15"/>
      <x:c r="U282" s="6"/>
      <x:c r="V282" s="6"/>
      <x:c r="W282" s="6" t="str">
        <x:v>Existing search_building. Improve disambiguation and complete result pagination.</x:v>
      </x:c>
      <x:c r="X282" s="6" t="str">
        <x:v>data/train/resplan-6565/questions_basic.jsonl</x:v>
      </x:c>
      <x:c r="Y282" s="14" t="n">
        <x:v>3</x:v>
      </x:c>
      <x:c r="Z282" s="6" t="str">
        <x:v>https://github.com/hagenhaeussler/Industrial-Agents-Hackathon-2026/blob/f41616590b69f3ea0c1cbfb41d6c35edd9ce53df/data/train/resplan-6565/questions_basic.jsonl#L3</x:v>
      </x:c>
      <x:c r="AA282" s="6" t="str">
        <x:v>resplan</x:v>
      </x:c>
      <x:c r="AB282" s="6" t="str">
        <x:v>CC-BY-4.0</x:v>
      </x:c>
    </x:row>
    <x:row r="283" ht="72" customHeight="1">
      <x:c r="A283" s="14" t="n">
        <x:v>278</x:v>
      </x:c>
      <x:c r="B283" s="6" t="str">
        <x:v>locate</x:v>
      </x:c>
      <x:c r="C283" s="6" t="str">
        <x:v>Where is the coffee machine?</x:v>
      </x:c>
      <x:c r="D283" s="6" t="str">
        <x:v>Kitchen 0.08
Floor level: 0
Asset ID: resplan-666-A00029
Position (m): 7.561, 8.308</x:v>
      </x:c>
      <x:c r="E283" s="6" t="str">
        <x:v>Reference supplied</x:v>
      </x:c>
      <x:c r="F283" s="6" t="str">
        <x:v>train</x:v>
      </x:c>
      <x:c r="G283" s="6" t="str">
        <x:v>resplan-666</x:v>
      </x:c>
      <x:c r="H283" s="6" t="str">
        <x:v>resplan-666-Q01</x:v>
      </x:c>
      <x:c r="I283" s="6" t="str">
        <x:v>Find and count assets</x:v>
      </x:c>
      <x:c r="J283" s="6" t="str">
        <x:v>Warm-up</x:v>
      </x:c>
      <x:c r="K283" s="6" t="str">
        <x:v>Room name, floor and asset identity. Coordinates may help the UI.</x:v>
      </x:c>
      <x:c r="L283" s="6" t="str">
        <x:v>T02, T03</x:v>
      </x:c>
      <x:c r="M283" s="6" t="str">
        <x:v>Find a named item and identify its containing room and floor.</x:v>
      </x:c>
      <x:c r="N283" s="6" t="str">
        <x:v>{"asset_id":"resplan-666-A00029","space_id":"resplan-666-F0-S008","space_name":"Kitchen 0.08","floor_level":0,"position":[7.561,8.308]}</x:v>
      </x:c>
      <x:c r="O283" s="6"/>
      <x:c r="P283" s="6" t="str">
        <x:v>Resolve the intended asset and its containing room/floor.</x:v>
      </x:c>
      <x:c r="Q283" s="15"/>
      <x:c r="R283" s="6"/>
      <x:c r="S283" s="16"/>
      <x:c r="T283" s="15"/>
      <x:c r="U283" s="6"/>
      <x:c r="V283" s="6"/>
      <x:c r="W283" s="6" t="str">
        <x:v>Existing search_building. Improve disambiguation and complete result pagination.</x:v>
      </x:c>
      <x:c r="X283" s="6" t="str">
        <x:v>data/train/resplan-666/questions_basic.jsonl</x:v>
      </x:c>
      <x:c r="Y283" s="14" t="n">
        <x:v>1</x:v>
      </x:c>
      <x:c r="Z283" s="6" t="str">
        <x:v>https://github.com/hagenhaeussler/Industrial-Agents-Hackathon-2026/blob/f41616590b69f3ea0c1cbfb41d6c35edd9ce53df/data/train/resplan-666/questions_basic.jsonl#L1</x:v>
      </x:c>
      <x:c r="AA283" s="6" t="str">
        <x:v>resplan</x:v>
      </x:c>
      <x:c r="AB283" s="6" t="str">
        <x:v>CC-BY-4.0</x:v>
      </x:c>
    </x:row>
    <x:row r="284" ht="72" customHeight="1">
      <x:c r="A284" s="14" t="n">
        <x:v>279</x:v>
      </x:c>
      <x:c r="B284" s="6" t="str">
        <x:v>locate</x:v>
      </x:c>
      <x:c r="C284" s="6" t="str">
        <x:v>Where is the dishwasher?</x:v>
      </x:c>
      <x:c r="D284" s="6" t="str">
        <x:v>Kitchen 0.08
Floor level: 0
Asset ID: resplan-666-A00028
Position (m): 4.504, 7.422</x:v>
      </x:c>
      <x:c r="E284" s="6" t="str">
        <x:v>Reference supplied</x:v>
      </x:c>
      <x:c r="F284" s="6" t="str">
        <x:v>train</x:v>
      </x:c>
      <x:c r="G284" s="6" t="str">
        <x:v>resplan-666</x:v>
      </x:c>
      <x:c r="H284" s="6" t="str">
        <x:v>resplan-666-Q02</x:v>
      </x:c>
      <x:c r="I284" s="6" t="str">
        <x:v>Find and count assets</x:v>
      </x:c>
      <x:c r="J284" s="6" t="str">
        <x:v>Warm-up</x:v>
      </x:c>
      <x:c r="K284" s="6" t="str">
        <x:v>Room name, floor and asset identity. Coordinates may help the UI.</x:v>
      </x:c>
      <x:c r="L284" s="6" t="str">
        <x:v>T02, T03</x:v>
      </x:c>
      <x:c r="M284" s="6" t="str">
        <x:v>Find a named item and identify its containing room and floor.</x:v>
      </x:c>
      <x:c r="N284" s="6" t="str">
        <x:v>{"asset_id":"resplan-666-A00028","space_id":"resplan-666-F0-S008","space_name":"Kitchen 0.08","floor_level":0,"position":[4.504,7.422]}</x:v>
      </x:c>
      <x:c r="O284" s="6"/>
      <x:c r="P284" s="6" t="str">
        <x:v>Resolve the intended asset and its containing room/floor.</x:v>
      </x:c>
      <x:c r="Q284" s="15"/>
      <x:c r="R284" s="6"/>
      <x:c r="S284" s="16"/>
      <x:c r="T284" s="15"/>
      <x:c r="U284" s="6"/>
      <x:c r="V284" s="6"/>
      <x:c r="W284" s="6" t="str">
        <x:v>Existing search_building. Improve disambiguation and complete result pagination.</x:v>
      </x:c>
      <x:c r="X284" s="6" t="str">
        <x:v>data/train/resplan-666/questions_basic.jsonl</x:v>
      </x:c>
      <x:c r="Y284" s="14" t="n">
        <x:v>2</x:v>
      </x:c>
      <x:c r="Z284" s="6" t="str">
        <x:v>https://github.com/hagenhaeussler/Industrial-Agents-Hackathon-2026/blob/f41616590b69f3ea0c1cbfb41d6c35edd9ce53df/data/train/resplan-666/questions_basic.jsonl#L2</x:v>
      </x:c>
      <x:c r="AA284" s="6" t="str">
        <x:v>resplan</x:v>
      </x:c>
      <x:c r="AB284" s="6" t="str">
        <x:v>CC-BY-4.0</x:v>
      </x:c>
    </x:row>
    <x:row r="285" ht="72" customHeight="1">
      <x:c r="A285" s="14" t="n">
        <x:v>280</x:v>
      </x:c>
      <x:c r="B285" s="6" t="str">
        <x:v>locate</x:v>
      </x:c>
      <x:c r="C285" s="6" t="str">
        <x:v>Where is the fridge?</x:v>
      </x:c>
      <x:c r="D285" s="6" t="str">
        <x:v>Kitchen 0.08
Floor level: 0
Asset ID: resplan-666-A00026
Position (m): 4.888, 8.131</x:v>
      </x:c>
      <x:c r="E285" s="6" t="str">
        <x:v>Reference supplied</x:v>
      </x:c>
      <x:c r="F285" s="6" t="str">
        <x:v>train</x:v>
      </x:c>
      <x:c r="G285" s="6" t="str">
        <x:v>resplan-666</x:v>
      </x:c>
      <x:c r="H285" s="6" t="str">
        <x:v>resplan-666-Q03</x:v>
      </x:c>
      <x:c r="I285" s="6" t="str">
        <x:v>Find and count assets</x:v>
      </x:c>
      <x:c r="J285" s="6" t="str">
        <x:v>Warm-up</x:v>
      </x:c>
      <x:c r="K285" s="6" t="str">
        <x:v>Room name, floor and asset identity. Coordinates may help the UI.</x:v>
      </x:c>
      <x:c r="L285" s="6" t="str">
        <x:v>T02, T03</x:v>
      </x:c>
      <x:c r="M285" s="6" t="str">
        <x:v>Find a named item and identify its containing room and floor.</x:v>
      </x:c>
      <x:c r="N285" s="6" t="str">
        <x:v>{"asset_id":"resplan-666-A00026","space_id":"resplan-666-F0-S008","space_name":"Kitchen 0.08","floor_level":0,"position":[4.888,8.131]}</x:v>
      </x:c>
      <x:c r="O285" s="6"/>
      <x:c r="P285" s="6" t="str">
        <x:v>Resolve the intended asset and its containing room/floor.</x:v>
      </x:c>
      <x:c r="Q285" s="15"/>
      <x:c r="R285" s="6"/>
      <x:c r="S285" s="16"/>
      <x:c r="T285" s="15"/>
      <x:c r="U285" s="6"/>
      <x:c r="V285" s="6"/>
      <x:c r="W285" s="6" t="str">
        <x:v>Existing search_building. Improve disambiguation and complete result pagination.</x:v>
      </x:c>
      <x:c r="X285" s="6" t="str">
        <x:v>data/train/resplan-666/questions_basic.jsonl</x:v>
      </x:c>
      <x:c r="Y285" s="14" t="n">
        <x:v>3</x:v>
      </x:c>
      <x:c r="Z285" s="6" t="str">
        <x:v>https://github.com/hagenhaeussler/Industrial-Agents-Hackathon-2026/blob/f41616590b69f3ea0c1cbfb41d6c35edd9ce53df/data/train/resplan-666/questions_basic.jsonl#L3</x:v>
      </x:c>
      <x:c r="AA285" s="6" t="str">
        <x:v>resplan</x:v>
      </x:c>
      <x:c r="AB285" s="6" t="str">
        <x:v>CC-BY-4.0</x:v>
      </x:c>
    </x:row>
    <x:row r="286" ht="72" customHeight="1">
      <x:c r="A286" s="14" t="n">
        <x:v>281</x:v>
      </x:c>
      <x:c r="B286" s="6" t="str">
        <x:v>locate</x:v>
      </x:c>
      <x:c r="C286" s="6" t="str">
        <x:v>Where is the tv stand?</x:v>
      </x:c>
      <x:c r="D286" s="6" t="str">
        <x:v>Living room 0.01
Floor level: 0
Asset ID: resplan-6994-A00003
Position (m): 9.023, 8.418</x:v>
      </x:c>
      <x:c r="E286" s="6" t="str">
        <x:v>Reference supplied</x:v>
      </x:c>
      <x:c r="F286" s="6" t="str">
        <x:v>train</x:v>
      </x:c>
      <x:c r="G286" s="6" t="str">
        <x:v>resplan-6994</x:v>
      </x:c>
      <x:c r="H286" s="6" t="str">
        <x:v>resplan-6994-Q01</x:v>
      </x:c>
      <x:c r="I286" s="6" t="str">
        <x:v>Find and count assets</x:v>
      </x:c>
      <x:c r="J286" s="6" t="str">
        <x:v>Warm-up</x:v>
      </x:c>
      <x:c r="K286" s="6" t="str">
        <x:v>Room name, floor and asset identity. Coordinates may help the UI.</x:v>
      </x:c>
      <x:c r="L286" s="6" t="str">
        <x:v>T02, T03</x:v>
      </x:c>
      <x:c r="M286" s="6" t="str">
        <x:v>Find a named item and identify its containing room and floor.</x:v>
      </x:c>
      <x:c r="N286" s="6" t="str">
        <x:v>{"asset_id":"resplan-6994-A00003","space_id":"resplan-6994-F0-S001","space_name":"Living room 0.01","floor_level":0,"position":[9.023,8.418]}</x:v>
      </x:c>
      <x:c r="O286" s="6"/>
      <x:c r="P286" s="6" t="str">
        <x:v>Resolve the intended asset and its containing room/floor.</x:v>
      </x:c>
      <x:c r="Q286" s="15"/>
      <x:c r="R286" s="6"/>
      <x:c r="S286" s="16"/>
      <x:c r="T286" s="15"/>
      <x:c r="U286" s="6"/>
      <x:c r="V286" s="6"/>
      <x:c r="W286" s="6" t="str">
        <x:v>Existing search_building. Improve disambiguation and complete result pagination.</x:v>
      </x:c>
      <x:c r="X286" s="6" t="str">
        <x:v>data/train/resplan-6994/questions_basic.jsonl</x:v>
      </x:c>
      <x:c r="Y286" s="14" t="n">
        <x:v>1</x:v>
      </x:c>
      <x:c r="Z286" s="6" t="str">
        <x:v>https://github.com/hagenhaeussler/Industrial-Agents-Hackathon-2026/blob/f41616590b69f3ea0c1cbfb41d6c35edd9ce53df/data/train/resplan-6994/questions_basic.jsonl#L1</x:v>
      </x:c>
      <x:c r="AA286" s="6" t="str">
        <x:v>resplan</x:v>
      </x:c>
      <x:c r="AB286" s="6" t="str">
        <x:v>CC-BY-4.0</x:v>
      </x:c>
    </x:row>
    <x:row r="287" ht="72" customHeight="1">
      <x:c r="A287" s="14" t="n">
        <x:v>282</x:v>
      </x:c>
      <x:c r="B287" s="6" t="str">
        <x:v>locate</x:v>
      </x:c>
      <x:c r="C287" s="6" t="str">
        <x:v>Where is the sofa?</x:v>
      </x:c>
      <x:c r="D287" s="6" t="str">
        <x:v>Living room 0.01
Floor level: 0
Asset ID: resplan-6994-A00001
Position (m): 4.676, 9.956</x:v>
      </x:c>
      <x:c r="E287" s="6" t="str">
        <x:v>Reference supplied</x:v>
      </x:c>
      <x:c r="F287" s="6" t="str">
        <x:v>train</x:v>
      </x:c>
      <x:c r="G287" s="6" t="str">
        <x:v>resplan-6994</x:v>
      </x:c>
      <x:c r="H287" s="6" t="str">
        <x:v>resplan-6994-Q02</x:v>
      </x:c>
      <x:c r="I287" s="6" t="str">
        <x:v>Find and count assets</x:v>
      </x:c>
      <x:c r="J287" s="6" t="str">
        <x:v>Warm-up</x:v>
      </x:c>
      <x:c r="K287" s="6" t="str">
        <x:v>Room name, floor and asset identity. Coordinates may help the UI.</x:v>
      </x:c>
      <x:c r="L287" s="6" t="str">
        <x:v>T02, T03</x:v>
      </x:c>
      <x:c r="M287" s="6" t="str">
        <x:v>Find a named item and identify its containing room and floor.</x:v>
      </x:c>
      <x:c r="N287" s="6" t="str">
        <x:v>{"asset_id":"resplan-6994-A00001","space_id":"resplan-6994-F0-S001","space_name":"Living room 0.01","floor_level":0,"position":[4.676,9.956]}</x:v>
      </x:c>
      <x:c r="O287" s="6"/>
      <x:c r="P287" s="6" t="str">
        <x:v>Resolve the intended asset and its containing room/floor.</x:v>
      </x:c>
      <x:c r="Q287" s="15"/>
      <x:c r="R287" s="6"/>
      <x:c r="S287" s="16"/>
      <x:c r="T287" s="15"/>
      <x:c r="U287" s="6"/>
      <x:c r="V287" s="6"/>
      <x:c r="W287" s="6" t="str">
        <x:v>Existing search_building. Improve disambiguation and complete result pagination.</x:v>
      </x:c>
      <x:c r="X287" s="6" t="str">
        <x:v>data/train/resplan-6994/questions_basic.jsonl</x:v>
      </x:c>
      <x:c r="Y287" s="14" t="n">
        <x:v>2</x:v>
      </x:c>
      <x:c r="Z287" s="6" t="str">
        <x:v>https://github.com/hagenhaeussler/Industrial-Agents-Hackathon-2026/blob/f41616590b69f3ea0c1cbfb41d6c35edd9ce53df/data/train/resplan-6994/questions_basic.jsonl#L2</x:v>
      </x:c>
      <x:c r="AA287" s="6" t="str">
        <x:v>resplan</x:v>
      </x:c>
      <x:c r="AB287" s="6" t="str">
        <x:v>CC-BY-4.0</x:v>
      </x:c>
    </x:row>
    <x:row r="288" ht="72" customHeight="1">
      <x:c r="A288" s="14" t="n">
        <x:v>283</x:v>
      </x:c>
      <x:c r="B288" s="6" t="str">
        <x:v>locate</x:v>
      </x:c>
      <x:c r="C288" s="6" t="str">
        <x:v>Where is the fridge?</x:v>
      </x:c>
      <x:c r="D288" s="6" t="str">
        <x:v>Kitchen 0.08
Floor level: 0
Asset ID: resplan-6994-A00025
Position (m): 11.352, 6.054</x:v>
      </x:c>
      <x:c r="E288" s="6" t="str">
        <x:v>Reference supplied</x:v>
      </x:c>
      <x:c r="F288" s="6" t="str">
        <x:v>train</x:v>
      </x:c>
      <x:c r="G288" s="6" t="str">
        <x:v>resplan-6994</x:v>
      </x:c>
      <x:c r="H288" s="6" t="str">
        <x:v>resplan-6994-Q03</x:v>
      </x:c>
      <x:c r="I288" s="6" t="str">
        <x:v>Find and count assets</x:v>
      </x:c>
      <x:c r="J288" s="6" t="str">
        <x:v>Warm-up</x:v>
      </x:c>
      <x:c r="K288" s="6" t="str">
        <x:v>Room name, floor and asset identity. Coordinates may help the UI.</x:v>
      </x:c>
      <x:c r="L288" s="6" t="str">
        <x:v>T02, T03</x:v>
      </x:c>
      <x:c r="M288" s="6" t="str">
        <x:v>Find a named item and identify its containing room and floor.</x:v>
      </x:c>
      <x:c r="N288" s="6" t="str">
        <x:v>{"asset_id":"resplan-6994-A00025","space_id":"resplan-6994-F0-S008","space_name":"Kitchen 0.08","floor_level":0,"position":[11.352,6.054]}</x:v>
      </x:c>
      <x:c r="O288" s="6"/>
      <x:c r="P288" s="6" t="str">
        <x:v>Resolve the intended asset and its containing room/floor.</x:v>
      </x:c>
      <x:c r="Q288" s="15"/>
      <x:c r="R288" s="6"/>
      <x:c r="S288" s="16"/>
      <x:c r="T288" s="15"/>
      <x:c r="U288" s="6"/>
      <x:c r="V288" s="6"/>
      <x:c r="W288" s="6" t="str">
        <x:v>Existing search_building. Improve disambiguation and complete result pagination.</x:v>
      </x:c>
      <x:c r="X288" s="6" t="str">
        <x:v>data/train/resplan-6994/questions_basic.jsonl</x:v>
      </x:c>
      <x:c r="Y288" s="14" t="n">
        <x:v>3</x:v>
      </x:c>
      <x:c r="Z288" s="6" t="str">
        <x:v>https://github.com/hagenhaeussler/Industrial-Agents-Hackathon-2026/blob/f41616590b69f3ea0c1cbfb41d6c35edd9ce53df/data/train/resplan-6994/questions_basic.jsonl#L3</x:v>
      </x:c>
      <x:c r="AA288" s="6" t="str">
        <x:v>resplan</x:v>
      </x:c>
      <x:c r="AB288" s="6" t="str">
        <x:v>CC-BY-4.0</x:v>
      </x:c>
    </x:row>
    <x:row r="289" ht="72" customHeight="1">
      <x:c r="A289" s="14" t="n">
        <x:v>284</x:v>
      </x:c>
      <x:c r="B289" s="6" t="str">
        <x:v>locate</x:v>
      </x:c>
      <x:c r="C289" s="6" t="str">
        <x:v>Where is the microwave?</x:v>
      </x:c>
      <x:c r="D289" s="6" t="str">
        <x:v>Kitchen 0.06
Floor level: 0
Asset ID: resplan-7151-A00027
Position (m): 6.537, 1.009</x:v>
      </x:c>
      <x:c r="E289" s="6" t="str">
        <x:v>Reference supplied</x:v>
      </x:c>
      <x:c r="F289" s="6" t="str">
        <x:v>train</x:v>
      </x:c>
      <x:c r="G289" s="6" t="str">
        <x:v>resplan-7151</x:v>
      </x:c>
      <x:c r="H289" s="6" t="str">
        <x:v>resplan-7151-Q01</x:v>
      </x:c>
      <x:c r="I289" s="6" t="str">
        <x:v>Find and count assets</x:v>
      </x:c>
      <x:c r="J289" s="6" t="str">
        <x:v>Warm-up</x:v>
      </x:c>
      <x:c r="K289" s="6" t="str">
        <x:v>Room name, floor and asset identity. Coordinates may help the UI.</x:v>
      </x:c>
      <x:c r="L289" s="6" t="str">
        <x:v>T02, T03</x:v>
      </x:c>
      <x:c r="M289" s="6" t="str">
        <x:v>Find a named item and identify its containing room and floor.</x:v>
      </x:c>
      <x:c r="N289" s="6" t="str">
        <x:v>{"asset_id":"resplan-7151-A00027","space_id":"resplan-7151-F0-S006","space_name":"Kitchen 0.06","floor_level":0,"position":[6.537,1.009]}</x:v>
      </x:c>
      <x:c r="O289" s="6"/>
      <x:c r="P289" s="6" t="str">
        <x:v>Resolve the intended asset and its containing room/floor.</x:v>
      </x:c>
      <x:c r="Q289" s="15"/>
      <x:c r="R289" s="6"/>
      <x:c r="S289" s="16"/>
      <x:c r="T289" s="15"/>
      <x:c r="U289" s="6"/>
      <x:c r="V289" s="6"/>
      <x:c r="W289" s="6" t="str">
        <x:v>Existing search_building. Improve disambiguation and complete result pagination.</x:v>
      </x:c>
      <x:c r="X289" s="6" t="str">
        <x:v>data/train/resplan-7151/questions_basic.jsonl</x:v>
      </x:c>
      <x:c r="Y289" s="14" t="n">
        <x:v>1</x:v>
      </x:c>
      <x:c r="Z289" s="6" t="str">
        <x:v>https://github.com/hagenhaeussler/Industrial-Agents-Hackathon-2026/blob/f41616590b69f3ea0c1cbfb41d6c35edd9ce53df/data/train/resplan-7151/questions_basic.jsonl#L1</x:v>
      </x:c>
      <x:c r="AA289" s="6" t="str">
        <x:v>resplan</x:v>
      </x:c>
      <x:c r="AB289" s="6" t="str">
        <x:v>CC-BY-4.0</x:v>
      </x:c>
    </x:row>
    <x:row r="290" ht="72" customHeight="1">
      <x:c r="A290" s="14" t="n">
        <x:v>285</x:v>
      </x:c>
      <x:c r="B290" s="6" t="str">
        <x:v>locate</x:v>
      </x:c>
      <x:c r="C290" s="6" t="str">
        <x:v>Where is the kitchen counter?</x:v>
      </x:c>
      <x:c r="D290" s="6" t="str">
        <x:v>Kitchen 0.06
Floor level: 0
Asset ID: resplan-7151-A00023
Position (m): 7.217, 2.504</x:v>
      </x:c>
      <x:c r="E290" s="6" t="str">
        <x:v>Reference supplied</x:v>
      </x:c>
      <x:c r="F290" s="6" t="str">
        <x:v>train</x:v>
      </x:c>
      <x:c r="G290" s="6" t="str">
        <x:v>resplan-7151</x:v>
      </x:c>
      <x:c r="H290" s="6" t="str">
        <x:v>resplan-7151-Q02</x:v>
      </x:c>
      <x:c r="I290" s="6" t="str">
        <x:v>Find and count assets</x:v>
      </x:c>
      <x:c r="J290" s="6" t="str">
        <x:v>Warm-up</x:v>
      </x:c>
      <x:c r="K290" s="6" t="str">
        <x:v>Room name, floor and asset identity. Coordinates may help the UI.</x:v>
      </x:c>
      <x:c r="L290" s="6" t="str">
        <x:v>T02, T03</x:v>
      </x:c>
      <x:c r="M290" s="6" t="str">
        <x:v>Find a named item and identify its containing room and floor.</x:v>
      </x:c>
      <x:c r="N290" s="6" t="str">
        <x:v>{"asset_id":"resplan-7151-A00023","space_id":"resplan-7151-F0-S006","space_name":"Kitchen 0.06","floor_level":0,"position":[7.217,2.504]}</x:v>
      </x:c>
      <x:c r="O290" s="6"/>
      <x:c r="P290" s="6" t="str">
        <x:v>Resolve the intended asset and its containing room/floor.</x:v>
      </x:c>
      <x:c r="Q290" s="15"/>
      <x:c r="R290" s="6"/>
      <x:c r="S290" s="16"/>
      <x:c r="T290" s="15"/>
      <x:c r="U290" s="6"/>
      <x:c r="V290" s="6"/>
      <x:c r="W290" s="6" t="str">
        <x:v>Existing search_building. Improve disambiguation and complete result pagination.</x:v>
      </x:c>
      <x:c r="X290" s="6" t="str">
        <x:v>data/train/resplan-7151/questions_basic.jsonl</x:v>
      </x:c>
      <x:c r="Y290" s="14" t="n">
        <x:v>2</x:v>
      </x:c>
      <x:c r="Z290" s="6" t="str">
        <x:v>https://github.com/hagenhaeussler/Industrial-Agents-Hackathon-2026/blob/f41616590b69f3ea0c1cbfb41d6c35edd9ce53df/data/train/resplan-7151/questions_basic.jsonl#L2</x:v>
      </x:c>
      <x:c r="AA290" s="6" t="str">
        <x:v>resplan</x:v>
      </x:c>
      <x:c r="AB290" s="6" t="str">
        <x:v>CC-BY-4.0</x:v>
      </x:c>
    </x:row>
    <x:row r="291" ht="72" customHeight="1">
      <x:c r="A291" s="14" t="n">
        <x:v>286</x:v>
      </x:c>
      <x:c r="B291" s="6" t="str">
        <x:v>locate</x:v>
      </x:c>
      <x:c r="C291" s="6" t="str">
        <x:v>Where is the armchair?</x:v>
      </x:c>
      <x:c r="D291" s="6" t="str">
        <x:v>Living room 0.01
Floor level: 0
Asset ID: resplan-7151-A00009
Position (m): 3.566, 5.866</x:v>
      </x:c>
      <x:c r="E291" s="6" t="str">
        <x:v>Reference supplied</x:v>
      </x:c>
      <x:c r="F291" s="6" t="str">
        <x:v>train</x:v>
      </x:c>
      <x:c r="G291" s="6" t="str">
        <x:v>resplan-7151</x:v>
      </x:c>
      <x:c r="H291" s="6" t="str">
        <x:v>resplan-7151-Q03</x:v>
      </x:c>
      <x:c r="I291" s="6" t="str">
        <x:v>Find and count assets</x:v>
      </x:c>
      <x:c r="J291" s="6" t="str">
        <x:v>Warm-up</x:v>
      </x:c>
      <x:c r="K291" s="6" t="str">
        <x:v>Room name, floor and asset identity. Coordinates may help the UI.</x:v>
      </x:c>
      <x:c r="L291" s="6" t="str">
        <x:v>T02, T03</x:v>
      </x:c>
      <x:c r="M291" s="6" t="str">
        <x:v>Find a named item and identify its containing room and floor.</x:v>
      </x:c>
      <x:c r="N291" s="6" t="str">
        <x:v>{"asset_id":"resplan-7151-A00009","space_id":"resplan-7151-F0-S001","space_name":"Living room 0.01","floor_level":0,"position":[3.566,5.866]}</x:v>
      </x:c>
      <x:c r="O291" s="6"/>
      <x:c r="P291" s="6" t="str">
        <x:v>Resolve the intended asset and its containing room/floor.</x:v>
      </x:c>
      <x:c r="Q291" s="15"/>
      <x:c r="R291" s="6"/>
      <x:c r="S291" s="16"/>
      <x:c r="T291" s="15"/>
      <x:c r="U291" s="6"/>
      <x:c r="V291" s="6"/>
      <x:c r="W291" s="6" t="str">
        <x:v>Existing search_building. Improve disambiguation and complete result pagination.</x:v>
      </x:c>
      <x:c r="X291" s="6" t="str">
        <x:v>data/train/resplan-7151/questions_basic.jsonl</x:v>
      </x:c>
      <x:c r="Y291" s="14" t="n">
        <x:v>3</x:v>
      </x:c>
      <x:c r="Z291" s="6" t="str">
        <x:v>https://github.com/hagenhaeussler/Industrial-Agents-Hackathon-2026/blob/f41616590b69f3ea0c1cbfb41d6c35edd9ce53df/data/train/resplan-7151/questions_basic.jsonl#L3</x:v>
      </x:c>
      <x:c r="AA291" s="6" t="str">
        <x:v>resplan</x:v>
      </x:c>
      <x:c r="AB291" s="6" t="str">
        <x:v>CC-BY-4.0</x:v>
      </x:c>
    </x:row>
    <x:row r="292" ht="72" customHeight="1">
      <x:c r="A292" s="14" t="n">
        <x:v>287</x:v>
      </x:c>
      <x:c r="B292" s="6" t="str">
        <x:v>locate</x:v>
      </x:c>
      <x:c r="C292" s="6" t="str">
        <x:v>Where is the stove?</x:v>
      </x:c>
      <x:c r="D292" s="6" t="str">
        <x:v>Kitchen 0.06
Floor level: 0
Asset ID: resplan-7471-A00020
Position (m): 13.325, 5.091</x:v>
      </x:c>
      <x:c r="E292" s="6" t="str">
        <x:v>Reference supplied</x:v>
      </x:c>
      <x:c r="F292" s="6" t="str">
        <x:v>train</x:v>
      </x:c>
      <x:c r="G292" s="6" t="str">
        <x:v>resplan-7471</x:v>
      </x:c>
      <x:c r="H292" s="6" t="str">
        <x:v>resplan-7471-Q01</x:v>
      </x:c>
      <x:c r="I292" s="6" t="str">
        <x:v>Find and count assets</x:v>
      </x:c>
      <x:c r="J292" s="6" t="str">
        <x:v>Warm-up</x:v>
      </x:c>
      <x:c r="K292" s="6" t="str">
        <x:v>Room name, floor and asset identity. Coordinates may help the UI.</x:v>
      </x:c>
      <x:c r="L292" s="6" t="str">
        <x:v>T02, T03</x:v>
      </x:c>
      <x:c r="M292" s="6" t="str">
        <x:v>Find a named item and identify its containing room and floor.</x:v>
      </x:c>
      <x:c r="N292" s="6" t="str">
        <x:v>{"asset_id":"resplan-7471-A00020","space_id":"resplan-7471-F0-S006","space_name":"Kitchen 0.06","floor_level":0,"position":[13.325,5.091]}</x:v>
      </x:c>
      <x:c r="O292" s="6"/>
      <x:c r="P292" s="6" t="str">
        <x:v>Resolve the intended asset and its containing room/floor.</x:v>
      </x:c>
      <x:c r="Q292" s="15"/>
      <x:c r="R292" s="6"/>
      <x:c r="S292" s="16"/>
      <x:c r="T292" s="15"/>
      <x:c r="U292" s="6"/>
      <x:c r="V292" s="6"/>
      <x:c r="W292" s="6" t="str">
        <x:v>Existing search_building. Improve disambiguation and complete result pagination.</x:v>
      </x:c>
      <x:c r="X292" s="6" t="str">
        <x:v>data/train/resplan-7471/questions_basic.jsonl</x:v>
      </x:c>
      <x:c r="Y292" s="14" t="n">
        <x:v>1</x:v>
      </x:c>
      <x:c r="Z292" s="6" t="str">
        <x:v>https://github.com/hagenhaeussler/Industrial-Agents-Hackathon-2026/blob/f41616590b69f3ea0c1cbfb41d6c35edd9ce53df/data/train/resplan-7471/questions_basic.jsonl#L1</x:v>
      </x:c>
      <x:c r="AA292" s="6" t="str">
        <x:v>resplan</x:v>
      </x:c>
      <x:c r="AB292" s="6" t="str">
        <x:v>CC-BY-4.0</x:v>
      </x:c>
    </x:row>
    <x:row r="293" ht="72" customHeight="1">
      <x:c r="A293" s="14" t="n">
        <x:v>288</x:v>
      </x:c>
      <x:c r="B293" s="6" t="str">
        <x:v>locate</x:v>
      </x:c>
      <x:c r="C293" s="6" t="str">
        <x:v>Where is the nightstand?</x:v>
      </x:c>
      <x:c r="D293" s="6" t="str">
        <x:v>Bedroom 0.03
Floor level: 0
Asset ID: resplan-7471-A00013
Position (m): 3.62, 10.412</x:v>
      </x:c>
      <x:c r="E293" s="6" t="str">
        <x:v>Reference supplied</x:v>
      </x:c>
      <x:c r="F293" s="6" t="str">
        <x:v>train</x:v>
      </x:c>
      <x:c r="G293" s="6" t="str">
        <x:v>resplan-7471</x:v>
      </x:c>
      <x:c r="H293" s="6" t="str">
        <x:v>resplan-7471-Q02</x:v>
      </x:c>
      <x:c r="I293" s="6" t="str">
        <x:v>Find and count assets</x:v>
      </x:c>
      <x:c r="J293" s="6" t="str">
        <x:v>Warm-up</x:v>
      </x:c>
      <x:c r="K293" s="6" t="str">
        <x:v>Room name, floor and asset identity. Coordinates may help the UI.</x:v>
      </x:c>
      <x:c r="L293" s="6" t="str">
        <x:v>T02, T03</x:v>
      </x:c>
      <x:c r="M293" s="6" t="str">
        <x:v>Find a named item and identify its containing room and floor.</x:v>
      </x:c>
      <x:c r="N293" s="6" t="str">
        <x:v>{"asset_id":"resplan-7471-A00013","space_id":"resplan-7471-F0-S003","space_name":"Bedroom 0.03","floor_level":0,"position":[3.62,10.412]}</x:v>
      </x:c>
      <x:c r="O293" s="6"/>
      <x:c r="P293" s="6" t="str">
        <x:v>Resolve the intended asset and its containing room/floor.</x:v>
      </x:c>
      <x:c r="Q293" s="15"/>
      <x:c r="R293" s="6"/>
      <x:c r="S293" s="16"/>
      <x:c r="T293" s="15"/>
      <x:c r="U293" s="6"/>
      <x:c r="V293" s="6"/>
      <x:c r="W293" s="6" t="str">
        <x:v>Existing search_building. Improve disambiguation and complete result pagination.</x:v>
      </x:c>
      <x:c r="X293" s="6" t="str">
        <x:v>data/train/resplan-7471/questions_basic.jsonl</x:v>
      </x:c>
      <x:c r="Y293" s="14" t="n">
        <x:v>2</x:v>
      </x:c>
      <x:c r="Z293" s="6" t="str">
        <x:v>https://github.com/hagenhaeussler/Industrial-Agents-Hackathon-2026/blob/f41616590b69f3ea0c1cbfb41d6c35edd9ce53df/data/train/resplan-7471/questions_basic.jsonl#L2</x:v>
      </x:c>
      <x:c r="AA293" s="6" t="str">
        <x:v>resplan</x:v>
      </x:c>
      <x:c r="AB293" s="6" t="str">
        <x:v>CC-BY-4.0</x:v>
      </x:c>
    </x:row>
    <x:row r="294" ht="72" customHeight="1">
      <x:c r="A294" s="14" t="n">
        <x:v>289</x:v>
      </x:c>
      <x:c r="B294" s="6" t="str">
        <x:v>locate</x:v>
      </x:c>
      <x:c r="C294" s="6" t="str">
        <x:v>Where is the coffee machine?</x:v>
      </x:c>
      <x:c r="D294" s="6" t="str">
        <x:v>Kitchen 0.06
Floor level: 0
Asset ID: resplan-7471-A00022
Position (m): 13.425, 4.334</x:v>
      </x:c>
      <x:c r="E294" s="6" t="str">
        <x:v>Reference supplied</x:v>
      </x:c>
      <x:c r="F294" s="6" t="str">
        <x:v>train</x:v>
      </x:c>
      <x:c r="G294" s="6" t="str">
        <x:v>resplan-7471</x:v>
      </x:c>
      <x:c r="H294" s="6" t="str">
        <x:v>resplan-7471-Q03</x:v>
      </x:c>
      <x:c r="I294" s="6" t="str">
        <x:v>Find and count assets</x:v>
      </x:c>
      <x:c r="J294" s="6" t="str">
        <x:v>Warm-up</x:v>
      </x:c>
      <x:c r="K294" s="6" t="str">
        <x:v>Room name, floor and asset identity. Coordinates may help the UI.</x:v>
      </x:c>
      <x:c r="L294" s="6" t="str">
        <x:v>T02, T03</x:v>
      </x:c>
      <x:c r="M294" s="6" t="str">
        <x:v>Find a named item and identify its containing room and floor.</x:v>
      </x:c>
      <x:c r="N294" s="6" t="str">
        <x:v>{"asset_id":"resplan-7471-A00022","space_id":"resplan-7471-F0-S006","space_name":"Kitchen 0.06","floor_level":0,"position":[13.425,4.334]}</x:v>
      </x:c>
      <x:c r="O294" s="6"/>
      <x:c r="P294" s="6" t="str">
        <x:v>Resolve the intended asset and its containing room/floor.</x:v>
      </x:c>
      <x:c r="Q294" s="15"/>
      <x:c r="R294" s="6"/>
      <x:c r="S294" s="16"/>
      <x:c r="T294" s="15"/>
      <x:c r="U294" s="6"/>
      <x:c r="V294" s="6"/>
      <x:c r="W294" s="6" t="str">
        <x:v>Existing search_building. Improve disambiguation and complete result pagination.</x:v>
      </x:c>
      <x:c r="X294" s="6" t="str">
        <x:v>data/train/resplan-7471/questions_basic.jsonl</x:v>
      </x:c>
      <x:c r="Y294" s="14" t="n">
        <x:v>3</x:v>
      </x:c>
      <x:c r="Z294" s="6" t="str">
        <x:v>https://github.com/hagenhaeussler/Industrial-Agents-Hackathon-2026/blob/f41616590b69f3ea0c1cbfb41d6c35edd9ce53df/data/train/resplan-7471/questions_basic.jsonl#L3</x:v>
      </x:c>
      <x:c r="AA294" s="6" t="str">
        <x:v>resplan</x:v>
      </x:c>
      <x:c r="AB294" s="6" t="str">
        <x:v>CC-BY-4.0</x:v>
      </x:c>
    </x:row>
    <x:row r="295" ht="72" customHeight="1">
      <x:c r="A295" s="14" t="n">
        <x:v>290</x:v>
      </x:c>
      <x:c r="B295" s="6" t="str">
        <x:v>locate</x:v>
      </x:c>
      <x:c r="C295" s="6" t="str">
        <x:v>Where is the desk?</x:v>
      </x:c>
      <x:c r="D295" s="6" t="str">
        <x:v>Bedroom 0.02
Floor level: 0
Asset ID: resplan-7667-A00012
Position (m): 6.124, 6.864</x:v>
      </x:c>
      <x:c r="E295" s="6" t="str">
        <x:v>Reference supplied</x:v>
      </x:c>
      <x:c r="F295" s="6" t="str">
        <x:v>train</x:v>
      </x:c>
      <x:c r="G295" s="6" t="str">
        <x:v>resplan-7667</x:v>
      </x:c>
      <x:c r="H295" s="6" t="str">
        <x:v>resplan-7667-Q01</x:v>
      </x:c>
      <x:c r="I295" s="6" t="str">
        <x:v>Find and count assets</x:v>
      </x:c>
      <x:c r="J295" s="6" t="str">
        <x:v>Warm-up</x:v>
      </x:c>
      <x:c r="K295" s="6" t="str">
        <x:v>Room name, floor and asset identity. Coordinates may help the UI.</x:v>
      </x:c>
      <x:c r="L295" s="6" t="str">
        <x:v>T02, T03</x:v>
      </x:c>
      <x:c r="M295" s="6" t="str">
        <x:v>Find a named item and identify its containing room and floor.</x:v>
      </x:c>
      <x:c r="N295" s="6" t="str">
        <x:v>{"asset_id":"resplan-7667-A00012","space_id":"resplan-7667-F0-S002","space_name":"Bedroom 0.02","floor_level":0,"position":[6.124,6.864]}</x:v>
      </x:c>
      <x:c r="O295" s="6"/>
      <x:c r="P295" s="6" t="str">
        <x:v>Resolve the intended asset and its containing room/floor.</x:v>
      </x:c>
      <x:c r="Q295" s="15"/>
      <x:c r="R295" s="6"/>
      <x:c r="S295" s="16"/>
      <x:c r="T295" s="15"/>
      <x:c r="U295" s="6"/>
      <x:c r="V295" s="6"/>
      <x:c r="W295" s="6" t="str">
        <x:v>Existing search_building. Improve disambiguation and complete result pagination.</x:v>
      </x:c>
      <x:c r="X295" s="6" t="str">
        <x:v>data/train/resplan-7667/questions_basic.jsonl</x:v>
      </x:c>
      <x:c r="Y295" s="14" t="n">
        <x:v>1</x:v>
      </x:c>
      <x:c r="Z295" s="6" t="str">
        <x:v>https://github.com/hagenhaeussler/Industrial-Agents-Hackathon-2026/blob/f41616590b69f3ea0c1cbfb41d6c35edd9ce53df/data/train/resplan-7667/questions_basic.jsonl#L1</x:v>
      </x:c>
      <x:c r="AA295" s="6" t="str">
        <x:v>resplan</x:v>
      </x:c>
      <x:c r="AB295" s="6" t="str">
        <x:v>CC-BY-4.0</x:v>
      </x:c>
    </x:row>
    <x:row r="296" ht="72" customHeight="1">
      <x:c r="A296" s="14" t="n">
        <x:v>291</x:v>
      </x:c>
      <x:c r="B296" s="6" t="str">
        <x:v>locate</x:v>
      </x:c>
      <x:c r="C296" s="6" t="str">
        <x:v>Where is the kitchen counter?</x:v>
      </x:c>
      <x:c r="D296" s="6" t="str">
        <x:v>Kitchen 0.06
Floor level: 0
Asset ID: resplan-7667-A00020
Position (m): 8.383, 1.727</x:v>
      </x:c>
      <x:c r="E296" s="6" t="str">
        <x:v>Reference supplied</x:v>
      </x:c>
      <x:c r="F296" s="6" t="str">
        <x:v>train</x:v>
      </x:c>
      <x:c r="G296" s="6" t="str">
        <x:v>resplan-7667</x:v>
      </x:c>
      <x:c r="H296" s="6" t="str">
        <x:v>resplan-7667-Q02</x:v>
      </x:c>
      <x:c r="I296" s="6" t="str">
        <x:v>Find and count assets</x:v>
      </x:c>
      <x:c r="J296" s="6" t="str">
        <x:v>Warm-up</x:v>
      </x:c>
      <x:c r="K296" s="6" t="str">
        <x:v>Room name, floor and asset identity. Coordinates may help the UI.</x:v>
      </x:c>
      <x:c r="L296" s="6" t="str">
        <x:v>T02, T03</x:v>
      </x:c>
      <x:c r="M296" s="6" t="str">
        <x:v>Find a named item and identify its containing room and floor.</x:v>
      </x:c>
      <x:c r="N296" s="6" t="str">
        <x:v>{"asset_id":"resplan-7667-A00020","space_id":"resplan-7667-F0-S006","space_name":"Kitchen 0.06","floor_level":0,"position":[8.383,1.727]}</x:v>
      </x:c>
      <x:c r="O296" s="6"/>
      <x:c r="P296" s="6" t="str">
        <x:v>Resolve the intended asset and its containing room/floor.</x:v>
      </x:c>
      <x:c r="Q296" s="15"/>
      <x:c r="R296" s="6"/>
      <x:c r="S296" s="16"/>
      <x:c r="T296" s="15"/>
      <x:c r="U296" s="6"/>
      <x:c r="V296" s="6"/>
      <x:c r="W296" s="6" t="str">
        <x:v>Existing search_building. Improve disambiguation and complete result pagination.</x:v>
      </x:c>
      <x:c r="X296" s="6" t="str">
        <x:v>data/train/resplan-7667/questions_basic.jsonl</x:v>
      </x:c>
      <x:c r="Y296" s="14" t="n">
        <x:v>2</x:v>
      </x:c>
      <x:c r="Z296" s="6" t="str">
        <x:v>https://github.com/hagenhaeussler/Industrial-Agents-Hackathon-2026/blob/f41616590b69f3ea0c1cbfb41d6c35edd9ce53df/data/train/resplan-7667/questions_basic.jsonl#L2</x:v>
      </x:c>
      <x:c r="AA296" s="6" t="str">
        <x:v>resplan</x:v>
      </x:c>
      <x:c r="AB296" s="6" t="str">
        <x:v>CC-BY-4.0</x:v>
      </x:c>
    </x:row>
    <x:row r="297" ht="72" customHeight="1">
      <x:c r="A297" s="14" t="n">
        <x:v>292</x:v>
      </x:c>
      <x:c r="B297" s="6" t="str">
        <x:v>locate</x:v>
      </x:c>
      <x:c r="C297" s="6" t="str">
        <x:v>Where is the coffee table?</x:v>
      </x:c>
      <x:c r="D297" s="6" t="str">
        <x:v>Living room 0.01
Floor level: 0
Asset ID: resplan-7667-A00002
Position (m): 2.537, 1.51</x:v>
      </x:c>
      <x:c r="E297" s="6" t="str">
        <x:v>Reference supplied</x:v>
      </x:c>
      <x:c r="F297" s="6" t="str">
        <x:v>train</x:v>
      </x:c>
      <x:c r="G297" s="6" t="str">
        <x:v>resplan-7667</x:v>
      </x:c>
      <x:c r="H297" s="6" t="str">
        <x:v>resplan-7667-Q03</x:v>
      </x:c>
      <x:c r="I297" s="6" t="str">
        <x:v>Find and count assets</x:v>
      </x:c>
      <x:c r="J297" s="6" t="str">
        <x:v>Warm-up</x:v>
      </x:c>
      <x:c r="K297" s="6" t="str">
        <x:v>Room name, floor and asset identity. Coordinates may help the UI.</x:v>
      </x:c>
      <x:c r="L297" s="6" t="str">
        <x:v>T02, T03</x:v>
      </x:c>
      <x:c r="M297" s="6" t="str">
        <x:v>Find a named item and identify its containing room and floor.</x:v>
      </x:c>
      <x:c r="N297" s="6" t="str">
        <x:v>{"asset_id":"resplan-7667-A00002","space_id":"resplan-7667-F0-S001","space_name":"Living room 0.01","floor_level":0,"position":[2.537,1.51]}</x:v>
      </x:c>
      <x:c r="O297" s="6"/>
      <x:c r="P297" s="6" t="str">
        <x:v>Resolve the intended asset and its containing room/floor.</x:v>
      </x:c>
      <x:c r="Q297" s="15"/>
      <x:c r="R297" s="6"/>
      <x:c r="S297" s="16"/>
      <x:c r="T297" s="15"/>
      <x:c r="U297" s="6"/>
      <x:c r="V297" s="6"/>
      <x:c r="W297" s="6" t="str">
        <x:v>Existing search_building. Improve disambiguation and complete result pagination.</x:v>
      </x:c>
      <x:c r="X297" s="6" t="str">
        <x:v>data/train/resplan-7667/questions_basic.jsonl</x:v>
      </x:c>
      <x:c r="Y297" s="14" t="n">
        <x:v>3</x:v>
      </x:c>
      <x:c r="Z297" s="6" t="str">
        <x:v>https://github.com/hagenhaeussler/Industrial-Agents-Hackathon-2026/blob/f41616590b69f3ea0c1cbfb41d6c35edd9ce53df/data/train/resplan-7667/questions_basic.jsonl#L3</x:v>
      </x:c>
      <x:c r="AA297" s="6" t="str">
        <x:v>resplan</x:v>
      </x:c>
      <x:c r="AB297" s="6" t="str">
        <x:v>CC-BY-4.0</x:v>
      </x:c>
    </x:row>
    <x:row r="298" ht="72" customHeight="1">
      <x:c r="A298" s="14" t="n">
        <x:v>293</x:v>
      </x:c>
      <x:c r="B298" s="6" t="str">
        <x:v>locate</x:v>
      </x:c>
      <x:c r="C298" s="6" t="str">
        <x:v>Where is the stove?</x:v>
      </x:c>
      <x:c r="D298" s="6" t="str">
        <x:v>Kitchen 0.06
Floor level: 0
Asset ID: resplan-7709-A00025
Position (m): 7.406, 6.449</x:v>
      </x:c>
      <x:c r="E298" s="6" t="str">
        <x:v>Reference supplied</x:v>
      </x:c>
      <x:c r="F298" s="6" t="str">
        <x:v>train</x:v>
      </x:c>
      <x:c r="G298" s="6" t="str">
        <x:v>resplan-7709</x:v>
      </x:c>
      <x:c r="H298" s="6" t="str">
        <x:v>resplan-7709-Q01</x:v>
      </x:c>
      <x:c r="I298" s="6" t="str">
        <x:v>Find and count assets</x:v>
      </x:c>
      <x:c r="J298" s="6" t="str">
        <x:v>Warm-up</x:v>
      </x:c>
      <x:c r="K298" s="6" t="str">
        <x:v>Room name, floor and asset identity. Coordinates may help the UI.</x:v>
      </x:c>
      <x:c r="L298" s="6" t="str">
        <x:v>T02, T03</x:v>
      </x:c>
      <x:c r="M298" s="6" t="str">
        <x:v>Find a named item and identify its containing room and floor.</x:v>
      </x:c>
      <x:c r="N298" s="6" t="str">
        <x:v>{"asset_id":"resplan-7709-A00025","space_id":"resplan-7709-F0-S006","space_name":"Kitchen 0.06","floor_level":0,"position":[7.406,6.449]}</x:v>
      </x:c>
      <x:c r="O298" s="6"/>
      <x:c r="P298" s="6" t="str">
        <x:v>Resolve the intended asset and its containing room/floor.</x:v>
      </x:c>
      <x:c r="Q298" s="15"/>
      <x:c r="R298" s="6"/>
      <x:c r="S298" s="16"/>
      <x:c r="T298" s="15"/>
      <x:c r="U298" s="6"/>
      <x:c r="V298" s="6"/>
      <x:c r="W298" s="6" t="str">
        <x:v>Existing search_building. Improve disambiguation and complete result pagination.</x:v>
      </x:c>
      <x:c r="X298" s="6" t="str">
        <x:v>data/train/resplan-7709/questions_basic.jsonl</x:v>
      </x:c>
      <x:c r="Y298" s="14" t="n">
        <x:v>1</x:v>
      </x:c>
      <x:c r="Z298" s="6" t="str">
        <x:v>https://github.com/hagenhaeussler/Industrial-Agents-Hackathon-2026/blob/f41616590b69f3ea0c1cbfb41d6c35edd9ce53df/data/train/resplan-7709/questions_basic.jsonl#L1</x:v>
      </x:c>
      <x:c r="AA298" s="6" t="str">
        <x:v>resplan</x:v>
      </x:c>
      <x:c r="AB298" s="6" t="str">
        <x:v>CC-BY-4.0</x:v>
      </x:c>
    </x:row>
    <x:row r="299" ht="72" customHeight="1">
      <x:c r="A299" s="14" t="n">
        <x:v>294</x:v>
      </x:c>
      <x:c r="B299" s="6" t="str">
        <x:v>locate</x:v>
      </x:c>
      <x:c r="C299" s="6" t="str">
        <x:v>Where is the sofa?</x:v>
      </x:c>
      <x:c r="D299" s="6" t="str">
        <x:v>Living room 0.01
Floor level: 0
Asset ID: resplan-7709-A00001
Position (m): 8.007, 3.798</x:v>
      </x:c>
      <x:c r="E299" s="6" t="str">
        <x:v>Reference supplied</x:v>
      </x:c>
      <x:c r="F299" s="6" t="str">
        <x:v>train</x:v>
      </x:c>
      <x:c r="G299" s="6" t="str">
        <x:v>resplan-7709</x:v>
      </x:c>
      <x:c r="H299" s="6" t="str">
        <x:v>resplan-7709-Q02</x:v>
      </x:c>
      <x:c r="I299" s="6" t="str">
        <x:v>Find and count assets</x:v>
      </x:c>
      <x:c r="J299" s="6" t="str">
        <x:v>Warm-up</x:v>
      </x:c>
      <x:c r="K299" s="6" t="str">
        <x:v>Room name, floor and asset identity. Coordinates may help the UI.</x:v>
      </x:c>
      <x:c r="L299" s="6" t="str">
        <x:v>T02, T03</x:v>
      </x:c>
      <x:c r="M299" s="6" t="str">
        <x:v>Find a named item and identify its containing room and floor.</x:v>
      </x:c>
      <x:c r="N299" s="6" t="str">
        <x:v>{"asset_id":"resplan-7709-A00001","space_id":"resplan-7709-F0-S001","space_name":"Living room 0.01","floor_level":0,"position":[8.007,3.798]}</x:v>
      </x:c>
      <x:c r="O299" s="6"/>
      <x:c r="P299" s="6" t="str">
        <x:v>Resolve the intended asset and its containing room/floor.</x:v>
      </x:c>
      <x:c r="Q299" s="15"/>
      <x:c r="R299" s="6"/>
      <x:c r="S299" s="16"/>
      <x:c r="T299" s="15"/>
      <x:c r="U299" s="6"/>
      <x:c r="V299" s="6"/>
      <x:c r="W299" s="6" t="str">
        <x:v>Existing search_building. Improve disambiguation and complete result pagination.</x:v>
      </x:c>
      <x:c r="X299" s="6" t="str">
        <x:v>data/train/resplan-7709/questions_basic.jsonl</x:v>
      </x:c>
      <x:c r="Y299" s="14" t="n">
        <x:v>2</x:v>
      </x:c>
      <x:c r="Z299" s="6" t="str">
        <x:v>https://github.com/hagenhaeussler/Industrial-Agents-Hackathon-2026/blob/f41616590b69f3ea0c1cbfb41d6c35edd9ce53df/data/train/resplan-7709/questions_basic.jsonl#L2</x:v>
      </x:c>
      <x:c r="AA299" s="6" t="str">
        <x:v>resplan</x:v>
      </x:c>
      <x:c r="AB299" s="6" t="str">
        <x:v>CC-BY-4.0</x:v>
      </x:c>
    </x:row>
    <x:row r="300" ht="72" customHeight="1">
      <x:c r="A300" s="14" t="n">
        <x:v>295</x:v>
      </x:c>
      <x:c r="B300" s="6" t="str">
        <x:v>locate</x:v>
      </x:c>
      <x:c r="C300" s="6" t="str">
        <x:v>Where is the fridge?</x:v>
      </x:c>
      <x:c r="D300" s="6" t="str">
        <x:v>Kitchen 0.06
Floor level: 0
Asset ID: resplan-7709-A00024
Position (m): 7.66, 7.06</x:v>
      </x:c>
      <x:c r="E300" s="6" t="str">
        <x:v>Reference supplied</x:v>
      </x:c>
      <x:c r="F300" s="6" t="str">
        <x:v>train</x:v>
      </x:c>
      <x:c r="G300" s="6" t="str">
        <x:v>resplan-7709</x:v>
      </x:c>
      <x:c r="H300" s="6" t="str">
        <x:v>resplan-7709-Q03</x:v>
      </x:c>
      <x:c r="I300" s="6" t="str">
        <x:v>Find and count assets</x:v>
      </x:c>
      <x:c r="J300" s="6" t="str">
        <x:v>Warm-up</x:v>
      </x:c>
      <x:c r="K300" s="6" t="str">
        <x:v>Room name, floor and asset identity. Coordinates may help the UI.</x:v>
      </x:c>
      <x:c r="L300" s="6" t="str">
        <x:v>T02, T03</x:v>
      </x:c>
      <x:c r="M300" s="6" t="str">
        <x:v>Find a named item and identify its containing room and floor.</x:v>
      </x:c>
      <x:c r="N300" s="6" t="str">
        <x:v>{"asset_id":"resplan-7709-A00024","space_id":"resplan-7709-F0-S006","space_name":"Kitchen 0.06","floor_level":0,"position":[7.66,7.06]}</x:v>
      </x:c>
      <x:c r="O300" s="6"/>
      <x:c r="P300" s="6" t="str">
        <x:v>Resolve the intended asset and its containing room/floor.</x:v>
      </x:c>
      <x:c r="Q300" s="15"/>
      <x:c r="R300" s="6"/>
      <x:c r="S300" s="16"/>
      <x:c r="T300" s="15"/>
      <x:c r="U300" s="6"/>
      <x:c r="V300" s="6"/>
      <x:c r="W300" s="6" t="str">
        <x:v>Existing search_building. Improve disambiguation and complete result pagination.</x:v>
      </x:c>
      <x:c r="X300" s="6" t="str">
        <x:v>data/train/resplan-7709/questions_basic.jsonl</x:v>
      </x:c>
      <x:c r="Y300" s="14" t="n">
        <x:v>3</x:v>
      </x:c>
      <x:c r="Z300" s="6" t="str">
        <x:v>https://github.com/hagenhaeussler/Industrial-Agents-Hackathon-2026/blob/f41616590b69f3ea0c1cbfb41d6c35edd9ce53df/data/train/resplan-7709/questions_basic.jsonl#L3</x:v>
      </x:c>
      <x:c r="AA300" s="6" t="str">
        <x:v>resplan</x:v>
      </x:c>
      <x:c r="AB300" s="6" t="str">
        <x:v>CC-BY-4.0</x:v>
      </x:c>
    </x:row>
    <x:row r="301" ht="72" customHeight="1">
      <x:c r="A301" s="14" t="n">
        <x:v>296</x:v>
      </x:c>
      <x:c r="B301" s="6" t="str">
        <x:v>locate</x:v>
      </x:c>
      <x:c r="C301" s="6" t="str">
        <x:v>Where is the microwave?</x:v>
      </x:c>
      <x:c r="D301" s="6" t="str">
        <x:v>Kitchen 0.06
Floor level: 0
Asset ID: resplan-7948-A00024
Position (m): 9.398, 6.233</x:v>
      </x:c>
      <x:c r="E301" s="6" t="str">
        <x:v>Reference supplied</x:v>
      </x:c>
      <x:c r="F301" s="6" t="str">
        <x:v>train</x:v>
      </x:c>
      <x:c r="G301" s="6" t="str">
        <x:v>resplan-7948</x:v>
      </x:c>
      <x:c r="H301" s="6" t="str">
        <x:v>resplan-7948-Q01</x:v>
      </x:c>
      <x:c r="I301" s="6" t="str">
        <x:v>Find and count assets</x:v>
      </x:c>
      <x:c r="J301" s="6" t="str">
        <x:v>Warm-up</x:v>
      </x:c>
      <x:c r="K301" s="6" t="str">
        <x:v>Room name, floor and asset identity. Coordinates may help the UI.</x:v>
      </x:c>
      <x:c r="L301" s="6" t="str">
        <x:v>T02, T03</x:v>
      </x:c>
      <x:c r="M301" s="6" t="str">
        <x:v>Find a named item and identify its containing room and floor.</x:v>
      </x:c>
      <x:c r="N301" s="6" t="str">
        <x:v>{"asset_id":"resplan-7948-A00024","space_id":"resplan-7948-F0-S006","space_name":"Kitchen 0.06","floor_level":0,"position":[9.398,6.233]}</x:v>
      </x:c>
      <x:c r="O301" s="6"/>
      <x:c r="P301" s="6" t="str">
        <x:v>Resolve the intended asset and its containing room/floor.</x:v>
      </x:c>
      <x:c r="Q301" s="15"/>
      <x:c r="R301" s="6"/>
      <x:c r="S301" s="16"/>
      <x:c r="T301" s="15"/>
      <x:c r="U301" s="6"/>
      <x:c r="V301" s="6"/>
      <x:c r="W301" s="6" t="str">
        <x:v>Existing search_building. Improve disambiguation and complete result pagination.</x:v>
      </x:c>
      <x:c r="X301" s="6" t="str">
        <x:v>data/train/resplan-7948/questions_basic.jsonl</x:v>
      </x:c>
      <x:c r="Y301" s="14" t="n">
        <x:v>1</x:v>
      </x:c>
      <x:c r="Z301" s="6" t="str">
        <x:v>https://github.com/hagenhaeussler/Industrial-Agents-Hackathon-2026/blob/f41616590b69f3ea0c1cbfb41d6c35edd9ce53df/data/train/resplan-7948/questions_basic.jsonl#L1</x:v>
      </x:c>
      <x:c r="AA301" s="6" t="str">
        <x:v>resplan</x:v>
      </x:c>
      <x:c r="AB301" s="6" t="str">
        <x:v>CC-BY-4.0</x:v>
      </x:c>
    </x:row>
    <x:row r="302" ht="72" customHeight="1">
      <x:c r="A302" s="14" t="n">
        <x:v>297</x:v>
      </x:c>
      <x:c r="B302" s="6" t="str">
        <x:v>locate</x:v>
      </x:c>
      <x:c r="C302" s="6" t="str">
        <x:v>Where is the coffee machine?</x:v>
      </x:c>
      <x:c r="D302" s="6" t="str">
        <x:v>Kitchen 0.06
Floor level: 0
Asset ID: resplan-7948-A00025
Position (m): 11.989, 5.998</x:v>
      </x:c>
      <x:c r="E302" s="6" t="str">
        <x:v>Reference supplied</x:v>
      </x:c>
      <x:c r="F302" s="6" t="str">
        <x:v>train</x:v>
      </x:c>
      <x:c r="G302" s="6" t="str">
        <x:v>resplan-7948</x:v>
      </x:c>
      <x:c r="H302" s="6" t="str">
        <x:v>resplan-7948-Q02</x:v>
      </x:c>
      <x:c r="I302" s="6" t="str">
        <x:v>Find and count assets</x:v>
      </x:c>
      <x:c r="J302" s="6" t="str">
        <x:v>Warm-up</x:v>
      </x:c>
      <x:c r="K302" s="6" t="str">
        <x:v>Room name, floor and asset identity. Coordinates may help the UI.</x:v>
      </x:c>
      <x:c r="L302" s="6" t="str">
        <x:v>T02, T03</x:v>
      </x:c>
      <x:c r="M302" s="6" t="str">
        <x:v>Find a named item and identify its containing room and floor.</x:v>
      </x:c>
      <x:c r="N302" s="6" t="str">
        <x:v>{"asset_id":"resplan-7948-A00025","space_id":"resplan-7948-F0-S006","space_name":"Kitchen 0.06","floor_level":0,"position":[11.989,5.998]}</x:v>
      </x:c>
      <x:c r="O302" s="6"/>
      <x:c r="P302" s="6" t="str">
        <x:v>Resolve the intended asset and its containing room/floor.</x:v>
      </x:c>
      <x:c r="Q302" s="15"/>
      <x:c r="R302" s="6"/>
      <x:c r="S302" s="16"/>
      <x:c r="T302" s="15"/>
      <x:c r="U302" s="6"/>
      <x:c r="V302" s="6"/>
      <x:c r="W302" s="6" t="str">
        <x:v>Existing search_building. Improve disambiguation and complete result pagination.</x:v>
      </x:c>
      <x:c r="X302" s="6" t="str">
        <x:v>data/train/resplan-7948/questions_basic.jsonl</x:v>
      </x:c>
      <x:c r="Y302" s="14" t="n">
        <x:v>2</x:v>
      </x:c>
      <x:c r="Z302" s="6" t="str">
        <x:v>https://github.com/hagenhaeussler/Industrial-Agents-Hackathon-2026/blob/f41616590b69f3ea0c1cbfb41d6c35edd9ce53df/data/train/resplan-7948/questions_basic.jsonl#L2</x:v>
      </x:c>
      <x:c r="AA302" s="6" t="str">
        <x:v>resplan</x:v>
      </x:c>
      <x:c r="AB302" s="6" t="str">
        <x:v>CC-BY-4.0</x:v>
      </x:c>
    </x:row>
    <x:row r="303" ht="72" customHeight="1">
      <x:c r="A303" s="14" t="n">
        <x:v>298</x:v>
      </x:c>
      <x:c r="B303" s="6" t="str">
        <x:v>locate</x:v>
      </x:c>
      <x:c r="C303" s="6" t="str">
        <x:v>Where is the outdoor chair?</x:v>
      </x:c>
      <x:c r="D303" s="6" t="str">
        <x:v>Balcony 0.07
Floor level: 0
Asset ID: resplan-7948-A00026
Position (m): 3.574, 1.178</x:v>
      </x:c>
      <x:c r="E303" s="6" t="str">
        <x:v>Reference supplied</x:v>
      </x:c>
      <x:c r="F303" s="6" t="str">
        <x:v>train</x:v>
      </x:c>
      <x:c r="G303" s="6" t="str">
        <x:v>resplan-7948</x:v>
      </x:c>
      <x:c r="H303" s="6" t="str">
        <x:v>resplan-7948-Q03</x:v>
      </x:c>
      <x:c r="I303" s="6" t="str">
        <x:v>Find and count assets</x:v>
      </x:c>
      <x:c r="J303" s="6" t="str">
        <x:v>Warm-up</x:v>
      </x:c>
      <x:c r="K303" s="6" t="str">
        <x:v>Room name, floor and asset identity. Coordinates may help the UI.</x:v>
      </x:c>
      <x:c r="L303" s="6" t="str">
        <x:v>T02, T03</x:v>
      </x:c>
      <x:c r="M303" s="6" t="str">
        <x:v>Find a named item and identify its containing room and floor.</x:v>
      </x:c>
      <x:c r="N303" s="6" t="str">
        <x:v>{"asset_id":"resplan-7948-A00026","space_id":"resplan-7948-F0-S007","space_name":"Balcony 0.07","floor_level":0,"position":[3.574,1.178]}</x:v>
      </x:c>
      <x:c r="O303" s="6"/>
      <x:c r="P303" s="6" t="str">
        <x:v>Resolve the intended asset and its containing room/floor.</x:v>
      </x:c>
      <x:c r="Q303" s="15"/>
      <x:c r="R303" s="6"/>
      <x:c r="S303" s="16"/>
      <x:c r="T303" s="15"/>
      <x:c r="U303" s="6"/>
      <x:c r="V303" s="6"/>
      <x:c r="W303" s="6" t="str">
        <x:v>Existing search_building. Improve disambiguation and complete result pagination.</x:v>
      </x:c>
      <x:c r="X303" s="6" t="str">
        <x:v>data/train/resplan-7948/questions_basic.jsonl</x:v>
      </x:c>
      <x:c r="Y303" s="14" t="n">
        <x:v>3</x:v>
      </x:c>
      <x:c r="Z303" s="6" t="str">
        <x:v>https://github.com/hagenhaeussler/Industrial-Agents-Hackathon-2026/blob/f41616590b69f3ea0c1cbfb41d6c35edd9ce53df/data/train/resplan-7948/questions_basic.jsonl#L3</x:v>
      </x:c>
      <x:c r="AA303" s="6" t="str">
        <x:v>resplan</x:v>
      </x:c>
      <x:c r="AB303" s="6" t="str">
        <x:v>CC-BY-4.0</x:v>
      </x:c>
    </x:row>
    <x:row r="304" ht="72" customHeight="1">
      <x:c r="A304" s="14" t="n">
        <x:v>299</x:v>
      </x:c>
      <x:c r="B304" s="6" t="str">
        <x:v>locate</x:v>
      </x:c>
      <x:c r="C304" s="6" t="str">
        <x:v>Where is the fridge?</x:v>
      </x:c>
      <x:c r="D304" s="6" t="str">
        <x:v>Kitchen 0.05
Floor level: 0
Asset ID: resplan-8006-A00017
Position (m): 1.729, 3.939</x:v>
      </x:c>
      <x:c r="E304" s="6" t="str">
        <x:v>Reference supplied</x:v>
      </x:c>
      <x:c r="F304" s="6" t="str">
        <x:v>train</x:v>
      </x:c>
      <x:c r="G304" s="6" t="str">
        <x:v>resplan-8006</x:v>
      </x:c>
      <x:c r="H304" s="6" t="str">
        <x:v>resplan-8006-Q01</x:v>
      </x:c>
      <x:c r="I304" s="6" t="str">
        <x:v>Find and count assets</x:v>
      </x:c>
      <x:c r="J304" s="6" t="str">
        <x:v>Warm-up</x:v>
      </x:c>
      <x:c r="K304" s="6" t="str">
        <x:v>Room name, floor and asset identity. Coordinates may help the UI.</x:v>
      </x:c>
      <x:c r="L304" s="6" t="str">
        <x:v>T02, T03</x:v>
      </x:c>
      <x:c r="M304" s="6" t="str">
        <x:v>Find a named item and identify its containing room and floor.</x:v>
      </x:c>
      <x:c r="N304" s="6" t="str">
        <x:v>{"asset_id":"resplan-8006-A00017","space_id":"resplan-8006-F0-S005","space_name":"Kitchen 0.05","floor_level":0,"position":[1.729,3.939]}</x:v>
      </x:c>
      <x:c r="O304" s="6"/>
      <x:c r="P304" s="6" t="str">
        <x:v>Resolve the intended asset and its containing room/floor.</x:v>
      </x:c>
      <x:c r="Q304" s="15"/>
      <x:c r="R304" s="6"/>
      <x:c r="S304" s="16"/>
      <x:c r="T304" s="15"/>
      <x:c r="U304" s="6"/>
      <x:c r="V304" s="6"/>
      <x:c r="W304" s="6" t="str">
        <x:v>Existing search_building. Improve disambiguation and complete result pagination.</x:v>
      </x:c>
      <x:c r="X304" s="6" t="str">
        <x:v>data/train/resplan-8006/questions_basic.jsonl</x:v>
      </x:c>
      <x:c r="Y304" s="14" t="n">
        <x:v>1</x:v>
      </x:c>
      <x:c r="Z304" s="6" t="str">
        <x:v>https://github.com/hagenhaeussler/Industrial-Agents-Hackathon-2026/blob/f41616590b69f3ea0c1cbfb41d6c35edd9ce53df/data/train/resplan-8006/questions_basic.jsonl#L1</x:v>
      </x:c>
      <x:c r="AA304" s="6" t="str">
        <x:v>resplan</x:v>
      </x:c>
      <x:c r="AB304" s="6" t="str">
        <x:v>CC-BY-4.0</x:v>
      </x:c>
    </x:row>
    <x:row r="305" ht="72" customHeight="1">
      <x:c r="A305" s="14" t="n">
        <x:v>300</x:v>
      </x:c>
      <x:c r="B305" s="6" t="str">
        <x:v>locate</x:v>
      </x:c>
      <x:c r="C305" s="6" t="str">
        <x:v>Where is the wardrobe?</x:v>
      </x:c>
      <x:c r="D305" s="6" t="str">
        <x:v>Bedroom 0.02
Floor level: 0
Asset ID: resplan-8006-A00011
Position (m): 9.146, 1.402</x:v>
      </x:c>
      <x:c r="E305" s="6" t="str">
        <x:v>Reference supplied</x:v>
      </x:c>
      <x:c r="F305" s="6" t="str">
        <x:v>train</x:v>
      </x:c>
      <x:c r="G305" s="6" t="str">
        <x:v>resplan-8006</x:v>
      </x:c>
      <x:c r="H305" s="6" t="str">
        <x:v>resplan-8006-Q02</x:v>
      </x:c>
      <x:c r="I305" s="6" t="str">
        <x:v>Find and count assets</x:v>
      </x:c>
      <x:c r="J305" s="6" t="str">
        <x:v>Warm-up</x:v>
      </x:c>
      <x:c r="K305" s="6" t="str">
        <x:v>Room name, floor and asset identity. Coordinates may help the UI.</x:v>
      </x:c>
      <x:c r="L305" s="6" t="str">
        <x:v>T02, T03</x:v>
      </x:c>
      <x:c r="M305" s="6" t="str">
        <x:v>Find a named item and identify its containing room and floor.</x:v>
      </x:c>
      <x:c r="N305" s="6" t="str">
        <x:v>{"asset_id":"resplan-8006-A00011","space_id":"resplan-8006-F0-S002","space_name":"Bedroom 0.02","floor_level":0,"position":[9.146,1.402]}</x:v>
      </x:c>
      <x:c r="O305" s="6"/>
      <x:c r="P305" s="6" t="str">
        <x:v>Resolve the intended asset and its containing room/floor.</x:v>
      </x:c>
      <x:c r="Q305" s="15"/>
      <x:c r="R305" s="6"/>
      <x:c r="S305" s="16"/>
      <x:c r="T305" s="15"/>
      <x:c r="U305" s="6"/>
      <x:c r="V305" s="6"/>
      <x:c r="W305" s="6" t="str">
        <x:v>Existing search_building. Improve disambiguation and complete result pagination.</x:v>
      </x:c>
      <x:c r="X305" s="6" t="str">
        <x:v>data/train/resplan-8006/questions_basic.jsonl</x:v>
      </x:c>
      <x:c r="Y305" s="14" t="n">
        <x:v>2</x:v>
      </x:c>
      <x:c r="Z305" s="6" t="str">
        <x:v>https://github.com/hagenhaeussler/Industrial-Agents-Hackathon-2026/blob/f41616590b69f3ea0c1cbfb41d6c35edd9ce53df/data/train/resplan-8006/questions_basic.jsonl#L2</x:v>
      </x:c>
      <x:c r="AA305" s="6" t="str">
        <x:v>resplan</x:v>
      </x:c>
      <x:c r="AB305" s="6" t="str">
        <x:v>CC-BY-4.0</x:v>
      </x:c>
    </x:row>
    <x:row r="306" ht="72" customHeight="1">
      <x:c r="A306" s="14" t="n">
        <x:v>301</x:v>
      </x:c>
      <x:c r="B306" s="6" t="str">
        <x:v>locate</x:v>
      </x:c>
      <x:c r="C306" s="6" t="str">
        <x:v>Where is the coffee machine?</x:v>
      </x:c>
      <x:c r="D306" s="6" t="str">
        <x:v>Kitchen 0.05
Floor level: 0
Asset ID: resplan-8006-A00019
Position (m): 2.692, 5.333</x:v>
      </x:c>
      <x:c r="E306" s="6" t="str">
        <x:v>Reference supplied</x:v>
      </x:c>
      <x:c r="F306" s="6" t="str">
        <x:v>train</x:v>
      </x:c>
      <x:c r="G306" s="6" t="str">
        <x:v>resplan-8006</x:v>
      </x:c>
      <x:c r="H306" s="6" t="str">
        <x:v>resplan-8006-Q03</x:v>
      </x:c>
      <x:c r="I306" s="6" t="str">
        <x:v>Find and count assets</x:v>
      </x:c>
      <x:c r="J306" s="6" t="str">
        <x:v>Warm-up</x:v>
      </x:c>
      <x:c r="K306" s="6" t="str">
        <x:v>Room name, floor and asset identity. Coordinates may help the UI.</x:v>
      </x:c>
      <x:c r="L306" s="6" t="str">
        <x:v>T02, T03</x:v>
      </x:c>
      <x:c r="M306" s="6" t="str">
        <x:v>Find a named item and identify its containing room and floor.</x:v>
      </x:c>
      <x:c r="N306" s="6" t="str">
        <x:v>{"asset_id":"resplan-8006-A00019","space_id":"resplan-8006-F0-S005","space_name":"Kitchen 0.05","floor_level":0,"position":[2.692,5.333]}</x:v>
      </x:c>
      <x:c r="O306" s="6"/>
      <x:c r="P306" s="6" t="str">
        <x:v>Resolve the intended asset and its containing room/floor.</x:v>
      </x:c>
      <x:c r="Q306" s="15"/>
      <x:c r="R306" s="6"/>
      <x:c r="S306" s="16"/>
      <x:c r="T306" s="15"/>
      <x:c r="U306" s="6"/>
      <x:c r="V306" s="6"/>
      <x:c r="W306" s="6" t="str">
        <x:v>Existing search_building. Improve disambiguation and complete result pagination.</x:v>
      </x:c>
      <x:c r="X306" s="6" t="str">
        <x:v>data/train/resplan-8006/questions_basic.jsonl</x:v>
      </x:c>
      <x:c r="Y306" s="14" t="n">
        <x:v>3</x:v>
      </x:c>
      <x:c r="Z306" s="6" t="str">
        <x:v>https://github.com/hagenhaeussler/Industrial-Agents-Hackathon-2026/blob/f41616590b69f3ea0c1cbfb41d6c35edd9ce53df/data/train/resplan-8006/questions_basic.jsonl#L3</x:v>
      </x:c>
      <x:c r="AA306" s="6" t="str">
        <x:v>resplan</x:v>
      </x:c>
      <x:c r="AB306" s="6" t="str">
        <x:v>CC-BY-4.0</x:v>
      </x:c>
    </x:row>
    <x:row r="307" ht="72" customHeight="1">
      <x:c r="A307" s="14" t="n">
        <x:v>302</x:v>
      </x:c>
      <x:c r="B307" s="6" t="str">
        <x:v>locate</x:v>
      </x:c>
      <x:c r="C307" s="6" t="str">
        <x:v>Where is the coffee table?</x:v>
      </x:c>
      <x:c r="D307" s="6" t="str">
        <x:v>Living room 0.01
Floor level: 0
Asset ID: resplan-8080-A00002
Position (m): 5.368, 4.999</x:v>
      </x:c>
      <x:c r="E307" s="6" t="str">
        <x:v>Reference supplied</x:v>
      </x:c>
      <x:c r="F307" s="6" t="str">
        <x:v>train</x:v>
      </x:c>
      <x:c r="G307" s="6" t="str">
        <x:v>resplan-8080</x:v>
      </x:c>
      <x:c r="H307" s="6" t="str">
        <x:v>resplan-8080-Q01</x:v>
      </x:c>
      <x:c r="I307" s="6" t="str">
        <x:v>Find and count assets</x:v>
      </x:c>
      <x:c r="J307" s="6" t="str">
        <x:v>Warm-up</x:v>
      </x:c>
      <x:c r="K307" s="6" t="str">
        <x:v>Room name, floor and asset identity. Coordinates may help the UI.</x:v>
      </x:c>
      <x:c r="L307" s="6" t="str">
        <x:v>T02, T03</x:v>
      </x:c>
      <x:c r="M307" s="6" t="str">
        <x:v>Find a named item and identify its containing room and floor.</x:v>
      </x:c>
      <x:c r="N307" s="6" t="str">
        <x:v>{"asset_id":"resplan-8080-A00002","space_id":"resplan-8080-F0-S001","space_name":"Living room 0.01","floor_level":0,"position":[5.368,4.999]}</x:v>
      </x:c>
      <x:c r="O307" s="6"/>
      <x:c r="P307" s="6" t="str">
        <x:v>Resolve the intended asset and its containing room/floor.</x:v>
      </x:c>
      <x:c r="Q307" s="15"/>
      <x:c r="R307" s="6"/>
      <x:c r="S307" s="16"/>
      <x:c r="T307" s="15"/>
      <x:c r="U307" s="6"/>
      <x:c r="V307" s="6"/>
      <x:c r="W307" s="6" t="str">
        <x:v>Existing search_building. Improve disambiguation and complete result pagination.</x:v>
      </x:c>
      <x:c r="X307" s="6" t="str">
        <x:v>data/train/resplan-8080/questions_basic.jsonl</x:v>
      </x:c>
      <x:c r="Y307" s="14" t="n">
        <x:v>1</x:v>
      </x:c>
      <x:c r="Z307" s="6" t="str">
        <x:v>https://github.com/hagenhaeussler/Industrial-Agents-Hackathon-2026/blob/f41616590b69f3ea0c1cbfb41d6c35edd9ce53df/data/train/resplan-8080/questions_basic.jsonl#L1</x:v>
      </x:c>
      <x:c r="AA307" s="6" t="str">
        <x:v>resplan</x:v>
      </x:c>
      <x:c r="AB307" s="6" t="str">
        <x:v>CC-BY-4.0</x:v>
      </x:c>
    </x:row>
    <x:row r="308" ht="72" customHeight="1">
      <x:c r="A308" s="14" t="n">
        <x:v>303</x:v>
      </x:c>
      <x:c r="B308" s="6" t="str">
        <x:v>locate</x:v>
      </x:c>
      <x:c r="C308" s="6" t="str">
        <x:v>Where is the tv stand?</x:v>
      </x:c>
      <x:c r="D308" s="6" t="str">
        <x:v>Living room 0.01
Floor level: 0
Asset ID: resplan-8080-A00003
Position (m): 5.486, 9.176</x:v>
      </x:c>
      <x:c r="E308" s="6" t="str">
        <x:v>Reference supplied</x:v>
      </x:c>
      <x:c r="F308" s="6" t="str">
        <x:v>train</x:v>
      </x:c>
      <x:c r="G308" s="6" t="str">
        <x:v>resplan-8080</x:v>
      </x:c>
      <x:c r="H308" s="6" t="str">
        <x:v>resplan-8080-Q02</x:v>
      </x:c>
      <x:c r="I308" s="6" t="str">
        <x:v>Find and count assets</x:v>
      </x:c>
      <x:c r="J308" s="6" t="str">
        <x:v>Warm-up</x:v>
      </x:c>
      <x:c r="K308" s="6" t="str">
        <x:v>Room name, floor and asset identity. Coordinates may help the UI.</x:v>
      </x:c>
      <x:c r="L308" s="6" t="str">
        <x:v>T02, T03</x:v>
      </x:c>
      <x:c r="M308" s="6" t="str">
        <x:v>Find a named item and identify its containing room and floor.</x:v>
      </x:c>
      <x:c r="N308" s="6" t="str">
        <x:v>{"asset_id":"resplan-8080-A00003","space_id":"resplan-8080-F0-S001","space_name":"Living room 0.01","floor_level":0,"position":[5.486,9.176]}</x:v>
      </x:c>
      <x:c r="O308" s="6"/>
      <x:c r="P308" s="6" t="str">
        <x:v>Resolve the intended asset and its containing room/floor.</x:v>
      </x:c>
      <x:c r="Q308" s="15"/>
      <x:c r="R308" s="6"/>
      <x:c r="S308" s="16"/>
      <x:c r="T308" s="15"/>
      <x:c r="U308" s="6"/>
      <x:c r="V308" s="6"/>
      <x:c r="W308" s="6" t="str">
        <x:v>Existing search_building. Improve disambiguation and complete result pagination.</x:v>
      </x:c>
      <x:c r="X308" s="6" t="str">
        <x:v>data/train/resplan-8080/questions_basic.jsonl</x:v>
      </x:c>
      <x:c r="Y308" s="14" t="n">
        <x:v>2</x:v>
      </x:c>
      <x:c r="Z308" s="6" t="str">
        <x:v>https://github.com/hagenhaeussler/Industrial-Agents-Hackathon-2026/blob/f41616590b69f3ea0c1cbfb41d6c35edd9ce53df/data/train/resplan-8080/questions_basic.jsonl#L2</x:v>
      </x:c>
      <x:c r="AA308" s="6" t="str">
        <x:v>resplan</x:v>
      </x:c>
      <x:c r="AB308" s="6" t="str">
        <x:v>CC-BY-4.0</x:v>
      </x:c>
    </x:row>
    <x:row r="309" ht="72" customHeight="1">
      <x:c r="A309" s="14" t="n">
        <x:v>304</x:v>
      </x:c>
      <x:c r="B309" s="6" t="str">
        <x:v>locate</x:v>
      </x:c>
      <x:c r="C309" s="6" t="str">
        <x:v>Where is the sofa?</x:v>
      </x:c>
      <x:c r="D309" s="6" t="str">
        <x:v>Living room 0.01
Floor level: 0
Asset ID: resplan-8080-A00001
Position (m): 7.099, 5.055</x:v>
      </x:c>
      <x:c r="E309" s="6" t="str">
        <x:v>Reference supplied</x:v>
      </x:c>
      <x:c r="F309" s="6" t="str">
        <x:v>train</x:v>
      </x:c>
      <x:c r="G309" s="6" t="str">
        <x:v>resplan-8080</x:v>
      </x:c>
      <x:c r="H309" s="6" t="str">
        <x:v>resplan-8080-Q03</x:v>
      </x:c>
      <x:c r="I309" s="6" t="str">
        <x:v>Find and count assets</x:v>
      </x:c>
      <x:c r="J309" s="6" t="str">
        <x:v>Warm-up</x:v>
      </x:c>
      <x:c r="K309" s="6" t="str">
        <x:v>Room name, floor and asset identity. Coordinates may help the UI.</x:v>
      </x:c>
      <x:c r="L309" s="6" t="str">
        <x:v>T02, T03</x:v>
      </x:c>
      <x:c r="M309" s="6" t="str">
        <x:v>Find a named item and identify its containing room and floor.</x:v>
      </x:c>
      <x:c r="N309" s="6" t="str">
        <x:v>{"asset_id":"resplan-8080-A00001","space_id":"resplan-8080-F0-S001","space_name":"Living room 0.01","floor_level":0,"position":[7.099,5.055]}</x:v>
      </x:c>
      <x:c r="O309" s="6"/>
      <x:c r="P309" s="6" t="str">
        <x:v>Resolve the intended asset and its containing room/floor.</x:v>
      </x:c>
      <x:c r="Q309" s="15"/>
      <x:c r="R309" s="6"/>
      <x:c r="S309" s="16"/>
      <x:c r="T309" s="15"/>
      <x:c r="U309" s="6"/>
      <x:c r="V309" s="6"/>
      <x:c r="W309" s="6" t="str">
        <x:v>Existing search_building. Improve disambiguation and complete result pagination.</x:v>
      </x:c>
      <x:c r="X309" s="6" t="str">
        <x:v>data/train/resplan-8080/questions_basic.jsonl</x:v>
      </x:c>
      <x:c r="Y309" s="14" t="n">
        <x:v>3</x:v>
      </x:c>
      <x:c r="Z309" s="6" t="str">
        <x:v>https://github.com/hagenhaeussler/Industrial-Agents-Hackathon-2026/blob/f41616590b69f3ea0c1cbfb41d6c35edd9ce53df/data/train/resplan-8080/questions_basic.jsonl#L3</x:v>
      </x:c>
      <x:c r="AA309" s="6" t="str">
        <x:v>resplan</x:v>
      </x:c>
      <x:c r="AB309" s="6" t="str">
        <x:v>CC-BY-4.0</x:v>
      </x:c>
    </x:row>
    <x:row r="310" ht="72" customHeight="1">
      <x:c r="A310" s="14" t="n">
        <x:v>305</x:v>
      </x:c>
      <x:c r="B310" s="6" t="str">
        <x:v>locate</x:v>
      </x:c>
      <x:c r="C310" s="6" t="str">
        <x:v>Where is the bookshelf?</x:v>
      </x:c>
      <x:c r="D310" s="6" t="str">
        <x:v>Living room 0.01
Floor level: 0
Asset ID: resplan-8174-A00006
Position (m): 0.245, 4.813</x:v>
      </x:c>
      <x:c r="E310" s="6" t="str">
        <x:v>Reference supplied</x:v>
      </x:c>
      <x:c r="F310" s="6" t="str">
        <x:v>train</x:v>
      </x:c>
      <x:c r="G310" s="6" t="str">
        <x:v>resplan-8174</x:v>
      </x:c>
      <x:c r="H310" s="6" t="str">
        <x:v>resplan-8174-Q01</x:v>
      </x:c>
      <x:c r="I310" s="6" t="str">
        <x:v>Find and count assets</x:v>
      </x:c>
      <x:c r="J310" s="6" t="str">
        <x:v>Warm-up</x:v>
      </x:c>
      <x:c r="K310" s="6" t="str">
        <x:v>Room name, floor and asset identity. Coordinates may help the UI.</x:v>
      </x:c>
      <x:c r="L310" s="6" t="str">
        <x:v>T02, T03</x:v>
      </x:c>
      <x:c r="M310" s="6" t="str">
        <x:v>Find a named item and identify its containing room and floor.</x:v>
      </x:c>
      <x:c r="N310" s="6" t="str">
        <x:v>{"asset_id":"resplan-8174-A00006","space_id":"resplan-8174-F0-S001","space_name":"Living room 0.01","floor_level":0,"position":[0.245,4.813]}</x:v>
      </x:c>
      <x:c r="O310" s="6"/>
      <x:c r="P310" s="6" t="str">
        <x:v>Resolve the intended asset and its containing room/floor.</x:v>
      </x:c>
      <x:c r="Q310" s="15"/>
      <x:c r="R310" s="6"/>
      <x:c r="S310" s="16"/>
      <x:c r="T310" s="15"/>
      <x:c r="U310" s="6"/>
      <x:c r="V310" s="6"/>
      <x:c r="W310" s="6" t="str">
        <x:v>Existing search_building. Improve disambiguation and complete result pagination.</x:v>
      </x:c>
      <x:c r="X310" s="6" t="str">
        <x:v>data/train/resplan-8174/questions_basic.jsonl</x:v>
      </x:c>
      <x:c r="Y310" s="14" t="n">
        <x:v>1</x:v>
      </x:c>
      <x:c r="Z310" s="6" t="str">
        <x:v>https://github.com/hagenhaeussler/Industrial-Agents-Hackathon-2026/blob/f41616590b69f3ea0c1cbfb41d6c35edd9ce53df/data/train/resplan-8174/questions_basic.jsonl#L1</x:v>
      </x:c>
      <x:c r="AA310" s="6" t="str">
        <x:v>resplan</x:v>
      </x:c>
      <x:c r="AB310" s="6" t="str">
        <x:v>CC-BY-4.0</x:v>
      </x:c>
    </x:row>
    <x:row r="311" ht="72" customHeight="1">
      <x:c r="A311" s="14" t="n">
        <x:v>306</x:v>
      </x:c>
      <x:c r="B311" s="6" t="str">
        <x:v>locate</x:v>
      </x:c>
      <x:c r="C311" s="6" t="str">
        <x:v>Where is the sofa?</x:v>
      </x:c>
      <x:c r="D311" s="6" t="str">
        <x:v>Living room 0.01
Floor level: 0
Asset ID: resplan-8174-A00001
Position (m): 3.456, 4.031</x:v>
      </x:c>
      <x:c r="E311" s="6" t="str">
        <x:v>Reference supplied</x:v>
      </x:c>
      <x:c r="F311" s="6" t="str">
        <x:v>train</x:v>
      </x:c>
      <x:c r="G311" s="6" t="str">
        <x:v>resplan-8174</x:v>
      </x:c>
      <x:c r="H311" s="6" t="str">
        <x:v>resplan-8174-Q02</x:v>
      </x:c>
      <x:c r="I311" s="6" t="str">
        <x:v>Find and count assets</x:v>
      </x:c>
      <x:c r="J311" s="6" t="str">
        <x:v>Warm-up</x:v>
      </x:c>
      <x:c r="K311" s="6" t="str">
        <x:v>Room name, floor and asset identity. Coordinates may help the UI.</x:v>
      </x:c>
      <x:c r="L311" s="6" t="str">
        <x:v>T02, T03</x:v>
      </x:c>
      <x:c r="M311" s="6" t="str">
        <x:v>Find a named item and identify its containing room and floor.</x:v>
      </x:c>
      <x:c r="N311" s="6" t="str">
        <x:v>{"asset_id":"resplan-8174-A00001","space_id":"resplan-8174-F0-S001","space_name":"Living room 0.01","floor_level":0,"position":[3.456,4.031]}</x:v>
      </x:c>
      <x:c r="O311" s="6"/>
      <x:c r="P311" s="6" t="str">
        <x:v>Resolve the intended asset and its containing room/floor.</x:v>
      </x:c>
      <x:c r="Q311" s="15"/>
      <x:c r="R311" s="6"/>
      <x:c r="S311" s="16"/>
      <x:c r="T311" s="15"/>
      <x:c r="U311" s="6"/>
      <x:c r="V311" s="6"/>
      <x:c r="W311" s="6" t="str">
        <x:v>Existing search_building. Improve disambiguation and complete result pagination.</x:v>
      </x:c>
      <x:c r="X311" s="6" t="str">
        <x:v>data/train/resplan-8174/questions_basic.jsonl</x:v>
      </x:c>
      <x:c r="Y311" s="14" t="n">
        <x:v>2</x:v>
      </x:c>
      <x:c r="Z311" s="6" t="str">
        <x:v>https://github.com/hagenhaeussler/Industrial-Agents-Hackathon-2026/blob/f41616590b69f3ea0c1cbfb41d6c35edd9ce53df/data/train/resplan-8174/questions_basic.jsonl#L2</x:v>
      </x:c>
      <x:c r="AA311" s="6" t="str">
        <x:v>resplan</x:v>
      </x:c>
      <x:c r="AB311" s="6" t="str">
        <x:v>CC-BY-4.0</x:v>
      </x:c>
    </x:row>
    <x:row r="312" ht="72" customHeight="1">
      <x:c r="A312" s="14" t="n">
        <x:v>307</x:v>
      </x:c>
      <x:c r="B312" s="6" t="str">
        <x:v>locate</x:v>
      </x:c>
      <x:c r="C312" s="6" t="str">
        <x:v>Where is the tv stand?</x:v>
      </x:c>
      <x:c r="D312" s="6" t="str">
        <x:v>Living room 0.01
Floor level: 0
Asset ID: resplan-8174-A00003
Position (m): 3.571, 7.135</x:v>
      </x:c>
      <x:c r="E312" s="6" t="str">
        <x:v>Reference supplied</x:v>
      </x:c>
      <x:c r="F312" s="6" t="str">
        <x:v>train</x:v>
      </x:c>
      <x:c r="G312" s="6" t="str">
        <x:v>resplan-8174</x:v>
      </x:c>
      <x:c r="H312" s="6" t="str">
        <x:v>resplan-8174-Q03</x:v>
      </x:c>
      <x:c r="I312" s="6" t="str">
        <x:v>Find and count assets</x:v>
      </x:c>
      <x:c r="J312" s="6" t="str">
        <x:v>Warm-up</x:v>
      </x:c>
      <x:c r="K312" s="6" t="str">
        <x:v>Room name, floor and asset identity. Coordinates may help the UI.</x:v>
      </x:c>
      <x:c r="L312" s="6" t="str">
        <x:v>T02, T03</x:v>
      </x:c>
      <x:c r="M312" s="6" t="str">
        <x:v>Find a named item and identify its containing room and floor.</x:v>
      </x:c>
      <x:c r="N312" s="6" t="str">
        <x:v>{"asset_id":"resplan-8174-A00003","space_id":"resplan-8174-F0-S001","space_name":"Living room 0.01","floor_level":0,"position":[3.571,7.135]}</x:v>
      </x:c>
      <x:c r="O312" s="6"/>
      <x:c r="P312" s="6" t="str">
        <x:v>Resolve the intended asset and its containing room/floor.</x:v>
      </x:c>
      <x:c r="Q312" s="15"/>
      <x:c r="R312" s="6"/>
      <x:c r="S312" s="16"/>
      <x:c r="T312" s="15"/>
      <x:c r="U312" s="6"/>
      <x:c r="V312" s="6"/>
      <x:c r="W312" s="6" t="str">
        <x:v>Existing search_building. Improve disambiguation and complete result pagination.</x:v>
      </x:c>
      <x:c r="X312" s="6" t="str">
        <x:v>data/train/resplan-8174/questions_basic.jsonl</x:v>
      </x:c>
      <x:c r="Y312" s="14" t="n">
        <x:v>3</x:v>
      </x:c>
      <x:c r="Z312" s="6" t="str">
        <x:v>https://github.com/hagenhaeussler/Industrial-Agents-Hackathon-2026/blob/f41616590b69f3ea0c1cbfb41d6c35edd9ce53df/data/train/resplan-8174/questions_basic.jsonl#L3</x:v>
      </x:c>
      <x:c r="AA312" s="6" t="str">
        <x:v>resplan</x:v>
      </x:c>
      <x:c r="AB312" s="6" t="str">
        <x:v>CC-BY-4.0</x:v>
      </x:c>
    </x:row>
    <x:row r="313" ht="72" customHeight="1">
      <x:c r="A313" s="14" t="n">
        <x:v>308</x:v>
      </x:c>
      <x:c r="B313" s="6" t="str">
        <x:v>locate</x:v>
      </x:c>
      <x:c r="C313" s="6" t="str">
        <x:v>Where is the tv stand?</x:v>
      </x:c>
      <x:c r="D313" s="6" t="str">
        <x:v>Living room 0.01
Floor level: 0
Asset ID: resplan-8431-A00003
Position (m): 9.01, 6.021</x:v>
      </x:c>
      <x:c r="E313" s="6" t="str">
        <x:v>Reference supplied</x:v>
      </x:c>
      <x:c r="F313" s="6" t="str">
        <x:v>train</x:v>
      </x:c>
      <x:c r="G313" s="6" t="str">
        <x:v>resplan-8431</x:v>
      </x:c>
      <x:c r="H313" s="6" t="str">
        <x:v>resplan-8431-Q01</x:v>
      </x:c>
      <x:c r="I313" s="6" t="str">
        <x:v>Find and count assets</x:v>
      </x:c>
      <x:c r="J313" s="6" t="str">
        <x:v>Warm-up</x:v>
      </x:c>
      <x:c r="K313" s="6" t="str">
        <x:v>Room name, floor and asset identity. Coordinates may help the UI.</x:v>
      </x:c>
      <x:c r="L313" s="6" t="str">
        <x:v>T02, T03</x:v>
      </x:c>
      <x:c r="M313" s="6" t="str">
        <x:v>Find a named item and identify its containing room and floor.</x:v>
      </x:c>
      <x:c r="N313" s="6" t="str">
        <x:v>{"asset_id":"resplan-8431-A00003","space_id":"resplan-8431-F0-S001","space_name":"Living room 0.01","floor_level":0,"position":[9.01,6.021]}</x:v>
      </x:c>
      <x:c r="O313" s="6"/>
      <x:c r="P313" s="6" t="str">
        <x:v>Resolve the intended asset and its containing room/floor.</x:v>
      </x:c>
      <x:c r="Q313" s="15"/>
      <x:c r="R313" s="6"/>
      <x:c r="S313" s="16"/>
      <x:c r="T313" s="15"/>
      <x:c r="U313" s="6"/>
      <x:c r="V313" s="6"/>
      <x:c r="W313" s="6" t="str">
        <x:v>Existing search_building. Improve disambiguation and complete result pagination.</x:v>
      </x:c>
      <x:c r="X313" s="6" t="str">
        <x:v>data/train/resplan-8431/questions_basic.jsonl</x:v>
      </x:c>
      <x:c r="Y313" s="14" t="n">
        <x:v>1</x:v>
      </x:c>
      <x:c r="Z313" s="6" t="str">
        <x:v>https://github.com/hagenhaeussler/Industrial-Agents-Hackathon-2026/blob/f41616590b69f3ea0c1cbfb41d6c35edd9ce53df/data/train/resplan-8431/questions_basic.jsonl#L1</x:v>
      </x:c>
      <x:c r="AA313" s="6" t="str">
        <x:v>resplan</x:v>
      </x:c>
      <x:c r="AB313" s="6" t="str">
        <x:v>CC-BY-4.0</x:v>
      </x:c>
    </x:row>
    <x:row r="314" ht="72" customHeight="1">
      <x:c r="A314" s="14" t="n">
        <x:v>309</x:v>
      </x:c>
      <x:c r="B314" s="6" t="str">
        <x:v>locate</x:v>
      </x:c>
      <x:c r="C314" s="6" t="str">
        <x:v>Where is the bathtub?</x:v>
      </x:c>
      <x:c r="D314" s="6" t="str">
        <x:v>Bathroom 0.04
Floor level: 0
Asset ID: resplan-8431-A00014
Position (m): 2.923, 2.282</x:v>
      </x:c>
      <x:c r="E314" s="6" t="str">
        <x:v>Reference supplied</x:v>
      </x:c>
      <x:c r="F314" s="6" t="str">
        <x:v>train</x:v>
      </x:c>
      <x:c r="G314" s="6" t="str">
        <x:v>resplan-8431</x:v>
      </x:c>
      <x:c r="H314" s="6" t="str">
        <x:v>resplan-8431-Q02</x:v>
      </x:c>
      <x:c r="I314" s="6" t="str">
        <x:v>Find and count assets</x:v>
      </x:c>
      <x:c r="J314" s="6" t="str">
        <x:v>Warm-up</x:v>
      </x:c>
      <x:c r="K314" s="6" t="str">
        <x:v>Room name, floor and asset identity. Coordinates may help the UI.</x:v>
      </x:c>
      <x:c r="L314" s="6" t="str">
        <x:v>T02, T03</x:v>
      </x:c>
      <x:c r="M314" s="6" t="str">
        <x:v>Find a named item and identify its containing room and floor.</x:v>
      </x:c>
      <x:c r="N314" s="6" t="str">
        <x:v>{"asset_id":"resplan-8431-A00014","space_id":"resplan-8431-F0-S004","space_name":"Bathroom 0.04","floor_level":0,"position":[2.923,2.282]}</x:v>
      </x:c>
      <x:c r="O314" s="6"/>
      <x:c r="P314" s="6" t="str">
        <x:v>Resolve the intended asset and its containing room/floor.</x:v>
      </x:c>
      <x:c r="Q314" s="15"/>
      <x:c r="R314" s="6"/>
      <x:c r="S314" s="16"/>
      <x:c r="T314" s="15"/>
      <x:c r="U314" s="6"/>
      <x:c r="V314" s="6"/>
      <x:c r="W314" s="6" t="str">
        <x:v>Existing search_building. Improve disambiguation and complete result pagination.</x:v>
      </x:c>
      <x:c r="X314" s="6" t="str">
        <x:v>data/train/resplan-8431/questions_basic.jsonl</x:v>
      </x:c>
      <x:c r="Y314" s="14" t="n">
        <x:v>2</x:v>
      </x:c>
      <x:c r="Z314" s="6" t="str">
        <x:v>https://github.com/hagenhaeussler/Industrial-Agents-Hackathon-2026/blob/f41616590b69f3ea0c1cbfb41d6c35edd9ce53df/data/train/resplan-8431/questions_basic.jsonl#L2</x:v>
      </x:c>
      <x:c r="AA314" s="6" t="str">
        <x:v>resplan</x:v>
      </x:c>
      <x:c r="AB314" s="6" t="str">
        <x:v>CC-BY-4.0</x:v>
      </x:c>
    </x:row>
    <x:row r="315" ht="72" customHeight="1">
      <x:c r="A315" s="14" t="n">
        <x:v>310</x:v>
      </x:c>
      <x:c r="B315" s="6" t="str">
        <x:v>locate</x:v>
      </x:c>
      <x:c r="C315" s="6" t="str">
        <x:v>Where is the fridge?</x:v>
      </x:c>
      <x:c r="D315" s="6" t="str">
        <x:v>Kitchen 0.06
Floor level: 0
Asset ID: resplan-8431-A00020
Position (m): 12.53, 2.269</x:v>
      </x:c>
      <x:c r="E315" s="6" t="str">
        <x:v>Reference supplied</x:v>
      </x:c>
      <x:c r="F315" s="6" t="str">
        <x:v>train</x:v>
      </x:c>
      <x:c r="G315" s="6" t="str">
        <x:v>resplan-8431</x:v>
      </x:c>
      <x:c r="H315" s="6" t="str">
        <x:v>resplan-8431-Q03</x:v>
      </x:c>
      <x:c r="I315" s="6" t="str">
        <x:v>Find and count assets</x:v>
      </x:c>
      <x:c r="J315" s="6" t="str">
        <x:v>Warm-up</x:v>
      </x:c>
      <x:c r="K315" s="6" t="str">
        <x:v>Room name, floor and asset identity. Coordinates may help the UI.</x:v>
      </x:c>
      <x:c r="L315" s="6" t="str">
        <x:v>T02, T03</x:v>
      </x:c>
      <x:c r="M315" s="6" t="str">
        <x:v>Find a named item and identify its containing room and floor.</x:v>
      </x:c>
      <x:c r="N315" s="6" t="str">
        <x:v>{"asset_id":"resplan-8431-A00020","space_id":"resplan-8431-F0-S006","space_name":"Kitchen 0.06","floor_level":0,"position":[12.53,2.269]}</x:v>
      </x:c>
      <x:c r="O315" s="6"/>
      <x:c r="P315" s="6" t="str">
        <x:v>Resolve the intended asset and its containing room/floor.</x:v>
      </x:c>
      <x:c r="Q315" s="15"/>
      <x:c r="R315" s="6"/>
      <x:c r="S315" s="16"/>
      <x:c r="T315" s="15"/>
      <x:c r="U315" s="6"/>
      <x:c r="V315" s="6"/>
      <x:c r="W315" s="6" t="str">
        <x:v>Existing search_building. Improve disambiguation and complete result pagination.</x:v>
      </x:c>
      <x:c r="X315" s="6" t="str">
        <x:v>data/train/resplan-8431/questions_basic.jsonl</x:v>
      </x:c>
      <x:c r="Y315" s="14" t="n">
        <x:v>3</x:v>
      </x:c>
      <x:c r="Z315" s="6" t="str">
        <x:v>https://github.com/hagenhaeussler/Industrial-Agents-Hackathon-2026/blob/f41616590b69f3ea0c1cbfb41d6c35edd9ce53df/data/train/resplan-8431/questions_basic.jsonl#L3</x:v>
      </x:c>
      <x:c r="AA315" s="6" t="str">
        <x:v>resplan</x:v>
      </x:c>
      <x:c r="AB315" s="6" t="str">
        <x:v>CC-BY-4.0</x:v>
      </x:c>
    </x:row>
    <x:row r="316" ht="72" customHeight="1">
      <x:c r="A316" s="14" t="n">
        <x:v>311</x:v>
      </x:c>
      <x:c r="B316" s="6" t="str">
        <x:v>locate</x:v>
      </x:c>
      <x:c r="C316" s="6" t="str">
        <x:v>Where is the microwave?</x:v>
      </x:c>
      <x:c r="D316" s="6" t="str">
        <x:v>Kitchen 0.06
Floor level: 0
Asset ID: resplan-8449-A00024
Position (m): 14.52, 11.063</x:v>
      </x:c>
      <x:c r="E316" s="6" t="str">
        <x:v>Reference supplied</x:v>
      </x:c>
      <x:c r="F316" s="6" t="str">
        <x:v>train</x:v>
      </x:c>
      <x:c r="G316" s="6" t="str">
        <x:v>resplan-8449</x:v>
      </x:c>
      <x:c r="H316" s="6" t="str">
        <x:v>resplan-8449-Q01</x:v>
      </x:c>
      <x:c r="I316" s="6" t="str">
        <x:v>Find and count assets</x:v>
      </x:c>
      <x:c r="J316" s="6" t="str">
        <x:v>Warm-up</x:v>
      </x:c>
      <x:c r="K316" s="6" t="str">
        <x:v>Room name, floor and asset identity. Coordinates may help the UI.</x:v>
      </x:c>
      <x:c r="L316" s="6" t="str">
        <x:v>T02, T03</x:v>
      </x:c>
      <x:c r="M316" s="6" t="str">
        <x:v>Find a named item and identify its containing room and floor.</x:v>
      </x:c>
      <x:c r="N316" s="6" t="str">
        <x:v>{"asset_id":"resplan-8449-A00024","space_id":"resplan-8449-F0-S006","space_name":"Kitchen 0.06","floor_level":0,"position":[14.52,11.063]}</x:v>
      </x:c>
      <x:c r="O316" s="6"/>
      <x:c r="P316" s="6" t="str">
        <x:v>Resolve the intended asset and its containing room/floor.</x:v>
      </x:c>
      <x:c r="Q316" s="15"/>
      <x:c r="R316" s="6"/>
      <x:c r="S316" s="16"/>
      <x:c r="T316" s="15"/>
      <x:c r="U316" s="6"/>
      <x:c r="V316" s="6"/>
      <x:c r="W316" s="6" t="str">
        <x:v>Existing search_building. Improve disambiguation and complete result pagination.</x:v>
      </x:c>
      <x:c r="X316" s="6" t="str">
        <x:v>data/train/resplan-8449/questions_basic.jsonl</x:v>
      </x:c>
      <x:c r="Y316" s="14" t="n">
        <x:v>1</x:v>
      </x:c>
      <x:c r="Z316" s="6" t="str">
        <x:v>https://github.com/hagenhaeussler/Industrial-Agents-Hackathon-2026/blob/f41616590b69f3ea0c1cbfb41d6c35edd9ce53df/data/train/resplan-8449/questions_basic.jsonl#L1</x:v>
      </x:c>
      <x:c r="AA316" s="6" t="str">
        <x:v>resplan</x:v>
      </x:c>
      <x:c r="AB316" s="6" t="str">
        <x:v>CC-BY-4.0</x:v>
      </x:c>
    </x:row>
    <x:row r="317" ht="72" customHeight="1">
      <x:c r="A317" s="14" t="n">
        <x:v>312</x:v>
      </x:c>
      <x:c r="B317" s="6" t="str">
        <x:v>locate</x:v>
      </x:c>
      <x:c r="C317" s="6" t="str">
        <x:v>Where is the coffee machine?</x:v>
      </x:c>
      <x:c r="D317" s="6" t="str">
        <x:v>Kitchen 0.06
Floor level: 0
Asset ID: resplan-8449-A00025
Position (m): 13.056, 9.653</x:v>
      </x:c>
      <x:c r="E317" s="6" t="str">
        <x:v>Reference supplied</x:v>
      </x:c>
      <x:c r="F317" s="6" t="str">
        <x:v>train</x:v>
      </x:c>
      <x:c r="G317" s="6" t="str">
        <x:v>resplan-8449</x:v>
      </x:c>
      <x:c r="H317" s="6" t="str">
        <x:v>resplan-8449-Q02</x:v>
      </x:c>
      <x:c r="I317" s="6" t="str">
        <x:v>Find and count assets</x:v>
      </x:c>
      <x:c r="J317" s="6" t="str">
        <x:v>Warm-up</x:v>
      </x:c>
      <x:c r="K317" s="6" t="str">
        <x:v>Room name, floor and asset identity. Coordinates may help the UI.</x:v>
      </x:c>
      <x:c r="L317" s="6" t="str">
        <x:v>T02, T03</x:v>
      </x:c>
      <x:c r="M317" s="6" t="str">
        <x:v>Find a named item and identify its containing room and floor.</x:v>
      </x:c>
      <x:c r="N317" s="6" t="str">
        <x:v>{"asset_id":"resplan-8449-A00025","space_id":"resplan-8449-F0-S006","space_name":"Kitchen 0.06","floor_level":0,"position":[13.056,9.653]}</x:v>
      </x:c>
      <x:c r="O317" s="6"/>
      <x:c r="P317" s="6" t="str">
        <x:v>Resolve the intended asset and its containing room/floor.</x:v>
      </x:c>
      <x:c r="Q317" s="15"/>
      <x:c r="R317" s="6"/>
      <x:c r="S317" s="16"/>
      <x:c r="T317" s="15"/>
      <x:c r="U317" s="6"/>
      <x:c r="V317" s="6"/>
      <x:c r="W317" s="6" t="str">
        <x:v>Existing search_building. Improve disambiguation and complete result pagination.</x:v>
      </x:c>
      <x:c r="X317" s="6" t="str">
        <x:v>data/train/resplan-8449/questions_basic.jsonl</x:v>
      </x:c>
      <x:c r="Y317" s="14" t="n">
        <x:v>2</x:v>
      </x:c>
      <x:c r="Z317" s="6" t="str">
        <x:v>https://github.com/hagenhaeussler/Industrial-Agents-Hackathon-2026/blob/f41616590b69f3ea0c1cbfb41d6c35edd9ce53df/data/train/resplan-8449/questions_basic.jsonl#L2</x:v>
      </x:c>
      <x:c r="AA317" s="6" t="str">
        <x:v>resplan</x:v>
      </x:c>
      <x:c r="AB317" s="6" t="str">
        <x:v>CC-BY-4.0</x:v>
      </x:c>
    </x:row>
    <x:row r="318" ht="72" customHeight="1">
      <x:c r="A318" s="14" t="n">
        <x:v>313</x:v>
      </x:c>
      <x:c r="B318" s="6" t="str">
        <x:v>locate</x:v>
      </x:c>
      <x:c r="C318" s="6" t="str">
        <x:v>Where is the coffee table?</x:v>
      </x:c>
      <x:c r="D318" s="6" t="str">
        <x:v>Living room 0.01
Floor level: 0
Asset ID: resplan-8449-A00002
Position (m): 10.113, 7.449</x:v>
      </x:c>
      <x:c r="E318" s="6" t="str">
        <x:v>Reference supplied</x:v>
      </x:c>
      <x:c r="F318" s="6" t="str">
        <x:v>train</x:v>
      </x:c>
      <x:c r="G318" s="6" t="str">
        <x:v>resplan-8449</x:v>
      </x:c>
      <x:c r="H318" s="6" t="str">
        <x:v>resplan-8449-Q03</x:v>
      </x:c>
      <x:c r="I318" s="6" t="str">
        <x:v>Find and count assets</x:v>
      </x:c>
      <x:c r="J318" s="6" t="str">
        <x:v>Warm-up</x:v>
      </x:c>
      <x:c r="K318" s="6" t="str">
        <x:v>Room name, floor and asset identity. Coordinates may help the UI.</x:v>
      </x:c>
      <x:c r="L318" s="6" t="str">
        <x:v>T02, T03</x:v>
      </x:c>
      <x:c r="M318" s="6" t="str">
        <x:v>Find a named item and identify its containing room and floor.</x:v>
      </x:c>
      <x:c r="N318" s="6" t="str">
        <x:v>{"asset_id":"resplan-8449-A00002","space_id":"resplan-8449-F0-S001","space_name":"Living room 0.01","floor_level":0,"position":[10.113,7.449]}</x:v>
      </x:c>
      <x:c r="O318" s="6"/>
      <x:c r="P318" s="6" t="str">
        <x:v>Resolve the intended asset and its containing room/floor.</x:v>
      </x:c>
      <x:c r="Q318" s="15"/>
      <x:c r="R318" s="6"/>
      <x:c r="S318" s="16"/>
      <x:c r="T318" s="15"/>
      <x:c r="U318" s="6"/>
      <x:c r="V318" s="6"/>
      <x:c r="W318" s="6" t="str">
        <x:v>Existing search_building. Improve disambiguation and complete result pagination.</x:v>
      </x:c>
      <x:c r="X318" s="6" t="str">
        <x:v>data/train/resplan-8449/questions_basic.jsonl</x:v>
      </x:c>
      <x:c r="Y318" s="14" t="n">
        <x:v>3</x:v>
      </x:c>
      <x:c r="Z318" s="6" t="str">
        <x:v>https://github.com/hagenhaeussler/Industrial-Agents-Hackathon-2026/blob/f41616590b69f3ea0c1cbfb41d6c35edd9ce53df/data/train/resplan-8449/questions_basic.jsonl#L3</x:v>
      </x:c>
      <x:c r="AA318" s="6" t="str">
        <x:v>resplan</x:v>
      </x:c>
      <x:c r="AB318" s="6" t="str">
        <x:v>CC-BY-4.0</x:v>
      </x:c>
    </x:row>
    <x:row r="319" ht="72" customHeight="1">
      <x:c r="A319" s="14" t="n">
        <x:v>314</x:v>
      </x:c>
      <x:c r="B319" s="6" t="str">
        <x:v>locate</x:v>
      </x:c>
      <x:c r="C319" s="6" t="str">
        <x:v>Where is the armchair?</x:v>
      </x:c>
      <x:c r="D319" s="6" t="str">
        <x:v>Living room 0.01
Floor level: 0
Asset ID: resplan-8565-A00006
Position (m): 5.228, 4.565</x:v>
      </x:c>
      <x:c r="E319" s="6" t="str">
        <x:v>Reference supplied</x:v>
      </x:c>
      <x:c r="F319" s="6" t="str">
        <x:v>train</x:v>
      </x:c>
      <x:c r="G319" s="6" t="str">
        <x:v>resplan-8565</x:v>
      </x:c>
      <x:c r="H319" s="6" t="str">
        <x:v>resplan-8565-Q01</x:v>
      </x:c>
      <x:c r="I319" s="6" t="str">
        <x:v>Find and count assets</x:v>
      </x:c>
      <x:c r="J319" s="6" t="str">
        <x:v>Warm-up</x:v>
      </x:c>
      <x:c r="K319" s="6" t="str">
        <x:v>Room name, floor and asset identity. Coordinates may help the UI.</x:v>
      </x:c>
      <x:c r="L319" s="6" t="str">
        <x:v>T02, T03</x:v>
      </x:c>
      <x:c r="M319" s="6" t="str">
        <x:v>Find a named item and identify its containing room and floor.</x:v>
      </x:c>
      <x:c r="N319" s="6" t="str">
        <x:v>{"asset_id":"resplan-8565-A00006","space_id":"resplan-8565-F0-S001","space_name":"Living room 0.01","floor_level":0,"position":[5.228,4.565]}</x:v>
      </x:c>
      <x:c r="O319" s="6"/>
      <x:c r="P319" s="6" t="str">
        <x:v>Resolve the intended asset and its containing room/floor.</x:v>
      </x:c>
      <x:c r="Q319" s="15"/>
      <x:c r="R319" s="6"/>
      <x:c r="S319" s="16"/>
      <x:c r="T319" s="15"/>
      <x:c r="U319" s="6"/>
      <x:c r="V319" s="6"/>
      <x:c r="W319" s="6" t="str">
        <x:v>Existing search_building. Improve disambiguation and complete result pagination.</x:v>
      </x:c>
      <x:c r="X319" s="6" t="str">
        <x:v>data/train/resplan-8565/questions_basic.jsonl</x:v>
      </x:c>
      <x:c r="Y319" s="14" t="n">
        <x:v>1</x:v>
      </x:c>
      <x:c r="Z319" s="6" t="str">
        <x:v>https://github.com/hagenhaeussler/Industrial-Agents-Hackathon-2026/blob/f41616590b69f3ea0c1cbfb41d6c35edd9ce53df/data/train/resplan-8565/questions_basic.jsonl#L1</x:v>
      </x:c>
      <x:c r="AA319" s="6" t="str">
        <x:v>resplan</x:v>
      </x:c>
      <x:c r="AB319" s="6" t="str">
        <x:v>CC-BY-4.0</x:v>
      </x:c>
    </x:row>
    <x:row r="320" ht="72" customHeight="1">
      <x:c r="A320" s="14" t="n">
        <x:v>315</x:v>
      </x:c>
      <x:c r="B320" s="6" t="str">
        <x:v>locate</x:v>
      </x:c>
      <x:c r="C320" s="6" t="str">
        <x:v>Where is the washing machine?</x:v>
      </x:c>
      <x:c r="D320" s="6" t="str">
        <x:v>Bathroom 0.06
Floor level: 0
Asset ID: resplan-8565-A00025
Position (m): 15.09, 5.384</x:v>
      </x:c>
      <x:c r="E320" s="6" t="str">
        <x:v>Reference supplied</x:v>
      </x:c>
      <x:c r="F320" s="6" t="str">
        <x:v>train</x:v>
      </x:c>
      <x:c r="G320" s="6" t="str">
        <x:v>resplan-8565</x:v>
      </x:c>
      <x:c r="H320" s="6" t="str">
        <x:v>resplan-8565-Q02</x:v>
      </x:c>
      <x:c r="I320" s="6" t="str">
        <x:v>Find and count assets</x:v>
      </x:c>
      <x:c r="J320" s="6" t="str">
        <x:v>Warm-up</x:v>
      </x:c>
      <x:c r="K320" s="6" t="str">
        <x:v>Room name, floor and asset identity. Coordinates may help the UI.</x:v>
      </x:c>
      <x:c r="L320" s="6" t="str">
        <x:v>T02, T03</x:v>
      </x:c>
      <x:c r="M320" s="6" t="str">
        <x:v>Find a named item and identify its containing room and floor.</x:v>
      </x:c>
      <x:c r="N320" s="6" t="str">
        <x:v>{"asset_id":"resplan-8565-A00025","space_id":"resplan-8565-F0-S006","space_name":"Bathroom 0.06","floor_level":0,"position":[15.09,5.384]}</x:v>
      </x:c>
      <x:c r="O320" s="6"/>
      <x:c r="P320" s="6" t="str">
        <x:v>Resolve the intended asset and its containing room/floor.</x:v>
      </x:c>
      <x:c r="Q320" s="15"/>
      <x:c r="R320" s="6"/>
      <x:c r="S320" s="16"/>
      <x:c r="T320" s="15"/>
      <x:c r="U320" s="6"/>
      <x:c r="V320" s="6"/>
      <x:c r="W320" s="6" t="str">
        <x:v>Existing search_building. Improve disambiguation and complete result pagination.</x:v>
      </x:c>
      <x:c r="X320" s="6" t="str">
        <x:v>data/train/resplan-8565/questions_basic.jsonl</x:v>
      </x:c>
      <x:c r="Y320" s="14" t="n">
        <x:v>2</x:v>
      </x:c>
      <x:c r="Z320" s="6" t="str">
        <x:v>https://github.com/hagenhaeussler/Industrial-Agents-Hackathon-2026/blob/f41616590b69f3ea0c1cbfb41d6c35edd9ce53df/data/train/resplan-8565/questions_basic.jsonl#L2</x:v>
      </x:c>
      <x:c r="AA320" s="6" t="str">
        <x:v>resplan</x:v>
      </x:c>
      <x:c r="AB320" s="6" t="str">
        <x:v>CC-BY-4.0</x:v>
      </x:c>
    </x:row>
    <x:row r="321" ht="72" customHeight="1">
      <x:c r="A321" s="14" t="n">
        <x:v>316</x:v>
      </x:c>
      <x:c r="B321" s="6" t="str">
        <x:v>locate</x:v>
      </x:c>
      <x:c r="C321" s="6" t="str">
        <x:v>Where is the coffee table?</x:v>
      </x:c>
      <x:c r="D321" s="6" t="str">
        <x:v>Living room 0.01
Floor level: 0
Asset ID: resplan-8565-A00002
Position (m): 5.466, 6.882</x:v>
      </x:c>
      <x:c r="E321" s="6" t="str">
        <x:v>Reference supplied</x:v>
      </x:c>
      <x:c r="F321" s="6" t="str">
        <x:v>train</x:v>
      </x:c>
      <x:c r="G321" s="6" t="str">
        <x:v>resplan-8565</x:v>
      </x:c>
      <x:c r="H321" s="6" t="str">
        <x:v>resplan-8565-Q03</x:v>
      </x:c>
      <x:c r="I321" s="6" t="str">
        <x:v>Find and count assets</x:v>
      </x:c>
      <x:c r="J321" s="6" t="str">
        <x:v>Warm-up</x:v>
      </x:c>
      <x:c r="K321" s="6" t="str">
        <x:v>Room name, floor and asset identity. Coordinates may help the UI.</x:v>
      </x:c>
      <x:c r="L321" s="6" t="str">
        <x:v>T02, T03</x:v>
      </x:c>
      <x:c r="M321" s="6" t="str">
        <x:v>Find a named item and identify its containing room and floor.</x:v>
      </x:c>
      <x:c r="N321" s="6" t="str">
        <x:v>{"asset_id":"resplan-8565-A00002","space_id":"resplan-8565-F0-S001","space_name":"Living room 0.01","floor_level":0,"position":[5.466,6.882]}</x:v>
      </x:c>
      <x:c r="O321" s="6"/>
      <x:c r="P321" s="6" t="str">
        <x:v>Resolve the intended asset and its containing room/floor.</x:v>
      </x:c>
      <x:c r="Q321" s="15"/>
      <x:c r="R321" s="6"/>
      <x:c r="S321" s="16"/>
      <x:c r="T321" s="15"/>
      <x:c r="U321" s="6"/>
      <x:c r="V321" s="6"/>
      <x:c r="W321" s="6" t="str">
        <x:v>Existing search_building. Improve disambiguation and complete result pagination.</x:v>
      </x:c>
      <x:c r="X321" s="6" t="str">
        <x:v>data/train/resplan-8565/questions_basic.jsonl</x:v>
      </x:c>
      <x:c r="Y321" s="14" t="n">
        <x:v>3</x:v>
      </x:c>
      <x:c r="Z321" s="6" t="str">
        <x:v>https://github.com/hagenhaeussler/Industrial-Agents-Hackathon-2026/blob/f41616590b69f3ea0c1cbfb41d6c35edd9ce53df/data/train/resplan-8565/questions_basic.jsonl#L3</x:v>
      </x:c>
      <x:c r="AA321" s="6" t="str">
        <x:v>resplan</x:v>
      </x:c>
      <x:c r="AB321" s="6" t="str">
        <x:v>CC-BY-4.0</x:v>
      </x:c>
    </x:row>
    <x:row r="322" ht="72" customHeight="1">
      <x:c r="A322" s="14" t="n">
        <x:v>317</x:v>
      </x:c>
      <x:c r="B322" s="6" t="str">
        <x:v>locate</x:v>
      </x:c>
      <x:c r="C322" s="6" t="str">
        <x:v>Where is the coffee table?</x:v>
      </x:c>
      <x:c r="D322" s="6" t="str">
        <x:v>Living room 0.01
Floor level: 0
Asset ID: resplan-8889-A00002
Position (m): 9.428, 6.152</x:v>
      </x:c>
      <x:c r="E322" s="6" t="str">
        <x:v>Reference supplied</x:v>
      </x:c>
      <x:c r="F322" s="6" t="str">
        <x:v>train</x:v>
      </x:c>
      <x:c r="G322" s="6" t="str">
        <x:v>resplan-8889</x:v>
      </x:c>
      <x:c r="H322" s="6" t="str">
        <x:v>resplan-8889-Q01</x:v>
      </x:c>
      <x:c r="I322" s="6" t="str">
        <x:v>Find and count assets</x:v>
      </x:c>
      <x:c r="J322" s="6" t="str">
        <x:v>Warm-up</x:v>
      </x:c>
      <x:c r="K322" s="6" t="str">
        <x:v>Room name, floor and asset identity. Coordinates may help the UI.</x:v>
      </x:c>
      <x:c r="L322" s="6" t="str">
        <x:v>T02, T03</x:v>
      </x:c>
      <x:c r="M322" s="6" t="str">
        <x:v>Find a named item and identify its containing room and floor.</x:v>
      </x:c>
      <x:c r="N322" s="6" t="str">
        <x:v>{"asset_id":"resplan-8889-A00002","space_id":"resplan-8889-F0-S001","space_name":"Living room 0.01","floor_level":0,"position":[9.428,6.152]}</x:v>
      </x:c>
      <x:c r="O322" s="6"/>
      <x:c r="P322" s="6" t="str">
        <x:v>Resolve the intended asset and its containing room/floor.</x:v>
      </x:c>
      <x:c r="Q322" s="15"/>
      <x:c r="R322" s="6"/>
      <x:c r="S322" s="16"/>
      <x:c r="T322" s="15"/>
      <x:c r="U322" s="6"/>
      <x:c r="V322" s="6"/>
      <x:c r="W322" s="6" t="str">
        <x:v>Existing search_building. Improve disambiguation and complete result pagination.</x:v>
      </x:c>
      <x:c r="X322" s="6" t="str">
        <x:v>data/train/resplan-8889/questions_basic.jsonl</x:v>
      </x:c>
      <x:c r="Y322" s="14" t="n">
        <x:v>1</x:v>
      </x:c>
      <x:c r="Z322" s="6" t="str">
        <x:v>https://github.com/hagenhaeussler/Industrial-Agents-Hackathon-2026/blob/f41616590b69f3ea0c1cbfb41d6c35edd9ce53df/data/train/resplan-8889/questions_basic.jsonl#L1</x:v>
      </x:c>
      <x:c r="AA322" s="6" t="str">
        <x:v>resplan</x:v>
      </x:c>
      <x:c r="AB322" s="6" t="str">
        <x:v>CC-BY-4.0</x:v>
      </x:c>
    </x:row>
    <x:row r="323" ht="72" customHeight="1">
      <x:c r="A323" s="14" t="n">
        <x:v>318</x:v>
      </x:c>
      <x:c r="B323" s="6" t="str">
        <x:v>locate</x:v>
      </x:c>
      <x:c r="C323" s="6" t="str">
        <x:v>Where is the shower?</x:v>
      </x:c>
      <x:c r="D323" s="6" t="str">
        <x:v>Bathroom 0.04
Floor level: 0
Asset ID: resplan-8889-A00019
Position (m): 6.918, 2.855</x:v>
      </x:c>
      <x:c r="E323" s="6" t="str">
        <x:v>Reference supplied</x:v>
      </x:c>
      <x:c r="F323" s="6" t="str">
        <x:v>train</x:v>
      </x:c>
      <x:c r="G323" s="6" t="str">
        <x:v>resplan-8889</x:v>
      </x:c>
      <x:c r="H323" s="6" t="str">
        <x:v>resplan-8889-Q02</x:v>
      </x:c>
      <x:c r="I323" s="6" t="str">
        <x:v>Find and count assets</x:v>
      </x:c>
      <x:c r="J323" s="6" t="str">
        <x:v>Warm-up</x:v>
      </x:c>
      <x:c r="K323" s="6" t="str">
        <x:v>Room name, floor and asset identity. Coordinates may help the UI.</x:v>
      </x:c>
      <x:c r="L323" s="6" t="str">
        <x:v>T02, T03</x:v>
      </x:c>
      <x:c r="M323" s="6" t="str">
        <x:v>Find a named item and identify its containing room and floor.</x:v>
      </x:c>
      <x:c r="N323" s="6" t="str">
        <x:v>{"asset_id":"resplan-8889-A00019","space_id":"resplan-8889-F0-S004","space_name":"Bathroom 0.04","floor_level":0,"position":[6.918,2.855]}</x:v>
      </x:c>
      <x:c r="O323" s="6"/>
      <x:c r="P323" s="6" t="str">
        <x:v>Resolve the intended asset and its containing room/floor.</x:v>
      </x:c>
      <x:c r="Q323" s="15"/>
      <x:c r="R323" s="6"/>
      <x:c r="S323" s="16"/>
      <x:c r="T323" s="15"/>
      <x:c r="U323" s="6"/>
      <x:c r="V323" s="6"/>
      <x:c r="W323" s="6" t="str">
        <x:v>Existing search_building. Improve disambiguation and complete result pagination.</x:v>
      </x:c>
      <x:c r="X323" s="6" t="str">
        <x:v>data/train/resplan-8889/questions_basic.jsonl</x:v>
      </x:c>
      <x:c r="Y323" s="14" t="n">
        <x:v>2</x:v>
      </x:c>
      <x:c r="Z323" s="6" t="str">
        <x:v>https://github.com/hagenhaeussler/Industrial-Agents-Hackathon-2026/blob/f41616590b69f3ea0c1cbfb41d6c35edd9ce53df/data/train/resplan-8889/questions_basic.jsonl#L2</x:v>
      </x:c>
      <x:c r="AA323" s="6" t="str">
        <x:v>resplan</x:v>
      </x:c>
      <x:c r="AB323" s="6" t="str">
        <x:v>CC-BY-4.0</x:v>
      </x:c>
    </x:row>
    <x:row r="324" ht="72" customHeight="1">
      <x:c r="A324" s="14" t="n">
        <x:v>319</x:v>
      </x:c>
      <x:c r="B324" s="6" t="str">
        <x:v>locate</x:v>
      </x:c>
      <x:c r="C324" s="6" t="str">
        <x:v>Where is the fridge?</x:v>
      </x:c>
      <x:c r="D324" s="6" t="str">
        <x:v>Kitchen 0.06
Floor level: 0
Asset ID: resplan-8889-A00024
Position (m): 4.951, 4.289</x:v>
      </x:c>
      <x:c r="E324" s="6" t="str">
        <x:v>Reference supplied</x:v>
      </x:c>
      <x:c r="F324" s="6" t="str">
        <x:v>train</x:v>
      </x:c>
      <x:c r="G324" s="6" t="str">
        <x:v>resplan-8889</x:v>
      </x:c>
      <x:c r="H324" s="6" t="str">
        <x:v>resplan-8889-Q03</x:v>
      </x:c>
      <x:c r="I324" s="6" t="str">
        <x:v>Find and count assets</x:v>
      </x:c>
      <x:c r="J324" s="6" t="str">
        <x:v>Warm-up</x:v>
      </x:c>
      <x:c r="K324" s="6" t="str">
        <x:v>Room name, floor and asset identity. Coordinates may help the UI.</x:v>
      </x:c>
      <x:c r="L324" s="6" t="str">
        <x:v>T02, T03</x:v>
      </x:c>
      <x:c r="M324" s="6" t="str">
        <x:v>Find a named item and identify its containing room and floor.</x:v>
      </x:c>
      <x:c r="N324" s="6" t="str">
        <x:v>{"asset_id":"resplan-8889-A00024","space_id":"resplan-8889-F0-S006","space_name":"Kitchen 0.06","floor_level":0,"position":[4.951,4.289]}</x:v>
      </x:c>
      <x:c r="O324" s="6"/>
      <x:c r="P324" s="6" t="str">
        <x:v>Resolve the intended asset and its containing room/floor.</x:v>
      </x:c>
      <x:c r="Q324" s="15"/>
      <x:c r="R324" s="6"/>
      <x:c r="S324" s="16"/>
      <x:c r="T324" s="15"/>
      <x:c r="U324" s="6"/>
      <x:c r="V324" s="6"/>
      <x:c r="W324" s="6" t="str">
        <x:v>Existing search_building. Improve disambiguation and complete result pagination.</x:v>
      </x:c>
      <x:c r="X324" s="6" t="str">
        <x:v>data/train/resplan-8889/questions_basic.jsonl</x:v>
      </x:c>
      <x:c r="Y324" s="14" t="n">
        <x:v>3</x:v>
      </x:c>
      <x:c r="Z324" s="6" t="str">
        <x:v>https://github.com/hagenhaeussler/Industrial-Agents-Hackathon-2026/blob/f41616590b69f3ea0c1cbfb41d6c35edd9ce53df/data/train/resplan-8889/questions_basic.jsonl#L3</x:v>
      </x:c>
      <x:c r="AA324" s="6" t="str">
        <x:v>resplan</x:v>
      </x:c>
      <x:c r="AB324" s="6" t="str">
        <x:v>CC-BY-4.0</x:v>
      </x:c>
    </x:row>
    <x:row r="325" ht="72" customHeight="1">
      <x:c r="A325" s="14" t="n">
        <x:v>320</x:v>
      </x:c>
      <x:c r="B325" s="6" t="str">
        <x:v>locate</x:v>
      </x:c>
      <x:c r="C325" s="6" t="str">
        <x:v>Where is the sofa?</x:v>
      </x:c>
      <x:c r="D325" s="6" t="str">
        <x:v>Living room 0.01
Floor level: 0
Asset ID: resplan-9082-A00001
Position (m): 8.679, 6.48</x:v>
      </x:c>
      <x:c r="E325" s="6" t="str">
        <x:v>Reference supplied</x:v>
      </x:c>
      <x:c r="F325" s="6" t="str">
        <x:v>train</x:v>
      </x:c>
      <x:c r="G325" s="6" t="str">
        <x:v>resplan-9082</x:v>
      </x:c>
      <x:c r="H325" s="6" t="str">
        <x:v>resplan-9082-Q01</x:v>
      </x:c>
      <x:c r="I325" s="6" t="str">
        <x:v>Find and count assets</x:v>
      </x:c>
      <x:c r="J325" s="6" t="str">
        <x:v>Warm-up</x:v>
      </x:c>
      <x:c r="K325" s="6" t="str">
        <x:v>Room name, floor and asset identity. Coordinates may help the UI.</x:v>
      </x:c>
      <x:c r="L325" s="6" t="str">
        <x:v>T02, T03</x:v>
      </x:c>
      <x:c r="M325" s="6" t="str">
        <x:v>Find a named item and identify its containing room and floor.</x:v>
      </x:c>
      <x:c r="N325" s="6" t="str">
        <x:v>{"asset_id":"resplan-9082-A00001","space_id":"resplan-9082-F0-S001","space_name":"Living room 0.01","floor_level":0,"position":[8.679,6.48]}</x:v>
      </x:c>
      <x:c r="O325" s="6"/>
      <x:c r="P325" s="6" t="str">
        <x:v>Resolve the intended asset and its containing room/floor.</x:v>
      </x:c>
      <x:c r="Q325" s="15"/>
      <x:c r="R325" s="6"/>
      <x:c r="S325" s="16"/>
      <x:c r="T325" s="15"/>
      <x:c r="U325" s="6"/>
      <x:c r="V325" s="6"/>
      <x:c r="W325" s="6" t="str">
        <x:v>Existing search_building. Improve disambiguation and complete result pagination.</x:v>
      </x:c>
      <x:c r="X325" s="6" t="str">
        <x:v>data/train/resplan-9082/questions_basic.jsonl</x:v>
      </x:c>
      <x:c r="Y325" s="14" t="n">
        <x:v>1</x:v>
      </x:c>
      <x:c r="Z325" s="6" t="str">
        <x:v>https://github.com/hagenhaeussler/Industrial-Agents-Hackathon-2026/blob/f41616590b69f3ea0c1cbfb41d6c35edd9ce53df/data/train/resplan-9082/questions_basic.jsonl#L1</x:v>
      </x:c>
      <x:c r="AA325" s="6" t="str">
        <x:v>resplan</x:v>
      </x:c>
      <x:c r="AB325" s="6" t="str">
        <x:v>CC-BY-4.0</x:v>
      </x:c>
    </x:row>
    <x:row r="326" ht="72" customHeight="1">
      <x:c r="A326" s="14" t="n">
        <x:v>321</x:v>
      </x:c>
      <x:c r="B326" s="6" t="str">
        <x:v>locate</x:v>
      </x:c>
      <x:c r="C326" s="6" t="str">
        <x:v>Where is the coffee table?</x:v>
      </x:c>
      <x:c r="D326" s="6" t="str">
        <x:v>Living room 0.01
Floor level: 0
Asset ID: resplan-9082-A00002
Position (m): 8.671, 7.51</x:v>
      </x:c>
      <x:c r="E326" s="6" t="str">
        <x:v>Reference supplied</x:v>
      </x:c>
      <x:c r="F326" s="6" t="str">
        <x:v>train</x:v>
      </x:c>
      <x:c r="G326" s="6" t="str">
        <x:v>resplan-9082</x:v>
      </x:c>
      <x:c r="H326" s="6" t="str">
        <x:v>resplan-9082-Q02</x:v>
      </x:c>
      <x:c r="I326" s="6" t="str">
        <x:v>Find and count assets</x:v>
      </x:c>
      <x:c r="J326" s="6" t="str">
        <x:v>Warm-up</x:v>
      </x:c>
      <x:c r="K326" s="6" t="str">
        <x:v>Room name, floor and asset identity. Coordinates may help the UI.</x:v>
      </x:c>
      <x:c r="L326" s="6" t="str">
        <x:v>T02, T03</x:v>
      </x:c>
      <x:c r="M326" s="6" t="str">
        <x:v>Find a named item and identify its containing room and floor.</x:v>
      </x:c>
      <x:c r="N326" s="6" t="str">
        <x:v>{"asset_id":"resplan-9082-A00002","space_id":"resplan-9082-F0-S001","space_name":"Living room 0.01","floor_level":0,"position":[8.671,7.51]}</x:v>
      </x:c>
      <x:c r="O326" s="6"/>
      <x:c r="P326" s="6" t="str">
        <x:v>Resolve the intended asset and its containing room/floor.</x:v>
      </x:c>
      <x:c r="Q326" s="15"/>
      <x:c r="R326" s="6"/>
      <x:c r="S326" s="16"/>
      <x:c r="T326" s="15"/>
      <x:c r="U326" s="6"/>
      <x:c r="V326" s="6"/>
      <x:c r="W326" s="6" t="str">
        <x:v>Existing search_building. Improve disambiguation and complete result pagination.</x:v>
      </x:c>
      <x:c r="X326" s="6" t="str">
        <x:v>data/train/resplan-9082/questions_basic.jsonl</x:v>
      </x:c>
      <x:c r="Y326" s="14" t="n">
        <x:v>2</x:v>
      </x:c>
      <x:c r="Z326" s="6" t="str">
        <x:v>https://github.com/hagenhaeussler/Industrial-Agents-Hackathon-2026/blob/f41616590b69f3ea0c1cbfb41d6c35edd9ce53df/data/train/resplan-9082/questions_basic.jsonl#L2</x:v>
      </x:c>
      <x:c r="AA326" s="6" t="str">
        <x:v>resplan</x:v>
      </x:c>
      <x:c r="AB326" s="6" t="str">
        <x:v>CC-BY-4.0</x:v>
      </x:c>
    </x:row>
    <x:row r="327" ht="72" customHeight="1">
      <x:c r="A327" s="14" t="n">
        <x:v>322</x:v>
      </x:c>
      <x:c r="B327" s="6" t="str">
        <x:v>locate</x:v>
      </x:c>
      <x:c r="C327" s="6" t="str">
        <x:v>Where is the dining table?</x:v>
      </x:c>
      <x:c r="D327" s="6" t="str">
        <x:v>Living room 0.01
Floor level: 0
Asset ID: resplan-9082-A00004
Position (m): 14.724, 7.167</x:v>
      </x:c>
      <x:c r="E327" s="6" t="str">
        <x:v>Reference supplied</x:v>
      </x:c>
      <x:c r="F327" s="6" t="str">
        <x:v>train</x:v>
      </x:c>
      <x:c r="G327" s="6" t="str">
        <x:v>resplan-9082</x:v>
      </x:c>
      <x:c r="H327" s="6" t="str">
        <x:v>resplan-9082-Q03</x:v>
      </x:c>
      <x:c r="I327" s="6" t="str">
        <x:v>Find and count assets</x:v>
      </x:c>
      <x:c r="J327" s="6" t="str">
        <x:v>Warm-up</x:v>
      </x:c>
      <x:c r="K327" s="6" t="str">
        <x:v>Room name, floor and asset identity. Coordinates may help the UI.</x:v>
      </x:c>
      <x:c r="L327" s="6" t="str">
        <x:v>T02, T03</x:v>
      </x:c>
      <x:c r="M327" s="6" t="str">
        <x:v>Find a named item and identify its containing room and floor.</x:v>
      </x:c>
      <x:c r="N327" s="6" t="str">
        <x:v>{"asset_id":"resplan-9082-A00004","space_id":"resplan-9082-F0-S001","space_name":"Living room 0.01","floor_level":0,"position":[14.724,7.167]}</x:v>
      </x:c>
      <x:c r="O327" s="6"/>
      <x:c r="P327" s="6" t="str">
        <x:v>Resolve the intended asset and its containing room/floor.</x:v>
      </x:c>
      <x:c r="Q327" s="15"/>
      <x:c r="R327" s="6"/>
      <x:c r="S327" s="16"/>
      <x:c r="T327" s="15"/>
      <x:c r="U327" s="6"/>
      <x:c r="V327" s="6"/>
      <x:c r="W327" s="6" t="str">
        <x:v>Existing search_building. Improve disambiguation and complete result pagination.</x:v>
      </x:c>
      <x:c r="X327" s="6" t="str">
        <x:v>data/train/resplan-9082/questions_basic.jsonl</x:v>
      </x:c>
      <x:c r="Y327" s="14" t="n">
        <x:v>3</x:v>
      </x:c>
      <x:c r="Z327" s="6" t="str">
        <x:v>https://github.com/hagenhaeussler/Industrial-Agents-Hackathon-2026/blob/f41616590b69f3ea0c1cbfb41d6c35edd9ce53df/data/train/resplan-9082/questions_basic.jsonl#L3</x:v>
      </x:c>
      <x:c r="AA327" s="6" t="str">
        <x:v>resplan</x:v>
      </x:c>
      <x:c r="AB327" s="6" t="str">
        <x:v>CC-BY-4.0</x:v>
      </x:c>
    </x:row>
    <x:row r="328" ht="72" customHeight="1">
      <x:c r="A328" s="14" t="n">
        <x:v>323</x:v>
      </x:c>
      <x:c r="B328" s="6" t="str">
        <x:v>locate</x:v>
      </x:c>
      <x:c r="C328" s="6" t="str">
        <x:v>Where is the armchair?</x:v>
      </x:c>
      <x:c r="D328" s="6" t="str">
        <x:v>Living room 0.01
Floor level: 0
Asset ID: resplan-9204-A00004
Position (m): 9.319, 7.637</x:v>
      </x:c>
      <x:c r="E328" s="6" t="str">
        <x:v>Reference supplied</x:v>
      </x:c>
      <x:c r="F328" s="6" t="str">
        <x:v>train</x:v>
      </x:c>
      <x:c r="G328" s="6" t="str">
        <x:v>resplan-9204</x:v>
      </x:c>
      <x:c r="H328" s="6" t="str">
        <x:v>resplan-9204-Q01</x:v>
      </x:c>
      <x:c r="I328" s="6" t="str">
        <x:v>Find and count assets</x:v>
      </x:c>
      <x:c r="J328" s="6" t="str">
        <x:v>Warm-up</x:v>
      </x:c>
      <x:c r="K328" s="6" t="str">
        <x:v>Room name, floor and asset identity. Coordinates may help the UI.</x:v>
      </x:c>
      <x:c r="L328" s="6" t="str">
        <x:v>T02, T03</x:v>
      </x:c>
      <x:c r="M328" s="6" t="str">
        <x:v>Find a named item and identify its containing room and floor.</x:v>
      </x:c>
      <x:c r="N328" s="6" t="str">
        <x:v>{"asset_id":"resplan-9204-A00004","space_id":"resplan-9204-F0-S001","space_name":"Living room 0.01","floor_level":0,"position":[9.319,7.637]}</x:v>
      </x:c>
      <x:c r="O328" s="6"/>
      <x:c r="P328" s="6" t="str">
        <x:v>Resolve the intended asset and its containing room/floor.</x:v>
      </x:c>
      <x:c r="Q328" s="15"/>
      <x:c r="R328" s="6"/>
      <x:c r="S328" s="16"/>
      <x:c r="T328" s="15"/>
      <x:c r="U328" s="6"/>
      <x:c r="V328" s="6"/>
      <x:c r="W328" s="6" t="str">
        <x:v>Existing search_building. Improve disambiguation and complete result pagination.</x:v>
      </x:c>
      <x:c r="X328" s="6" t="str">
        <x:v>data/train/resplan-9204/questions_basic.jsonl</x:v>
      </x:c>
      <x:c r="Y328" s="14" t="n">
        <x:v>1</x:v>
      </x:c>
      <x:c r="Z328" s="6" t="str">
        <x:v>https://github.com/hagenhaeussler/Industrial-Agents-Hackathon-2026/blob/f41616590b69f3ea0c1cbfb41d6c35edd9ce53df/data/train/resplan-9204/questions_basic.jsonl#L1</x:v>
      </x:c>
      <x:c r="AA328" s="6" t="str">
        <x:v>resplan</x:v>
      </x:c>
      <x:c r="AB328" s="6" t="str">
        <x:v>CC-BY-4.0</x:v>
      </x:c>
    </x:row>
    <x:row r="329" ht="72" customHeight="1">
      <x:c r="A329" s="14" t="n">
        <x:v>324</x:v>
      </x:c>
      <x:c r="B329" s="6" t="str">
        <x:v>locate</x:v>
      </x:c>
      <x:c r="C329" s="6" t="str">
        <x:v>Where is the coffee machine?</x:v>
      </x:c>
      <x:c r="D329" s="6" t="str">
        <x:v>Kitchen 0.07
Floor level: 0
Asset ID: resplan-9204-A00023
Position (m): 1.493, 10.153</x:v>
      </x:c>
      <x:c r="E329" s="6" t="str">
        <x:v>Reference supplied</x:v>
      </x:c>
      <x:c r="F329" s="6" t="str">
        <x:v>train</x:v>
      </x:c>
      <x:c r="G329" s="6" t="str">
        <x:v>resplan-9204</x:v>
      </x:c>
      <x:c r="H329" s="6" t="str">
        <x:v>resplan-9204-Q02</x:v>
      </x:c>
      <x:c r="I329" s="6" t="str">
        <x:v>Find and count assets</x:v>
      </x:c>
      <x:c r="J329" s="6" t="str">
        <x:v>Warm-up</x:v>
      </x:c>
      <x:c r="K329" s="6" t="str">
        <x:v>Room name, floor and asset identity. Coordinates may help the UI.</x:v>
      </x:c>
      <x:c r="L329" s="6" t="str">
        <x:v>T02, T03</x:v>
      </x:c>
      <x:c r="M329" s="6" t="str">
        <x:v>Find a named item and identify its containing room and floor.</x:v>
      </x:c>
      <x:c r="N329" s="6" t="str">
        <x:v>{"asset_id":"resplan-9204-A00023","space_id":"resplan-9204-F0-S007","space_name":"Kitchen 0.07","floor_level":0,"position":[1.493,10.153]}</x:v>
      </x:c>
      <x:c r="O329" s="6"/>
      <x:c r="P329" s="6" t="str">
        <x:v>Resolve the intended asset and its containing room/floor.</x:v>
      </x:c>
      <x:c r="Q329" s="15"/>
      <x:c r="R329" s="6"/>
      <x:c r="S329" s="16"/>
      <x:c r="T329" s="15"/>
      <x:c r="U329" s="6"/>
      <x:c r="V329" s="6"/>
      <x:c r="W329" s="6" t="str">
        <x:v>Existing search_building. Improve disambiguation and complete result pagination.</x:v>
      </x:c>
      <x:c r="X329" s="6" t="str">
        <x:v>data/train/resplan-9204/questions_basic.jsonl</x:v>
      </x:c>
      <x:c r="Y329" s="14" t="n">
        <x:v>2</x:v>
      </x:c>
      <x:c r="Z329" s="6" t="str">
        <x:v>https://github.com/hagenhaeussler/Industrial-Agents-Hackathon-2026/blob/f41616590b69f3ea0c1cbfb41d6c35edd9ce53df/data/train/resplan-9204/questions_basic.jsonl#L2</x:v>
      </x:c>
      <x:c r="AA329" s="6" t="str">
        <x:v>resplan</x:v>
      </x:c>
      <x:c r="AB329" s="6" t="str">
        <x:v>CC-BY-4.0</x:v>
      </x:c>
    </x:row>
    <x:row r="330" ht="72" customHeight="1">
      <x:c r="A330" s="14" t="n">
        <x:v>325</x:v>
      </x:c>
      <x:c r="B330" s="6" t="str">
        <x:v>locate</x:v>
      </x:c>
      <x:c r="C330" s="6" t="str">
        <x:v>Where is the washing machine?</x:v>
      </x:c>
      <x:c r="D330" s="6" t="str">
        <x:v>Bathroom 0.05
Floor level: 0
Asset ID: resplan-9204-A00017
Position (m): 12.473, 8.051</x:v>
      </x:c>
      <x:c r="E330" s="6" t="str">
        <x:v>Reference supplied</x:v>
      </x:c>
      <x:c r="F330" s="6" t="str">
        <x:v>train</x:v>
      </x:c>
      <x:c r="G330" s="6" t="str">
        <x:v>resplan-9204</x:v>
      </x:c>
      <x:c r="H330" s="6" t="str">
        <x:v>resplan-9204-Q03</x:v>
      </x:c>
      <x:c r="I330" s="6" t="str">
        <x:v>Find and count assets</x:v>
      </x:c>
      <x:c r="J330" s="6" t="str">
        <x:v>Warm-up</x:v>
      </x:c>
      <x:c r="K330" s="6" t="str">
        <x:v>Room name, floor and asset identity. Coordinates may help the UI.</x:v>
      </x:c>
      <x:c r="L330" s="6" t="str">
        <x:v>T02, T03</x:v>
      </x:c>
      <x:c r="M330" s="6" t="str">
        <x:v>Find a named item and identify its containing room and floor.</x:v>
      </x:c>
      <x:c r="N330" s="6" t="str">
        <x:v>{"asset_id":"resplan-9204-A00017","space_id":"resplan-9204-F0-S005","space_name":"Bathroom 0.05","floor_level":0,"position":[12.473,8.051]}</x:v>
      </x:c>
      <x:c r="O330" s="6"/>
      <x:c r="P330" s="6" t="str">
        <x:v>Resolve the intended asset and its containing room/floor.</x:v>
      </x:c>
      <x:c r="Q330" s="15"/>
      <x:c r="R330" s="6"/>
      <x:c r="S330" s="16"/>
      <x:c r="T330" s="15"/>
      <x:c r="U330" s="6"/>
      <x:c r="V330" s="6"/>
      <x:c r="W330" s="6" t="str">
        <x:v>Existing search_building. Improve disambiguation and complete result pagination.</x:v>
      </x:c>
      <x:c r="X330" s="6" t="str">
        <x:v>data/train/resplan-9204/questions_basic.jsonl</x:v>
      </x:c>
      <x:c r="Y330" s="14" t="n">
        <x:v>3</x:v>
      </x:c>
      <x:c r="Z330" s="6" t="str">
        <x:v>https://github.com/hagenhaeussler/Industrial-Agents-Hackathon-2026/blob/f41616590b69f3ea0c1cbfb41d6c35edd9ce53df/data/train/resplan-9204/questions_basic.jsonl#L3</x:v>
      </x:c>
      <x:c r="AA330" s="6" t="str">
        <x:v>resplan</x:v>
      </x:c>
      <x:c r="AB330" s="6" t="str">
        <x:v>CC-BY-4.0</x:v>
      </x:c>
    </x:row>
    <x:row r="331" ht="72" customHeight="1">
      <x:c r="A331" s="14" t="n">
        <x:v>326</x:v>
      </x:c>
      <x:c r="B331" s="6" t="str">
        <x:v>locate</x:v>
      </x:c>
      <x:c r="C331" s="6" t="str">
        <x:v>Where is the bookshelf?</x:v>
      </x:c>
      <x:c r="D331" s="6" t="str">
        <x:v>Living room 0.01
Floor level: 0
Asset ID: resplan-9416-A00004
Position (m): 12.869, 4.035</x:v>
      </x:c>
      <x:c r="E331" s="6" t="str">
        <x:v>Reference supplied</x:v>
      </x:c>
      <x:c r="F331" s="6" t="str">
        <x:v>train</x:v>
      </x:c>
      <x:c r="G331" s="6" t="str">
        <x:v>resplan-9416</x:v>
      </x:c>
      <x:c r="H331" s="6" t="str">
        <x:v>resplan-9416-Q01</x:v>
      </x:c>
      <x:c r="I331" s="6" t="str">
        <x:v>Find and count assets</x:v>
      </x:c>
      <x:c r="J331" s="6" t="str">
        <x:v>Warm-up</x:v>
      </x:c>
      <x:c r="K331" s="6" t="str">
        <x:v>Room name, floor and asset identity. Coordinates may help the UI.</x:v>
      </x:c>
      <x:c r="L331" s="6" t="str">
        <x:v>T02, T03</x:v>
      </x:c>
      <x:c r="M331" s="6" t="str">
        <x:v>Find a named item and identify its containing room and floor.</x:v>
      </x:c>
      <x:c r="N331" s="6" t="str">
        <x:v>{"asset_id":"resplan-9416-A00004","space_id":"resplan-9416-F0-S001","space_name":"Living room 0.01","floor_level":0,"position":[12.869,4.035]}</x:v>
      </x:c>
      <x:c r="O331" s="6"/>
      <x:c r="P331" s="6" t="str">
        <x:v>Resolve the intended asset and its containing room/floor.</x:v>
      </x:c>
      <x:c r="Q331" s="15"/>
      <x:c r="R331" s="6"/>
      <x:c r="S331" s="16"/>
      <x:c r="T331" s="15"/>
      <x:c r="U331" s="6"/>
      <x:c r="V331" s="6"/>
      <x:c r="W331" s="6" t="str">
        <x:v>Existing search_building. Improve disambiguation and complete result pagination.</x:v>
      </x:c>
      <x:c r="X331" s="6" t="str">
        <x:v>data/train/resplan-9416/questions_basic.jsonl</x:v>
      </x:c>
      <x:c r="Y331" s="14" t="n">
        <x:v>1</x:v>
      </x:c>
      <x:c r="Z331" s="6" t="str">
        <x:v>https://github.com/hagenhaeussler/Industrial-Agents-Hackathon-2026/blob/f41616590b69f3ea0c1cbfb41d6c35edd9ce53df/data/train/resplan-9416/questions_basic.jsonl#L1</x:v>
      </x:c>
      <x:c r="AA331" s="6" t="str">
        <x:v>resplan</x:v>
      </x:c>
      <x:c r="AB331" s="6" t="str">
        <x:v>CC-BY-4.0</x:v>
      </x:c>
    </x:row>
    <x:row r="332" ht="72" customHeight="1">
      <x:c r="A332" s="14" t="n">
        <x:v>327</x:v>
      </x:c>
      <x:c r="B332" s="6" t="str">
        <x:v>locate</x:v>
      </x:c>
      <x:c r="C332" s="6" t="str">
        <x:v>Where is the shower?</x:v>
      </x:c>
      <x:c r="D332" s="6" t="str">
        <x:v>Bathroom 0.05
Floor level: 0
Asset ID: resplan-9416-A00016
Position (m): 8.173, 10.807</x:v>
      </x:c>
      <x:c r="E332" s="6" t="str">
        <x:v>Reference supplied</x:v>
      </x:c>
      <x:c r="F332" s="6" t="str">
        <x:v>train</x:v>
      </x:c>
      <x:c r="G332" s="6" t="str">
        <x:v>resplan-9416</x:v>
      </x:c>
      <x:c r="H332" s="6" t="str">
        <x:v>resplan-9416-Q02</x:v>
      </x:c>
      <x:c r="I332" s="6" t="str">
        <x:v>Find and count assets</x:v>
      </x:c>
      <x:c r="J332" s="6" t="str">
        <x:v>Warm-up</x:v>
      </x:c>
      <x:c r="K332" s="6" t="str">
        <x:v>Room name, floor and asset identity. Coordinates may help the UI.</x:v>
      </x:c>
      <x:c r="L332" s="6" t="str">
        <x:v>T02, T03</x:v>
      </x:c>
      <x:c r="M332" s="6" t="str">
        <x:v>Find a named item and identify its containing room and floor.</x:v>
      </x:c>
      <x:c r="N332" s="6" t="str">
        <x:v>{"asset_id":"resplan-9416-A00016","space_id":"resplan-9416-F0-S005","space_name":"Bathroom 0.05","floor_level":0,"position":[8.173,10.807]}</x:v>
      </x:c>
      <x:c r="O332" s="6"/>
      <x:c r="P332" s="6" t="str">
        <x:v>Resolve the intended asset and its containing room/floor.</x:v>
      </x:c>
      <x:c r="Q332" s="15"/>
      <x:c r="R332" s="6"/>
      <x:c r="S332" s="16"/>
      <x:c r="T332" s="15"/>
      <x:c r="U332" s="6"/>
      <x:c r="V332" s="6"/>
      <x:c r="W332" s="6" t="str">
        <x:v>Existing search_building. Improve disambiguation and complete result pagination.</x:v>
      </x:c>
      <x:c r="X332" s="6" t="str">
        <x:v>data/train/resplan-9416/questions_basic.jsonl</x:v>
      </x:c>
      <x:c r="Y332" s="14" t="n">
        <x:v>2</x:v>
      </x:c>
      <x:c r="Z332" s="6" t="str">
        <x:v>https://github.com/hagenhaeussler/Industrial-Agents-Hackathon-2026/blob/f41616590b69f3ea0c1cbfb41d6c35edd9ce53df/data/train/resplan-9416/questions_basic.jsonl#L2</x:v>
      </x:c>
      <x:c r="AA332" s="6" t="str">
        <x:v>resplan</x:v>
      </x:c>
      <x:c r="AB332" s="6" t="str">
        <x:v>CC-BY-4.0</x:v>
      </x:c>
    </x:row>
    <x:row r="333" ht="72" customHeight="1">
      <x:c r="A333" s="14" t="n">
        <x:v>328</x:v>
      </x:c>
      <x:c r="B333" s="6" t="str">
        <x:v>locate</x:v>
      </x:c>
      <x:c r="C333" s="6" t="str">
        <x:v>Where is the washing machine?</x:v>
      </x:c>
      <x:c r="D333" s="6" t="str">
        <x:v>Bathroom 0.05
Floor level: 0
Asset ID: resplan-9416-A00017
Position (m): 9.208, 10.581</x:v>
      </x:c>
      <x:c r="E333" s="6" t="str">
        <x:v>Reference supplied</x:v>
      </x:c>
      <x:c r="F333" s="6" t="str">
        <x:v>train</x:v>
      </x:c>
      <x:c r="G333" s="6" t="str">
        <x:v>resplan-9416</x:v>
      </x:c>
      <x:c r="H333" s="6" t="str">
        <x:v>resplan-9416-Q03</x:v>
      </x:c>
      <x:c r="I333" s="6" t="str">
        <x:v>Find and count assets</x:v>
      </x:c>
      <x:c r="J333" s="6" t="str">
        <x:v>Warm-up</x:v>
      </x:c>
      <x:c r="K333" s="6" t="str">
        <x:v>Room name, floor and asset identity. Coordinates may help the UI.</x:v>
      </x:c>
      <x:c r="L333" s="6" t="str">
        <x:v>T02, T03</x:v>
      </x:c>
      <x:c r="M333" s="6" t="str">
        <x:v>Find a named item and identify its containing room and floor.</x:v>
      </x:c>
      <x:c r="N333" s="6" t="str">
        <x:v>{"asset_id":"resplan-9416-A00017","space_id":"resplan-9416-F0-S005","space_name":"Bathroom 0.05","floor_level":0,"position":[9.208,10.581]}</x:v>
      </x:c>
      <x:c r="O333" s="6"/>
      <x:c r="P333" s="6" t="str">
        <x:v>Resolve the intended asset and its containing room/floor.</x:v>
      </x:c>
      <x:c r="Q333" s="15"/>
      <x:c r="R333" s="6"/>
      <x:c r="S333" s="16"/>
      <x:c r="T333" s="15"/>
      <x:c r="U333" s="6"/>
      <x:c r="V333" s="6"/>
      <x:c r="W333" s="6" t="str">
        <x:v>Existing search_building. Improve disambiguation and complete result pagination.</x:v>
      </x:c>
      <x:c r="X333" s="6" t="str">
        <x:v>data/train/resplan-9416/questions_basic.jsonl</x:v>
      </x:c>
      <x:c r="Y333" s="14" t="n">
        <x:v>3</x:v>
      </x:c>
      <x:c r="Z333" s="6" t="str">
        <x:v>https://github.com/hagenhaeussler/Industrial-Agents-Hackathon-2026/blob/f41616590b69f3ea0c1cbfb41d6c35edd9ce53df/data/train/resplan-9416/questions_basic.jsonl#L3</x:v>
      </x:c>
      <x:c r="AA333" s="6" t="str">
        <x:v>resplan</x:v>
      </x:c>
      <x:c r="AB333" s="6" t="str">
        <x:v>CC-BY-4.0</x:v>
      </x:c>
    </x:row>
    <x:row r="334" ht="72" customHeight="1">
      <x:c r="A334" s="14" t="n">
        <x:v>329</x:v>
      </x:c>
      <x:c r="B334" s="6" t="str">
        <x:v>locate</x:v>
      </x:c>
      <x:c r="C334" s="6" t="str">
        <x:v>Where is the coffee table?</x:v>
      </x:c>
      <x:c r="D334" s="6" t="str">
        <x:v>Living room 0.01
Floor level: 0
Asset ID: resplan-9515-A00002
Position (m): 8.121, 7.718</x:v>
      </x:c>
      <x:c r="E334" s="6" t="str">
        <x:v>Reference supplied</x:v>
      </x:c>
      <x:c r="F334" s="6" t="str">
        <x:v>train</x:v>
      </x:c>
      <x:c r="G334" s="6" t="str">
        <x:v>resplan-9515</x:v>
      </x:c>
      <x:c r="H334" s="6" t="str">
        <x:v>resplan-9515-Q01</x:v>
      </x:c>
      <x:c r="I334" s="6" t="str">
        <x:v>Find and count assets</x:v>
      </x:c>
      <x:c r="J334" s="6" t="str">
        <x:v>Warm-up</x:v>
      </x:c>
      <x:c r="K334" s="6" t="str">
        <x:v>Room name, floor and asset identity. Coordinates may help the UI.</x:v>
      </x:c>
      <x:c r="L334" s="6" t="str">
        <x:v>T02, T03</x:v>
      </x:c>
      <x:c r="M334" s="6" t="str">
        <x:v>Find a named item and identify its containing room and floor.</x:v>
      </x:c>
      <x:c r="N334" s="6" t="str">
        <x:v>{"asset_id":"resplan-9515-A00002","space_id":"resplan-9515-F0-S001","space_name":"Living room 0.01","floor_level":0,"position":[8.121,7.718]}</x:v>
      </x:c>
      <x:c r="O334" s="6"/>
      <x:c r="P334" s="6" t="str">
        <x:v>Resolve the intended asset and its containing room/floor.</x:v>
      </x:c>
      <x:c r="Q334" s="15"/>
      <x:c r="R334" s="6"/>
      <x:c r="S334" s="16"/>
      <x:c r="T334" s="15"/>
      <x:c r="U334" s="6"/>
      <x:c r="V334" s="6"/>
      <x:c r="W334" s="6" t="str">
        <x:v>Existing search_building. Improve disambiguation and complete result pagination.</x:v>
      </x:c>
      <x:c r="X334" s="6" t="str">
        <x:v>data/train/resplan-9515/questions_basic.jsonl</x:v>
      </x:c>
      <x:c r="Y334" s="14" t="n">
        <x:v>1</x:v>
      </x:c>
      <x:c r="Z334" s="6" t="str">
        <x:v>https://github.com/hagenhaeussler/Industrial-Agents-Hackathon-2026/blob/f41616590b69f3ea0c1cbfb41d6c35edd9ce53df/data/train/resplan-9515/questions_basic.jsonl#L1</x:v>
      </x:c>
      <x:c r="AA334" s="6" t="str">
        <x:v>resplan</x:v>
      </x:c>
      <x:c r="AB334" s="6" t="str">
        <x:v>CC-BY-4.0</x:v>
      </x:c>
    </x:row>
    <x:row r="335" ht="72" customHeight="1">
      <x:c r="A335" s="14" t="n">
        <x:v>330</x:v>
      </x:c>
      <x:c r="B335" s="6" t="str">
        <x:v>locate</x:v>
      </x:c>
      <x:c r="C335" s="6" t="str">
        <x:v>Where is the dining table?</x:v>
      </x:c>
      <x:c r="D335" s="6" t="str">
        <x:v>Living room 0.01
Floor level: 0
Asset ID: resplan-9515-A00004
Position (m): 10.886, 8.466</x:v>
      </x:c>
      <x:c r="E335" s="6" t="str">
        <x:v>Reference supplied</x:v>
      </x:c>
      <x:c r="F335" s="6" t="str">
        <x:v>train</x:v>
      </x:c>
      <x:c r="G335" s="6" t="str">
        <x:v>resplan-9515</x:v>
      </x:c>
      <x:c r="H335" s="6" t="str">
        <x:v>resplan-9515-Q02</x:v>
      </x:c>
      <x:c r="I335" s="6" t="str">
        <x:v>Find and count assets</x:v>
      </x:c>
      <x:c r="J335" s="6" t="str">
        <x:v>Warm-up</x:v>
      </x:c>
      <x:c r="K335" s="6" t="str">
        <x:v>Room name, floor and asset identity. Coordinates may help the UI.</x:v>
      </x:c>
      <x:c r="L335" s="6" t="str">
        <x:v>T02, T03</x:v>
      </x:c>
      <x:c r="M335" s="6" t="str">
        <x:v>Find a named item and identify its containing room and floor.</x:v>
      </x:c>
      <x:c r="N335" s="6" t="str">
        <x:v>{"asset_id":"resplan-9515-A00004","space_id":"resplan-9515-F0-S001","space_name":"Living room 0.01","floor_level":0,"position":[10.886,8.466]}</x:v>
      </x:c>
      <x:c r="O335" s="6"/>
      <x:c r="P335" s="6" t="str">
        <x:v>Resolve the intended asset and its containing room/floor.</x:v>
      </x:c>
      <x:c r="Q335" s="15"/>
      <x:c r="R335" s="6"/>
      <x:c r="S335" s="16"/>
      <x:c r="T335" s="15"/>
      <x:c r="U335" s="6"/>
      <x:c r="V335" s="6"/>
      <x:c r="W335" s="6" t="str">
        <x:v>Existing search_building. Improve disambiguation and complete result pagination.</x:v>
      </x:c>
      <x:c r="X335" s="6" t="str">
        <x:v>data/train/resplan-9515/questions_basic.jsonl</x:v>
      </x:c>
      <x:c r="Y335" s="14" t="n">
        <x:v>2</x:v>
      </x:c>
      <x:c r="Z335" s="6" t="str">
        <x:v>https://github.com/hagenhaeussler/Industrial-Agents-Hackathon-2026/blob/f41616590b69f3ea0c1cbfb41d6c35edd9ce53df/data/train/resplan-9515/questions_basic.jsonl#L2</x:v>
      </x:c>
      <x:c r="AA335" s="6" t="str">
        <x:v>resplan</x:v>
      </x:c>
      <x:c r="AB335" s="6" t="str">
        <x:v>CC-BY-4.0</x:v>
      </x:c>
    </x:row>
    <x:row r="336" ht="72" customHeight="1">
      <x:c r="A336" s="14" t="n">
        <x:v>331</x:v>
      </x:c>
      <x:c r="B336" s="6" t="str">
        <x:v>locate</x:v>
      </x:c>
      <x:c r="C336" s="6" t="str">
        <x:v>Where is the microwave?</x:v>
      </x:c>
      <x:c r="D336" s="6" t="str">
        <x:v>Kitchen 0.07
Floor level: 0
Asset ID: resplan-9515-A00028
Position (m): 15.901, 4.731</x:v>
      </x:c>
      <x:c r="E336" s="6" t="str">
        <x:v>Reference supplied</x:v>
      </x:c>
      <x:c r="F336" s="6" t="str">
        <x:v>train</x:v>
      </x:c>
      <x:c r="G336" s="6" t="str">
        <x:v>resplan-9515</x:v>
      </x:c>
      <x:c r="H336" s="6" t="str">
        <x:v>resplan-9515-Q03</x:v>
      </x:c>
      <x:c r="I336" s="6" t="str">
        <x:v>Find and count assets</x:v>
      </x:c>
      <x:c r="J336" s="6" t="str">
        <x:v>Warm-up</x:v>
      </x:c>
      <x:c r="K336" s="6" t="str">
        <x:v>Room name, floor and asset identity. Coordinates may help the UI.</x:v>
      </x:c>
      <x:c r="L336" s="6" t="str">
        <x:v>T02, T03</x:v>
      </x:c>
      <x:c r="M336" s="6" t="str">
        <x:v>Find a named item and identify its containing room and floor.</x:v>
      </x:c>
      <x:c r="N336" s="6" t="str">
        <x:v>{"asset_id":"resplan-9515-A00028","space_id":"resplan-9515-F0-S007","space_name":"Kitchen 0.07","floor_level":0,"position":[15.901,4.731]}</x:v>
      </x:c>
      <x:c r="O336" s="6"/>
      <x:c r="P336" s="6" t="str">
        <x:v>Resolve the intended asset and its containing room/floor.</x:v>
      </x:c>
      <x:c r="Q336" s="15"/>
      <x:c r="R336" s="6"/>
      <x:c r="S336" s="16"/>
      <x:c r="T336" s="15"/>
      <x:c r="U336" s="6"/>
      <x:c r="V336" s="6"/>
      <x:c r="W336" s="6" t="str">
        <x:v>Existing search_building. Improve disambiguation and complete result pagination.</x:v>
      </x:c>
      <x:c r="X336" s="6" t="str">
        <x:v>data/train/resplan-9515/questions_basic.jsonl</x:v>
      </x:c>
      <x:c r="Y336" s="14" t="n">
        <x:v>3</x:v>
      </x:c>
      <x:c r="Z336" s="6" t="str">
        <x:v>https://github.com/hagenhaeussler/Industrial-Agents-Hackathon-2026/blob/f41616590b69f3ea0c1cbfb41d6c35edd9ce53df/data/train/resplan-9515/questions_basic.jsonl#L3</x:v>
      </x:c>
      <x:c r="AA336" s="6" t="str">
        <x:v>resplan</x:v>
      </x:c>
      <x:c r="AB336" s="6" t="str">
        <x:v>CC-BY-4.0</x:v>
      </x:c>
    </x:row>
    <x:row r="337" ht="72" customHeight="1">
      <x:c r="A337" s="14" t="n">
        <x:v>332</x:v>
      </x:c>
      <x:c r="B337" s="6" t="str">
        <x:v>locate</x:v>
      </x:c>
      <x:c r="C337" s="6" t="str">
        <x:v>Where is the outdoor table?</x:v>
      </x:c>
      <x:c r="D337" s="6" t="str">
        <x:v>Balcony 0.09
Floor level: 0
Asset ID: resplan-9809-A00036
Position (m): 7.179, 12.527</x:v>
      </x:c>
      <x:c r="E337" s="6" t="str">
        <x:v>Reference supplied</x:v>
      </x:c>
      <x:c r="F337" s="6" t="str">
        <x:v>train</x:v>
      </x:c>
      <x:c r="G337" s="6" t="str">
        <x:v>resplan-9809</x:v>
      </x:c>
      <x:c r="H337" s="6" t="str">
        <x:v>resplan-9809-Q01</x:v>
      </x:c>
      <x:c r="I337" s="6" t="str">
        <x:v>Find and count assets</x:v>
      </x:c>
      <x:c r="J337" s="6" t="str">
        <x:v>Warm-up</x:v>
      </x:c>
      <x:c r="K337" s="6" t="str">
        <x:v>Room name, floor and asset identity. Coordinates may help the UI.</x:v>
      </x:c>
      <x:c r="L337" s="6" t="str">
        <x:v>T02, T03</x:v>
      </x:c>
      <x:c r="M337" s="6" t="str">
        <x:v>Find a named item and identify its containing room and floor.</x:v>
      </x:c>
      <x:c r="N337" s="6" t="str">
        <x:v>{"asset_id":"resplan-9809-A00036","space_id":"resplan-9809-F0-S009","space_name":"Balcony 0.09","floor_level":0,"position":[7.179,12.527]}</x:v>
      </x:c>
      <x:c r="O337" s="6"/>
      <x:c r="P337" s="6" t="str">
        <x:v>Resolve the intended asset and its containing room/floor.</x:v>
      </x:c>
      <x:c r="Q337" s="15"/>
      <x:c r="R337" s="6"/>
      <x:c r="S337" s="16"/>
      <x:c r="T337" s="15"/>
      <x:c r="U337" s="6"/>
      <x:c r="V337" s="6"/>
      <x:c r="W337" s="6" t="str">
        <x:v>Existing search_building. Improve disambiguation and complete result pagination.</x:v>
      </x:c>
      <x:c r="X337" s="6" t="str">
        <x:v>data/train/resplan-9809/questions_basic.jsonl</x:v>
      </x:c>
      <x:c r="Y337" s="14" t="n">
        <x:v>1</x:v>
      </x:c>
      <x:c r="Z337" s="6" t="str">
        <x:v>https://github.com/hagenhaeussler/Industrial-Agents-Hackathon-2026/blob/f41616590b69f3ea0c1cbfb41d6c35edd9ce53df/data/train/resplan-9809/questions_basic.jsonl#L1</x:v>
      </x:c>
      <x:c r="AA337" s="6" t="str">
        <x:v>resplan</x:v>
      </x:c>
      <x:c r="AB337" s="6" t="str">
        <x:v>CC-BY-4.0</x:v>
      </x:c>
    </x:row>
    <x:row r="338" ht="72" customHeight="1">
      <x:c r="A338" s="14" t="n">
        <x:v>333</x:v>
      </x:c>
      <x:c r="B338" s="6" t="str">
        <x:v>locate</x:v>
      </x:c>
      <x:c r="C338" s="6" t="str">
        <x:v>Where is the fridge?</x:v>
      </x:c>
      <x:c r="D338" s="6" t="str">
        <x:v>Kitchen 0.08
Floor level: 0
Asset ID: resplan-9809-A00031
Position (m): 12.096, 8.171</x:v>
      </x:c>
      <x:c r="E338" s="6" t="str">
        <x:v>Reference supplied</x:v>
      </x:c>
      <x:c r="F338" s="6" t="str">
        <x:v>train</x:v>
      </x:c>
      <x:c r="G338" s="6" t="str">
        <x:v>resplan-9809</x:v>
      </x:c>
      <x:c r="H338" s="6" t="str">
        <x:v>resplan-9809-Q02</x:v>
      </x:c>
      <x:c r="I338" s="6" t="str">
        <x:v>Find and count assets</x:v>
      </x:c>
      <x:c r="J338" s="6" t="str">
        <x:v>Warm-up</x:v>
      </x:c>
      <x:c r="K338" s="6" t="str">
        <x:v>Room name, floor and asset identity. Coordinates may help the UI.</x:v>
      </x:c>
      <x:c r="L338" s="6" t="str">
        <x:v>T02, T03</x:v>
      </x:c>
      <x:c r="M338" s="6" t="str">
        <x:v>Find a named item and identify its containing room and floor.</x:v>
      </x:c>
      <x:c r="N338" s="6" t="str">
        <x:v>{"asset_id":"resplan-9809-A00031","space_id":"resplan-9809-F0-S008","space_name":"Kitchen 0.08","floor_level":0,"position":[12.096,8.171]}</x:v>
      </x:c>
      <x:c r="O338" s="6"/>
      <x:c r="P338" s="6" t="str">
        <x:v>Resolve the intended asset and its containing room/floor.</x:v>
      </x:c>
      <x:c r="Q338" s="15"/>
      <x:c r="R338" s="6"/>
      <x:c r="S338" s="16"/>
      <x:c r="T338" s="15"/>
      <x:c r="U338" s="6"/>
      <x:c r="V338" s="6"/>
      <x:c r="W338" s="6" t="str">
        <x:v>Existing search_building. Improve disambiguation and complete result pagination.</x:v>
      </x:c>
      <x:c r="X338" s="6" t="str">
        <x:v>data/train/resplan-9809/questions_basic.jsonl</x:v>
      </x:c>
      <x:c r="Y338" s="14" t="n">
        <x:v>2</x:v>
      </x:c>
      <x:c r="Z338" s="6" t="str">
        <x:v>https://github.com/hagenhaeussler/Industrial-Agents-Hackathon-2026/blob/f41616590b69f3ea0c1cbfb41d6c35edd9ce53df/data/train/resplan-9809/questions_basic.jsonl#L2</x:v>
      </x:c>
      <x:c r="AA338" s="6" t="str">
        <x:v>resplan</x:v>
      </x:c>
      <x:c r="AB338" s="6" t="str">
        <x:v>CC-BY-4.0</x:v>
      </x:c>
    </x:row>
    <x:row r="339" ht="72" customHeight="1">
      <x:c r="A339" s="14" t="n">
        <x:v>334</x:v>
      </x:c>
      <x:c r="B339" s="6" t="str">
        <x:v>locate</x:v>
      </x:c>
      <x:c r="C339" s="6" t="str">
        <x:v>Where is the coffee machine?</x:v>
      </x:c>
      <x:c r="D339" s="6" t="str">
        <x:v>Kitchen 0.08
Floor level: 0
Asset ID: resplan-9809-A00035
Position (m): 12.702, 5.289</x:v>
      </x:c>
      <x:c r="E339" s="6" t="str">
        <x:v>Reference supplied</x:v>
      </x:c>
      <x:c r="F339" s="6" t="str">
        <x:v>train</x:v>
      </x:c>
      <x:c r="G339" s="6" t="str">
        <x:v>resplan-9809</x:v>
      </x:c>
      <x:c r="H339" s="6" t="str">
        <x:v>resplan-9809-Q03</x:v>
      </x:c>
      <x:c r="I339" s="6" t="str">
        <x:v>Find and count assets</x:v>
      </x:c>
      <x:c r="J339" s="6" t="str">
        <x:v>Warm-up</x:v>
      </x:c>
      <x:c r="K339" s="6" t="str">
        <x:v>Room name, floor and asset identity. Coordinates may help the UI.</x:v>
      </x:c>
      <x:c r="L339" s="6" t="str">
        <x:v>T02, T03</x:v>
      </x:c>
      <x:c r="M339" s="6" t="str">
        <x:v>Find a named item and identify its containing room and floor.</x:v>
      </x:c>
      <x:c r="N339" s="6" t="str">
        <x:v>{"asset_id":"resplan-9809-A00035","space_id":"resplan-9809-F0-S008","space_name":"Kitchen 0.08","floor_level":0,"position":[12.702,5.289]}</x:v>
      </x:c>
      <x:c r="O339" s="6"/>
      <x:c r="P339" s="6" t="str">
        <x:v>Resolve the intended asset and its containing room/floor.</x:v>
      </x:c>
      <x:c r="Q339" s="15"/>
      <x:c r="R339" s="6"/>
      <x:c r="S339" s="16"/>
      <x:c r="T339" s="15"/>
      <x:c r="U339" s="6"/>
      <x:c r="V339" s="6"/>
      <x:c r="W339" s="6" t="str">
        <x:v>Existing search_building. Improve disambiguation and complete result pagination.</x:v>
      </x:c>
      <x:c r="X339" s="6" t="str">
        <x:v>data/train/resplan-9809/questions_basic.jsonl</x:v>
      </x:c>
      <x:c r="Y339" s="14" t="n">
        <x:v>3</x:v>
      </x:c>
      <x:c r="Z339" s="6" t="str">
        <x:v>https://github.com/hagenhaeussler/Industrial-Agents-Hackathon-2026/blob/f41616590b69f3ea0c1cbfb41d6c35edd9ce53df/data/train/resplan-9809/questions_basic.jsonl#L3</x:v>
      </x:c>
      <x:c r="AA339" s="6" t="str">
        <x:v>resplan</x:v>
      </x:c>
      <x:c r="AB339" s="6" t="str">
        <x:v>CC-BY-4.0</x:v>
      </x:c>
    </x:row>
    <x:row r="340" ht="72" customHeight="1">
      <x:c r="A340" s="14" t="n">
        <x:v>335</x:v>
      </x:c>
      <x:c r="B340" s="6" t="str">
        <x:v>locate</x:v>
      </x:c>
      <x:c r="C340" s="6" t="str">
        <x:v>Where is the outdoor table?</x:v>
      </x:c>
      <x:c r="D340" s="6" t="str">
        <x:v>Balcony 0.07
Floor level: 0
Asset ID: resplan-9872-A00024
Position (m): 0.535, 10.955</x:v>
      </x:c>
      <x:c r="E340" s="6" t="str">
        <x:v>Reference supplied</x:v>
      </x:c>
      <x:c r="F340" s="6" t="str">
        <x:v>train</x:v>
      </x:c>
      <x:c r="G340" s="6" t="str">
        <x:v>resplan-9872</x:v>
      </x:c>
      <x:c r="H340" s="6" t="str">
        <x:v>resplan-9872-Q01</x:v>
      </x:c>
      <x:c r="I340" s="6" t="str">
        <x:v>Find and count assets</x:v>
      </x:c>
      <x:c r="J340" s="6" t="str">
        <x:v>Warm-up</x:v>
      </x:c>
      <x:c r="K340" s="6" t="str">
        <x:v>Room name, floor and asset identity. Coordinates may help the UI.</x:v>
      </x:c>
      <x:c r="L340" s="6" t="str">
        <x:v>T02, T03</x:v>
      </x:c>
      <x:c r="M340" s="6" t="str">
        <x:v>Find a named item and identify its containing room and floor.</x:v>
      </x:c>
      <x:c r="N340" s="6" t="str">
        <x:v>{"asset_id":"resplan-9872-A00024","space_id":"resplan-9872-F0-S007","space_name":"Balcony 0.07","floor_level":0,"position":[0.535,10.955]}</x:v>
      </x:c>
      <x:c r="O340" s="6"/>
      <x:c r="P340" s="6" t="str">
        <x:v>Resolve the intended asset and its containing room/floor.</x:v>
      </x:c>
      <x:c r="Q340" s="15"/>
      <x:c r="R340" s="6"/>
      <x:c r="S340" s="16"/>
      <x:c r="T340" s="15"/>
      <x:c r="U340" s="6"/>
      <x:c r="V340" s="6"/>
      <x:c r="W340" s="6" t="str">
        <x:v>Existing search_building. Improve disambiguation and complete result pagination.</x:v>
      </x:c>
      <x:c r="X340" s="6" t="str">
        <x:v>data/train/resplan-9872/questions_basic.jsonl</x:v>
      </x:c>
      <x:c r="Y340" s="14" t="n">
        <x:v>1</x:v>
      </x:c>
      <x:c r="Z340" s="6" t="str">
        <x:v>https://github.com/hagenhaeussler/Industrial-Agents-Hackathon-2026/blob/f41616590b69f3ea0c1cbfb41d6c35edd9ce53df/data/train/resplan-9872/questions_basic.jsonl#L1</x:v>
      </x:c>
      <x:c r="AA340" s="6" t="str">
        <x:v>resplan</x:v>
      </x:c>
      <x:c r="AB340" s="6" t="str">
        <x:v>CC-BY-4.0</x:v>
      </x:c>
    </x:row>
    <x:row r="341" ht="72" customHeight="1">
      <x:c r="A341" s="14" t="n">
        <x:v>336</x:v>
      </x:c>
      <x:c r="B341" s="6" t="str">
        <x:v>locate</x:v>
      </x:c>
      <x:c r="C341" s="6" t="str">
        <x:v>Where is the desk?</x:v>
      </x:c>
      <x:c r="D341" s="6" t="str">
        <x:v>Bedroom 0.03
Floor level: 0
Asset ID: resplan-9872-A00013
Position (m): 0.42, 6.266</x:v>
      </x:c>
      <x:c r="E341" s="6" t="str">
        <x:v>Reference supplied</x:v>
      </x:c>
      <x:c r="F341" s="6" t="str">
        <x:v>train</x:v>
      </x:c>
      <x:c r="G341" s="6" t="str">
        <x:v>resplan-9872</x:v>
      </x:c>
      <x:c r="H341" s="6" t="str">
        <x:v>resplan-9872-Q02</x:v>
      </x:c>
      <x:c r="I341" s="6" t="str">
        <x:v>Find and count assets</x:v>
      </x:c>
      <x:c r="J341" s="6" t="str">
        <x:v>Warm-up</x:v>
      </x:c>
      <x:c r="K341" s="6" t="str">
        <x:v>Room name, floor and asset identity. Coordinates may help the UI.</x:v>
      </x:c>
      <x:c r="L341" s="6" t="str">
        <x:v>T02, T03</x:v>
      </x:c>
      <x:c r="M341" s="6" t="str">
        <x:v>Find a named item and identify its containing room and floor.</x:v>
      </x:c>
      <x:c r="N341" s="6" t="str">
        <x:v>{"asset_id":"resplan-9872-A00013","space_id":"resplan-9872-F0-S003","space_name":"Bedroom 0.03","floor_level":0,"position":[0.42,6.266]}</x:v>
      </x:c>
      <x:c r="O341" s="6"/>
      <x:c r="P341" s="6" t="str">
        <x:v>Resolve the intended asset and its containing room/floor.</x:v>
      </x:c>
      <x:c r="Q341" s="15"/>
      <x:c r="R341" s="6"/>
      <x:c r="S341" s="16"/>
      <x:c r="T341" s="15"/>
      <x:c r="U341" s="6"/>
      <x:c r="V341" s="6"/>
      <x:c r="W341" s="6" t="str">
        <x:v>Existing search_building. Improve disambiguation and complete result pagination.</x:v>
      </x:c>
      <x:c r="X341" s="6" t="str">
        <x:v>data/train/resplan-9872/questions_basic.jsonl</x:v>
      </x:c>
      <x:c r="Y341" s="14" t="n">
        <x:v>2</x:v>
      </x:c>
      <x:c r="Z341" s="6" t="str">
        <x:v>https://github.com/hagenhaeussler/Industrial-Agents-Hackathon-2026/blob/f41616590b69f3ea0c1cbfb41d6c35edd9ce53df/data/train/resplan-9872/questions_basic.jsonl#L2</x:v>
      </x:c>
      <x:c r="AA341" s="6" t="str">
        <x:v>resplan</x:v>
      </x:c>
      <x:c r="AB341" s="6" t="str">
        <x:v>CC-BY-4.0</x:v>
      </x:c>
    </x:row>
    <x:row r="342" ht="72" customHeight="1">
      <x:c r="A342" s="14" t="n">
        <x:v>337</x:v>
      </x:c>
      <x:c r="B342" s="6" t="str">
        <x:v>locate</x:v>
      </x:c>
      <x:c r="C342" s="6" t="str">
        <x:v>Where is the single bed?</x:v>
      </x:c>
      <x:c r="D342" s="6" t="str">
        <x:v>Bedroom 0.02
Floor level: 0
Asset ID: resplan-9872-A00007
Position (m): 6.225, 8.948</x:v>
      </x:c>
      <x:c r="E342" s="6" t="str">
        <x:v>Reference supplied</x:v>
      </x:c>
      <x:c r="F342" s="6" t="str">
        <x:v>train</x:v>
      </x:c>
      <x:c r="G342" s="6" t="str">
        <x:v>resplan-9872</x:v>
      </x:c>
      <x:c r="H342" s="6" t="str">
        <x:v>resplan-9872-Q03</x:v>
      </x:c>
      <x:c r="I342" s="6" t="str">
        <x:v>Find and count assets</x:v>
      </x:c>
      <x:c r="J342" s="6" t="str">
        <x:v>Warm-up</x:v>
      </x:c>
      <x:c r="K342" s="6" t="str">
        <x:v>Room name, floor and asset identity. Coordinates may help the UI.</x:v>
      </x:c>
      <x:c r="L342" s="6" t="str">
        <x:v>T02, T03</x:v>
      </x:c>
      <x:c r="M342" s="6" t="str">
        <x:v>Find a named item and identify its containing room and floor.</x:v>
      </x:c>
      <x:c r="N342" s="6" t="str">
        <x:v>{"asset_id":"resplan-9872-A00007","space_id":"resplan-9872-F0-S002","space_name":"Bedroom 0.02","floor_level":0,"position":[6.225,8.948]}</x:v>
      </x:c>
      <x:c r="O342" s="6"/>
      <x:c r="P342" s="6" t="str">
        <x:v>Resolve the intended asset and its containing room/floor.</x:v>
      </x:c>
      <x:c r="Q342" s="15"/>
      <x:c r="R342" s="6"/>
      <x:c r="S342" s="16"/>
      <x:c r="T342" s="15"/>
      <x:c r="U342" s="6"/>
      <x:c r="V342" s="6"/>
      <x:c r="W342" s="6" t="str">
        <x:v>Existing search_building. Improve disambiguation and complete result pagination.</x:v>
      </x:c>
      <x:c r="X342" s="6" t="str">
        <x:v>data/train/resplan-9872/questions_basic.jsonl</x:v>
      </x:c>
      <x:c r="Y342" s="14" t="n">
        <x:v>3</x:v>
      </x:c>
      <x:c r="Z342" s="6" t="str">
        <x:v>https://github.com/hagenhaeussler/Industrial-Agents-Hackathon-2026/blob/f41616590b69f3ea0c1cbfb41d6c35edd9ce53df/data/train/resplan-9872/questions_basic.jsonl#L3</x:v>
      </x:c>
      <x:c r="AA342" s="6" t="str">
        <x:v>resplan</x:v>
      </x:c>
      <x:c r="AB342" s="6" t="str">
        <x:v>CC-BY-4.0</x:v>
      </x:c>
    </x:row>
    <x:row r="343" ht="72" customHeight="1">
      <x:c r="A343" s="14" t="n">
        <x:v>338</x:v>
      </x:c>
      <x:c r="B343" s="6" t="str">
        <x:v>locate</x:v>
      </x:c>
      <x:c r="C343" s="6" t="str">
        <x:v>Where is the coffee machine?</x:v>
      </x:c>
      <x:c r="D343" s="6" t="str">
        <x:v>Kitchen 1.05 (apartment 3)
Floor level: 1
Asset ID: swiss-1075-A00099
Position (m): 1.251, -5.861</x:v>
      </x:c>
      <x:c r="E343" s="6" t="str">
        <x:v>Reference supplied</x:v>
      </x:c>
      <x:c r="F343" s="6" t="str">
        <x:v>train</x:v>
      </x:c>
      <x:c r="G343" s="6" t="str">
        <x:v>swiss-1075</x:v>
      </x:c>
      <x:c r="H343" s="6" t="str">
        <x:v>swiss-1075-Q01</x:v>
      </x:c>
      <x:c r="I343" s="6" t="str">
        <x:v>Find and count assets</x:v>
      </x:c>
      <x:c r="J343" s="6" t="str">
        <x:v>Warm-up</x:v>
      </x:c>
      <x:c r="K343" s="6" t="str">
        <x:v>Room name, floor and asset identity. Coordinates may help the UI.</x:v>
      </x:c>
      <x:c r="L343" s="6" t="str">
        <x:v>T02, T03</x:v>
      </x:c>
      <x:c r="M343" s="6" t="str">
        <x:v>Find a named item and identify its containing room and floor.</x:v>
      </x:c>
      <x:c r="N343" s="6" t="str">
        <x:v>{"asset_id":"swiss-1075-A00099","space_id":"swiss-1075-F1-S005","space_name":"Kitchen 1.05 (apartment 3)","floor_level":1,"position":[1.251,-5.861]}</x:v>
      </x:c>
      <x:c r="O343" s="6"/>
      <x:c r="P343" s="6" t="str">
        <x:v>Resolve the intended asset and its containing room/floor.</x:v>
      </x:c>
      <x:c r="Q343" s="15"/>
      <x:c r="R343" s="6"/>
      <x:c r="S343" s="16"/>
      <x:c r="T343" s="15"/>
      <x:c r="U343" s="6"/>
      <x:c r="V343" s="6"/>
      <x:c r="W343" s="6" t="str">
        <x:v>Existing search_building. Improve disambiguation and complete result pagination.</x:v>
      </x:c>
      <x:c r="X343" s="6" t="str">
        <x:v>data/train/swiss-1075/questions_basic.jsonl</x:v>
      </x:c>
      <x:c r="Y343" s="14" t="n">
        <x:v>1</x:v>
      </x:c>
      <x:c r="Z343" s="6" t="str">
        <x:v>https://github.com/hagenhaeussler/Industrial-Agents-Hackathon-2026/blob/f41616590b69f3ea0c1cbfb41d6c35edd9ce53df/data/train/swiss-1075/questions_basic.jsonl#L1</x:v>
      </x:c>
      <x:c r="AA343" s="6" t="str">
        <x:v>swiss_dwellings</x:v>
      </x:c>
      <x:c r="AB343" s="6" t="str">
        <x:v>CC-BY-4.0</x:v>
      </x:c>
    </x:row>
    <x:row r="344" ht="72" customHeight="1">
      <x:c r="A344" s="14" t="n">
        <x:v>339</x:v>
      </x:c>
      <x:c r="B344" s="6" t="str">
        <x:v>locate</x:v>
      </x:c>
      <x:c r="C344" s="6" t="str">
        <x:v>Where is the coat rack?</x:v>
      </x:c>
      <x:c r="D344" s="6" t="str">
        <x:v>Corridor 1.01 (apartment 3)
Floor level: 1
Asset ID: swiss-1075-A00088
Position (m): -0.171, -3.562</x:v>
      </x:c>
      <x:c r="E344" s="6" t="str">
        <x:v>Reference supplied</x:v>
      </x:c>
      <x:c r="F344" s="6" t="str">
        <x:v>train</x:v>
      </x:c>
      <x:c r="G344" s="6" t="str">
        <x:v>swiss-1075</x:v>
      </x:c>
      <x:c r="H344" s="6" t="str">
        <x:v>swiss-1075-Q02</x:v>
      </x:c>
      <x:c r="I344" s="6" t="str">
        <x:v>Find and count assets</x:v>
      </x:c>
      <x:c r="J344" s="6" t="str">
        <x:v>Warm-up</x:v>
      </x:c>
      <x:c r="K344" s="6" t="str">
        <x:v>Room name, floor and asset identity. Coordinates may help the UI.</x:v>
      </x:c>
      <x:c r="L344" s="6" t="str">
        <x:v>T02, T03</x:v>
      </x:c>
      <x:c r="M344" s="6" t="str">
        <x:v>Find a named item and identify its containing room and floor.</x:v>
      </x:c>
      <x:c r="N344" s="6" t="str">
        <x:v>{"asset_id":"swiss-1075-A00088","space_id":"swiss-1075-F1-S001","space_name":"Corridor 1.01 (apartment 3)","floor_level":1,"position":[-0.171,-3.562]}</x:v>
      </x:c>
      <x:c r="O344" s="6"/>
      <x:c r="P344" s="6" t="str">
        <x:v>Resolve the intended asset and its containing room/floor.</x:v>
      </x:c>
      <x:c r="Q344" s="15"/>
      <x:c r="R344" s="6"/>
      <x:c r="S344" s="16"/>
      <x:c r="T344" s="15"/>
      <x:c r="U344" s="6"/>
      <x:c r="V344" s="6"/>
      <x:c r="W344" s="6" t="str">
        <x:v>Existing search_building. Improve disambiguation and complete result pagination.</x:v>
      </x:c>
      <x:c r="X344" s="6" t="str">
        <x:v>data/train/swiss-1075/questions_basic.jsonl</x:v>
      </x:c>
      <x:c r="Y344" s="14" t="n">
        <x:v>2</x:v>
      </x:c>
      <x:c r="Z344" s="6" t="str">
        <x:v>https://github.com/hagenhaeussler/Industrial-Agents-Hackathon-2026/blob/f41616590b69f3ea0c1cbfb41d6c35edd9ce53df/data/train/swiss-1075/questions_basic.jsonl#L2</x:v>
      </x:c>
      <x:c r="AA344" s="6" t="str">
        <x:v>swiss_dwellings</x:v>
      </x:c>
      <x:c r="AB344" s="6" t="str">
        <x:v>CC-BY-4.0</x:v>
      </x:c>
    </x:row>
    <x:row r="345" ht="72" customHeight="1">
      <x:c r="A345" s="14" t="n">
        <x:v>340</x:v>
      </x:c>
      <x:c r="B345" s="6" t="str">
        <x:v>locate</x:v>
      </x:c>
      <x:c r="C345" s="6" t="str">
        <x:v>Where is the dishwasher?</x:v>
      </x:c>
      <x:c r="D345" s="6" t="str">
        <x:v>Kitchen 0.05 (apartment 1)
Floor level: 0
Asset ID: swiss-1075-A00068
Position (m): 2.023, -8.245</x:v>
      </x:c>
      <x:c r="E345" s="6" t="str">
        <x:v>Reference supplied</x:v>
      </x:c>
      <x:c r="F345" s="6" t="str">
        <x:v>train</x:v>
      </x:c>
      <x:c r="G345" s="6" t="str">
        <x:v>swiss-1075</x:v>
      </x:c>
      <x:c r="H345" s="6" t="str">
        <x:v>swiss-1075-Q03</x:v>
      </x:c>
      <x:c r="I345" s="6" t="str">
        <x:v>Find and count assets</x:v>
      </x:c>
      <x:c r="J345" s="6" t="str">
        <x:v>Warm-up</x:v>
      </x:c>
      <x:c r="K345" s="6" t="str">
        <x:v>Room name, floor and asset identity. Coordinates may help the UI.</x:v>
      </x:c>
      <x:c r="L345" s="6" t="str">
        <x:v>T02, T03</x:v>
      </x:c>
      <x:c r="M345" s="6" t="str">
        <x:v>Find a named item and identify its containing room and floor.</x:v>
      </x:c>
      <x:c r="N345" s="6" t="str">
        <x:v>{"asset_id":"swiss-1075-A00068","space_id":"swiss-1075-F0-S005","space_name":"Kitchen 0.05 (apartment 1)","floor_level":0,"position":[2.023,-8.245]}</x:v>
      </x:c>
      <x:c r="O345" s="6"/>
      <x:c r="P345" s="6" t="str">
        <x:v>Resolve the intended asset and its containing room/floor.</x:v>
      </x:c>
      <x:c r="Q345" s="15"/>
      <x:c r="R345" s="6"/>
      <x:c r="S345" s="16"/>
      <x:c r="T345" s="15"/>
      <x:c r="U345" s="6"/>
      <x:c r="V345" s="6"/>
      <x:c r="W345" s="6" t="str">
        <x:v>Existing search_building. Improve disambiguation and complete result pagination.</x:v>
      </x:c>
      <x:c r="X345" s="6" t="str">
        <x:v>data/train/swiss-1075/questions_basic.jsonl</x:v>
      </x:c>
      <x:c r="Y345" s="14" t="n">
        <x:v>3</x:v>
      </x:c>
      <x:c r="Z345" s="6" t="str">
        <x:v>https://github.com/hagenhaeussler/Industrial-Agents-Hackathon-2026/blob/f41616590b69f3ea0c1cbfb41d6c35edd9ce53df/data/train/swiss-1075/questions_basic.jsonl#L3</x:v>
      </x:c>
      <x:c r="AA345" s="6" t="str">
        <x:v>swiss_dwellings</x:v>
      </x:c>
      <x:c r="AB345" s="6" t="str">
        <x:v>CC-BY-4.0</x:v>
      </x:c>
    </x:row>
    <x:row r="346" ht="72" customHeight="1">
      <x:c r="A346" s="14" t="n">
        <x:v>341</x:v>
      </x:c>
      <x:c r="B346" s="6" t="str">
        <x:v>locate</x:v>
      </x:c>
      <x:c r="C346" s="6" t="str">
        <x:v>Where is the washing machine?</x:v>
      </x:c>
      <x:c r="D346" s="6" t="str">
        <x:v>Bathroom 1.07 (apartment 7)
Floor level: 1
Asset ID: swiss-1110-A00233
Position (m): 4.062, -1.74</x:v>
      </x:c>
      <x:c r="E346" s="6" t="str">
        <x:v>Reference supplied</x:v>
      </x:c>
      <x:c r="F346" s="6" t="str">
        <x:v>train</x:v>
      </x:c>
      <x:c r="G346" s="6" t="str">
        <x:v>swiss-1110</x:v>
      </x:c>
      <x:c r="H346" s="6" t="str">
        <x:v>swiss-1110-Q01</x:v>
      </x:c>
      <x:c r="I346" s="6" t="str">
        <x:v>Find and count assets</x:v>
      </x:c>
      <x:c r="J346" s="6" t="str">
        <x:v>Warm-up</x:v>
      </x:c>
      <x:c r="K346" s="6" t="str">
        <x:v>Room name, floor and asset identity. Coordinates may help the UI.</x:v>
      </x:c>
      <x:c r="L346" s="6" t="str">
        <x:v>T02, T03</x:v>
      </x:c>
      <x:c r="M346" s="6" t="str">
        <x:v>Find a named item and identify its containing room and floor.</x:v>
      </x:c>
      <x:c r="N346" s="6" t="str">
        <x:v>{"asset_id":"swiss-1110-A00233","space_id":"swiss-1110-F1-S007","space_name":"Bathroom 1.07 (apartment 7)","floor_level":1,"position":[4.062,-1.74]}</x:v>
      </x:c>
      <x:c r="O346" s="6"/>
      <x:c r="P346" s="6" t="str">
        <x:v>Resolve the intended asset and its containing room/floor.</x:v>
      </x:c>
      <x:c r="Q346" s="15"/>
      <x:c r="R346" s="6"/>
      <x:c r="S346" s="16"/>
      <x:c r="T346" s="15"/>
      <x:c r="U346" s="6"/>
      <x:c r="V346" s="6"/>
      <x:c r="W346" s="6" t="str">
        <x:v>Existing search_building. Improve disambiguation and complete result pagination.</x:v>
      </x:c>
      <x:c r="X346" s="6" t="str">
        <x:v>data/train/swiss-1110/questions_basic.jsonl</x:v>
      </x:c>
      <x:c r="Y346" s="14" t="n">
        <x:v>1</x:v>
      </x:c>
      <x:c r="Z346" s="6" t="str">
        <x:v>https://github.com/hagenhaeussler/Industrial-Agents-Hackathon-2026/blob/f41616590b69f3ea0c1cbfb41d6c35edd9ce53df/data/train/swiss-1110/questions_basic.jsonl#L1</x:v>
      </x:c>
      <x:c r="AA346" s="6" t="str">
        <x:v>swiss_dwellings</x:v>
      </x:c>
      <x:c r="AB346" s="6" t="str">
        <x:v>CC-BY-4.0</x:v>
      </x:c>
    </x:row>
    <x:row r="347" ht="72" customHeight="1">
      <x:c r="A347" s="14" t="n">
        <x:v>342</x:v>
      </x:c>
      <x:c r="B347" s="6" t="str">
        <x:v>locate</x:v>
      </x:c>
      <x:c r="C347" s="6" t="str">
        <x:v>Where is the washing machine?</x:v>
      </x:c>
      <x:c r="D347" s="6" t="str">
        <x:v>Bathroom 1.25 (apartment 9)
Floor level: 1
Asset ID: swiss-116-A00245
Position (m): 16.25, 5.779</x:v>
      </x:c>
      <x:c r="E347" s="6" t="str">
        <x:v>Reference supplied</x:v>
      </x:c>
      <x:c r="F347" s="6" t="str">
        <x:v>train</x:v>
      </x:c>
      <x:c r="G347" s="6" t="str">
        <x:v>swiss-116</x:v>
      </x:c>
      <x:c r="H347" s="6" t="str">
        <x:v>swiss-116-Q01</x:v>
      </x:c>
      <x:c r="I347" s="6" t="str">
        <x:v>Find and count assets</x:v>
      </x:c>
      <x:c r="J347" s="6" t="str">
        <x:v>Warm-up</x:v>
      </x:c>
      <x:c r="K347" s="6" t="str">
        <x:v>Room name, floor and asset identity. Coordinates may help the UI.</x:v>
      </x:c>
      <x:c r="L347" s="6" t="str">
        <x:v>T02, T03</x:v>
      </x:c>
      <x:c r="M347" s="6" t="str">
        <x:v>Find a named item and identify its containing room and floor.</x:v>
      </x:c>
      <x:c r="N347" s="6" t="str">
        <x:v>{"asset_id":"swiss-116-A00245","space_id":"swiss-116-F1-S025","space_name":"Bathroom 1.25 (apartment 9)","floor_level":1,"position":[16.25,5.779]}</x:v>
      </x:c>
      <x:c r="O347" s="6"/>
      <x:c r="P347" s="6" t="str">
        <x:v>Resolve the intended asset and its containing room/floor.</x:v>
      </x:c>
      <x:c r="Q347" s="15"/>
      <x:c r="R347" s="6"/>
      <x:c r="S347" s="16"/>
      <x:c r="T347" s="15"/>
      <x:c r="U347" s="6"/>
      <x:c r="V347" s="6"/>
      <x:c r="W347" s="6" t="str">
        <x:v>Existing search_building. Improve disambiguation and complete result pagination.</x:v>
      </x:c>
      <x:c r="X347" s="6" t="str">
        <x:v>data/train/swiss-116/questions_basic.jsonl</x:v>
      </x:c>
      <x:c r="Y347" s="14" t="n">
        <x:v>1</x:v>
      </x:c>
      <x:c r="Z347" s="6" t="str">
        <x:v>https://github.com/hagenhaeussler/Industrial-Agents-Hackathon-2026/blob/f41616590b69f3ea0c1cbfb41d6c35edd9ce53df/data/train/swiss-116/questions_basic.jsonl#L1</x:v>
      </x:c>
      <x:c r="AA347" s="6" t="str">
        <x:v>swiss_dwellings</x:v>
      </x:c>
      <x:c r="AB347" s="6" t="str">
        <x:v>CC-BY-4.0</x:v>
      </x:c>
    </x:row>
    <x:row r="348" ht="72" customHeight="1">
      <x:c r="A348" s="14" t="n">
        <x:v>343</x:v>
      </x:c>
      <x:c r="B348" s="6" t="str">
        <x:v>locate</x:v>
      </x:c>
      <x:c r="C348" s="6" t="str">
        <x:v>Where is the coat rack?</x:v>
      </x:c>
      <x:c r="D348" s="6" t="str">
        <x:v>Corridor 1.22 (apartment 4)
Floor level: 1
Asset ID: swiss-1283-A00127
Position (m): 2.656, 4.797</x:v>
      </x:c>
      <x:c r="E348" s="6" t="str">
        <x:v>Reference supplied</x:v>
      </x:c>
      <x:c r="F348" s="6" t="str">
        <x:v>train</x:v>
      </x:c>
      <x:c r="G348" s="6" t="str">
        <x:v>swiss-1283</x:v>
      </x:c>
      <x:c r="H348" s="6" t="str">
        <x:v>swiss-1283-Q01</x:v>
      </x:c>
      <x:c r="I348" s="6" t="str">
        <x:v>Find and count assets</x:v>
      </x:c>
      <x:c r="J348" s="6" t="str">
        <x:v>Warm-up</x:v>
      </x:c>
      <x:c r="K348" s="6" t="str">
        <x:v>Room name, floor and asset identity. Coordinates may help the UI.</x:v>
      </x:c>
      <x:c r="L348" s="6" t="str">
        <x:v>T02, T03</x:v>
      </x:c>
      <x:c r="M348" s="6" t="str">
        <x:v>Find a named item and identify its containing room and floor.</x:v>
      </x:c>
      <x:c r="N348" s="6" t="str">
        <x:v>{"asset_id":"swiss-1283-A00127","space_id":"swiss-1283-F1-S022","space_name":"Corridor 1.22 (apartment 4)","floor_level":1,"position":[2.656,4.797]}</x:v>
      </x:c>
      <x:c r="O348" s="6"/>
      <x:c r="P348" s="6" t="str">
        <x:v>Resolve the intended asset and its containing room/floor.</x:v>
      </x:c>
      <x:c r="Q348" s="15"/>
      <x:c r="R348" s="6"/>
      <x:c r="S348" s="16"/>
      <x:c r="T348" s="15"/>
      <x:c r="U348" s="6"/>
      <x:c r="V348" s="6"/>
      <x:c r="W348" s="6" t="str">
        <x:v>Existing search_building. Improve disambiguation and complete result pagination.</x:v>
      </x:c>
      <x:c r="X348" s="6" t="str">
        <x:v>data/train/swiss-1283/questions_basic.jsonl</x:v>
      </x:c>
      <x:c r="Y348" s="14" t="n">
        <x:v>1</x:v>
      </x:c>
      <x:c r="Z348" s="6" t="str">
        <x:v>https://github.com/hagenhaeussler/Industrial-Agents-Hackathon-2026/blob/f41616590b69f3ea0c1cbfb41d6c35edd9ce53df/data/train/swiss-1283/questions_basic.jsonl#L1</x:v>
      </x:c>
      <x:c r="AA348" s="6" t="str">
        <x:v>swiss_dwellings</x:v>
      </x:c>
      <x:c r="AB348" s="6" t="str">
        <x:v>CC-BY-4.0</x:v>
      </x:c>
    </x:row>
    <x:row r="349" ht="72" customHeight="1">
      <x:c r="A349" s="14" t="n">
        <x:v>344</x:v>
      </x:c>
      <x:c r="B349" s="6" t="str">
        <x:v>locate</x:v>
      </x:c>
      <x:c r="C349" s="6" t="str">
        <x:v>Where is the dining table?</x:v>
      </x:c>
      <x:c r="D349" s="6" t="str">
        <x:v>Kitchen 3.01 (apartment 13)
Floor level: 3
Asset ID: swiss-1390-A00408
Position (m): -1.008, -9.187</x:v>
      </x:c>
      <x:c r="E349" s="6" t="str">
        <x:v>Reference supplied</x:v>
      </x:c>
      <x:c r="F349" s="6" t="str">
        <x:v>train</x:v>
      </x:c>
      <x:c r="G349" s="6" t="str">
        <x:v>swiss-1390</x:v>
      </x:c>
      <x:c r="H349" s="6" t="str">
        <x:v>swiss-1390-Q01</x:v>
      </x:c>
      <x:c r="I349" s="6" t="str">
        <x:v>Find and count assets</x:v>
      </x:c>
      <x:c r="J349" s="6" t="str">
        <x:v>Warm-up</x:v>
      </x:c>
      <x:c r="K349" s="6" t="str">
        <x:v>Room name, floor and asset identity. Coordinates may help the UI.</x:v>
      </x:c>
      <x:c r="L349" s="6" t="str">
        <x:v>T02, T03</x:v>
      </x:c>
      <x:c r="M349" s="6" t="str">
        <x:v>Find a named item and identify its containing room and floor.</x:v>
      </x:c>
      <x:c r="N349" s="6" t="str">
        <x:v>{"asset_id":"swiss-1390-A00408","space_id":"swiss-1390-F3-S001","space_name":"Kitchen 3.01 (apartment 13)","floor_level":3,"position":[-1.008,-9.187]}</x:v>
      </x:c>
      <x:c r="O349" s="6"/>
      <x:c r="P349" s="6" t="str">
        <x:v>Resolve the intended asset and its containing room/floor.</x:v>
      </x:c>
      <x:c r="Q349" s="15"/>
      <x:c r="R349" s="6"/>
      <x:c r="S349" s="16"/>
      <x:c r="T349" s="15"/>
      <x:c r="U349" s="6"/>
      <x:c r="V349" s="6"/>
      <x:c r="W349" s="6" t="str">
        <x:v>Existing search_building. Improve disambiguation and complete result pagination.</x:v>
      </x:c>
      <x:c r="X349" s="6" t="str">
        <x:v>data/train/swiss-1390/questions_basic.jsonl</x:v>
      </x:c>
      <x:c r="Y349" s="14" t="n">
        <x:v>1</x:v>
      </x:c>
      <x:c r="Z349" s="6" t="str">
        <x:v>https://github.com/hagenhaeussler/Industrial-Agents-Hackathon-2026/blob/f41616590b69f3ea0c1cbfb41d6c35edd9ce53df/data/train/swiss-1390/questions_basic.jsonl#L1</x:v>
      </x:c>
      <x:c r="AA349" s="6" t="str">
        <x:v>swiss_dwellings</x:v>
      </x:c>
      <x:c r="AB349" s="6" t="str">
        <x:v>CC-BY-4.0</x:v>
      </x:c>
    </x:row>
    <x:row r="350" ht="72" customHeight="1">
      <x:c r="A350" s="14" t="n">
        <x:v>345</x:v>
      </x:c>
      <x:c r="B350" s="6" t="str">
        <x:v>locate</x:v>
      </x:c>
      <x:c r="C350" s="6" t="str">
        <x:v>Where is the washing machine?</x:v>
      </x:c>
      <x:c r="D350" s="6" t="str">
        <x:v>Bathroom 0.12 (apartment 2)
Floor level: 0
Asset ID: swiss-1433-A00051
Position (m): -6.994, 0.063</x:v>
      </x:c>
      <x:c r="E350" s="6" t="str">
        <x:v>Reference supplied</x:v>
      </x:c>
      <x:c r="F350" s="6" t="str">
        <x:v>train</x:v>
      </x:c>
      <x:c r="G350" s="6" t="str">
        <x:v>swiss-1433</x:v>
      </x:c>
      <x:c r="H350" s="6" t="str">
        <x:v>swiss-1433-Q01</x:v>
      </x:c>
      <x:c r="I350" s="6" t="str">
        <x:v>Find and count assets</x:v>
      </x:c>
      <x:c r="J350" s="6" t="str">
        <x:v>Warm-up</x:v>
      </x:c>
      <x:c r="K350" s="6" t="str">
        <x:v>Room name, floor and asset identity. Coordinates may help the UI.</x:v>
      </x:c>
      <x:c r="L350" s="6" t="str">
        <x:v>T02, T03</x:v>
      </x:c>
      <x:c r="M350" s="6" t="str">
        <x:v>Find a named item and identify its containing room and floor.</x:v>
      </x:c>
      <x:c r="N350" s="6" t="str">
        <x:v>{"asset_id":"swiss-1433-A00051","space_id":"swiss-1433-F0-S012","space_name":"Bathroom 0.12 (apartment 2)","floor_level":0,"position":[-6.994,0.063]}</x:v>
      </x:c>
      <x:c r="O350" s="6"/>
      <x:c r="P350" s="6" t="str">
        <x:v>Resolve the intended asset and its containing room/floor.</x:v>
      </x:c>
      <x:c r="Q350" s="15"/>
      <x:c r="R350" s="6"/>
      <x:c r="S350" s="16"/>
      <x:c r="T350" s="15"/>
      <x:c r="U350" s="6"/>
      <x:c r="V350" s="6"/>
      <x:c r="W350" s="6" t="str">
        <x:v>Existing search_building. Improve disambiguation and complete result pagination.</x:v>
      </x:c>
      <x:c r="X350" s="6" t="str">
        <x:v>data/train/swiss-1433/questions_basic.jsonl</x:v>
      </x:c>
      <x:c r="Y350" s="14" t="n">
        <x:v>1</x:v>
      </x:c>
      <x:c r="Z350" s="6" t="str">
        <x:v>https://github.com/hagenhaeussler/Industrial-Agents-Hackathon-2026/blob/f41616590b69f3ea0c1cbfb41d6c35edd9ce53df/data/train/swiss-1433/questions_basic.jsonl#L1</x:v>
      </x:c>
      <x:c r="AA350" s="6" t="str">
        <x:v>swiss_dwellings</x:v>
      </x:c>
      <x:c r="AB350" s="6" t="str">
        <x:v>CC-BY-4.0</x:v>
      </x:c>
    </x:row>
    <x:row r="351" ht="72" customHeight="1">
      <x:c r="A351" s="14" t="n">
        <x:v>346</x:v>
      </x:c>
      <x:c r="B351" s="6" t="str">
        <x:v>locate</x:v>
      </x:c>
      <x:c r="C351" s="6" t="str">
        <x:v>Where is the dining table?</x:v>
      </x:c>
      <x:c r="D351" s="6" t="str">
        <x:v>Kitchen 2.11 (apartment 6)
Floor level: 2
Asset ID: swiss-1433-A00128
Position (m): 0.842, 4.022</x:v>
      </x:c>
      <x:c r="E351" s="6" t="str">
        <x:v>Reference supplied</x:v>
      </x:c>
      <x:c r="F351" s="6" t="str">
        <x:v>train</x:v>
      </x:c>
      <x:c r="G351" s="6" t="str">
        <x:v>swiss-1433</x:v>
      </x:c>
      <x:c r="H351" s="6" t="str">
        <x:v>swiss-1433-Q02</x:v>
      </x:c>
      <x:c r="I351" s="6" t="str">
        <x:v>Find and count assets</x:v>
      </x:c>
      <x:c r="J351" s="6" t="str">
        <x:v>Warm-up</x:v>
      </x:c>
      <x:c r="K351" s="6" t="str">
        <x:v>Room name, floor and asset identity. Coordinates may help the UI.</x:v>
      </x:c>
      <x:c r="L351" s="6" t="str">
        <x:v>T02, T03</x:v>
      </x:c>
      <x:c r="M351" s="6" t="str">
        <x:v>Find a named item and identify its containing room and floor.</x:v>
      </x:c>
      <x:c r="N351" s="6" t="str">
        <x:v>{"asset_id":"swiss-1433-A00128","space_id":"swiss-1433-F2-S011","space_name":"Kitchen 2.11 (apartment 6)","floor_level":2,"position":[0.842,4.022]}</x:v>
      </x:c>
      <x:c r="O351" s="6"/>
      <x:c r="P351" s="6" t="str">
        <x:v>Resolve the intended asset and its containing room/floor.</x:v>
      </x:c>
      <x:c r="Q351" s="15"/>
      <x:c r="R351" s="6"/>
      <x:c r="S351" s="16"/>
      <x:c r="T351" s="15"/>
      <x:c r="U351" s="6"/>
      <x:c r="V351" s="6"/>
      <x:c r="W351" s="6" t="str">
        <x:v>Existing search_building. Improve disambiguation and complete result pagination.</x:v>
      </x:c>
      <x:c r="X351" s="6" t="str">
        <x:v>data/train/swiss-1433/questions_basic.jsonl</x:v>
      </x:c>
      <x:c r="Y351" s="14" t="n">
        <x:v>2</x:v>
      </x:c>
      <x:c r="Z351" s="6" t="str">
        <x:v>https://github.com/hagenhaeussler/Industrial-Agents-Hackathon-2026/blob/f41616590b69f3ea0c1cbfb41d6c35edd9ce53df/data/train/swiss-1433/questions_basic.jsonl#L2</x:v>
      </x:c>
      <x:c r="AA351" s="6" t="str">
        <x:v>swiss_dwellings</x:v>
      </x:c>
      <x:c r="AB351" s="6" t="str">
        <x:v>CC-BY-4.0</x:v>
      </x:c>
    </x:row>
    <x:row r="352" ht="72" customHeight="1">
      <x:c r="A352" s="14" t="n">
        <x:v>347</x:v>
      </x:c>
      <x:c r="B352" s="6" t="str">
        <x:v>locate</x:v>
      </x:c>
      <x:c r="C352" s="6" t="str">
        <x:v>Where is the washing machine?</x:v>
      </x:c>
      <x:c r="D352" s="6" t="str">
        <x:v>Bathroom 2.16 (apartment 10)
Floor level: 2
Asset ID: swiss-1444-A00285
Position (m): -20.158, 8.751</x:v>
      </x:c>
      <x:c r="E352" s="6" t="str">
        <x:v>Reference supplied</x:v>
      </x:c>
      <x:c r="F352" s="6" t="str">
        <x:v>train</x:v>
      </x:c>
      <x:c r="G352" s="6" t="str">
        <x:v>swiss-1444</x:v>
      </x:c>
      <x:c r="H352" s="6" t="str">
        <x:v>swiss-1444-Q01</x:v>
      </x:c>
      <x:c r="I352" s="6" t="str">
        <x:v>Find and count assets</x:v>
      </x:c>
      <x:c r="J352" s="6" t="str">
        <x:v>Warm-up</x:v>
      </x:c>
      <x:c r="K352" s="6" t="str">
        <x:v>Room name, floor and asset identity. Coordinates may help the UI.</x:v>
      </x:c>
      <x:c r="L352" s="6" t="str">
        <x:v>T02, T03</x:v>
      </x:c>
      <x:c r="M352" s="6" t="str">
        <x:v>Find a named item and identify its containing room and floor.</x:v>
      </x:c>
      <x:c r="N352" s="6" t="str">
        <x:v>{"asset_id":"swiss-1444-A00285","space_id":"swiss-1444-F2-S016","space_name":"Bathroom 2.16 (apartment 10)","floor_level":2,"position":[-20.158,8.751]}</x:v>
      </x:c>
      <x:c r="O352" s="6"/>
      <x:c r="P352" s="6" t="str">
        <x:v>Resolve the intended asset and its containing room/floor.</x:v>
      </x:c>
      <x:c r="Q352" s="15"/>
      <x:c r="R352" s="6"/>
      <x:c r="S352" s="16"/>
      <x:c r="T352" s="15"/>
      <x:c r="U352" s="6"/>
      <x:c r="V352" s="6"/>
      <x:c r="W352" s="6" t="str">
        <x:v>Existing search_building. Improve disambiguation and complete result pagination.</x:v>
      </x:c>
      <x:c r="X352" s="6" t="str">
        <x:v>data/train/swiss-1444/questions_basic.jsonl</x:v>
      </x:c>
      <x:c r="Y352" s="14" t="n">
        <x:v>1</x:v>
      </x:c>
      <x:c r="Z352" s="6" t="str">
        <x:v>https://github.com/hagenhaeussler/Industrial-Agents-Hackathon-2026/blob/f41616590b69f3ea0c1cbfb41d6c35edd9ce53df/data/train/swiss-1444/questions_basic.jsonl#L1</x:v>
      </x:c>
      <x:c r="AA352" s="6" t="str">
        <x:v>swiss_dwellings</x:v>
      </x:c>
      <x:c r="AB352" s="6" t="str">
        <x:v>CC-BY-4.0</x:v>
      </x:c>
    </x:row>
    <x:row r="353" ht="72" customHeight="1">
      <x:c r="A353" s="14" t="n">
        <x:v>348</x:v>
      </x:c>
      <x:c r="B353" s="6" t="str">
        <x:v>locate</x:v>
      </x:c>
      <x:c r="C353" s="6" t="str">
        <x:v>Where is the desk?</x:v>
      </x:c>
      <x:c r="D353" s="6" t="str">
        <x:v>Bedroom 0.09 (apartment 2)
Floor level: 0
Asset ID: swiss-1457-A00069
Position (m): -3.843, 8.962</x:v>
      </x:c>
      <x:c r="E353" s="6" t="str">
        <x:v>Reference supplied</x:v>
      </x:c>
      <x:c r="F353" s="6" t="str">
        <x:v>train</x:v>
      </x:c>
      <x:c r="G353" s="6" t="str">
        <x:v>swiss-1457</x:v>
      </x:c>
      <x:c r="H353" s="6" t="str">
        <x:v>swiss-1457-Q01</x:v>
      </x:c>
      <x:c r="I353" s="6" t="str">
        <x:v>Find and count assets</x:v>
      </x:c>
      <x:c r="J353" s="6" t="str">
        <x:v>Warm-up</x:v>
      </x:c>
      <x:c r="K353" s="6" t="str">
        <x:v>Room name, floor and asset identity. Coordinates may help the UI.</x:v>
      </x:c>
      <x:c r="L353" s="6" t="str">
        <x:v>T02, T03</x:v>
      </x:c>
      <x:c r="M353" s="6" t="str">
        <x:v>Find a named item and identify its containing room and floor.</x:v>
      </x:c>
      <x:c r="N353" s="6" t="str">
        <x:v>{"asset_id":"swiss-1457-A00069","space_id":"swiss-1457-F0-S009","space_name":"Bedroom 0.09 (apartment 2)","floor_level":0,"position":[-3.843,8.962]}</x:v>
      </x:c>
      <x:c r="O353" s="6"/>
      <x:c r="P353" s="6" t="str">
        <x:v>Resolve the intended asset and its containing room/floor.</x:v>
      </x:c>
      <x:c r="Q353" s="15"/>
      <x:c r="R353" s="6"/>
      <x:c r="S353" s="16"/>
      <x:c r="T353" s="15"/>
      <x:c r="U353" s="6"/>
      <x:c r="V353" s="6"/>
      <x:c r="W353" s="6" t="str">
        <x:v>Existing search_building. Improve disambiguation and complete result pagination.</x:v>
      </x:c>
      <x:c r="X353" s="6" t="str">
        <x:v>data/train/swiss-1457/questions_basic.jsonl</x:v>
      </x:c>
      <x:c r="Y353" s="14" t="n">
        <x:v>1</x:v>
      </x:c>
      <x:c r="Z353" s="6" t="str">
        <x:v>https://github.com/hagenhaeussler/Industrial-Agents-Hackathon-2026/blob/f41616590b69f3ea0c1cbfb41d6c35edd9ce53df/data/train/swiss-1457/questions_basic.jsonl#L1</x:v>
      </x:c>
      <x:c r="AA353" s="6" t="str">
        <x:v>swiss_dwellings</x:v>
      </x:c>
      <x:c r="AB353" s="6" t="str">
        <x:v>CC-BY-4.0</x:v>
      </x:c>
    </x:row>
    <x:row r="354" ht="72" customHeight="1">
      <x:c r="A354" s="14" t="n">
        <x:v>349</x:v>
      </x:c>
      <x:c r="B354" s="6" t="str">
        <x:v>locate</x:v>
      </x:c>
      <x:c r="C354" s="6" t="str">
        <x:v>Where is the coat rack?</x:v>
      </x:c>
      <x:c r="D354" s="6" t="str">
        <x:v>Corridor 3.01 (apartment 7)
Floor level: 3
Asset ID: swiss-1457-A00185
Position (m): 1.26, -2.191</x:v>
      </x:c>
      <x:c r="E354" s="6" t="str">
        <x:v>Reference supplied</x:v>
      </x:c>
      <x:c r="F354" s="6" t="str">
        <x:v>train</x:v>
      </x:c>
      <x:c r="G354" s="6" t="str">
        <x:v>swiss-1457</x:v>
      </x:c>
      <x:c r="H354" s="6" t="str">
        <x:v>swiss-1457-Q02</x:v>
      </x:c>
      <x:c r="I354" s="6" t="str">
        <x:v>Find and count assets</x:v>
      </x:c>
      <x:c r="J354" s="6" t="str">
        <x:v>Warm-up</x:v>
      </x:c>
      <x:c r="K354" s="6" t="str">
        <x:v>Room name, floor and asset identity. Coordinates may help the UI.</x:v>
      </x:c>
      <x:c r="L354" s="6" t="str">
        <x:v>T02, T03</x:v>
      </x:c>
      <x:c r="M354" s="6" t="str">
        <x:v>Find a named item and identify its containing room and floor.</x:v>
      </x:c>
      <x:c r="N354" s="6" t="str">
        <x:v>{"asset_id":"swiss-1457-A00185","space_id":"swiss-1457-F3-S001","space_name":"Corridor 3.01 (apartment 7)","floor_level":3,"position":[1.26,-2.191]}</x:v>
      </x:c>
      <x:c r="O354" s="6"/>
      <x:c r="P354" s="6" t="str">
        <x:v>Resolve the intended asset and its containing room/floor.</x:v>
      </x:c>
      <x:c r="Q354" s="15"/>
      <x:c r="R354" s="6"/>
      <x:c r="S354" s="16"/>
      <x:c r="T354" s="15"/>
      <x:c r="U354" s="6"/>
      <x:c r="V354" s="6"/>
      <x:c r="W354" s="6" t="str">
        <x:v>Existing search_building. Improve disambiguation and complete result pagination.</x:v>
      </x:c>
      <x:c r="X354" s="6" t="str">
        <x:v>data/train/swiss-1457/questions_basic.jsonl</x:v>
      </x:c>
      <x:c r="Y354" s="14" t="n">
        <x:v>2</x:v>
      </x:c>
      <x:c r="Z354" s="6" t="str">
        <x:v>https://github.com/hagenhaeussler/Industrial-Agents-Hackathon-2026/blob/f41616590b69f3ea0c1cbfb41d6c35edd9ce53df/data/train/swiss-1457/questions_basic.jsonl#L2</x:v>
      </x:c>
      <x:c r="AA354" s="6" t="str">
        <x:v>swiss_dwellings</x:v>
      </x:c>
      <x:c r="AB354" s="6" t="str">
        <x:v>CC-BY-4.0</x:v>
      </x:c>
    </x:row>
    <x:row r="355" ht="72" customHeight="1">
      <x:c r="A355" s="14" t="n">
        <x:v>350</x:v>
      </x:c>
      <x:c r="B355" s="6" t="str">
        <x:v>locate</x:v>
      </x:c>
      <x:c r="C355" s="6" t="str">
        <x:v>Where is the shoe cabinet?</x:v>
      </x:c>
      <x:c r="D355" s="6" t="str">
        <x:v>Corridor 4.09 (apartment 9)
Floor level: 4
Asset ID: swiss-1463-A00244
Position (m): 2.293, 0.796</x:v>
      </x:c>
      <x:c r="E355" s="6" t="str">
        <x:v>Reference supplied</x:v>
      </x:c>
      <x:c r="F355" s="6" t="str">
        <x:v>train</x:v>
      </x:c>
      <x:c r="G355" s="6" t="str">
        <x:v>swiss-1463</x:v>
      </x:c>
      <x:c r="H355" s="6" t="str">
        <x:v>swiss-1463-Q01</x:v>
      </x:c>
      <x:c r="I355" s="6" t="str">
        <x:v>Find and count assets</x:v>
      </x:c>
      <x:c r="J355" s="6" t="str">
        <x:v>Warm-up</x:v>
      </x:c>
      <x:c r="K355" s="6" t="str">
        <x:v>Room name, floor and asset identity. Coordinates may help the UI.</x:v>
      </x:c>
      <x:c r="L355" s="6" t="str">
        <x:v>T02, T03</x:v>
      </x:c>
      <x:c r="M355" s="6" t="str">
        <x:v>Find a named item and identify its containing room and floor.</x:v>
      </x:c>
      <x:c r="N355" s="6" t="str">
        <x:v>{"asset_id":"swiss-1463-A00244","space_id":"swiss-1463-F4-S009","space_name":"Corridor 4.09 (apartment 9)","floor_level":4,"position":[2.293,0.796]}</x:v>
      </x:c>
      <x:c r="O355" s="6"/>
      <x:c r="P355" s="6" t="str">
        <x:v>Resolve the intended asset and its containing room/floor.</x:v>
      </x:c>
      <x:c r="Q355" s="15"/>
      <x:c r="R355" s="6"/>
      <x:c r="S355" s="16"/>
      <x:c r="T355" s="15"/>
      <x:c r="U355" s="6"/>
      <x:c r="V355" s="6"/>
      <x:c r="W355" s="6" t="str">
        <x:v>Existing search_building. Improve disambiguation and complete result pagination.</x:v>
      </x:c>
      <x:c r="X355" s="6" t="str">
        <x:v>data/train/swiss-1463/questions_basic.jsonl</x:v>
      </x:c>
      <x:c r="Y355" s="14" t="n">
        <x:v>1</x:v>
      </x:c>
      <x:c r="Z355" s="6" t="str">
        <x:v>https://github.com/hagenhaeussler/Industrial-Agents-Hackathon-2026/blob/f41616590b69f3ea0c1cbfb41d6c35edd9ce53df/data/train/swiss-1463/questions_basic.jsonl#L1</x:v>
      </x:c>
      <x:c r="AA355" s="6" t="str">
        <x:v>swiss_dwellings</x:v>
      </x:c>
      <x:c r="AB355" s="6" t="str">
        <x:v>CC-BY-4.0</x:v>
      </x:c>
    </x:row>
    <x:row r="356" ht="72" customHeight="1">
      <x:c r="A356" s="14" t="n">
        <x:v>351</x:v>
      </x:c>
      <x:c r="B356" s="6" t="str">
        <x:v>locate</x:v>
      </x:c>
      <x:c r="C356" s="6" t="str">
        <x:v>Where is the washing machine?</x:v>
      </x:c>
      <x:c r="D356" s="6" t="str">
        <x:v>Bathroom 0.01 (apartment 1)
Floor level: 0
Asset ID: swiss-1470-A00003
Position (m): -1.753, 8.424</x:v>
      </x:c>
      <x:c r="E356" s="6" t="str">
        <x:v>Reference supplied</x:v>
      </x:c>
      <x:c r="F356" s="6" t="str">
        <x:v>train</x:v>
      </x:c>
      <x:c r="G356" s="6" t="str">
        <x:v>swiss-1470</x:v>
      </x:c>
      <x:c r="H356" s="6" t="str">
        <x:v>swiss-1470-Q01</x:v>
      </x:c>
      <x:c r="I356" s="6" t="str">
        <x:v>Find and count assets</x:v>
      </x:c>
      <x:c r="J356" s="6" t="str">
        <x:v>Warm-up</x:v>
      </x:c>
      <x:c r="K356" s="6" t="str">
        <x:v>Room name, floor and asset identity. Coordinates may help the UI.</x:v>
      </x:c>
      <x:c r="L356" s="6" t="str">
        <x:v>T02, T03</x:v>
      </x:c>
      <x:c r="M356" s="6" t="str">
        <x:v>Find a named item and identify its containing room and floor.</x:v>
      </x:c>
      <x:c r="N356" s="6" t="str">
        <x:v>{"asset_id":"swiss-1470-A00003","space_id":"swiss-1470-F0-S001","space_name":"Bathroom 0.01 (apartment 1)","floor_level":0,"position":[-1.753,8.424]}</x:v>
      </x:c>
      <x:c r="O356" s="6"/>
      <x:c r="P356" s="6" t="str">
        <x:v>Resolve the intended asset and its containing room/floor.</x:v>
      </x:c>
      <x:c r="Q356" s="15"/>
      <x:c r="R356" s="6"/>
      <x:c r="S356" s="16"/>
      <x:c r="T356" s="15"/>
      <x:c r="U356" s="6"/>
      <x:c r="V356" s="6"/>
      <x:c r="W356" s="6" t="str">
        <x:v>Existing search_building. Improve disambiguation and complete result pagination.</x:v>
      </x:c>
      <x:c r="X356" s="6" t="str">
        <x:v>data/train/swiss-1470/questions_basic.jsonl</x:v>
      </x:c>
      <x:c r="Y356" s="14" t="n">
        <x:v>1</x:v>
      </x:c>
      <x:c r="Z356" s="6" t="str">
        <x:v>https://github.com/hagenhaeussler/Industrial-Agents-Hackathon-2026/blob/f41616590b69f3ea0c1cbfb41d6c35edd9ce53df/data/train/swiss-1470/questions_basic.jsonl#L1</x:v>
      </x:c>
      <x:c r="AA356" s="6" t="str">
        <x:v>swiss_dwellings</x:v>
      </x:c>
      <x:c r="AB356" s="6" t="str">
        <x:v>CC-BY-4.0</x:v>
      </x:c>
    </x:row>
    <x:row r="357" ht="72" customHeight="1">
      <x:c r="A357" s="14" t="n">
        <x:v>352</x:v>
      </x:c>
      <x:c r="B357" s="6" t="str">
        <x:v>locate</x:v>
      </x:c>
      <x:c r="C357" s="6" t="str">
        <x:v>Where is the shoe cabinet?</x:v>
      </x:c>
      <x:c r="D357" s="6" t="str">
        <x:v>Corridor 2.02 (apartment 5)
Floor level: 2
Asset ID: swiss-1470-A00138
Position (m): -0.15, 6.142</x:v>
      </x:c>
      <x:c r="E357" s="6" t="str">
        <x:v>Reference supplied</x:v>
      </x:c>
      <x:c r="F357" s="6" t="str">
        <x:v>train</x:v>
      </x:c>
      <x:c r="G357" s="6" t="str">
        <x:v>swiss-1470</x:v>
      </x:c>
      <x:c r="H357" s="6" t="str">
        <x:v>swiss-1470-Q02</x:v>
      </x:c>
      <x:c r="I357" s="6" t="str">
        <x:v>Find and count assets</x:v>
      </x:c>
      <x:c r="J357" s="6" t="str">
        <x:v>Warm-up</x:v>
      </x:c>
      <x:c r="K357" s="6" t="str">
        <x:v>Room name, floor and asset identity. Coordinates may help the UI.</x:v>
      </x:c>
      <x:c r="L357" s="6" t="str">
        <x:v>T02, T03</x:v>
      </x:c>
      <x:c r="M357" s="6" t="str">
        <x:v>Find a named item and identify its containing room and floor.</x:v>
      </x:c>
      <x:c r="N357" s="6" t="str">
        <x:v>{"asset_id":"swiss-1470-A00138","space_id":"swiss-1470-F2-S002","space_name":"Corridor 2.02 (apartment 5)","floor_level":2,"position":[-0.15,6.142]}</x:v>
      </x:c>
      <x:c r="O357" s="6"/>
      <x:c r="P357" s="6" t="str">
        <x:v>Resolve the intended asset and its containing room/floor.</x:v>
      </x:c>
      <x:c r="Q357" s="15"/>
      <x:c r="R357" s="6"/>
      <x:c r="S357" s="16"/>
      <x:c r="T357" s="15"/>
      <x:c r="U357" s="6"/>
      <x:c r="V357" s="6"/>
      <x:c r="W357" s="6" t="str">
        <x:v>Existing search_building. Improve disambiguation and complete result pagination.</x:v>
      </x:c>
      <x:c r="X357" s="6" t="str">
        <x:v>data/train/swiss-1470/questions_basic.jsonl</x:v>
      </x:c>
      <x:c r="Y357" s="14" t="n">
        <x:v>2</x:v>
      </x:c>
      <x:c r="Z357" s="6" t="str">
        <x:v>https://github.com/hagenhaeussler/Industrial-Agents-Hackathon-2026/blob/f41616590b69f3ea0c1cbfb41d6c35edd9ce53df/data/train/swiss-1470/questions_basic.jsonl#L2</x:v>
      </x:c>
      <x:c r="AA357" s="6" t="str">
        <x:v>swiss_dwellings</x:v>
      </x:c>
      <x:c r="AB357" s="6" t="str">
        <x:v>CC-BY-4.0</x:v>
      </x:c>
    </x:row>
    <x:row r="358" ht="72" customHeight="1">
      <x:c r="A358" s="14" t="n">
        <x:v>353</x:v>
      </x:c>
      <x:c r="B358" s="6" t="str">
        <x:v>locate</x:v>
      </x:c>
      <x:c r="C358" s="6" t="str">
        <x:v>Where is the dishwasher?</x:v>
      </x:c>
      <x:c r="D358" s="6" t="str">
        <x:v>Kitchen 1.20 (apartment 4)
Floor level: 1
Asset ID: swiss-1470-A00120
Position (m): -1.318, 10.007</x:v>
      </x:c>
      <x:c r="E358" s="6" t="str">
        <x:v>Reference supplied</x:v>
      </x:c>
      <x:c r="F358" s="6" t="str">
        <x:v>train</x:v>
      </x:c>
      <x:c r="G358" s="6" t="str">
        <x:v>swiss-1470</x:v>
      </x:c>
      <x:c r="H358" s="6" t="str">
        <x:v>swiss-1470-Q03</x:v>
      </x:c>
      <x:c r="I358" s="6" t="str">
        <x:v>Find and count assets</x:v>
      </x:c>
      <x:c r="J358" s="6" t="str">
        <x:v>Warm-up</x:v>
      </x:c>
      <x:c r="K358" s="6" t="str">
        <x:v>Room name, floor and asset identity. Coordinates may help the UI.</x:v>
      </x:c>
      <x:c r="L358" s="6" t="str">
        <x:v>T02, T03</x:v>
      </x:c>
      <x:c r="M358" s="6" t="str">
        <x:v>Find a named item and identify its containing room and floor.</x:v>
      </x:c>
      <x:c r="N358" s="6" t="str">
        <x:v>{"asset_id":"swiss-1470-A00120","space_id":"swiss-1470-F1-S020","space_name":"Kitchen 1.20 (apartment 4)","floor_level":1,"position":[-1.318,10.007]}</x:v>
      </x:c>
      <x:c r="O358" s="6"/>
      <x:c r="P358" s="6" t="str">
        <x:v>Resolve the intended asset and its containing room/floor.</x:v>
      </x:c>
      <x:c r="Q358" s="15"/>
      <x:c r="R358" s="6"/>
      <x:c r="S358" s="16"/>
      <x:c r="T358" s="15"/>
      <x:c r="U358" s="6"/>
      <x:c r="V358" s="6"/>
      <x:c r="W358" s="6" t="str">
        <x:v>Existing search_building. Improve disambiguation and complete result pagination.</x:v>
      </x:c>
      <x:c r="X358" s="6" t="str">
        <x:v>data/train/swiss-1470/questions_basic.jsonl</x:v>
      </x:c>
      <x:c r="Y358" s="14" t="n">
        <x:v>3</x:v>
      </x:c>
      <x:c r="Z358" s="6" t="str">
        <x:v>https://github.com/hagenhaeussler/Industrial-Agents-Hackathon-2026/blob/f41616590b69f3ea0c1cbfb41d6c35edd9ce53df/data/train/swiss-1470/questions_basic.jsonl#L3</x:v>
      </x:c>
      <x:c r="AA358" s="6" t="str">
        <x:v>swiss_dwellings</x:v>
      </x:c>
      <x:c r="AB358" s="6" t="str">
        <x:v>CC-BY-4.0</x:v>
      </x:c>
    </x:row>
    <x:row r="359" ht="72" customHeight="1">
      <x:c r="A359" s="14" t="n">
        <x:v>354</x:v>
      </x:c>
      <x:c r="B359" s="6" t="str">
        <x:v>locate</x:v>
      </x:c>
      <x:c r="C359" s="6" t="str">
        <x:v>Where is the shelf?</x:v>
      </x:c>
      <x:c r="D359" s="6" t="str">
        <x:v>Storage 0.09 (apartment 2)
Floor level: 0
Asset ID: swiss-148-A00076
Position (m): -0.608, -3.497</x:v>
      </x:c>
      <x:c r="E359" s="6" t="str">
        <x:v>Reference supplied</x:v>
      </x:c>
      <x:c r="F359" s="6" t="str">
        <x:v>train</x:v>
      </x:c>
      <x:c r="G359" s="6" t="str">
        <x:v>swiss-148</x:v>
      </x:c>
      <x:c r="H359" s="6" t="str">
        <x:v>swiss-148-Q01</x:v>
      </x:c>
      <x:c r="I359" s="6" t="str">
        <x:v>Find and count assets</x:v>
      </x:c>
      <x:c r="J359" s="6" t="str">
        <x:v>Warm-up</x:v>
      </x:c>
      <x:c r="K359" s="6" t="str">
        <x:v>Room name, floor and asset identity. Coordinates may help the UI.</x:v>
      </x:c>
      <x:c r="L359" s="6" t="str">
        <x:v>T02, T03</x:v>
      </x:c>
      <x:c r="M359" s="6" t="str">
        <x:v>Find a named item and identify its containing room and floor.</x:v>
      </x:c>
      <x:c r="N359" s="6" t="str">
        <x:v>{"asset_id":"swiss-148-A00076","space_id":"swiss-148-F0-S009","space_name":"Storage 0.09 (apartment 2)","floor_level":0,"position":[-0.608,-3.497]}</x:v>
      </x:c>
      <x:c r="O359" s="6"/>
      <x:c r="P359" s="6" t="str">
        <x:v>Resolve the intended asset and its containing room/floor.</x:v>
      </x:c>
      <x:c r="Q359" s="15"/>
      <x:c r="R359" s="6"/>
      <x:c r="S359" s="16"/>
      <x:c r="T359" s="15"/>
      <x:c r="U359" s="6"/>
      <x:c r="V359" s="6"/>
      <x:c r="W359" s="6" t="str">
        <x:v>Existing search_building. Improve disambiguation and complete result pagination.</x:v>
      </x:c>
      <x:c r="X359" s="6" t="str">
        <x:v>data/train/swiss-148/questions_basic.jsonl</x:v>
      </x:c>
      <x:c r="Y359" s="14" t="n">
        <x:v>1</x:v>
      </x:c>
      <x:c r="Z359" s="6" t="str">
        <x:v>https://github.com/hagenhaeussler/Industrial-Agents-Hackathon-2026/blob/f41616590b69f3ea0c1cbfb41d6c35edd9ce53df/data/train/swiss-148/questions_basic.jsonl#L1</x:v>
      </x:c>
      <x:c r="AA359" s="6" t="str">
        <x:v>swiss_dwellings</x:v>
      </x:c>
      <x:c r="AB359" s="6" t="str">
        <x:v>CC-BY-4.0</x:v>
      </x:c>
    </x:row>
    <x:row r="360" ht="72" customHeight="1">
      <x:c r="A360" s="14" t="n">
        <x:v>355</x:v>
      </x:c>
      <x:c r="B360" s="6" t="str">
        <x:v>locate</x:v>
      </x:c>
      <x:c r="C360" s="6" t="str">
        <x:v>Where is the dining table?</x:v>
      </x:c>
      <x:c r="D360" s="6" t="str">
        <x:v>Kitchen 1.19 (apartment 4)
Floor level: 1
Asset ID: swiss-148-A00139
Position (m): 7.075, 4.027</x:v>
      </x:c>
      <x:c r="E360" s="6" t="str">
        <x:v>Reference supplied</x:v>
      </x:c>
      <x:c r="F360" s="6" t="str">
        <x:v>train</x:v>
      </x:c>
      <x:c r="G360" s="6" t="str">
        <x:v>swiss-148</x:v>
      </x:c>
      <x:c r="H360" s="6" t="str">
        <x:v>swiss-148-Q02</x:v>
      </x:c>
      <x:c r="I360" s="6" t="str">
        <x:v>Find and count assets</x:v>
      </x:c>
      <x:c r="J360" s="6" t="str">
        <x:v>Warm-up</x:v>
      </x:c>
      <x:c r="K360" s="6" t="str">
        <x:v>Room name, floor and asset identity. Coordinates may help the UI.</x:v>
      </x:c>
      <x:c r="L360" s="6" t="str">
        <x:v>T02, T03</x:v>
      </x:c>
      <x:c r="M360" s="6" t="str">
        <x:v>Find a named item and identify its containing room and floor.</x:v>
      </x:c>
      <x:c r="N360" s="6" t="str">
        <x:v>{"asset_id":"swiss-148-A00139","space_id":"swiss-148-F1-S019","space_name":"Kitchen 1.19 (apartment 4)","floor_level":1,"position":[7.075,4.027]}</x:v>
      </x:c>
      <x:c r="O360" s="6"/>
      <x:c r="P360" s="6" t="str">
        <x:v>Resolve the intended asset and its containing room/floor.</x:v>
      </x:c>
      <x:c r="Q360" s="15"/>
      <x:c r="R360" s="6"/>
      <x:c r="S360" s="16"/>
      <x:c r="T360" s="15"/>
      <x:c r="U360" s="6"/>
      <x:c r="V360" s="6"/>
      <x:c r="W360" s="6" t="str">
        <x:v>Existing search_building. Improve disambiguation and complete result pagination.</x:v>
      </x:c>
      <x:c r="X360" s="6" t="str">
        <x:v>data/train/swiss-148/questions_basic.jsonl</x:v>
      </x:c>
      <x:c r="Y360" s="14" t="n">
        <x:v>2</x:v>
      </x:c>
      <x:c r="Z360" s="6" t="str">
        <x:v>https://github.com/hagenhaeussler/Industrial-Agents-Hackathon-2026/blob/f41616590b69f3ea0c1cbfb41d6c35edd9ce53df/data/train/swiss-148/questions_basic.jsonl#L2</x:v>
      </x:c>
      <x:c r="AA360" s="6" t="str">
        <x:v>swiss_dwellings</x:v>
      </x:c>
      <x:c r="AB360" s="6" t="str">
        <x:v>CC-BY-4.0</x:v>
      </x:c>
    </x:row>
    <x:row r="361" ht="72" customHeight="1">
      <x:c r="A361" s="14" t="n">
        <x:v>356</x:v>
      </x:c>
      <x:c r="B361" s="6" t="str">
        <x:v>locate</x:v>
      </x:c>
      <x:c r="C361" s="6" t="str">
        <x:v>Where is the washing machine?</x:v>
      </x:c>
      <x:c r="D361" s="6" t="str">
        <x:v>Bathroom 0.25 (apartment 4)
Floor level: 0
Asset ID: swiss-1543-A00106
Position (m): -5.46, -0.146</x:v>
      </x:c>
      <x:c r="E361" s="6" t="str">
        <x:v>Reference supplied</x:v>
      </x:c>
      <x:c r="F361" s="6" t="str">
        <x:v>train</x:v>
      </x:c>
      <x:c r="G361" s="6" t="str">
        <x:v>swiss-1543</x:v>
      </x:c>
      <x:c r="H361" s="6" t="str">
        <x:v>swiss-1543-Q01</x:v>
      </x:c>
      <x:c r="I361" s="6" t="str">
        <x:v>Find and count assets</x:v>
      </x:c>
      <x:c r="J361" s="6" t="str">
        <x:v>Warm-up</x:v>
      </x:c>
      <x:c r="K361" s="6" t="str">
        <x:v>Room name, floor and asset identity. Coordinates may help the UI.</x:v>
      </x:c>
      <x:c r="L361" s="6" t="str">
        <x:v>T02, T03</x:v>
      </x:c>
      <x:c r="M361" s="6" t="str">
        <x:v>Find a named item and identify its containing room and floor.</x:v>
      </x:c>
      <x:c r="N361" s="6" t="str">
        <x:v>{"asset_id":"swiss-1543-A00106","space_id":"swiss-1543-F0-S025","space_name":"Bathroom 0.25 (apartment 4)","floor_level":0,"position":[-5.46,-0.146]}</x:v>
      </x:c>
      <x:c r="O361" s="6"/>
      <x:c r="P361" s="6" t="str">
        <x:v>Resolve the intended asset and its containing room/floor.</x:v>
      </x:c>
      <x:c r="Q361" s="15"/>
      <x:c r="R361" s="6"/>
      <x:c r="S361" s="16"/>
      <x:c r="T361" s="15"/>
      <x:c r="U361" s="6"/>
      <x:c r="V361" s="6"/>
      <x:c r="W361" s="6" t="str">
        <x:v>Existing search_building. Improve disambiguation and complete result pagination.</x:v>
      </x:c>
      <x:c r="X361" s="6" t="str">
        <x:v>data/train/swiss-1543/questions_basic.jsonl</x:v>
      </x:c>
      <x:c r="Y361" s="14" t="n">
        <x:v>1</x:v>
      </x:c>
      <x:c r="Z361" s="6" t="str">
        <x:v>https://github.com/hagenhaeussler/Industrial-Agents-Hackathon-2026/blob/f41616590b69f3ea0c1cbfb41d6c35edd9ce53df/data/train/swiss-1543/questions_basic.jsonl#L1</x:v>
      </x:c>
      <x:c r="AA361" s="6" t="str">
        <x:v>swiss_dwellings</x:v>
      </x:c>
      <x:c r="AB361" s="6" t="str">
        <x:v>CC-BY-4.0</x:v>
      </x:c>
    </x:row>
    <x:row r="362" ht="72" customHeight="1">
      <x:c r="A362" s="14" t="n">
        <x:v>357</x:v>
      </x:c>
      <x:c r="B362" s="6" t="str">
        <x:v>locate</x:v>
      </x:c>
      <x:c r="C362" s="6" t="str">
        <x:v>Where is the desk?</x:v>
      </x:c>
      <x:c r="D362" s="6" t="str">
        <x:v>Bedroom 0.10 (apartment 4)
Floor level: 0
Asset ID: swiss-15503-A00113
Position (m): 3.658, 2.055</x:v>
      </x:c>
      <x:c r="E362" s="6" t="str">
        <x:v>Reference supplied</x:v>
      </x:c>
      <x:c r="F362" s="6" t="str">
        <x:v>train</x:v>
      </x:c>
      <x:c r="G362" s="6" t="str">
        <x:v>swiss-15503</x:v>
      </x:c>
      <x:c r="H362" s="6" t="str">
        <x:v>swiss-15503-Q01</x:v>
      </x:c>
      <x:c r="I362" s="6" t="str">
        <x:v>Find and count assets</x:v>
      </x:c>
      <x:c r="J362" s="6" t="str">
        <x:v>Warm-up</x:v>
      </x:c>
      <x:c r="K362" s="6" t="str">
        <x:v>Room name, floor and asset identity. Coordinates may help the UI.</x:v>
      </x:c>
      <x:c r="L362" s="6" t="str">
        <x:v>T02, T03</x:v>
      </x:c>
      <x:c r="M362" s="6" t="str">
        <x:v>Find a named item and identify its containing room and floor.</x:v>
      </x:c>
      <x:c r="N362" s="6" t="str">
        <x:v>{"asset_id":"swiss-15503-A00113","space_id":"swiss-15503-F0-S010","space_name":"Bedroom 0.10 (apartment 4)","floor_level":0,"position":[3.658,2.055]}</x:v>
      </x:c>
      <x:c r="O362" s="6"/>
      <x:c r="P362" s="6" t="str">
        <x:v>Resolve the intended asset and its containing room/floor.</x:v>
      </x:c>
      <x:c r="Q362" s="15"/>
      <x:c r="R362" s="6"/>
      <x:c r="S362" s="16"/>
      <x:c r="T362" s="15"/>
      <x:c r="U362" s="6"/>
      <x:c r="V362" s="6"/>
      <x:c r="W362" s="6" t="str">
        <x:v>Existing search_building. Improve disambiguation and complete result pagination.</x:v>
      </x:c>
      <x:c r="X362" s="6" t="str">
        <x:v>data/train/swiss-15503/questions_basic.jsonl</x:v>
      </x:c>
      <x:c r="Y362" s="14" t="n">
        <x:v>1</x:v>
      </x:c>
      <x:c r="Z362" s="6" t="str">
        <x:v>https://github.com/hagenhaeussler/Industrial-Agents-Hackathon-2026/blob/f41616590b69f3ea0c1cbfb41d6c35edd9ce53df/data/train/swiss-15503/questions_basic.jsonl#L1</x:v>
      </x:c>
      <x:c r="AA362" s="6" t="str">
        <x:v>swiss_dwellings</x:v>
      </x:c>
      <x:c r="AB362" s="6" t="str">
        <x:v>CC-BY-4.0</x:v>
      </x:c>
    </x:row>
    <x:row r="363" ht="72" customHeight="1">
      <x:c r="A363" s="14" t="n">
        <x:v>358</x:v>
      </x:c>
      <x:c r="B363" s="6" t="str">
        <x:v>locate</x:v>
      </x:c>
      <x:c r="C363" s="6" t="str">
        <x:v>Where is the dishwasher?</x:v>
      </x:c>
      <x:c r="D363" s="6" t="str">
        <x:v>Kitchen 5.09 (apartment 14)
Floor level: 5
Asset ID: swiss-15503-A00268
Position (m): 6.331, 0.083</x:v>
      </x:c>
      <x:c r="E363" s="6" t="str">
        <x:v>Reference supplied</x:v>
      </x:c>
      <x:c r="F363" s="6" t="str">
        <x:v>train</x:v>
      </x:c>
      <x:c r="G363" s="6" t="str">
        <x:v>swiss-15503</x:v>
      </x:c>
      <x:c r="H363" s="6" t="str">
        <x:v>swiss-15503-Q02</x:v>
      </x:c>
      <x:c r="I363" s="6" t="str">
        <x:v>Find and count assets</x:v>
      </x:c>
      <x:c r="J363" s="6" t="str">
        <x:v>Warm-up</x:v>
      </x:c>
      <x:c r="K363" s="6" t="str">
        <x:v>Room name, floor and asset identity. Coordinates may help the UI.</x:v>
      </x:c>
      <x:c r="L363" s="6" t="str">
        <x:v>T02, T03</x:v>
      </x:c>
      <x:c r="M363" s="6" t="str">
        <x:v>Find a named item and identify its containing room and floor.</x:v>
      </x:c>
      <x:c r="N363" s="6" t="str">
        <x:v>{"asset_id":"swiss-15503-A00268","space_id":"swiss-15503-F5-S009","space_name":"Kitchen 5.09 (apartment 14)","floor_level":5,"position":[6.331,0.083]}</x:v>
      </x:c>
      <x:c r="O363" s="6"/>
      <x:c r="P363" s="6" t="str">
        <x:v>Resolve the intended asset and its containing room/floor.</x:v>
      </x:c>
      <x:c r="Q363" s="15"/>
      <x:c r="R363" s="6"/>
      <x:c r="S363" s="16"/>
      <x:c r="T363" s="15"/>
      <x:c r="U363" s="6"/>
      <x:c r="V363" s="6"/>
      <x:c r="W363" s="6" t="str">
        <x:v>Existing search_building. Improve disambiguation and complete result pagination.</x:v>
      </x:c>
      <x:c r="X363" s="6" t="str">
        <x:v>data/train/swiss-15503/questions_basic.jsonl</x:v>
      </x:c>
      <x:c r="Y363" s="14" t="n">
        <x:v>2</x:v>
      </x:c>
      <x:c r="Z363" s="6" t="str">
        <x:v>https://github.com/hagenhaeussler/Industrial-Agents-Hackathon-2026/blob/f41616590b69f3ea0c1cbfb41d6c35edd9ce53df/data/train/swiss-15503/questions_basic.jsonl#L2</x:v>
      </x:c>
      <x:c r="AA363" s="6" t="str">
        <x:v>swiss_dwellings</x:v>
      </x:c>
      <x:c r="AB363" s="6" t="str">
        <x:v>CC-BY-4.0</x:v>
      </x:c>
    </x:row>
    <x:row r="364" ht="72" customHeight="1">
      <x:c r="A364" s="14" t="n">
        <x:v>359</x:v>
      </x:c>
      <x:c r="B364" s="6" t="str">
        <x:v>locate</x:v>
      </x:c>
      <x:c r="C364" s="6" t="str">
        <x:v>Where is the washing machine?</x:v>
      </x:c>
      <x:c r="D364" s="6" t="str">
        <x:v>Bathroom 2.17 (apartment 11)
Floor level: 2
Asset ID: swiss-1571-A00289
Position (m): 10.387, 10.164</x:v>
      </x:c>
      <x:c r="E364" s="6" t="str">
        <x:v>Reference supplied</x:v>
      </x:c>
      <x:c r="F364" s="6" t="str">
        <x:v>train</x:v>
      </x:c>
      <x:c r="G364" s="6" t="str">
        <x:v>swiss-1571</x:v>
      </x:c>
      <x:c r="H364" s="6" t="str">
        <x:v>swiss-1571-Q01</x:v>
      </x:c>
      <x:c r="I364" s="6" t="str">
        <x:v>Find and count assets</x:v>
      </x:c>
      <x:c r="J364" s="6" t="str">
        <x:v>Warm-up</x:v>
      </x:c>
      <x:c r="K364" s="6" t="str">
        <x:v>Room name, floor and asset identity. Coordinates may help the UI.</x:v>
      </x:c>
      <x:c r="L364" s="6" t="str">
        <x:v>T02, T03</x:v>
      </x:c>
      <x:c r="M364" s="6" t="str">
        <x:v>Find a named item and identify its containing room and floor.</x:v>
      </x:c>
      <x:c r="N364" s="6" t="str">
        <x:v>{"asset_id":"swiss-1571-A00289","space_id":"swiss-1571-F2-S017","space_name":"Bathroom 2.17 (apartment 11)","floor_level":2,"position":[10.387,10.164]}</x:v>
      </x:c>
      <x:c r="O364" s="6"/>
      <x:c r="P364" s="6" t="str">
        <x:v>Resolve the intended asset and its containing room/floor.</x:v>
      </x:c>
      <x:c r="Q364" s="15"/>
      <x:c r="R364" s="6"/>
      <x:c r="S364" s="16"/>
      <x:c r="T364" s="15"/>
      <x:c r="U364" s="6"/>
      <x:c r="V364" s="6"/>
      <x:c r="W364" s="6" t="str">
        <x:v>Existing search_building. Improve disambiguation and complete result pagination.</x:v>
      </x:c>
      <x:c r="X364" s="6" t="str">
        <x:v>data/train/swiss-1571/questions_basic.jsonl</x:v>
      </x:c>
      <x:c r="Y364" s="14" t="n">
        <x:v>1</x:v>
      </x:c>
      <x:c r="Z364" s="6" t="str">
        <x:v>https://github.com/hagenhaeussler/Industrial-Agents-Hackathon-2026/blob/f41616590b69f3ea0c1cbfb41d6c35edd9ce53df/data/train/swiss-1571/questions_basic.jsonl#L1</x:v>
      </x:c>
      <x:c r="AA364" s="6" t="str">
        <x:v>swiss_dwellings</x:v>
      </x:c>
      <x:c r="AB364" s="6" t="str">
        <x:v>CC-BY-4.0</x:v>
      </x:c>
    </x:row>
    <x:row r="365" ht="72" customHeight="1">
      <x:c r="A365" s="14" t="n">
        <x:v>360</x:v>
      </x:c>
      <x:c r="B365" s="6" t="str">
        <x:v>locate</x:v>
      </x:c>
      <x:c r="C365" s="6" t="str">
        <x:v>Where is the shoe cabinet?</x:v>
      </x:c>
      <x:c r="D365" s="6" t="str">
        <x:v>Corridor 1.25 (apartment 7)
Floor level: 1
Asset ID: swiss-1571-A00212
Position (m): -8.903, -2.949</x:v>
      </x:c>
      <x:c r="E365" s="6" t="str">
        <x:v>Reference supplied</x:v>
      </x:c>
      <x:c r="F365" s="6" t="str">
        <x:v>train</x:v>
      </x:c>
      <x:c r="G365" s="6" t="str">
        <x:v>swiss-1571</x:v>
      </x:c>
      <x:c r="H365" s="6" t="str">
        <x:v>swiss-1571-Q02</x:v>
      </x:c>
      <x:c r="I365" s="6" t="str">
        <x:v>Find and count assets</x:v>
      </x:c>
      <x:c r="J365" s="6" t="str">
        <x:v>Warm-up</x:v>
      </x:c>
      <x:c r="K365" s="6" t="str">
        <x:v>Room name, floor and asset identity. Coordinates may help the UI.</x:v>
      </x:c>
      <x:c r="L365" s="6" t="str">
        <x:v>T02, T03</x:v>
      </x:c>
      <x:c r="M365" s="6" t="str">
        <x:v>Find a named item and identify its containing room and floor.</x:v>
      </x:c>
      <x:c r="N365" s="6" t="str">
        <x:v>{"asset_id":"swiss-1571-A00212","space_id":"swiss-1571-F1-S025","space_name":"Corridor 1.25 (apartment 7)","floor_level":1,"position":[-8.903,-2.949]}</x:v>
      </x:c>
      <x:c r="O365" s="6"/>
      <x:c r="P365" s="6" t="str">
        <x:v>Resolve the intended asset and its containing room/floor.</x:v>
      </x:c>
      <x:c r="Q365" s="15"/>
      <x:c r="R365" s="6"/>
      <x:c r="S365" s="16"/>
      <x:c r="T365" s="15"/>
      <x:c r="U365" s="6"/>
      <x:c r="V365" s="6"/>
      <x:c r="W365" s="6" t="str">
        <x:v>Existing search_building. Improve disambiguation and complete result pagination.</x:v>
      </x:c>
      <x:c r="X365" s="6" t="str">
        <x:v>data/train/swiss-1571/questions_basic.jsonl</x:v>
      </x:c>
      <x:c r="Y365" s="14" t="n">
        <x:v>2</x:v>
      </x:c>
      <x:c r="Z365" s="6" t="str">
        <x:v>https://github.com/hagenhaeussler/Industrial-Agents-Hackathon-2026/blob/f41616590b69f3ea0c1cbfb41d6c35edd9ce53df/data/train/swiss-1571/questions_basic.jsonl#L2</x:v>
      </x:c>
      <x:c r="AA365" s="6" t="str">
        <x:v>swiss_dwellings</x:v>
      </x:c>
      <x:c r="AB365" s="6" t="str">
        <x:v>CC-BY-4.0</x:v>
      </x:c>
    </x:row>
    <x:row r="366" ht="72" customHeight="1">
      <x:c r="A366" s="14" t="n">
        <x:v>361</x:v>
      </x:c>
      <x:c r="B366" s="6" t="str">
        <x:v>locate</x:v>
      </x:c>
      <x:c r="C366" s="6" t="str">
        <x:v>Where is the armchair?</x:v>
      </x:c>
      <x:c r="D366" s="6" t="str">
        <x:v>Living room 2.01 (apartment 3)
Floor level: 2
Asset ID: swiss-16357-A00052
Position (m): 0.728, -4.356</x:v>
      </x:c>
      <x:c r="E366" s="6" t="str">
        <x:v>Reference supplied</x:v>
      </x:c>
      <x:c r="F366" s="6" t="str">
        <x:v>train</x:v>
      </x:c>
      <x:c r="G366" s="6" t="str">
        <x:v>swiss-16357</x:v>
      </x:c>
      <x:c r="H366" s="6" t="str">
        <x:v>swiss-16357-Q01</x:v>
      </x:c>
      <x:c r="I366" s="6" t="str">
        <x:v>Find and count assets</x:v>
      </x:c>
      <x:c r="J366" s="6" t="str">
        <x:v>Warm-up</x:v>
      </x:c>
      <x:c r="K366" s="6" t="str">
        <x:v>Room name, floor and asset identity. Coordinates may help the UI.</x:v>
      </x:c>
      <x:c r="L366" s="6" t="str">
        <x:v>T02, T03</x:v>
      </x:c>
      <x:c r="M366" s="6" t="str">
        <x:v>Find a named item and identify its containing room and floor.</x:v>
      </x:c>
      <x:c r="N366" s="6" t="str">
        <x:v>{"asset_id":"swiss-16357-A00052","space_id":"swiss-16357-F2-S001","space_name":"Living room 2.01 (apartment 3)","floor_level":2,"position":[0.728,-4.356]}</x:v>
      </x:c>
      <x:c r="O366" s="6"/>
      <x:c r="P366" s="6" t="str">
        <x:v>Resolve the intended asset and its containing room/floor.</x:v>
      </x:c>
      <x:c r="Q366" s="15"/>
      <x:c r="R366" s="6"/>
      <x:c r="S366" s="16"/>
      <x:c r="T366" s="15"/>
      <x:c r="U366" s="6"/>
      <x:c r="V366" s="6"/>
      <x:c r="W366" s="6" t="str">
        <x:v>Existing search_building. Improve disambiguation and complete result pagination.</x:v>
      </x:c>
      <x:c r="X366" s="6" t="str">
        <x:v>data/train/swiss-16357/questions_basic.jsonl</x:v>
      </x:c>
      <x:c r="Y366" s="14" t="n">
        <x:v>1</x:v>
      </x:c>
      <x:c r="Z366" s="6" t="str">
        <x:v>https://github.com/hagenhaeussler/Industrial-Agents-Hackathon-2026/blob/f41616590b69f3ea0c1cbfb41d6c35edd9ce53df/data/train/swiss-16357/questions_basic.jsonl#L1</x:v>
      </x:c>
      <x:c r="AA366" s="6" t="str">
        <x:v>swiss_dwellings</x:v>
      </x:c>
      <x:c r="AB366" s="6" t="str">
        <x:v>CC-BY-4.0</x:v>
      </x:c>
    </x:row>
    <x:row r="367" ht="72" customHeight="1">
      <x:c r="A367" s="14" t="n">
        <x:v>362</x:v>
      </x:c>
      <x:c r="B367" s="6" t="str">
        <x:v>locate</x:v>
      </x:c>
      <x:c r="C367" s="6" t="str">
        <x:v>Where is the outdoor chair?</x:v>
      </x:c>
      <x:c r="D367" s="6" t="str">
        <x:v>Balcony 1.01 (apartment 2)
Floor level: 1
Asset ID: swiss-16357-A00027
Position (m): -3.994, -0.532</x:v>
      </x:c>
      <x:c r="E367" s="6" t="str">
        <x:v>Reference supplied</x:v>
      </x:c>
      <x:c r="F367" s="6" t="str">
        <x:v>train</x:v>
      </x:c>
      <x:c r="G367" s="6" t="str">
        <x:v>swiss-16357</x:v>
      </x:c>
      <x:c r="H367" s="6" t="str">
        <x:v>swiss-16357-Q02</x:v>
      </x:c>
      <x:c r="I367" s="6" t="str">
        <x:v>Find and count assets</x:v>
      </x:c>
      <x:c r="J367" s="6" t="str">
        <x:v>Warm-up</x:v>
      </x:c>
      <x:c r="K367" s="6" t="str">
        <x:v>Room name, floor and asset identity. Coordinates may help the UI.</x:v>
      </x:c>
      <x:c r="L367" s="6" t="str">
        <x:v>T02, T03</x:v>
      </x:c>
      <x:c r="M367" s="6" t="str">
        <x:v>Find a named item and identify its containing room and floor.</x:v>
      </x:c>
      <x:c r="N367" s="6" t="str">
        <x:v>{"asset_id":"swiss-16357-A00027","space_id":"swiss-16357-F1-S001","space_name":"Balcony 1.01 (apartment 2)","floor_level":1,"position":[-3.994,-0.532]}</x:v>
      </x:c>
      <x:c r="O367" s="6"/>
      <x:c r="P367" s="6" t="str">
        <x:v>Resolve the intended asset and its containing room/floor.</x:v>
      </x:c>
      <x:c r="Q367" s="15"/>
      <x:c r="R367" s="6"/>
      <x:c r="S367" s="16"/>
      <x:c r="T367" s="15"/>
      <x:c r="U367" s="6"/>
      <x:c r="V367" s="6"/>
      <x:c r="W367" s="6" t="str">
        <x:v>Existing search_building. Improve disambiguation and complete result pagination.</x:v>
      </x:c>
      <x:c r="X367" s="6" t="str">
        <x:v>data/train/swiss-16357/questions_basic.jsonl</x:v>
      </x:c>
      <x:c r="Y367" s="14" t="n">
        <x:v>2</x:v>
      </x:c>
      <x:c r="Z367" s="6" t="str">
        <x:v>https://github.com/hagenhaeussler/Industrial-Agents-Hackathon-2026/blob/f41616590b69f3ea0c1cbfb41d6c35edd9ce53df/data/train/swiss-16357/questions_basic.jsonl#L2</x:v>
      </x:c>
      <x:c r="AA367" s="6" t="str">
        <x:v>swiss_dwellings</x:v>
      </x:c>
      <x:c r="AB367" s="6" t="str">
        <x:v>CC-BY-4.0</x:v>
      </x:c>
    </x:row>
    <x:row r="368" ht="72" customHeight="1">
      <x:c r="A368" s="14" t="n">
        <x:v>363</x:v>
      </x:c>
      <x:c r="B368" s="6" t="str">
        <x:v>locate</x:v>
      </x:c>
      <x:c r="C368" s="6" t="str">
        <x:v>Where is the dishwasher?</x:v>
      </x:c>
      <x:c r="D368" s="6" t="str">
        <x:v>Kitchen 2.07 (apartment 3)
Floor level: 2
Asset ID: swiss-16357-A00065
Position (m): 3.568, 3.356</x:v>
      </x:c>
      <x:c r="E368" s="6" t="str">
        <x:v>Reference supplied</x:v>
      </x:c>
      <x:c r="F368" s="6" t="str">
        <x:v>train</x:v>
      </x:c>
      <x:c r="G368" s="6" t="str">
        <x:v>swiss-16357</x:v>
      </x:c>
      <x:c r="H368" s="6" t="str">
        <x:v>swiss-16357-Q03</x:v>
      </x:c>
      <x:c r="I368" s="6" t="str">
        <x:v>Find and count assets</x:v>
      </x:c>
      <x:c r="J368" s="6" t="str">
        <x:v>Warm-up</x:v>
      </x:c>
      <x:c r="K368" s="6" t="str">
        <x:v>Room name, floor and asset identity. Coordinates may help the UI.</x:v>
      </x:c>
      <x:c r="L368" s="6" t="str">
        <x:v>T02, T03</x:v>
      </x:c>
      <x:c r="M368" s="6" t="str">
        <x:v>Find a named item and identify its containing room and floor.</x:v>
      </x:c>
      <x:c r="N368" s="6" t="str">
        <x:v>{"asset_id":"swiss-16357-A00065","space_id":"swiss-16357-F2-S007","space_name":"Kitchen 2.07 (apartment 3)","floor_level":2,"position":[3.568,3.356]}</x:v>
      </x:c>
      <x:c r="O368" s="6"/>
      <x:c r="P368" s="6" t="str">
        <x:v>Resolve the intended asset and its containing room/floor.</x:v>
      </x:c>
      <x:c r="Q368" s="15"/>
      <x:c r="R368" s="6"/>
      <x:c r="S368" s="16"/>
      <x:c r="T368" s="15"/>
      <x:c r="U368" s="6"/>
      <x:c r="V368" s="6"/>
      <x:c r="W368" s="6" t="str">
        <x:v>Existing search_building. Improve disambiguation and complete result pagination.</x:v>
      </x:c>
      <x:c r="X368" s="6" t="str">
        <x:v>data/train/swiss-16357/questions_basic.jsonl</x:v>
      </x:c>
      <x:c r="Y368" s="14" t="n">
        <x:v>3</x:v>
      </x:c>
      <x:c r="Z368" s="6" t="str">
        <x:v>https://github.com/hagenhaeussler/Industrial-Agents-Hackathon-2026/blob/f41616590b69f3ea0c1cbfb41d6c35edd9ce53df/data/train/swiss-16357/questions_basic.jsonl#L3</x:v>
      </x:c>
      <x:c r="AA368" s="6" t="str">
        <x:v>swiss_dwellings</x:v>
      </x:c>
      <x:c r="AB368" s="6" t="str">
        <x:v>CC-BY-4.0</x:v>
      </x:c>
    </x:row>
    <x:row r="369" ht="72" customHeight="1">
      <x:c r="A369" s="14" t="n">
        <x:v>364</x:v>
      </x:c>
      <x:c r="B369" s="6" t="str">
        <x:v>locate</x:v>
      </x:c>
      <x:c r="C369" s="6" t="str">
        <x:v>Where is the internal stairs?</x:v>
      </x:c>
      <x:c r="D369" s="6" t="str">
        <x:v>Corridor 0.07 (apartment 1)
Floor level: 0
Asset ID: swiss-1650-A00002
Position (m): -2.631, 1.404</x:v>
      </x:c>
      <x:c r="E369" s="6" t="str">
        <x:v>Reference supplied</x:v>
      </x:c>
      <x:c r="F369" s="6" t="str">
        <x:v>train</x:v>
      </x:c>
      <x:c r="G369" s="6" t="str">
        <x:v>swiss-1650</x:v>
      </x:c>
      <x:c r="H369" s="6" t="str">
        <x:v>swiss-1650-Q01</x:v>
      </x:c>
      <x:c r="I369" s="6" t="str">
        <x:v>Find and count assets</x:v>
      </x:c>
      <x:c r="J369" s="6" t="str">
        <x:v>Warm-up</x:v>
      </x:c>
      <x:c r="K369" s="6" t="str">
        <x:v>Room name, floor and asset identity. Coordinates may help the UI.</x:v>
      </x:c>
      <x:c r="L369" s="6" t="str">
        <x:v>T02, T03</x:v>
      </x:c>
      <x:c r="M369" s="6" t="str">
        <x:v>Find a named item and identify its containing room and floor.</x:v>
      </x:c>
      <x:c r="N369" s="6" t="str">
        <x:v>{"asset_id":"swiss-1650-A00002","space_id":"swiss-1650-F0-S007","space_name":"Corridor 0.07 (apartment 1)","floor_level":0,"position":[-2.631,1.404]}</x:v>
      </x:c>
      <x:c r="O369" s="6"/>
      <x:c r="P369" s="6" t="str">
        <x:v>Resolve the intended asset and its containing room/floor.</x:v>
      </x:c>
      <x:c r="Q369" s="15"/>
      <x:c r="R369" s="6"/>
      <x:c r="S369" s="16"/>
      <x:c r="T369" s="15"/>
      <x:c r="U369" s="6"/>
      <x:c r="V369" s="6"/>
      <x:c r="W369" s="6" t="str">
        <x:v>Existing search_building. Improve disambiguation and complete result pagination.</x:v>
      </x:c>
      <x:c r="X369" s="6" t="str">
        <x:v>data/train/swiss-1650/questions_basic.jsonl</x:v>
      </x:c>
      <x:c r="Y369" s="14" t="n">
        <x:v>1</x:v>
      </x:c>
      <x:c r="Z369" s="6" t="str">
        <x:v>https://github.com/hagenhaeussler/Industrial-Agents-Hackathon-2026/blob/f41616590b69f3ea0c1cbfb41d6c35edd9ce53df/data/train/swiss-1650/questions_basic.jsonl#L1</x:v>
      </x:c>
      <x:c r="AA369" s="6" t="str">
        <x:v>swiss_dwellings</x:v>
      </x:c>
      <x:c r="AB369" s="6" t="str">
        <x:v>CC-BY-4.0</x:v>
      </x:c>
    </x:row>
    <x:row r="370" ht="72" customHeight="1">
      <x:c r="A370" s="14" t="n">
        <x:v>365</x:v>
      </x:c>
      <x:c r="B370" s="6" t="str">
        <x:v>locate</x:v>
      </x:c>
      <x:c r="C370" s="6" t="str">
        <x:v>Where is the coat rack?</x:v>
      </x:c>
      <x:c r="D370" s="6" t="str">
        <x:v>Corridor 3.02 (apartment 6)
Floor level: 3
Asset ID: swiss-1650-A00200
Position (m): -2.39, 4.966</x:v>
      </x:c>
      <x:c r="E370" s="6" t="str">
        <x:v>Reference supplied</x:v>
      </x:c>
      <x:c r="F370" s="6" t="str">
        <x:v>train</x:v>
      </x:c>
      <x:c r="G370" s="6" t="str">
        <x:v>swiss-1650</x:v>
      </x:c>
      <x:c r="H370" s="6" t="str">
        <x:v>swiss-1650-Q02</x:v>
      </x:c>
      <x:c r="I370" s="6" t="str">
        <x:v>Find and count assets</x:v>
      </x:c>
      <x:c r="J370" s="6" t="str">
        <x:v>Warm-up</x:v>
      </x:c>
      <x:c r="K370" s="6" t="str">
        <x:v>Room name, floor and asset identity. Coordinates may help the UI.</x:v>
      </x:c>
      <x:c r="L370" s="6" t="str">
        <x:v>T02, T03</x:v>
      </x:c>
      <x:c r="M370" s="6" t="str">
        <x:v>Find a named item and identify its containing room and floor.</x:v>
      </x:c>
      <x:c r="N370" s="6" t="str">
        <x:v>{"asset_id":"swiss-1650-A00200","space_id":"swiss-1650-F3-S002","space_name":"Corridor 3.02 (apartment 6)","floor_level":3,"position":[-2.39,4.966]}</x:v>
      </x:c>
      <x:c r="O370" s="6"/>
      <x:c r="P370" s="6" t="str">
        <x:v>Resolve the intended asset and its containing room/floor.</x:v>
      </x:c>
      <x:c r="Q370" s="15"/>
      <x:c r="R370" s="6"/>
      <x:c r="S370" s="16"/>
      <x:c r="T370" s="15"/>
      <x:c r="U370" s="6"/>
      <x:c r="V370" s="6"/>
      <x:c r="W370" s="6" t="str">
        <x:v>Existing search_building. Improve disambiguation and complete result pagination.</x:v>
      </x:c>
      <x:c r="X370" s="6" t="str">
        <x:v>data/train/swiss-1650/questions_basic.jsonl</x:v>
      </x:c>
      <x:c r="Y370" s="14" t="n">
        <x:v>2</x:v>
      </x:c>
      <x:c r="Z370" s="6" t="str">
        <x:v>https://github.com/hagenhaeussler/Industrial-Agents-Hackathon-2026/blob/f41616590b69f3ea0c1cbfb41d6c35edd9ce53df/data/train/swiss-1650/questions_basic.jsonl#L2</x:v>
      </x:c>
      <x:c r="AA370" s="6" t="str">
        <x:v>swiss_dwellings</x:v>
      </x:c>
      <x:c r="AB370" s="6" t="str">
        <x:v>CC-BY-4.0</x:v>
      </x:c>
    </x:row>
    <x:row r="371" ht="72" customHeight="1">
      <x:c r="A371" s="14" t="n">
        <x:v>366</x:v>
      </x:c>
      <x:c r="B371" s="6" t="str">
        <x:v>locate</x:v>
      </x:c>
      <x:c r="C371" s="6" t="str">
        <x:v>Where is the shoe cabinet?</x:v>
      </x:c>
      <x:c r="D371" s="6" t="str">
        <x:v>Corridor 4.10 (apartment 12)
Floor level: 4
Asset ID: swiss-18196-A00210
Position (m): 1.754, 2.796</x:v>
      </x:c>
      <x:c r="E371" s="6" t="str">
        <x:v>Reference supplied</x:v>
      </x:c>
      <x:c r="F371" s="6" t="str">
        <x:v>train</x:v>
      </x:c>
      <x:c r="G371" s="6" t="str">
        <x:v>swiss-18196</x:v>
      </x:c>
      <x:c r="H371" s="6" t="str">
        <x:v>swiss-18196-Q01</x:v>
      </x:c>
      <x:c r="I371" s="6" t="str">
        <x:v>Find and count assets</x:v>
      </x:c>
      <x:c r="J371" s="6" t="str">
        <x:v>Warm-up</x:v>
      </x:c>
      <x:c r="K371" s="6" t="str">
        <x:v>Room name, floor and asset identity. Coordinates may help the UI.</x:v>
      </x:c>
      <x:c r="L371" s="6" t="str">
        <x:v>T02, T03</x:v>
      </x:c>
      <x:c r="M371" s="6" t="str">
        <x:v>Find a named item and identify its containing room and floor.</x:v>
      </x:c>
      <x:c r="N371" s="6" t="str">
        <x:v>{"asset_id":"swiss-18196-A00210","space_id":"swiss-18196-F4-S010","space_name":"Corridor 4.10 (apartment 12)","floor_level":4,"position":[1.754,2.796]}</x:v>
      </x:c>
      <x:c r="O371" s="6"/>
      <x:c r="P371" s="6" t="str">
        <x:v>Resolve the intended asset and its containing room/floor.</x:v>
      </x:c>
      <x:c r="Q371" s="15"/>
      <x:c r="R371" s="6"/>
      <x:c r="S371" s="16"/>
      <x:c r="T371" s="15"/>
      <x:c r="U371" s="6"/>
      <x:c r="V371" s="6"/>
      <x:c r="W371" s="6" t="str">
        <x:v>Existing search_building. Improve disambiguation and complete result pagination.</x:v>
      </x:c>
      <x:c r="X371" s="6" t="str">
        <x:v>data/train/swiss-18196/questions_basic.jsonl</x:v>
      </x:c>
      <x:c r="Y371" s="14" t="n">
        <x:v>1</x:v>
      </x:c>
      <x:c r="Z371" s="6" t="str">
        <x:v>https://github.com/hagenhaeussler/Industrial-Agents-Hackathon-2026/blob/f41616590b69f3ea0c1cbfb41d6c35edd9ce53df/data/train/swiss-18196/questions_basic.jsonl#L1</x:v>
      </x:c>
      <x:c r="AA371" s="6" t="str">
        <x:v>swiss_dwellings</x:v>
      </x:c>
      <x:c r="AB371" s="6" t="str">
        <x:v>CC-BY-4.0</x:v>
      </x:c>
    </x:row>
    <x:row r="372" ht="72" customHeight="1">
      <x:c r="A372" s="14" t="n">
        <x:v>367</x:v>
      </x:c>
      <x:c r="B372" s="6" t="str">
        <x:v>locate</x:v>
      </x:c>
      <x:c r="C372" s="6" t="str">
        <x:v>Where is the washing machine?</x:v>
      </x:c>
      <x:c r="D372" s="6" t="str">
        <x:v>Bathroom 2.02 (apartment 5)
Floor level: 2
Asset ID: swiss-18196-A00124
Position (m): 4.246, 5.252</x:v>
      </x:c>
      <x:c r="E372" s="6" t="str">
        <x:v>Reference supplied</x:v>
      </x:c>
      <x:c r="F372" s="6" t="str">
        <x:v>train</x:v>
      </x:c>
      <x:c r="G372" s="6" t="str">
        <x:v>swiss-18196</x:v>
      </x:c>
      <x:c r="H372" s="6" t="str">
        <x:v>swiss-18196-Q02</x:v>
      </x:c>
      <x:c r="I372" s="6" t="str">
        <x:v>Find and count assets</x:v>
      </x:c>
      <x:c r="J372" s="6" t="str">
        <x:v>Warm-up</x:v>
      </x:c>
      <x:c r="K372" s="6" t="str">
        <x:v>Room name, floor and asset identity. Coordinates may help the UI.</x:v>
      </x:c>
      <x:c r="L372" s="6" t="str">
        <x:v>T02, T03</x:v>
      </x:c>
      <x:c r="M372" s="6" t="str">
        <x:v>Find a named item and identify its containing room and floor.</x:v>
      </x:c>
      <x:c r="N372" s="6" t="str">
        <x:v>{"asset_id":"swiss-18196-A00124","space_id":"swiss-18196-F2-S002","space_name":"Bathroom 2.02 (apartment 5)","floor_level":2,"position":[4.246,5.252]}</x:v>
      </x:c>
      <x:c r="O372" s="6"/>
      <x:c r="P372" s="6" t="str">
        <x:v>Resolve the intended asset and its containing room/floor.</x:v>
      </x:c>
      <x:c r="Q372" s="15"/>
      <x:c r="R372" s="6"/>
      <x:c r="S372" s="16"/>
      <x:c r="T372" s="15"/>
      <x:c r="U372" s="6"/>
      <x:c r="V372" s="6"/>
      <x:c r="W372" s="6" t="str">
        <x:v>Existing search_building. Improve disambiguation and complete result pagination.</x:v>
      </x:c>
      <x:c r="X372" s="6" t="str">
        <x:v>data/train/swiss-18196/questions_basic.jsonl</x:v>
      </x:c>
      <x:c r="Y372" s="14" t="n">
        <x:v>2</x:v>
      </x:c>
      <x:c r="Z372" s="6" t="str">
        <x:v>https://github.com/hagenhaeussler/Industrial-Agents-Hackathon-2026/blob/f41616590b69f3ea0c1cbfb41d6c35edd9ce53df/data/train/swiss-18196/questions_basic.jsonl#L2</x:v>
      </x:c>
      <x:c r="AA372" s="6" t="str">
        <x:v>swiss_dwellings</x:v>
      </x:c>
      <x:c r="AB372" s="6" t="str">
        <x:v>CC-BY-4.0</x:v>
      </x:c>
    </x:row>
    <x:row r="373" ht="72" customHeight="1">
      <x:c r="A373" s="14" t="n">
        <x:v>368</x:v>
      </x:c>
      <x:c r="B373" s="6" t="str">
        <x:v>locate</x:v>
      </x:c>
      <x:c r="C373" s="6" t="str">
        <x:v>Where is the washing machine?</x:v>
      </x:c>
      <x:c r="D373" s="6" t="str">
        <x:v>Bathroom 0.22 (apartment 3)
Floor level: 0
Asset ID: swiss-18256-A00146
Position (m): 3.081, 1.405</x:v>
      </x:c>
      <x:c r="E373" s="6" t="str">
        <x:v>Reference supplied</x:v>
      </x:c>
      <x:c r="F373" s="6" t="str">
        <x:v>train</x:v>
      </x:c>
      <x:c r="G373" s="6" t="str">
        <x:v>swiss-18256</x:v>
      </x:c>
      <x:c r="H373" s="6" t="str">
        <x:v>swiss-18256-Q01</x:v>
      </x:c>
      <x:c r="I373" s="6" t="str">
        <x:v>Find and count assets</x:v>
      </x:c>
      <x:c r="J373" s="6" t="str">
        <x:v>Warm-up</x:v>
      </x:c>
      <x:c r="K373" s="6" t="str">
        <x:v>Room name, floor and asset identity. Coordinates may help the UI.</x:v>
      </x:c>
      <x:c r="L373" s="6" t="str">
        <x:v>T02, T03</x:v>
      </x:c>
      <x:c r="M373" s="6" t="str">
        <x:v>Find a named item and identify its containing room and floor.</x:v>
      </x:c>
      <x:c r="N373" s="6" t="str">
        <x:v>{"asset_id":"swiss-18256-A00146","space_id":"swiss-18256-F0-S022","space_name":"Bathroom 0.22 (apartment 3)","floor_level":0,"position":[3.081,1.405]}</x:v>
      </x:c>
      <x:c r="O373" s="6"/>
      <x:c r="P373" s="6" t="str">
        <x:v>Resolve the intended asset and its containing room/floor.</x:v>
      </x:c>
      <x:c r="Q373" s="15"/>
      <x:c r="R373" s="6"/>
      <x:c r="S373" s="16"/>
      <x:c r="T373" s="15"/>
      <x:c r="U373" s="6"/>
      <x:c r="V373" s="6"/>
      <x:c r="W373" s="6" t="str">
        <x:v>Existing search_building. Improve disambiguation and complete result pagination.</x:v>
      </x:c>
      <x:c r="X373" s="6" t="str">
        <x:v>data/train/swiss-18256/questions_basic.jsonl</x:v>
      </x:c>
      <x:c r="Y373" s="14" t="n">
        <x:v>1</x:v>
      </x:c>
      <x:c r="Z373" s="6" t="str">
        <x:v>https://github.com/hagenhaeussler/Industrial-Agents-Hackathon-2026/blob/f41616590b69f3ea0c1cbfb41d6c35edd9ce53df/data/train/swiss-18256/questions_basic.jsonl#L1</x:v>
      </x:c>
      <x:c r="AA373" s="6" t="str">
        <x:v>swiss_dwellings</x:v>
      </x:c>
      <x:c r="AB373" s="6" t="str">
        <x:v>CC-BY-4.0</x:v>
      </x:c>
    </x:row>
    <x:row r="374" ht="72" customHeight="1">
      <x:c r="A374" s="14" t="n">
        <x:v>369</x:v>
      </x:c>
      <x:c r="B374" s="6" t="str">
        <x:v>locate</x:v>
      </x:c>
      <x:c r="C374" s="6" t="str">
        <x:v>Where is the coffee machine?</x:v>
      </x:c>
      <x:c r="D374" s="6" t="str">
        <x:v>Kitchen 1.10 (apartment 5)
Floor level: 1
Asset ID: swiss-18256-A00179
Position (m): 3.583, 2.827</x:v>
      </x:c>
      <x:c r="E374" s="6" t="str">
        <x:v>Reference supplied</x:v>
      </x:c>
      <x:c r="F374" s="6" t="str">
        <x:v>train</x:v>
      </x:c>
      <x:c r="G374" s="6" t="str">
        <x:v>swiss-18256</x:v>
      </x:c>
      <x:c r="H374" s="6" t="str">
        <x:v>swiss-18256-Q02</x:v>
      </x:c>
      <x:c r="I374" s="6" t="str">
        <x:v>Find and count assets</x:v>
      </x:c>
      <x:c r="J374" s="6" t="str">
        <x:v>Warm-up</x:v>
      </x:c>
      <x:c r="K374" s="6" t="str">
        <x:v>Room name, floor and asset identity. Coordinates may help the UI.</x:v>
      </x:c>
      <x:c r="L374" s="6" t="str">
        <x:v>T02, T03</x:v>
      </x:c>
      <x:c r="M374" s="6" t="str">
        <x:v>Find a named item and identify its containing room and floor.</x:v>
      </x:c>
      <x:c r="N374" s="6" t="str">
        <x:v>{"asset_id":"swiss-18256-A00179","space_id":"swiss-18256-F1-S010","space_name":"Kitchen 1.10 (apartment 5)","floor_level":1,"position":[3.583,2.827]}</x:v>
      </x:c>
      <x:c r="O374" s="6"/>
      <x:c r="P374" s="6" t="str">
        <x:v>Resolve the intended asset and its containing room/floor.</x:v>
      </x:c>
      <x:c r="Q374" s="15"/>
      <x:c r="R374" s="6"/>
      <x:c r="S374" s="16"/>
      <x:c r="T374" s="15"/>
      <x:c r="U374" s="6"/>
      <x:c r="V374" s="6"/>
      <x:c r="W374" s="6" t="str">
        <x:v>Existing search_building. Improve disambiguation and complete result pagination.</x:v>
      </x:c>
      <x:c r="X374" s="6" t="str">
        <x:v>data/train/swiss-18256/questions_basic.jsonl</x:v>
      </x:c>
      <x:c r="Y374" s="14" t="n">
        <x:v>2</x:v>
      </x:c>
      <x:c r="Z374" s="6" t="str">
        <x:v>https://github.com/hagenhaeussler/Industrial-Agents-Hackathon-2026/blob/f41616590b69f3ea0c1cbfb41d6c35edd9ce53df/data/train/swiss-18256/questions_basic.jsonl#L2</x:v>
      </x:c>
      <x:c r="AA374" s="6" t="str">
        <x:v>swiss_dwellings</x:v>
      </x:c>
      <x:c r="AB374" s="6" t="str">
        <x:v>CC-BY-4.0</x:v>
      </x:c>
    </x:row>
    <x:row r="375" ht="72" customHeight="1">
      <x:c r="A375" s="14" t="n">
        <x:v>370</x:v>
      </x:c>
      <x:c r="B375" s="6" t="str">
        <x:v>locate</x:v>
      </x:c>
      <x:c r="C375" s="6" t="str">
        <x:v>Where is the shoe cabinet?</x:v>
      </x:c>
      <x:c r="D375" s="6" t="str">
        <x:v>Corridor 0.07 (apartment 1)
Floor level: 0
Asset ID: swiss-18260-A00070
Position (m): 0.417, -2.735</x:v>
      </x:c>
      <x:c r="E375" s="6" t="str">
        <x:v>Reference supplied</x:v>
      </x:c>
      <x:c r="F375" s="6" t="str">
        <x:v>train</x:v>
      </x:c>
      <x:c r="G375" s="6" t="str">
        <x:v>swiss-18260</x:v>
      </x:c>
      <x:c r="H375" s="6" t="str">
        <x:v>swiss-18260-Q01</x:v>
      </x:c>
      <x:c r="I375" s="6" t="str">
        <x:v>Find and count assets</x:v>
      </x:c>
      <x:c r="J375" s="6" t="str">
        <x:v>Warm-up</x:v>
      </x:c>
      <x:c r="K375" s="6" t="str">
        <x:v>Room name, floor and asset identity. Coordinates may help the UI.</x:v>
      </x:c>
      <x:c r="L375" s="6" t="str">
        <x:v>T02, T03</x:v>
      </x:c>
      <x:c r="M375" s="6" t="str">
        <x:v>Find a named item and identify its containing room and floor.</x:v>
      </x:c>
      <x:c r="N375" s="6" t="str">
        <x:v>{"asset_id":"swiss-18260-A00070","space_id":"swiss-18260-F0-S007","space_name":"Corridor 0.07 (apartment 1)","floor_level":0,"position":[0.417,-2.735]}</x:v>
      </x:c>
      <x:c r="O375" s="6"/>
      <x:c r="P375" s="6" t="str">
        <x:v>Resolve the intended asset and its containing room/floor.</x:v>
      </x:c>
      <x:c r="Q375" s="15"/>
      <x:c r="R375" s="6"/>
      <x:c r="S375" s="16"/>
      <x:c r="T375" s="15"/>
      <x:c r="U375" s="6"/>
      <x:c r="V375" s="6"/>
      <x:c r="W375" s="6" t="str">
        <x:v>Existing search_building. Improve disambiguation and complete result pagination.</x:v>
      </x:c>
      <x:c r="X375" s="6" t="str">
        <x:v>data/train/swiss-18260/questions_basic.jsonl</x:v>
      </x:c>
      <x:c r="Y375" s="14" t="n">
        <x:v>1</x:v>
      </x:c>
      <x:c r="Z375" s="6" t="str">
        <x:v>https://github.com/hagenhaeussler/Industrial-Agents-Hackathon-2026/blob/f41616590b69f3ea0c1cbfb41d6c35edd9ce53df/data/train/swiss-18260/questions_basic.jsonl#L1</x:v>
      </x:c>
      <x:c r="AA375" s="6" t="str">
        <x:v>swiss_dwellings</x:v>
      </x:c>
      <x:c r="AB375" s="6" t="str">
        <x:v>CC-BY-4.0</x:v>
      </x:c>
    </x:row>
    <x:row r="376" ht="72" customHeight="1">
      <x:c r="A376" s="14" t="n">
        <x:v>371</x:v>
      </x:c>
      <x:c r="B376" s="6" t="str">
        <x:v>locate</x:v>
      </x:c>
      <x:c r="C376" s="6" t="str">
        <x:v>Where is the dishwasher?</x:v>
      </x:c>
      <x:c r="D376" s="6" t="str">
        <x:v>Kitchen 0.06 (apartment 1)
Floor level: 0
Asset ID: swiss-18260-A00068
Position (m): -3.554, -4.214</x:v>
      </x:c>
      <x:c r="E376" s="6" t="str">
        <x:v>Reference supplied</x:v>
      </x:c>
      <x:c r="F376" s="6" t="str">
        <x:v>train</x:v>
      </x:c>
      <x:c r="G376" s="6" t="str">
        <x:v>swiss-18260</x:v>
      </x:c>
      <x:c r="H376" s="6" t="str">
        <x:v>swiss-18260-Q02</x:v>
      </x:c>
      <x:c r="I376" s="6" t="str">
        <x:v>Find and count assets</x:v>
      </x:c>
      <x:c r="J376" s="6" t="str">
        <x:v>Warm-up</x:v>
      </x:c>
      <x:c r="K376" s="6" t="str">
        <x:v>Room name, floor and asset identity. Coordinates may help the UI.</x:v>
      </x:c>
      <x:c r="L376" s="6" t="str">
        <x:v>T02, T03</x:v>
      </x:c>
      <x:c r="M376" s="6" t="str">
        <x:v>Find a named item and identify its containing room and floor.</x:v>
      </x:c>
      <x:c r="N376" s="6" t="str">
        <x:v>{"asset_id":"swiss-18260-A00068","space_id":"swiss-18260-F0-S006","space_name":"Kitchen 0.06 (apartment 1)","floor_level":0,"position":[-3.554,-4.214]}</x:v>
      </x:c>
      <x:c r="O376" s="6"/>
      <x:c r="P376" s="6" t="str">
        <x:v>Resolve the intended asset and its containing room/floor.</x:v>
      </x:c>
      <x:c r="Q376" s="15"/>
      <x:c r="R376" s="6"/>
      <x:c r="S376" s="16"/>
      <x:c r="T376" s="15"/>
      <x:c r="U376" s="6"/>
      <x:c r="V376" s="6"/>
      <x:c r="W376" s="6" t="str">
        <x:v>Existing search_building. Improve disambiguation and complete result pagination.</x:v>
      </x:c>
      <x:c r="X376" s="6" t="str">
        <x:v>data/train/swiss-18260/questions_basic.jsonl</x:v>
      </x:c>
      <x:c r="Y376" s="14" t="n">
        <x:v>2</x:v>
      </x:c>
      <x:c r="Z376" s="6" t="str">
        <x:v>https://github.com/hagenhaeussler/Industrial-Agents-Hackathon-2026/blob/f41616590b69f3ea0c1cbfb41d6c35edd9ce53df/data/train/swiss-18260/questions_basic.jsonl#L2</x:v>
      </x:c>
      <x:c r="AA376" s="6" t="str">
        <x:v>swiss_dwellings</x:v>
      </x:c>
      <x:c r="AB376" s="6" t="str">
        <x:v>CC-BY-4.0</x:v>
      </x:c>
    </x:row>
    <x:row r="377" ht="72" customHeight="1">
      <x:c r="A377" s="14" t="n">
        <x:v>372</x:v>
      </x:c>
      <x:c r="B377" s="6" t="str">
        <x:v>locate</x:v>
      </x:c>
      <x:c r="C377" s="6" t="str">
        <x:v>Where is the stove?</x:v>
      </x:c>
      <x:c r="D377" s="6" t="str">
        <x:v>Kitchen 2.06 (apartment 5)
Floor level: 2
Asset ID: swiss-18260-A00150
Position (m): 2.135, 4.939</x:v>
      </x:c>
      <x:c r="E377" s="6" t="str">
        <x:v>Reference supplied</x:v>
      </x:c>
      <x:c r="F377" s="6" t="str">
        <x:v>train</x:v>
      </x:c>
      <x:c r="G377" s="6" t="str">
        <x:v>swiss-18260</x:v>
      </x:c>
      <x:c r="H377" s="6" t="str">
        <x:v>swiss-18260-Q03</x:v>
      </x:c>
      <x:c r="I377" s="6" t="str">
        <x:v>Find and count assets</x:v>
      </x:c>
      <x:c r="J377" s="6" t="str">
        <x:v>Warm-up</x:v>
      </x:c>
      <x:c r="K377" s="6" t="str">
        <x:v>Room name, floor and asset identity. Coordinates may help the UI.</x:v>
      </x:c>
      <x:c r="L377" s="6" t="str">
        <x:v>T02, T03</x:v>
      </x:c>
      <x:c r="M377" s="6" t="str">
        <x:v>Find a named item and identify its containing room and floor.</x:v>
      </x:c>
      <x:c r="N377" s="6" t="str">
        <x:v>{"asset_id":"swiss-18260-A00150","space_id":"swiss-18260-F2-S006","space_name":"Kitchen 2.06 (apartment 5)","floor_level":2,"position":[2.135,4.939]}</x:v>
      </x:c>
      <x:c r="O377" s="6"/>
      <x:c r="P377" s="6" t="str">
        <x:v>Resolve the intended asset and its containing room/floor.</x:v>
      </x:c>
      <x:c r="Q377" s="15"/>
      <x:c r="R377" s="6"/>
      <x:c r="S377" s="16"/>
      <x:c r="T377" s="15"/>
      <x:c r="U377" s="6"/>
      <x:c r="V377" s="6"/>
      <x:c r="W377" s="6" t="str">
        <x:v>Existing search_building. Improve disambiguation and complete result pagination.</x:v>
      </x:c>
      <x:c r="X377" s="6" t="str">
        <x:v>data/train/swiss-18260/questions_basic.jsonl</x:v>
      </x:c>
      <x:c r="Y377" s="14" t="n">
        <x:v>3</x:v>
      </x:c>
      <x:c r="Z377" s="6" t="str">
        <x:v>https://github.com/hagenhaeussler/Industrial-Agents-Hackathon-2026/blob/f41616590b69f3ea0c1cbfb41d6c35edd9ce53df/data/train/swiss-18260/questions_basic.jsonl#L3</x:v>
      </x:c>
      <x:c r="AA377" s="6" t="str">
        <x:v>swiss_dwellings</x:v>
      </x:c>
      <x:c r="AB377" s="6" t="str">
        <x:v>CC-BY-4.0</x:v>
      </x:c>
    </x:row>
    <x:row r="378" ht="72" customHeight="1">
      <x:c r="A378" s="14" t="n">
        <x:v>373</x:v>
      </x:c>
      <x:c r="B378" s="6" t="str">
        <x:v>locate</x:v>
      </x:c>
      <x:c r="C378" s="6" t="str">
        <x:v>Where is the coat rack?</x:v>
      </x:c>
      <x:c r="D378" s="6" t="str">
        <x:v>Corridor 0.03 (apartment 1)
Floor level: 0
Asset ID: swiss-1828-A00054
Position (m): 2.455, 2.641</x:v>
      </x:c>
      <x:c r="E378" s="6" t="str">
        <x:v>Reference supplied</x:v>
      </x:c>
      <x:c r="F378" s="6" t="str">
        <x:v>train</x:v>
      </x:c>
      <x:c r="G378" s="6" t="str">
        <x:v>swiss-1828</x:v>
      </x:c>
      <x:c r="H378" s="6" t="str">
        <x:v>swiss-1828-Q01</x:v>
      </x:c>
      <x:c r="I378" s="6" t="str">
        <x:v>Find and count assets</x:v>
      </x:c>
      <x:c r="J378" s="6" t="str">
        <x:v>Warm-up</x:v>
      </x:c>
      <x:c r="K378" s="6" t="str">
        <x:v>Room name, floor and asset identity. Coordinates may help the UI.</x:v>
      </x:c>
      <x:c r="L378" s="6" t="str">
        <x:v>T02, T03</x:v>
      </x:c>
      <x:c r="M378" s="6" t="str">
        <x:v>Find a named item and identify its containing room and floor.</x:v>
      </x:c>
      <x:c r="N378" s="6" t="str">
        <x:v>{"asset_id":"swiss-1828-A00054","space_id":"swiss-1828-F0-S003","space_name":"Corridor 0.03 (apartment 1)","floor_level":0,"position":[2.455,2.641]}</x:v>
      </x:c>
      <x:c r="O378" s="6"/>
      <x:c r="P378" s="6" t="str">
        <x:v>Resolve the intended asset and its containing room/floor.</x:v>
      </x:c>
      <x:c r="Q378" s="15"/>
      <x:c r="R378" s="6"/>
      <x:c r="S378" s="16"/>
      <x:c r="T378" s="15"/>
      <x:c r="U378" s="6"/>
      <x:c r="V378" s="6"/>
      <x:c r="W378" s="6" t="str">
        <x:v>Existing search_building. Improve disambiguation and complete result pagination.</x:v>
      </x:c>
      <x:c r="X378" s="6" t="str">
        <x:v>data/train/swiss-1828/questions_basic.jsonl</x:v>
      </x:c>
      <x:c r="Y378" s="14" t="n">
        <x:v>1</x:v>
      </x:c>
      <x:c r="Z378" s="6" t="str">
        <x:v>https://github.com/hagenhaeussler/Industrial-Agents-Hackathon-2026/blob/f41616590b69f3ea0c1cbfb41d6c35edd9ce53df/data/train/swiss-1828/questions_basic.jsonl#L1</x:v>
      </x:c>
      <x:c r="AA378" s="6" t="str">
        <x:v>swiss_dwellings</x:v>
      </x:c>
      <x:c r="AB378" s="6" t="str">
        <x:v>CC-BY-4.0</x:v>
      </x:c>
    </x:row>
    <x:row r="379" ht="72" customHeight="1">
      <x:c r="A379" s="14" t="n">
        <x:v>374</x:v>
      </x:c>
      <x:c r="B379" s="6" t="str">
        <x:v>locate</x:v>
      </x:c>
      <x:c r="C379" s="6" t="str">
        <x:v>Where is the washing machine?</x:v>
      </x:c>
      <x:c r="D379" s="6" t="str">
        <x:v>Bathroom 4.08 (apartment 10)
Floor level: 4
Asset ID: swiss-1828-A00180
Position (m): 4.172, -0.531</x:v>
      </x:c>
      <x:c r="E379" s="6" t="str">
        <x:v>Reference supplied</x:v>
      </x:c>
      <x:c r="F379" s="6" t="str">
        <x:v>train</x:v>
      </x:c>
      <x:c r="G379" s="6" t="str">
        <x:v>swiss-1828</x:v>
      </x:c>
      <x:c r="H379" s="6" t="str">
        <x:v>swiss-1828-Q02</x:v>
      </x:c>
      <x:c r="I379" s="6" t="str">
        <x:v>Find and count assets</x:v>
      </x:c>
      <x:c r="J379" s="6" t="str">
        <x:v>Warm-up</x:v>
      </x:c>
      <x:c r="K379" s="6" t="str">
        <x:v>Room name, floor and asset identity. Coordinates may help the UI.</x:v>
      </x:c>
      <x:c r="L379" s="6" t="str">
        <x:v>T02, T03</x:v>
      </x:c>
      <x:c r="M379" s="6" t="str">
        <x:v>Find a named item and identify its containing room and floor.</x:v>
      </x:c>
      <x:c r="N379" s="6" t="str">
        <x:v>{"asset_id":"swiss-1828-A00180","space_id":"swiss-1828-F4-S008","space_name":"Bathroom 4.08 (apartment 10)","floor_level":4,"position":[4.172,-0.531]}</x:v>
      </x:c>
      <x:c r="O379" s="6"/>
      <x:c r="P379" s="6" t="str">
        <x:v>Resolve the intended asset and its containing room/floor.</x:v>
      </x:c>
      <x:c r="Q379" s="15"/>
      <x:c r="R379" s="6"/>
      <x:c r="S379" s="16"/>
      <x:c r="T379" s="15"/>
      <x:c r="U379" s="6"/>
      <x:c r="V379" s="6"/>
      <x:c r="W379" s="6" t="str">
        <x:v>Existing search_building. Improve disambiguation and complete result pagination.</x:v>
      </x:c>
      <x:c r="X379" s="6" t="str">
        <x:v>data/train/swiss-1828/questions_basic.jsonl</x:v>
      </x:c>
      <x:c r="Y379" s="14" t="n">
        <x:v>2</x:v>
      </x:c>
      <x:c r="Z379" s="6" t="str">
        <x:v>https://github.com/hagenhaeussler/Industrial-Agents-Hackathon-2026/blob/f41616590b69f3ea0c1cbfb41d6c35edd9ce53df/data/train/swiss-1828/questions_basic.jsonl#L2</x:v>
      </x:c>
      <x:c r="AA379" s="6" t="str">
        <x:v>swiss_dwellings</x:v>
      </x:c>
      <x:c r="AB379" s="6" t="str">
        <x:v>CC-BY-4.0</x:v>
      </x:c>
    </x:row>
    <x:row r="380" ht="72" customHeight="1">
      <x:c r="A380" s="14" t="n">
        <x:v>375</x:v>
      </x:c>
      <x:c r="B380" s="6" t="str">
        <x:v>locate</x:v>
      </x:c>
      <x:c r="C380" s="6" t="str">
        <x:v>Where is the shoe cabinet?</x:v>
      </x:c>
      <x:c r="D380" s="6" t="str">
        <x:v>Corridor 2.10 (apartment 5)
Floor level: 2
Asset ID: swiss-1829-A00162
Position (m): -1.328, -2.989</x:v>
      </x:c>
      <x:c r="E380" s="6" t="str">
        <x:v>Reference supplied</x:v>
      </x:c>
      <x:c r="F380" s="6" t="str">
        <x:v>train</x:v>
      </x:c>
      <x:c r="G380" s="6" t="str">
        <x:v>swiss-1829</x:v>
      </x:c>
      <x:c r="H380" s="6" t="str">
        <x:v>swiss-1829-Q01</x:v>
      </x:c>
      <x:c r="I380" s="6" t="str">
        <x:v>Find and count assets</x:v>
      </x:c>
      <x:c r="J380" s="6" t="str">
        <x:v>Warm-up</x:v>
      </x:c>
      <x:c r="K380" s="6" t="str">
        <x:v>Room name, floor and asset identity. Coordinates may help the UI.</x:v>
      </x:c>
      <x:c r="L380" s="6" t="str">
        <x:v>T02, T03</x:v>
      </x:c>
      <x:c r="M380" s="6" t="str">
        <x:v>Find a named item and identify its containing room and floor.</x:v>
      </x:c>
      <x:c r="N380" s="6" t="str">
        <x:v>{"asset_id":"swiss-1829-A00162","space_id":"swiss-1829-F2-S010","space_name":"Corridor 2.10 (apartment 5)","floor_level":2,"position":[-1.328,-2.989]}</x:v>
      </x:c>
      <x:c r="O380" s="6"/>
      <x:c r="P380" s="6" t="str">
        <x:v>Resolve the intended asset and its containing room/floor.</x:v>
      </x:c>
      <x:c r="Q380" s="15"/>
      <x:c r="R380" s="6"/>
      <x:c r="S380" s="16"/>
      <x:c r="T380" s="15"/>
      <x:c r="U380" s="6"/>
      <x:c r="V380" s="6"/>
      <x:c r="W380" s="6" t="str">
        <x:v>Existing search_building. Improve disambiguation and complete result pagination.</x:v>
      </x:c>
      <x:c r="X380" s="6" t="str">
        <x:v>data/train/swiss-1829/questions_basic.jsonl</x:v>
      </x:c>
      <x:c r="Y380" s="14" t="n">
        <x:v>1</x:v>
      </x:c>
      <x:c r="Z380" s="6" t="str">
        <x:v>https://github.com/hagenhaeussler/Industrial-Agents-Hackathon-2026/blob/f41616590b69f3ea0c1cbfb41d6c35edd9ce53df/data/train/swiss-1829/questions_basic.jsonl#L1</x:v>
      </x:c>
      <x:c r="AA380" s="6" t="str">
        <x:v>swiss_dwellings</x:v>
      </x:c>
      <x:c r="AB380" s="6" t="str">
        <x:v>CC-BY-4.0</x:v>
      </x:c>
    </x:row>
    <x:row r="381" ht="72" customHeight="1">
      <x:c r="A381" s="14" t="n">
        <x:v>376</x:v>
      </x:c>
      <x:c r="B381" s="6" t="str">
        <x:v>locate</x:v>
      </x:c>
      <x:c r="C381" s="6" t="str">
        <x:v>Where is the desk?</x:v>
      </x:c>
      <x:c r="D381" s="6" t="str">
        <x:v>Bedroom 3.15 (apartment 8)
Floor level: 3
Asset ID: swiss-1829-A00225
Position (m): -1.16, -7.901</x:v>
      </x:c>
      <x:c r="E381" s="6" t="str">
        <x:v>Reference supplied</x:v>
      </x:c>
      <x:c r="F381" s="6" t="str">
        <x:v>train</x:v>
      </x:c>
      <x:c r="G381" s="6" t="str">
        <x:v>swiss-1829</x:v>
      </x:c>
      <x:c r="H381" s="6" t="str">
        <x:v>swiss-1829-Q02</x:v>
      </x:c>
      <x:c r="I381" s="6" t="str">
        <x:v>Find and count assets</x:v>
      </x:c>
      <x:c r="J381" s="6" t="str">
        <x:v>Warm-up</x:v>
      </x:c>
      <x:c r="K381" s="6" t="str">
        <x:v>Room name, floor and asset identity. Coordinates may help the UI.</x:v>
      </x:c>
      <x:c r="L381" s="6" t="str">
        <x:v>T02, T03</x:v>
      </x:c>
      <x:c r="M381" s="6" t="str">
        <x:v>Find a named item and identify its containing room and floor.</x:v>
      </x:c>
      <x:c r="N381" s="6" t="str">
        <x:v>{"asset_id":"swiss-1829-A00225","space_id":"swiss-1829-F3-S015","space_name":"Bedroom 3.15 (apartment 8)","floor_level":3,"position":[-1.16,-7.901]}</x:v>
      </x:c>
      <x:c r="O381" s="6"/>
      <x:c r="P381" s="6" t="str">
        <x:v>Resolve the intended asset and its containing room/floor.</x:v>
      </x:c>
      <x:c r="Q381" s="15"/>
      <x:c r="R381" s="6"/>
      <x:c r="S381" s="16"/>
      <x:c r="T381" s="15"/>
      <x:c r="U381" s="6"/>
      <x:c r="V381" s="6"/>
      <x:c r="W381" s="6" t="str">
        <x:v>Existing search_building. Improve disambiguation and complete result pagination.</x:v>
      </x:c>
      <x:c r="X381" s="6" t="str">
        <x:v>data/train/swiss-1829/questions_basic.jsonl</x:v>
      </x:c>
      <x:c r="Y381" s="14" t="n">
        <x:v>2</x:v>
      </x:c>
      <x:c r="Z381" s="6" t="str">
        <x:v>https://github.com/hagenhaeussler/Industrial-Agents-Hackathon-2026/blob/f41616590b69f3ea0c1cbfb41d6c35edd9ce53df/data/train/swiss-1829/questions_basic.jsonl#L2</x:v>
      </x:c>
      <x:c r="AA381" s="6" t="str">
        <x:v>swiss_dwellings</x:v>
      </x:c>
      <x:c r="AB381" s="6" t="str">
        <x:v>CC-BY-4.0</x:v>
      </x:c>
    </x:row>
    <x:row r="382" ht="72" customHeight="1">
      <x:c r="A382" s="14" t="n">
        <x:v>377</x:v>
      </x:c>
      <x:c r="B382" s="6" t="str">
        <x:v>locate</x:v>
      </x:c>
      <x:c r="C382" s="6" t="str">
        <x:v>Where is the shoe cabinet?</x:v>
      </x:c>
      <x:c r="D382" s="6" t="str">
        <x:v>Corridor 2.22 (apartment 11)
Floor level: 2
Asset ID: swiss-1889-A00334
Position (m): 9.049, -10.577</x:v>
      </x:c>
      <x:c r="E382" s="6" t="str">
        <x:v>Reference supplied</x:v>
      </x:c>
      <x:c r="F382" s="6" t="str">
        <x:v>train</x:v>
      </x:c>
      <x:c r="G382" s="6" t="str">
        <x:v>swiss-1889</x:v>
      </x:c>
      <x:c r="H382" s="6" t="str">
        <x:v>swiss-1889-Q01</x:v>
      </x:c>
      <x:c r="I382" s="6" t="str">
        <x:v>Find and count assets</x:v>
      </x:c>
      <x:c r="J382" s="6" t="str">
        <x:v>Warm-up</x:v>
      </x:c>
      <x:c r="K382" s="6" t="str">
        <x:v>Room name, floor and asset identity. Coordinates may help the UI.</x:v>
      </x:c>
      <x:c r="L382" s="6" t="str">
        <x:v>T02, T03</x:v>
      </x:c>
      <x:c r="M382" s="6" t="str">
        <x:v>Find a named item and identify its containing room and floor.</x:v>
      </x:c>
      <x:c r="N382" s="6" t="str">
        <x:v>{"asset_id":"swiss-1889-A00334","space_id":"swiss-1889-F2-S022","space_name":"Corridor 2.22 (apartment 11)","floor_level":2,"position":[9.049,-10.577]}</x:v>
      </x:c>
      <x:c r="O382" s="6"/>
      <x:c r="P382" s="6" t="str">
        <x:v>Resolve the intended asset and its containing room/floor.</x:v>
      </x:c>
      <x:c r="Q382" s="15"/>
      <x:c r="R382" s="6"/>
      <x:c r="S382" s="16"/>
      <x:c r="T382" s="15"/>
      <x:c r="U382" s="6"/>
      <x:c r="V382" s="6"/>
      <x:c r="W382" s="6" t="str">
        <x:v>Existing search_building. Improve disambiguation and complete result pagination.</x:v>
      </x:c>
      <x:c r="X382" s="6" t="str">
        <x:v>data/train/swiss-1889/questions_basic.jsonl</x:v>
      </x:c>
      <x:c r="Y382" s="14" t="n">
        <x:v>1</x:v>
      </x:c>
      <x:c r="Z382" s="6" t="str">
        <x:v>https://github.com/hagenhaeussler/Industrial-Agents-Hackathon-2026/blob/f41616590b69f3ea0c1cbfb41d6c35edd9ce53df/data/train/swiss-1889/questions_basic.jsonl#L1</x:v>
      </x:c>
      <x:c r="AA382" s="6" t="str">
        <x:v>swiss_dwellings</x:v>
      </x:c>
      <x:c r="AB382" s="6" t="str">
        <x:v>CC-BY-4.0</x:v>
      </x:c>
    </x:row>
    <x:row r="383" ht="72" customHeight="1">
      <x:c r="A383" s="14" t="n">
        <x:v>378</x:v>
      </x:c>
      <x:c r="B383" s="6" t="str">
        <x:v>locate</x:v>
      </x:c>
      <x:c r="C383" s="6" t="str">
        <x:v>Where is the washing machine?</x:v>
      </x:c>
      <x:c r="D383" s="6" t="str">
        <x:v>Bathroom 3.02 (apartment 13)
Floor level: 3
Asset ID: swiss-1889-A00389
Position (m): 4.698, -7.872</x:v>
      </x:c>
      <x:c r="E383" s="6" t="str">
        <x:v>Reference supplied</x:v>
      </x:c>
      <x:c r="F383" s="6" t="str">
        <x:v>train</x:v>
      </x:c>
      <x:c r="G383" s="6" t="str">
        <x:v>swiss-1889</x:v>
      </x:c>
      <x:c r="H383" s="6" t="str">
        <x:v>swiss-1889-Q02</x:v>
      </x:c>
      <x:c r="I383" s="6" t="str">
        <x:v>Find and count assets</x:v>
      </x:c>
      <x:c r="J383" s="6" t="str">
        <x:v>Warm-up</x:v>
      </x:c>
      <x:c r="K383" s="6" t="str">
        <x:v>Room name, floor and asset identity. Coordinates may help the UI.</x:v>
      </x:c>
      <x:c r="L383" s="6" t="str">
        <x:v>T02, T03</x:v>
      </x:c>
      <x:c r="M383" s="6" t="str">
        <x:v>Find a named item and identify its containing room and floor.</x:v>
      </x:c>
      <x:c r="N383" s="6" t="str">
        <x:v>{"asset_id":"swiss-1889-A00389","space_id":"swiss-1889-F3-S002","space_name":"Bathroom 3.02 (apartment 13)","floor_level":3,"position":[4.698,-7.872]}</x:v>
      </x:c>
      <x:c r="O383" s="6"/>
      <x:c r="P383" s="6" t="str">
        <x:v>Resolve the intended asset and its containing room/floor.</x:v>
      </x:c>
      <x:c r="Q383" s="15"/>
      <x:c r="R383" s="6"/>
      <x:c r="S383" s="16"/>
      <x:c r="T383" s="15"/>
      <x:c r="U383" s="6"/>
      <x:c r="V383" s="6"/>
      <x:c r="W383" s="6" t="str">
        <x:v>Existing search_building. Improve disambiguation and complete result pagination.</x:v>
      </x:c>
      <x:c r="X383" s="6" t="str">
        <x:v>data/train/swiss-1889/questions_basic.jsonl</x:v>
      </x:c>
      <x:c r="Y383" s="14" t="n">
        <x:v>2</x:v>
      </x:c>
      <x:c r="Z383" s="6" t="str">
        <x:v>https://github.com/hagenhaeussler/Industrial-Agents-Hackathon-2026/blob/f41616590b69f3ea0c1cbfb41d6c35edd9ce53df/data/train/swiss-1889/questions_basic.jsonl#L2</x:v>
      </x:c>
      <x:c r="AA383" s="6" t="str">
        <x:v>swiss_dwellings</x:v>
      </x:c>
      <x:c r="AB383" s="6" t="str">
        <x:v>CC-BY-4.0</x:v>
      </x:c>
    </x:row>
    <x:row r="384" ht="72" customHeight="1">
      <x:c r="A384" s="14" t="n">
        <x:v>379</x:v>
      </x:c>
      <x:c r="B384" s="6" t="str">
        <x:v>locate</x:v>
      </x:c>
      <x:c r="C384" s="6" t="str">
        <x:v>Where is the coat rack?</x:v>
      </x:c>
      <x:c r="D384" s="6" t="str">
        <x:v>Corridor 1.19 (apartment 6)
Floor level: 1
Asset ID: swiss-1898-A00125
Position (m): -3.486, -0.095</x:v>
      </x:c>
      <x:c r="E384" s="6" t="str">
        <x:v>Reference supplied</x:v>
      </x:c>
      <x:c r="F384" s="6" t="str">
        <x:v>train</x:v>
      </x:c>
      <x:c r="G384" s="6" t="str">
        <x:v>swiss-1898</x:v>
      </x:c>
      <x:c r="H384" s="6" t="str">
        <x:v>swiss-1898-Q01</x:v>
      </x:c>
      <x:c r="I384" s="6" t="str">
        <x:v>Find and count assets</x:v>
      </x:c>
      <x:c r="J384" s="6" t="str">
        <x:v>Warm-up</x:v>
      </x:c>
      <x:c r="K384" s="6" t="str">
        <x:v>Room name, floor and asset identity. Coordinates may help the UI.</x:v>
      </x:c>
      <x:c r="L384" s="6" t="str">
        <x:v>T02, T03</x:v>
      </x:c>
      <x:c r="M384" s="6" t="str">
        <x:v>Find a named item and identify its containing room and floor.</x:v>
      </x:c>
      <x:c r="N384" s="6" t="str">
        <x:v>{"asset_id":"swiss-1898-A00125","space_id":"swiss-1898-F1-S019","space_name":"Corridor 1.19 (apartment 6)","floor_level":1,"position":[-3.486,-0.095]}</x:v>
      </x:c>
      <x:c r="O384" s="6"/>
      <x:c r="P384" s="6" t="str">
        <x:v>Resolve the intended asset and its containing room/floor.</x:v>
      </x:c>
      <x:c r="Q384" s="15"/>
      <x:c r="R384" s="6"/>
      <x:c r="S384" s="16"/>
      <x:c r="T384" s="15"/>
      <x:c r="U384" s="6"/>
      <x:c r="V384" s="6"/>
      <x:c r="W384" s="6" t="str">
        <x:v>Existing search_building. Improve disambiguation and complete result pagination.</x:v>
      </x:c>
      <x:c r="X384" s="6" t="str">
        <x:v>data/train/swiss-1898/questions_basic.jsonl</x:v>
      </x:c>
      <x:c r="Y384" s="14" t="n">
        <x:v>1</x:v>
      </x:c>
      <x:c r="Z384" s="6" t="str">
        <x:v>https://github.com/hagenhaeussler/Industrial-Agents-Hackathon-2026/blob/f41616590b69f3ea0c1cbfb41d6c35edd9ce53df/data/train/swiss-1898/questions_basic.jsonl#L1</x:v>
      </x:c>
      <x:c r="AA384" s="6" t="str">
        <x:v>swiss_dwellings</x:v>
      </x:c>
      <x:c r="AB384" s="6" t="str">
        <x:v>CC-BY-4.0</x:v>
      </x:c>
    </x:row>
    <x:row r="385" ht="72" customHeight="1">
      <x:c r="A385" s="14" t="n">
        <x:v>380</x:v>
      </x:c>
      <x:c r="B385" s="6" t="str">
        <x:v>locate</x:v>
      </x:c>
      <x:c r="C385" s="6" t="str">
        <x:v>Where is the washing machine?</x:v>
      </x:c>
      <x:c r="D385" s="6" t="str">
        <x:v>Bathroom 1.06 (apartment 4)
Floor level: 1
Asset ID: swiss-1898-A00099
Position (m): -1.569, -3.895</x:v>
      </x:c>
      <x:c r="E385" s="6" t="str">
        <x:v>Reference supplied</x:v>
      </x:c>
      <x:c r="F385" s="6" t="str">
        <x:v>train</x:v>
      </x:c>
      <x:c r="G385" s="6" t="str">
        <x:v>swiss-1898</x:v>
      </x:c>
      <x:c r="H385" s="6" t="str">
        <x:v>swiss-1898-Q02</x:v>
      </x:c>
      <x:c r="I385" s="6" t="str">
        <x:v>Find and count assets</x:v>
      </x:c>
      <x:c r="J385" s="6" t="str">
        <x:v>Warm-up</x:v>
      </x:c>
      <x:c r="K385" s="6" t="str">
        <x:v>Room name, floor and asset identity. Coordinates may help the UI.</x:v>
      </x:c>
      <x:c r="L385" s="6" t="str">
        <x:v>T02, T03</x:v>
      </x:c>
      <x:c r="M385" s="6" t="str">
        <x:v>Find a named item and identify its containing room and floor.</x:v>
      </x:c>
      <x:c r="N385" s="6" t="str">
        <x:v>{"asset_id":"swiss-1898-A00099","space_id":"swiss-1898-F1-S006","space_name":"Bathroom 1.06 (apartment 4)","floor_level":1,"position":[-1.569,-3.895]}</x:v>
      </x:c>
      <x:c r="O385" s="6"/>
      <x:c r="P385" s="6" t="str">
        <x:v>Resolve the intended asset and its containing room/floor.</x:v>
      </x:c>
      <x:c r="Q385" s="15"/>
      <x:c r="R385" s="6"/>
      <x:c r="S385" s="16"/>
      <x:c r="T385" s="15"/>
      <x:c r="U385" s="6"/>
      <x:c r="V385" s="6"/>
      <x:c r="W385" s="6" t="str">
        <x:v>Existing search_building. Improve disambiguation and complete result pagination.</x:v>
      </x:c>
      <x:c r="X385" s="6" t="str">
        <x:v>data/train/swiss-1898/questions_basic.jsonl</x:v>
      </x:c>
      <x:c r="Y385" s="14" t="n">
        <x:v>2</x:v>
      </x:c>
      <x:c r="Z385" s="6" t="str">
        <x:v>https://github.com/hagenhaeussler/Industrial-Agents-Hackathon-2026/blob/f41616590b69f3ea0c1cbfb41d6c35edd9ce53df/data/train/swiss-1898/questions_basic.jsonl#L2</x:v>
      </x:c>
      <x:c r="AA385" s="6" t="str">
        <x:v>swiss_dwellings</x:v>
      </x:c>
      <x:c r="AB385" s="6" t="str">
        <x:v>CC-BY-4.0</x:v>
      </x:c>
    </x:row>
    <x:row r="386" ht="72" customHeight="1">
      <x:c r="A386" s="14" t="n">
        <x:v>381</x:v>
      </x:c>
      <x:c r="B386" s="6" t="str">
        <x:v>locate</x:v>
      </x:c>
      <x:c r="C386" s="6" t="str">
        <x:v>Where is the shower?</x:v>
      </x:c>
      <x:c r="D386" s="6" t="str">
        <x:v>Bathroom 5.41 (apartment 67)
Floor level: 5
Asset ID: swiss-1922-A00280
Position (m): -18.781, 8.676</x:v>
      </x:c>
      <x:c r="E386" s="6" t="str">
        <x:v>Reference supplied</x:v>
      </x:c>
      <x:c r="F386" s="6" t="str">
        <x:v>train</x:v>
      </x:c>
      <x:c r="G386" s="6" t="str">
        <x:v>swiss-1922</x:v>
      </x:c>
      <x:c r="H386" s="6" t="str">
        <x:v>swiss-1922-Q01</x:v>
      </x:c>
      <x:c r="I386" s="6" t="str">
        <x:v>Find and count assets</x:v>
      </x:c>
      <x:c r="J386" s="6" t="str">
        <x:v>Warm-up</x:v>
      </x:c>
      <x:c r="K386" s="6" t="str">
        <x:v>Room name, floor and asset identity. Coordinates may help the UI.</x:v>
      </x:c>
      <x:c r="L386" s="6" t="str">
        <x:v>T02, T03</x:v>
      </x:c>
      <x:c r="M386" s="6" t="str">
        <x:v>Find a named item and identify its containing room and floor.</x:v>
      </x:c>
      <x:c r="N386" s="6" t="str">
        <x:v>{"asset_id":"swiss-1922-A00280","space_id":"swiss-1922-F5-S041","space_name":"Bathroom 5.41 (apartment 67)","floor_level":5,"position":[-18.781,8.676]}</x:v>
      </x:c>
      <x:c r="O386" s="6"/>
      <x:c r="P386" s="6" t="str">
        <x:v>Resolve the intended asset and its containing room/floor.</x:v>
      </x:c>
      <x:c r="Q386" s="15"/>
      <x:c r="R386" s="6"/>
      <x:c r="S386" s="16"/>
      <x:c r="T386" s="15"/>
      <x:c r="U386" s="6"/>
      <x:c r="V386" s="6"/>
      <x:c r="W386" s="6" t="str">
        <x:v>Existing search_building. Improve disambiguation and complete result pagination.</x:v>
      </x:c>
      <x:c r="X386" s="6" t="str">
        <x:v>data/train/swiss-1922/questions_basic.jsonl</x:v>
      </x:c>
      <x:c r="Y386" s="14" t="n">
        <x:v>1</x:v>
      </x:c>
      <x:c r="Z386" s="6" t="str">
        <x:v>https://github.com/hagenhaeussler/Industrial-Agents-Hackathon-2026/blob/f41616590b69f3ea0c1cbfb41d6c35edd9ce53df/data/train/swiss-1922/questions_basic.jsonl#L1</x:v>
      </x:c>
      <x:c r="AA386" s="6" t="str">
        <x:v>swiss_dwellings</x:v>
      </x:c>
      <x:c r="AB386" s="6" t="str">
        <x:v>CC-BY-4.0</x:v>
      </x:c>
    </x:row>
    <x:row r="387" ht="72" customHeight="1">
      <x:c r="A387" s="14" t="n">
        <x:v>382</x:v>
      </x:c>
      <x:c r="B387" s="6" t="str">
        <x:v>locate</x:v>
      </x:c>
      <x:c r="C387" s="6" t="str">
        <x:v>Where is the coat rack?</x:v>
      </x:c>
      <x:c r="D387" s="6" t="str">
        <x:v>Corridor 2.07 (apartment 5)
Floor level: 2
Asset ID: swiss-1928-A00144
Position (m): 4.291, 6.07</x:v>
      </x:c>
      <x:c r="E387" s="6" t="str">
        <x:v>Reference supplied</x:v>
      </x:c>
      <x:c r="F387" s="6" t="str">
        <x:v>train</x:v>
      </x:c>
      <x:c r="G387" s="6" t="str">
        <x:v>swiss-1928</x:v>
      </x:c>
      <x:c r="H387" s="6" t="str">
        <x:v>swiss-1928-Q01</x:v>
      </x:c>
      <x:c r="I387" s="6" t="str">
        <x:v>Find and count assets</x:v>
      </x:c>
      <x:c r="J387" s="6" t="str">
        <x:v>Warm-up</x:v>
      </x:c>
      <x:c r="K387" s="6" t="str">
        <x:v>Room name, floor and asset identity. Coordinates may help the UI.</x:v>
      </x:c>
      <x:c r="L387" s="6" t="str">
        <x:v>T02, T03</x:v>
      </x:c>
      <x:c r="M387" s="6" t="str">
        <x:v>Find a named item and identify its containing room and floor.</x:v>
      </x:c>
      <x:c r="N387" s="6" t="str">
        <x:v>{"asset_id":"swiss-1928-A00144","space_id":"swiss-1928-F2-S007","space_name":"Corridor 2.07 (apartment 5)","floor_level":2,"position":[4.291,6.07]}</x:v>
      </x:c>
      <x:c r="O387" s="6"/>
      <x:c r="P387" s="6" t="str">
        <x:v>Resolve the intended asset and its containing room/floor.</x:v>
      </x:c>
      <x:c r="Q387" s="15"/>
      <x:c r="R387" s="6"/>
      <x:c r="S387" s="16"/>
      <x:c r="T387" s="15"/>
      <x:c r="U387" s="6"/>
      <x:c r="V387" s="6"/>
      <x:c r="W387" s="6" t="str">
        <x:v>Existing search_building. Improve disambiguation and complete result pagination.</x:v>
      </x:c>
      <x:c r="X387" s="6" t="str">
        <x:v>data/train/swiss-1928/questions_basic.jsonl</x:v>
      </x:c>
      <x:c r="Y387" s="14" t="n">
        <x:v>1</x:v>
      </x:c>
      <x:c r="Z387" s="6" t="str">
        <x:v>https://github.com/hagenhaeussler/Industrial-Agents-Hackathon-2026/blob/f41616590b69f3ea0c1cbfb41d6c35edd9ce53df/data/train/swiss-1928/questions_basic.jsonl#L1</x:v>
      </x:c>
      <x:c r="AA387" s="6" t="str">
        <x:v>swiss_dwellings</x:v>
      </x:c>
      <x:c r="AB387" s="6" t="str">
        <x:v>CC-BY-4.0</x:v>
      </x:c>
    </x:row>
    <x:row r="388" ht="72" customHeight="1">
      <x:c r="A388" s="14" t="n">
        <x:v>383</x:v>
      </x:c>
      <x:c r="B388" s="6" t="str">
        <x:v>locate</x:v>
      </x:c>
      <x:c r="C388" s="6" t="str">
        <x:v>Where is the dining table?</x:v>
      </x:c>
      <x:c r="D388" s="6" t="str">
        <x:v>Living room 2.10 (apartment 6)
Floor level: 2
Asset ID: swiss-1928-A00153
Position (m): 2.526, -2.37</x:v>
      </x:c>
      <x:c r="E388" s="6" t="str">
        <x:v>Reference supplied</x:v>
      </x:c>
      <x:c r="F388" s="6" t="str">
        <x:v>train</x:v>
      </x:c>
      <x:c r="G388" s="6" t="str">
        <x:v>swiss-1928</x:v>
      </x:c>
      <x:c r="H388" s="6" t="str">
        <x:v>swiss-1928-Q02</x:v>
      </x:c>
      <x:c r="I388" s="6" t="str">
        <x:v>Find and count assets</x:v>
      </x:c>
      <x:c r="J388" s="6" t="str">
        <x:v>Warm-up</x:v>
      </x:c>
      <x:c r="K388" s="6" t="str">
        <x:v>Room name, floor and asset identity. Coordinates may help the UI.</x:v>
      </x:c>
      <x:c r="L388" s="6" t="str">
        <x:v>T02, T03</x:v>
      </x:c>
      <x:c r="M388" s="6" t="str">
        <x:v>Find a named item and identify its containing room and floor.</x:v>
      </x:c>
      <x:c r="N388" s="6" t="str">
        <x:v>{"asset_id":"swiss-1928-A00153","space_id":"swiss-1928-F2-S010","space_name":"Living room 2.10 (apartment 6)","floor_level":2,"position":[2.526,-2.37]}</x:v>
      </x:c>
      <x:c r="O388" s="6"/>
      <x:c r="P388" s="6" t="str">
        <x:v>Resolve the intended asset and its containing room/floor.</x:v>
      </x:c>
      <x:c r="Q388" s="15"/>
      <x:c r="R388" s="6"/>
      <x:c r="S388" s="16"/>
      <x:c r="T388" s="15"/>
      <x:c r="U388" s="6"/>
      <x:c r="V388" s="6"/>
      <x:c r="W388" s="6" t="str">
        <x:v>Existing search_building. Improve disambiguation and complete result pagination.</x:v>
      </x:c>
      <x:c r="X388" s="6" t="str">
        <x:v>data/train/swiss-1928/questions_basic.jsonl</x:v>
      </x:c>
      <x:c r="Y388" s="14" t="n">
        <x:v>2</x:v>
      </x:c>
      <x:c r="Z388" s="6" t="str">
        <x:v>https://github.com/hagenhaeussler/Industrial-Agents-Hackathon-2026/blob/f41616590b69f3ea0c1cbfb41d6c35edd9ce53df/data/train/swiss-1928/questions_basic.jsonl#L2</x:v>
      </x:c>
      <x:c r="AA388" s="6" t="str">
        <x:v>swiss_dwellings</x:v>
      </x:c>
      <x:c r="AB388" s="6" t="str">
        <x:v>CC-BY-4.0</x:v>
      </x:c>
    </x:row>
    <x:row r="389" ht="72" customHeight="1">
      <x:c r="A389" s="14" t="n">
        <x:v>384</x:v>
      </x:c>
      <x:c r="B389" s="6" t="str">
        <x:v>locate</x:v>
      </x:c>
      <x:c r="C389" s="6" t="str">
        <x:v>Where is the armchair?</x:v>
      </x:c>
      <x:c r="D389" s="6" t="str">
        <x:v>Living room 0.11 (apartment 2)
Floor level: 0
Asset ID: swiss-1928-A00068
Position (m): 0.777, -1.338</x:v>
      </x:c>
      <x:c r="E389" s="6" t="str">
        <x:v>Reference supplied</x:v>
      </x:c>
      <x:c r="F389" s="6" t="str">
        <x:v>train</x:v>
      </x:c>
      <x:c r="G389" s="6" t="str">
        <x:v>swiss-1928</x:v>
      </x:c>
      <x:c r="H389" s="6" t="str">
        <x:v>swiss-1928-Q03</x:v>
      </x:c>
      <x:c r="I389" s="6" t="str">
        <x:v>Find and count assets</x:v>
      </x:c>
      <x:c r="J389" s="6" t="str">
        <x:v>Warm-up</x:v>
      </x:c>
      <x:c r="K389" s="6" t="str">
        <x:v>Room name, floor and asset identity. Coordinates may help the UI.</x:v>
      </x:c>
      <x:c r="L389" s="6" t="str">
        <x:v>T02, T03</x:v>
      </x:c>
      <x:c r="M389" s="6" t="str">
        <x:v>Find a named item and identify its containing room and floor.</x:v>
      </x:c>
      <x:c r="N389" s="6" t="str">
        <x:v>{"asset_id":"swiss-1928-A00068","space_id":"swiss-1928-F0-S011","space_name":"Living room 0.11 (apartment 2)","floor_level":0,"position":[0.777,-1.338]}</x:v>
      </x:c>
      <x:c r="O389" s="6"/>
      <x:c r="P389" s="6" t="str">
        <x:v>Resolve the intended asset and its containing room/floor.</x:v>
      </x:c>
      <x:c r="Q389" s="15"/>
      <x:c r="R389" s="6"/>
      <x:c r="S389" s="16"/>
      <x:c r="T389" s="15"/>
      <x:c r="U389" s="6"/>
      <x:c r="V389" s="6"/>
      <x:c r="W389" s="6" t="str">
        <x:v>Existing search_building. Improve disambiguation and complete result pagination.</x:v>
      </x:c>
      <x:c r="X389" s="6" t="str">
        <x:v>data/train/swiss-1928/questions_basic.jsonl</x:v>
      </x:c>
      <x:c r="Y389" s="14" t="n">
        <x:v>3</x:v>
      </x:c>
      <x:c r="Z389" s="6" t="str">
        <x:v>https://github.com/hagenhaeussler/Industrial-Agents-Hackathon-2026/blob/f41616590b69f3ea0c1cbfb41d6c35edd9ce53df/data/train/swiss-1928/questions_basic.jsonl#L3</x:v>
      </x:c>
      <x:c r="AA389" s="6" t="str">
        <x:v>swiss_dwellings</x:v>
      </x:c>
      <x:c r="AB389" s="6" t="str">
        <x:v>CC-BY-4.0</x:v>
      </x:c>
    </x:row>
    <x:row r="390" ht="72" customHeight="1">
      <x:c r="A390" s="14" t="n">
        <x:v>385</x:v>
      </x:c>
      <x:c r="B390" s="6" t="str">
        <x:v>locate</x:v>
      </x:c>
      <x:c r="C390" s="6" t="str">
        <x:v>Where is the armchair?</x:v>
      </x:c>
      <x:c r="D390" s="6" t="str">
        <x:v>Living room 0.13 (apartment 2)
Floor level: 0
Asset ID: swiss-1936-A00075
Position (m): 4.337, -4.636</x:v>
      </x:c>
      <x:c r="E390" s="6" t="str">
        <x:v>Reference supplied</x:v>
      </x:c>
      <x:c r="F390" s="6" t="str">
        <x:v>train</x:v>
      </x:c>
      <x:c r="G390" s="6" t="str">
        <x:v>swiss-1936</x:v>
      </x:c>
      <x:c r="H390" s="6" t="str">
        <x:v>swiss-1936-Q01</x:v>
      </x:c>
      <x:c r="I390" s="6" t="str">
        <x:v>Find and count assets</x:v>
      </x:c>
      <x:c r="J390" s="6" t="str">
        <x:v>Warm-up</x:v>
      </x:c>
      <x:c r="K390" s="6" t="str">
        <x:v>Room name, floor and asset identity. Coordinates may help the UI.</x:v>
      </x:c>
      <x:c r="L390" s="6" t="str">
        <x:v>T02, T03</x:v>
      </x:c>
      <x:c r="M390" s="6" t="str">
        <x:v>Find a named item and identify its containing room and floor.</x:v>
      </x:c>
      <x:c r="N390" s="6" t="str">
        <x:v>{"asset_id":"swiss-1936-A00075","space_id":"swiss-1936-F0-S013","space_name":"Living room 0.13 (apartment 2)","floor_level":0,"position":[4.337,-4.636]}</x:v>
      </x:c>
      <x:c r="O390" s="6"/>
      <x:c r="P390" s="6" t="str">
        <x:v>Resolve the intended asset and its containing room/floor.</x:v>
      </x:c>
      <x:c r="Q390" s="15"/>
      <x:c r="R390" s="6"/>
      <x:c r="S390" s="16"/>
      <x:c r="T390" s="15"/>
      <x:c r="U390" s="6"/>
      <x:c r="V390" s="6"/>
      <x:c r="W390" s="6" t="str">
        <x:v>Existing search_building. Improve disambiguation and complete result pagination.</x:v>
      </x:c>
      <x:c r="X390" s="6" t="str">
        <x:v>data/train/swiss-1936/questions_basic.jsonl</x:v>
      </x:c>
      <x:c r="Y390" s="14" t="n">
        <x:v>1</x:v>
      </x:c>
      <x:c r="Z390" s="6" t="str">
        <x:v>https://github.com/hagenhaeussler/Industrial-Agents-Hackathon-2026/blob/f41616590b69f3ea0c1cbfb41d6c35edd9ce53df/data/train/swiss-1936/questions_basic.jsonl#L1</x:v>
      </x:c>
      <x:c r="AA390" s="6" t="str">
        <x:v>swiss_dwellings</x:v>
      </x:c>
      <x:c r="AB390" s="6" t="str">
        <x:v>CC-BY-4.0</x:v>
      </x:c>
    </x:row>
    <x:row r="391" ht="72" customHeight="1">
      <x:c r="A391" s="14" t="n">
        <x:v>386</x:v>
      </x:c>
      <x:c r="B391" s="6" t="str">
        <x:v>locate</x:v>
      </x:c>
      <x:c r="C391" s="6" t="str">
        <x:v>Where is the shoe cabinet?</x:v>
      </x:c>
      <x:c r="D391" s="6" t="str">
        <x:v>Corridor 1.14 (apartment 9)
Floor level: 1
Asset ID: swiss-1970-A00197
Position (m): 6.817, 0.383</x:v>
      </x:c>
      <x:c r="E391" s="6" t="str">
        <x:v>Reference supplied</x:v>
      </x:c>
      <x:c r="F391" s="6" t="str">
        <x:v>train</x:v>
      </x:c>
      <x:c r="G391" s="6" t="str">
        <x:v>swiss-1970</x:v>
      </x:c>
      <x:c r="H391" s="6" t="str">
        <x:v>swiss-1970-Q01</x:v>
      </x:c>
      <x:c r="I391" s="6" t="str">
        <x:v>Find and count assets</x:v>
      </x:c>
      <x:c r="J391" s="6" t="str">
        <x:v>Warm-up</x:v>
      </x:c>
      <x:c r="K391" s="6" t="str">
        <x:v>Room name, floor and asset identity. Coordinates may help the UI.</x:v>
      </x:c>
      <x:c r="L391" s="6" t="str">
        <x:v>T02, T03</x:v>
      </x:c>
      <x:c r="M391" s="6" t="str">
        <x:v>Find a named item and identify its containing room and floor.</x:v>
      </x:c>
      <x:c r="N391" s="6" t="str">
        <x:v>{"asset_id":"swiss-1970-A00197","space_id":"swiss-1970-F1-S014","space_name":"Corridor 1.14 (apartment 9)","floor_level":1,"position":[6.817,0.383]}</x:v>
      </x:c>
      <x:c r="O391" s="6"/>
      <x:c r="P391" s="6" t="str">
        <x:v>Resolve the intended asset and its containing room/floor.</x:v>
      </x:c>
      <x:c r="Q391" s="15"/>
      <x:c r="R391" s="6"/>
      <x:c r="S391" s="16"/>
      <x:c r="T391" s="15"/>
      <x:c r="U391" s="6"/>
      <x:c r="V391" s="6"/>
      <x:c r="W391" s="6" t="str">
        <x:v>Existing search_building. Improve disambiguation and complete result pagination.</x:v>
      </x:c>
      <x:c r="X391" s="6" t="str">
        <x:v>data/train/swiss-1970/questions_basic.jsonl</x:v>
      </x:c>
      <x:c r="Y391" s="14" t="n">
        <x:v>1</x:v>
      </x:c>
      <x:c r="Z391" s="6" t="str">
        <x:v>https://github.com/hagenhaeussler/Industrial-Agents-Hackathon-2026/blob/f41616590b69f3ea0c1cbfb41d6c35edd9ce53df/data/train/swiss-1970/questions_basic.jsonl#L1</x:v>
      </x:c>
      <x:c r="AA391" s="6" t="str">
        <x:v>swiss_dwellings</x:v>
      </x:c>
      <x:c r="AB391" s="6" t="str">
        <x:v>CC-BY-4.0</x:v>
      </x:c>
    </x:row>
    <x:row r="392" ht="72" customHeight="1">
      <x:c r="A392" s="14" t="n">
        <x:v>387</x:v>
      </x:c>
      <x:c r="B392" s="6" t="str">
        <x:v>locate</x:v>
      </x:c>
      <x:c r="C392" s="6" t="str">
        <x:v>Where is the washing machine?</x:v>
      </x:c>
      <x:c r="D392" s="6" t="str">
        <x:v>Bathroom 1.29 (apartment 11)
Floor level: 1
Asset ID: swiss-1970-A00225
Position (m): 16.563, -2.953</x:v>
      </x:c>
      <x:c r="E392" s="6" t="str">
        <x:v>Reference supplied</x:v>
      </x:c>
      <x:c r="F392" s="6" t="str">
        <x:v>train</x:v>
      </x:c>
      <x:c r="G392" s="6" t="str">
        <x:v>swiss-1970</x:v>
      </x:c>
      <x:c r="H392" s="6" t="str">
        <x:v>swiss-1970-Q02</x:v>
      </x:c>
      <x:c r="I392" s="6" t="str">
        <x:v>Find and count assets</x:v>
      </x:c>
      <x:c r="J392" s="6" t="str">
        <x:v>Warm-up</x:v>
      </x:c>
      <x:c r="K392" s="6" t="str">
        <x:v>Room name, floor and asset identity. Coordinates may help the UI.</x:v>
      </x:c>
      <x:c r="L392" s="6" t="str">
        <x:v>T02, T03</x:v>
      </x:c>
      <x:c r="M392" s="6" t="str">
        <x:v>Find a named item and identify its containing room and floor.</x:v>
      </x:c>
      <x:c r="N392" s="6" t="str">
        <x:v>{"asset_id":"swiss-1970-A00225","space_id":"swiss-1970-F1-S029","space_name":"Bathroom 1.29 (apartment 11)","floor_level":1,"position":[16.563,-2.953]}</x:v>
      </x:c>
      <x:c r="O392" s="6"/>
      <x:c r="P392" s="6" t="str">
        <x:v>Resolve the intended asset and its containing room/floor.</x:v>
      </x:c>
      <x:c r="Q392" s="15"/>
      <x:c r="R392" s="6"/>
      <x:c r="S392" s="16"/>
      <x:c r="T392" s="15"/>
      <x:c r="U392" s="6"/>
      <x:c r="V392" s="6"/>
      <x:c r="W392" s="6" t="str">
        <x:v>Existing search_building. Improve disambiguation and complete result pagination.</x:v>
      </x:c>
      <x:c r="X392" s="6" t="str">
        <x:v>data/train/swiss-1970/questions_basic.jsonl</x:v>
      </x:c>
      <x:c r="Y392" s="14" t="n">
        <x:v>2</x:v>
      </x:c>
      <x:c r="Z392" s="6" t="str">
        <x:v>https://github.com/hagenhaeussler/Industrial-Agents-Hackathon-2026/blob/f41616590b69f3ea0c1cbfb41d6c35edd9ce53df/data/train/swiss-1970/questions_basic.jsonl#L2</x:v>
      </x:c>
      <x:c r="AA392" s="6" t="str">
        <x:v>swiss_dwellings</x:v>
      </x:c>
      <x:c r="AB392" s="6" t="str">
        <x:v>CC-BY-4.0</x:v>
      </x:c>
    </x:row>
    <x:row r="393" ht="72" customHeight="1">
      <x:c r="A393" s="14" t="n">
        <x:v>388</x:v>
      </x:c>
      <x:c r="B393" s="6" t="str">
        <x:v>locate</x:v>
      </x:c>
      <x:c r="C393" s="6" t="str">
        <x:v>Where is the shower?</x:v>
      </x:c>
      <x:c r="D393" s="6" t="str">
        <x:v>Bathroom -1.05 (apartment 2)
Floor level: -1
Asset ID: swiss-1970-A00005
Position (m): 13.311, -3.181</x:v>
      </x:c>
      <x:c r="E393" s="6" t="str">
        <x:v>Reference supplied</x:v>
      </x:c>
      <x:c r="F393" s="6" t="str">
        <x:v>train</x:v>
      </x:c>
      <x:c r="G393" s="6" t="str">
        <x:v>swiss-1970</x:v>
      </x:c>
      <x:c r="H393" s="6" t="str">
        <x:v>swiss-1970-Q03</x:v>
      </x:c>
      <x:c r="I393" s="6" t="str">
        <x:v>Find and count assets</x:v>
      </x:c>
      <x:c r="J393" s="6" t="str">
        <x:v>Warm-up</x:v>
      </x:c>
      <x:c r="K393" s="6" t="str">
        <x:v>Room name, floor and asset identity. Coordinates may help the UI.</x:v>
      </x:c>
      <x:c r="L393" s="6" t="str">
        <x:v>T02, T03</x:v>
      </x:c>
      <x:c r="M393" s="6" t="str">
        <x:v>Find a named item and identify its containing room and floor.</x:v>
      </x:c>
      <x:c r="N393" s="6" t="str">
        <x:v>{"asset_id":"swiss-1970-A00005","space_id":"swiss-1970-F-1-S005","space_name":"Bathroom -1.05 (apartment 2)","floor_level":-1,"position":[13.311,-3.181]}</x:v>
      </x:c>
      <x:c r="O393" s="6"/>
      <x:c r="P393" s="6" t="str">
        <x:v>Resolve the intended asset and its containing room/floor.</x:v>
      </x:c>
      <x:c r="Q393" s="15"/>
      <x:c r="R393" s="6"/>
      <x:c r="S393" s="16"/>
      <x:c r="T393" s="15"/>
      <x:c r="U393" s="6"/>
      <x:c r="V393" s="6"/>
      <x:c r="W393" s="6" t="str">
        <x:v>Existing search_building. Improve disambiguation and complete result pagination.</x:v>
      </x:c>
      <x:c r="X393" s="6" t="str">
        <x:v>data/train/swiss-1970/questions_basic.jsonl</x:v>
      </x:c>
      <x:c r="Y393" s="14" t="n">
        <x:v>3</x:v>
      </x:c>
      <x:c r="Z393" s="6" t="str">
        <x:v>https://github.com/hagenhaeussler/Industrial-Agents-Hackathon-2026/blob/f41616590b69f3ea0c1cbfb41d6c35edd9ce53df/data/train/swiss-1970/questions_basic.jsonl#L3</x:v>
      </x:c>
      <x:c r="AA393" s="6" t="str">
        <x:v>swiss_dwellings</x:v>
      </x:c>
      <x:c r="AB393" s="6" t="str">
        <x:v>CC-BY-4.0</x:v>
      </x:c>
    </x:row>
    <x:row r="394" ht="72" customHeight="1">
      <x:c r="A394" s="14" t="n">
        <x:v>389</x:v>
      </x:c>
      <x:c r="B394" s="6" t="str">
        <x:v>locate</x:v>
      </x:c>
      <x:c r="C394" s="6" t="str">
        <x:v>Where is the shoe cabinet?</x:v>
      </x:c>
      <x:c r="D394" s="6" t="str">
        <x:v>Corridor 0.21 (apartment 3)
Floor level: 0
Asset ID: swiss-210-A00171
Position (m): 3.461, -4.865</x:v>
      </x:c>
      <x:c r="E394" s="6" t="str">
        <x:v>Reference supplied</x:v>
      </x:c>
      <x:c r="F394" s="6" t="str">
        <x:v>train</x:v>
      </x:c>
      <x:c r="G394" s="6" t="str">
        <x:v>swiss-210</x:v>
      </x:c>
      <x:c r="H394" s="6" t="str">
        <x:v>swiss-210-Q01</x:v>
      </x:c>
      <x:c r="I394" s="6" t="str">
        <x:v>Find and count assets</x:v>
      </x:c>
      <x:c r="J394" s="6" t="str">
        <x:v>Warm-up</x:v>
      </x:c>
      <x:c r="K394" s="6" t="str">
        <x:v>Room name, floor and asset identity. Coordinates may help the UI.</x:v>
      </x:c>
      <x:c r="L394" s="6" t="str">
        <x:v>T02, T03</x:v>
      </x:c>
      <x:c r="M394" s="6" t="str">
        <x:v>Find a named item and identify its containing room and floor.</x:v>
      </x:c>
      <x:c r="N394" s="6" t="str">
        <x:v>{"asset_id":"swiss-210-A00171","space_id":"swiss-210-F0-S021","space_name":"Corridor 0.21 (apartment 3)","floor_level":0,"position":[3.461,-4.865]}</x:v>
      </x:c>
      <x:c r="O394" s="6"/>
      <x:c r="P394" s="6" t="str">
        <x:v>Resolve the intended asset and its containing room/floor.</x:v>
      </x:c>
      <x:c r="Q394" s="15"/>
      <x:c r="R394" s="6"/>
      <x:c r="S394" s="16"/>
      <x:c r="T394" s="15"/>
      <x:c r="U394" s="6"/>
      <x:c r="V394" s="6"/>
      <x:c r="W394" s="6" t="str">
        <x:v>Existing search_building. Improve disambiguation and complete result pagination.</x:v>
      </x:c>
      <x:c r="X394" s="6" t="str">
        <x:v>data/train/swiss-210/questions_basic.jsonl</x:v>
      </x:c>
      <x:c r="Y394" s="14" t="n">
        <x:v>1</x:v>
      </x:c>
      <x:c r="Z394" s="6" t="str">
        <x:v>https://github.com/hagenhaeussler/Industrial-Agents-Hackathon-2026/blob/f41616590b69f3ea0c1cbfb41d6c35edd9ce53df/data/train/swiss-210/questions_basic.jsonl#L1</x:v>
      </x:c>
      <x:c r="AA394" s="6" t="str">
        <x:v>swiss_dwellings</x:v>
      </x:c>
      <x:c r="AB394" s="6" t="str">
        <x:v>CC-BY-4.0</x:v>
      </x:c>
    </x:row>
    <x:row r="395" ht="72" customHeight="1">
      <x:c r="A395" s="14" t="n">
        <x:v>390</x:v>
      </x:c>
      <x:c r="B395" s="6" t="str">
        <x:v>locate</x:v>
      </x:c>
      <x:c r="C395" s="6" t="str">
        <x:v>Where is the shower?</x:v>
      </x:c>
      <x:c r="D395" s="6" t="str">
        <x:v>Bathroom 2.25 (apartment 12)
Floor level: 2
Asset ID: swiss-2216-A00344
Position (m): -2.152, 3.962</x:v>
      </x:c>
      <x:c r="E395" s="6" t="str">
        <x:v>Reference supplied</x:v>
      </x:c>
      <x:c r="F395" s="6" t="str">
        <x:v>train</x:v>
      </x:c>
      <x:c r="G395" s="6" t="str">
        <x:v>swiss-2216</x:v>
      </x:c>
      <x:c r="H395" s="6" t="str">
        <x:v>swiss-2216-Q01</x:v>
      </x:c>
      <x:c r="I395" s="6" t="str">
        <x:v>Find and count assets</x:v>
      </x:c>
      <x:c r="J395" s="6" t="str">
        <x:v>Warm-up</x:v>
      </x:c>
      <x:c r="K395" s="6" t="str">
        <x:v>Room name, floor and asset identity. Coordinates may help the UI.</x:v>
      </x:c>
      <x:c r="L395" s="6" t="str">
        <x:v>T02, T03</x:v>
      </x:c>
      <x:c r="M395" s="6" t="str">
        <x:v>Find a named item and identify its containing room and floor.</x:v>
      </x:c>
      <x:c r="N395" s="6" t="str">
        <x:v>{"asset_id":"swiss-2216-A00344","space_id":"swiss-2216-F2-S025","space_name":"Bathroom 2.25 (apartment 12)","floor_level":2,"position":[-2.152,3.962]}</x:v>
      </x:c>
      <x:c r="O395" s="6"/>
      <x:c r="P395" s="6" t="str">
        <x:v>Resolve the intended asset and its containing room/floor.</x:v>
      </x:c>
      <x:c r="Q395" s="15"/>
      <x:c r="R395" s="6"/>
      <x:c r="S395" s="16"/>
      <x:c r="T395" s="15"/>
      <x:c r="U395" s="6"/>
      <x:c r="V395" s="6"/>
      <x:c r="W395" s="6" t="str">
        <x:v>Existing search_building. Improve disambiguation and complete result pagination.</x:v>
      </x:c>
      <x:c r="X395" s="6" t="str">
        <x:v>data/train/swiss-2216/questions_basic.jsonl</x:v>
      </x:c>
      <x:c r="Y395" s="14" t="n">
        <x:v>1</x:v>
      </x:c>
      <x:c r="Z395" s="6" t="str">
        <x:v>https://github.com/hagenhaeussler/Industrial-Agents-Hackathon-2026/blob/f41616590b69f3ea0c1cbfb41d6c35edd9ce53df/data/train/swiss-2216/questions_basic.jsonl#L1</x:v>
      </x:c>
      <x:c r="AA395" s="6" t="str">
        <x:v>swiss_dwellings</x:v>
      </x:c>
      <x:c r="AB395" s="6" t="str">
        <x:v>CC-BY-4.0</x:v>
      </x:c>
    </x:row>
    <x:row r="396" ht="72" customHeight="1">
      <x:c r="A396" s="14" t="n">
        <x:v>391</x:v>
      </x:c>
      <x:c r="B396" s="6" t="str">
        <x:v>locate</x:v>
      </x:c>
      <x:c r="C396" s="6" t="str">
        <x:v>Where is the washing machine?</x:v>
      </x:c>
      <x:c r="D396" s="6" t="str">
        <x:v>Bathroom 2.14 (apartment 6)
Floor level: 2
Asset ID: swiss-2221-A00153
Position (m): 6.071, -0.798</x:v>
      </x:c>
      <x:c r="E396" s="6" t="str">
        <x:v>Reference supplied</x:v>
      </x:c>
      <x:c r="F396" s="6" t="str">
        <x:v>train</x:v>
      </x:c>
      <x:c r="G396" s="6" t="str">
        <x:v>swiss-2221</x:v>
      </x:c>
      <x:c r="H396" s="6" t="str">
        <x:v>swiss-2221-Q01</x:v>
      </x:c>
      <x:c r="I396" s="6" t="str">
        <x:v>Find and count assets</x:v>
      </x:c>
      <x:c r="J396" s="6" t="str">
        <x:v>Warm-up</x:v>
      </x:c>
      <x:c r="K396" s="6" t="str">
        <x:v>Room name, floor and asset identity. Coordinates may help the UI.</x:v>
      </x:c>
      <x:c r="L396" s="6" t="str">
        <x:v>T02, T03</x:v>
      </x:c>
      <x:c r="M396" s="6" t="str">
        <x:v>Find a named item and identify its containing room and floor.</x:v>
      </x:c>
      <x:c r="N396" s="6" t="str">
        <x:v>{"asset_id":"swiss-2221-A00153","space_id":"swiss-2221-F2-S014","space_name":"Bathroom 2.14 (apartment 6)","floor_level":2,"position":[6.071,-0.798]}</x:v>
      </x:c>
      <x:c r="O396" s="6"/>
      <x:c r="P396" s="6" t="str">
        <x:v>Resolve the intended asset and its containing room/floor.</x:v>
      </x:c>
      <x:c r="Q396" s="15"/>
      <x:c r="R396" s="6"/>
      <x:c r="S396" s="16"/>
      <x:c r="T396" s="15"/>
      <x:c r="U396" s="6"/>
      <x:c r="V396" s="6"/>
      <x:c r="W396" s="6" t="str">
        <x:v>Existing search_building. Improve disambiguation and complete result pagination.</x:v>
      </x:c>
      <x:c r="X396" s="6" t="str">
        <x:v>data/train/swiss-2221/questions_basic.jsonl</x:v>
      </x:c>
      <x:c r="Y396" s="14" t="n">
        <x:v>1</x:v>
      </x:c>
      <x:c r="Z396" s="6" t="str">
        <x:v>https://github.com/hagenhaeussler/Industrial-Agents-Hackathon-2026/blob/f41616590b69f3ea0c1cbfb41d6c35edd9ce53df/data/train/swiss-2221/questions_basic.jsonl#L1</x:v>
      </x:c>
      <x:c r="AA396" s="6" t="str">
        <x:v>swiss_dwellings</x:v>
      </x:c>
      <x:c r="AB396" s="6" t="str">
        <x:v>CC-BY-4.0</x:v>
      </x:c>
    </x:row>
    <x:row r="397" ht="72" customHeight="1">
      <x:c r="A397" s="14" t="n">
        <x:v>392</x:v>
      </x:c>
      <x:c r="B397" s="6" t="str">
        <x:v>locate</x:v>
      </x:c>
      <x:c r="C397" s="6" t="str">
        <x:v>Where is the coat rack?</x:v>
      </x:c>
      <x:c r="D397" s="6" t="str">
        <x:v>Corridor 2.05 (apartment 5)
Floor level: 2
Asset ID: swiss-2221-A00135
Position (m): -1.7, -2.402</x:v>
      </x:c>
      <x:c r="E397" s="6" t="str">
        <x:v>Reference supplied</x:v>
      </x:c>
      <x:c r="F397" s="6" t="str">
        <x:v>train</x:v>
      </x:c>
      <x:c r="G397" s="6" t="str">
        <x:v>swiss-2221</x:v>
      </x:c>
      <x:c r="H397" s="6" t="str">
        <x:v>swiss-2221-Q02</x:v>
      </x:c>
      <x:c r="I397" s="6" t="str">
        <x:v>Find and count assets</x:v>
      </x:c>
      <x:c r="J397" s="6" t="str">
        <x:v>Warm-up</x:v>
      </x:c>
      <x:c r="K397" s="6" t="str">
        <x:v>Room name, floor and asset identity. Coordinates may help the UI.</x:v>
      </x:c>
      <x:c r="L397" s="6" t="str">
        <x:v>T02, T03</x:v>
      </x:c>
      <x:c r="M397" s="6" t="str">
        <x:v>Find a named item and identify its containing room and floor.</x:v>
      </x:c>
      <x:c r="N397" s="6" t="str">
        <x:v>{"asset_id":"swiss-2221-A00135","space_id":"swiss-2221-F2-S005","space_name":"Corridor 2.05 (apartment 5)","floor_level":2,"position":[-1.7,-2.402]}</x:v>
      </x:c>
      <x:c r="O397" s="6"/>
      <x:c r="P397" s="6" t="str">
        <x:v>Resolve the intended asset and its containing room/floor.</x:v>
      </x:c>
      <x:c r="Q397" s="15"/>
      <x:c r="R397" s="6"/>
      <x:c r="S397" s="16"/>
      <x:c r="T397" s="15"/>
      <x:c r="U397" s="6"/>
      <x:c r="V397" s="6"/>
      <x:c r="W397" s="6" t="str">
        <x:v>Existing search_building. Improve disambiguation and complete result pagination.</x:v>
      </x:c>
      <x:c r="X397" s="6" t="str">
        <x:v>data/train/swiss-2221/questions_basic.jsonl</x:v>
      </x:c>
      <x:c r="Y397" s="14" t="n">
        <x:v>2</x:v>
      </x:c>
      <x:c r="Z397" s="6" t="str">
        <x:v>https://github.com/hagenhaeussler/Industrial-Agents-Hackathon-2026/blob/f41616590b69f3ea0c1cbfb41d6c35edd9ce53df/data/train/swiss-2221/questions_basic.jsonl#L2</x:v>
      </x:c>
      <x:c r="AA397" s="6" t="str">
        <x:v>swiss_dwellings</x:v>
      </x:c>
      <x:c r="AB397" s="6" t="str">
        <x:v>CC-BY-4.0</x:v>
      </x:c>
    </x:row>
    <x:row r="398" ht="72" customHeight="1">
      <x:c r="A398" s="14" t="n">
        <x:v>393</x:v>
      </x:c>
      <x:c r="B398" s="6" t="str">
        <x:v>locate</x:v>
      </x:c>
      <x:c r="C398" s="6" t="str">
        <x:v>Where is the dining table?</x:v>
      </x:c>
      <x:c r="D398" s="6" t="str">
        <x:v>Kitchen 2.15 (apartment 6)
Floor level: 2
Asset ID: swiss-2221-A00157
Position (m): 5.135, 4.436</x:v>
      </x:c>
      <x:c r="E398" s="6" t="str">
        <x:v>Reference supplied</x:v>
      </x:c>
      <x:c r="F398" s="6" t="str">
        <x:v>train</x:v>
      </x:c>
      <x:c r="G398" s="6" t="str">
        <x:v>swiss-2221</x:v>
      </x:c>
      <x:c r="H398" s="6" t="str">
        <x:v>swiss-2221-Q03</x:v>
      </x:c>
      <x:c r="I398" s="6" t="str">
        <x:v>Find and count assets</x:v>
      </x:c>
      <x:c r="J398" s="6" t="str">
        <x:v>Warm-up</x:v>
      </x:c>
      <x:c r="K398" s="6" t="str">
        <x:v>Room name, floor and asset identity. Coordinates may help the UI.</x:v>
      </x:c>
      <x:c r="L398" s="6" t="str">
        <x:v>T02, T03</x:v>
      </x:c>
      <x:c r="M398" s="6" t="str">
        <x:v>Find a named item and identify its containing room and floor.</x:v>
      </x:c>
      <x:c r="N398" s="6" t="str">
        <x:v>{"asset_id":"swiss-2221-A00157","space_id":"swiss-2221-F2-S015","space_name":"Kitchen 2.15 (apartment 6)","floor_level":2,"position":[5.135,4.436]}</x:v>
      </x:c>
      <x:c r="O398" s="6"/>
      <x:c r="P398" s="6" t="str">
        <x:v>Resolve the intended asset and its containing room/floor.</x:v>
      </x:c>
      <x:c r="Q398" s="15"/>
      <x:c r="R398" s="6"/>
      <x:c r="S398" s="16"/>
      <x:c r="T398" s="15"/>
      <x:c r="U398" s="6"/>
      <x:c r="V398" s="6"/>
      <x:c r="W398" s="6" t="str">
        <x:v>Existing search_building. Improve disambiguation and complete result pagination.</x:v>
      </x:c>
      <x:c r="X398" s="6" t="str">
        <x:v>data/train/swiss-2221/questions_basic.jsonl</x:v>
      </x:c>
      <x:c r="Y398" s="14" t="n">
        <x:v>3</x:v>
      </x:c>
      <x:c r="Z398" s="6" t="str">
        <x:v>https://github.com/hagenhaeussler/Industrial-Agents-Hackathon-2026/blob/f41616590b69f3ea0c1cbfb41d6c35edd9ce53df/data/train/swiss-2221/questions_basic.jsonl#L3</x:v>
      </x:c>
      <x:c r="AA398" s="6" t="str">
        <x:v>swiss_dwellings</x:v>
      </x:c>
      <x:c r="AB398" s="6" t="str">
        <x:v>CC-BY-4.0</x:v>
      </x:c>
    </x:row>
    <x:row r="399" ht="72" customHeight="1">
      <x:c r="A399" s="14" t="n">
        <x:v>394</x:v>
      </x:c>
      <x:c r="B399" s="6" t="str">
        <x:v>locate</x:v>
      </x:c>
      <x:c r="C399" s="6" t="str">
        <x:v>Where is the shoe cabinet?</x:v>
      </x:c>
      <x:c r="D399" s="6" t="str">
        <x:v>Corridor 1.04 (apartment 7)
Floor level: 1
Asset ID: swiss-2235-A00236
Position (m): 4.629, -6.038</x:v>
      </x:c>
      <x:c r="E399" s="6" t="str">
        <x:v>Reference supplied</x:v>
      </x:c>
      <x:c r="F399" s="6" t="str">
        <x:v>train</x:v>
      </x:c>
      <x:c r="G399" s="6" t="str">
        <x:v>swiss-2235</x:v>
      </x:c>
      <x:c r="H399" s="6" t="str">
        <x:v>swiss-2235-Q01</x:v>
      </x:c>
      <x:c r="I399" s="6" t="str">
        <x:v>Find and count assets</x:v>
      </x:c>
      <x:c r="J399" s="6" t="str">
        <x:v>Warm-up</x:v>
      </x:c>
      <x:c r="K399" s="6" t="str">
        <x:v>Room name, floor and asset identity. Coordinates may help the UI.</x:v>
      </x:c>
      <x:c r="L399" s="6" t="str">
        <x:v>T02, T03</x:v>
      </x:c>
      <x:c r="M399" s="6" t="str">
        <x:v>Find a named item and identify its containing room and floor.</x:v>
      </x:c>
      <x:c r="N399" s="6" t="str">
        <x:v>{"asset_id":"swiss-2235-A00236","space_id":"swiss-2235-F1-S004","space_name":"Corridor 1.04 (apartment 7)","floor_level":1,"position":[4.629,-6.038]}</x:v>
      </x:c>
      <x:c r="O399" s="6"/>
      <x:c r="P399" s="6" t="str">
        <x:v>Resolve the intended asset and its containing room/floor.</x:v>
      </x:c>
      <x:c r="Q399" s="15"/>
      <x:c r="R399" s="6"/>
      <x:c r="S399" s="16"/>
      <x:c r="T399" s="15"/>
      <x:c r="U399" s="6"/>
      <x:c r="V399" s="6"/>
      <x:c r="W399" s="6" t="str">
        <x:v>Existing search_building. Improve disambiguation and complete result pagination.</x:v>
      </x:c>
      <x:c r="X399" s="6" t="str">
        <x:v>data/train/swiss-2235/questions_basic.jsonl</x:v>
      </x:c>
      <x:c r="Y399" s="14" t="n">
        <x:v>1</x:v>
      </x:c>
      <x:c r="Z399" s="6" t="str">
        <x:v>https://github.com/hagenhaeussler/Industrial-Agents-Hackathon-2026/blob/f41616590b69f3ea0c1cbfb41d6c35edd9ce53df/data/train/swiss-2235/questions_basic.jsonl#L1</x:v>
      </x:c>
      <x:c r="AA399" s="6" t="str">
        <x:v>swiss_dwellings</x:v>
      </x:c>
      <x:c r="AB399" s="6" t="str">
        <x:v>CC-BY-4.0</x:v>
      </x:c>
    </x:row>
    <x:row r="400" ht="72" customHeight="1">
      <x:c r="A400" s="14" t="n">
        <x:v>395</x:v>
      </x:c>
      <x:c r="B400" s="6" t="str">
        <x:v>locate</x:v>
      </x:c>
      <x:c r="C400" s="6" t="str">
        <x:v>Where is the microwave?</x:v>
      </x:c>
      <x:c r="D400" s="6" t="str">
        <x:v>Kitchen 1.54 (apartment 14)
Floor level: 1
Asset ID: swiss-2274-A00401
Position (m): -20.378, -0.379</x:v>
      </x:c>
      <x:c r="E400" s="6" t="str">
        <x:v>Reference supplied</x:v>
      </x:c>
      <x:c r="F400" s="6" t="str">
        <x:v>train</x:v>
      </x:c>
      <x:c r="G400" s="6" t="str">
        <x:v>swiss-2274</x:v>
      </x:c>
      <x:c r="H400" s="6" t="str">
        <x:v>swiss-2274-Q01</x:v>
      </x:c>
      <x:c r="I400" s="6" t="str">
        <x:v>Find and count assets</x:v>
      </x:c>
      <x:c r="J400" s="6" t="str">
        <x:v>Warm-up</x:v>
      </x:c>
      <x:c r="K400" s="6" t="str">
        <x:v>Room name, floor and asset identity. Coordinates may help the UI.</x:v>
      </x:c>
      <x:c r="L400" s="6" t="str">
        <x:v>T02, T03</x:v>
      </x:c>
      <x:c r="M400" s="6" t="str">
        <x:v>Find a named item and identify its containing room and floor.</x:v>
      </x:c>
      <x:c r="N400" s="6" t="str">
        <x:v>{"asset_id":"swiss-2274-A00401","space_id":"swiss-2274-F1-S054","space_name":"Kitchen 1.54 (apartment 14)","floor_level":1,"position":[-20.378,-0.379]}</x:v>
      </x:c>
      <x:c r="O400" s="6"/>
      <x:c r="P400" s="6" t="str">
        <x:v>Resolve the intended asset and its containing room/floor.</x:v>
      </x:c>
      <x:c r="Q400" s="15"/>
      <x:c r="R400" s="6"/>
      <x:c r="S400" s="16"/>
      <x:c r="T400" s="15"/>
      <x:c r="U400" s="6"/>
      <x:c r="V400" s="6"/>
      <x:c r="W400" s="6" t="str">
        <x:v>Existing search_building. Improve disambiguation and complete result pagination.</x:v>
      </x:c>
      <x:c r="X400" s="6" t="str">
        <x:v>data/train/swiss-2274/questions_basic.jsonl</x:v>
      </x:c>
      <x:c r="Y400" s="14" t="n">
        <x:v>1</x:v>
      </x:c>
      <x:c r="Z400" s="6" t="str">
        <x:v>https://github.com/hagenhaeussler/Industrial-Agents-Hackathon-2026/blob/f41616590b69f3ea0c1cbfb41d6c35edd9ce53df/data/train/swiss-2274/questions_basic.jsonl#L1</x:v>
      </x:c>
      <x:c r="AA400" s="6" t="str">
        <x:v>swiss_dwellings</x:v>
      </x:c>
      <x:c r="AB400" s="6" t="str">
        <x:v>CC-BY-4.0</x:v>
      </x:c>
    </x:row>
    <x:row r="401" ht="72" customHeight="1">
      <x:c r="A401" s="14" t="n">
        <x:v>396</x:v>
      </x:c>
      <x:c r="B401" s="6" t="str">
        <x:v>locate</x:v>
      </x:c>
      <x:c r="C401" s="6" t="str">
        <x:v>Where is the shoe cabinet?</x:v>
      </x:c>
      <x:c r="D401" s="6" t="str">
        <x:v>Corridor 0.28 (apartment 5)
Floor level: 0
Asset ID: swiss-2314-A00140
Position (m): 2.211, -7.35</x:v>
      </x:c>
      <x:c r="E401" s="6" t="str">
        <x:v>Reference supplied</x:v>
      </x:c>
      <x:c r="F401" s="6" t="str">
        <x:v>train</x:v>
      </x:c>
      <x:c r="G401" s="6" t="str">
        <x:v>swiss-2314</x:v>
      </x:c>
      <x:c r="H401" s="6" t="str">
        <x:v>swiss-2314-Q01</x:v>
      </x:c>
      <x:c r="I401" s="6" t="str">
        <x:v>Find and count assets</x:v>
      </x:c>
      <x:c r="J401" s="6" t="str">
        <x:v>Warm-up</x:v>
      </x:c>
      <x:c r="K401" s="6" t="str">
        <x:v>Room name, floor and asset identity. Coordinates may help the UI.</x:v>
      </x:c>
      <x:c r="L401" s="6" t="str">
        <x:v>T02, T03</x:v>
      </x:c>
      <x:c r="M401" s="6" t="str">
        <x:v>Find a named item and identify its containing room and floor.</x:v>
      </x:c>
      <x:c r="N401" s="6" t="str">
        <x:v>{"asset_id":"swiss-2314-A00140","space_id":"swiss-2314-F0-S028","space_name":"Corridor 0.28 (apartment 5)","floor_level":0,"position":[2.211,-7.35]}</x:v>
      </x:c>
      <x:c r="O401" s="6"/>
      <x:c r="P401" s="6" t="str">
        <x:v>Resolve the intended asset and its containing room/floor.</x:v>
      </x:c>
      <x:c r="Q401" s="15"/>
      <x:c r="R401" s="6"/>
      <x:c r="S401" s="16"/>
      <x:c r="T401" s="15"/>
      <x:c r="U401" s="6"/>
      <x:c r="V401" s="6"/>
      <x:c r="W401" s="6" t="str">
        <x:v>Existing search_building. Improve disambiguation and complete result pagination.</x:v>
      </x:c>
      <x:c r="X401" s="6" t="str">
        <x:v>data/train/swiss-2314/questions_basic.jsonl</x:v>
      </x:c>
      <x:c r="Y401" s="14" t="n">
        <x:v>1</x:v>
      </x:c>
      <x:c r="Z401" s="6" t="str">
        <x:v>https://github.com/hagenhaeussler/Industrial-Agents-Hackathon-2026/blob/f41616590b69f3ea0c1cbfb41d6c35edd9ce53df/data/train/swiss-2314/questions_basic.jsonl#L1</x:v>
      </x:c>
      <x:c r="AA401" s="6" t="str">
        <x:v>swiss_dwellings</x:v>
      </x:c>
      <x:c r="AB401" s="6" t="str">
        <x:v>CC-BY-4.0</x:v>
      </x:c>
    </x:row>
    <x:row r="402" ht="72" customHeight="1">
      <x:c r="A402" s="14" t="n">
        <x:v>397</x:v>
      </x:c>
      <x:c r="B402" s="6" t="str">
        <x:v>locate</x:v>
      </x:c>
      <x:c r="C402" s="6" t="str">
        <x:v>Where is the washing machine?</x:v>
      </x:c>
      <x:c r="D402" s="6" t="str">
        <x:v>Bathroom 4.11 (apartment 18)
Floor level: 4
Asset ID: swiss-2390-A00489
Position (m): -0.018, 1.955</x:v>
      </x:c>
      <x:c r="E402" s="6" t="str">
        <x:v>Reference supplied</x:v>
      </x:c>
      <x:c r="F402" s="6" t="str">
        <x:v>train</x:v>
      </x:c>
      <x:c r="G402" s="6" t="str">
        <x:v>swiss-2390</x:v>
      </x:c>
      <x:c r="H402" s="6" t="str">
        <x:v>swiss-2390-Q01</x:v>
      </x:c>
      <x:c r="I402" s="6" t="str">
        <x:v>Find and count assets</x:v>
      </x:c>
      <x:c r="J402" s="6" t="str">
        <x:v>Warm-up</x:v>
      </x:c>
      <x:c r="K402" s="6" t="str">
        <x:v>Room name, floor and asset identity. Coordinates may help the UI.</x:v>
      </x:c>
      <x:c r="L402" s="6" t="str">
        <x:v>T02, T03</x:v>
      </x:c>
      <x:c r="M402" s="6" t="str">
        <x:v>Find a named item and identify its containing room and floor.</x:v>
      </x:c>
      <x:c r="N402" s="6" t="str">
        <x:v>{"asset_id":"swiss-2390-A00489","space_id":"swiss-2390-F4-S011","space_name":"Bathroom 4.11 (apartment 18)","floor_level":4,"position":[-0.018,1.955]}</x:v>
      </x:c>
      <x:c r="O402" s="6"/>
      <x:c r="P402" s="6" t="str">
        <x:v>Resolve the intended asset and its containing room/floor.</x:v>
      </x:c>
      <x:c r="Q402" s="15"/>
      <x:c r="R402" s="6"/>
      <x:c r="S402" s="16"/>
      <x:c r="T402" s="15"/>
      <x:c r="U402" s="6"/>
      <x:c r="V402" s="6"/>
      <x:c r="W402" s="6" t="str">
        <x:v>Existing search_building. Improve disambiguation and complete result pagination.</x:v>
      </x:c>
      <x:c r="X402" s="6" t="str">
        <x:v>data/train/swiss-2390/questions_basic.jsonl</x:v>
      </x:c>
      <x:c r="Y402" s="14" t="n">
        <x:v>1</x:v>
      </x:c>
      <x:c r="Z402" s="6" t="str">
        <x:v>https://github.com/hagenhaeussler/Industrial-Agents-Hackathon-2026/blob/f41616590b69f3ea0c1cbfb41d6c35edd9ce53df/data/train/swiss-2390/questions_basic.jsonl#L1</x:v>
      </x:c>
      <x:c r="AA402" s="6" t="str">
        <x:v>swiss_dwellings</x:v>
      </x:c>
      <x:c r="AB402" s="6" t="str">
        <x:v>CC-BY-4.0</x:v>
      </x:c>
    </x:row>
    <x:row r="403" ht="72" customHeight="1">
      <x:c r="A403" s="14" t="n">
        <x:v>398</x:v>
      </x:c>
      <x:c r="B403" s="6" t="str">
        <x:v>locate</x:v>
      </x:c>
      <x:c r="C403" s="6" t="str">
        <x:v>Where is the armchair?</x:v>
      </x:c>
      <x:c r="D403" s="6" t="str">
        <x:v>Living room 2.06 (apartment 7)
Floor level: 2
Asset ID: swiss-2476-A00158
Position (m): -8.895, -1.673</x:v>
      </x:c>
      <x:c r="E403" s="6" t="str">
        <x:v>Reference supplied</x:v>
      </x:c>
      <x:c r="F403" s="6" t="str">
        <x:v>train</x:v>
      </x:c>
      <x:c r="G403" s="6" t="str">
        <x:v>swiss-2476</x:v>
      </x:c>
      <x:c r="H403" s="6" t="str">
        <x:v>swiss-2476-Q01</x:v>
      </x:c>
      <x:c r="I403" s="6" t="str">
        <x:v>Find and count assets</x:v>
      </x:c>
      <x:c r="J403" s="6" t="str">
        <x:v>Warm-up</x:v>
      </x:c>
      <x:c r="K403" s="6" t="str">
        <x:v>Room name, floor and asset identity. Coordinates may help the UI.</x:v>
      </x:c>
      <x:c r="L403" s="6" t="str">
        <x:v>T02, T03</x:v>
      </x:c>
      <x:c r="M403" s="6" t="str">
        <x:v>Find a named item and identify its containing room and floor.</x:v>
      </x:c>
      <x:c r="N403" s="6" t="str">
        <x:v>{"asset_id":"swiss-2476-A00158","space_id":"swiss-2476-F2-S006","space_name":"Living room 2.06 (apartment 7)","floor_level":2,"position":[-8.895,-1.673]}</x:v>
      </x:c>
      <x:c r="O403" s="6"/>
      <x:c r="P403" s="6" t="str">
        <x:v>Resolve the intended asset and its containing room/floor.</x:v>
      </x:c>
      <x:c r="Q403" s="15"/>
      <x:c r="R403" s="6"/>
      <x:c r="S403" s="16"/>
      <x:c r="T403" s="15"/>
      <x:c r="U403" s="6"/>
      <x:c r="V403" s="6"/>
      <x:c r="W403" s="6" t="str">
        <x:v>Existing search_building. Improve disambiguation and complete result pagination.</x:v>
      </x:c>
      <x:c r="X403" s="6" t="str">
        <x:v>data/train/swiss-2476/questions_basic.jsonl</x:v>
      </x:c>
      <x:c r="Y403" s="14" t="n">
        <x:v>1</x:v>
      </x:c>
      <x:c r="Z403" s="6" t="str">
        <x:v>https://github.com/hagenhaeussler/Industrial-Agents-Hackathon-2026/blob/f41616590b69f3ea0c1cbfb41d6c35edd9ce53df/data/train/swiss-2476/questions_basic.jsonl#L1</x:v>
      </x:c>
      <x:c r="AA403" s="6" t="str">
        <x:v>swiss_dwellings</x:v>
      </x:c>
      <x:c r="AB403" s="6" t="str">
        <x:v>CC-BY-4.0</x:v>
      </x:c>
    </x:row>
    <x:row r="404" ht="72" customHeight="1">
      <x:c r="A404" s="14" t="n">
        <x:v>399</x:v>
      </x:c>
      <x:c r="B404" s="6" t="str">
        <x:v>locate</x:v>
      </x:c>
      <x:c r="C404" s="6" t="str">
        <x:v>Where is the stove?</x:v>
      </x:c>
      <x:c r="D404" s="6" t="str">
        <x:v>Kitchen 1.02 (apartment 4)
Floor level: 1
Asset ID: swiss-2482-A00105
Position (m): 8.079, -2.729</x:v>
      </x:c>
      <x:c r="E404" s="6" t="str">
        <x:v>Reference supplied</x:v>
      </x:c>
      <x:c r="F404" s="6" t="str">
        <x:v>train</x:v>
      </x:c>
      <x:c r="G404" s="6" t="str">
        <x:v>swiss-2482</x:v>
      </x:c>
      <x:c r="H404" s="6" t="str">
        <x:v>swiss-2482-Q01</x:v>
      </x:c>
      <x:c r="I404" s="6" t="str">
        <x:v>Find and count assets</x:v>
      </x:c>
      <x:c r="J404" s="6" t="str">
        <x:v>Warm-up</x:v>
      </x:c>
      <x:c r="K404" s="6" t="str">
        <x:v>Room name, floor and asset identity. Coordinates may help the UI.</x:v>
      </x:c>
      <x:c r="L404" s="6" t="str">
        <x:v>T02, T03</x:v>
      </x:c>
      <x:c r="M404" s="6" t="str">
        <x:v>Find a named item and identify its containing room and floor.</x:v>
      </x:c>
      <x:c r="N404" s="6" t="str">
        <x:v>{"asset_id":"swiss-2482-A00105","space_id":"swiss-2482-F1-S002","space_name":"Kitchen 1.02 (apartment 4)","floor_level":1,"position":[8.079,-2.729]}</x:v>
      </x:c>
      <x:c r="O404" s="6"/>
      <x:c r="P404" s="6" t="str">
        <x:v>Resolve the intended asset and its containing room/floor.</x:v>
      </x:c>
      <x:c r="Q404" s="15"/>
      <x:c r="R404" s="6"/>
      <x:c r="S404" s="16"/>
      <x:c r="T404" s="15"/>
      <x:c r="U404" s="6"/>
      <x:c r="V404" s="6"/>
      <x:c r="W404" s="6" t="str">
        <x:v>Existing search_building. Improve disambiguation and complete result pagination.</x:v>
      </x:c>
      <x:c r="X404" s="6" t="str">
        <x:v>data/train/swiss-2482/questions_basic.jsonl</x:v>
      </x:c>
      <x:c r="Y404" s="14" t="n">
        <x:v>1</x:v>
      </x:c>
      <x:c r="Z404" s="6" t="str">
        <x:v>https://github.com/hagenhaeussler/Industrial-Agents-Hackathon-2026/blob/f41616590b69f3ea0c1cbfb41d6c35edd9ce53df/data/train/swiss-2482/questions_basic.jsonl#L1</x:v>
      </x:c>
      <x:c r="AA404" s="6" t="str">
        <x:v>swiss_dwellings</x:v>
      </x:c>
      <x:c r="AB404" s="6" t="str">
        <x:v>CC-BY-4.0</x:v>
      </x:c>
    </x:row>
    <x:row r="405" ht="72" customHeight="1">
      <x:c r="A405" s="14" t="n">
        <x:v>400</x:v>
      </x:c>
      <x:c r="B405" s="6" t="str">
        <x:v>locate</x:v>
      </x:c>
      <x:c r="C405" s="6" t="str">
        <x:v>Where is the coffee machine?</x:v>
      </x:c>
      <x:c r="D405" s="6" t="str">
        <x:v>Kitchen 1.09 (apartment 5)
Floor level: 1
Asset ID: swiss-2482-A00126
Position (m): 1.703, 8.385</x:v>
      </x:c>
      <x:c r="E405" s="6" t="str">
        <x:v>Reference supplied</x:v>
      </x:c>
      <x:c r="F405" s="6" t="str">
        <x:v>train</x:v>
      </x:c>
      <x:c r="G405" s="6" t="str">
        <x:v>swiss-2482</x:v>
      </x:c>
      <x:c r="H405" s="6" t="str">
        <x:v>swiss-2482-Q02</x:v>
      </x:c>
      <x:c r="I405" s="6" t="str">
        <x:v>Find and count assets</x:v>
      </x:c>
      <x:c r="J405" s="6" t="str">
        <x:v>Warm-up</x:v>
      </x:c>
      <x:c r="K405" s="6" t="str">
        <x:v>Room name, floor and asset identity. Coordinates may help the UI.</x:v>
      </x:c>
      <x:c r="L405" s="6" t="str">
        <x:v>T02, T03</x:v>
      </x:c>
      <x:c r="M405" s="6" t="str">
        <x:v>Find a named item and identify its containing room and floor.</x:v>
      </x:c>
      <x:c r="N405" s="6" t="str">
        <x:v>{"asset_id":"swiss-2482-A00126","space_id":"swiss-2482-F1-S009","space_name":"Kitchen 1.09 (apartment 5)","floor_level":1,"position":[1.703,8.385]}</x:v>
      </x:c>
      <x:c r="O405" s="6"/>
      <x:c r="P405" s="6" t="str">
        <x:v>Resolve the intended asset and its containing room/floor.</x:v>
      </x:c>
      <x:c r="Q405" s="15"/>
      <x:c r="R405" s="6"/>
      <x:c r="S405" s="16"/>
      <x:c r="T405" s="15"/>
      <x:c r="U405" s="6"/>
      <x:c r="V405" s="6"/>
      <x:c r="W405" s="6" t="str">
        <x:v>Existing search_building. Improve disambiguation and complete result pagination.</x:v>
      </x:c>
      <x:c r="X405" s="6" t="str">
        <x:v>data/train/swiss-2482/questions_basic.jsonl</x:v>
      </x:c>
      <x:c r="Y405" s="14" t="n">
        <x:v>2</x:v>
      </x:c>
      <x:c r="Z405" s="6" t="str">
        <x:v>https://github.com/hagenhaeussler/Industrial-Agents-Hackathon-2026/blob/f41616590b69f3ea0c1cbfb41d6c35edd9ce53df/data/train/swiss-2482/questions_basic.jsonl#L2</x:v>
      </x:c>
      <x:c r="AA405" s="6" t="str">
        <x:v>swiss_dwellings</x:v>
      </x:c>
      <x:c r="AB405" s="6" t="str">
        <x:v>CC-BY-4.0</x:v>
      </x:c>
    </x:row>
    <x:row r="406" ht="72" customHeight="1">
      <x:c r="A406" s="14" t="n">
        <x:v>401</x:v>
      </x:c>
      <x:c r="B406" s="6" t="str">
        <x:v>locate</x:v>
      </x:c>
      <x:c r="C406" s="6" t="str">
        <x:v>Where is the microwave?</x:v>
      </x:c>
      <x:c r="D406" s="6" t="str">
        <x:v>Kitchen -1.06 (apartment 2)
Floor level: -1
Asset ID: swiss-2798-A00220
Position (m): 4.635, 9.795</x:v>
      </x:c>
      <x:c r="E406" s="6" t="str">
        <x:v>Reference supplied</x:v>
      </x:c>
      <x:c r="F406" s="6" t="str">
        <x:v>train</x:v>
      </x:c>
      <x:c r="G406" s="6" t="str">
        <x:v>swiss-2798</x:v>
      </x:c>
      <x:c r="H406" s="6" t="str">
        <x:v>swiss-2798-Q01</x:v>
      </x:c>
      <x:c r="I406" s="6" t="str">
        <x:v>Find and count assets</x:v>
      </x:c>
      <x:c r="J406" s="6" t="str">
        <x:v>Warm-up</x:v>
      </x:c>
      <x:c r="K406" s="6" t="str">
        <x:v>Room name, floor and asset identity. Coordinates may help the UI.</x:v>
      </x:c>
      <x:c r="L406" s="6" t="str">
        <x:v>T02, T03</x:v>
      </x:c>
      <x:c r="M406" s="6" t="str">
        <x:v>Find a named item and identify its containing room and floor.</x:v>
      </x:c>
      <x:c r="N406" s="6" t="str">
        <x:v>{"asset_id":"swiss-2798-A00220","space_id":"swiss-2798-F-1-S006","space_name":"Kitchen -1.06 (apartment 2)","floor_level":-1,"position":[4.635,9.795]}</x:v>
      </x:c>
      <x:c r="O406" s="6"/>
      <x:c r="P406" s="6" t="str">
        <x:v>Resolve the intended asset and its containing room/floor.</x:v>
      </x:c>
      <x:c r="Q406" s="15"/>
      <x:c r="R406" s="6"/>
      <x:c r="S406" s="16"/>
      <x:c r="T406" s="15"/>
      <x:c r="U406" s="6"/>
      <x:c r="V406" s="6"/>
      <x:c r="W406" s="6" t="str">
        <x:v>Existing search_building. Improve disambiguation and complete result pagination.</x:v>
      </x:c>
      <x:c r="X406" s="6" t="str">
        <x:v>data/train/swiss-2798/questions_basic.jsonl</x:v>
      </x:c>
      <x:c r="Y406" s="14" t="n">
        <x:v>1</x:v>
      </x:c>
      <x:c r="Z406" s="6" t="str">
        <x:v>https://github.com/hagenhaeussler/Industrial-Agents-Hackathon-2026/blob/f41616590b69f3ea0c1cbfb41d6c35edd9ce53df/data/train/swiss-2798/questions_basic.jsonl#L1</x:v>
      </x:c>
      <x:c r="AA406" s="6" t="str">
        <x:v>swiss_dwellings</x:v>
      </x:c>
      <x:c r="AB406" s="6" t="str">
        <x:v>CC-BY-4.0</x:v>
      </x:c>
    </x:row>
    <x:row r="407" ht="72" customHeight="1">
      <x:c r="A407" s="14" t="n">
        <x:v>402</x:v>
      </x:c>
      <x:c r="B407" s="6" t="str">
        <x:v>locate</x:v>
      </x:c>
      <x:c r="C407" s="6" t="str">
        <x:v>Where is the dishwasher?</x:v>
      </x:c>
      <x:c r="D407" s="6" t="str">
        <x:v>Kitchen 0.08 (apartment 1)
Floor level: 0
Asset ID: swiss-28-A00090
Position (m): 3.098, 4.436</x:v>
      </x:c>
      <x:c r="E407" s="6" t="str">
        <x:v>Reference supplied</x:v>
      </x:c>
      <x:c r="F407" s="6" t="str">
        <x:v>train</x:v>
      </x:c>
      <x:c r="G407" s="6" t="str">
        <x:v>swiss-28</x:v>
      </x:c>
      <x:c r="H407" s="6" t="str">
        <x:v>swiss-28-Q01</x:v>
      </x:c>
      <x:c r="I407" s="6" t="str">
        <x:v>Find and count assets</x:v>
      </x:c>
      <x:c r="J407" s="6" t="str">
        <x:v>Warm-up</x:v>
      </x:c>
      <x:c r="K407" s="6" t="str">
        <x:v>Room name, floor and asset identity. Coordinates may help the UI.</x:v>
      </x:c>
      <x:c r="L407" s="6" t="str">
        <x:v>T02, T03</x:v>
      </x:c>
      <x:c r="M407" s="6" t="str">
        <x:v>Find a named item and identify its containing room and floor.</x:v>
      </x:c>
      <x:c r="N407" s="6" t="str">
        <x:v>{"asset_id":"swiss-28-A00090","space_id":"swiss-28-F0-S008","space_name":"Kitchen 0.08 (apartment 1)","floor_level":0,"position":[3.098,4.436]}</x:v>
      </x:c>
      <x:c r="O407" s="6"/>
      <x:c r="P407" s="6" t="str">
        <x:v>Resolve the intended asset and its containing room/floor.</x:v>
      </x:c>
      <x:c r="Q407" s="15"/>
      <x:c r="R407" s="6"/>
      <x:c r="S407" s="16"/>
      <x:c r="T407" s="15"/>
      <x:c r="U407" s="6"/>
      <x:c r="V407" s="6"/>
      <x:c r="W407" s="6" t="str">
        <x:v>Existing search_building. Improve disambiguation and complete result pagination.</x:v>
      </x:c>
      <x:c r="X407" s="6" t="str">
        <x:v>data/train/swiss-28/questions_basic.jsonl</x:v>
      </x:c>
      <x:c r="Y407" s="14" t="n">
        <x:v>1</x:v>
      </x:c>
      <x:c r="Z407" s="6" t="str">
        <x:v>https://github.com/hagenhaeussler/Industrial-Agents-Hackathon-2026/blob/f41616590b69f3ea0c1cbfb41d6c35edd9ce53df/data/train/swiss-28/questions_basic.jsonl#L1</x:v>
      </x:c>
      <x:c r="AA407" s="6" t="str">
        <x:v>swiss_dwellings</x:v>
      </x:c>
      <x:c r="AB407" s="6" t="str">
        <x:v>CC-BY-4.0</x:v>
      </x:c>
    </x:row>
    <x:row r="408" ht="72" customHeight="1">
      <x:c r="A408" s="14" t="n">
        <x:v>403</x:v>
      </x:c>
      <x:c r="B408" s="6" t="str">
        <x:v>locate</x:v>
      </x:c>
      <x:c r="C408" s="6" t="str">
        <x:v>Where is the washing machine?</x:v>
      </x:c>
      <x:c r="D408" s="6" t="str">
        <x:v>Bathroom 2.08 (apartment 5)
Floor level: 2
Asset ID: swiss-28-A00174
Position (m): 5.657, 4.349</x:v>
      </x:c>
      <x:c r="E408" s="6" t="str">
        <x:v>Reference supplied</x:v>
      </x:c>
      <x:c r="F408" s="6" t="str">
        <x:v>train</x:v>
      </x:c>
      <x:c r="G408" s="6" t="str">
        <x:v>swiss-28</x:v>
      </x:c>
      <x:c r="H408" s="6" t="str">
        <x:v>swiss-28-Q02</x:v>
      </x:c>
      <x:c r="I408" s="6" t="str">
        <x:v>Find and count assets</x:v>
      </x:c>
      <x:c r="J408" s="6" t="str">
        <x:v>Warm-up</x:v>
      </x:c>
      <x:c r="K408" s="6" t="str">
        <x:v>Room name, floor and asset identity. Coordinates may help the UI.</x:v>
      </x:c>
      <x:c r="L408" s="6" t="str">
        <x:v>T02, T03</x:v>
      </x:c>
      <x:c r="M408" s="6" t="str">
        <x:v>Find a named item and identify its containing room and floor.</x:v>
      </x:c>
      <x:c r="N408" s="6" t="str">
        <x:v>{"asset_id":"swiss-28-A00174","space_id":"swiss-28-F2-S008","space_name":"Bathroom 2.08 (apartment 5)","floor_level":2,"position":[5.657,4.349]}</x:v>
      </x:c>
      <x:c r="O408" s="6"/>
      <x:c r="P408" s="6" t="str">
        <x:v>Resolve the intended asset and its containing room/floor.</x:v>
      </x:c>
      <x:c r="Q408" s="15"/>
      <x:c r="R408" s="6"/>
      <x:c r="S408" s="16"/>
      <x:c r="T408" s="15"/>
      <x:c r="U408" s="6"/>
      <x:c r="V408" s="6"/>
      <x:c r="W408" s="6" t="str">
        <x:v>Existing search_building. Improve disambiguation and complete result pagination.</x:v>
      </x:c>
      <x:c r="X408" s="6" t="str">
        <x:v>data/train/swiss-28/questions_basic.jsonl</x:v>
      </x:c>
      <x:c r="Y408" s="14" t="n">
        <x:v>2</x:v>
      </x:c>
      <x:c r="Z408" s="6" t="str">
        <x:v>https://github.com/hagenhaeussler/Industrial-Agents-Hackathon-2026/blob/f41616590b69f3ea0c1cbfb41d6c35edd9ce53df/data/train/swiss-28/questions_basic.jsonl#L2</x:v>
      </x:c>
      <x:c r="AA408" s="6" t="str">
        <x:v>swiss_dwellings</x:v>
      </x:c>
      <x:c r="AB408" s="6" t="str">
        <x:v>CC-BY-4.0</x:v>
      </x:c>
    </x:row>
    <x:row r="409" ht="72" customHeight="1">
      <x:c r="A409" s="14" t="n">
        <x:v>404</x:v>
      </x:c>
      <x:c r="B409" s="6" t="str">
        <x:v>locate</x:v>
      </x:c>
      <x:c r="C409" s="6" t="str">
        <x:v>Where is the coat rack?</x:v>
      </x:c>
      <x:c r="D409" s="6" t="str">
        <x:v>Corridor 2.18 (apartment 6)
Floor level: 2
Asset ID: swiss-28-A00207
Position (m): -4.307, 1.446</x:v>
      </x:c>
      <x:c r="E409" s="6" t="str">
        <x:v>Reference supplied</x:v>
      </x:c>
      <x:c r="F409" s="6" t="str">
        <x:v>train</x:v>
      </x:c>
      <x:c r="G409" s="6" t="str">
        <x:v>swiss-28</x:v>
      </x:c>
      <x:c r="H409" s="6" t="str">
        <x:v>swiss-28-Q03</x:v>
      </x:c>
      <x:c r="I409" s="6" t="str">
        <x:v>Find and count assets</x:v>
      </x:c>
      <x:c r="J409" s="6" t="str">
        <x:v>Warm-up</x:v>
      </x:c>
      <x:c r="K409" s="6" t="str">
        <x:v>Room name, floor and asset identity. Coordinates may help the UI.</x:v>
      </x:c>
      <x:c r="L409" s="6" t="str">
        <x:v>T02, T03</x:v>
      </x:c>
      <x:c r="M409" s="6" t="str">
        <x:v>Find a named item and identify its containing room and floor.</x:v>
      </x:c>
      <x:c r="N409" s="6" t="str">
        <x:v>{"asset_id":"swiss-28-A00207","space_id":"swiss-28-F2-S018","space_name":"Corridor 2.18 (apartment 6)","floor_level":2,"position":[-4.307,1.446]}</x:v>
      </x:c>
      <x:c r="O409" s="6"/>
      <x:c r="P409" s="6" t="str">
        <x:v>Resolve the intended asset and its containing room/floor.</x:v>
      </x:c>
      <x:c r="Q409" s="15"/>
      <x:c r="R409" s="6"/>
      <x:c r="S409" s="16"/>
      <x:c r="T409" s="15"/>
      <x:c r="U409" s="6"/>
      <x:c r="V409" s="6"/>
      <x:c r="W409" s="6" t="str">
        <x:v>Existing search_building. Improve disambiguation and complete result pagination.</x:v>
      </x:c>
      <x:c r="X409" s="6" t="str">
        <x:v>data/train/swiss-28/questions_basic.jsonl</x:v>
      </x:c>
      <x:c r="Y409" s="14" t="n">
        <x:v>3</x:v>
      </x:c>
      <x:c r="Z409" s="6" t="str">
        <x:v>https://github.com/hagenhaeussler/Industrial-Agents-Hackathon-2026/blob/f41616590b69f3ea0c1cbfb41d6c35edd9ce53df/data/train/swiss-28/questions_basic.jsonl#L3</x:v>
      </x:c>
      <x:c r="AA409" s="6" t="str">
        <x:v>swiss_dwellings</x:v>
      </x:c>
      <x:c r="AB409" s="6" t="str">
        <x:v>CC-BY-4.0</x:v>
      </x:c>
    </x:row>
    <x:row r="410" ht="72" customHeight="1">
      <x:c r="A410" s="14" t="n">
        <x:v>405</x:v>
      </x:c>
      <x:c r="B410" s="6" t="str">
        <x:v>locate</x:v>
      </x:c>
      <x:c r="C410" s="6" t="str">
        <x:v>Where is the shower?</x:v>
      </x:c>
      <x:c r="D410" s="6" t="str">
        <x:v>Bathroom 0.03 (apartment 1)
Floor level: 0
Asset ID: swiss-2974-A00003
Position (m): -1.673, -6.701</x:v>
      </x:c>
      <x:c r="E410" s="6" t="str">
        <x:v>Reference supplied</x:v>
      </x:c>
      <x:c r="F410" s="6" t="str">
        <x:v>train</x:v>
      </x:c>
      <x:c r="G410" s="6" t="str">
        <x:v>swiss-2974</x:v>
      </x:c>
      <x:c r="H410" s="6" t="str">
        <x:v>swiss-2974-Q01</x:v>
      </x:c>
      <x:c r="I410" s="6" t="str">
        <x:v>Find and count assets</x:v>
      </x:c>
      <x:c r="J410" s="6" t="str">
        <x:v>Warm-up</x:v>
      </x:c>
      <x:c r="K410" s="6" t="str">
        <x:v>Room name, floor and asset identity. Coordinates may help the UI.</x:v>
      </x:c>
      <x:c r="L410" s="6" t="str">
        <x:v>T02, T03</x:v>
      </x:c>
      <x:c r="M410" s="6" t="str">
        <x:v>Find a named item and identify its containing room and floor.</x:v>
      </x:c>
      <x:c r="N410" s="6" t="str">
        <x:v>{"asset_id":"swiss-2974-A00003","space_id":"swiss-2974-F0-S003","space_name":"Bathroom 0.03 (apartment 1)","floor_level":0,"position":[-1.673,-6.701]}</x:v>
      </x:c>
      <x:c r="O410" s="6"/>
      <x:c r="P410" s="6" t="str">
        <x:v>Resolve the intended asset and its containing room/floor.</x:v>
      </x:c>
      <x:c r="Q410" s="15"/>
      <x:c r="R410" s="6"/>
      <x:c r="S410" s="16"/>
      <x:c r="T410" s="15"/>
      <x:c r="U410" s="6"/>
      <x:c r="V410" s="6"/>
      <x:c r="W410" s="6" t="str">
        <x:v>Existing search_building. Improve disambiguation and complete result pagination.</x:v>
      </x:c>
      <x:c r="X410" s="6" t="str">
        <x:v>data/train/swiss-2974/questions_basic.jsonl</x:v>
      </x:c>
      <x:c r="Y410" s="14" t="n">
        <x:v>1</x:v>
      </x:c>
      <x:c r="Z410" s="6" t="str">
        <x:v>https://github.com/hagenhaeussler/Industrial-Agents-Hackathon-2026/blob/f41616590b69f3ea0c1cbfb41d6c35edd9ce53df/data/train/swiss-2974/questions_basic.jsonl#L1</x:v>
      </x:c>
      <x:c r="AA410" s="6" t="str">
        <x:v>swiss_dwellings</x:v>
      </x:c>
      <x:c r="AB410" s="6" t="str">
        <x:v>CC-BY-4.0</x:v>
      </x:c>
    </x:row>
    <x:row r="411" ht="72" customHeight="1">
      <x:c r="A411" s="14" t="n">
        <x:v>406</x:v>
      </x:c>
      <x:c r="B411" s="6" t="str">
        <x:v>locate</x:v>
      </x:c>
      <x:c r="C411" s="6" t="str">
        <x:v>Where is the dishwasher?</x:v>
      </x:c>
      <x:c r="D411" s="6" t="str">
        <x:v>Kitchen 4.13 (apartment 26)
Floor level: 4
Asset ID: swiss-2975-A00562
Position (m): 3.768, 9.037</x:v>
      </x:c>
      <x:c r="E411" s="6" t="str">
        <x:v>Reference supplied</x:v>
      </x:c>
      <x:c r="F411" s="6" t="str">
        <x:v>train</x:v>
      </x:c>
      <x:c r="G411" s="6" t="str">
        <x:v>swiss-2975</x:v>
      </x:c>
      <x:c r="H411" s="6" t="str">
        <x:v>swiss-2975-Q01</x:v>
      </x:c>
      <x:c r="I411" s="6" t="str">
        <x:v>Find and count assets</x:v>
      </x:c>
      <x:c r="J411" s="6" t="str">
        <x:v>Warm-up</x:v>
      </x:c>
      <x:c r="K411" s="6" t="str">
        <x:v>Room name, floor and asset identity. Coordinates may help the UI.</x:v>
      </x:c>
      <x:c r="L411" s="6" t="str">
        <x:v>T02, T03</x:v>
      </x:c>
      <x:c r="M411" s="6" t="str">
        <x:v>Find a named item and identify its containing room and floor.</x:v>
      </x:c>
      <x:c r="N411" s="6" t="str">
        <x:v>{"asset_id":"swiss-2975-A00562","space_id":"swiss-2975-F4-S013","space_name":"Kitchen 4.13 (apartment 26)","floor_level":4,"position":[3.768,9.037]}</x:v>
      </x:c>
      <x:c r="O411" s="6"/>
      <x:c r="P411" s="6" t="str">
        <x:v>Resolve the intended asset and its containing room/floor.</x:v>
      </x:c>
      <x:c r="Q411" s="15"/>
      <x:c r="R411" s="6"/>
      <x:c r="S411" s="16"/>
      <x:c r="T411" s="15"/>
      <x:c r="U411" s="6"/>
      <x:c r="V411" s="6"/>
      <x:c r="W411" s="6" t="str">
        <x:v>Existing search_building. Improve disambiguation and complete result pagination.</x:v>
      </x:c>
      <x:c r="X411" s="6" t="str">
        <x:v>data/train/swiss-2975/questions_basic.jsonl</x:v>
      </x:c>
      <x:c r="Y411" s="14" t="n">
        <x:v>1</x:v>
      </x:c>
      <x:c r="Z411" s="6" t="str">
        <x:v>https://github.com/hagenhaeussler/Industrial-Agents-Hackathon-2026/blob/f41616590b69f3ea0c1cbfb41d6c35edd9ce53df/data/train/swiss-2975/questions_basic.jsonl#L1</x:v>
      </x:c>
      <x:c r="AA411" s="6" t="str">
        <x:v>swiss_dwellings</x:v>
      </x:c>
      <x:c r="AB411" s="6" t="str">
        <x:v>CC-BY-4.0</x:v>
      </x:c>
    </x:row>
    <x:row r="412" ht="72" customHeight="1">
      <x:c r="A412" s="14" t="n">
        <x:v>407</x:v>
      </x:c>
      <x:c r="B412" s="6" t="str">
        <x:v>locate</x:v>
      </x:c>
      <x:c r="C412" s="6" t="str">
        <x:v>Where is the microwave?</x:v>
      </x:c>
      <x:c r="D412" s="6" t="str">
        <x:v>Kitchen 1.11 (apartment 8)
Floor level: 1
Asset ID: swiss-2975-A00189
Position (m): 4.533, -5.169</x:v>
      </x:c>
      <x:c r="E412" s="6" t="str">
        <x:v>Reference supplied</x:v>
      </x:c>
      <x:c r="F412" s="6" t="str">
        <x:v>train</x:v>
      </x:c>
      <x:c r="G412" s="6" t="str">
        <x:v>swiss-2975</x:v>
      </x:c>
      <x:c r="H412" s="6" t="str">
        <x:v>swiss-2975-Q02</x:v>
      </x:c>
      <x:c r="I412" s="6" t="str">
        <x:v>Find and count assets</x:v>
      </x:c>
      <x:c r="J412" s="6" t="str">
        <x:v>Warm-up</x:v>
      </x:c>
      <x:c r="K412" s="6" t="str">
        <x:v>Room name, floor and asset identity. Coordinates may help the UI.</x:v>
      </x:c>
      <x:c r="L412" s="6" t="str">
        <x:v>T02, T03</x:v>
      </x:c>
      <x:c r="M412" s="6" t="str">
        <x:v>Find a named item and identify its containing room and floor.</x:v>
      </x:c>
      <x:c r="N412" s="6" t="str">
        <x:v>{"asset_id":"swiss-2975-A00189","space_id":"swiss-2975-F1-S011","space_name":"Kitchen 1.11 (apartment 8)","floor_level":1,"position":[4.533,-5.169]}</x:v>
      </x:c>
      <x:c r="O412" s="6"/>
      <x:c r="P412" s="6" t="str">
        <x:v>Resolve the intended asset and its containing room/floor.</x:v>
      </x:c>
      <x:c r="Q412" s="15"/>
      <x:c r="R412" s="6"/>
      <x:c r="S412" s="16"/>
      <x:c r="T412" s="15"/>
      <x:c r="U412" s="6"/>
      <x:c r="V412" s="6"/>
      <x:c r="W412" s="6" t="str">
        <x:v>Existing search_building. Improve disambiguation and complete result pagination.</x:v>
      </x:c>
      <x:c r="X412" s="6" t="str">
        <x:v>data/train/swiss-2975/questions_basic.jsonl</x:v>
      </x:c>
      <x:c r="Y412" s="14" t="n">
        <x:v>2</x:v>
      </x:c>
      <x:c r="Z412" s="6" t="str">
        <x:v>https://github.com/hagenhaeussler/Industrial-Agents-Hackathon-2026/blob/f41616590b69f3ea0c1cbfb41d6c35edd9ce53df/data/train/swiss-2975/questions_basic.jsonl#L2</x:v>
      </x:c>
      <x:c r="AA412" s="6" t="str">
        <x:v>swiss_dwellings</x:v>
      </x:c>
      <x:c r="AB412" s="6" t="str">
        <x:v>CC-BY-4.0</x:v>
      </x:c>
    </x:row>
    <x:row r="413" ht="72" customHeight="1">
      <x:c r="A413" s="14" t="n">
        <x:v>408</x:v>
      </x:c>
      <x:c r="B413" s="6" t="str">
        <x:v>locate</x:v>
      </x:c>
      <x:c r="C413" s="6" t="str">
        <x:v>Where is the microwave?</x:v>
      </x:c>
      <x:c r="D413" s="6" t="str">
        <x:v>Kitchen 0.28 (apartment 3)
Floor level: 0
Asset ID: swiss-3066-A00117
Position (m): -5.343, 11.06</x:v>
      </x:c>
      <x:c r="E413" s="6" t="str">
        <x:v>Reference supplied</x:v>
      </x:c>
      <x:c r="F413" s="6" t="str">
        <x:v>train</x:v>
      </x:c>
      <x:c r="G413" s="6" t="str">
        <x:v>swiss-3066</x:v>
      </x:c>
      <x:c r="H413" s="6" t="str">
        <x:v>swiss-3066-Q01</x:v>
      </x:c>
      <x:c r="I413" s="6" t="str">
        <x:v>Find and count assets</x:v>
      </x:c>
      <x:c r="J413" s="6" t="str">
        <x:v>Warm-up</x:v>
      </x:c>
      <x:c r="K413" s="6" t="str">
        <x:v>Room name, floor and asset identity. Coordinates may help the UI.</x:v>
      </x:c>
      <x:c r="L413" s="6" t="str">
        <x:v>T02, T03</x:v>
      </x:c>
      <x:c r="M413" s="6" t="str">
        <x:v>Find a named item and identify its containing room and floor.</x:v>
      </x:c>
      <x:c r="N413" s="6" t="str">
        <x:v>{"asset_id":"swiss-3066-A00117","space_id":"swiss-3066-F0-S028","space_name":"Kitchen 0.28 (apartment 3)","floor_level":0,"position":[-5.343,11.06]}</x:v>
      </x:c>
      <x:c r="O413" s="6"/>
      <x:c r="P413" s="6" t="str">
        <x:v>Resolve the intended asset and its containing room/floor.</x:v>
      </x:c>
      <x:c r="Q413" s="15"/>
      <x:c r="R413" s="6"/>
      <x:c r="S413" s="16"/>
      <x:c r="T413" s="15"/>
      <x:c r="U413" s="6"/>
      <x:c r="V413" s="6"/>
      <x:c r="W413" s="6" t="str">
        <x:v>Existing search_building. Improve disambiguation and complete result pagination.</x:v>
      </x:c>
      <x:c r="X413" s="6" t="str">
        <x:v>data/train/swiss-3066/questions_basic.jsonl</x:v>
      </x:c>
      <x:c r="Y413" s="14" t="n">
        <x:v>1</x:v>
      </x:c>
      <x:c r="Z413" s="6" t="str">
        <x:v>https://github.com/hagenhaeussler/Industrial-Agents-Hackathon-2026/blob/f41616590b69f3ea0c1cbfb41d6c35edd9ce53df/data/train/swiss-3066/questions_basic.jsonl#L1</x:v>
      </x:c>
      <x:c r="AA413" s="6" t="str">
        <x:v>swiss_dwellings</x:v>
      </x:c>
      <x:c r="AB413" s="6" t="str">
        <x:v>CC-BY-4.0</x:v>
      </x:c>
    </x:row>
    <x:row r="414" ht="72" customHeight="1">
      <x:c r="A414" s="14" t="n">
        <x:v>409</x:v>
      </x:c>
      <x:c r="B414" s="6" t="str">
        <x:v>locate</x:v>
      </x:c>
      <x:c r="C414" s="6" t="str">
        <x:v>Where is the washing machine?</x:v>
      </x:c>
      <x:c r="D414" s="6" t="str">
        <x:v>Bathroom 0.23 (apartment 3)
Floor level: 0
Asset ID: swiss-3066-A00104
Position (m): -0.993, 17.732</x:v>
      </x:c>
      <x:c r="E414" s="6" t="str">
        <x:v>Reference supplied</x:v>
      </x:c>
      <x:c r="F414" s="6" t="str">
        <x:v>train</x:v>
      </x:c>
      <x:c r="G414" s="6" t="str">
        <x:v>swiss-3066</x:v>
      </x:c>
      <x:c r="H414" s="6" t="str">
        <x:v>swiss-3066-Q02</x:v>
      </x:c>
      <x:c r="I414" s="6" t="str">
        <x:v>Find and count assets</x:v>
      </x:c>
      <x:c r="J414" s="6" t="str">
        <x:v>Warm-up</x:v>
      </x:c>
      <x:c r="K414" s="6" t="str">
        <x:v>Room name, floor and asset identity. Coordinates may help the UI.</x:v>
      </x:c>
      <x:c r="L414" s="6" t="str">
        <x:v>T02, T03</x:v>
      </x:c>
      <x:c r="M414" s="6" t="str">
        <x:v>Find a named item and identify its containing room and floor.</x:v>
      </x:c>
      <x:c r="N414" s="6" t="str">
        <x:v>{"asset_id":"swiss-3066-A00104","space_id":"swiss-3066-F0-S023","space_name":"Bathroom 0.23 (apartment 3)","floor_level":0,"position":[-0.993,17.732]}</x:v>
      </x:c>
      <x:c r="O414" s="6"/>
      <x:c r="P414" s="6" t="str">
        <x:v>Resolve the intended asset and its containing room/floor.</x:v>
      </x:c>
      <x:c r="Q414" s="15"/>
      <x:c r="R414" s="6"/>
      <x:c r="S414" s="16"/>
      <x:c r="T414" s="15"/>
      <x:c r="U414" s="6"/>
      <x:c r="V414" s="6"/>
      <x:c r="W414" s="6" t="str">
        <x:v>Existing search_building. Improve disambiguation and complete result pagination.</x:v>
      </x:c>
      <x:c r="X414" s="6" t="str">
        <x:v>data/train/swiss-3066/questions_basic.jsonl</x:v>
      </x:c>
      <x:c r="Y414" s="14" t="n">
        <x:v>2</x:v>
      </x:c>
      <x:c r="Z414" s="6" t="str">
        <x:v>https://github.com/hagenhaeussler/Industrial-Agents-Hackathon-2026/blob/f41616590b69f3ea0c1cbfb41d6c35edd9ce53df/data/train/swiss-3066/questions_basic.jsonl#L2</x:v>
      </x:c>
      <x:c r="AA414" s="6" t="str">
        <x:v>swiss_dwellings</x:v>
      </x:c>
      <x:c r="AB414" s="6" t="str">
        <x:v>CC-BY-4.0</x:v>
      </x:c>
    </x:row>
    <x:row r="415" ht="72" customHeight="1">
      <x:c r="A415" s="14" t="n">
        <x:v>410</x:v>
      </x:c>
      <x:c r="B415" s="6" t="str">
        <x:v>locate</x:v>
      </x:c>
      <x:c r="C415" s="6" t="str">
        <x:v>Where is the shoe cabinet?</x:v>
      </x:c>
      <x:c r="D415" s="6" t="str">
        <x:v>Corridor 0.20 (apartment 2)
Floor level: 0
Asset ID: swiss-3096-A00116
Position (m): 1.393, 1.495</x:v>
      </x:c>
      <x:c r="E415" s="6" t="str">
        <x:v>Reference supplied</x:v>
      </x:c>
      <x:c r="F415" s="6" t="str">
        <x:v>train</x:v>
      </x:c>
      <x:c r="G415" s="6" t="str">
        <x:v>swiss-3096</x:v>
      </x:c>
      <x:c r="H415" s="6" t="str">
        <x:v>swiss-3096-Q01</x:v>
      </x:c>
      <x:c r="I415" s="6" t="str">
        <x:v>Find and count assets</x:v>
      </x:c>
      <x:c r="J415" s="6" t="str">
        <x:v>Warm-up</x:v>
      </x:c>
      <x:c r="K415" s="6" t="str">
        <x:v>Room name, floor and asset identity. Coordinates may help the UI.</x:v>
      </x:c>
      <x:c r="L415" s="6" t="str">
        <x:v>T02, T03</x:v>
      </x:c>
      <x:c r="M415" s="6" t="str">
        <x:v>Find a named item and identify its containing room and floor.</x:v>
      </x:c>
      <x:c r="N415" s="6" t="str">
        <x:v>{"asset_id":"swiss-3096-A00116","space_id":"swiss-3096-F0-S020","space_name":"Corridor 0.20 (apartment 2)","floor_level":0,"position":[1.393,1.495]}</x:v>
      </x:c>
      <x:c r="O415" s="6"/>
      <x:c r="P415" s="6" t="str">
        <x:v>Resolve the intended asset and its containing room/floor.</x:v>
      </x:c>
      <x:c r="Q415" s="15"/>
      <x:c r="R415" s="6"/>
      <x:c r="S415" s="16"/>
      <x:c r="T415" s="15"/>
      <x:c r="U415" s="6"/>
      <x:c r="V415" s="6"/>
      <x:c r="W415" s="6" t="str">
        <x:v>Existing search_building. Improve disambiguation and complete result pagination.</x:v>
      </x:c>
      <x:c r="X415" s="6" t="str">
        <x:v>data/train/swiss-3096/questions_basic.jsonl</x:v>
      </x:c>
      <x:c r="Y415" s="14" t="n">
        <x:v>1</x:v>
      </x:c>
      <x:c r="Z415" s="6" t="str">
        <x:v>https://github.com/hagenhaeussler/Industrial-Agents-Hackathon-2026/blob/f41616590b69f3ea0c1cbfb41d6c35edd9ce53df/data/train/swiss-3096/questions_basic.jsonl#L1</x:v>
      </x:c>
      <x:c r="AA415" s="6" t="str">
        <x:v>swiss_dwellings</x:v>
      </x:c>
      <x:c r="AB415" s="6" t="str">
        <x:v>CC-BY-4.0</x:v>
      </x:c>
    </x:row>
    <x:row r="416" ht="72" customHeight="1">
      <x:c r="A416" s="14" t="n">
        <x:v>411</x:v>
      </x:c>
      <x:c r="B416" s="6" t="str">
        <x:v>locate</x:v>
      </x:c>
      <x:c r="C416" s="6" t="str">
        <x:v>Where is the microwave?</x:v>
      </x:c>
      <x:c r="D416" s="6" t="str">
        <x:v>Kitchen 1.04 (apartment 3)
Floor level: 1
Asset ID: swiss-3096-A00142
Position (m): -0.205, -5.975</x:v>
      </x:c>
      <x:c r="E416" s="6" t="str">
        <x:v>Reference supplied</x:v>
      </x:c>
      <x:c r="F416" s="6" t="str">
        <x:v>train</x:v>
      </x:c>
      <x:c r="G416" s="6" t="str">
        <x:v>swiss-3096</x:v>
      </x:c>
      <x:c r="H416" s="6" t="str">
        <x:v>swiss-3096-Q02</x:v>
      </x:c>
      <x:c r="I416" s="6" t="str">
        <x:v>Find and count assets</x:v>
      </x:c>
      <x:c r="J416" s="6" t="str">
        <x:v>Warm-up</x:v>
      </x:c>
      <x:c r="K416" s="6" t="str">
        <x:v>Room name, floor and asset identity. Coordinates may help the UI.</x:v>
      </x:c>
      <x:c r="L416" s="6" t="str">
        <x:v>T02, T03</x:v>
      </x:c>
      <x:c r="M416" s="6" t="str">
        <x:v>Find a named item and identify its containing room and floor.</x:v>
      </x:c>
      <x:c r="N416" s="6" t="str">
        <x:v>{"asset_id":"swiss-3096-A00142","space_id":"swiss-3096-F1-S004","space_name":"Kitchen 1.04 (apartment 3)","floor_level":1,"position":[-0.205,-5.975]}</x:v>
      </x:c>
      <x:c r="O416" s="6"/>
      <x:c r="P416" s="6" t="str">
        <x:v>Resolve the intended asset and its containing room/floor.</x:v>
      </x:c>
      <x:c r="Q416" s="15"/>
      <x:c r="R416" s="6"/>
      <x:c r="S416" s="16"/>
      <x:c r="T416" s="15"/>
      <x:c r="U416" s="6"/>
      <x:c r="V416" s="6"/>
      <x:c r="W416" s="6" t="str">
        <x:v>Existing search_building. Improve disambiguation and complete result pagination.</x:v>
      </x:c>
      <x:c r="X416" s="6" t="str">
        <x:v>data/train/swiss-3096/questions_basic.jsonl</x:v>
      </x:c>
      <x:c r="Y416" s="14" t="n">
        <x:v>2</x:v>
      </x:c>
      <x:c r="Z416" s="6" t="str">
        <x:v>https://github.com/hagenhaeussler/Industrial-Agents-Hackathon-2026/blob/f41616590b69f3ea0c1cbfb41d6c35edd9ce53df/data/train/swiss-3096/questions_basic.jsonl#L2</x:v>
      </x:c>
      <x:c r="AA416" s="6" t="str">
        <x:v>swiss_dwellings</x:v>
      </x:c>
      <x:c r="AB416" s="6" t="str">
        <x:v>CC-BY-4.0</x:v>
      </x:c>
    </x:row>
    <x:row r="417" ht="72" customHeight="1">
      <x:c r="A417" s="14" t="n">
        <x:v>412</x:v>
      </x:c>
      <x:c r="B417" s="6" t="str">
        <x:v>locate</x:v>
      </x:c>
      <x:c r="C417" s="6" t="str">
        <x:v>Where is the washing machine?</x:v>
      </x:c>
      <x:c r="D417" s="6" t="str">
        <x:v>Bathroom 2.22 (apartment 6)
Floor level: 2
Asset ID: swiss-3096-A00249
Position (m): 6.149, 7.884</x:v>
      </x:c>
      <x:c r="E417" s="6" t="str">
        <x:v>Reference supplied</x:v>
      </x:c>
      <x:c r="F417" s="6" t="str">
        <x:v>train</x:v>
      </x:c>
      <x:c r="G417" s="6" t="str">
        <x:v>swiss-3096</x:v>
      </x:c>
      <x:c r="H417" s="6" t="str">
        <x:v>swiss-3096-Q03</x:v>
      </x:c>
      <x:c r="I417" s="6" t="str">
        <x:v>Find and count assets</x:v>
      </x:c>
      <x:c r="J417" s="6" t="str">
        <x:v>Warm-up</x:v>
      </x:c>
      <x:c r="K417" s="6" t="str">
        <x:v>Room name, floor and asset identity. Coordinates may help the UI.</x:v>
      </x:c>
      <x:c r="L417" s="6" t="str">
        <x:v>T02, T03</x:v>
      </x:c>
      <x:c r="M417" s="6" t="str">
        <x:v>Find a named item and identify its containing room and floor.</x:v>
      </x:c>
      <x:c r="N417" s="6" t="str">
        <x:v>{"asset_id":"swiss-3096-A00249","space_id":"swiss-3096-F2-S022","space_name":"Bathroom 2.22 (apartment 6)","floor_level":2,"position":[6.149,7.884]}</x:v>
      </x:c>
      <x:c r="O417" s="6"/>
      <x:c r="P417" s="6" t="str">
        <x:v>Resolve the intended asset and its containing room/floor.</x:v>
      </x:c>
      <x:c r="Q417" s="15"/>
      <x:c r="R417" s="6"/>
      <x:c r="S417" s="16"/>
      <x:c r="T417" s="15"/>
      <x:c r="U417" s="6"/>
      <x:c r="V417" s="6"/>
      <x:c r="W417" s="6" t="str">
        <x:v>Existing search_building. Improve disambiguation and complete result pagination.</x:v>
      </x:c>
      <x:c r="X417" s="6" t="str">
        <x:v>data/train/swiss-3096/questions_basic.jsonl</x:v>
      </x:c>
      <x:c r="Y417" s="14" t="n">
        <x:v>3</x:v>
      </x:c>
      <x:c r="Z417" s="6" t="str">
        <x:v>https://github.com/hagenhaeussler/Industrial-Agents-Hackathon-2026/blob/f41616590b69f3ea0c1cbfb41d6c35edd9ce53df/data/train/swiss-3096/questions_basic.jsonl#L3</x:v>
      </x:c>
      <x:c r="AA417" s="6" t="str">
        <x:v>swiss_dwellings</x:v>
      </x:c>
      <x:c r="AB417" s="6" t="str">
        <x:v>CC-BY-4.0</x:v>
      </x:c>
    </x:row>
    <x:row r="418" ht="72" customHeight="1">
      <x:c r="A418" s="14" t="n">
        <x:v>413</x:v>
      </x:c>
      <x:c r="B418" s="6" t="str">
        <x:v>locate</x:v>
      </x:c>
      <x:c r="C418" s="6" t="str">
        <x:v>Where is the dining table?</x:v>
      </x:c>
      <x:c r="D418" s="6" t="str">
        <x:v>Living room 3.06 (apartment 9)
Floor level: 3
Asset ID: swiss-3197-A00221
Position (m): 2.846, -7.681</x:v>
      </x:c>
      <x:c r="E418" s="6" t="str">
        <x:v>Reference supplied</x:v>
      </x:c>
      <x:c r="F418" s="6" t="str">
        <x:v>train</x:v>
      </x:c>
      <x:c r="G418" s="6" t="str">
        <x:v>swiss-3197</x:v>
      </x:c>
      <x:c r="H418" s="6" t="str">
        <x:v>swiss-3197-Q01</x:v>
      </x:c>
      <x:c r="I418" s="6" t="str">
        <x:v>Find and count assets</x:v>
      </x:c>
      <x:c r="J418" s="6" t="str">
        <x:v>Warm-up</x:v>
      </x:c>
      <x:c r="K418" s="6" t="str">
        <x:v>Room name, floor and asset identity. Coordinates may help the UI.</x:v>
      </x:c>
      <x:c r="L418" s="6" t="str">
        <x:v>T02, T03</x:v>
      </x:c>
      <x:c r="M418" s="6" t="str">
        <x:v>Find a named item and identify its containing room and floor.</x:v>
      </x:c>
      <x:c r="N418" s="6" t="str">
        <x:v>{"asset_id":"swiss-3197-A00221","space_id":"swiss-3197-F3-S006","space_name":"Living room 3.06 (apartment 9)","floor_level":3,"position":[2.846,-7.681]}</x:v>
      </x:c>
      <x:c r="O418" s="6"/>
      <x:c r="P418" s="6" t="str">
        <x:v>Resolve the intended asset and its containing room/floor.</x:v>
      </x:c>
      <x:c r="Q418" s="15"/>
      <x:c r="R418" s="6"/>
      <x:c r="S418" s="16"/>
      <x:c r="T418" s="15"/>
      <x:c r="U418" s="6"/>
      <x:c r="V418" s="6"/>
      <x:c r="W418" s="6" t="str">
        <x:v>Existing search_building. Improve disambiguation and complete result pagination.</x:v>
      </x:c>
      <x:c r="X418" s="6" t="str">
        <x:v>data/train/swiss-3197/questions_basic.jsonl</x:v>
      </x:c>
      <x:c r="Y418" s="14" t="n">
        <x:v>1</x:v>
      </x:c>
      <x:c r="Z418" s="6" t="str">
        <x:v>https://github.com/hagenhaeussler/Industrial-Agents-Hackathon-2026/blob/f41616590b69f3ea0c1cbfb41d6c35edd9ce53df/data/train/swiss-3197/questions_basic.jsonl#L1</x:v>
      </x:c>
      <x:c r="AA418" s="6" t="str">
        <x:v>swiss_dwellings</x:v>
      </x:c>
      <x:c r="AB418" s="6" t="str">
        <x:v>CC-BY-4.0</x:v>
      </x:c>
    </x:row>
    <x:row r="419" ht="72" customHeight="1">
      <x:c r="A419" s="14" t="n">
        <x:v>414</x:v>
      </x:c>
      <x:c r="B419" s="6" t="str">
        <x:v>locate</x:v>
      </x:c>
      <x:c r="C419" s="6" t="str">
        <x:v>Where is the armchair?</x:v>
      </x:c>
      <x:c r="D419" s="6" t="str">
        <x:v>Living room 1.01 (apartment 4)
Floor level: 1
Asset ID: swiss-325-A00091
Position (m): -2.37, -6.986</x:v>
      </x:c>
      <x:c r="E419" s="6" t="str">
        <x:v>Reference supplied</x:v>
      </x:c>
      <x:c r="F419" s="6" t="str">
        <x:v>train</x:v>
      </x:c>
      <x:c r="G419" s="6" t="str">
        <x:v>swiss-325</x:v>
      </x:c>
      <x:c r="H419" s="6" t="str">
        <x:v>swiss-325-Q01</x:v>
      </x:c>
      <x:c r="I419" s="6" t="str">
        <x:v>Find and count assets</x:v>
      </x:c>
      <x:c r="J419" s="6" t="str">
        <x:v>Warm-up</x:v>
      </x:c>
      <x:c r="K419" s="6" t="str">
        <x:v>Room name, floor and asset identity. Coordinates may help the UI.</x:v>
      </x:c>
      <x:c r="L419" s="6" t="str">
        <x:v>T02, T03</x:v>
      </x:c>
      <x:c r="M419" s="6" t="str">
        <x:v>Find a named item and identify its containing room and floor.</x:v>
      </x:c>
      <x:c r="N419" s="6" t="str">
        <x:v>{"asset_id":"swiss-325-A00091","space_id":"swiss-325-F1-S001","space_name":"Living room 1.01 (apartment 4)","floor_level":1,"position":[-2.37,-6.986]}</x:v>
      </x:c>
      <x:c r="O419" s="6"/>
      <x:c r="P419" s="6" t="str">
        <x:v>Resolve the intended asset and its containing room/floor.</x:v>
      </x:c>
      <x:c r="Q419" s="15"/>
      <x:c r="R419" s="6"/>
      <x:c r="S419" s="16"/>
      <x:c r="T419" s="15"/>
      <x:c r="U419" s="6"/>
      <x:c r="V419" s="6"/>
      <x:c r="W419" s="6" t="str">
        <x:v>Existing search_building. Improve disambiguation and complete result pagination.</x:v>
      </x:c>
      <x:c r="X419" s="6" t="str">
        <x:v>data/train/swiss-325/questions_basic.jsonl</x:v>
      </x:c>
      <x:c r="Y419" s="14" t="n">
        <x:v>1</x:v>
      </x:c>
      <x:c r="Z419" s="6" t="str">
        <x:v>https://github.com/hagenhaeussler/Industrial-Agents-Hackathon-2026/blob/f41616590b69f3ea0c1cbfb41d6c35edd9ce53df/data/train/swiss-325/questions_basic.jsonl#L1</x:v>
      </x:c>
      <x:c r="AA419" s="6" t="str">
        <x:v>swiss_dwellings</x:v>
      </x:c>
      <x:c r="AB419" s="6" t="str">
        <x:v>CC-BY-4.0</x:v>
      </x:c>
    </x:row>
    <x:row r="420" ht="72" customHeight="1">
      <x:c r="A420" s="14" t="n">
        <x:v>415</x:v>
      </x:c>
      <x:c r="B420" s="6" t="str">
        <x:v>locate</x:v>
      </x:c>
      <x:c r="C420" s="6" t="str">
        <x:v>Where is the shower?</x:v>
      </x:c>
      <x:c r="D420" s="6" t="str">
        <x:v>Bathroom -1.02 (apartment 1)
Floor level: -1
Asset ID: swiss-325-A00001
Position (m): 0.267, 6.069</x:v>
      </x:c>
      <x:c r="E420" s="6" t="str">
        <x:v>Reference supplied</x:v>
      </x:c>
      <x:c r="F420" s="6" t="str">
        <x:v>train</x:v>
      </x:c>
      <x:c r="G420" s="6" t="str">
        <x:v>swiss-325</x:v>
      </x:c>
      <x:c r="H420" s="6" t="str">
        <x:v>swiss-325-Q02</x:v>
      </x:c>
      <x:c r="I420" s="6" t="str">
        <x:v>Find and count assets</x:v>
      </x:c>
      <x:c r="J420" s="6" t="str">
        <x:v>Warm-up</x:v>
      </x:c>
      <x:c r="K420" s="6" t="str">
        <x:v>Room name, floor and asset identity. Coordinates may help the UI.</x:v>
      </x:c>
      <x:c r="L420" s="6" t="str">
        <x:v>T02, T03</x:v>
      </x:c>
      <x:c r="M420" s="6" t="str">
        <x:v>Find a named item and identify its containing room and floor.</x:v>
      </x:c>
      <x:c r="N420" s="6" t="str">
        <x:v>{"asset_id":"swiss-325-A00001","space_id":"swiss-325-F-1-S002","space_name":"Bathroom -1.02 (apartment 1)","floor_level":-1,"position":[0.267,6.069]}</x:v>
      </x:c>
      <x:c r="O420" s="6"/>
      <x:c r="P420" s="6" t="str">
        <x:v>Resolve the intended asset and its containing room/floor.</x:v>
      </x:c>
      <x:c r="Q420" s="15"/>
      <x:c r="R420" s="6"/>
      <x:c r="S420" s="16"/>
      <x:c r="T420" s="15"/>
      <x:c r="U420" s="6"/>
      <x:c r="V420" s="6"/>
      <x:c r="W420" s="6" t="str">
        <x:v>Existing search_building. Improve disambiguation and complete result pagination.</x:v>
      </x:c>
      <x:c r="X420" s="6" t="str">
        <x:v>data/train/swiss-325/questions_basic.jsonl</x:v>
      </x:c>
      <x:c r="Y420" s="14" t="n">
        <x:v>2</x:v>
      </x:c>
      <x:c r="Z420" s="6" t="str">
        <x:v>https://github.com/hagenhaeussler/Industrial-Agents-Hackathon-2026/blob/f41616590b69f3ea0c1cbfb41d6c35edd9ce53df/data/train/swiss-325/questions_basic.jsonl#L2</x:v>
      </x:c>
      <x:c r="AA420" s="6" t="str">
        <x:v>swiss_dwellings</x:v>
      </x:c>
      <x:c r="AB420" s="6" t="str">
        <x:v>CC-BY-4.0</x:v>
      </x:c>
    </x:row>
    <x:row r="421" ht="72" customHeight="1">
      <x:c r="A421" s="14" t="n">
        <x:v>416</x:v>
      </x:c>
      <x:c r="B421" s="6" t="str">
        <x:v>locate</x:v>
      </x:c>
      <x:c r="C421" s="6" t="str">
        <x:v>Where is the shoe cabinet?</x:v>
      </x:c>
      <x:c r="D421" s="6" t="str">
        <x:v>Corridor 2.43 (apartment 12)
Floor level: 2
Asset ID: swiss-3284-A00416
Position (m): -2.427, 16.697</x:v>
      </x:c>
      <x:c r="E421" s="6" t="str">
        <x:v>Reference supplied</x:v>
      </x:c>
      <x:c r="F421" s="6" t="str">
        <x:v>train</x:v>
      </x:c>
      <x:c r="G421" s="6" t="str">
        <x:v>swiss-3284</x:v>
      </x:c>
      <x:c r="H421" s="6" t="str">
        <x:v>swiss-3284-Q01</x:v>
      </x:c>
      <x:c r="I421" s="6" t="str">
        <x:v>Find and count assets</x:v>
      </x:c>
      <x:c r="J421" s="6" t="str">
        <x:v>Warm-up</x:v>
      </x:c>
      <x:c r="K421" s="6" t="str">
        <x:v>Room name, floor and asset identity. Coordinates may help the UI.</x:v>
      </x:c>
      <x:c r="L421" s="6" t="str">
        <x:v>T02, T03</x:v>
      </x:c>
      <x:c r="M421" s="6" t="str">
        <x:v>Find a named item and identify its containing room and floor.</x:v>
      </x:c>
      <x:c r="N421" s="6" t="str">
        <x:v>{"asset_id":"swiss-3284-A00416","space_id":"swiss-3284-F2-S043","space_name":"Corridor 2.43 (apartment 12)","floor_level":2,"position":[-2.427,16.697]}</x:v>
      </x:c>
      <x:c r="O421" s="6"/>
      <x:c r="P421" s="6" t="str">
        <x:v>Resolve the intended asset and its containing room/floor.</x:v>
      </x:c>
      <x:c r="Q421" s="15"/>
      <x:c r="R421" s="6"/>
      <x:c r="S421" s="16"/>
      <x:c r="T421" s="15"/>
      <x:c r="U421" s="6"/>
      <x:c r="V421" s="6"/>
      <x:c r="W421" s="6" t="str">
        <x:v>Existing search_building. Improve disambiguation and complete result pagination.</x:v>
      </x:c>
      <x:c r="X421" s="6" t="str">
        <x:v>data/train/swiss-3284/questions_basic.jsonl</x:v>
      </x:c>
      <x:c r="Y421" s="14" t="n">
        <x:v>1</x:v>
      </x:c>
      <x:c r="Z421" s="6" t="str">
        <x:v>https://github.com/hagenhaeussler/Industrial-Agents-Hackathon-2026/blob/f41616590b69f3ea0c1cbfb41d6c35edd9ce53df/data/train/swiss-3284/questions_basic.jsonl#L1</x:v>
      </x:c>
      <x:c r="AA421" s="6" t="str">
        <x:v>swiss_dwellings</x:v>
      </x:c>
      <x:c r="AB421" s="6" t="str">
        <x:v>CC-BY-4.0</x:v>
      </x:c>
    </x:row>
    <x:row r="422" ht="72" customHeight="1">
      <x:c r="A422" s="14" t="n">
        <x:v>417</x:v>
      </x:c>
      <x:c r="B422" s="6" t="str">
        <x:v>locate</x:v>
      </x:c>
      <x:c r="C422" s="6" t="str">
        <x:v>Where is the coat rack?</x:v>
      </x:c>
      <x:c r="D422" s="6" t="str">
        <x:v>Corridor 2.10 (apartment 6)
Floor level: 2
Asset ID: swiss-333-A00128
Position (m): 5.106, -1.407</x:v>
      </x:c>
      <x:c r="E422" s="6" t="str">
        <x:v>Reference supplied</x:v>
      </x:c>
      <x:c r="F422" s="6" t="str">
        <x:v>train</x:v>
      </x:c>
      <x:c r="G422" s="6" t="str">
        <x:v>swiss-333</x:v>
      </x:c>
      <x:c r="H422" s="6" t="str">
        <x:v>swiss-333-Q01</x:v>
      </x:c>
      <x:c r="I422" s="6" t="str">
        <x:v>Find and count assets</x:v>
      </x:c>
      <x:c r="J422" s="6" t="str">
        <x:v>Warm-up</x:v>
      </x:c>
      <x:c r="K422" s="6" t="str">
        <x:v>Room name, floor and asset identity. Coordinates may help the UI.</x:v>
      </x:c>
      <x:c r="L422" s="6" t="str">
        <x:v>T02, T03</x:v>
      </x:c>
      <x:c r="M422" s="6" t="str">
        <x:v>Find a named item and identify its containing room and floor.</x:v>
      </x:c>
      <x:c r="N422" s="6" t="str">
        <x:v>{"asset_id":"swiss-333-A00128","space_id":"swiss-333-F2-S010","space_name":"Corridor 2.10 (apartment 6)","floor_level":2,"position":[5.106,-1.407]}</x:v>
      </x:c>
      <x:c r="O422" s="6"/>
      <x:c r="P422" s="6" t="str">
        <x:v>Resolve the intended asset and its containing room/floor.</x:v>
      </x:c>
      <x:c r="Q422" s="15"/>
      <x:c r="R422" s="6"/>
      <x:c r="S422" s="16"/>
      <x:c r="T422" s="15"/>
      <x:c r="U422" s="6"/>
      <x:c r="V422" s="6"/>
      <x:c r="W422" s="6" t="str">
        <x:v>Existing search_building. Improve disambiguation and complete result pagination.</x:v>
      </x:c>
      <x:c r="X422" s="6" t="str">
        <x:v>data/train/swiss-333/questions_basic.jsonl</x:v>
      </x:c>
      <x:c r="Y422" s="14" t="n">
        <x:v>1</x:v>
      </x:c>
      <x:c r="Z422" s="6" t="str">
        <x:v>https://github.com/hagenhaeussler/Industrial-Agents-Hackathon-2026/blob/f41616590b69f3ea0c1cbfb41d6c35edd9ce53df/data/train/swiss-333/questions_basic.jsonl#L1</x:v>
      </x:c>
      <x:c r="AA422" s="6" t="str">
        <x:v>swiss_dwellings</x:v>
      </x:c>
      <x:c r="AB422" s="6" t="str">
        <x:v>CC-BY-4.0</x:v>
      </x:c>
    </x:row>
    <x:row r="423" ht="72" customHeight="1">
      <x:c r="A423" s="14" t="n">
        <x:v>418</x:v>
      </x:c>
      <x:c r="B423" s="6" t="str">
        <x:v>locate</x:v>
      </x:c>
      <x:c r="C423" s="6" t="str">
        <x:v>Where is the dining table?</x:v>
      </x:c>
      <x:c r="D423" s="6" t="str">
        <x:v>Kitchen 0.09 (apartment 2)
Floor level: 0
Asset ID: swiss-333-A00056
Position (m): -2.272, 4.962</x:v>
      </x:c>
      <x:c r="E423" s="6" t="str">
        <x:v>Reference supplied</x:v>
      </x:c>
      <x:c r="F423" s="6" t="str">
        <x:v>train</x:v>
      </x:c>
      <x:c r="G423" s="6" t="str">
        <x:v>swiss-333</x:v>
      </x:c>
      <x:c r="H423" s="6" t="str">
        <x:v>swiss-333-Q02</x:v>
      </x:c>
      <x:c r="I423" s="6" t="str">
        <x:v>Find and count assets</x:v>
      </x:c>
      <x:c r="J423" s="6" t="str">
        <x:v>Warm-up</x:v>
      </x:c>
      <x:c r="K423" s="6" t="str">
        <x:v>Room name, floor and asset identity. Coordinates may help the UI.</x:v>
      </x:c>
      <x:c r="L423" s="6" t="str">
        <x:v>T02, T03</x:v>
      </x:c>
      <x:c r="M423" s="6" t="str">
        <x:v>Find a named item and identify its containing room and floor.</x:v>
      </x:c>
      <x:c r="N423" s="6" t="str">
        <x:v>{"asset_id":"swiss-333-A00056","space_id":"swiss-333-F0-S009","space_name":"Kitchen 0.09 (apartment 2)","floor_level":0,"position":[-2.272,4.962]}</x:v>
      </x:c>
      <x:c r="O423" s="6"/>
      <x:c r="P423" s="6" t="str">
        <x:v>Resolve the intended asset and its containing room/floor.</x:v>
      </x:c>
      <x:c r="Q423" s="15"/>
      <x:c r="R423" s="6"/>
      <x:c r="S423" s="16"/>
      <x:c r="T423" s="15"/>
      <x:c r="U423" s="6"/>
      <x:c r="V423" s="6"/>
      <x:c r="W423" s="6" t="str">
        <x:v>Existing search_building. Improve disambiguation and complete result pagination.</x:v>
      </x:c>
      <x:c r="X423" s="6" t="str">
        <x:v>data/train/swiss-333/questions_basic.jsonl</x:v>
      </x:c>
      <x:c r="Y423" s="14" t="n">
        <x:v>2</x:v>
      </x:c>
      <x:c r="Z423" s="6" t="str">
        <x:v>https://github.com/hagenhaeussler/Industrial-Agents-Hackathon-2026/blob/f41616590b69f3ea0c1cbfb41d6c35edd9ce53df/data/train/swiss-333/questions_basic.jsonl#L2</x:v>
      </x:c>
      <x:c r="AA423" s="6" t="str">
        <x:v>swiss_dwellings</x:v>
      </x:c>
      <x:c r="AB423" s="6" t="str">
        <x:v>CC-BY-4.0</x:v>
      </x:c>
    </x:row>
    <x:row r="424" ht="72" customHeight="1">
      <x:c r="A424" s="14" t="n">
        <x:v>419</x:v>
      </x:c>
      <x:c r="B424" s="6" t="str">
        <x:v>locate</x:v>
      </x:c>
      <x:c r="C424" s="6" t="str">
        <x:v>Where is the outdoor table?</x:v>
      </x:c>
      <x:c r="D424" s="6" t="str">
        <x:v>Balcony 2.17 (apartment 10)
Floor level: 2
Asset ID: swiss-3338-A00294
Position (m): -2.23, -8.277</x:v>
      </x:c>
      <x:c r="E424" s="6" t="str">
        <x:v>Reference supplied</x:v>
      </x:c>
      <x:c r="F424" s="6" t="str">
        <x:v>train</x:v>
      </x:c>
      <x:c r="G424" s="6" t="str">
        <x:v>swiss-3338</x:v>
      </x:c>
      <x:c r="H424" s="6" t="str">
        <x:v>swiss-3338-Q01</x:v>
      </x:c>
      <x:c r="I424" s="6" t="str">
        <x:v>Find and count assets</x:v>
      </x:c>
      <x:c r="J424" s="6" t="str">
        <x:v>Warm-up</x:v>
      </x:c>
      <x:c r="K424" s="6" t="str">
        <x:v>Room name, floor and asset identity. Coordinates may help the UI.</x:v>
      </x:c>
      <x:c r="L424" s="6" t="str">
        <x:v>T02, T03</x:v>
      </x:c>
      <x:c r="M424" s="6" t="str">
        <x:v>Find a named item and identify its containing room and floor.</x:v>
      </x:c>
      <x:c r="N424" s="6" t="str">
        <x:v>{"asset_id":"swiss-3338-A00294","space_id":"swiss-3338-F2-S017","space_name":"Balcony 2.17 (apartment 10)","floor_level":2,"position":[-2.23,-8.277]}</x:v>
      </x:c>
      <x:c r="O424" s="6"/>
      <x:c r="P424" s="6" t="str">
        <x:v>Resolve the intended asset and its containing room/floor.</x:v>
      </x:c>
      <x:c r="Q424" s="15"/>
      <x:c r="R424" s="6"/>
      <x:c r="S424" s="16"/>
      <x:c r="T424" s="15"/>
      <x:c r="U424" s="6"/>
      <x:c r="V424" s="6"/>
      <x:c r="W424" s="6" t="str">
        <x:v>Existing search_building. Improve disambiguation and complete result pagination.</x:v>
      </x:c>
      <x:c r="X424" s="6" t="str">
        <x:v>data/train/swiss-3338/questions_basic.jsonl</x:v>
      </x:c>
      <x:c r="Y424" s="14" t="n">
        <x:v>1</x:v>
      </x:c>
      <x:c r="Z424" s="6" t="str">
        <x:v>https://github.com/hagenhaeussler/Industrial-Agents-Hackathon-2026/blob/f41616590b69f3ea0c1cbfb41d6c35edd9ce53df/data/train/swiss-3338/questions_basic.jsonl#L1</x:v>
      </x:c>
      <x:c r="AA424" s="6" t="str">
        <x:v>swiss_dwellings</x:v>
      </x:c>
      <x:c r="AB424" s="6" t="str">
        <x:v>CC-BY-4.0</x:v>
      </x:c>
    </x:row>
    <x:row r="425" ht="72" customHeight="1">
      <x:c r="A425" s="14" t="n">
        <x:v>420</x:v>
      </x:c>
      <x:c r="B425" s="6" t="str">
        <x:v>locate</x:v>
      </x:c>
      <x:c r="C425" s="6" t="str">
        <x:v>Where is the shoe cabinet?</x:v>
      </x:c>
      <x:c r="D425" s="6" t="str">
        <x:v>Corridor 0.09 (apartment 2)
Floor level: 0
Asset ID: swiss-3355-A00116
Position (m): 0.944, 3.723</x:v>
      </x:c>
      <x:c r="E425" s="6" t="str">
        <x:v>Reference supplied</x:v>
      </x:c>
      <x:c r="F425" s="6" t="str">
        <x:v>train</x:v>
      </x:c>
      <x:c r="G425" s="6" t="str">
        <x:v>swiss-3355</x:v>
      </x:c>
      <x:c r="H425" s="6" t="str">
        <x:v>swiss-3355-Q01</x:v>
      </x:c>
      <x:c r="I425" s="6" t="str">
        <x:v>Find and count assets</x:v>
      </x:c>
      <x:c r="J425" s="6" t="str">
        <x:v>Warm-up</x:v>
      </x:c>
      <x:c r="K425" s="6" t="str">
        <x:v>Room name, floor and asset identity. Coordinates may help the UI.</x:v>
      </x:c>
      <x:c r="L425" s="6" t="str">
        <x:v>T02, T03</x:v>
      </x:c>
      <x:c r="M425" s="6" t="str">
        <x:v>Find a named item and identify its containing room and floor.</x:v>
      </x:c>
      <x:c r="N425" s="6" t="str">
        <x:v>{"asset_id":"swiss-3355-A00116","space_id":"swiss-3355-F0-S009","space_name":"Corridor 0.09 (apartment 2)","floor_level":0,"position":[0.944,3.723]}</x:v>
      </x:c>
      <x:c r="O425" s="6"/>
      <x:c r="P425" s="6" t="str">
        <x:v>Resolve the intended asset and its containing room/floor.</x:v>
      </x:c>
      <x:c r="Q425" s="15"/>
      <x:c r="R425" s="6"/>
      <x:c r="S425" s="16"/>
      <x:c r="T425" s="15"/>
      <x:c r="U425" s="6"/>
      <x:c r="V425" s="6"/>
      <x:c r="W425" s="6" t="str">
        <x:v>Existing search_building. Improve disambiguation and complete result pagination.</x:v>
      </x:c>
      <x:c r="X425" s="6" t="str">
        <x:v>data/train/swiss-3355/questions_basic.jsonl</x:v>
      </x:c>
      <x:c r="Y425" s="14" t="n">
        <x:v>1</x:v>
      </x:c>
      <x:c r="Z425" s="6" t="str">
        <x:v>https://github.com/hagenhaeussler/Industrial-Agents-Hackathon-2026/blob/f41616590b69f3ea0c1cbfb41d6c35edd9ce53df/data/train/swiss-3355/questions_basic.jsonl#L1</x:v>
      </x:c>
      <x:c r="AA425" s="6" t="str">
        <x:v>swiss_dwellings</x:v>
      </x:c>
      <x:c r="AB425" s="6" t="str">
        <x:v>CC-BY-4.0</x:v>
      </x:c>
    </x:row>
    <x:row r="426" ht="72" customHeight="1">
      <x:c r="A426" s="14" t="n">
        <x:v>421</x:v>
      </x:c>
      <x:c r="B426" s="6" t="str">
        <x:v>locate</x:v>
      </x:c>
      <x:c r="C426" s="6" t="str">
        <x:v>Where is the washing machine?</x:v>
      </x:c>
      <x:c r="D426" s="6" t="str">
        <x:v>Bathroom 0.20 (apartment 3)
Floor level: 0
Asset ID: swiss-3355-A00135
Position (m): -10.181, -1.772</x:v>
      </x:c>
      <x:c r="E426" s="6" t="str">
        <x:v>Reference supplied</x:v>
      </x:c>
      <x:c r="F426" s="6" t="str">
        <x:v>train</x:v>
      </x:c>
      <x:c r="G426" s="6" t="str">
        <x:v>swiss-3355</x:v>
      </x:c>
      <x:c r="H426" s="6" t="str">
        <x:v>swiss-3355-Q02</x:v>
      </x:c>
      <x:c r="I426" s="6" t="str">
        <x:v>Find and count assets</x:v>
      </x:c>
      <x:c r="J426" s="6" t="str">
        <x:v>Warm-up</x:v>
      </x:c>
      <x:c r="K426" s="6" t="str">
        <x:v>Room name, floor and asset identity. Coordinates may help the UI.</x:v>
      </x:c>
      <x:c r="L426" s="6" t="str">
        <x:v>T02, T03</x:v>
      </x:c>
      <x:c r="M426" s="6" t="str">
        <x:v>Find a named item and identify its containing room and floor.</x:v>
      </x:c>
      <x:c r="N426" s="6" t="str">
        <x:v>{"asset_id":"swiss-3355-A00135","space_id":"swiss-3355-F0-S020","space_name":"Bathroom 0.20 (apartment 3)","floor_level":0,"position":[-10.181,-1.772]}</x:v>
      </x:c>
      <x:c r="O426" s="6"/>
      <x:c r="P426" s="6" t="str">
        <x:v>Resolve the intended asset and its containing room/floor.</x:v>
      </x:c>
      <x:c r="Q426" s="15"/>
      <x:c r="R426" s="6"/>
      <x:c r="S426" s="16"/>
      <x:c r="T426" s="15"/>
      <x:c r="U426" s="6"/>
      <x:c r="V426" s="6"/>
      <x:c r="W426" s="6" t="str">
        <x:v>Existing search_building. Improve disambiguation and complete result pagination.</x:v>
      </x:c>
      <x:c r="X426" s="6" t="str">
        <x:v>data/train/swiss-3355/questions_basic.jsonl</x:v>
      </x:c>
      <x:c r="Y426" s="14" t="n">
        <x:v>2</x:v>
      </x:c>
      <x:c r="Z426" s="6" t="str">
        <x:v>https://github.com/hagenhaeussler/Industrial-Agents-Hackathon-2026/blob/f41616590b69f3ea0c1cbfb41d6c35edd9ce53df/data/train/swiss-3355/questions_basic.jsonl#L2</x:v>
      </x:c>
      <x:c r="AA426" s="6" t="str">
        <x:v>swiss_dwellings</x:v>
      </x:c>
      <x:c r="AB426" s="6" t="str">
        <x:v>CC-BY-4.0</x:v>
      </x:c>
    </x:row>
    <x:row r="427" ht="72" customHeight="1">
      <x:c r="A427" s="14" t="n">
        <x:v>422</x:v>
      </x:c>
      <x:c r="B427" s="6" t="str">
        <x:v>locate</x:v>
      </x:c>
      <x:c r="C427" s="6" t="str">
        <x:v>Where is the microwave?</x:v>
      </x:c>
      <x:c r="D427" s="6" t="str">
        <x:v>Kitchen 0.06 (apartment 1)
Floor level: 0
Asset ID: swiss-3418-A00069
Position (m): -4.308, 4.107</x:v>
      </x:c>
      <x:c r="E427" s="6" t="str">
        <x:v>Reference supplied</x:v>
      </x:c>
      <x:c r="F427" s="6" t="str">
        <x:v>train</x:v>
      </x:c>
      <x:c r="G427" s="6" t="str">
        <x:v>swiss-3418</x:v>
      </x:c>
      <x:c r="H427" s="6" t="str">
        <x:v>swiss-3418-Q01</x:v>
      </x:c>
      <x:c r="I427" s="6" t="str">
        <x:v>Find and count assets</x:v>
      </x:c>
      <x:c r="J427" s="6" t="str">
        <x:v>Warm-up</x:v>
      </x:c>
      <x:c r="K427" s="6" t="str">
        <x:v>Room name, floor and asset identity. Coordinates may help the UI.</x:v>
      </x:c>
      <x:c r="L427" s="6" t="str">
        <x:v>T02, T03</x:v>
      </x:c>
      <x:c r="M427" s="6" t="str">
        <x:v>Find a named item and identify its containing room and floor.</x:v>
      </x:c>
      <x:c r="N427" s="6" t="str">
        <x:v>{"asset_id":"swiss-3418-A00069","space_id":"swiss-3418-F0-S006","space_name":"Kitchen 0.06 (apartment 1)","floor_level":0,"position":[-4.308,4.107]}</x:v>
      </x:c>
      <x:c r="O427" s="6"/>
      <x:c r="P427" s="6" t="str">
        <x:v>Resolve the intended asset and its containing room/floor.</x:v>
      </x:c>
      <x:c r="Q427" s="15"/>
      <x:c r="R427" s="6"/>
      <x:c r="S427" s="16"/>
      <x:c r="T427" s="15"/>
      <x:c r="U427" s="6"/>
      <x:c r="V427" s="6"/>
      <x:c r="W427" s="6" t="str">
        <x:v>Existing search_building. Improve disambiguation and complete result pagination.</x:v>
      </x:c>
      <x:c r="X427" s="6" t="str">
        <x:v>data/train/swiss-3418/questions_basic.jsonl</x:v>
      </x:c>
      <x:c r="Y427" s="14" t="n">
        <x:v>1</x:v>
      </x:c>
      <x:c r="Z427" s="6" t="str">
        <x:v>https://github.com/hagenhaeussler/Industrial-Agents-Hackathon-2026/blob/f41616590b69f3ea0c1cbfb41d6c35edd9ce53df/data/train/swiss-3418/questions_basic.jsonl#L1</x:v>
      </x:c>
      <x:c r="AA427" s="6" t="str">
        <x:v>swiss_dwellings</x:v>
      </x:c>
      <x:c r="AB427" s="6" t="str">
        <x:v>CC-BY-4.0</x:v>
      </x:c>
    </x:row>
    <x:row r="428" ht="72" customHeight="1">
      <x:c r="A428" s="14" t="n">
        <x:v>423</x:v>
      </x:c>
      <x:c r="B428" s="6" t="str">
        <x:v>locate</x:v>
      </x:c>
      <x:c r="C428" s="6" t="str">
        <x:v>Where is the outdoor table?</x:v>
      </x:c>
      <x:c r="D428" s="6" t="str">
        <x:v>Balcony 2.03 (apartment 3)
Floor level: 2
Asset ID: swiss-373-A00072
Position (m): 5.348, -3.233</x:v>
      </x:c>
      <x:c r="E428" s="6" t="str">
        <x:v>Reference supplied</x:v>
      </x:c>
      <x:c r="F428" s="6" t="str">
        <x:v>train</x:v>
      </x:c>
      <x:c r="G428" s="6" t="str">
        <x:v>swiss-373</x:v>
      </x:c>
      <x:c r="H428" s="6" t="str">
        <x:v>swiss-373-Q01</x:v>
      </x:c>
      <x:c r="I428" s="6" t="str">
        <x:v>Find and count assets</x:v>
      </x:c>
      <x:c r="J428" s="6" t="str">
        <x:v>Warm-up</x:v>
      </x:c>
      <x:c r="K428" s="6" t="str">
        <x:v>Room name, floor and asset identity. Coordinates may help the UI.</x:v>
      </x:c>
      <x:c r="L428" s="6" t="str">
        <x:v>T02, T03</x:v>
      </x:c>
      <x:c r="M428" s="6" t="str">
        <x:v>Find a named item and identify its containing room and floor.</x:v>
      </x:c>
      <x:c r="N428" s="6" t="str">
        <x:v>{"asset_id":"swiss-373-A00072","space_id":"swiss-373-F2-S003","space_name":"Balcony 2.03 (apartment 3)","floor_level":2,"position":[5.348,-3.233]}</x:v>
      </x:c>
      <x:c r="O428" s="6"/>
      <x:c r="P428" s="6" t="str">
        <x:v>Resolve the intended asset and its containing room/floor.</x:v>
      </x:c>
      <x:c r="Q428" s="15"/>
      <x:c r="R428" s="6"/>
      <x:c r="S428" s="16"/>
      <x:c r="T428" s="15"/>
      <x:c r="U428" s="6"/>
      <x:c r="V428" s="6"/>
      <x:c r="W428" s="6" t="str">
        <x:v>Existing search_building. Improve disambiguation and complete result pagination.</x:v>
      </x:c>
      <x:c r="X428" s="6" t="str">
        <x:v>data/train/swiss-373/questions_basic.jsonl</x:v>
      </x:c>
      <x:c r="Y428" s="14" t="n">
        <x:v>1</x:v>
      </x:c>
      <x:c r="Z428" s="6" t="str">
        <x:v>https://github.com/hagenhaeussler/Industrial-Agents-Hackathon-2026/blob/f41616590b69f3ea0c1cbfb41d6c35edd9ce53df/data/train/swiss-373/questions_basic.jsonl#L1</x:v>
      </x:c>
      <x:c r="AA428" s="6" t="str">
        <x:v>swiss_dwellings</x:v>
      </x:c>
      <x:c r="AB428" s="6" t="str">
        <x:v>CC-BY-4.0</x:v>
      </x:c>
    </x:row>
    <x:row r="429" ht="72" customHeight="1">
      <x:c r="A429" s="14" t="n">
        <x:v>424</x:v>
      </x:c>
      <x:c r="B429" s="6" t="str">
        <x:v>locate</x:v>
      </x:c>
      <x:c r="C429" s="6" t="str">
        <x:v>Where is the coat rack?</x:v>
      </x:c>
      <x:c r="D429" s="6" t="str">
        <x:v>Corridor 0.06 (apartment 1)
Floor level: 0
Asset ID: swiss-373-A00037
Position (m): -0.541, -1.275</x:v>
      </x:c>
      <x:c r="E429" s="6" t="str">
        <x:v>Reference supplied</x:v>
      </x:c>
      <x:c r="F429" s="6" t="str">
        <x:v>train</x:v>
      </x:c>
      <x:c r="G429" s="6" t="str">
        <x:v>swiss-373</x:v>
      </x:c>
      <x:c r="H429" s="6" t="str">
        <x:v>swiss-373-Q02</x:v>
      </x:c>
      <x:c r="I429" s="6" t="str">
        <x:v>Find and count assets</x:v>
      </x:c>
      <x:c r="J429" s="6" t="str">
        <x:v>Warm-up</x:v>
      </x:c>
      <x:c r="K429" s="6" t="str">
        <x:v>Room name, floor and asset identity. Coordinates may help the UI.</x:v>
      </x:c>
      <x:c r="L429" s="6" t="str">
        <x:v>T02, T03</x:v>
      </x:c>
      <x:c r="M429" s="6" t="str">
        <x:v>Find a named item and identify its containing room and floor.</x:v>
      </x:c>
      <x:c r="N429" s="6" t="str">
        <x:v>{"asset_id":"swiss-373-A00037","space_id":"swiss-373-F0-S006","space_name":"Corridor 0.06 (apartment 1)","floor_level":0,"position":[-0.541,-1.275]}</x:v>
      </x:c>
      <x:c r="O429" s="6"/>
      <x:c r="P429" s="6" t="str">
        <x:v>Resolve the intended asset and its containing room/floor.</x:v>
      </x:c>
      <x:c r="Q429" s="15"/>
      <x:c r="R429" s="6"/>
      <x:c r="S429" s="16"/>
      <x:c r="T429" s="15"/>
      <x:c r="U429" s="6"/>
      <x:c r="V429" s="6"/>
      <x:c r="W429" s="6" t="str">
        <x:v>Existing search_building. Improve disambiguation and complete result pagination.</x:v>
      </x:c>
      <x:c r="X429" s="6" t="str">
        <x:v>data/train/swiss-373/questions_basic.jsonl</x:v>
      </x:c>
      <x:c r="Y429" s="14" t="n">
        <x:v>2</x:v>
      </x:c>
      <x:c r="Z429" s="6" t="str">
        <x:v>https://github.com/hagenhaeussler/Industrial-Agents-Hackathon-2026/blob/f41616590b69f3ea0c1cbfb41d6c35edd9ce53df/data/train/swiss-373/questions_basic.jsonl#L2</x:v>
      </x:c>
      <x:c r="AA429" s="6" t="str">
        <x:v>swiss_dwellings</x:v>
      </x:c>
      <x:c r="AB429" s="6" t="str">
        <x:v>CC-BY-4.0</x:v>
      </x:c>
    </x:row>
    <x:row r="430" ht="72" customHeight="1">
      <x:c r="A430" s="14" t="n">
        <x:v>425</x:v>
      </x:c>
      <x:c r="B430" s="6" t="str">
        <x:v>locate</x:v>
      </x:c>
      <x:c r="C430" s="6" t="str">
        <x:v>Where is the desk?</x:v>
      </x:c>
      <x:c r="D430" s="6" t="str">
        <x:v>Bedroom 1.01 (apartment 2)
Floor level: 1
Asset ID: swiss-373-A00047
Position (m): 5.446, 1.071</x:v>
      </x:c>
      <x:c r="E430" s="6" t="str">
        <x:v>Reference supplied</x:v>
      </x:c>
      <x:c r="F430" s="6" t="str">
        <x:v>train</x:v>
      </x:c>
      <x:c r="G430" s="6" t="str">
        <x:v>swiss-373</x:v>
      </x:c>
      <x:c r="H430" s="6" t="str">
        <x:v>swiss-373-Q03</x:v>
      </x:c>
      <x:c r="I430" s="6" t="str">
        <x:v>Find and count assets</x:v>
      </x:c>
      <x:c r="J430" s="6" t="str">
        <x:v>Warm-up</x:v>
      </x:c>
      <x:c r="K430" s="6" t="str">
        <x:v>Room name, floor and asset identity. Coordinates may help the UI.</x:v>
      </x:c>
      <x:c r="L430" s="6" t="str">
        <x:v>T02, T03</x:v>
      </x:c>
      <x:c r="M430" s="6" t="str">
        <x:v>Find a named item and identify its containing room and floor.</x:v>
      </x:c>
      <x:c r="N430" s="6" t="str">
        <x:v>{"asset_id":"swiss-373-A00047","space_id":"swiss-373-F1-S001","space_name":"Bedroom 1.01 (apartment 2)","floor_level":1,"position":[5.446,1.071]}</x:v>
      </x:c>
      <x:c r="O430" s="6"/>
      <x:c r="P430" s="6" t="str">
        <x:v>Resolve the intended asset and its containing room/floor.</x:v>
      </x:c>
      <x:c r="Q430" s="15"/>
      <x:c r="R430" s="6"/>
      <x:c r="S430" s="16"/>
      <x:c r="T430" s="15"/>
      <x:c r="U430" s="6"/>
      <x:c r="V430" s="6"/>
      <x:c r="W430" s="6" t="str">
        <x:v>Existing search_building. Improve disambiguation and complete result pagination.</x:v>
      </x:c>
      <x:c r="X430" s="6" t="str">
        <x:v>data/train/swiss-373/questions_basic.jsonl</x:v>
      </x:c>
      <x:c r="Y430" s="14" t="n">
        <x:v>3</x:v>
      </x:c>
      <x:c r="Z430" s="6" t="str">
        <x:v>https://github.com/hagenhaeussler/Industrial-Agents-Hackathon-2026/blob/f41616590b69f3ea0c1cbfb41d6c35edd9ce53df/data/train/swiss-373/questions_basic.jsonl#L3</x:v>
      </x:c>
      <x:c r="AA430" s="6" t="str">
        <x:v>swiss_dwellings</x:v>
      </x:c>
      <x:c r="AB430" s="6" t="str">
        <x:v>CC-BY-4.0</x:v>
      </x:c>
    </x:row>
    <x:row r="431" ht="72" customHeight="1">
      <x:c r="A431" s="14" t="n">
        <x:v>426</x:v>
      </x:c>
      <x:c r="B431" s="6" t="str">
        <x:v>locate</x:v>
      </x:c>
      <x:c r="C431" s="6" t="str">
        <x:v>Where is the shoe cabinet?</x:v>
      </x:c>
      <x:c r="D431" s="6" t="str">
        <x:v>Corridor 4.06 (apartment 5)
Floor level: 4
Asset ID: swiss-390-A00128
Position (m): 1.059, -1.491</x:v>
      </x:c>
      <x:c r="E431" s="6" t="str">
        <x:v>Reference supplied</x:v>
      </x:c>
      <x:c r="F431" s="6" t="str">
        <x:v>train</x:v>
      </x:c>
      <x:c r="G431" s="6" t="str">
        <x:v>swiss-390</x:v>
      </x:c>
      <x:c r="H431" s="6" t="str">
        <x:v>swiss-390-Q01</x:v>
      </x:c>
      <x:c r="I431" s="6" t="str">
        <x:v>Find and count assets</x:v>
      </x:c>
      <x:c r="J431" s="6" t="str">
        <x:v>Warm-up</x:v>
      </x:c>
      <x:c r="K431" s="6" t="str">
        <x:v>Room name, floor and asset identity. Coordinates may help the UI.</x:v>
      </x:c>
      <x:c r="L431" s="6" t="str">
        <x:v>T02, T03</x:v>
      </x:c>
      <x:c r="M431" s="6" t="str">
        <x:v>Find a named item and identify its containing room and floor.</x:v>
      </x:c>
      <x:c r="N431" s="6" t="str">
        <x:v>{"asset_id":"swiss-390-A00128","space_id":"swiss-390-F4-S006","space_name":"Corridor 4.06 (apartment 5)","floor_level":4,"position":[1.059,-1.491]}</x:v>
      </x:c>
      <x:c r="O431" s="6"/>
      <x:c r="P431" s="6" t="str">
        <x:v>Resolve the intended asset and its containing room/floor.</x:v>
      </x:c>
      <x:c r="Q431" s="15"/>
      <x:c r="R431" s="6"/>
      <x:c r="S431" s="16"/>
      <x:c r="T431" s="15"/>
      <x:c r="U431" s="6"/>
      <x:c r="V431" s="6"/>
      <x:c r="W431" s="6" t="str">
        <x:v>Existing search_building. Improve disambiguation and complete result pagination.</x:v>
      </x:c>
      <x:c r="X431" s="6" t="str">
        <x:v>data/train/swiss-390/questions_basic.jsonl</x:v>
      </x:c>
      <x:c r="Y431" s="14" t="n">
        <x:v>1</x:v>
      </x:c>
      <x:c r="Z431" s="6" t="str">
        <x:v>https://github.com/hagenhaeussler/Industrial-Agents-Hackathon-2026/blob/f41616590b69f3ea0c1cbfb41d6c35edd9ce53df/data/train/swiss-390/questions_basic.jsonl#L1</x:v>
      </x:c>
      <x:c r="AA431" s="6" t="str">
        <x:v>swiss_dwellings</x:v>
      </x:c>
      <x:c r="AB431" s="6" t="str">
        <x:v>CC-BY-4.0</x:v>
      </x:c>
    </x:row>
    <x:row r="432" ht="72" customHeight="1">
      <x:c r="A432" s="14" t="n">
        <x:v>427</x:v>
      </x:c>
      <x:c r="B432" s="6" t="str">
        <x:v>locate</x:v>
      </x:c>
      <x:c r="C432" s="6" t="str">
        <x:v>Where is the coffee table?</x:v>
      </x:c>
      <x:c r="D432" s="6" t="str">
        <x:v>Living room 4.02 (apartment 5)
Floor level: 4
Asset ID: swiss-390-A00115
Position (m): -0.493, -2.707</x:v>
      </x:c>
      <x:c r="E432" s="6" t="str">
        <x:v>Reference supplied</x:v>
      </x:c>
      <x:c r="F432" s="6" t="str">
        <x:v>train</x:v>
      </x:c>
      <x:c r="G432" s="6" t="str">
        <x:v>swiss-390</x:v>
      </x:c>
      <x:c r="H432" s="6" t="str">
        <x:v>swiss-390-Q02</x:v>
      </x:c>
      <x:c r="I432" s="6" t="str">
        <x:v>Find and count assets</x:v>
      </x:c>
      <x:c r="J432" s="6" t="str">
        <x:v>Warm-up</x:v>
      </x:c>
      <x:c r="K432" s="6" t="str">
        <x:v>Room name, floor and asset identity. Coordinates may help the UI.</x:v>
      </x:c>
      <x:c r="L432" s="6" t="str">
        <x:v>T02, T03</x:v>
      </x:c>
      <x:c r="M432" s="6" t="str">
        <x:v>Find a named item and identify its containing room and floor.</x:v>
      </x:c>
      <x:c r="N432" s="6" t="str">
        <x:v>{"asset_id":"swiss-390-A00115","space_id":"swiss-390-F4-S002","space_name":"Living room 4.02 (apartment 5)","floor_level":4,"position":[-0.493,-2.707]}</x:v>
      </x:c>
      <x:c r="O432" s="6"/>
      <x:c r="P432" s="6" t="str">
        <x:v>Resolve the intended asset and its containing room/floor.</x:v>
      </x:c>
      <x:c r="Q432" s="15"/>
      <x:c r="R432" s="6"/>
      <x:c r="S432" s="16"/>
      <x:c r="T432" s="15"/>
      <x:c r="U432" s="6"/>
      <x:c r="V432" s="6"/>
      <x:c r="W432" s="6" t="str">
        <x:v>Existing search_building. Improve disambiguation and complete result pagination.</x:v>
      </x:c>
      <x:c r="X432" s="6" t="str">
        <x:v>data/train/swiss-390/questions_basic.jsonl</x:v>
      </x:c>
      <x:c r="Y432" s="14" t="n">
        <x:v>2</x:v>
      </x:c>
      <x:c r="Z432" s="6" t="str">
        <x:v>https://github.com/hagenhaeussler/Industrial-Agents-Hackathon-2026/blob/f41616590b69f3ea0c1cbfb41d6c35edd9ce53df/data/train/swiss-390/questions_basic.jsonl#L2</x:v>
      </x:c>
      <x:c r="AA432" s="6" t="str">
        <x:v>swiss_dwellings</x:v>
      </x:c>
      <x:c r="AB432" s="6" t="str">
        <x:v>CC-BY-4.0</x:v>
      </x:c>
    </x:row>
    <x:row r="433" ht="72" customHeight="1">
      <x:c r="A433" s="14" t="n">
        <x:v>428</x:v>
      </x:c>
      <x:c r="B433" s="6" t="str">
        <x:v>locate</x:v>
      </x:c>
      <x:c r="C433" s="6" t="str">
        <x:v>Where is the tv stand?</x:v>
      </x:c>
      <x:c r="D433" s="6" t="str">
        <x:v>Living room 4.02 (apartment 5)
Floor level: 4
Asset ID: swiss-390-A00116
Position (m): -3.022, -0.242</x:v>
      </x:c>
      <x:c r="E433" s="6" t="str">
        <x:v>Reference supplied</x:v>
      </x:c>
      <x:c r="F433" s="6" t="str">
        <x:v>train</x:v>
      </x:c>
      <x:c r="G433" s="6" t="str">
        <x:v>swiss-390</x:v>
      </x:c>
      <x:c r="H433" s="6" t="str">
        <x:v>swiss-390-Q03</x:v>
      </x:c>
      <x:c r="I433" s="6" t="str">
        <x:v>Find and count assets</x:v>
      </x:c>
      <x:c r="J433" s="6" t="str">
        <x:v>Warm-up</x:v>
      </x:c>
      <x:c r="K433" s="6" t="str">
        <x:v>Room name, floor and asset identity. Coordinates may help the UI.</x:v>
      </x:c>
      <x:c r="L433" s="6" t="str">
        <x:v>T02, T03</x:v>
      </x:c>
      <x:c r="M433" s="6" t="str">
        <x:v>Find a named item and identify its containing room and floor.</x:v>
      </x:c>
      <x:c r="N433" s="6" t="str">
        <x:v>{"asset_id":"swiss-390-A00116","space_id":"swiss-390-F4-S002","space_name":"Living room 4.02 (apartment 5)","floor_level":4,"position":[-3.022,-0.242]}</x:v>
      </x:c>
      <x:c r="O433" s="6"/>
      <x:c r="P433" s="6" t="str">
        <x:v>Resolve the intended asset and its containing room/floor.</x:v>
      </x:c>
      <x:c r="Q433" s="15"/>
      <x:c r="R433" s="6"/>
      <x:c r="S433" s="16"/>
      <x:c r="T433" s="15"/>
      <x:c r="U433" s="6"/>
      <x:c r="V433" s="6"/>
      <x:c r="W433" s="6" t="str">
        <x:v>Existing search_building. Improve disambiguation and complete result pagination.</x:v>
      </x:c>
      <x:c r="X433" s="6" t="str">
        <x:v>data/train/swiss-390/questions_basic.jsonl</x:v>
      </x:c>
      <x:c r="Y433" s="14" t="n">
        <x:v>3</x:v>
      </x:c>
      <x:c r="Z433" s="6" t="str">
        <x:v>https://github.com/hagenhaeussler/Industrial-Agents-Hackathon-2026/blob/f41616590b69f3ea0c1cbfb41d6c35edd9ce53df/data/train/swiss-390/questions_basic.jsonl#L3</x:v>
      </x:c>
      <x:c r="AA433" s="6" t="str">
        <x:v>swiss_dwellings</x:v>
      </x:c>
      <x:c r="AB433" s="6" t="str">
        <x:v>CC-BY-4.0</x:v>
      </x:c>
    </x:row>
    <x:row r="434" ht="72" customHeight="1">
      <x:c r="A434" s="14" t="n">
        <x:v>429</x:v>
      </x:c>
      <x:c r="B434" s="6" t="str">
        <x:v>locate</x:v>
      </x:c>
      <x:c r="C434" s="6" t="str">
        <x:v>Where is the coat rack?</x:v>
      </x:c>
      <x:c r="D434" s="6" t="str">
        <x:v>Corridor 0.14 (apartment 2)
Floor level: 0
Asset ID: swiss-401-A00073
Position (m): -2.918, 1.793</x:v>
      </x:c>
      <x:c r="E434" s="6" t="str">
        <x:v>Reference supplied</x:v>
      </x:c>
      <x:c r="F434" s="6" t="str">
        <x:v>train</x:v>
      </x:c>
      <x:c r="G434" s="6" t="str">
        <x:v>swiss-401</x:v>
      </x:c>
      <x:c r="H434" s="6" t="str">
        <x:v>swiss-401-Q01</x:v>
      </x:c>
      <x:c r="I434" s="6" t="str">
        <x:v>Find and count assets</x:v>
      </x:c>
      <x:c r="J434" s="6" t="str">
        <x:v>Warm-up</x:v>
      </x:c>
      <x:c r="K434" s="6" t="str">
        <x:v>Room name, floor and asset identity. Coordinates may help the UI.</x:v>
      </x:c>
      <x:c r="L434" s="6" t="str">
        <x:v>T02, T03</x:v>
      </x:c>
      <x:c r="M434" s="6" t="str">
        <x:v>Find a named item and identify its containing room and floor.</x:v>
      </x:c>
      <x:c r="N434" s="6" t="str">
        <x:v>{"asset_id":"swiss-401-A00073","space_id":"swiss-401-F0-S014","space_name":"Corridor 0.14 (apartment 2)","floor_level":0,"position":[-2.918,1.793]}</x:v>
      </x:c>
      <x:c r="O434" s="6"/>
      <x:c r="P434" s="6" t="str">
        <x:v>Resolve the intended asset and its containing room/floor.</x:v>
      </x:c>
      <x:c r="Q434" s="15"/>
      <x:c r="R434" s="6"/>
      <x:c r="S434" s="16"/>
      <x:c r="T434" s="15"/>
      <x:c r="U434" s="6"/>
      <x:c r="V434" s="6"/>
      <x:c r="W434" s="6" t="str">
        <x:v>Existing search_building. Improve disambiguation and complete result pagination.</x:v>
      </x:c>
      <x:c r="X434" s="6" t="str">
        <x:v>data/train/swiss-401/questions_basic.jsonl</x:v>
      </x:c>
      <x:c r="Y434" s="14" t="n">
        <x:v>1</x:v>
      </x:c>
      <x:c r="Z434" s="6" t="str">
        <x:v>https://github.com/hagenhaeussler/Industrial-Agents-Hackathon-2026/blob/f41616590b69f3ea0c1cbfb41d6c35edd9ce53df/data/train/swiss-401/questions_basic.jsonl#L1</x:v>
      </x:c>
      <x:c r="AA434" s="6" t="str">
        <x:v>swiss_dwellings</x:v>
      </x:c>
      <x:c r="AB434" s="6" t="str">
        <x:v>CC-BY-4.0</x:v>
      </x:c>
    </x:row>
    <x:row r="435" ht="72" customHeight="1">
      <x:c r="A435" s="14" t="n">
        <x:v>430</x:v>
      </x:c>
      <x:c r="B435" s="6" t="str">
        <x:v>locate</x:v>
      </x:c>
      <x:c r="C435" s="6" t="str">
        <x:v>Where is the shoe cabinet?</x:v>
      </x:c>
      <x:c r="D435" s="6" t="str">
        <x:v>Corridor 0.03 (apartment 1)
Floor level: 0
Asset ID: swiss-401-A00059
Position (m): 4.624, 2.827</x:v>
      </x:c>
      <x:c r="E435" s="6" t="str">
        <x:v>Reference supplied</x:v>
      </x:c>
      <x:c r="F435" s="6" t="str">
        <x:v>train</x:v>
      </x:c>
      <x:c r="G435" s="6" t="str">
        <x:v>swiss-401</x:v>
      </x:c>
      <x:c r="H435" s="6" t="str">
        <x:v>swiss-401-Q02</x:v>
      </x:c>
      <x:c r="I435" s="6" t="str">
        <x:v>Find and count assets</x:v>
      </x:c>
      <x:c r="J435" s="6" t="str">
        <x:v>Warm-up</x:v>
      </x:c>
      <x:c r="K435" s="6" t="str">
        <x:v>Room name, floor and asset identity. Coordinates may help the UI.</x:v>
      </x:c>
      <x:c r="L435" s="6" t="str">
        <x:v>T02, T03</x:v>
      </x:c>
      <x:c r="M435" s="6" t="str">
        <x:v>Find a named item and identify its containing room and floor.</x:v>
      </x:c>
      <x:c r="N435" s="6" t="str">
        <x:v>{"asset_id":"swiss-401-A00059","space_id":"swiss-401-F0-S003","space_name":"Corridor 0.03 (apartment 1)","floor_level":0,"position":[4.624,2.827]}</x:v>
      </x:c>
      <x:c r="O435" s="6"/>
      <x:c r="P435" s="6" t="str">
        <x:v>Resolve the intended asset and its containing room/floor.</x:v>
      </x:c>
      <x:c r="Q435" s="15"/>
      <x:c r="R435" s="6"/>
      <x:c r="S435" s="16"/>
      <x:c r="T435" s="15"/>
      <x:c r="U435" s="6"/>
      <x:c r="V435" s="6"/>
      <x:c r="W435" s="6" t="str">
        <x:v>Existing search_building. Improve disambiguation and complete result pagination.</x:v>
      </x:c>
      <x:c r="X435" s="6" t="str">
        <x:v>data/train/swiss-401/questions_basic.jsonl</x:v>
      </x:c>
      <x:c r="Y435" s="14" t="n">
        <x:v>2</x:v>
      </x:c>
      <x:c r="Z435" s="6" t="str">
        <x:v>https://github.com/hagenhaeussler/Industrial-Agents-Hackathon-2026/blob/f41616590b69f3ea0c1cbfb41d6c35edd9ce53df/data/train/swiss-401/questions_basic.jsonl#L2</x:v>
      </x:c>
      <x:c r="AA435" s="6" t="str">
        <x:v>swiss_dwellings</x:v>
      </x:c>
      <x:c r="AB435" s="6" t="str">
        <x:v>CC-BY-4.0</x:v>
      </x:c>
    </x:row>
    <x:row r="436" ht="72" customHeight="1">
      <x:c r="A436" s="14" t="n">
        <x:v>431</x:v>
      </x:c>
      <x:c r="B436" s="6" t="str">
        <x:v>locate</x:v>
      </x:c>
      <x:c r="C436" s="6" t="str">
        <x:v>Where is the microwave?</x:v>
      </x:c>
      <x:c r="D436" s="6" t="str">
        <x:v>Kitchen 2.10 (apartment 6)
Floor level: 2
Asset ID: swiss-401-A00153
Position (m): -5.289, -0.697</x:v>
      </x:c>
      <x:c r="E436" s="6" t="str">
        <x:v>Reference supplied</x:v>
      </x:c>
      <x:c r="F436" s="6" t="str">
        <x:v>train</x:v>
      </x:c>
      <x:c r="G436" s="6" t="str">
        <x:v>swiss-401</x:v>
      </x:c>
      <x:c r="H436" s="6" t="str">
        <x:v>swiss-401-Q03</x:v>
      </x:c>
      <x:c r="I436" s="6" t="str">
        <x:v>Find and count assets</x:v>
      </x:c>
      <x:c r="J436" s="6" t="str">
        <x:v>Warm-up</x:v>
      </x:c>
      <x:c r="K436" s="6" t="str">
        <x:v>Room name, floor and asset identity. Coordinates may help the UI.</x:v>
      </x:c>
      <x:c r="L436" s="6" t="str">
        <x:v>T02, T03</x:v>
      </x:c>
      <x:c r="M436" s="6" t="str">
        <x:v>Find a named item and identify its containing room and floor.</x:v>
      </x:c>
      <x:c r="N436" s="6" t="str">
        <x:v>{"asset_id":"swiss-401-A00153","space_id":"swiss-401-F2-S010","space_name":"Kitchen 2.10 (apartment 6)","floor_level":2,"position":[-5.289,-0.697]}</x:v>
      </x:c>
      <x:c r="O436" s="6"/>
      <x:c r="P436" s="6" t="str">
        <x:v>Resolve the intended asset and its containing room/floor.</x:v>
      </x:c>
      <x:c r="Q436" s="15"/>
      <x:c r="R436" s="6"/>
      <x:c r="S436" s="16"/>
      <x:c r="T436" s="15"/>
      <x:c r="U436" s="6"/>
      <x:c r="V436" s="6"/>
      <x:c r="W436" s="6" t="str">
        <x:v>Existing search_building. Improve disambiguation and complete result pagination.</x:v>
      </x:c>
      <x:c r="X436" s="6" t="str">
        <x:v>data/train/swiss-401/questions_basic.jsonl</x:v>
      </x:c>
      <x:c r="Y436" s="14" t="n">
        <x:v>3</x:v>
      </x:c>
      <x:c r="Z436" s="6" t="str">
        <x:v>https://github.com/hagenhaeussler/Industrial-Agents-Hackathon-2026/blob/f41616590b69f3ea0c1cbfb41d6c35edd9ce53df/data/train/swiss-401/questions_basic.jsonl#L3</x:v>
      </x:c>
      <x:c r="AA436" s="6" t="str">
        <x:v>swiss_dwellings</x:v>
      </x:c>
      <x:c r="AB436" s="6" t="str">
        <x:v>CC-BY-4.0</x:v>
      </x:c>
    </x:row>
    <x:row r="437" ht="72" customHeight="1">
      <x:c r="A437" s="14" t="n">
        <x:v>432</x:v>
      </x:c>
      <x:c r="B437" s="6" t="str">
        <x:v>locate</x:v>
      </x:c>
      <x:c r="C437" s="6" t="str">
        <x:v>Where is the shoe cabinet?</x:v>
      </x:c>
      <x:c r="D437" s="6" t="str">
        <x:v>Corridor 2.03 (apartment 5)
Floor level: 2
Asset ID: swiss-430-A00109
Position (m): 4.235, 1.028</x:v>
      </x:c>
      <x:c r="E437" s="6" t="str">
        <x:v>Reference supplied</x:v>
      </x:c>
      <x:c r="F437" s="6" t="str">
        <x:v>train</x:v>
      </x:c>
      <x:c r="G437" s="6" t="str">
        <x:v>swiss-430</x:v>
      </x:c>
      <x:c r="H437" s="6" t="str">
        <x:v>swiss-430-Q01</x:v>
      </x:c>
      <x:c r="I437" s="6" t="str">
        <x:v>Find and count assets</x:v>
      </x:c>
      <x:c r="J437" s="6" t="str">
        <x:v>Warm-up</x:v>
      </x:c>
      <x:c r="K437" s="6" t="str">
        <x:v>Room name, floor and asset identity. Coordinates may help the UI.</x:v>
      </x:c>
      <x:c r="L437" s="6" t="str">
        <x:v>T02, T03</x:v>
      </x:c>
      <x:c r="M437" s="6" t="str">
        <x:v>Find a named item and identify its containing room and floor.</x:v>
      </x:c>
      <x:c r="N437" s="6" t="str">
        <x:v>{"asset_id":"swiss-430-A00109","space_id":"swiss-430-F2-S003","space_name":"Corridor 2.03 (apartment 5)","floor_level":2,"position":[4.235,1.028]}</x:v>
      </x:c>
      <x:c r="O437" s="6"/>
      <x:c r="P437" s="6" t="str">
        <x:v>Resolve the intended asset and its containing room/floor.</x:v>
      </x:c>
      <x:c r="Q437" s="15"/>
      <x:c r="R437" s="6"/>
      <x:c r="S437" s="16"/>
      <x:c r="T437" s="15"/>
      <x:c r="U437" s="6"/>
      <x:c r="V437" s="6"/>
      <x:c r="W437" s="6" t="str">
        <x:v>Existing search_building. Improve disambiguation and complete result pagination.</x:v>
      </x:c>
      <x:c r="X437" s="6" t="str">
        <x:v>data/train/swiss-430/questions_basic.jsonl</x:v>
      </x:c>
      <x:c r="Y437" s="14" t="n">
        <x:v>1</x:v>
      </x:c>
      <x:c r="Z437" s="6" t="str">
        <x:v>https://github.com/hagenhaeussler/Industrial-Agents-Hackathon-2026/blob/f41616590b69f3ea0c1cbfb41d6c35edd9ce53df/data/train/swiss-430/questions_basic.jsonl#L1</x:v>
      </x:c>
      <x:c r="AA437" s="6" t="str">
        <x:v>swiss_dwellings</x:v>
      </x:c>
      <x:c r="AB437" s="6" t="str">
        <x:v>CC-BY-4.0</x:v>
      </x:c>
    </x:row>
    <x:row r="438" ht="72" customHeight="1">
      <x:c r="A438" s="14" t="n">
        <x:v>433</x:v>
      </x:c>
      <x:c r="B438" s="6" t="str">
        <x:v>locate</x:v>
      </x:c>
      <x:c r="C438" s="6" t="str">
        <x:v>Where is the dining table?</x:v>
      </x:c>
      <x:c r="D438" s="6" t="str">
        <x:v>Kitchen 2.12 (apartment 6)
Floor level: 2
Asset ID: swiss-430-A00140
Position (m): -4.938, 2.796</x:v>
      </x:c>
      <x:c r="E438" s="6" t="str">
        <x:v>Reference supplied</x:v>
      </x:c>
      <x:c r="F438" s="6" t="str">
        <x:v>train</x:v>
      </x:c>
      <x:c r="G438" s="6" t="str">
        <x:v>swiss-430</x:v>
      </x:c>
      <x:c r="H438" s="6" t="str">
        <x:v>swiss-430-Q02</x:v>
      </x:c>
      <x:c r="I438" s="6" t="str">
        <x:v>Find and count assets</x:v>
      </x:c>
      <x:c r="J438" s="6" t="str">
        <x:v>Warm-up</x:v>
      </x:c>
      <x:c r="K438" s="6" t="str">
        <x:v>Room name, floor and asset identity. Coordinates may help the UI.</x:v>
      </x:c>
      <x:c r="L438" s="6" t="str">
        <x:v>T02, T03</x:v>
      </x:c>
      <x:c r="M438" s="6" t="str">
        <x:v>Find a named item and identify its containing room and floor.</x:v>
      </x:c>
      <x:c r="N438" s="6" t="str">
        <x:v>{"asset_id":"swiss-430-A00140","space_id":"swiss-430-F2-S012","space_name":"Kitchen 2.12 (apartment 6)","floor_level":2,"position":[-4.938,2.796]}</x:v>
      </x:c>
      <x:c r="O438" s="6"/>
      <x:c r="P438" s="6" t="str">
        <x:v>Resolve the intended asset and its containing room/floor.</x:v>
      </x:c>
      <x:c r="Q438" s="15"/>
      <x:c r="R438" s="6"/>
      <x:c r="S438" s="16"/>
      <x:c r="T438" s="15"/>
      <x:c r="U438" s="6"/>
      <x:c r="V438" s="6"/>
      <x:c r="W438" s="6" t="str">
        <x:v>Existing search_building. Improve disambiguation and complete result pagination.</x:v>
      </x:c>
      <x:c r="X438" s="6" t="str">
        <x:v>data/train/swiss-430/questions_basic.jsonl</x:v>
      </x:c>
      <x:c r="Y438" s="14" t="n">
        <x:v>2</x:v>
      </x:c>
      <x:c r="Z438" s="6" t="str">
        <x:v>https://github.com/hagenhaeussler/Industrial-Agents-Hackathon-2026/blob/f41616590b69f3ea0c1cbfb41d6c35edd9ce53df/data/train/swiss-430/questions_basic.jsonl#L2</x:v>
      </x:c>
      <x:c r="AA438" s="6" t="str">
        <x:v>swiss_dwellings</x:v>
      </x:c>
      <x:c r="AB438" s="6" t="str">
        <x:v>CC-BY-4.0</x:v>
      </x:c>
    </x:row>
    <x:row r="439" ht="72" customHeight="1">
      <x:c r="A439" s="14" t="n">
        <x:v>434</x:v>
      </x:c>
      <x:c r="B439" s="6" t="str">
        <x:v>locate</x:v>
      </x:c>
      <x:c r="C439" s="6" t="str">
        <x:v>Where is the coat rack?</x:v>
      </x:c>
      <x:c r="D439" s="6" t="str">
        <x:v>Corridor 2.16 (apartment 6)
Floor level: 2
Asset ID: swiss-430-A00151
Position (m): -6.624, 0.667</x:v>
      </x:c>
      <x:c r="E439" s="6" t="str">
        <x:v>Reference supplied</x:v>
      </x:c>
      <x:c r="F439" s="6" t="str">
        <x:v>train</x:v>
      </x:c>
      <x:c r="G439" s="6" t="str">
        <x:v>swiss-430</x:v>
      </x:c>
      <x:c r="H439" s="6" t="str">
        <x:v>swiss-430-Q03</x:v>
      </x:c>
      <x:c r="I439" s="6" t="str">
        <x:v>Find and count assets</x:v>
      </x:c>
      <x:c r="J439" s="6" t="str">
        <x:v>Warm-up</x:v>
      </x:c>
      <x:c r="K439" s="6" t="str">
        <x:v>Room name, floor and asset identity. Coordinates may help the UI.</x:v>
      </x:c>
      <x:c r="L439" s="6" t="str">
        <x:v>T02, T03</x:v>
      </x:c>
      <x:c r="M439" s="6" t="str">
        <x:v>Find a named item and identify its containing room and floor.</x:v>
      </x:c>
      <x:c r="N439" s="6" t="str">
        <x:v>{"asset_id":"swiss-430-A00151","space_id":"swiss-430-F2-S016","space_name":"Corridor 2.16 (apartment 6)","floor_level":2,"position":[-6.624,0.667]}</x:v>
      </x:c>
      <x:c r="O439" s="6"/>
      <x:c r="P439" s="6" t="str">
        <x:v>Resolve the intended asset and its containing room/floor.</x:v>
      </x:c>
      <x:c r="Q439" s="15"/>
      <x:c r="R439" s="6"/>
      <x:c r="S439" s="16"/>
      <x:c r="T439" s="15"/>
      <x:c r="U439" s="6"/>
      <x:c r="V439" s="6"/>
      <x:c r="W439" s="6" t="str">
        <x:v>Existing search_building. Improve disambiguation and complete result pagination.</x:v>
      </x:c>
      <x:c r="X439" s="6" t="str">
        <x:v>data/train/swiss-430/questions_basic.jsonl</x:v>
      </x:c>
      <x:c r="Y439" s="14" t="n">
        <x:v>3</x:v>
      </x:c>
      <x:c r="Z439" s="6" t="str">
        <x:v>https://github.com/hagenhaeussler/Industrial-Agents-Hackathon-2026/blob/f41616590b69f3ea0c1cbfb41d6c35edd9ce53df/data/train/swiss-430/questions_basic.jsonl#L3</x:v>
      </x:c>
      <x:c r="AA439" s="6" t="str">
        <x:v>swiss_dwellings</x:v>
      </x:c>
      <x:c r="AB439" s="6" t="str">
        <x:v>CC-BY-4.0</x:v>
      </x:c>
    </x:row>
    <x:row r="440" ht="72" customHeight="1">
      <x:c r="A440" s="14" t="n">
        <x:v>435</x:v>
      </x:c>
      <x:c r="B440" s="6" t="str">
        <x:v>locate</x:v>
      </x:c>
      <x:c r="C440" s="6" t="str">
        <x:v>Where is the coat rack?</x:v>
      </x:c>
      <x:c r="D440" s="6" t="str">
        <x:v>Corridor 2.24 (apartment 11)
Floor level: 2
Asset ID: swiss-437-A00331
Position (m): -1.354, 9.299</x:v>
      </x:c>
      <x:c r="E440" s="6" t="str">
        <x:v>Reference supplied</x:v>
      </x:c>
      <x:c r="F440" s="6" t="str">
        <x:v>train</x:v>
      </x:c>
      <x:c r="G440" s="6" t="str">
        <x:v>swiss-437</x:v>
      </x:c>
      <x:c r="H440" s="6" t="str">
        <x:v>swiss-437-Q01</x:v>
      </x:c>
      <x:c r="I440" s="6" t="str">
        <x:v>Find and count assets</x:v>
      </x:c>
      <x:c r="J440" s="6" t="str">
        <x:v>Warm-up</x:v>
      </x:c>
      <x:c r="K440" s="6" t="str">
        <x:v>Room name, floor and asset identity. Coordinates may help the UI.</x:v>
      </x:c>
      <x:c r="L440" s="6" t="str">
        <x:v>T02, T03</x:v>
      </x:c>
      <x:c r="M440" s="6" t="str">
        <x:v>Find a named item and identify its containing room and floor.</x:v>
      </x:c>
      <x:c r="N440" s="6" t="str">
        <x:v>{"asset_id":"swiss-437-A00331","space_id":"swiss-437-F2-S024","space_name":"Corridor 2.24 (apartment 11)","floor_level":2,"position":[-1.354,9.299]}</x:v>
      </x:c>
      <x:c r="O440" s="6"/>
      <x:c r="P440" s="6" t="str">
        <x:v>Resolve the intended asset and its containing room/floor.</x:v>
      </x:c>
      <x:c r="Q440" s="15"/>
      <x:c r="R440" s="6"/>
      <x:c r="S440" s="16"/>
      <x:c r="T440" s="15"/>
      <x:c r="U440" s="6"/>
      <x:c r="V440" s="6"/>
      <x:c r="W440" s="6" t="str">
        <x:v>Existing search_building. Improve disambiguation and complete result pagination.</x:v>
      </x:c>
      <x:c r="X440" s="6" t="str">
        <x:v>data/train/swiss-437/questions_basic.jsonl</x:v>
      </x:c>
      <x:c r="Y440" s="14" t="n">
        <x:v>1</x:v>
      </x:c>
      <x:c r="Z440" s="6" t="str">
        <x:v>https://github.com/hagenhaeussler/Industrial-Agents-Hackathon-2026/blob/f41616590b69f3ea0c1cbfb41d6c35edd9ce53df/data/train/swiss-437/questions_basic.jsonl#L1</x:v>
      </x:c>
      <x:c r="AA440" s="6" t="str">
        <x:v>swiss_dwellings</x:v>
      </x:c>
      <x:c r="AB440" s="6" t="str">
        <x:v>CC-BY-4.0</x:v>
      </x:c>
    </x:row>
    <x:row r="441" ht="72" customHeight="1">
      <x:c r="A441" s="14" t="n">
        <x:v>436</x:v>
      </x:c>
      <x:c r="B441" s="6" t="str">
        <x:v>locate</x:v>
      </x:c>
      <x:c r="C441" s="6" t="str">
        <x:v>Where is the coat rack?</x:v>
      </x:c>
      <x:c r="D441" s="6" t="str">
        <x:v>Corridor 1.01 (apartment 2)
Floor level: 1
Asset ID: swiss-4967-A00035
Position (m): -0.006, -0.431</x:v>
      </x:c>
      <x:c r="E441" s="6" t="str">
        <x:v>Reference supplied</x:v>
      </x:c>
      <x:c r="F441" s="6" t="str">
        <x:v>train</x:v>
      </x:c>
      <x:c r="G441" s="6" t="str">
        <x:v>swiss-4967</x:v>
      </x:c>
      <x:c r="H441" s="6" t="str">
        <x:v>swiss-4967-Q01</x:v>
      </x:c>
      <x:c r="I441" s="6" t="str">
        <x:v>Find and count assets</x:v>
      </x:c>
      <x:c r="J441" s="6" t="str">
        <x:v>Warm-up</x:v>
      </x:c>
      <x:c r="K441" s="6" t="str">
        <x:v>Room name, floor and asset identity. Coordinates may help the UI.</x:v>
      </x:c>
      <x:c r="L441" s="6" t="str">
        <x:v>T02, T03</x:v>
      </x:c>
      <x:c r="M441" s="6" t="str">
        <x:v>Find a named item and identify its containing room and floor.</x:v>
      </x:c>
      <x:c r="N441" s="6" t="str">
        <x:v>{"asset_id":"swiss-4967-A00035","space_id":"swiss-4967-F1-S001","space_name":"Corridor 1.01 (apartment 2)","floor_level":1,"position":[-0.006,-0.431]}</x:v>
      </x:c>
      <x:c r="O441" s="6"/>
      <x:c r="P441" s="6" t="str">
        <x:v>Resolve the intended asset and its containing room/floor.</x:v>
      </x:c>
      <x:c r="Q441" s="15"/>
      <x:c r="R441" s="6"/>
      <x:c r="S441" s="16"/>
      <x:c r="T441" s="15"/>
      <x:c r="U441" s="6"/>
      <x:c r="V441" s="6"/>
      <x:c r="W441" s="6" t="str">
        <x:v>Existing search_building. Improve disambiguation and complete result pagination.</x:v>
      </x:c>
      <x:c r="X441" s="6" t="str">
        <x:v>data/train/swiss-4967/questions_basic.jsonl</x:v>
      </x:c>
      <x:c r="Y441" s="14" t="n">
        <x:v>1</x:v>
      </x:c>
      <x:c r="Z441" s="6" t="str">
        <x:v>https://github.com/hagenhaeussler/Industrial-Agents-Hackathon-2026/blob/f41616590b69f3ea0c1cbfb41d6c35edd9ce53df/data/train/swiss-4967/questions_basic.jsonl#L1</x:v>
      </x:c>
      <x:c r="AA441" s="6" t="str">
        <x:v>swiss_dwellings</x:v>
      </x:c>
      <x:c r="AB441" s="6" t="str">
        <x:v>CC-BY-4.0</x:v>
      </x:c>
    </x:row>
    <x:row r="442" ht="72" customHeight="1">
      <x:c r="A442" s="14" t="n">
        <x:v>437</x:v>
      </x:c>
      <x:c r="B442" s="6" t="str">
        <x:v>locate</x:v>
      </x:c>
      <x:c r="C442" s="6" t="str">
        <x:v>Where is the shoe cabinet?</x:v>
      </x:c>
      <x:c r="D442" s="6" t="str">
        <x:v>Corridor 4.06 (apartment 5)
Floor level: 4
Asset ID: swiss-4967-A00110
Position (m): -0.183, -1.159</x:v>
      </x:c>
      <x:c r="E442" s="6" t="str">
        <x:v>Reference supplied</x:v>
      </x:c>
      <x:c r="F442" s="6" t="str">
        <x:v>train</x:v>
      </x:c>
      <x:c r="G442" s="6" t="str">
        <x:v>swiss-4967</x:v>
      </x:c>
      <x:c r="H442" s="6" t="str">
        <x:v>swiss-4967-Q02</x:v>
      </x:c>
      <x:c r="I442" s="6" t="str">
        <x:v>Find and count assets</x:v>
      </x:c>
      <x:c r="J442" s="6" t="str">
        <x:v>Warm-up</x:v>
      </x:c>
      <x:c r="K442" s="6" t="str">
        <x:v>Room name, floor and asset identity. Coordinates may help the UI.</x:v>
      </x:c>
      <x:c r="L442" s="6" t="str">
        <x:v>T02, T03</x:v>
      </x:c>
      <x:c r="M442" s="6" t="str">
        <x:v>Find a named item and identify its containing room and floor.</x:v>
      </x:c>
      <x:c r="N442" s="6" t="str">
        <x:v>{"asset_id":"swiss-4967-A00110","space_id":"swiss-4967-F4-S006","space_name":"Corridor 4.06 (apartment 5)","floor_level":4,"position":[-0.183,-1.159]}</x:v>
      </x:c>
      <x:c r="O442" s="6"/>
      <x:c r="P442" s="6" t="str">
        <x:v>Resolve the intended asset and its containing room/floor.</x:v>
      </x:c>
      <x:c r="Q442" s="15"/>
      <x:c r="R442" s="6"/>
      <x:c r="S442" s="16"/>
      <x:c r="T442" s="15"/>
      <x:c r="U442" s="6"/>
      <x:c r="V442" s="6"/>
      <x:c r="W442" s="6" t="str">
        <x:v>Existing search_building. Improve disambiguation and complete result pagination.</x:v>
      </x:c>
      <x:c r="X442" s="6" t="str">
        <x:v>data/train/swiss-4967/questions_basic.jsonl</x:v>
      </x:c>
      <x:c r="Y442" s="14" t="n">
        <x:v>2</x:v>
      </x:c>
      <x:c r="Z442" s="6" t="str">
        <x:v>https://github.com/hagenhaeussler/Industrial-Agents-Hackathon-2026/blob/f41616590b69f3ea0c1cbfb41d6c35edd9ce53df/data/train/swiss-4967/questions_basic.jsonl#L2</x:v>
      </x:c>
      <x:c r="AA442" s="6" t="str">
        <x:v>swiss_dwellings</x:v>
      </x:c>
      <x:c r="AB442" s="6" t="str">
        <x:v>CC-BY-4.0</x:v>
      </x:c>
    </x:row>
    <x:row r="443" ht="72" customHeight="1">
      <x:c r="A443" s="14" t="n">
        <x:v>438</x:v>
      </x:c>
      <x:c r="B443" s="6" t="str">
        <x:v>locate</x:v>
      </x:c>
      <x:c r="C443" s="6" t="str">
        <x:v>Where is the dishwasher?</x:v>
      </x:c>
      <x:c r="D443" s="6" t="str">
        <x:v>Kitchen 3.07 (apartment 4)
Floor level: 3
Asset ID: swiss-4967-A00090
Position (m): -2.388, 2.162</x:v>
      </x:c>
      <x:c r="E443" s="6" t="str">
        <x:v>Reference supplied</x:v>
      </x:c>
      <x:c r="F443" s="6" t="str">
        <x:v>train</x:v>
      </x:c>
      <x:c r="G443" s="6" t="str">
        <x:v>swiss-4967</x:v>
      </x:c>
      <x:c r="H443" s="6" t="str">
        <x:v>swiss-4967-Q03</x:v>
      </x:c>
      <x:c r="I443" s="6" t="str">
        <x:v>Find and count assets</x:v>
      </x:c>
      <x:c r="J443" s="6" t="str">
        <x:v>Warm-up</x:v>
      </x:c>
      <x:c r="K443" s="6" t="str">
        <x:v>Room name, floor and asset identity. Coordinates may help the UI.</x:v>
      </x:c>
      <x:c r="L443" s="6" t="str">
        <x:v>T02, T03</x:v>
      </x:c>
      <x:c r="M443" s="6" t="str">
        <x:v>Find a named item and identify its containing room and floor.</x:v>
      </x:c>
      <x:c r="N443" s="6" t="str">
        <x:v>{"asset_id":"swiss-4967-A00090","space_id":"swiss-4967-F3-S007","space_name":"Kitchen 3.07 (apartment 4)","floor_level":3,"position":[-2.388,2.162]}</x:v>
      </x:c>
      <x:c r="O443" s="6"/>
      <x:c r="P443" s="6" t="str">
        <x:v>Resolve the intended asset and its containing room/floor.</x:v>
      </x:c>
      <x:c r="Q443" s="15"/>
      <x:c r="R443" s="6"/>
      <x:c r="S443" s="16"/>
      <x:c r="T443" s="15"/>
      <x:c r="U443" s="6"/>
      <x:c r="V443" s="6"/>
      <x:c r="W443" s="6" t="str">
        <x:v>Existing search_building. Improve disambiguation and complete result pagination.</x:v>
      </x:c>
      <x:c r="X443" s="6" t="str">
        <x:v>data/train/swiss-4967/questions_basic.jsonl</x:v>
      </x:c>
      <x:c r="Y443" s="14" t="n">
        <x:v>3</x:v>
      </x:c>
      <x:c r="Z443" s="6" t="str">
        <x:v>https://github.com/hagenhaeussler/Industrial-Agents-Hackathon-2026/blob/f41616590b69f3ea0c1cbfb41d6c35edd9ce53df/data/train/swiss-4967/questions_basic.jsonl#L3</x:v>
      </x:c>
      <x:c r="AA443" s="6" t="str">
        <x:v>swiss_dwellings</x:v>
      </x:c>
      <x:c r="AB443" s="6" t="str">
        <x:v>CC-BY-4.0</x:v>
      </x:c>
    </x:row>
    <x:row r="444" ht="72" customHeight="1">
      <x:c r="A444" s="14" t="n">
        <x:v>439</x:v>
      </x:c>
      <x:c r="B444" s="6" t="str">
        <x:v>locate</x:v>
      </x:c>
      <x:c r="C444" s="6" t="str">
        <x:v>Where is the dishwasher?</x:v>
      </x:c>
      <x:c r="D444" s="6" t="str">
        <x:v>Kitchen 5.08 (apartment 12)
Floor level: 5
Asset ID: swiss-5354-A00324
Position (m): 8.215, -1.359</x:v>
      </x:c>
      <x:c r="E444" s="6" t="str">
        <x:v>Reference supplied</x:v>
      </x:c>
      <x:c r="F444" s="6" t="str">
        <x:v>train</x:v>
      </x:c>
      <x:c r="G444" s="6" t="str">
        <x:v>swiss-5354</x:v>
      </x:c>
      <x:c r="H444" s="6" t="str">
        <x:v>swiss-5354-Q01</x:v>
      </x:c>
      <x:c r="I444" s="6" t="str">
        <x:v>Find and count assets</x:v>
      </x:c>
      <x:c r="J444" s="6" t="str">
        <x:v>Warm-up</x:v>
      </x:c>
      <x:c r="K444" s="6" t="str">
        <x:v>Room name, floor and asset identity. Coordinates may help the UI.</x:v>
      </x:c>
      <x:c r="L444" s="6" t="str">
        <x:v>T02, T03</x:v>
      </x:c>
      <x:c r="M444" s="6" t="str">
        <x:v>Find a named item and identify its containing room and floor.</x:v>
      </x:c>
      <x:c r="N444" s="6" t="str">
        <x:v>{"asset_id":"swiss-5354-A00324","space_id":"swiss-5354-F5-S008","space_name":"Kitchen 5.08 (apartment 12)","floor_level":5,"position":[8.215,-1.359]}</x:v>
      </x:c>
      <x:c r="O444" s="6"/>
      <x:c r="P444" s="6" t="str">
        <x:v>Resolve the intended asset and its containing room/floor.</x:v>
      </x:c>
      <x:c r="Q444" s="15"/>
      <x:c r="R444" s="6"/>
      <x:c r="S444" s="16"/>
      <x:c r="T444" s="15"/>
      <x:c r="U444" s="6"/>
      <x:c r="V444" s="6"/>
      <x:c r="W444" s="6" t="str">
        <x:v>Existing search_building. Improve disambiguation and complete result pagination.</x:v>
      </x:c>
      <x:c r="X444" s="6" t="str">
        <x:v>data/train/swiss-5354/questions_basic.jsonl</x:v>
      </x:c>
      <x:c r="Y444" s="14" t="n">
        <x:v>1</x:v>
      </x:c>
      <x:c r="Z444" s="6" t="str">
        <x:v>https://github.com/hagenhaeussler/Industrial-Agents-Hackathon-2026/blob/f41616590b69f3ea0c1cbfb41d6c35edd9ce53df/data/train/swiss-5354/questions_basic.jsonl#L1</x:v>
      </x:c>
      <x:c r="AA444" s="6" t="str">
        <x:v>swiss_dwellings</x:v>
      </x:c>
      <x:c r="AB444" s="6" t="str">
        <x:v>CC-BY-4.0</x:v>
      </x:c>
    </x:row>
    <x:row r="445" ht="72" customHeight="1">
      <x:c r="A445" s="14" t="n">
        <x:v>440</x:v>
      </x:c>
      <x:c r="B445" s="6" t="str">
        <x:v>locate</x:v>
      </x:c>
      <x:c r="C445" s="6" t="str">
        <x:v>Where is the shower?</x:v>
      </x:c>
      <x:c r="D445" s="6" t="str">
        <x:v>Bathroom 1.05 (apartment 4)
Floor level: 1
Asset ID: swiss-5422-A00008
Position (m): -1.434, -0.108</x:v>
      </x:c>
      <x:c r="E445" s="6" t="str">
        <x:v>Reference supplied</x:v>
      </x:c>
      <x:c r="F445" s="6" t="str">
        <x:v>train</x:v>
      </x:c>
      <x:c r="G445" s="6" t="str">
        <x:v>swiss-5422</x:v>
      </x:c>
      <x:c r="H445" s="6" t="str">
        <x:v>swiss-5422-Q01</x:v>
      </x:c>
      <x:c r="I445" s="6" t="str">
        <x:v>Find and count assets</x:v>
      </x:c>
      <x:c r="J445" s="6" t="str">
        <x:v>Warm-up</x:v>
      </x:c>
      <x:c r="K445" s="6" t="str">
        <x:v>Room name, floor and asset identity. Coordinates may help the UI.</x:v>
      </x:c>
      <x:c r="L445" s="6" t="str">
        <x:v>T02, T03</x:v>
      </x:c>
      <x:c r="M445" s="6" t="str">
        <x:v>Find a named item and identify its containing room and floor.</x:v>
      </x:c>
      <x:c r="N445" s="6" t="str">
        <x:v>{"asset_id":"swiss-5422-A00008","space_id":"swiss-5422-F1-S005","space_name":"Bathroom 1.05 (apartment 4)","floor_level":1,"position":[-1.434,-0.108]}</x:v>
      </x:c>
      <x:c r="O445" s="6"/>
      <x:c r="P445" s="6" t="str">
        <x:v>Resolve the intended asset and its containing room/floor.</x:v>
      </x:c>
      <x:c r="Q445" s="15"/>
      <x:c r="R445" s="6"/>
      <x:c r="S445" s="16"/>
      <x:c r="T445" s="15"/>
      <x:c r="U445" s="6"/>
      <x:c r="V445" s="6"/>
      <x:c r="W445" s="6" t="str">
        <x:v>Existing search_building. Improve disambiguation and complete result pagination.</x:v>
      </x:c>
      <x:c r="X445" s="6" t="str">
        <x:v>data/train/swiss-5422/questions_basic.jsonl</x:v>
      </x:c>
      <x:c r="Y445" s="14" t="n">
        <x:v>1</x:v>
      </x:c>
      <x:c r="Z445" s="6" t="str">
        <x:v>https://github.com/hagenhaeussler/Industrial-Agents-Hackathon-2026/blob/f41616590b69f3ea0c1cbfb41d6c35edd9ce53df/data/train/swiss-5422/questions_basic.jsonl#L1</x:v>
      </x:c>
      <x:c r="AA445" s="6" t="str">
        <x:v>swiss_dwellings</x:v>
      </x:c>
      <x:c r="AB445" s="6" t="str">
        <x:v>CC-BY-4.0</x:v>
      </x:c>
    </x:row>
    <x:row r="446" ht="72" customHeight="1">
      <x:c r="A446" s="14" t="n">
        <x:v>441</x:v>
      </x:c>
      <x:c r="B446" s="6" t="str">
        <x:v>locate</x:v>
      </x:c>
      <x:c r="C446" s="6" t="str">
        <x:v>Where is the microwave?</x:v>
      </x:c>
      <x:c r="D446" s="6" t="str">
        <x:v>Kitchen 1.10 (apartment 4)
Floor level: 1
Asset ID: swiss-5422-A00035
Position (m): -4.181, -0.554</x:v>
      </x:c>
      <x:c r="E446" s="6" t="str">
        <x:v>Reference supplied</x:v>
      </x:c>
      <x:c r="F446" s="6" t="str">
        <x:v>train</x:v>
      </x:c>
      <x:c r="G446" s="6" t="str">
        <x:v>swiss-5422</x:v>
      </x:c>
      <x:c r="H446" s="6" t="str">
        <x:v>swiss-5422-Q02</x:v>
      </x:c>
      <x:c r="I446" s="6" t="str">
        <x:v>Find and count assets</x:v>
      </x:c>
      <x:c r="J446" s="6" t="str">
        <x:v>Warm-up</x:v>
      </x:c>
      <x:c r="K446" s="6" t="str">
        <x:v>Room name, floor and asset identity. Coordinates may help the UI.</x:v>
      </x:c>
      <x:c r="L446" s="6" t="str">
        <x:v>T02, T03</x:v>
      </x:c>
      <x:c r="M446" s="6" t="str">
        <x:v>Find a named item and identify its containing room and floor.</x:v>
      </x:c>
      <x:c r="N446" s="6" t="str">
        <x:v>{"asset_id":"swiss-5422-A00035","space_id":"swiss-5422-F1-S010","space_name":"Kitchen 1.10 (apartment 4)","floor_level":1,"position":[-4.181,-0.554]}</x:v>
      </x:c>
      <x:c r="O446" s="6"/>
      <x:c r="P446" s="6" t="str">
        <x:v>Resolve the intended asset and its containing room/floor.</x:v>
      </x:c>
      <x:c r="Q446" s="15"/>
      <x:c r="R446" s="6"/>
      <x:c r="S446" s="16"/>
      <x:c r="T446" s="15"/>
      <x:c r="U446" s="6"/>
      <x:c r="V446" s="6"/>
      <x:c r="W446" s="6" t="str">
        <x:v>Existing search_building. Improve disambiguation and complete result pagination.</x:v>
      </x:c>
      <x:c r="X446" s="6" t="str">
        <x:v>data/train/swiss-5422/questions_basic.jsonl</x:v>
      </x:c>
      <x:c r="Y446" s="14" t="n">
        <x:v>2</x:v>
      </x:c>
      <x:c r="Z446" s="6" t="str">
        <x:v>https://github.com/hagenhaeussler/Industrial-Agents-Hackathon-2026/blob/f41616590b69f3ea0c1cbfb41d6c35edd9ce53df/data/train/swiss-5422/questions_basic.jsonl#L2</x:v>
      </x:c>
      <x:c r="AA446" s="6" t="str">
        <x:v>swiss_dwellings</x:v>
      </x:c>
      <x:c r="AB446" s="6" t="str">
        <x:v>CC-BY-4.0</x:v>
      </x:c>
    </x:row>
    <x:row r="447" ht="72" customHeight="1">
      <x:c r="A447" s="14" t="n">
        <x:v>442</x:v>
      </x:c>
      <x:c r="B447" s="6" t="str">
        <x:v>locate</x:v>
      </x:c>
      <x:c r="C447" s="6" t="str">
        <x:v>Where is the dishwasher?</x:v>
      </x:c>
      <x:c r="D447" s="6" t="str">
        <x:v>Kitchen 1.10 (apartment 4)
Floor level: 1
Asset ID: swiss-5422-A00034
Position (m): -2.815, -1.165</x:v>
      </x:c>
      <x:c r="E447" s="6" t="str">
        <x:v>Reference supplied</x:v>
      </x:c>
      <x:c r="F447" s="6" t="str">
        <x:v>train</x:v>
      </x:c>
      <x:c r="G447" s="6" t="str">
        <x:v>swiss-5422</x:v>
      </x:c>
      <x:c r="H447" s="6" t="str">
        <x:v>swiss-5422-Q03</x:v>
      </x:c>
      <x:c r="I447" s="6" t="str">
        <x:v>Find and count assets</x:v>
      </x:c>
      <x:c r="J447" s="6" t="str">
        <x:v>Warm-up</x:v>
      </x:c>
      <x:c r="K447" s="6" t="str">
        <x:v>Room name, floor and asset identity. Coordinates may help the UI.</x:v>
      </x:c>
      <x:c r="L447" s="6" t="str">
        <x:v>T02, T03</x:v>
      </x:c>
      <x:c r="M447" s="6" t="str">
        <x:v>Find a named item and identify its containing room and floor.</x:v>
      </x:c>
      <x:c r="N447" s="6" t="str">
        <x:v>{"asset_id":"swiss-5422-A00034","space_id":"swiss-5422-F1-S010","space_name":"Kitchen 1.10 (apartment 4)","floor_level":1,"position":[-2.815,-1.165]}</x:v>
      </x:c>
      <x:c r="O447" s="6"/>
      <x:c r="P447" s="6" t="str">
        <x:v>Resolve the intended asset and its containing room/floor.</x:v>
      </x:c>
      <x:c r="Q447" s="15"/>
      <x:c r="R447" s="6"/>
      <x:c r="S447" s="16"/>
      <x:c r="T447" s="15"/>
      <x:c r="U447" s="6"/>
      <x:c r="V447" s="6"/>
      <x:c r="W447" s="6" t="str">
        <x:v>Existing search_building. Improve disambiguation and complete result pagination.</x:v>
      </x:c>
      <x:c r="X447" s="6" t="str">
        <x:v>data/train/swiss-5422/questions_basic.jsonl</x:v>
      </x:c>
      <x:c r="Y447" s="14" t="n">
        <x:v>3</x:v>
      </x:c>
      <x:c r="Z447" s="6" t="str">
        <x:v>https://github.com/hagenhaeussler/Industrial-Agents-Hackathon-2026/blob/f41616590b69f3ea0c1cbfb41d6c35edd9ce53df/data/train/swiss-5422/questions_basic.jsonl#L3</x:v>
      </x:c>
      <x:c r="AA447" s="6" t="str">
        <x:v>swiss_dwellings</x:v>
      </x:c>
      <x:c r="AB447" s="6" t="str">
        <x:v>CC-BY-4.0</x:v>
      </x:c>
    </x:row>
    <x:row r="448" ht="72" customHeight="1">
      <x:c r="A448" s="14" t="n">
        <x:v>443</x:v>
      </x:c>
      <x:c r="B448" s="6" t="str">
        <x:v>locate</x:v>
      </x:c>
      <x:c r="C448" s="6" t="str">
        <x:v>Where is the outdoor table?</x:v>
      </x:c>
      <x:c r="D448" s="6" t="str">
        <x:v>Balcony 5.02 (apartment 11)
Floor level: 5
Asset ID: swiss-5690-A00316
Position (m): -6.95, 2.848</x:v>
      </x:c>
      <x:c r="E448" s="6" t="str">
        <x:v>Reference supplied</x:v>
      </x:c>
      <x:c r="F448" s="6" t="str">
        <x:v>train</x:v>
      </x:c>
      <x:c r="G448" s="6" t="str">
        <x:v>swiss-5690</x:v>
      </x:c>
      <x:c r="H448" s="6" t="str">
        <x:v>swiss-5690-Q01</x:v>
      </x:c>
      <x:c r="I448" s="6" t="str">
        <x:v>Find and count assets</x:v>
      </x:c>
      <x:c r="J448" s="6" t="str">
        <x:v>Warm-up</x:v>
      </x:c>
      <x:c r="K448" s="6" t="str">
        <x:v>Room name, floor and asset identity. Coordinates may help the UI.</x:v>
      </x:c>
      <x:c r="L448" s="6" t="str">
        <x:v>T02, T03</x:v>
      </x:c>
      <x:c r="M448" s="6" t="str">
        <x:v>Find a named item and identify its containing room and floor.</x:v>
      </x:c>
      <x:c r="N448" s="6" t="str">
        <x:v>{"asset_id":"swiss-5690-A00316","space_id":"swiss-5690-F5-S002","space_name":"Balcony 5.02 (apartment 11)","floor_level":5,"position":[-6.95,2.848]}</x:v>
      </x:c>
      <x:c r="O448" s="6"/>
      <x:c r="P448" s="6" t="str">
        <x:v>Resolve the intended asset and its containing room/floor.</x:v>
      </x:c>
      <x:c r="Q448" s="15"/>
      <x:c r="R448" s="6"/>
      <x:c r="S448" s="16"/>
      <x:c r="T448" s="15"/>
      <x:c r="U448" s="6"/>
      <x:c r="V448" s="6"/>
      <x:c r="W448" s="6" t="str">
        <x:v>Existing search_building. Improve disambiguation and complete result pagination.</x:v>
      </x:c>
      <x:c r="X448" s="6" t="str">
        <x:v>data/train/swiss-5690/questions_basic.jsonl</x:v>
      </x:c>
      <x:c r="Y448" s="14" t="n">
        <x:v>1</x:v>
      </x:c>
      <x:c r="Z448" s="6" t="str">
        <x:v>https://github.com/hagenhaeussler/Industrial-Agents-Hackathon-2026/blob/f41616590b69f3ea0c1cbfb41d6c35edd9ce53df/data/train/swiss-5690/questions_basic.jsonl#L1</x:v>
      </x:c>
      <x:c r="AA448" s="6" t="str">
        <x:v>swiss_dwellings</x:v>
      </x:c>
      <x:c r="AB448" s="6" t="str">
        <x:v>CC-BY-4.0</x:v>
      </x:c>
    </x:row>
    <x:row r="449" ht="72" customHeight="1">
      <x:c r="A449" s="14" t="n">
        <x:v>444</x:v>
      </x:c>
      <x:c r="B449" s="6" t="str">
        <x:v>locate</x:v>
      </x:c>
      <x:c r="C449" s="6" t="str">
        <x:v>Where is the stove?</x:v>
      </x:c>
      <x:c r="D449" s="6" t="str">
        <x:v>Kitchen 0.07 (apartment 1)
Floor level: 0
Asset ID: swiss-5779-A00027
Position (m): -2.408, -7.778</x:v>
      </x:c>
      <x:c r="E449" s="6" t="str">
        <x:v>Reference supplied</x:v>
      </x:c>
      <x:c r="F449" s="6" t="str">
        <x:v>train</x:v>
      </x:c>
      <x:c r="G449" s="6" t="str">
        <x:v>swiss-5779</x:v>
      </x:c>
      <x:c r="H449" s="6" t="str">
        <x:v>swiss-5779-Q01</x:v>
      </x:c>
      <x:c r="I449" s="6" t="str">
        <x:v>Find and count assets</x:v>
      </x:c>
      <x:c r="J449" s="6" t="str">
        <x:v>Warm-up</x:v>
      </x:c>
      <x:c r="K449" s="6" t="str">
        <x:v>Room name, floor and asset identity. Coordinates may help the UI.</x:v>
      </x:c>
      <x:c r="L449" s="6" t="str">
        <x:v>T02, T03</x:v>
      </x:c>
      <x:c r="M449" s="6" t="str">
        <x:v>Find a named item and identify its containing room and floor.</x:v>
      </x:c>
      <x:c r="N449" s="6" t="str">
        <x:v>{"asset_id":"swiss-5779-A00027","space_id":"swiss-5779-F0-S007","space_name":"Kitchen 0.07 (apartment 1)","floor_level":0,"position":[-2.408,-7.778]}</x:v>
      </x:c>
      <x:c r="O449" s="6"/>
      <x:c r="P449" s="6" t="str">
        <x:v>Resolve the intended asset and its containing room/floor.</x:v>
      </x:c>
      <x:c r="Q449" s="15"/>
      <x:c r="R449" s="6"/>
      <x:c r="S449" s="16"/>
      <x:c r="T449" s="15"/>
      <x:c r="U449" s="6"/>
      <x:c r="V449" s="6"/>
      <x:c r="W449" s="6" t="str">
        <x:v>Existing search_building. Improve disambiguation and complete result pagination.</x:v>
      </x:c>
      <x:c r="X449" s="6" t="str">
        <x:v>data/train/swiss-5779/questions_basic.jsonl</x:v>
      </x:c>
      <x:c r="Y449" s="14" t="n">
        <x:v>1</x:v>
      </x:c>
      <x:c r="Z449" s="6" t="str">
        <x:v>https://github.com/hagenhaeussler/Industrial-Agents-Hackathon-2026/blob/f41616590b69f3ea0c1cbfb41d6c35edd9ce53df/data/train/swiss-5779/questions_basic.jsonl#L1</x:v>
      </x:c>
      <x:c r="AA449" s="6" t="str">
        <x:v>swiss_dwellings</x:v>
      </x:c>
      <x:c r="AB449" s="6" t="str">
        <x:v>CC-BY-4.0</x:v>
      </x:c>
    </x:row>
    <x:row r="450" ht="72" customHeight="1">
      <x:c r="A450" s="14" t="n">
        <x:v>445</x:v>
      </x:c>
      <x:c r="B450" s="6" t="str">
        <x:v>locate</x:v>
      </x:c>
      <x:c r="C450" s="6" t="str">
        <x:v>Where is the tv stand?</x:v>
      </x:c>
      <x:c r="D450" s="6" t="str">
        <x:v>Living room 0.05 (apartment 1)
Floor level: 0
Asset ID: swiss-5779-A00021
Position (m): -4.874, -4.659</x:v>
      </x:c>
      <x:c r="E450" s="6" t="str">
        <x:v>Reference supplied</x:v>
      </x:c>
      <x:c r="F450" s="6" t="str">
        <x:v>train</x:v>
      </x:c>
      <x:c r="G450" s="6" t="str">
        <x:v>swiss-5779</x:v>
      </x:c>
      <x:c r="H450" s="6" t="str">
        <x:v>swiss-5779-Q02</x:v>
      </x:c>
      <x:c r="I450" s="6" t="str">
        <x:v>Find and count assets</x:v>
      </x:c>
      <x:c r="J450" s="6" t="str">
        <x:v>Warm-up</x:v>
      </x:c>
      <x:c r="K450" s="6" t="str">
        <x:v>Room name, floor and asset identity. Coordinates may help the UI.</x:v>
      </x:c>
      <x:c r="L450" s="6" t="str">
        <x:v>T02, T03</x:v>
      </x:c>
      <x:c r="M450" s="6" t="str">
        <x:v>Find a named item and identify its containing room and floor.</x:v>
      </x:c>
      <x:c r="N450" s="6" t="str">
        <x:v>{"asset_id":"swiss-5779-A00021","space_id":"swiss-5779-F0-S005","space_name":"Living room 0.05 (apartment 1)","floor_level":0,"position":[-4.874,-4.659]}</x:v>
      </x:c>
      <x:c r="O450" s="6"/>
      <x:c r="P450" s="6" t="str">
        <x:v>Resolve the intended asset and its containing room/floor.</x:v>
      </x:c>
      <x:c r="Q450" s="15"/>
      <x:c r="R450" s="6"/>
      <x:c r="S450" s="16"/>
      <x:c r="T450" s="15"/>
      <x:c r="U450" s="6"/>
      <x:c r="V450" s="6"/>
      <x:c r="W450" s="6" t="str">
        <x:v>Existing search_building. Improve disambiguation and complete result pagination.</x:v>
      </x:c>
      <x:c r="X450" s="6" t="str">
        <x:v>data/train/swiss-5779/questions_basic.jsonl</x:v>
      </x:c>
      <x:c r="Y450" s="14" t="n">
        <x:v>2</x:v>
      </x:c>
      <x:c r="Z450" s="6" t="str">
        <x:v>https://github.com/hagenhaeussler/Industrial-Agents-Hackathon-2026/blob/f41616590b69f3ea0c1cbfb41d6c35edd9ce53df/data/train/swiss-5779/questions_basic.jsonl#L2</x:v>
      </x:c>
      <x:c r="AA450" s="6" t="str">
        <x:v>swiss_dwellings</x:v>
      </x:c>
      <x:c r="AB450" s="6" t="str">
        <x:v>CC-BY-4.0</x:v>
      </x:c>
    </x:row>
    <x:row r="451" ht="72" customHeight="1">
      <x:c r="A451" s="14" t="n">
        <x:v>446</x:v>
      </x:c>
      <x:c r="B451" s="6" t="str">
        <x:v>locate</x:v>
      </x:c>
      <x:c r="C451" s="6" t="str">
        <x:v>Where is the desk?</x:v>
      </x:c>
      <x:c r="D451" s="6" t="str">
        <x:v>Bedroom 0.02 (apartment 1)
Floor level: 0
Asset ID: swiss-5779-A00016
Position (m): 0.751, 5.341</x:v>
      </x:c>
      <x:c r="E451" s="6" t="str">
        <x:v>Reference supplied</x:v>
      </x:c>
      <x:c r="F451" s="6" t="str">
        <x:v>train</x:v>
      </x:c>
      <x:c r="G451" s="6" t="str">
        <x:v>swiss-5779</x:v>
      </x:c>
      <x:c r="H451" s="6" t="str">
        <x:v>swiss-5779-Q03</x:v>
      </x:c>
      <x:c r="I451" s="6" t="str">
        <x:v>Find and count assets</x:v>
      </x:c>
      <x:c r="J451" s="6" t="str">
        <x:v>Warm-up</x:v>
      </x:c>
      <x:c r="K451" s="6" t="str">
        <x:v>Room name, floor and asset identity. Coordinates may help the UI.</x:v>
      </x:c>
      <x:c r="L451" s="6" t="str">
        <x:v>T02, T03</x:v>
      </x:c>
      <x:c r="M451" s="6" t="str">
        <x:v>Find a named item and identify its containing room and floor.</x:v>
      </x:c>
      <x:c r="N451" s="6" t="str">
        <x:v>{"asset_id":"swiss-5779-A00016","space_id":"swiss-5779-F0-S002","space_name":"Bedroom 0.02 (apartment 1)","floor_level":0,"position":[0.751,5.341]}</x:v>
      </x:c>
      <x:c r="O451" s="6"/>
      <x:c r="P451" s="6" t="str">
        <x:v>Resolve the intended asset and its containing room/floor.</x:v>
      </x:c>
      <x:c r="Q451" s="15"/>
      <x:c r="R451" s="6"/>
      <x:c r="S451" s="16"/>
      <x:c r="T451" s="15"/>
      <x:c r="U451" s="6"/>
      <x:c r="V451" s="6"/>
      <x:c r="W451" s="6" t="str">
        <x:v>Existing search_building. Improve disambiguation and complete result pagination.</x:v>
      </x:c>
      <x:c r="X451" s="6" t="str">
        <x:v>data/train/swiss-5779/questions_basic.jsonl</x:v>
      </x:c>
      <x:c r="Y451" s="14" t="n">
        <x:v>3</x:v>
      </x:c>
      <x:c r="Z451" s="6" t="str">
        <x:v>https://github.com/hagenhaeussler/Industrial-Agents-Hackathon-2026/blob/f41616590b69f3ea0c1cbfb41d6c35edd9ce53df/data/train/swiss-5779/questions_basic.jsonl#L3</x:v>
      </x:c>
      <x:c r="AA451" s="6" t="str">
        <x:v>swiss_dwellings</x:v>
      </x:c>
      <x:c r="AB451" s="6" t="str">
        <x:v>CC-BY-4.0</x:v>
      </x:c>
    </x:row>
    <x:row r="452" ht="72" customHeight="1">
      <x:c r="A452" s="14" t="n">
        <x:v>447</x:v>
      </x:c>
      <x:c r="B452" s="6" t="str">
        <x:v>locate</x:v>
      </x:c>
      <x:c r="C452" s="6" t="str">
        <x:v>Where is the dishwasher?</x:v>
      </x:c>
      <x:c r="D452" s="6" t="str">
        <x:v>Kitchen 0.06 (apartment 1)
Floor level: 0
Asset ID: swiss-59-A00028
Position (m): 1.959, 3.124</x:v>
      </x:c>
      <x:c r="E452" s="6" t="str">
        <x:v>Reference supplied</x:v>
      </x:c>
      <x:c r="F452" s="6" t="str">
        <x:v>train</x:v>
      </x:c>
      <x:c r="G452" s="6" t="str">
        <x:v>swiss-59</x:v>
      </x:c>
      <x:c r="H452" s="6" t="str">
        <x:v>swiss-59-Q01</x:v>
      </x:c>
      <x:c r="I452" s="6" t="str">
        <x:v>Find and count assets</x:v>
      </x:c>
      <x:c r="J452" s="6" t="str">
        <x:v>Warm-up</x:v>
      </x:c>
      <x:c r="K452" s="6" t="str">
        <x:v>Room name, floor and asset identity. Coordinates may help the UI.</x:v>
      </x:c>
      <x:c r="L452" s="6" t="str">
        <x:v>T02, T03</x:v>
      </x:c>
      <x:c r="M452" s="6" t="str">
        <x:v>Find a named item and identify its containing room and floor.</x:v>
      </x:c>
      <x:c r="N452" s="6" t="str">
        <x:v>{"asset_id":"swiss-59-A00028","space_id":"swiss-59-F0-S006","space_name":"Kitchen 0.06 (apartment 1)","floor_level":0,"position":[1.959,3.124]}</x:v>
      </x:c>
      <x:c r="O452" s="6"/>
      <x:c r="P452" s="6" t="str">
        <x:v>Resolve the intended asset and its containing room/floor.</x:v>
      </x:c>
      <x:c r="Q452" s="15"/>
      <x:c r="R452" s="6"/>
      <x:c r="S452" s="16"/>
      <x:c r="T452" s="15"/>
      <x:c r="U452" s="6"/>
      <x:c r="V452" s="6"/>
      <x:c r="W452" s="6" t="str">
        <x:v>Existing search_building. Improve disambiguation and complete result pagination.</x:v>
      </x:c>
      <x:c r="X452" s="6" t="str">
        <x:v>data/train/swiss-59/questions_basic.jsonl</x:v>
      </x:c>
      <x:c r="Y452" s="14" t="n">
        <x:v>1</x:v>
      </x:c>
      <x:c r="Z452" s="6" t="str">
        <x:v>https://github.com/hagenhaeussler/Industrial-Agents-Hackathon-2026/blob/f41616590b69f3ea0c1cbfb41d6c35edd9ce53df/data/train/swiss-59/questions_basic.jsonl#L1</x:v>
      </x:c>
      <x:c r="AA452" s="6" t="str">
        <x:v>swiss_dwellings</x:v>
      </x:c>
      <x:c r="AB452" s="6" t="str">
        <x:v>CC-BY-4.0</x:v>
      </x:c>
    </x:row>
    <x:row r="453" ht="72" customHeight="1">
      <x:c r="A453" s="14" t="n">
        <x:v>448</x:v>
      </x:c>
      <x:c r="B453" s="6" t="str">
        <x:v>locate</x:v>
      </x:c>
      <x:c r="C453" s="6" t="str">
        <x:v>Where is the shoe cabinet?</x:v>
      </x:c>
      <x:c r="D453" s="6" t="str">
        <x:v>Corridor 1.01 (apartment 3)
Floor level: 1
Asset ID: swiss-6148-A00055
Position (m): 1.117, 15.835</x:v>
      </x:c>
      <x:c r="E453" s="6" t="str">
        <x:v>Reference supplied</x:v>
      </x:c>
      <x:c r="F453" s="6" t="str">
        <x:v>train</x:v>
      </x:c>
      <x:c r="G453" s="6" t="str">
        <x:v>swiss-6148</x:v>
      </x:c>
      <x:c r="H453" s="6" t="str">
        <x:v>swiss-6148-Q01</x:v>
      </x:c>
      <x:c r="I453" s="6" t="str">
        <x:v>Find and count assets</x:v>
      </x:c>
      <x:c r="J453" s="6" t="str">
        <x:v>Warm-up</x:v>
      </x:c>
      <x:c r="K453" s="6" t="str">
        <x:v>Room name, floor and asset identity. Coordinates may help the UI.</x:v>
      </x:c>
      <x:c r="L453" s="6" t="str">
        <x:v>T02, T03</x:v>
      </x:c>
      <x:c r="M453" s="6" t="str">
        <x:v>Find a named item and identify its containing room and floor.</x:v>
      </x:c>
      <x:c r="N453" s="6" t="str">
        <x:v>{"asset_id":"swiss-6148-A00055","space_id":"swiss-6148-F1-S001","space_name":"Corridor 1.01 (apartment 3)","floor_level":1,"position":[1.117,15.835]}</x:v>
      </x:c>
      <x:c r="O453" s="6"/>
      <x:c r="P453" s="6" t="str">
        <x:v>Resolve the intended asset and its containing room/floor.</x:v>
      </x:c>
      <x:c r="Q453" s="15"/>
      <x:c r="R453" s="6"/>
      <x:c r="S453" s="16"/>
      <x:c r="T453" s="15"/>
      <x:c r="U453" s="6"/>
      <x:c r="V453" s="6"/>
      <x:c r="W453" s="6" t="str">
        <x:v>Existing search_building. Improve disambiguation and complete result pagination.</x:v>
      </x:c>
      <x:c r="X453" s="6" t="str">
        <x:v>data/train/swiss-6148/questions_basic.jsonl</x:v>
      </x:c>
      <x:c r="Y453" s="14" t="n">
        <x:v>1</x:v>
      </x:c>
      <x:c r="Z453" s="6" t="str">
        <x:v>https://github.com/hagenhaeussler/Industrial-Agents-Hackathon-2026/blob/f41616590b69f3ea0c1cbfb41d6c35edd9ce53df/data/train/swiss-6148/questions_basic.jsonl#L1</x:v>
      </x:c>
      <x:c r="AA453" s="6" t="str">
        <x:v>swiss_dwellings</x:v>
      </x:c>
      <x:c r="AB453" s="6" t="str">
        <x:v>CC-BY-4.0</x:v>
      </x:c>
    </x:row>
    <x:row r="454" ht="72" customHeight="1">
      <x:c r="A454" s="14" t="n">
        <x:v>449</x:v>
      </x:c>
      <x:c r="B454" s="6" t="str">
        <x:v>locate</x:v>
      </x:c>
      <x:c r="C454" s="6" t="str">
        <x:v>Where is the coat rack?</x:v>
      </x:c>
      <x:c r="D454" s="6" t="str">
        <x:v>Corridor 1.08 (apartment 4)
Floor level: 1
Asset ID: swiss-6148-A00081
Position (m): -0.754, -9.018</x:v>
      </x:c>
      <x:c r="E454" s="6" t="str">
        <x:v>Reference supplied</x:v>
      </x:c>
      <x:c r="F454" s="6" t="str">
        <x:v>train</x:v>
      </x:c>
      <x:c r="G454" s="6" t="str">
        <x:v>swiss-6148</x:v>
      </x:c>
      <x:c r="H454" s="6" t="str">
        <x:v>swiss-6148-Q02</x:v>
      </x:c>
      <x:c r="I454" s="6" t="str">
        <x:v>Find and count assets</x:v>
      </x:c>
      <x:c r="J454" s="6" t="str">
        <x:v>Warm-up</x:v>
      </x:c>
      <x:c r="K454" s="6" t="str">
        <x:v>Room name, floor and asset identity. Coordinates may help the UI.</x:v>
      </x:c>
      <x:c r="L454" s="6" t="str">
        <x:v>T02, T03</x:v>
      </x:c>
      <x:c r="M454" s="6" t="str">
        <x:v>Find a named item and identify its containing room and floor.</x:v>
      </x:c>
      <x:c r="N454" s="6" t="str">
        <x:v>{"asset_id":"swiss-6148-A00081","space_id":"swiss-6148-F1-S008","space_name":"Corridor 1.08 (apartment 4)","floor_level":1,"position":[-0.754,-9.018]}</x:v>
      </x:c>
      <x:c r="O454" s="6"/>
      <x:c r="P454" s="6" t="str">
        <x:v>Resolve the intended asset and its containing room/floor.</x:v>
      </x:c>
      <x:c r="Q454" s="15"/>
      <x:c r="R454" s="6"/>
      <x:c r="S454" s="16"/>
      <x:c r="T454" s="15"/>
      <x:c r="U454" s="6"/>
      <x:c r="V454" s="6"/>
      <x:c r="W454" s="6" t="str">
        <x:v>Existing search_building. Improve disambiguation and complete result pagination.</x:v>
      </x:c>
      <x:c r="X454" s="6" t="str">
        <x:v>data/train/swiss-6148/questions_basic.jsonl</x:v>
      </x:c>
      <x:c r="Y454" s="14" t="n">
        <x:v>2</x:v>
      </x:c>
      <x:c r="Z454" s="6" t="str">
        <x:v>https://github.com/hagenhaeussler/Industrial-Agents-Hackathon-2026/blob/f41616590b69f3ea0c1cbfb41d6c35edd9ce53df/data/train/swiss-6148/questions_basic.jsonl#L2</x:v>
      </x:c>
      <x:c r="AA454" s="6" t="str">
        <x:v>swiss_dwellings</x:v>
      </x:c>
      <x:c r="AB454" s="6" t="str">
        <x:v>CC-BY-4.0</x:v>
      </x:c>
    </x:row>
    <x:row r="455" ht="72" customHeight="1">
      <x:c r="A455" s="14" t="n">
        <x:v>450</x:v>
      </x:c>
      <x:c r="B455" s="6" t="str">
        <x:v>locate</x:v>
      </x:c>
      <x:c r="C455" s="6" t="str">
        <x:v>Where is the washing machine?</x:v>
      </x:c>
      <x:c r="D455" s="6" t="str">
        <x:v>Bathroom 0.16 (apartment 2)
Floor level: 0
Asset ID: swiss-624-A00079
Position (m): 1.279, 7.807</x:v>
      </x:c>
      <x:c r="E455" s="6" t="str">
        <x:v>Reference supplied</x:v>
      </x:c>
      <x:c r="F455" s="6" t="str">
        <x:v>train</x:v>
      </x:c>
      <x:c r="G455" s="6" t="str">
        <x:v>swiss-624</x:v>
      </x:c>
      <x:c r="H455" s="6" t="str">
        <x:v>swiss-624-Q01</x:v>
      </x:c>
      <x:c r="I455" s="6" t="str">
        <x:v>Find and count assets</x:v>
      </x:c>
      <x:c r="J455" s="6" t="str">
        <x:v>Warm-up</x:v>
      </x:c>
      <x:c r="K455" s="6" t="str">
        <x:v>Room name, floor and asset identity. Coordinates may help the UI.</x:v>
      </x:c>
      <x:c r="L455" s="6" t="str">
        <x:v>T02, T03</x:v>
      </x:c>
      <x:c r="M455" s="6" t="str">
        <x:v>Find a named item and identify its containing room and floor.</x:v>
      </x:c>
      <x:c r="N455" s="6" t="str">
        <x:v>{"asset_id":"swiss-624-A00079","space_id":"swiss-624-F0-S016","space_name":"Bathroom 0.16 (apartment 2)","floor_level":0,"position":[1.279,7.807]}</x:v>
      </x:c>
      <x:c r="O455" s="6"/>
      <x:c r="P455" s="6" t="str">
        <x:v>Resolve the intended asset and its containing room/floor.</x:v>
      </x:c>
      <x:c r="Q455" s="15"/>
      <x:c r="R455" s="6"/>
      <x:c r="S455" s="16"/>
      <x:c r="T455" s="15"/>
      <x:c r="U455" s="6"/>
      <x:c r="V455" s="6"/>
      <x:c r="W455" s="6" t="str">
        <x:v>Existing search_building. Improve disambiguation and complete result pagination.</x:v>
      </x:c>
      <x:c r="X455" s="6" t="str">
        <x:v>data/train/swiss-624/questions_basic.jsonl</x:v>
      </x:c>
      <x:c r="Y455" s="14" t="n">
        <x:v>1</x:v>
      </x:c>
      <x:c r="Z455" s="6" t="str">
        <x:v>https://github.com/hagenhaeussler/Industrial-Agents-Hackathon-2026/blob/f41616590b69f3ea0c1cbfb41d6c35edd9ce53df/data/train/swiss-624/questions_basic.jsonl#L1</x:v>
      </x:c>
      <x:c r="AA455" s="6" t="str">
        <x:v>swiss_dwellings</x:v>
      </x:c>
      <x:c r="AB455" s="6" t="str">
        <x:v>CC-BY-4.0</x:v>
      </x:c>
    </x:row>
    <x:row r="456" ht="72" customHeight="1">
      <x:c r="A456" s="14" t="n">
        <x:v>451</x:v>
      </x:c>
      <x:c r="B456" s="6" t="str">
        <x:v>locate</x:v>
      </x:c>
      <x:c r="C456" s="6" t="str">
        <x:v>Where is the shoe cabinet?</x:v>
      </x:c>
      <x:c r="D456" s="6" t="str">
        <x:v>Corridor 0.15 (apartment 2)
Floor level: 0
Asset ID: swiss-624-A00078
Position (m): 3.203, 2.713</x:v>
      </x:c>
      <x:c r="E456" s="6" t="str">
        <x:v>Reference supplied</x:v>
      </x:c>
      <x:c r="F456" s="6" t="str">
        <x:v>train</x:v>
      </x:c>
      <x:c r="G456" s="6" t="str">
        <x:v>swiss-624</x:v>
      </x:c>
      <x:c r="H456" s="6" t="str">
        <x:v>swiss-624-Q02</x:v>
      </x:c>
      <x:c r="I456" s="6" t="str">
        <x:v>Find and count assets</x:v>
      </x:c>
      <x:c r="J456" s="6" t="str">
        <x:v>Warm-up</x:v>
      </x:c>
      <x:c r="K456" s="6" t="str">
        <x:v>Room name, floor and asset identity. Coordinates may help the UI.</x:v>
      </x:c>
      <x:c r="L456" s="6" t="str">
        <x:v>T02, T03</x:v>
      </x:c>
      <x:c r="M456" s="6" t="str">
        <x:v>Find a named item and identify its containing room and floor.</x:v>
      </x:c>
      <x:c r="N456" s="6" t="str">
        <x:v>{"asset_id":"swiss-624-A00078","space_id":"swiss-624-F0-S015","space_name":"Corridor 0.15 (apartment 2)","floor_level":0,"position":[3.203,2.713]}</x:v>
      </x:c>
      <x:c r="O456" s="6"/>
      <x:c r="P456" s="6" t="str">
        <x:v>Resolve the intended asset and its containing room/floor.</x:v>
      </x:c>
      <x:c r="Q456" s="15"/>
      <x:c r="R456" s="6"/>
      <x:c r="S456" s="16"/>
      <x:c r="T456" s="15"/>
      <x:c r="U456" s="6"/>
      <x:c r="V456" s="6"/>
      <x:c r="W456" s="6" t="str">
        <x:v>Existing search_building. Improve disambiguation and complete result pagination.</x:v>
      </x:c>
      <x:c r="X456" s="6" t="str">
        <x:v>data/train/swiss-624/questions_basic.jsonl</x:v>
      </x:c>
      <x:c r="Y456" s="14" t="n">
        <x:v>2</x:v>
      </x:c>
      <x:c r="Z456" s="6" t="str">
        <x:v>https://github.com/hagenhaeussler/Industrial-Agents-Hackathon-2026/blob/f41616590b69f3ea0c1cbfb41d6c35edd9ce53df/data/train/swiss-624/questions_basic.jsonl#L2</x:v>
      </x:c>
      <x:c r="AA456" s="6" t="str">
        <x:v>swiss_dwellings</x:v>
      </x:c>
      <x:c r="AB456" s="6" t="str">
        <x:v>CC-BY-4.0</x:v>
      </x:c>
    </x:row>
    <x:row r="457" ht="72" customHeight="1">
      <x:c r="A457" s="14" t="n">
        <x:v>452</x:v>
      </x:c>
      <x:c r="B457" s="6" t="str">
        <x:v>locate</x:v>
      </x:c>
      <x:c r="C457" s="6" t="str">
        <x:v>Where is the shoe cabinet?</x:v>
      </x:c>
      <x:c r="D457" s="6" t="str">
        <x:v>Corridor 4.01 (apartment 13)
Floor level: 4
Asset ID: swiss-668-A00294
Position (m): 0.247, -0.692</x:v>
      </x:c>
      <x:c r="E457" s="6" t="str">
        <x:v>Reference supplied</x:v>
      </x:c>
      <x:c r="F457" s="6" t="str">
        <x:v>train</x:v>
      </x:c>
      <x:c r="G457" s="6" t="str">
        <x:v>swiss-668</x:v>
      </x:c>
      <x:c r="H457" s="6" t="str">
        <x:v>swiss-668-Q01</x:v>
      </x:c>
      <x:c r="I457" s="6" t="str">
        <x:v>Find and count assets</x:v>
      </x:c>
      <x:c r="J457" s="6" t="str">
        <x:v>Warm-up</x:v>
      </x:c>
      <x:c r="K457" s="6" t="str">
        <x:v>Room name, floor and asset identity. Coordinates may help the UI.</x:v>
      </x:c>
      <x:c r="L457" s="6" t="str">
        <x:v>T02, T03</x:v>
      </x:c>
      <x:c r="M457" s="6" t="str">
        <x:v>Find a named item and identify its containing room and floor.</x:v>
      </x:c>
      <x:c r="N457" s="6" t="str">
        <x:v>{"asset_id":"swiss-668-A00294","space_id":"swiss-668-F4-S001","space_name":"Corridor 4.01 (apartment 13)","floor_level":4,"position":[0.247,-0.692]}</x:v>
      </x:c>
      <x:c r="O457" s="6"/>
      <x:c r="P457" s="6" t="str">
        <x:v>Resolve the intended asset and its containing room/floor.</x:v>
      </x:c>
      <x:c r="Q457" s="15"/>
      <x:c r="R457" s="6"/>
      <x:c r="S457" s="16"/>
      <x:c r="T457" s="15"/>
      <x:c r="U457" s="6"/>
      <x:c r="V457" s="6"/>
      <x:c r="W457" s="6" t="str">
        <x:v>Existing search_building. Improve disambiguation and complete result pagination.</x:v>
      </x:c>
      <x:c r="X457" s="6" t="str">
        <x:v>data/train/swiss-668/questions_basic.jsonl</x:v>
      </x:c>
      <x:c r="Y457" s="14" t="n">
        <x:v>1</x:v>
      </x:c>
      <x:c r="Z457" s="6" t="str">
        <x:v>https://github.com/hagenhaeussler/Industrial-Agents-Hackathon-2026/blob/f41616590b69f3ea0c1cbfb41d6c35edd9ce53df/data/train/swiss-668/questions_basic.jsonl#L1</x:v>
      </x:c>
      <x:c r="AA457" s="6" t="str">
        <x:v>swiss_dwellings</x:v>
      </x:c>
      <x:c r="AB457" s="6" t="str">
        <x:v>CC-BY-4.0</x:v>
      </x:c>
    </x:row>
    <x:row r="458" ht="72" customHeight="1">
      <x:c r="A458" s="14" t="n">
        <x:v>453</x:v>
      </x:c>
      <x:c r="B458" s="6" t="str">
        <x:v>locate</x:v>
      </x:c>
      <x:c r="C458" s="6" t="str">
        <x:v>Where is the dishwasher?</x:v>
      </x:c>
      <x:c r="D458" s="6" t="str">
        <x:v>Kitchen 0.12 (apartment 4)
Floor level: 0
Asset ID: swiss-685-A00142
Position (m): 9.398, -10.555</x:v>
      </x:c>
      <x:c r="E458" s="6" t="str">
        <x:v>Reference supplied</x:v>
      </x:c>
      <x:c r="F458" s="6" t="str">
        <x:v>train</x:v>
      </x:c>
      <x:c r="G458" s="6" t="str">
        <x:v>swiss-685</x:v>
      </x:c>
      <x:c r="H458" s="6" t="str">
        <x:v>swiss-685-Q01</x:v>
      </x:c>
      <x:c r="I458" s="6" t="str">
        <x:v>Find and count assets</x:v>
      </x:c>
      <x:c r="J458" s="6" t="str">
        <x:v>Warm-up</x:v>
      </x:c>
      <x:c r="K458" s="6" t="str">
        <x:v>Room name, floor and asset identity. Coordinates may help the UI.</x:v>
      </x:c>
      <x:c r="L458" s="6" t="str">
        <x:v>T02, T03</x:v>
      </x:c>
      <x:c r="M458" s="6" t="str">
        <x:v>Find a named item and identify its containing room and floor.</x:v>
      </x:c>
      <x:c r="N458" s="6" t="str">
        <x:v>{"asset_id":"swiss-685-A00142","space_id":"swiss-685-F0-S012","space_name":"Kitchen 0.12 (apartment 4)","floor_level":0,"position":[9.398,-10.555]}</x:v>
      </x:c>
      <x:c r="O458" s="6"/>
      <x:c r="P458" s="6" t="str">
        <x:v>Resolve the intended asset and its containing room/floor.</x:v>
      </x:c>
      <x:c r="Q458" s="15"/>
      <x:c r="R458" s="6"/>
      <x:c r="S458" s="16"/>
      <x:c r="T458" s="15"/>
      <x:c r="U458" s="6"/>
      <x:c r="V458" s="6"/>
      <x:c r="W458" s="6" t="str">
        <x:v>Existing search_building. Improve disambiguation and complete result pagination.</x:v>
      </x:c>
      <x:c r="X458" s="6" t="str">
        <x:v>data/train/swiss-685/questions_basic.jsonl</x:v>
      </x:c>
      <x:c r="Y458" s="14" t="n">
        <x:v>1</x:v>
      </x:c>
      <x:c r="Z458" s="6" t="str">
        <x:v>https://github.com/hagenhaeussler/Industrial-Agents-Hackathon-2026/blob/f41616590b69f3ea0c1cbfb41d6c35edd9ce53df/data/train/swiss-685/questions_basic.jsonl#L1</x:v>
      </x:c>
      <x:c r="AA458" s="6" t="str">
        <x:v>swiss_dwellings</x:v>
      </x:c>
      <x:c r="AB458" s="6" t="str">
        <x:v>CC-BY-4.0</x:v>
      </x:c>
    </x:row>
    <x:row r="459" ht="72" customHeight="1">
      <x:c r="A459" s="14" t="n">
        <x:v>454</x:v>
      </x:c>
      <x:c r="B459" s="6" t="str">
        <x:v>locate</x:v>
      </x:c>
      <x:c r="C459" s="6" t="str">
        <x:v>Where is the lectern?</x:v>
      </x:c>
      <x:c r="D459" s="6" t="str">
        <x:v>Lecture hall N0314
Floor level: 0
Asset ID: osm-way22744230-A00152
Position (m): 4.87, 7.259</x:v>
      </x:c>
      <x:c r="E459" s="6" t="str">
        <x:v>Reference supplied</x:v>
      </x:c>
      <x:c r="F459" s="6" t="str">
        <x:v>dev</x:v>
      </x:c>
      <x:c r="G459" s="6" t="str">
        <x:v>osm-way22744230</x:v>
      </x:c>
      <x:c r="H459" s="6" t="str">
        <x:v>osm-way22744230-Q01</x:v>
      </x:c>
      <x:c r="I459" s="6" t="str">
        <x:v>Find and count assets</x:v>
      </x:c>
      <x:c r="J459" s="6" t="str">
        <x:v>Warm-up</x:v>
      </x:c>
      <x:c r="K459" s="6" t="str">
        <x:v>Room name, floor and asset identity. Coordinates may help the UI.</x:v>
      </x:c>
      <x:c r="L459" s="6" t="str">
        <x:v>T02, T03</x:v>
      </x:c>
      <x:c r="M459" s="6" t="str">
        <x:v>Find a named item and identify its containing room and floor.</x:v>
      </x:c>
      <x:c r="N459" s="6" t="str">
        <x:v>{"asset_id":"osm-way22744230-A00152","space_id":"osm-way22744230-F0-S004","space_name":"Lecture hall N0314","floor_level":0,"position":[4.87,7.259]}</x:v>
      </x:c>
      <x:c r="O459" s="6"/>
      <x:c r="P459" s="6" t="str">
        <x:v>Resolve the intended asset and its containing room/floor.</x:v>
      </x:c>
      <x:c r="Q459" s="15"/>
      <x:c r="R459" s="6"/>
      <x:c r="S459" s="16"/>
      <x:c r="T459" s="15"/>
      <x:c r="U459" s="6"/>
      <x:c r="V459" s="6"/>
      <x:c r="W459" s="6" t="str">
        <x:v>Existing search_building. Improve disambiguation and complete result pagination.</x:v>
      </x:c>
      <x:c r="X459" s="6" t="str">
        <x:v>data/dev/osm-way22744230/questions_basic.jsonl</x:v>
      </x:c>
      <x:c r="Y459" s="14" t="n">
        <x:v>1</x:v>
      </x:c>
      <x:c r="Z459" s="6" t="str">
        <x:v>https://github.com/hagenhaeussler/Industrial-Agents-Hackathon-2026/blob/f41616590b69f3ea0c1cbfb41d6c35edd9ce53df/data/dev/osm-way22744230/questions_basic.jsonl#L1</x:v>
      </x:c>
      <x:c r="AA459" s="6" t="str">
        <x:v>osm_indoor</x:v>
      </x:c>
      <x:c r="AB459" s="6" t="str">
        <x:v>ODbL-1.0</x:v>
      </x:c>
    </x:row>
    <x:row r="460" ht="72" customHeight="1">
      <x:c r="A460" s="14" t="n">
        <x:v>455</x:v>
      </x:c>
      <x:c r="B460" s="6" t="str">
        <x:v>locate</x:v>
      </x:c>
      <x:c r="C460" s="6" t="str">
        <x:v>Where is the whiteboard?</x:v>
      </x:c>
      <x:c r="D460" s="6" t="str">
        <x:v>Lecture hall N0314
Floor level: 0
Asset ID: osm-way22744230-A00169
Position (m): -7.169, 5.598</x:v>
      </x:c>
      <x:c r="E460" s="6" t="str">
        <x:v>Reference supplied</x:v>
      </x:c>
      <x:c r="F460" s="6" t="str">
        <x:v>dev</x:v>
      </x:c>
      <x:c r="G460" s="6" t="str">
        <x:v>osm-way22744230</x:v>
      </x:c>
      <x:c r="H460" s="6" t="str">
        <x:v>osm-way22744230-Q02</x:v>
      </x:c>
      <x:c r="I460" s="6" t="str">
        <x:v>Find and count assets</x:v>
      </x:c>
      <x:c r="J460" s="6" t="str">
        <x:v>Warm-up</x:v>
      </x:c>
      <x:c r="K460" s="6" t="str">
        <x:v>Room name, floor and asset identity. Coordinates may help the UI.</x:v>
      </x:c>
      <x:c r="L460" s="6" t="str">
        <x:v>T02, T03</x:v>
      </x:c>
      <x:c r="M460" s="6" t="str">
        <x:v>Find a named item and identify its containing room and floor.</x:v>
      </x:c>
      <x:c r="N460" s="6" t="str">
        <x:v>{"asset_id":"osm-way22744230-A00169","space_id":"osm-way22744230-F0-S004","space_name":"Lecture hall N0314","floor_level":0,"position":[-7.169,5.598]}</x:v>
      </x:c>
      <x:c r="O460" s="6"/>
      <x:c r="P460" s="6" t="str">
        <x:v>Resolve the intended asset and its containing room/floor.</x:v>
      </x:c>
      <x:c r="Q460" s="15"/>
      <x:c r="R460" s="6"/>
      <x:c r="S460" s="16"/>
      <x:c r="T460" s="15"/>
      <x:c r="U460" s="6"/>
      <x:c r="V460" s="6"/>
      <x:c r="W460" s="6" t="str">
        <x:v>Existing search_building. Improve disambiguation and complete result pagination.</x:v>
      </x:c>
      <x:c r="X460" s="6" t="str">
        <x:v>data/dev/osm-way22744230/questions_basic.jsonl</x:v>
      </x:c>
      <x:c r="Y460" s="14" t="n">
        <x:v>2</x:v>
      </x:c>
      <x:c r="Z460" s="6" t="str">
        <x:v>https://github.com/hagenhaeussler/Industrial-Agents-Hackathon-2026/blob/f41616590b69f3ea0c1cbfb41d6c35edd9ce53df/data/dev/osm-way22744230/questions_basic.jsonl#L2</x:v>
      </x:c>
      <x:c r="AA460" s="6" t="str">
        <x:v>osm_indoor</x:v>
      </x:c>
      <x:c r="AB460" s="6" t="str">
        <x:v>ODbL-1.0</x:v>
      </x:c>
    </x:row>
    <x:row r="461" ht="72" customHeight="1">
      <x:c r="A461" s="14" t="n">
        <x:v>456</x:v>
      </x:c>
      <x:c r="B461" s="6" t="str">
        <x:v>locate</x:v>
      </x:c>
      <x:c r="C461" s="6" t="str">
        <x:v>Where is the projector screen?</x:v>
      </x:c>
      <x:c r="D461" s="6" t="str">
        <x:v>Lecture hall N0314
Floor level: 0
Asset ID: osm-way22744230-A00168
Position (m): -3.019, -0.597</x:v>
      </x:c>
      <x:c r="E461" s="6" t="str">
        <x:v>Reference supplied</x:v>
      </x:c>
      <x:c r="F461" s="6" t="str">
        <x:v>dev</x:v>
      </x:c>
      <x:c r="G461" s="6" t="str">
        <x:v>osm-way22744230</x:v>
      </x:c>
      <x:c r="H461" s="6" t="str">
        <x:v>osm-way22744230-Q03</x:v>
      </x:c>
      <x:c r="I461" s="6" t="str">
        <x:v>Find and count assets</x:v>
      </x:c>
      <x:c r="J461" s="6" t="str">
        <x:v>Warm-up</x:v>
      </x:c>
      <x:c r="K461" s="6" t="str">
        <x:v>Room name, floor and asset identity. Coordinates may help the UI.</x:v>
      </x:c>
      <x:c r="L461" s="6" t="str">
        <x:v>T02, T03</x:v>
      </x:c>
      <x:c r="M461" s="6" t="str">
        <x:v>Find a named item and identify its containing room and floor.</x:v>
      </x:c>
      <x:c r="N461" s="6" t="str">
        <x:v>{"asset_id":"osm-way22744230-A00168","space_id":"osm-way22744230-F0-S004","space_name":"Lecture hall N0314","floor_level":0,"position":[-3.019,-0.597]}</x:v>
      </x:c>
      <x:c r="O461" s="6"/>
      <x:c r="P461" s="6" t="str">
        <x:v>Resolve the intended asset and its containing room/floor.</x:v>
      </x:c>
      <x:c r="Q461" s="15"/>
      <x:c r="R461" s="6"/>
      <x:c r="S461" s="16"/>
      <x:c r="T461" s="15"/>
      <x:c r="U461" s="6"/>
      <x:c r="V461" s="6"/>
      <x:c r="W461" s="6" t="str">
        <x:v>Existing search_building. Improve disambiguation and complete result pagination.</x:v>
      </x:c>
      <x:c r="X461" s="6" t="str">
        <x:v>data/dev/osm-way22744230/questions_basic.jsonl</x:v>
      </x:c>
      <x:c r="Y461" s="14" t="n">
        <x:v>3</x:v>
      </x:c>
      <x:c r="Z461" s="6" t="str">
        <x:v>https://github.com/hagenhaeussler/Industrial-Agents-Hackathon-2026/blob/f41616590b69f3ea0c1cbfb41d6c35edd9ce53df/data/dev/osm-way22744230/questions_basic.jsonl#L3</x:v>
      </x:c>
      <x:c r="AA461" s="6" t="str">
        <x:v>osm_indoor</x:v>
      </x:c>
      <x:c r="AB461" s="6" t="str">
        <x:v>ODbL-1.0</x:v>
      </x:c>
    </x:row>
    <x:row r="462" ht="72" customHeight="1">
      <x:c r="A462" s="14" t="n">
        <x:v>457</x:v>
      </x:c>
      <x:c r="B462" s="6" t="str">
        <x:v>locate</x:v>
      </x:c>
      <x:c r="C462" s="6" t="str">
        <x:v>Where is the coffee machine?</x:v>
      </x:c>
      <x:c r="D462" s="6" t="str">
        <x:v>Kitchen 0.19
Floor level: 0
Asset ID: osm-way27917482-A00124
Position (m): 46.404, -37.927</x:v>
      </x:c>
      <x:c r="E462" s="6" t="str">
        <x:v>Reference supplied</x:v>
      </x:c>
      <x:c r="F462" s="6" t="str">
        <x:v>dev</x:v>
      </x:c>
      <x:c r="G462" s="6" t="str">
        <x:v>osm-way27917482</x:v>
      </x:c>
      <x:c r="H462" s="6" t="str">
        <x:v>osm-way27917482-Q01</x:v>
      </x:c>
      <x:c r="I462" s="6" t="str">
        <x:v>Find and count assets</x:v>
      </x:c>
      <x:c r="J462" s="6" t="str">
        <x:v>Warm-up</x:v>
      </x:c>
      <x:c r="K462" s="6" t="str">
        <x:v>Room name, floor and asset identity. Coordinates may help the UI.</x:v>
      </x:c>
      <x:c r="L462" s="6" t="str">
        <x:v>T02, T03</x:v>
      </x:c>
      <x:c r="M462" s="6" t="str">
        <x:v>Find a named item and identify its containing room and floor.</x:v>
      </x:c>
      <x:c r="N462" s="6" t="str">
        <x:v>{"asset_id":"osm-way27917482-A00124","space_id":"osm-way27917482-F0-S019","space_name":"Kitchen 0.19","floor_level":0,"position":[46.404,-37.927]}</x:v>
      </x:c>
      <x:c r="O462" s="6"/>
      <x:c r="P462" s="6" t="str">
        <x:v>Resolve the intended asset and its containing room/floor.</x:v>
      </x:c>
      <x:c r="Q462" s="15"/>
      <x:c r="R462" s="6"/>
      <x:c r="S462" s="16"/>
      <x:c r="T462" s="15"/>
      <x:c r="U462" s="6"/>
      <x:c r="V462" s="6"/>
      <x:c r="W462" s="6" t="str">
        <x:v>Existing search_building. Improve disambiguation and complete result pagination.</x:v>
      </x:c>
      <x:c r="X462" s="6" t="str">
        <x:v>data/dev/osm-way27917482/questions_basic.jsonl</x:v>
      </x:c>
      <x:c r="Y462" s="14" t="n">
        <x:v>1</x:v>
      </x:c>
      <x:c r="Z462" s="6" t="str">
        <x:v>https://github.com/hagenhaeussler/Industrial-Agents-Hackathon-2026/blob/f41616590b69f3ea0c1cbfb41d6c35edd9ce53df/data/dev/osm-way27917482/questions_basic.jsonl#L1</x:v>
      </x:c>
      <x:c r="AA462" s="6" t="str">
        <x:v>osm_indoor</x:v>
      </x:c>
      <x:c r="AB462" s="6" t="str">
        <x:v>ODbL-1.0</x:v>
      </x:c>
    </x:row>
    <x:row r="463" ht="72" customHeight="1">
      <x:c r="A463" s="14" t="n">
        <x:v>458</x:v>
      </x:c>
      <x:c r="B463" s="6" t="str">
        <x:v>locate</x:v>
      </x:c>
      <x:c r="C463" s="6" t="str">
        <x:v>Where is the serving counter?</x:v>
      </x:c>
      <x:c r="D463" s="6" t="str">
        <x:v>FMI Bistro
Floor level: 0
Asset ID: osm-way27917482-A00168
Position (m): 7.803, -16.851</x:v>
      </x:c>
      <x:c r="E463" s="6" t="str">
        <x:v>Reference supplied</x:v>
      </x:c>
      <x:c r="F463" s="6" t="str">
        <x:v>dev</x:v>
      </x:c>
      <x:c r="G463" s="6" t="str">
        <x:v>osm-way27917482</x:v>
      </x:c>
      <x:c r="H463" s="6" t="str">
        <x:v>osm-way27917482-Q02</x:v>
      </x:c>
      <x:c r="I463" s="6" t="str">
        <x:v>Find and count assets</x:v>
      </x:c>
      <x:c r="J463" s="6" t="str">
        <x:v>Warm-up</x:v>
      </x:c>
      <x:c r="K463" s="6" t="str">
        <x:v>Room name, floor and asset identity. Coordinates may help the UI.</x:v>
      </x:c>
      <x:c r="L463" s="6" t="str">
        <x:v>T02, T03</x:v>
      </x:c>
      <x:c r="M463" s="6" t="str">
        <x:v>Find a named item and identify its containing room and floor.</x:v>
      </x:c>
      <x:c r="N463" s="6" t="str">
        <x:v>{"asset_id":"osm-way27917482-A00168","space_id":"osm-way27917482-F0-S032","space_name":"FMI Bistro","floor_level":0,"position":[7.803,-16.851]}</x:v>
      </x:c>
      <x:c r="O463" s="6"/>
      <x:c r="P463" s="6" t="str">
        <x:v>Resolve the intended asset and its containing room/floor.</x:v>
      </x:c>
      <x:c r="Q463" s="15"/>
      <x:c r="R463" s="6"/>
      <x:c r="S463" s="16"/>
      <x:c r="T463" s="15"/>
      <x:c r="U463" s="6"/>
      <x:c r="V463" s="6"/>
      <x:c r="W463" s="6" t="str">
        <x:v>Existing search_building. Improve disambiguation and complete result pagination.</x:v>
      </x:c>
      <x:c r="X463" s="6" t="str">
        <x:v>data/dev/osm-way27917482/questions_basic.jsonl</x:v>
      </x:c>
      <x:c r="Y463" s="14" t="n">
        <x:v>2</x:v>
      </x:c>
      <x:c r="Z463" s="6" t="str">
        <x:v>https://github.com/hagenhaeussler/Industrial-Agents-Hackathon-2026/blob/f41616590b69f3ea0c1cbfb41d6c35edd9ce53df/data/dev/osm-way27917482/questions_basic.jsonl#L2</x:v>
      </x:c>
      <x:c r="AA463" s="6" t="str">
        <x:v>osm_indoor</x:v>
      </x:c>
      <x:c r="AB463" s="6" t="str">
        <x:v>ODbL-1.0</x:v>
      </x:c>
    </x:row>
    <x:row r="464" ht="72" customHeight="1">
      <x:c r="A464" s="14" t="n">
        <x:v>459</x:v>
      </x:c>
      <x:c r="B464" s="6" t="str">
        <x:v>locate</x:v>
      </x:c>
      <x:c r="C464" s="6" t="str">
        <x:v>Where is the meeting table?</x:v>
      </x:c>
      <x:c r="D464" s="6" t="str">
        <x:v>Besprechungsraum der Fachschaft MPIC
Floor level: 0
Asset ID: osm-way27917482-A00779
Position (m): 46.321, -43.321</x:v>
      </x:c>
      <x:c r="E464" s="6" t="str">
        <x:v>Reference supplied</x:v>
      </x:c>
      <x:c r="F464" s="6" t="str">
        <x:v>dev</x:v>
      </x:c>
      <x:c r="G464" s="6" t="str">
        <x:v>osm-way27917482</x:v>
      </x:c>
      <x:c r="H464" s="6" t="str">
        <x:v>osm-way27917482-Q03</x:v>
      </x:c>
      <x:c r="I464" s="6" t="str">
        <x:v>Find and count assets</x:v>
      </x:c>
      <x:c r="J464" s="6" t="str">
        <x:v>Warm-up</x:v>
      </x:c>
      <x:c r="K464" s="6" t="str">
        <x:v>Room name, floor and asset identity. Coordinates may help the UI.</x:v>
      </x:c>
      <x:c r="L464" s="6" t="str">
        <x:v>T02, T03</x:v>
      </x:c>
      <x:c r="M464" s="6" t="str">
        <x:v>Find a named item and identify its containing room and floor.</x:v>
      </x:c>
      <x:c r="N464" s="6" t="str">
        <x:v>{"asset_id":"osm-way27917482-A00779","space_id":"osm-way27917482-F0-S063","space_name":"Besprechungsraum der Fachschaft MPIC","floor_level":0,"position":[46.321,-43.321]}</x:v>
      </x:c>
      <x:c r="O464" s="6"/>
      <x:c r="P464" s="6" t="str">
        <x:v>Resolve the intended asset and its containing room/floor.</x:v>
      </x:c>
      <x:c r="Q464" s="15"/>
      <x:c r="R464" s="6"/>
      <x:c r="S464" s="16"/>
      <x:c r="T464" s="15"/>
      <x:c r="U464" s="6"/>
      <x:c r="V464" s="6"/>
      <x:c r="W464" s="6" t="str">
        <x:v>Existing search_building. Improve disambiguation and complete result pagination.</x:v>
      </x:c>
      <x:c r="X464" s="6" t="str">
        <x:v>data/dev/osm-way27917482/questions_basic.jsonl</x:v>
      </x:c>
      <x:c r="Y464" s="14" t="n">
        <x:v>3</x:v>
      </x:c>
      <x:c r="Z464" s="6" t="str">
        <x:v>https://github.com/hagenhaeussler/Industrial-Agents-Hackathon-2026/blob/f41616590b69f3ea0c1cbfb41d6c35edd9ce53df/data/dev/osm-way27917482/questions_basic.jsonl#L3</x:v>
      </x:c>
      <x:c r="AA464" s="6" t="str">
        <x:v>osm_indoor</x:v>
      </x:c>
      <x:c r="AB464" s="6" t="str">
        <x:v>ODbL-1.0</x:v>
      </x:c>
    </x:row>
    <x:row r="465" ht="72" customHeight="1">
      <x:c r="A465" s="14" t="n">
        <x:v>460</x:v>
      </x:c>
      <x:c r="B465" s="6" t="str">
        <x:v>locate</x:v>
      </x:c>
      <x:c r="C465" s="6" t="str">
        <x:v>Where is the serving counter?</x:v>
      </x:c>
      <x:c r="D465" s="6" t="str">
        <x:v>Starbucks
Floor level: 0
Asset ID: osm-way360544293-A00183
Position (m): -109.511, 0.674</x:v>
      </x:c>
      <x:c r="E465" s="6" t="str">
        <x:v>Reference supplied</x:v>
      </x:c>
      <x:c r="F465" s="6" t="str">
        <x:v>dev</x:v>
      </x:c>
      <x:c r="G465" s="6" t="str">
        <x:v>osm-way360544293</x:v>
      </x:c>
      <x:c r="H465" s="6" t="str">
        <x:v>osm-way360544293-Q01</x:v>
      </x:c>
      <x:c r="I465" s="6" t="str">
        <x:v>Find and count assets</x:v>
      </x:c>
      <x:c r="J465" s="6" t="str">
        <x:v>Warm-up</x:v>
      </x:c>
      <x:c r="K465" s="6" t="str">
        <x:v>Room name, floor and asset identity. Coordinates may help the UI.</x:v>
      </x:c>
      <x:c r="L465" s="6" t="str">
        <x:v>T02, T03</x:v>
      </x:c>
      <x:c r="M465" s="6" t="str">
        <x:v>Find a named item and identify its containing room and floor.</x:v>
      </x:c>
      <x:c r="N465" s="6" t="str">
        <x:v>{"asset_id":"osm-way360544293-A00183","space_id":"osm-way360544293-F0-S010","space_name":"Starbucks","floor_level":0,"position":[-109.511,0.674]}</x:v>
      </x:c>
      <x:c r="O465" s="6"/>
      <x:c r="P465" s="6" t="str">
        <x:v>Resolve the intended asset and its containing room/floor.</x:v>
      </x:c>
      <x:c r="Q465" s="15"/>
      <x:c r="R465" s="6"/>
      <x:c r="S465" s="16"/>
      <x:c r="T465" s="15"/>
      <x:c r="U465" s="6"/>
      <x:c r="V465" s="6"/>
      <x:c r="W465" s="6" t="str">
        <x:v>Existing search_building. Improve disambiguation and complete result pagination.</x:v>
      </x:c>
      <x:c r="X465" s="6" t="str">
        <x:v>data/dev/osm-way360544293/questions_basic.jsonl</x:v>
      </x:c>
      <x:c r="Y465" s="14" t="n">
        <x:v>1</x:v>
      </x:c>
      <x:c r="Z465" s="6" t="str">
        <x:v>https://github.com/hagenhaeussler/Industrial-Agents-Hackathon-2026/blob/f41616590b69f3ea0c1cbfb41d6c35edd9ce53df/data/dev/osm-way360544293/questions_basic.jsonl#L1</x:v>
      </x:c>
      <x:c r="AA465" s="6" t="str">
        <x:v>osm_indoor</x:v>
      </x:c>
      <x:c r="AB465" s="6" t="str">
        <x:v>ODbL-1.0</x:v>
      </x:c>
    </x:row>
    <x:row r="466" ht="72" customHeight="1">
      <x:c r="A466" s="14" t="n">
        <x:v>461</x:v>
      </x:c>
      <x:c r="B466" s="6" t="str">
        <x:v>locate</x:v>
      </x:c>
      <x:c r="C466" s="6" t="str">
        <x:v>Where is the shoe cabinet?</x:v>
      </x:c>
      <x:c r="D466" s="6" t="str">
        <x:v>Corridor 2.01
Floor level: 2
Asset ID: osm-way360544293-A00123
Position (m): 33.839, 329.202</x:v>
      </x:c>
      <x:c r="E466" s="6" t="str">
        <x:v>Reference supplied</x:v>
      </x:c>
      <x:c r="F466" s="6" t="str">
        <x:v>dev</x:v>
      </x:c>
      <x:c r="G466" s="6" t="str">
        <x:v>osm-way360544293</x:v>
      </x:c>
      <x:c r="H466" s="6" t="str">
        <x:v>osm-way360544293-Q02</x:v>
      </x:c>
      <x:c r="I466" s="6" t="str">
        <x:v>Find and count assets</x:v>
      </x:c>
      <x:c r="J466" s="6" t="str">
        <x:v>Warm-up</x:v>
      </x:c>
      <x:c r="K466" s="6" t="str">
        <x:v>Room name, floor and asset identity. Coordinates may help the UI.</x:v>
      </x:c>
      <x:c r="L466" s="6" t="str">
        <x:v>T02, T03</x:v>
      </x:c>
      <x:c r="M466" s="6" t="str">
        <x:v>Find a named item and identify its containing room and floor.</x:v>
      </x:c>
      <x:c r="N466" s="6" t="str">
        <x:v>{"asset_id":"osm-way360544293-A00123","space_id":"osm-way360544293-F2-S001","space_name":"Corridor 2.01","floor_level":2,"position":[33.839,329.202]}</x:v>
      </x:c>
      <x:c r="O466" s="6"/>
      <x:c r="P466" s="6" t="str">
        <x:v>Resolve the intended asset and its containing room/floor.</x:v>
      </x:c>
      <x:c r="Q466" s="15"/>
      <x:c r="R466" s="6"/>
      <x:c r="S466" s="16"/>
      <x:c r="T466" s="15"/>
      <x:c r="U466" s="6"/>
      <x:c r="V466" s="6"/>
      <x:c r="W466" s="6" t="str">
        <x:v>Existing search_building. Improve disambiguation and complete result pagination.</x:v>
      </x:c>
      <x:c r="X466" s="6" t="str">
        <x:v>data/dev/osm-way360544293/questions_basic.jsonl</x:v>
      </x:c>
      <x:c r="Y466" s="14" t="n">
        <x:v>2</x:v>
      </x:c>
      <x:c r="Z466" s="6" t="str">
        <x:v>https://github.com/hagenhaeussler/Industrial-Agents-Hackathon-2026/blob/f41616590b69f3ea0c1cbfb41d6c35edd9ce53df/data/dev/osm-way360544293/questions_basic.jsonl#L2</x:v>
      </x:c>
      <x:c r="AA466" s="6" t="str">
        <x:v>osm_indoor</x:v>
      </x:c>
      <x:c r="AB466" s="6" t="str">
        <x:v>ODbL-1.0</x:v>
      </x:c>
    </x:row>
    <x:row r="467" ht="72" customHeight="1">
      <x:c r="A467" s="14" t="n">
        <x:v>462</x:v>
      </x:c>
      <x:c r="B467" s="6" t="str">
        <x:v>locate</x:v>
      </x:c>
      <x:c r="C467" s="6" t="str">
        <x:v>Where is the fire extinguisher?</x:v>
      </x:c>
      <x:c r="D467" s="6" t="str">
        <x:v>Corridor 0.07
Floor level: 0
Asset ID: osm-way360544293-A00174
Position (m): 78.215, -436.32</x:v>
      </x:c>
      <x:c r="E467" s="6" t="str">
        <x:v>Reference supplied</x:v>
      </x:c>
      <x:c r="F467" s="6" t="str">
        <x:v>dev</x:v>
      </x:c>
      <x:c r="G467" s="6" t="str">
        <x:v>osm-way360544293</x:v>
      </x:c>
      <x:c r="H467" s="6" t="str">
        <x:v>osm-way360544293-Q03</x:v>
      </x:c>
      <x:c r="I467" s="6" t="str">
        <x:v>Find and count assets</x:v>
      </x:c>
      <x:c r="J467" s="6" t="str">
        <x:v>Warm-up</x:v>
      </x:c>
      <x:c r="K467" s="6" t="str">
        <x:v>Room name, floor and asset identity. Coordinates may help the UI.</x:v>
      </x:c>
      <x:c r="L467" s="6" t="str">
        <x:v>T02, T03</x:v>
      </x:c>
      <x:c r="M467" s="6" t="str">
        <x:v>Find a named item and identify its containing room and floor.</x:v>
      </x:c>
      <x:c r="N467" s="6" t="str">
        <x:v>{"asset_id":"osm-way360544293-A00174","space_id":"osm-way360544293-F0-S007","space_name":"Corridor 0.07","floor_level":0,"position":[78.215,-436.32]}</x:v>
      </x:c>
      <x:c r="O467" s="6"/>
      <x:c r="P467" s="6" t="str">
        <x:v>Resolve the intended asset and its containing room/floor.</x:v>
      </x:c>
      <x:c r="Q467" s="15"/>
      <x:c r="R467" s="6"/>
      <x:c r="S467" s="16"/>
      <x:c r="T467" s="15"/>
      <x:c r="U467" s="6"/>
      <x:c r="V467" s="6"/>
      <x:c r="W467" s="6" t="str">
        <x:v>Existing search_building. Improve disambiguation and complete result pagination.</x:v>
      </x:c>
      <x:c r="X467" s="6" t="str">
        <x:v>data/dev/osm-way360544293/questions_basic.jsonl</x:v>
      </x:c>
      <x:c r="Y467" s="14" t="n">
        <x:v>3</x:v>
      </x:c>
      <x:c r="Z467" s="6" t="str">
        <x:v>https://github.com/hagenhaeussler/Industrial-Agents-Hackathon-2026/blob/f41616590b69f3ea0c1cbfb41d6c35edd9ce53df/data/dev/osm-way360544293/questions_basic.jsonl#L3</x:v>
      </x:c>
      <x:c r="AA467" s="6" t="str">
        <x:v>osm_indoor</x:v>
      </x:c>
      <x:c r="AB467" s="6" t="str">
        <x:v>ODbL-1.0</x:v>
      </x:c>
    </x:row>
    <x:row r="468" ht="72" customHeight="1">
      <x:c r="A468" s="14" t="n">
        <x:v>463</x:v>
      </x:c>
      <x:c r="B468" s="6" t="str">
        <x:v>locate</x:v>
      </x:c>
      <x:c r="C468" s="6" t="str">
        <x:v>Where is the reception desk?</x:v>
      </x:c>
      <x:c r="D468" s="6" t="str">
        <x:v>Main lobby
Floor level: 0
Asset ID: proc-campus-dev-000-A00091
Position (m): 9.98, -5.757</x:v>
      </x:c>
      <x:c r="E468" s="6" t="str">
        <x:v>Reference supplied</x:v>
      </x:c>
      <x:c r="F468" s="6" t="str">
        <x:v>dev</x:v>
      </x:c>
      <x:c r="G468" s="6" t="str">
        <x:v>proc-campus-dev-000</x:v>
      </x:c>
      <x:c r="H468" s="6" t="str">
        <x:v>proc-campus-dev-000-Q01</x:v>
      </x:c>
      <x:c r="I468" s="6" t="str">
        <x:v>Find and count assets</x:v>
      </x:c>
      <x:c r="J468" s="6" t="str">
        <x:v>Warm-up</x:v>
      </x:c>
      <x:c r="K468" s="6" t="str">
        <x:v>Room name, floor and asset identity. Coordinates may help the UI.</x:v>
      </x:c>
      <x:c r="L468" s="6" t="str">
        <x:v>T02, T03</x:v>
      </x:c>
      <x:c r="M468" s="6" t="str">
        <x:v>Find a named item and identify its containing room and floor.</x:v>
      </x:c>
      <x:c r="N468" s="6" t="str">
        <x:v>{"asset_id":"proc-campus-dev-000-A00091","space_id":"proc-campus-dev-000-F0-S018","space_name":"Main lobby","floor_level":0,"position":[9.98,-5.757]}</x:v>
      </x:c>
      <x:c r="O468" s="6"/>
      <x:c r="P468" s="6" t="str">
        <x:v>Resolve the intended asset and its containing room/floor.</x:v>
      </x:c>
      <x:c r="Q468" s="15"/>
      <x:c r="R468" s="6"/>
      <x:c r="S468" s="16"/>
      <x:c r="T468" s="15"/>
      <x:c r="U468" s="6"/>
      <x:c r="V468" s="6"/>
      <x:c r="W468" s="6" t="str">
        <x:v>Existing search_building. Improve disambiguation and complete result pagination.</x:v>
      </x:c>
      <x:c r="X468" s="6" t="str">
        <x:v>data/dev/proc-campus-dev-000/questions_basic.jsonl</x:v>
      </x:c>
      <x:c r="Y468" s="14" t="n">
        <x:v>1</x:v>
      </x:c>
      <x:c r="Z468" s="6" t="str">
        <x:v>https://github.com/hagenhaeussler/Industrial-Agents-Hackathon-2026/blob/f41616590b69f3ea0c1cbfb41d6c35edd9ce53df/data/dev/proc-campus-dev-000/questions_basic.jsonl#L1</x:v>
      </x:c>
      <x:c r="AA468" s="6" t="str">
        <x:v>procedural</x:v>
      </x:c>
      <x:c r="AB468" s="6" t="str">
        <x:v>CC0-1.0</x:v>
      </x:c>
    </x:row>
    <x:row r="469" ht="72" customHeight="1">
      <x:c r="A469" s="14" t="n">
        <x:v>464</x:v>
      </x:c>
      <x:c r="B469" s="6" t="str">
        <x:v>locate</x:v>
      </x:c>
      <x:c r="C469" s="6" t="str">
        <x:v>Where is the vending machine?</x:v>
      </x:c>
      <x:c r="D469" s="6" t="str">
        <x:v>Canteen 0.28
Floor level: 0
Asset ID: proc-campus-dev-000-A00167
Position (m): 8.87, -31.212</x:v>
      </x:c>
      <x:c r="E469" s="6" t="str">
        <x:v>Reference supplied</x:v>
      </x:c>
      <x:c r="F469" s="6" t="str">
        <x:v>dev</x:v>
      </x:c>
      <x:c r="G469" s="6" t="str">
        <x:v>proc-campus-dev-000</x:v>
      </x:c>
      <x:c r="H469" s="6" t="str">
        <x:v>proc-campus-dev-000-Q02</x:v>
      </x:c>
      <x:c r="I469" s="6" t="str">
        <x:v>Find and count assets</x:v>
      </x:c>
      <x:c r="J469" s="6" t="str">
        <x:v>Warm-up</x:v>
      </x:c>
      <x:c r="K469" s="6" t="str">
        <x:v>Room name, floor and asset identity. Coordinates may help the UI.</x:v>
      </x:c>
      <x:c r="L469" s="6" t="str">
        <x:v>T02, T03</x:v>
      </x:c>
      <x:c r="M469" s="6" t="str">
        <x:v>Find a named item and identify its containing room and floor.</x:v>
      </x:c>
      <x:c r="N469" s="6" t="str">
        <x:v>{"asset_id":"proc-campus-dev-000-A00167","space_id":"proc-campus-dev-000-F0-S028","space_name":"Canteen 0.28","floor_level":0,"position":[8.87,-31.212]}</x:v>
      </x:c>
      <x:c r="O469" s="6"/>
      <x:c r="P469" s="6" t="str">
        <x:v>Resolve the intended asset and its containing room/floor.</x:v>
      </x:c>
      <x:c r="Q469" s="15"/>
      <x:c r="R469" s="6"/>
      <x:c r="S469" s="16"/>
      <x:c r="T469" s="15"/>
      <x:c r="U469" s="6"/>
      <x:c r="V469" s="6"/>
      <x:c r="W469" s="6" t="str">
        <x:v>Existing search_building. Improve disambiguation and complete result pagination.</x:v>
      </x:c>
      <x:c r="X469" s="6" t="str">
        <x:v>data/dev/proc-campus-dev-000/questions_basic.jsonl</x:v>
      </x:c>
      <x:c r="Y469" s="14" t="n">
        <x:v>2</x:v>
      </x:c>
      <x:c r="Z469" s="6" t="str">
        <x:v>https://github.com/hagenhaeussler/Industrial-Agents-Hackathon-2026/blob/f41616590b69f3ea0c1cbfb41d6c35edd9ce53df/data/dev/proc-campus-dev-000/questions_basic.jsonl#L2</x:v>
      </x:c>
      <x:c r="AA469" s="6" t="str">
        <x:v>procedural</x:v>
      </x:c>
      <x:c r="AB469" s="6" t="str">
        <x:v>CC0-1.0</x:v>
      </x:c>
    </x:row>
    <x:row r="470" ht="72" customHeight="1">
      <x:c r="A470" s="14" t="n">
        <x:v>465</x:v>
      </x:c>
      <x:c r="B470" s="6" t="str">
        <x:v>locate</x:v>
      </x:c>
      <x:c r="C470" s="6" t="str">
        <x:v>Where is the laser cutter?</x:v>
      </x:c>
      <x:c r="D470" s="6" t="str">
        <x:v>Makerspace 0.08
Floor level: 0
Asset ID: proc-campus-dev-000-A00041
Position (m): 0.52, -30.241</x:v>
      </x:c>
      <x:c r="E470" s="6" t="str">
        <x:v>Reference supplied</x:v>
      </x:c>
      <x:c r="F470" s="6" t="str">
        <x:v>dev</x:v>
      </x:c>
      <x:c r="G470" s="6" t="str">
        <x:v>proc-campus-dev-000</x:v>
      </x:c>
      <x:c r="H470" s="6" t="str">
        <x:v>proc-campus-dev-000-Q03</x:v>
      </x:c>
      <x:c r="I470" s="6" t="str">
        <x:v>Find and count assets</x:v>
      </x:c>
      <x:c r="J470" s="6" t="str">
        <x:v>Warm-up</x:v>
      </x:c>
      <x:c r="K470" s="6" t="str">
        <x:v>Room name, floor and asset identity. Coordinates may help the UI.</x:v>
      </x:c>
      <x:c r="L470" s="6" t="str">
        <x:v>T02, T03</x:v>
      </x:c>
      <x:c r="M470" s="6" t="str">
        <x:v>Find a named item and identify its containing room and floor.</x:v>
      </x:c>
      <x:c r="N470" s="6" t="str">
        <x:v>{"asset_id":"proc-campus-dev-000-A00041","space_id":"proc-campus-dev-000-F0-S008","space_name":"Makerspace 0.08","floor_level":0,"position":[0.52,-30.241]}</x:v>
      </x:c>
      <x:c r="O470" s="6"/>
      <x:c r="P470" s="6" t="str">
        <x:v>Resolve the intended asset and its containing room/floor.</x:v>
      </x:c>
      <x:c r="Q470" s="15"/>
      <x:c r="R470" s="6"/>
      <x:c r="S470" s="16"/>
      <x:c r="T470" s="15"/>
      <x:c r="U470" s="6"/>
      <x:c r="V470" s="6"/>
      <x:c r="W470" s="6" t="str">
        <x:v>Existing search_building. Improve disambiguation and complete result pagination.</x:v>
      </x:c>
      <x:c r="X470" s="6" t="str">
        <x:v>data/dev/proc-campus-dev-000/questions_basic.jsonl</x:v>
      </x:c>
      <x:c r="Y470" s="14" t="n">
        <x:v>3</x:v>
      </x:c>
      <x:c r="Z470" s="6" t="str">
        <x:v>https://github.com/hagenhaeussler/Industrial-Agents-Hackathon-2026/blob/f41616590b69f3ea0c1cbfb41d6c35edd9ce53df/data/dev/proc-campus-dev-000/questions_basic.jsonl#L3</x:v>
      </x:c>
      <x:c r="AA470" s="6" t="str">
        <x:v>procedural</x:v>
      </x:c>
      <x:c r="AB470" s="6" t="str">
        <x:v>CC0-1.0</x:v>
      </x:c>
    </x:row>
    <x:row r="471" ht="72" customHeight="1">
      <x:c r="A471" s="14" t="n">
        <x:v>466</x:v>
      </x:c>
      <x:c r="B471" s="6" t="str">
        <x:v>locate</x:v>
      </x:c>
      <x:c r="C471" s="6" t="str">
        <x:v>Where is the soldering station?</x:v>
      </x:c>
      <x:c r="D471" s="6" t="str">
        <x:v>Makerspace 1.14
Floor level: 1
Asset ID: proc-campus-dev-001-A00192
Position (m): 0.37, 13.216</x:v>
      </x:c>
      <x:c r="E471" s="6" t="str">
        <x:v>Reference supplied</x:v>
      </x:c>
      <x:c r="F471" s="6" t="str">
        <x:v>dev</x:v>
      </x:c>
      <x:c r="G471" s="6" t="str">
        <x:v>proc-campus-dev-001</x:v>
      </x:c>
      <x:c r="H471" s="6" t="str">
        <x:v>proc-campus-dev-001-Q01</x:v>
      </x:c>
      <x:c r="I471" s="6" t="str">
        <x:v>Find and count assets</x:v>
      </x:c>
      <x:c r="J471" s="6" t="str">
        <x:v>Warm-up</x:v>
      </x:c>
      <x:c r="K471" s="6" t="str">
        <x:v>Room name, floor and asset identity. Coordinates may help the UI.</x:v>
      </x:c>
      <x:c r="L471" s="6" t="str">
        <x:v>T02, T03</x:v>
      </x:c>
      <x:c r="M471" s="6" t="str">
        <x:v>Find a named item and identify its containing room and floor.</x:v>
      </x:c>
      <x:c r="N471" s="6" t="str">
        <x:v>{"asset_id":"proc-campus-dev-001-A00192","space_id":"proc-campus-dev-001-F1-S014","space_name":"Makerspace 1.14","floor_level":1,"position":[0.37,13.216]}</x:v>
      </x:c>
      <x:c r="O471" s="6"/>
      <x:c r="P471" s="6" t="str">
        <x:v>Resolve the intended asset and its containing room/floor.</x:v>
      </x:c>
      <x:c r="Q471" s="15"/>
      <x:c r="R471" s="6"/>
      <x:c r="S471" s="16"/>
      <x:c r="T471" s="15"/>
      <x:c r="U471" s="6"/>
      <x:c r="V471" s="6"/>
      <x:c r="W471" s="6" t="str">
        <x:v>Existing search_building. Improve disambiguation and complete result pagination.</x:v>
      </x:c>
      <x:c r="X471" s="6" t="str">
        <x:v>data/dev/proc-campus-dev-001/questions_basic.jsonl</x:v>
      </x:c>
      <x:c r="Y471" s="14" t="n">
        <x:v>1</x:v>
      </x:c>
      <x:c r="Z471" s="6" t="str">
        <x:v>https://github.com/hagenhaeussler/Industrial-Agents-Hackathon-2026/blob/f41616590b69f3ea0c1cbfb41d6c35edd9ce53df/data/dev/proc-campus-dev-001/questions_basic.jsonl#L1</x:v>
      </x:c>
      <x:c r="AA471" s="6" t="str">
        <x:v>procedural</x:v>
      </x:c>
      <x:c r="AB471" s="6" t="str">
        <x:v>CC0-1.0</x:v>
      </x:c>
    </x:row>
    <x:row r="472" ht="72" customHeight="1">
      <x:c r="A472" s="14" t="n">
        <x:v>467</x:v>
      </x:c>
      <x:c r="B472" s="6" t="str">
        <x:v>locate</x:v>
      </x:c>
      <x:c r="C472" s="6" t="str">
        <x:v>Where is the serving counter?</x:v>
      </x:c>
      <x:c r="D472" s="6" t="str">
        <x:v>Canteen 0.22
Floor level: 0
Asset ID: proc-campus-dev-001-A00113
Position (m): 52.23, 11.615</x:v>
      </x:c>
      <x:c r="E472" s="6" t="str">
        <x:v>Reference supplied</x:v>
      </x:c>
      <x:c r="F472" s="6" t="str">
        <x:v>dev</x:v>
      </x:c>
      <x:c r="G472" s="6" t="str">
        <x:v>proc-campus-dev-001</x:v>
      </x:c>
      <x:c r="H472" s="6" t="str">
        <x:v>proc-campus-dev-001-Q02</x:v>
      </x:c>
      <x:c r="I472" s="6" t="str">
        <x:v>Find and count assets</x:v>
      </x:c>
      <x:c r="J472" s="6" t="str">
        <x:v>Warm-up</x:v>
      </x:c>
      <x:c r="K472" s="6" t="str">
        <x:v>Room name, floor and asset identity. Coordinates may help the UI.</x:v>
      </x:c>
      <x:c r="L472" s="6" t="str">
        <x:v>T02, T03</x:v>
      </x:c>
      <x:c r="M472" s="6" t="str">
        <x:v>Find a named item and identify its containing room and floor.</x:v>
      </x:c>
      <x:c r="N472" s="6" t="str">
        <x:v>{"asset_id":"proc-campus-dev-001-A00113","space_id":"proc-campus-dev-001-F0-S022","space_name":"Canteen 0.22","floor_level":0,"position":[52.23,11.615]}</x:v>
      </x:c>
      <x:c r="O472" s="6"/>
      <x:c r="P472" s="6" t="str">
        <x:v>Resolve the intended asset and its containing room/floor.</x:v>
      </x:c>
      <x:c r="Q472" s="15"/>
      <x:c r="R472" s="6"/>
      <x:c r="S472" s="16"/>
      <x:c r="T472" s="15"/>
      <x:c r="U472" s="6"/>
      <x:c r="V472" s="6"/>
      <x:c r="W472" s="6" t="str">
        <x:v>Existing search_building. Improve disambiguation and complete result pagination.</x:v>
      </x:c>
      <x:c r="X472" s="6" t="str">
        <x:v>data/dev/proc-campus-dev-001/questions_basic.jsonl</x:v>
      </x:c>
      <x:c r="Y472" s="14" t="n">
        <x:v>2</x:v>
      </x:c>
      <x:c r="Z472" s="6" t="str">
        <x:v>https://github.com/hagenhaeussler/Industrial-Agents-Hackathon-2026/blob/f41616590b69f3ea0c1cbfb41d6c35edd9ce53df/data/dev/proc-campus-dev-001/questions_basic.jsonl#L2</x:v>
      </x:c>
      <x:c r="AA472" s="6" t="str">
        <x:v>procedural</x:v>
      </x:c>
      <x:c r="AB472" s="6" t="str">
        <x:v>CC0-1.0</x:v>
      </x:c>
    </x:row>
    <x:row r="473" ht="72" customHeight="1">
      <x:c r="A473" s="14" t="n">
        <x:v>468</x:v>
      </x:c>
      <x:c r="B473" s="6" t="str">
        <x:v>locate</x:v>
      </x:c>
      <x:c r="C473" s="6" t="str">
        <x:v>Where is the workbench?</x:v>
      </x:c>
      <x:c r="D473" s="6" t="str">
        <x:v>Makerspace 1.14
Floor level: 1
Asset ID: proc-campus-dev-001-A00193
Position (m): 2.216, 10.849</x:v>
      </x:c>
      <x:c r="E473" s="6" t="str">
        <x:v>Reference supplied</x:v>
      </x:c>
      <x:c r="F473" s="6" t="str">
        <x:v>dev</x:v>
      </x:c>
      <x:c r="G473" s="6" t="str">
        <x:v>proc-campus-dev-001</x:v>
      </x:c>
      <x:c r="H473" s="6" t="str">
        <x:v>proc-campus-dev-001-Q03</x:v>
      </x:c>
      <x:c r="I473" s="6" t="str">
        <x:v>Find and count assets</x:v>
      </x:c>
      <x:c r="J473" s="6" t="str">
        <x:v>Warm-up</x:v>
      </x:c>
      <x:c r="K473" s="6" t="str">
        <x:v>Room name, floor and asset identity. Coordinates may help the UI.</x:v>
      </x:c>
      <x:c r="L473" s="6" t="str">
        <x:v>T02, T03</x:v>
      </x:c>
      <x:c r="M473" s="6" t="str">
        <x:v>Find a named item and identify its containing room and floor.</x:v>
      </x:c>
      <x:c r="N473" s="6" t="str">
        <x:v>{"asset_id":"proc-campus-dev-001-A00193","space_id":"proc-campus-dev-001-F1-S014","space_name":"Makerspace 1.14","floor_level":1,"position":[2.216,10.849]}</x:v>
      </x:c>
      <x:c r="O473" s="6"/>
      <x:c r="P473" s="6" t="str">
        <x:v>Resolve the intended asset and its containing room/floor.</x:v>
      </x:c>
      <x:c r="Q473" s="15"/>
      <x:c r="R473" s="6"/>
      <x:c r="S473" s="16"/>
      <x:c r="T473" s="15"/>
      <x:c r="U473" s="6"/>
      <x:c r="V473" s="6"/>
      <x:c r="W473" s="6" t="str">
        <x:v>Existing search_building. Improve disambiguation and complete result pagination.</x:v>
      </x:c>
      <x:c r="X473" s="6" t="str">
        <x:v>data/dev/proc-campus-dev-001/questions_basic.jsonl</x:v>
      </x:c>
      <x:c r="Y473" s="14" t="n">
        <x:v>3</x:v>
      </x:c>
      <x:c r="Z473" s="6" t="str">
        <x:v>https://github.com/hagenhaeussler/Industrial-Agents-Hackathon-2026/blob/f41616590b69f3ea0c1cbfb41d6c35edd9ce53df/data/dev/proc-campus-dev-001/questions_basic.jsonl#L3</x:v>
      </x:c>
      <x:c r="AA473" s="6" t="str">
        <x:v>procedural</x:v>
      </x:c>
      <x:c r="AB473" s="6" t="str">
        <x:v>CC0-1.0</x:v>
      </x:c>
    </x:row>
    <x:row r="474" ht="72" customHeight="1">
      <x:c r="A474" s="14" t="n">
        <x:v>469</x:v>
      </x:c>
      <x:c r="B474" s="6" t="str">
        <x:v>locate</x:v>
      </x:c>
      <x:c r="C474" s="6" t="str">
        <x:v>Where is the water dispenser?</x:v>
      </x:c>
      <x:c r="D474" s="6" t="str">
        <x:v>Canteen 0.20
Floor level: 0
Asset ID: proc-campus-dev-002-A00123
Position (m): 20.012, 14.13</x:v>
      </x:c>
      <x:c r="E474" s="6" t="str">
        <x:v>Reference supplied</x:v>
      </x:c>
      <x:c r="F474" s="6" t="str">
        <x:v>dev</x:v>
      </x:c>
      <x:c r="G474" s="6" t="str">
        <x:v>proc-campus-dev-002</x:v>
      </x:c>
      <x:c r="H474" s="6" t="str">
        <x:v>proc-campus-dev-002-Q01</x:v>
      </x:c>
      <x:c r="I474" s="6" t="str">
        <x:v>Find and count assets</x:v>
      </x:c>
      <x:c r="J474" s="6" t="str">
        <x:v>Warm-up</x:v>
      </x:c>
      <x:c r="K474" s="6" t="str">
        <x:v>Room name, floor and asset identity. Coordinates may help the UI.</x:v>
      </x:c>
      <x:c r="L474" s="6" t="str">
        <x:v>T02, T03</x:v>
      </x:c>
      <x:c r="M474" s="6" t="str">
        <x:v>Find a named item and identify its containing room and floor.</x:v>
      </x:c>
      <x:c r="N474" s="6" t="str">
        <x:v>{"asset_id":"proc-campus-dev-002-A00123","space_id":"proc-campus-dev-002-F0-S020","space_name":"Canteen 0.20","floor_level":0,"position":[20.012,14.13]}</x:v>
      </x:c>
      <x:c r="O474" s="6"/>
      <x:c r="P474" s="6" t="str">
        <x:v>Resolve the intended asset and its containing room/floor.</x:v>
      </x:c>
      <x:c r="Q474" s="15"/>
      <x:c r="R474" s="6"/>
      <x:c r="S474" s="16"/>
      <x:c r="T474" s="15"/>
      <x:c r="U474" s="6"/>
      <x:c r="V474" s="6"/>
      <x:c r="W474" s="6" t="str">
        <x:v>Existing search_building. Improve disambiguation and complete result pagination.</x:v>
      </x:c>
      <x:c r="X474" s="6" t="str">
        <x:v>data/dev/proc-campus-dev-002/questions_basic.jsonl</x:v>
      </x:c>
      <x:c r="Y474" s="14" t="n">
        <x:v>1</x:v>
      </x:c>
      <x:c r="Z474" s="6" t="str">
        <x:v>https://github.com/hagenhaeussler/Industrial-Agents-Hackathon-2026/blob/f41616590b69f3ea0c1cbfb41d6c35edd9ce53df/data/dev/proc-campus-dev-002/questions_basic.jsonl#L1</x:v>
      </x:c>
      <x:c r="AA474" s="6" t="str">
        <x:v>procedural</x:v>
      </x:c>
      <x:c r="AB474" s="6" t="str">
        <x:v>CC0-1.0</x:v>
      </x:c>
    </x:row>
    <x:row r="475" ht="72" customHeight="1">
      <x:c r="A475" s="14" t="n">
        <x:v>470</x:v>
      </x:c>
      <x:c r="B475" s="6" t="str">
        <x:v>locate</x:v>
      </x:c>
      <x:c r="C475" s="6" t="str">
        <x:v>Where is the shoe cabinet?</x:v>
      </x:c>
      <x:c r="D475" s="6" t="str">
        <x:v>Corridor 0.01
Floor level: 0
Asset ID: proc-campus-dev-002-A00001
Position (m): 23.035, 6.245</x:v>
      </x:c>
      <x:c r="E475" s="6" t="str">
        <x:v>Reference supplied</x:v>
      </x:c>
      <x:c r="F475" s="6" t="str">
        <x:v>dev</x:v>
      </x:c>
      <x:c r="G475" s="6" t="str">
        <x:v>proc-campus-dev-002</x:v>
      </x:c>
      <x:c r="H475" s="6" t="str">
        <x:v>proc-campus-dev-002-Q02</x:v>
      </x:c>
      <x:c r="I475" s="6" t="str">
        <x:v>Find and count assets</x:v>
      </x:c>
      <x:c r="J475" s="6" t="str">
        <x:v>Warm-up</x:v>
      </x:c>
      <x:c r="K475" s="6" t="str">
        <x:v>Room name, floor and asset identity. Coordinates may help the UI.</x:v>
      </x:c>
      <x:c r="L475" s="6" t="str">
        <x:v>T02, T03</x:v>
      </x:c>
      <x:c r="M475" s="6" t="str">
        <x:v>Find a named item and identify its containing room and floor.</x:v>
      </x:c>
      <x:c r="N475" s="6" t="str">
        <x:v>{"asset_id":"proc-campus-dev-002-A00001","space_id":"proc-campus-dev-002-F0-S001","space_name":"Corridor 0.01","floor_level":0,"position":[23.035,6.245]}</x:v>
      </x:c>
      <x:c r="O475" s="6"/>
      <x:c r="P475" s="6" t="str">
        <x:v>Resolve the intended asset and its containing room/floor.</x:v>
      </x:c>
      <x:c r="Q475" s="15"/>
      <x:c r="R475" s="6"/>
      <x:c r="S475" s="16"/>
      <x:c r="T475" s="15"/>
      <x:c r="U475" s="6"/>
      <x:c r="V475" s="6"/>
      <x:c r="W475" s="6" t="str">
        <x:v>Existing search_building. Improve disambiguation and complete result pagination.</x:v>
      </x:c>
      <x:c r="X475" s="6" t="str">
        <x:v>data/dev/proc-campus-dev-002/questions_basic.jsonl</x:v>
      </x:c>
      <x:c r="Y475" s="14" t="n">
        <x:v>2</x:v>
      </x:c>
      <x:c r="Z475" s="6" t="str">
        <x:v>https://github.com/hagenhaeussler/Industrial-Agents-Hackathon-2026/blob/f41616590b69f3ea0c1cbfb41d6c35edd9ce53df/data/dev/proc-campus-dev-002/questions_basic.jsonl#L2</x:v>
      </x:c>
      <x:c r="AA475" s="6" t="str">
        <x:v>procedural</x:v>
      </x:c>
      <x:c r="AB475" s="6" t="str">
        <x:v>CC0-1.0</x:v>
      </x:c>
    </x:row>
    <x:row r="476" ht="72" customHeight="1">
      <x:c r="A476" s="14" t="n">
        <x:v>471</x:v>
      </x:c>
      <x:c r="B476" s="6" t="str">
        <x:v>locate</x:v>
      </x:c>
      <x:c r="C476" s="6" t="str">
        <x:v>Where is the laser cutter?</x:v>
      </x:c>
      <x:c r="D476" s="6" t="str">
        <x:v>Makerspace 1.18
Floor level: 1
Asset ID: proc-campus-dev-002-A00233
Position (m): 20.43, 13.88</x:v>
      </x:c>
      <x:c r="E476" s="6" t="str">
        <x:v>Reference supplied</x:v>
      </x:c>
      <x:c r="F476" s="6" t="str">
        <x:v>dev</x:v>
      </x:c>
      <x:c r="G476" s="6" t="str">
        <x:v>proc-campus-dev-002</x:v>
      </x:c>
      <x:c r="H476" s="6" t="str">
        <x:v>proc-campus-dev-002-Q03</x:v>
      </x:c>
      <x:c r="I476" s="6" t="str">
        <x:v>Find and count assets</x:v>
      </x:c>
      <x:c r="J476" s="6" t="str">
        <x:v>Warm-up</x:v>
      </x:c>
      <x:c r="K476" s="6" t="str">
        <x:v>Room name, floor and asset identity. Coordinates may help the UI.</x:v>
      </x:c>
      <x:c r="L476" s="6" t="str">
        <x:v>T02, T03</x:v>
      </x:c>
      <x:c r="M476" s="6" t="str">
        <x:v>Find a named item and identify its containing room and floor.</x:v>
      </x:c>
      <x:c r="N476" s="6" t="str">
        <x:v>{"asset_id":"proc-campus-dev-002-A00233","space_id":"proc-campus-dev-002-F1-S018","space_name":"Makerspace 1.18","floor_level":1,"position":[20.43,13.88]}</x:v>
      </x:c>
      <x:c r="O476" s="6"/>
      <x:c r="P476" s="6" t="str">
        <x:v>Resolve the intended asset and its containing room/floor.</x:v>
      </x:c>
      <x:c r="Q476" s="15"/>
      <x:c r="R476" s="6"/>
      <x:c r="S476" s="16"/>
      <x:c r="T476" s="15"/>
      <x:c r="U476" s="6"/>
      <x:c r="V476" s="6"/>
      <x:c r="W476" s="6" t="str">
        <x:v>Existing search_building. Improve disambiguation and complete result pagination.</x:v>
      </x:c>
      <x:c r="X476" s="6" t="str">
        <x:v>data/dev/proc-campus-dev-002/questions_basic.jsonl</x:v>
      </x:c>
      <x:c r="Y476" s="14" t="n">
        <x:v>3</x:v>
      </x:c>
      <x:c r="Z476" s="6" t="str">
        <x:v>https://github.com/hagenhaeussler/Industrial-Agents-Hackathon-2026/blob/f41616590b69f3ea0c1cbfb41d6c35edd9ce53df/data/dev/proc-campus-dev-002/questions_basic.jsonl#L3</x:v>
      </x:c>
      <x:c r="AA476" s="6" t="str">
        <x:v>procedural</x:v>
      </x:c>
      <x:c r="AB476" s="6" t="str">
        <x:v>CC0-1.0</x:v>
      </x:c>
    </x:row>
    <x:row r="477" ht="72" customHeight="1">
      <x:c r="A477" s="14" t="n">
        <x:v>472</x:v>
      </x:c>
      <x:c r="B477" s="6" t="str">
        <x:v>locate</x:v>
      </x:c>
      <x:c r="C477" s="6" t="str">
        <x:v>Where is the tool cabinet?</x:v>
      </x:c>
      <x:c r="D477" s="6" t="str">
        <x:v>Makerspace 0.09
Floor level: 0
Asset ID: proc-campus-dev-006-A00047
Position (m): 41.821, 0.37</x:v>
      </x:c>
      <x:c r="E477" s="6" t="str">
        <x:v>Reference supplied</x:v>
      </x:c>
      <x:c r="F477" s="6" t="str">
        <x:v>dev</x:v>
      </x:c>
      <x:c r="G477" s="6" t="str">
        <x:v>proc-campus-dev-006</x:v>
      </x:c>
      <x:c r="H477" s="6" t="str">
        <x:v>proc-campus-dev-006-Q01</x:v>
      </x:c>
      <x:c r="I477" s="6" t="str">
        <x:v>Find and count assets</x:v>
      </x:c>
      <x:c r="J477" s="6" t="str">
        <x:v>Warm-up</x:v>
      </x:c>
      <x:c r="K477" s="6" t="str">
        <x:v>Room name, floor and asset identity. Coordinates may help the UI.</x:v>
      </x:c>
      <x:c r="L477" s="6" t="str">
        <x:v>T02, T03</x:v>
      </x:c>
      <x:c r="M477" s="6" t="str">
        <x:v>Find a named item and identify its containing room and floor.</x:v>
      </x:c>
      <x:c r="N477" s="6" t="str">
        <x:v>{"asset_id":"proc-campus-dev-006-A00047","space_id":"proc-campus-dev-006-F0-S009","space_name":"Makerspace 0.09","floor_level":0,"position":[41.821,0.37]}</x:v>
      </x:c>
      <x:c r="O477" s="6"/>
      <x:c r="P477" s="6" t="str">
        <x:v>Resolve the intended asset and its containing room/floor.</x:v>
      </x:c>
      <x:c r="Q477" s="15"/>
      <x:c r="R477" s="6"/>
      <x:c r="S477" s="16"/>
      <x:c r="T477" s="15"/>
      <x:c r="U477" s="6"/>
      <x:c r="V477" s="6"/>
      <x:c r="W477" s="6" t="str">
        <x:v>Existing search_building. Improve disambiguation and complete result pagination.</x:v>
      </x:c>
      <x:c r="X477" s="6" t="str">
        <x:v>data/dev/proc-campus-dev-006/questions_basic.jsonl</x:v>
      </x:c>
      <x:c r="Y477" s="14" t="n">
        <x:v>1</x:v>
      </x:c>
      <x:c r="Z477" s="6" t="str">
        <x:v>https://github.com/hagenhaeussler/Industrial-Agents-Hackathon-2026/blob/f41616590b69f3ea0c1cbfb41d6c35edd9ce53df/data/dev/proc-campus-dev-006/questions_basic.jsonl#L1</x:v>
      </x:c>
      <x:c r="AA477" s="6" t="str">
        <x:v>procedural</x:v>
      </x:c>
      <x:c r="AB477" s="6" t="str">
        <x:v>CC0-1.0</x:v>
      </x:c>
    </x:row>
    <x:row r="478" ht="72" customHeight="1">
      <x:c r="A478" s="14" t="n">
        <x:v>473</x:v>
      </x:c>
      <x:c r="B478" s="6" t="str">
        <x:v>locate</x:v>
      </x:c>
      <x:c r="C478" s="6" t="str">
        <x:v>Where is the microwave?</x:v>
      </x:c>
      <x:c r="D478" s="6" t="str">
        <x:v>Kitchen 0.08
Floor level: 0
Asset ID: proc-campus-dev-006-A00038
Position (m): 39.89, 5.165</x:v>
      </x:c>
      <x:c r="E478" s="6" t="str">
        <x:v>Reference supplied</x:v>
      </x:c>
      <x:c r="F478" s="6" t="str">
        <x:v>dev</x:v>
      </x:c>
      <x:c r="G478" s="6" t="str">
        <x:v>proc-campus-dev-006</x:v>
      </x:c>
      <x:c r="H478" s="6" t="str">
        <x:v>proc-campus-dev-006-Q02</x:v>
      </x:c>
      <x:c r="I478" s="6" t="str">
        <x:v>Find and count assets</x:v>
      </x:c>
      <x:c r="J478" s="6" t="str">
        <x:v>Warm-up</x:v>
      </x:c>
      <x:c r="K478" s="6" t="str">
        <x:v>Room name, floor and asset identity. Coordinates may help the UI.</x:v>
      </x:c>
      <x:c r="L478" s="6" t="str">
        <x:v>T02, T03</x:v>
      </x:c>
      <x:c r="M478" s="6" t="str">
        <x:v>Find a named item and identify its containing room and floor.</x:v>
      </x:c>
      <x:c r="N478" s="6" t="str">
        <x:v>{"asset_id":"proc-campus-dev-006-A00038","space_id":"proc-campus-dev-006-F0-S008","space_name":"Kitchen 0.08","floor_level":0,"position":[39.89,5.165]}</x:v>
      </x:c>
      <x:c r="O478" s="6"/>
      <x:c r="P478" s="6" t="str">
        <x:v>Resolve the intended asset and its containing room/floor.</x:v>
      </x:c>
      <x:c r="Q478" s="15"/>
      <x:c r="R478" s="6"/>
      <x:c r="S478" s="16"/>
      <x:c r="T478" s="15"/>
      <x:c r="U478" s="6"/>
      <x:c r="V478" s="6"/>
      <x:c r="W478" s="6" t="str">
        <x:v>Existing search_building. Improve disambiguation and complete result pagination.</x:v>
      </x:c>
      <x:c r="X478" s="6" t="str">
        <x:v>data/dev/proc-campus-dev-006/questions_basic.jsonl</x:v>
      </x:c>
      <x:c r="Y478" s="14" t="n">
        <x:v>2</x:v>
      </x:c>
      <x:c r="Z478" s="6" t="str">
        <x:v>https://github.com/hagenhaeussler/Industrial-Agents-Hackathon-2026/blob/f41616590b69f3ea0c1cbfb41d6c35edd9ce53df/data/dev/proc-campus-dev-006/questions_basic.jsonl#L2</x:v>
      </x:c>
      <x:c r="AA478" s="6" t="str">
        <x:v>procedural</x:v>
      </x:c>
      <x:c r="AB478" s="6" t="str">
        <x:v>CC0-1.0</x:v>
      </x:c>
    </x:row>
    <x:row r="479" ht="72" customHeight="1">
      <x:c r="A479" s="14" t="n">
        <x:v>474</x:v>
      </x:c>
      <x:c r="B479" s="6" t="str">
        <x:v>locate</x:v>
      </x:c>
      <x:c r="C479" s="6" t="str">
        <x:v>Where is the workbench?</x:v>
      </x:c>
      <x:c r="D479" s="6" t="str">
        <x:v>Makerspace 0.09
Floor level: 0
Asset ID: proc-campus-dev-006-A00046
Position (m): 41.572, 2.006</x:v>
      </x:c>
      <x:c r="E479" s="6" t="str">
        <x:v>Reference supplied</x:v>
      </x:c>
      <x:c r="F479" s="6" t="str">
        <x:v>dev</x:v>
      </x:c>
      <x:c r="G479" s="6" t="str">
        <x:v>proc-campus-dev-006</x:v>
      </x:c>
      <x:c r="H479" s="6" t="str">
        <x:v>proc-campus-dev-006-Q03</x:v>
      </x:c>
      <x:c r="I479" s="6" t="str">
        <x:v>Find and count assets</x:v>
      </x:c>
      <x:c r="J479" s="6" t="str">
        <x:v>Warm-up</x:v>
      </x:c>
      <x:c r="K479" s="6" t="str">
        <x:v>Room name, floor and asset identity. Coordinates may help the UI.</x:v>
      </x:c>
      <x:c r="L479" s="6" t="str">
        <x:v>T02, T03</x:v>
      </x:c>
      <x:c r="M479" s="6" t="str">
        <x:v>Find a named item and identify its containing room and floor.</x:v>
      </x:c>
      <x:c r="N479" s="6" t="str">
        <x:v>{"asset_id":"proc-campus-dev-006-A00046","space_id":"proc-campus-dev-006-F0-S009","space_name":"Makerspace 0.09","floor_level":0,"position":[41.572,2.006]}</x:v>
      </x:c>
      <x:c r="O479" s="6"/>
      <x:c r="P479" s="6" t="str">
        <x:v>Resolve the intended asset and its containing room/floor.</x:v>
      </x:c>
      <x:c r="Q479" s="15"/>
      <x:c r="R479" s="6"/>
      <x:c r="S479" s="16"/>
      <x:c r="T479" s="15"/>
      <x:c r="U479" s="6"/>
      <x:c r="V479" s="6"/>
      <x:c r="W479" s="6" t="str">
        <x:v>Existing search_building. Improve disambiguation and complete result pagination.</x:v>
      </x:c>
      <x:c r="X479" s="6" t="str">
        <x:v>data/dev/proc-campus-dev-006/questions_basic.jsonl</x:v>
      </x:c>
      <x:c r="Y479" s="14" t="n">
        <x:v>3</x:v>
      </x:c>
      <x:c r="Z479" s="6" t="str">
        <x:v>https://github.com/hagenhaeussler/Industrial-Agents-Hackathon-2026/blob/f41616590b69f3ea0c1cbfb41d6c35edd9ce53df/data/dev/proc-campus-dev-006/questions_basic.jsonl#L3</x:v>
      </x:c>
      <x:c r="AA479" s="6" t="str">
        <x:v>procedural</x:v>
      </x:c>
      <x:c r="AB479" s="6" t="str">
        <x:v>CC0-1.0</x:v>
      </x:c>
    </x:row>
    <x:row r="480" ht="72" customHeight="1">
      <x:c r="A480" s="14" t="n">
        <x:v>475</x:v>
      </x:c>
      <x:c r="B480" s="6" t="str">
        <x:v>locate</x:v>
      </x:c>
      <x:c r="C480" s="6" t="str">
        <x:v>Where is the coat rack?</x:v>
      </x:c>
      <x:c r="D480" s="6" t="str">
        <x:v>Corridor 2.01
Floor level: 2
Asset ID: proc-campus-dev-009-A00452
Position (m): 29.338, 6.22</x:v>
      </x:c>
      <x:c r="E480" s="6" t="str">
        <x:v>Reference supplied</x:v>
      </x:c>
      <x:c r="F480" s="6" t="str">
        <x:v>dev</x:v>
      </x:c>
      <x:c r="G480" s="6" t="str">
        <x:v>proc-campus-dev-009</x:v>
      </x:c>
      <x:c r="H480" s="6" t="str">
        <x:v>proc-campus-dev-009-Q01</x:v>
      </x:c>
      <x:c r="I480" s="6" t="str">
        <x:v>Find and count assets</x:v>
      </x:c>
      <x:c r="J480" s="6" t="str">
        <x:v>Warm-up</x:v>
      </x:c>
      <x:c r="K480" s="6" t="str">
        <x:v>Room name, floor and asset identity. Coordinates may help the UI.</x:v>
      </x:c>
      <x:c r="L480" s="6" t="str">
        <x:v>T02, T03</x:v>
      </x:c>
      <x:c r="M480" s="6" t="str">
        <x:v>Find a named item and identify its containing room and floor.</x:v>
      </x:c>
      <x:c r="N480" s="6" t="str">
        <x:v>{"asset_id":"proc-campus-dev-009-A00452","space_id":"proc-campus-dev-009-F2-S001","space_name":"Corridor 2.01","floor_level":2,"position":[29.338,6.22]}</x:v>
      </x:c>
      <x:c r="O480" s="6"/>
      <x:c r="P480" s="6" t="str">
        <x:v>Resolve the intended asset and its containing room/floor.</x:v>
      </x:c>
      <x:c r="Q480" s="15"/>
      <x:c r="R480" s="6"/>
      <x:c r="S480" s="16"/>
      <x:c r="T480" s="15"/>
      <x:c r="U480" s="6"/>
      <x:c r="V480" s="6"/>
      <x:c r="W480" s="6" t="str">
        <x:v>Existing search_building. Improve disambiguation and complete result pagination.</x:v>
      </x:c>
      <x:c r="X480" s="6" t="str">
        <x:v>data/dev/proc-campus-dev-009/questions_basic.jsonl</x:v>
      </x:c>
      <x:c r="Y480" s="14" t="n">
        <x:v>1</x:v>
      </x:c>
      <x:c r="Z480" s="6" t="str">
        <x:v>https://github.com/hagenhaeussler/Industrial-Agents-Hackathon-2026/blob/f41616590b69f3ea0c1cbfb41d6c35edd9ce53df/data/dev/proc-campus-dev-009/questions_basic.jsonl#L1</x:v>
      </x:c>
      <x:c r="AA480" s="6" t="str">
        <x:v>procedural</x:v>
      </x:c>
      <x:c r="AB480" s="6" t="str">
        <x:v>CC0-1.0</x:v>
      </x:c>
    </x:row>
    <x:row r="481" ht="72" customHeight="1">
      <x:c r="A481" s="14" t="n">
        <x:v>476</x:v>
      </x:c>
      <x:c r="B481" s="6" t="str">
        <x:v>locate</x:v>
      </x:c>
      <x:c r="C481" s="6" t="str">
        <x:v>Where is the laser cutter?</x:v>
      </x:c>
      <x:c r="D481" s="6" t="str">
        <x:v>Makerspace 0.18
Floor level: 0
Asset ID: proc-campus-dev-009-A00074
Position (m): 20.54, 11.023</x:v>
      </x:c>
      <x:c r="E481" s="6" t="str">
        <x:v>Reference supplied</x:v>
      </x:c>
      <x:c r="F481" s="6" t="str">
        <x:v>dev</x:v>
      </x:c>
      <x:c r="G481" s="6" t="str">
        <x:v>proc-campus-dev-009</x:v>
      </x:c>
      <x:c r="H481" s="6" t="str">
        <x:v>proc-campus-dev-009-Q02</x:v>
      </x:c>
      <x:c r="I481" s="6" t="str">
        <x:v>Find and count assets</x:v>
      </x:c>
      <x:c r="J481" s="6" t="str">
        <x:v>Warm-up</x:v>
      </x:c>
      <x:c r="K481" s="6" t="str">
        <x:v>Room name, floor and asset identity. Coordinates may help the UI.</x:v>
      </x:c>
      <x:c r="L481" s="6" t="str">
        <x:v>T02, T03</x:v>
      </x:c>
      <x:c r="M481" s="6" t="str">
        <x:v>Find a named item and identify its containing room and floor.</x:v>
      </x:c>
      <x:c r="N481" s="6" t="str">
        <x:v>{"asset_id":"proc-campus-dev-009-A00074","space_id":"proc-campus-dev-009-F0-S018","space_name":"Makerspace 0.18","floor_level":0,"position":[20.54,11.023]}</x:v>
      </x:c>
      <x:c r="O481" s="6"/>
      <x:c r="P481" s="6" t="str">
        <x:v>Resolve the intended asset and its containing room/floor.</x:v>
      </x:c>
      <x:c r="Q481" s="15"/>
      <x:c r="R481" s="6"/>
      <x:c r="S481" s="16"/>
      <x:c r="T481" s="15"/>
      <x:c r="U481" s="6"/>
      <x:c r="V481" s="6"/>
      <x:c r="W481" s="6" t="str">
        <x:v>Existing search_building. Improve disambiguation and complete result pagination.</x:v>
      </x:c>
      <x:c r="X481" s="6" t="str">
        <x:v>data/dev/proc-campus-dev-009/questions_basic.jsonl</x:v>
      </x:c>
      <x:c r="Y481" s="14" t="n">
        <x:v>2</x:v>
      </x:c>
      <x:c r="Z481" s="6" t="str">
        <x:v>https://github.com/hagenhaeussler/Industrial-Agents-Hackathon-2026/blob/f41616590b69f3ea0c1cbfb41d6c35edd9ce53df/data/dev/proc-campus-dev-009/questions_basic.jsonl#L2</x:v>
      </x:c>
      <x:c r="AA481" s="6" t="str">
        <x:v>procedural</x:v>
      </x:c>
      <x:c r="AB481" s="6" t="str">
        <x:v>CC0-1.0</x:v>
      </x:c>
    </x:row>
    <x:row r="482" ht="72" customHeight="1">
      <x:c r="A482" s="14" t="n">
        <x:v>477</x:v>
      </x:c>
      <x:c r="B482" s="6" t="str">
        <x:v>locate</x:v>
      </x:c>
      <x:c r="C482" s="6" t="str">
        <x:v>Where is the tool cabinet?</x:v>
      </x:c>
      <x:c r="D482" s="6" t="str">
        <x:v>Makerspace 0.18
Floor level: 0
Asset ID: proc-campus-dev-009-A00079
Position (m): 15.11, 12.504</x:v>
      </x:c>
      <x:c r="E482" s="6" t="str">
        <x:v>Reference supplied</x:v>
      </x:c>
      <x:c r="F482" s="6" t="str">
        <x:v>dev</x:v>
      </x:c>
      <x:c r="G482" s="6" t="str">
        <x:v>proc-campus-dev-009</x:v>
      </x:c>
      <x:c r="H482" s="6" t="str">
        <x:v>proc-campus-dev-009-Q03</x:v>
      </x:c>
      <x:c r="I482" s="6" t="str">
        <x:v>Find and count assets</x:v>
      </x:c>
      <x:c r="J482" s="6" t="str">
        <x:v>Warm-up</x:v>
      </x:c>
      <x:c r="K482" s="6" t="str">
        <x:v>Room name, floor and asset identity. Coordinates may help the UI.</x:v>
      </x:c>
      <x:c r="L482" s="6" t="str">
        <x:v>T02, T03</x:v>
      </x:c>
      <x:c r="M482" s="6" t="str">
        <x:v>Find a named item and identify its containing room and floor.</x:v>
      </x:c>
      <x:c r="N482" s="6" t="str">
        <x:v>{"asset_id":"proc-campus-dev-009-A00079","space_id":"proc-campus-dev-009-F0-S018","space_name":"Makerspace 0.18","floor_level":0,"position":[15.11,12.504]}</x:v>
      </x:c>
      <x:c r="O482" s="6"/>
      <x:c r="P482" s="6" t="str">
        <x:v>Resolve the intended asset and its containing room/floor.</x:v>
      </x:c>
      <x:c r="Q482" s="15"/>
      <x:c r="R482" s="6"/>
      <x:c r="S482" s="16"/>
      <x:c r="T482" s="15"/>
      <x:c r="U482" s="6"/>
      <x:c r="V482" s="6"/>
      <x:c r="W482" s="6" t="str">
        <x:v>Existing search_building. Improve disambiguation and complete result pagination.</x:v>
      </x:c>
      <x:c r="X482" s="6" t="str">
        <x:v>data/dev/proc-campus-dev-009/questions_basic.jsonl</x:v>
      </x:c>
      <x:c r="Y482" s="14" t="n">
        <x:v>3</x:v>
      </x:c>
      <x:c r="Z482" s="6" t="str">
        <x:v>https://github.com/hagenhaeussler/Industrial-Agents-Hackathon-2026/blob/f41616590b69f3ea0c1cbfb41d6c35edd9ce53df/data/dev/proc-campus-dev-009/questions_basic.jsonl#L3</x:v>
      </x:c>
      <x:c r="AA482" s="6" t="str">
        <x:v>procedural</x:v>
      </x:c>
      <x:c r="AB482" s="6" t="str">
        <x:v>CC0-1.0</x:v>
      </x:c>
    </x:row>
    <x:row r="483" ht="72" customHeight="1">
      <x:c r="A483" s="14" t="n">
        <x:v>478</x:v>
      </x:c>
      <x:c r="B483" s="6" t="str">
        <x:v>locate</x:v>
      </x:c>
      <x:c r="C483" s="6" t="str">
        <x:v>Where is the tool cabinet?</x:v>
      </x:c>
      <x:c r="D483" s="6" t="str">
        <x:v>Makerspace 1.19
Floor level: 1
Asset ID: proc-campus-dev-013-A00248
Position (m): -9.345, 26.83</x:v>
      </x:c>
      <x:c r="E483" s="6" t="str">
        <x:v>Reference supplied</x:v>
      </x:c>
      <x:c r="F483" s="6" t="str">
        <x:v>dev</x:v>
      </x:c>
      <x:c r="G483" s="6" t="str">
        <x:v>proc-campus-dev-013</x:v>
      </x:c>
      <x:c r="H483" s="6" t="str">
        <x:v>proc-campus-dev-013-Q01</x:v>
      </x:c>
      <x:c r="I483" s="6" t="str">
        <x:v>Find and count assets</x:v>
      </x:c>
      <x:c r="J483" s="6" t="str">
        <x:v>Warm-up</x:v>
      </x:c>
      <x:c r="K483" s="6" t="str">
        <x:v>Room name, floor and asset identity. Coordinates may help the UI.</x:v>
      </x:c>
      <x:c r="L483" s="6" t="str">
        <x:v>T02, T03</x:v>
      </x:c>
      <x:c r="M483" s="6" t="str">
        <x:v>Find a named item and identify its containing room and floor.</x:v>
      </x:c>
      <x:c r="N483" s="6" t="str">
        <x:v>{"asset_id":"proc-campus-dev-013-A00248","space_id":"proc-campus-dev-013-F1-S019","space_name":"Makerspace 1.19","floor_level":1,"position":[-9.345,26.83]}</x:v>
      </x:c>
      <x:c r="O483" s="6"/>
      <x:c r="P483" s="6" t="str">
        <x:v>Resolve the intended asset and its containing room/floor.</x:v>
      </x:c>
      <x:c r="Q483" s="15"/>
      <x:c r="R483" s="6"/>
      <x:c r="S483" s="16"/>
      <x:c r="T483" s="15"/>
      <x:c r="U483" s="6"/>
      <x:c r="V483" s="6"/>
      <x:c r="W483" s="6" t="str">
        <x:v>Existing search_building. Improve disambiguation and complete result pagination.</x:v>
      </x:c>
      <x:c r="X483" s="6" t="str">
        <x:v>data/dev/proc-campus-dev-013/questions_basic.jsonl</x:v>
      </x:c>
      <x:c r="Y483" s="14" t="n">
        <x:v>1</x:v>
      </x:c>
      <x:c r="Z483" s="6" t="str">
        <x:v>https://github.com/hagenhaeussler/Industrial-Agents-Hackathon-2026/blob/f41616590b69f3ea0c1cbfb41d6c35edd9ce53df/data/dev/proc-campus-dev-013/questions_basic.jsonl#L1</x:v>
      </x:c>
      <x:c r="AA483" s="6" t="str">
        <x:v>procedural</x:v>
      </x:c>
      <x:c r="AB483" s="6" t="str">
        <x:v>CC0-1.0</x:v>
      </x:c>
    </x:row>
    <x:row r="484" ht="72" customHeight="1">
      <x:c r="A484" s="14" t="n">
        <x:v>479</x:v>
      </x:c>
      <x:c r="B484" s="6" t="str">
        <x:v>locate</x:v>
      </x:c>
      <x:c r="C484" s="6" t="str">
        <x:v>Where is the lectern?</x:v>
      </x:c>
      <x:c r="D484" s="6" t="str">
        <x:v>Lecture hall 0.18
Floor level: 0
Asset ID: proc-campus-dev-013-A00094
Position (m): -9.049, 22.678</x:v>
      </x:c>
      <x:c r="E484" s="6" t="str">
        <x:v>Reference supplied</x:v>
      </x:c>
      <x:c r="F484" s="6" t="str">
        <x:v>dev</x:v>
      </x:c>
      <x:c r="G484" s="6" t="str">
        <x:v>proc-campus-dev-013</x:v>
      </x:c>
      <x:c r="H484" s="6" t="str">
        <x:v>proc-campus-dev-013-Q02</x:v>
      </x:c>
      <x:c r="I484" s="6" t="str">
        <x:v>Find and count assets</x:v>
      </x:c>
      <x:c r="J484" s="6" t="str">
        <x:v>Warm-up</x:v>
      </x:c>
      <x:c r="K484" s="6" t="str">
        <x:v>Room name, floor and asset identity. Coordinates may help the UI.</x:v>
      </x:c>
      <x:c r="L484" s="6" t="str">
        <x:v>T02, T03</x:v>
      </x:c>
      <x:c r="M484" s="6" t="str">
        <x:v>Find a named item and identify its containing room and floor.</x:v>
      </x:c>
      <x:c r="N484" s="6" t="str">
        <x:v>{"asset_id":"proc-campus-dev-013-A00094","space_id":"proc-campus-dev-013-F0-S018","space_name":"Lecture hall 0.18","floor_level":0,"position":[-9.049,22.678]}</x:v>
      </x:c>
      <x:c r="O484" s="6"/>
      <x:c r="P484" s="6" t="str">
        <x:v>Resolve the intended asset and its containing room/floor.</x:v>
      </x:c>
      <x:c r="Q484" s="15"/>
      <x:c r="R484" s="6"/>
      <x:c r="S484" s="16"/>
      <x:c r="T484" s="15"/>
      <x:c r="U484" s="6"/>
      <x:c r="V484" s="6"/>
      <x:c r="W484" s="6" t="str">
        <x:v>Existing search_building. Improve disambiguation and complete result pagination.</x:v>
      </x:c>
      <x:c r="X484" s="6" t="str">
        <x:v>data/dev/proc-campus-dev-013/questions_basic.jsonl</x:v>
      </x:c>
      <x:c r="Y484" s="14" t="n">
        <x:v>2</x:v>
      </x:c>
      <x:c r="Z484" s="6" t="str">
        <x:v>https://github.com/hagenhaeussler/Industrial-Agents-Hackathon-2026/blob/f41616590b69f3ea0c1cbfb41d6c35edd9ce53df/data/dev/proc-campus-dev-013/questions_basic.jsonl#L2</x:v>
      </x:c>
      <x:c r="AA484" s="6" t="str">
        <x:v>procedural</x:v>
      </x:c>
      <x:c r="AB484" s="6" t="str">
        <x:v>CC0-1.0</x:v>
      </x:c>
    </x:row>
    <x:row r="485" ht="72" customHeight="1">
      <x:c r="A485" s="14" t="n">
        <x:v>480</x:v>
      </x:c>
      <x:c r="B485" s="6" t="str">
        <x:v>locate</x:v>
      </x:c>
      <x:c r="C485" s="6" t="str">
        <x:v>Where is the serving counter?</x:v>
      </x:c>
      <x:c r="D485" s="6" t="str">
        <x:v>Canteen 0.19
Floor level: 0
Asset ID: proc-campus-dev-013-A00107
Position (m): -13.93, 43.631</x:v>
      </x:c>
      <x:c r="E485" s="6" t="str">
        <x:v>Reference supplied</x:v>
      </x:c>
      <x:c r="F485" s="6" t="str">
        <x:v>dev</x:v>
      </x:c>
      <x:c r="G485" s="6" t="str">
        <x:v>proc-campus-dev-013</x:v>
      </x:c>
      <x:c r="H485" s="6" t="str">
        <x:v>proc-campus-dev-013-Q03</x:v>
      </x:c>
      <x:c r="I485" s="6" t="str">
        <x:v>Find and count assets</x:v>
      </x:c>
      <x:c r="J485" s="6" t="str">
        <x:v>Warm-up</x:v>
      </x:c>
      <x:c r="K485" s="6" t="str">
        <x:v>Room name, floor and asset identity. Coordinates may help the UI.</x:v>
      </x:c>
      <x:c r="L485" s="6" t="str">
        <x:v>T02, T03</x:v>
      </x:c>
      <x:c r="M485" s="6" t="str">
        <x:v>Find a named item and identify its containing room and floor.</x:v>
      </x:c>
      <x:c r="N485" s="6" t="str">
        <x:v>{"asset_id":"proc-campus-dev-013-A00107","space_id":"proc-campus-dev-013-F0-S019","space_name":"Canteen 0.19","floor_level":0,"position":[-13.93,43.631]}</x:v>
      </x:c>
      <x:c r="O485" s="6"/>
      <x:c r="P485" s="6" t="str">
        <x:v>Resolve the intended asset and its containing room/floor.</x:v>
      </x:c>
      <x:c r="Q485" s="15"/>
      <x:c r="R485" s="6"/>
      <x:c r="S485" s="16"/>
      <x:c r="T485" s="15"/>
      <x:c r="U485" s="6"/>
      <x:c r="V485" s="6"/>
      <x:c r="W485" s="6" t="str">
        <x:v>Existing search_building. Improve disambiguation and complete result pagination.</x:v>
      </x:c>
      <x:c r="X485" s="6" t="str">
        <x:v>data/dev/proc-campus-dev-013/questions_basic.jsonl</x:v>
      </x:c>
      <x:c r="Y485" s="14" t="n">
        <x:v>3</x:v>
      </x:c>
      <x:c r="Z485" s="6" t="str">
        <x:v>https://github.com/hagenhaeussler/Industrial-Agents-Hackathon-2026/blob/f41616590b69f3ea0c1cbfb41d6c35edd9ce53df/data/dev/proc-campus-dev-013/questions_basic.jsonl#L3</x:v>
      </x:c>
      <x:c r="AA485" s="6" t="str">
        <x:v>procedural</x:v>
      </x:c>
      <x:c r="AB485" s="6" t="str">
        <x:v>CC0-1.0</x:v>
      </x:c>
    </x:row>
    <x:row r="486" ht="72" customHeight="1">
      <x:c r="A486" s="14" t="n">
        <x:v>481</x:v>
      </x:c>
      <x:c r="B486" s="6" t="str">
        <x:v>locate</x:v>
      </x:c>
      <x:c r="C486" s="6" t="str">
        <x:v>Where is the coordinate measuring machine?</x:v>
      </x:c>
      <x:c r="D486" s="6" t="str">
        <x:v>Quality lab 0.21
Floor level: 0
Asset ID: proc-factory-dev-003-A00117
Position (m): 2.941, 12.964</x:v>
      </x:c>
      <x:c r="E486" s="6" t="str">
        <x:v>Reference supplied</x:v>
      </x:c>
      <x:c r="F486" s="6" t="str">
        <x:v>dev</x:v>
      </x:c>
      <x:c r="G486" s="6" t="str">
        <x:v>proc-factory-dev-003</x:v>
      </x:c>
      <x:c r="H486" s="6" t="str">
        <x:v>proc-factory-dev-003-Q01</x:v>
      </x:c>
      <x:c r="I486" s="6" t="str">
        <x:v>Find and count assets</x:v>
      </x:c>
      <x:c r="J486" s="6" t="str">
        <x:v>Warm-up</x:v>
      </x:c>
      <x:c r="K486" s="6" t="str">
        <x:v>Room name, floor and asset identity. Coordinates may help the UI.</x:v>
      </x:c>
      <x:c r="L486" s="6" t="str">
        <x:v>T02, T03</x:v>
      </x:c>
      <x:c r="M486" s="6" t="str">
        <x:v>Find a named item and identify its containing room and floor.</x:v>
      </x:c>
      <x:c r="N486" s="6" t="str">
        <x:v>{"asset_id":"proc-factory-dev-003-A00117","space_id":"proc-factory-dev-003-F0-S021","space_name":"Quality lab 0.21","floor_level":0,"position":[2.941,12.964]}</x:v>
      </x:c>
      <x:c r="O486" s="6"/>
      <x:c r="P486" s="6" t="str">
        <x:v>Resolve the intended asset and its containing room/floor.</x:v>
      </x:c>
      <x:c r="Q486" s="15"/>
      <x:c r="R486" s="6"/>
      <x:c r="S486" s="16"/>
      <x:c r="T486" s="15"/>
      <x:c r="U486" s="6"/>
      <x:c r="V486" s="6"/>
      <x:c r="W486" s="6" t="str">
        <x:v>Existing search_building. Improve disambiguation and complete result pagination.</x:v>
      </x:c>
      <x:c r="X486" s="6" t="str">
        <x:v>data/dev/proc-factory-dev-003/questions_basic.jsonl</x:v>
      </x:c>
      <x:c r="Y486" s="14" t="n">
        <x:v>1</x:v>
      </x:c>
      <x:c r="Z486" s="6" t="str">
        <x:v>https://github.com/hagenhaeussler/Industrial-Agents-Hackathon-2026/blob/f41616590b69f3ea0c1cbfb41d6c35edd9ce53df/data/dev/proc-factory-dev-003/questions_basic.jsonl#L1</x:v>
      </x:c>
      <x:c r="AA486" s="6" t="str">
        <x:v>procedural</x:v>
      </x:c>
      <x:c r="AB486" s="6" t="str">
        <x:v>CC0-1.0</x:v>
      </x:c>
    </x:row>
    <x:row r="487" ht="72" customHeight="1">
      <x:c r="A487" s="14" t="n">
        <x:v>482</x:v>
      </x:c>
      <x:c r="B487" s="6" t="str">
        <x:v>locate</x:v>
      </x:c>
      <x:c r="C487" s="6" t="str">
        <x:v>Where is the inspection bench?</x:v>
      </x:c>
      <x:c r="D487" s="6" t="str">
        <x:v>Quality lab 0.21
Floor level: 0
Asset ID: proc-factory-dev-003-A00118
Position (m): 0.47, 11.499</x:v>
      </x:c>
      <x:c r="E487" s="6" t="str">
        <x:v>Reference supplied</x:v>
      </x:c>
      <x:c r="F487" s="6" t="str">
        <x:v>dev</x:v>
      </x:c>
      <x:c r="G487" s="6" t="str">
        <x:v>proc-factory-dev-003</x:v>
      </x:c>
      <x:c r="H487" s="6" t="str">
        <x:v>proc-factory-dev-003-Q02</x:v>
      </x:c>
      <x:c r="I487" s="6" t="str">
        <x:v>Find and count assets</x:v>
      </x:c>
      <x:c r="J487" s="6" t="str">
        <x:v>Warm-up</x:v>
      </x:c>
      <x:c r="K487" s="6" t="str">
        <x:v>Room name, floor and asset identity. Coordinates may help the UI.</x:v>
      </x:c>
      <x:c r="L487" s="6" t="str">
        <x:v>T02, T03</x:v>
      </x:c>
      <x:c r="M487" s="6" t="str">
        <x:v>Find a named item and identify its containing room and floor.</x:v>
      </x:c>
      <x:c r="N487" s="6" t="str">
        <x:v>{"asset_id":"proc-factory-dev-003-A00118","space_id":"proc-factory-dev-003-F0-S021","space_name":"Quality lab 0.21","floor_level":0,"position":[0.47,11.499]}</x:v>
      </x:c>
      <x:c r="O487" s="6"/>
      <x:c r="P487" s="6" t="str">
        <x:v>Resolve the intended asset and its containing room/floor.</x:v>
      </x:c>
      <x:c r="Q487" s="15"/>
      <x:c r="R487" s="6"/>
      <x:c r="S487" s="16"/>
      <x:c r="T487" s="15"/>
      <x:c r="U487" s="6"/>
      <x:c r="V487" s="6"/>
      <x:c r="W487" s="6" t="str">
        <x:v>Existing search_building. Improve disambiguation and complete result pagination.</x:v>
      </x:c>
      <x:c r="X487" s="6" t="str">
        <x:v>data/dev/proc-factory-dev-003/questions_basic.jsonl</x:v>
      </x:c>
      <x:c r="Y487" s="14" t="n">
        <x:v>2</x:v>
      </x:c>
      <x:c r="Z487" s="6" t="str">
        <x:v>https://github.com/hagenhaeussler/Industrial-Agents-Hackathon-2026/blob/f41616590b69f3ea0c1cbfb41d6c35edd9ce53df/data/dev/proc-factory-dev-003/questions_basic.jsonl#L2</x:v>
      </x:c>
      <x:c r="AA487" s="6" t="str">
        <x:v>procedural</x:v>
      </x:c>
      <x:c r="AB487" s="6" t="str">
        <x:v>CC0-1.0</x:v>
      </x:c>
    </x:row>
    <x:row r="488" ht="72" customHeight="1">
      <x:c r="A488" s="14" t="n">
        <x:v>483</x:v>
      </x:c>
      <x:c r="B488" s="6" t="str">
        <x:v>locate</x:v>
      </x:c>
      <x:c r="C488" s="6" t="str">
        <x:v>Where is the forklift charging station?</x:v>
      </x:c>
      <x:c r="D488" s="6" t="str">
        <x:v>Logistics zone H-C5
Floor level: 0
Asset ID: proc-factory-dev-003-A00099
Position (m): -42.93, 71.154</x:v>
      </x:c>
      <x:c r="E488" s="6" t="str">
        <x:v>Reference supplied</x:v>
      </x:c>
      <x:c r="F488" s="6" t="str">
        <x:v>dev</x:v>
      </x:c>
      <x:c r="G488" s="6" t="str">
        <x:v>proc-factory-dev-003</x:v>
      </x:c>
      <x:c r="H488" s="6" t="str">
        <x:v>proc-factory-dev-003-Q03</x:v>
      </x:c>
      <x:c r="I488" s="6" t="str">
        <x:v>Find and count assets</x:v>
      </x:c>
      <x:c r="J488" s="6" t="str">
        <x:v>Warm-up</x:v>
      </x:c>
      <x:c r="K488" s="6" t="str">
        <x:v>Room name, floor and asset identity. Coordinates may help the UI.</x:v>
      </x:c>
      <x:c r="L488" s="6" t="str">
        <x:v>T02, T03</x:v>
      </x:c>
      <x:c r="M488" s="6" t="str">
        <x:v>Find a named item and identify its containing room and floor.</x:v>
      </x:c>
      <x:c r="N488" s="6" t="str">
        <x:v>{"asset_id":"proc-factory-dev-003-A00099","space_id":"proc-factory-dev-003-F0-S015","space_name":"Logistics zone H-C5","floor_level":0,"position":[-42.93,71.154]}</x:v>
      </x:c>
      <x:c r="O488" s="6"/>
      <x:c r="P488" s="6" t="str">
        <x:v>Resolve the intended asset and its containing room/floor.</x:v>
      </x:c>
      <x:c r="Q488" s="15"/>
      <x:c r="R488" s="6"/>
      <x:c r="S488" s="16"/>
      <x:c r="T488" s="15"/>
      <x:c r="U488" s="6"/>
      <x:c r="V488" s="6"/>
      <x:c r="W488" s="6" t="str">
        <x:v>Existing search_building. Improve disambiguation and complete result pagination.</x:v>
      </x:c>
      <x:c r="X488" s="6" t="str">
        <x:v>data/dev/proc-factory-dev-003/questions_basic.jsonl</x:v>
      </x:c>
      <x:c r="Y488" s="14" t="n">
        <x:v>3</x:v>
      </x:c>
      <x:c r="Z488" s="6" t="str">
        <x:v>https://github.com/hagenhaeussler/Industrial-Agents-Hackathon-2026/blob/f41616590b69f3ea0c1cbfb41d6c35edd9ce53df/data/dev/proc-factory-dev-003/questions_basic.jsonl#L3</x:v>
      </x:c>
      <x:c r="AA488" s="6" t="str">
        <x:v>procedural</x:v>
      </x:c>
      <x:c r="AB488" s="6" t="str">
        <x:v>CC0-1.0</x:v>
      </x:c>
    </x:row>
    <x:row r="489" ht="72" customHeight="1">
      <x:c r="A489" s="14" t="n">
        <x:v>484</x:v>
      </x:c>
      <x:c r="B489" s="6" t="str">
        <x:v>locate</x:v>
      </x:c>
      <x:c r="C489" s="6" t="str">
        <x:v>Where is the coat rack?</x:v>
      </x:c>
      <x:c r="D489" s="6" t="str">
        <x:v>Main aisle H-B2
Floor level: 0
Asset ID: proc-factory-dev-004-A00030
Position (m): -13.711, -31.38</x:v>
      </x:c>
      <x:c r="E489" s="6" t="str">
        <x:v>Reference supplied</x:v>
      </x:c>
      <x:c r="F489" s="6" t="str">
        <x:v>dev</x:v>
      </x:c>
      <x:c r="G489" s="6" t="str">
        <x:v>proc-factory-dev-004</x:v>
      </x:c>
      <x:c r="H489" s="6" t="str">
        <x:v>proc-factory-dev-004-Q01</x:v>
      </x:c>
      <x:c r="I489" s="6" t="str">
        <x:v>Find and count assets</x:v>
      </x:c>
      <x:c r="J489" s="6" t="str">
        <x:v>Warm-up</x:v>
      </x:c>
      <x:c r="K489" s="6" t="str">
        <x:v>Room name, floor and asset identity. Coordinates may help the UI.</x:v>
      </x:c>
      <x:c r="L489" s="6" t="str">
        <x:v>T02, T03</x:v>
      </x:c>
      <x:c r="M489" s="6" t="str">
        <x:v>Find a named item and identify its containing room and floor.</x:v>
      </x:c>
      <x:c r="N489" s="6" t="str">
        <x:v>{"asset_id":"proc-factory-dev-004-A00030","space_id":"proc-factory-dev-004-F0-S006","space_name":"Main aisle H-B2","floor_level":0,"position":[-13.711,-31.38]}</x:v>
      </x:c>
      <x:c r="O489" s="6"/>
      <x:c r="P489" s="6" t="str">
        <x:v>Resolve the intended asset and its containing room/floor.</x:v>
      </x:c>
      <x:c r="Q489" s="15"/>
      <x:c r="R489" s="6"/>
      <x:c r="S489" s="16"/>
      <x:c r="T489" s="15"/>
      <x:c r="U489" s="6"/>
      <x:c r="V489" s="6"/>
      <x:c r="W489" s="6" t="str">
        <x:v>Existing search_building. Improve disambiguation and complete result pagination.</x:v>
      </x:c>
      <x:c r="X489" s="6" t="str">
        <x:v>data/dev/proc-factory-dev-004/questions_basic.jsonl</x:v>
      </x:c>
      <x:c r="Y489" s="14" t="n">
        <x:v>1</x:v>
      </x:c>
      <x:c r="Z489" s="6" t="str">
        <x:v>https://github.com/hagenhaeussler/Industrial-Agents-Hackathon-2026/blob/f41616590b69f3ea0c1cbfb41d6c35edd9ce53df/data/dev/proc-factory-dev-004/questions_basic.jsonl#L1</x:v>
      </x:c>
      <x:c r="AA489" s="6" t="str">
        <x:v>procedural</x:v>
      </x:c>
      <x:c r="AB489" s="6" t="str">
        <x:v>CC0-1.0</x:v>
      </x:c>
    </x:row>
    <x:row r="490" ht="72" customHeight="1">
      <x:c r="A490" s="14" t="n">
        <x:v>485</x:v>
      </x:c>
      <x:c r="B490" s="6" t="str">
        <x:v>locate</x:v>
      </x:c>
      <x:c r="C490" s="6" t="str">
        <x:v>Where is the reception desk?</x:v>
      </x:c>
      <x:c r="D490" s="6" t="str">
        <x:v>Hall access 0.16
Floor level: 0
Asset ID: proc-factory-dev-004-A00066
Position (m): -3.298, 2.74</x:v>
      </x:c>
      <x:c r="E490" s="6" t="str">
        <x:v>Reference supplied</x:v>
      </x:c>
      <x:c r="F490" s="6" t="str">
        <x:v>dev</x:v>
      </x:c>
      <x:c r="G490" s="6" t="str">
        <x:v>proc-factory-dev-004</x:v>
      </x:c>
      <x:c r="H490" s="6" t="str">
        <x:v>proc-factory-dev-004-Q02</x:v>
      </x:c>
      <x:c r="I490" s="6" t="str">
        <x:v>Find and count assets</x:v>
      </x:c>
      <x:c r="J490" s="6" t="str">
        <x:v>Warm-up</x:v>
      </x:c>
      <x:c r="K490" s="6" t="str">
        <x:v>Room name, floor and asset identity. Coordinates may help the UI.</x:v>
      </x:c>
      <x:c r="L490" s="6" t="str">
        <x:v>T02, T03</x:v>
      </x:c>
      <x:c r="M490" s="6" t="str">
        <x:v>Find a named item and identify its containing room and floor.</x:v>
      </x:c>
      <x:c r="N490" s="6" t="str">
        <x:v>{"asset_id":"proc-factory-dev-004-A00066","space_id":"proc-factory-dev-004-F0-S016","space_name":"Hall access 0.16","floor_level":0,"position":[-3.298,2.74]}</x:v>
      </x:c>
      <x:c r="O490" s="6"/>
      <x:c r="P490" s="6" t="str">
        <x:v>Resolve the intended asset and its containing room/floor.</x:v>
      </x:c>
      <x:c r="Q490" s="15"/>
      <x:c r="R490" s="6"/>
      <x:c r="S490" s="16"/>
      <x:c r="T490" s="15"/>
      <x:c r="U490" s="6"/>
      <x:c r="V490" s="6"/>
      <x:c r="W490" s="6" t="str">
        <x:v>Existing search_building. Improve disambiguation and complete result pagination.</x:v>
      </x:c>
      <x:c r="X490" s="6" t="str">
        <x:v>data/dev/proc-factory-dev-004/questions_basic.jsonl</x:v>
      </x:c>
      <x:c r="Y490" s="14" t="n">
        <x:v>2</x:v>
      </x:c>
      <x:c r="Z490" s="6" t="str">
        <x:v>https://github.com/hagenhaeussler/Industrial-Agents-Hackathon-2026/blob/f41616590b69f3ea0c1cbfb41d6c35edd9ce53df/data/dev/proc-factory-dev-004/questions_basic.jsonl#L2</x:v>
      </x:c>
      <x:c r="AA490" s="6" t="str">
        <x:v>procedural</x:v>
      </x:c>
      <x:c r="AB490" s="6" t="str">
        <x:v>CC0-1.0</x:v>
      </x:c>
    </x:row>
    <x:row r="491" ht="72" customHeight="1">
      <x:c r="A491" s="14" t="n">
        <x:v>486</x:v>
      </x:c>
      <x:c r="B491" s="6" t="str">
        <x:v>locate</x:v>
      </x:c>
      <x:c r="C491" s="6" t="str">
        <x:v>Where is the coordinate measuring machine?</x:v>
      </x:c>
      <x:c r="D491" s="6" t="str">
        <x:v>Quality lab 0.26
Floor level: 0
Asset ID: proc-factory-dev-004-A00145
Position (m): -11.365, 10.525</x:v>
      </x:c>
      <x:c r="E491" s="6" t="str">
        <x:v>Reference supplied</x:v>
      </x:c>
      <x:c r="F491" s="6" t="str">
        <x:v>dev</x:v>
      </x:c>
      <x:c r="G491" s="6" t="str">
        <x:v>proc-factory-dev-004</x:v>
      </x:c>
      <x:c r="H491" s="6" t="str">
        <x:v>proc-factory-dev-004-Q03</x:v>
      </x:c>
      <x:c r="I491" s="6" t="str">
        <x:v>Find and count assets</x:v>
      </x:c>
      <x:c r="J491" s="6" t="str">
        <x:v>Warm-up</x:v>
      </x:c>
      <x:c r="K491" s="6" t="str">
        <x:v>Room name, floor and asset identity. Coordinates may help the UI.</x:v>
      </x:c>
      <x:c r="L491" s="6" t="str">
        <x:v>T02, T03</x:v>
      </x:c>
      <x:c r="M491" s="6" t="str">
        <x:v>Find a named item and identify its containing room and floor.</x:v>
      </x:c>
      <x:c r="N491" s="6" t="str">
        <x:v>{"asset_id":"proc-factory-dev-004-A00145","space_id":"proc-factory-dev-004-F0-S026","space_name":"Quality lab 0.26","floor_level":0,"position":[-11.365,10.525]}</x:v>
      </x:c>
      <x:c r="O491" s="6"/>
      <x:c r="P491" s="6" t="str">
        <x:v>Resolve the intended asset and its containing room/floor.</x:v>
      </x:c>
      <x:c r="Q491" s="15"/>
      <x:c r="R491" s="6"/>
      <x:c r="S491" s="16"/>
      <x:c r="T491" s="15"/>
      <x:c r="U491" s="6"/>
      <x:c r="V491" s="6"/>
      <x:c r="W491" s="6" t="str">
        <x:v>Existing search_building. Improve disambiguation and complete result pagination.</x:v>
      </x:c>
      <x:c r="X491" s="6" t="str">
        <x:v>data/dev/proc-factory-dev-004/questions_basic.jsonl</x:v>
      </x:c>
      <x:c r="Y491" s="14" t="n">
        <x:v>3</x:v>
      </x:c>
      <x:c r="Z491" s="6" t="str">
        <x:v>https://github.com/hagenhaeussler/Industrial-Agents-Hackathon-2026/blob/f41616590b69f3ea0c1cbfb41d6c35edd9ce53df/data/dev/proc-factory-dev-004/questions_basic.jsonl#L3</x:v>
      </x:c>
      <x:c r="AA491" s="6" t="str">
        <x:v>procedural</x:v>
      </x:c>
      <x:c r="AB491" s="6" t="str">
        <x:v>CC0-1.0</x:v>
      </x:c>
    </x:row>
    <x:row r="492" ht="72" customHeight="1">
      <x:c r="A492" s="14" t="n">
        <x:v>487</x:v>
      </x:c>
      <x:c r="B492" s="6" t="str">
        <x:v>locate</x:v>
      </x:c>
      <x:c r="C492" s="6" t="str">
        <x:v>Where is the air compressor?</x:v>
      </x:c>
      <x:c r="D492" s="6" t="str">
        <x:v>Logistics zone H-C2
Floor level: 0
Asset ID: proc-factory-dev-005-A00080
Position (m): -32.119, 34.43</x:v>
      </x:c>
      <x:c r="E492" s="6" t="str">
        <x:v>Reference supplied</x:v>
      </x:c>
      <x:c r="F492" s="6" t="str">
        <x:v>dev</x:v>
      </x:c>
      <x:c r="G492" s="6" t="str">
        <x:v>proc-factory-dev-005</x:v>
      </x:c>
      <x:c r="H492" s="6" t="str">
        <x:v>proc-factory-dev-005-Q01</x:v>
      </x:c>
      <x:c r="I492" s="6" t="str">
        <x:v>Find and count assets</x:v>
      </x:c>
      <x:c r="J492" s="6" t="str">
        <x:v>Warm-up</x:v>
      </x:c>
      <x:c r="K492" s="6" t="str">
        <x:v>Room name, floor and asset identity. Coordinates may help the UI.</x:v>
      </x:c>
      <x:c r="L492" s="6" t="str">
        <x:v>T02, T03</x:v>
      </x:c>
      <x:c r="M492" s="6" t="str">
        <x:v>Find a named item and identify its containing room and floor.</x:v>
      </x:c>
      <x:c r="N492" s="6" t="str">
        <x:v>{"asset_id":"proc-factory-dev-005-A00080","space_id":"proc-factory-dev-005-F0-S014","space_name":"Logistics zone H-C2","floor_level":0,"position":[-32.119,34.43]}</x:v>
      </x:c>
      <x:c r="O492" s="6"/>
      <x:c r="P492" s="6" t="str">
        <x:v>Resolve the intended asset and its containing room/floor.</x:v>
      </x:c>
      <x:c r="Q492" s="15"/>
      <x:c r="R492" s="6"/>
      <x:c r="S492" s="16"/>
      <x:c r="T492" s="15"/>
      <x:c r="U492" s="6"/>
      <x:c r="V492" s="6"/>
      <x:c r="W492" s="6" t="str">
        <x:v>Existing search_building. Improve disambiguation and complete result pagination.</x:v>
      </x:c>
      <x:c r="X492" s="6" t="str">
        <x:v>data/dev/proc-factory-dev-005/questions_basic.jsonl</x:v>
      </x:c>
      <x:c r="Y492" s="14" t="n">
        <x:v>1</x:v>
      </x:c>
      <x:c r="Z492" s="6" t="str">
        <x:v>https://github.com/hagenhaeussler/Industrial-Agents-Hackathon-2026/blob/f41616590b69f3ea0c1cbfb41d6c35edd9ce53df/data/dev/proc-factory-dev-005/questions_basic.jsonl#L1</x:v>
      </x:c>
      <x:c r="AA492" s="6" t="str">
        <x:v>procedural</x:v>
      </x:c>
      <x:c r="AB492" s="6" t="str">
        <x:v>CC0-1.0</x:v>
      </x:c>
    </x:row>
    <x:row r="493" ht="72" customHeight="1">
      <x:c r="A493" s="14" t="n">
        <x:v>488</x:v>
      </x:c>
      <x:c r="B493" s="6" t="str">
        <x:v>locate</x:v>
      </x:c>
      <x:c r="C493" s="6" t="str">
        <x:v>Where is the waterjet cutter?</x:v>
      </x:c>
      <x:c r="D493" s="6" t="str">
        <x:v>Production zone H-A5
Floor level: 0
Asset ID: proc-factory-dev-005-A00042
Position (m): -7.405, 83.101</x:v>
      </x:c>
      <x:c r="E493" s="6" t="str">
        <x:v>Reference supplied</x:v>
      </x:c>
      <x:c r="F493" s="6" t="str">
        <x:v>dev</x:v>
      </x:c>
      <x:c r="G493" s="6" t="str">
        <x:v>proc-factory-dev-005</x:v>
      </x:c>
      <x:c r="H493" s="6" t="str">
        <x:v>proc-factory-dev-005-Q02</x:v>
      </x:c>
      <x:c r="I493" s="6" t="str">
        <x:v>Find and count assets</x:v>
      </x:c>
      <x:c r="J493" s="6" t="str">
        <x:v>Warm-up</x:v>
      </x:c>
      <x:c r="K493" s="6" t="str">
        <x:v>Room name, floor and asset identity. Coordinates may help the UI.</x:v>
      </x:c>
      <x:c r="L493" s="6" t="str">
        <x:v>T02, T03</x:v>
      </x:c>
      <x:c r="M493" s="6" t="str">
        <x:v>Find a named item and identify its containing room and floor.</x:v>
      </x:c>
      <x:c r="N493" s="6" t="str">
        <x:v>{"asset_id":"proc-factory-dev-005-A00042","space_id":"proc-factory-dev-005-F0-S005","space_name":"Production zone H-A5","floor_level":0,"position":[-7.405,83.101]}</x:v>
      </x:c>
      <x:c r="O493" s="6"/>
      <x:c r="P493" s="6" t="str">
        <x:v>Resolve the intended asset and its containing room/floor.</x:v>
      </x:c>
      <x:c r="Q493" s="15"/>
      <x:c r="R493" s="6"/>
      <x:c r="S493" s="16"/>
      <x:c r="T493" s="15"/>
      <x:c r="U493" s="6"/>
      <x:c r="V493" s="6"/>
      <x:c r="W493" s="6" t="str">
        <x:v>Existing search_building. Improve disambiguation and complete result pagination.</x:v>
      </x:c>
      <x:c r="X493" s="6" t="str">
        <x:v>data/dev/proc-factory-dev-005/questions_basic.jsonl</x:v>
      </x:c>
      <x:c r="Y493" s="14" t="n">
        <x:v>2</x:v>
      </x:c>
      <x:c r="Z493" s="6" t="str">
        <x:v>https://github.com/hagenhaeussler/Industrial-Agents-Hackathon-2026/blob/f41616590b69f3ea0c1cbfb41d6c35edd9ce53df/data/dev/proc-factory-dev-005/questions_basic.jsonl#L2</x:v>
      </x:c>
      <x:c r="AA493" s="6" t="str">
        <x:v>procedural</x:v>
      </x:c>
      <x:c r="AB493" s="6" t="str">
        <x:v>CC0-1.0</x:v>
      </x:c>
    </x:row>
    <x:row r="494" ht="72" customHeight="1">
      <x:c r="A494" s="14" t="n">
        <x:v>489</x:v>
      </x:c>
      <x:c r="B494" s="6" t="str">
        <x:v>locate</x:v>
      </x:c>
      <x:c r="C494" s="6" t="str">
        <x:v>Where is the hand dryer?</x:v>
      </x:c>
      <x:c r="D494" s="6" t="str">
        <x:v>Toilet 0.46
Floor level: 0
Asset ID: proc-factory-dev-005-A00297
Position (m): 7.971, 37.61</x:v>
      </x:c>
      <x:c r="E494" s="6" t="str">
        <x:v>Reference supplied</x:v>
      </x:c>
      <x:c r="F494" s="6" t="str">
        <x:v>dev</x:v>
      </x:c>
      <x:c r="G494" s="6" t="str">
        <x:v>proc-factory-dev-005</x:v>
      </x:c>
      <x:c r="H494" s="6" t="str">
        <x:v>proc-factory-dev-005-Q03</x:v>
      </x:c>
      <x:c r="I494" s="6" t="str">
        <x:v>Find and count assets</x:v>
      </x:c>
      <x:c r="J494" s="6" t="str">
        <x:v>Warm-up</x:v>
      </x:c>
      <x:c r="K494" s="6" t="str">
        <x:v>Room name, floor and asset identity. Coordinates may help the UI.</x:v>
      </x:c>
      <x:c r="L494" s="6" t="str">
        <x:v>T02, T03</x:v>
      </x:c>
      <x:c r="M494" s="6" t="str">
        <x:v>Find a named item and identify its containing room and floor.</x:v>
      </x:c>
      <x:c r="N494" s="6" t="str">
        <x:v>{"asset_id":"proc-factory-dev-005-A00297","space_id":"proc-factory-dev-005-F0-S046","space_name":"Toilet 0.46","floor_level":0,"position":[7.971,37.61]}</x:v>
      </x:c>
      <x:c r="O494" s="6"/>
      <x:c r="P494" s="6" t="str">
        <x:v>Resolve the intended asset and its containing room/floor.</x:v>
      </x:c>
      <x:c r="Q494" s="15"/>
      <x:c r="R494" s="6"/>
      <x:c r="S494" s="16"/>
      <x:c r="T494" s="15"/>
      <x:c r="U494" s="6"/>
      <x:c r="V494" s="6"/>
      <x:c r="W494" s="6" t="str">
        <x:v>Existing search_building. Improve disambiguation and complete result pagination.</x:v>
      </x:c>
      <x:c r="X494" s="6" t="str">
        <x:v>data/dev/proc-factory-dev-005/questions_basic.jsonl</x:v>
      </x:c>
      <x:c r="Y494" s="14" t="n">
        <x:v>3</x:v>
      </x:c>
      <x:c r="Z494" s="6" t="str">
        <x:v>https://github.com/hagenhaeussler/Industrial-Agents-Hackathon-2026/blob/f41616590b69f3ea0c1cbfb41d6c35edd9ce53df/data/dev/proc-factory-dev-005/questions_basic.jsonl#L3</x:v>
      </x:c>
      <x:c r="AA494" s="6" t="str">
        <x:v>procedural</x:v>
      </x:c>
      <x:c r="AB494" s="6" t="str">
        <x:v>CC0-1.0</x:v>
      </x:c>
    </x:row>
    <x:row r="495" ht="72" customHeight="1">
      <x:c r="A495" s="14" t="n">
        <x:v>490</x:v>
      </x:c>
      <x:c r="B495" s="6" t="str">
        <x:v>locate</x:v>
      </x:c>
      <x:c r="C495" s="6" t="str">
        <x:v>Where is the defibrillator?</x:v>
      </x:c>
      <x:c r="D495" s="6" t="str">
        <x:v>Hall access 0.20
Floor level: 0
Asset ID: proc-factory-dev-007-A00106
Position (m): 35.104, -4.83</x:v>
      </x:c>
      <x:c r="E495" s="6" t="str">
        <x:v>Reference supplied</x:v>
      </x:c>
      <x:c r="F495" s="6" t="str">
        <x:v>dev</x:v>
      </x:c>
      <x:c r="G495" s="6" t="str">
        <x:v>proc-factory-dev-007</x:v>
      </x:c>
      <x:c r="H495" s="6" t="str">
        <x:v>proc-factory-dev-007-Q01</x:v>
      </x:c>
      <x:c r="I495" s="6" t="str">
        <x:v>Find and count assets</x:v>
      </x:c>
      <x:c r="J495" s="6" t="str">
        <x:v>Warm-up</x:v>
      </x:c>
      <x:c r="K495" s="6" t="str">
        <x:v>Room name, floor and asset identity. Coordinates may help the UI.</x:v>
      </x:c>
      <x:c r="L495" s="6" t="str">
        <x:v>T02, T03</x:v>
      </x:c>
      <x:c r="M495" s="6" t="str">
        <x:v>Find a named item and identify its containing room and floor.</x:v>
      </x:c>
      <x:c r="N495" s="6" t="str">
        <x:v>{"asset_id":"proc-factory-dev-007-A00106","space_id":"proc-factory-dev-007-F0-S020","space_name":"Hall access 0.20","floor_level":0,"position":[35.104,-4.83]}</x:v>
      </x:c>
      <x:c r="O495" s="6"/>
      <x:c r="P495" s="6" t="str">
        <x:v>Resolve the intended asset and its containing room/floor.</x:v>
      </x:c>
      <x:c r="Q495" s="15"/>
      <x:c r="R495" s="6"/>
      <x:c r="S495" s="16"/>
      <x:c r="T495" s="15"/>
      <x:c r="U495" s="6"/>
      <x:c r="V495" s="6"/>
      <x:c r="W495" s="6" t="str">
        <x:v>Existing search_building. Improve disambiguation and complete result pagination.</x:v>
      </x:c>
      <x:c r="X495" s="6" t="str">
        <x:v>data/dev/proc-factory-dev-007/questions_basic.jsonl</x:v>
      </x:c>
      <x:c r="Y495" s="14" t="n">
        <x:v>1</x:v>
      </x:c>
      <x:c r="Z495" s="6" t="str">
        <x:v>https://github.com/hagenhaeussler/Industrial-Agents-Hackathon-2026/blob/f41616590b69f3ea0c1cbfb41d6c35edd9ce53df/data/dev/proc-factory-dev-007/questions_basic.jsonl#L1</x:v>
      </x:c>
      <x:c r="AA495" s="6" t="str">
        <x:v>procedural</x:v>
      </x:c>
      <x:c r="AB495" s="6" t="str">
        <x:v>CC0-1.0</x:v>
      </x:c>
    </x:row>
    <x:row r="496" ht="72" customHeight="1">
      <x:c r="A496" s="14" t="n">
        <x:v>491</x:v>
      </x:c>
      <x:c r="B496" s="6" t="str">
        <x:v>locate</x:v>
      </x:c>
      <x:c r="C496" s="6" t="str">
        <x:v>Where is the coordinate measuring machine?</x:v>
      </x:c>
      <x:c r="D496" s="6" t="str">
        <x:v>Quality lab 0.26
Floor level: 0
Asset ID: proc-factory-dev-007-A00145
Position (m): 28.599, -11.062</x:v>
      </x:c>
      <x:c r="E496" s="6" t="str">
        <x:v>Reference supplied</x:v>
      </x:c>
      <x:c r="F496" s="6" t="str">
        <x:v>dev</x:v>
      </x:c>
      <x:c r="G496" s="6" t="str">
        <x:v>proc-factory-dev-007</x:v>
      </x:c>
      <x:c r="H496" s="6" t="str">
        <x:v>proc-factory-dev-007-Q02</x:v>
      </x:c>
      <x:c r="I496" s="6" t="str">
        <x:v>Find and count assets</x:v>
      </x:c>
      <x:c r="J496" s="6" t="str">
        <x:v>Warm-up</x:v>
      </x:c>
      <x:c r="K496" s="6" t="str">
        <x:v>Room name, floor and asset identity. Coordinates may help the UI.</x:v>
      </x:c>
      <x:c r="L496" s="6" t="str">
        <x:v>T02, T03</x:v>
      </x:c>
      <x:c r="M496" s="6" t="str">
        <x:v>Find a named item and identify its containing room and floor.</x:v>
      </x:c>
      <x:c r="N496" s="6" t="str">
        <x:v>{"asset_id":"proc-factory-dev-007-A00145","space_id":"proc-factory-dev-007-F0-S026","space_name":"Quality lab 0.26","floor_level":0,"position":[28.599,-11.062]}</x:v>
      </x:c>
      <x:c r="O496" s="6"/>
      <x:c r="P496" s="6" t="str">
        <x:v>Resolve the intended asset and its containing room/floor.</x:v>
      </x:c>
      <x:c r="Q496" s="15"/>
      <x:c r="R496" s="6"/>
      <x:c r="S496" s="16"/>
      <x:c r="T496" s="15"/>
      <x:c r="U496" s="6"/>
      <x:c r="V496" s="6"/>
      <x:c r="W496" s="6" t="str">
        <x:v>Existing search_building. Improve disambiguation and complete result pagination.</x:v>
      </x:c>
      <x:c r="X496" s="6" t="str">
        <x:v>data/dev/proc-factory-dev-007/questions_basic.jsonl</x:v>
      </x:c>
      <x:c r="Y496" s="14" t="n">
        <x:v>2</x:v>
      </x:c>
      <x:c r="Z496" s="6" t="str">
        <x:v>https://github.com/hagenhaeussler/Industrial-Agents-Hackathon-2026/blob/f41616590b69f3ea0c1cbfb41d6c35edd9ce53df/data/dev/proc-factory-dev-007/questions_basic.jsonl#L2</x:v>
      </x:c>
      <x:c r="AA496" s="6" t="str">
        <x:v>procedural</x:v>
      </x:c>
      <x:c r="AB496" s="6" t="str">
        <x:v>CC0-1.0</x:v>
      </x:c>
    </x:row>
    <x:row r="497" ht="72" customHeight="1">
      <x:c r="A497" s="14" t="n">
        <x:v>492</x:v>
      </x:c>
      <x:c r="B497" s="6" t="str">
        <x:v>locate</x:v>
      </x:c>
      <x:c r="C497" s="6" t="str">
        <x:v>Where is the coat rack?</x:v>
      </x:c>
      <x:c r="D497" s="6" t="str">
        <x:v>Main aisle H-B3
Floor level: 0
Asset ID: proc-factory-dev-007-A00029
Position (m): 41.412, 27.18</x:v>
      </x:c>
      <x:c r="E497" s="6" t="str">
        <x:v>Reference supplied</x:v>
      </x:c>
      <x:c r="F497" s="6" t="str">
        <x:v>dev</x:v>
      </x:c>
      <x:c r="G497" s="6" t="str">
        <x:v>proc-factory-dev-007</x:v>
      </x:c>
      <x:c r="H497" s="6" t="str">
        <x:v>proc-factory-dev-007-Q03</x:v>
      </x:c>
      <x:c r="I497" s="6" t="str">
        <x:v>Find and count assets</x:v>
      </x:c>
      <x:c r="J497" s="6" t="str">
        <x:v>Warm-up</x:v>
      </x:c>
      <x:c r="K497" s="6" t="str">
        <x:v>Room name, floor and asset identity. Coordinates may help the UI.</x:v>
      </x:c>
      <x:c r="L497" s="6" t="str">
        <x:v>T02, T03</x:v>
      </x:c>
      <x:c r="M497" s="6" t="str">
        <x:v>Find a named item and identify its containing room and floor.</x:v>
      </x:c>
      <x:c r="N497" s="6" t="str">
        <x:v>{"asset_id":"proc-factory-dev-007-A00029","space_id":"proc-factory-dev-007-F0-S006","space_name":"Main aisle H-B3","floor_level":0,"position":[41.412,27.18]}</x:v>
      </x:c>
      <x:c r="O497" s="6"/>
      <x:c r="P497" s="6" t="str">
        <x:v>Resolve the intended asset and its containing room/floor.</x:v>
      </x:c>
      <x:c r="Q497" s="15"/>
      <x:c r="R497" s="6"/>
      <x:c r="S497" s="16"/>
      <x:c r="T497" s="15"/>
      <x:c r="U497" s="6"/>
      <x:c r="V497" s="6"/>
      <x:c r="W497" s="6" t="str">
        <x:v>Existing search_building. Improve disambiguation and complete result pagination.</x:v>
      </x:c>
      <x:c r="X497" s="6" t="str">
        <x:v>data/dev/proc-factory-dev-007/questions_basic.jsonl</x:v>
      </x:c>
      <x:c r="Y497" s="14" t="n">
        <x:v>3</x:v>
      </x:c>
      <x:c r="Z497" s="6" t="str">
        <x:v>https://github.com/hagenhaeussler/Industrial-Agents-Hackathon-2026/blob/f41616590b69f3ea0c1cbfb41d6c35edd9ce53df/data/dev/proc-factory-dev-007/questions_basic.jsonl#L3</x:v>
      </x:c>
      <x:c r="AA497" s="6" t="str">
        <x:v>procedural</x:v>
      </x:c>
      <x:c r="AB497" s="6" t="str">
        <x:v>CC0-1.0</x:v>
      </x:c>
    </x:row>
    <x:row r="498" ht="72" customHeight="1">
      <x:c r="A498" s="14" t="n">
        <x:v>493</x:v>
      </x:c>
      <x:c r="B498" s="6" t="str">
        <x:v>locate</x:v>
      </x:c>
      <x:c r="C498" s="6" t="str">
        <x:v>Where is the coat rack?</x:v>
      </x:c>
      <x:c r="D498" s="6" t="str">
        <x:v>Main aisle H-C3
Floor level: 0
Asset ID: proc-factory-dev-008-A00104
Position (m): 44.48, 42.764</x:v>
      </x:c>
      <x:c r="E498" s="6" t="str">
        <x:v>Reference supplied</x:v>
      </x:c>
      <x:c r="F498" s="6" t="str">
        <x:v>dev</x:v>
      </x:c>
      <x:c r="G498" s="6" t="str">
        <x:v>proc-factory-dev-008</x:v>
      </x:c>
      <x:c r="H498" s="6" t="str">
        <x:v>proc-factory-dev-008-Q01</x:v>
      </x:c>
      <x:c r="I498" s="6" t="str">
        <x:v>Find and count assets</x:v>
      </x:c>
      <x:c r="J498" s="6" t="str">
        <x:v>Warm-up</x:v>
      </x:c>
      <x:c r="K498" s="6" t="str">
        <x:v>Room name, floor and asset identity. Coordinates may help the UI.</x:v>
      </x:c>
      <x:c r="L498" s="6" t="str">
        <x:v>T02, T03</x:v>
      </x:c>
      <x:c r="M498" s="6" t="str">
        <x:v>Find a named item and identify its containing room and floor.</x:v>
      </x:c>
      <x:c r="N498" s="6" t="str">
        <x:v>{"asset_id":"proc-factory-dev-008-A00104","space_id":"proc-factory-dev-008-F0-S015","space_name":"Main aisle H-C3","floor_level":0,"position":[44.48,42.764]}</x:v>
      </x:c>
      <x:c r="O498" s="6"/>
      <x:c r="P498" s="6" t="str">
        <x:v>Resolve the intended asset and its containing room/floor.</x:v>
      </x:c>
      <x:c r="Q498" s="15"/>
      <x:c r="R498" s="6"/>
      <x:c r="S498" s="16"/>
      <x:c r="T498" s="15"/>
      <x:c r="U498" s="6"/>
      <x:c r="V498" s="6"/>
      <x:c r="W498" s="6" t="str">
        <x:v>Existing search_building. Improve disambiguation and complete result pagination.</x:v>
      </x:c>
      <x:c r="X498" s="6" t="str">
        <x:v>data/dev/proc-factory-dev-008/questions_basic.jsonl</x:v>
      </x:c>
      <x:c r="Y498" s="14" t="n">
        <x:v>1</x:v>
      </x:c>
      <x:c r="Z498" s="6" t="str">
        <x:v>https://github.com/hagenhaeussler/Industrial-Agents-Hackathon-2026/blob/f41616590b69f3ea0c1cbfb41d6c35edd9ce53df/data/dev/proc-factory-dev-008/questions_basic.jsonl#L1</x:v>
      </x:c>
      <x:c r="AA498" s="6" t="str">
        <x:v>procedural</x:v>
      </x:c>
      <x:c r="AB498" s="6" t="str">
        <x:v>CC0-1.0</x:v>
      </x:c>
    </x:row>
    <x:row r="499" ht="72" customHeight="1">
      <x:c r="A499" s="14" t="n">
        <x:v>494</x:v>
      </x:c>
      <x:c r="B499" s="6" t="str">
        <x:v>locate</x:v>
      </x:c>
      <x:c r="C499" s="6" t="str">
        <x:v>Where is the vending machine?</x:v>
      </x:c>
      <x:c r="D499" s="6" t="str">
        <x:v>Hall access 0.42
Floor level: 0
Asset ID: proc-factory-dev-008-A00227
Position (m): 57.54, -1.981</x:v>
      </x:c>
      <x:c r="E499" s="6" t="str">
        <x:v>Reference supplied</x:v>
      </x:c>
      <x:c r="F499" s="6" t="str">
        <x:v>dev</x:v>
      </x:c>
      <x:c r="G499" s="6" t="str">
        <x:v>proc-factory-dev-008</x:v>
      </x:c>
      <x:c r="H499" s="6" t="str">
        <x:v>proc-factory-dev-008-Q02</x:v>
      </x:c>
      <x:c r="I499" s="6" t="str">
        <x:v>Find and count assets</x:v>
      </x:c>
      <x:c r="J499" s="6" t="str">
        <x:v>Warm-up</x:v>
      </x:c>
      <x:c r="K499" s="6" t="str">
        <x:v>Room name, floor and asset identity. Coordinates may help the UI.</x:v>
      </x:c>
      <x:c r="L499" s="6" t="str">
        <x:v>T02, T03</x:v>
      </x:c>
      <x:c r="M499" s="6" t="str">
        <x:v>Find a named item and identify its containing room and floor.</x:v>
      </x:c>
      <x:c r="N499" s="6" t="str">
        <x:v>{"asset_id":"proc-factory-dev-008-A00227","space_id":"proc-factory-dev-008-F0-S042","space_name":"Hall access 0.42","floor_level":0,"position":[57.54,-1.981]}</x:v>
      </x:c>
      <x:c r="O499" s="6"/>
      <x:c r="P499" s="6" t="str">
        <x:v>Resolve the intended asset and its containing room/floor.</x:v>
      </x:c>
      <x:c r="Q499" s="15"/>
      <x:c r="R499" s="6"/>
      <x:c r="S499" s="16"/>
      <x:c r="T499" s="15"/>
      <x:c r="U499" s="6"/>
      <x:c r="V499" s="6"/>
      <x:c r="W499" s="6" t="str">
        <x:v>Existing search_building. Improve disambiguation and complete result pagination.</x:v>
      </x:c>
      <x:c r="X499" s="6" t="str">
        <x:v>data/dev/proc-factory-dev-008/questions_basic.jsonl</x:v>
      </x:c>
      <x:c r="Y499" s="14" t="n">
        <x:v>2</x:v>
      </x:c>
      <x:c r="Z499" s="6" t="str">
        <x:v>https://github.com/hagenhaeussler/Industrial-Agents-Hackathon-2026/blob/f41616590b69f3ea0c1cbfb41d6c35edd9ce53df/data/dev/proc-factory-dev-008/questions_basic.jsonl#L2</x:v>
      </x:c>
      <x:c r="AA499" s="6" t="str">
        <x:v>procedural</x:v>
      </x:c>
      <x:c r="AB499" s="6" t="str">
        <x:v>CC0-1.0</x:v>
      </x:c>
    </x:row>
    <x:row r="500" ht="72" customHeight="1">
      <x:c r="A500" s="14" t="n">
        <x:v>495</x:v>
      </x:c>
      <x:c r="B500" s="6" t="str">
        <x:v>locate</x:v>
      </x:c>
      <x:c r="C500" s="6" t="str">
        <x:v>Where is the curing oven?</x:v>
      </x:c>
      <x:c r="D500" s="6" t="str">
        <x:v>Additive zone H-B3
Floor level: 0
Asset ID: proc-factory-dev-008-A00076
Position (m): 34.79, 19.77</x:v>
      </x:c>
      <x:c r="E500" s="6" t="str">
        <x:v>Reference supplied</x:v>
      </x:c>
      <x:c r="F500" s="6" t="str">
        <x:v>dev</x:v>
      </x:c>
      <x:c r="G500" s="6" t="str">
        <x:v>proc-factory-dev-008</x:v>
      </x:c>
      <x:c r="H500" s="6" t="str">
        <x:v>proc-factory-dev-008-Q03</x:v>
      </x:c>
      <x:c r="I500" s="6" t="str">
        <x:v>Find and count assets</x:v>
      </x:c>
      <x:c r="J500" s="6" t="str">
        <x:v>Warm-up</x:v>
      </x:c>
      <x:c r="K500" s="6" t="str">
        <x:v>Room name, floor and asset identity. Coordinates may help the UI.</x:v>
      </x:c>
      <x:c r="L500" s="6" t="str">
        <x:v>T02, T03</x:v>
      </x:c>
      <x:c r="M500" s="6" t="str">
        <x:v>Find a named item and identify its containing room and floor.</x:v>
      </x:c>
      <x:c r="N500" s="6" t="str">
        <x:v>{"asset_id":"proc-factory-dev-008-A00076","space_id":"proc-factory-dev-008-F0-S009","space_name":"Additive zone H-B3","floor_level":0,"position":[34.79,19.77]}</x:v>
      </x:c>
      <x:c r="O500" s="6"/>
      <x:c r="P500" s="6" t="str">
        <x:v>Resolve the intended asset and its containing room/floor.</x:v>
      </x:c>
      <x:c r="Q500" s="15"/>
      <x:c r="R500" s="6"/>
      <x:c r="S500" s="16"/>
      <x:c r="T500" s="15"/>
      <x:c r="U500" s="6"/>
      <x:c r="V500" s="6"/>
      <x:c r="W500" s="6" t="str">
        <x:v>Existing search_building. Improve disambiguation and complete result pagination.</x:v>
      </x:c>
      <x:c r="X500" s="6" t="str">
        <x:v>data/dev/proc-factory-dev-008/questions_basic.jsonl</x:v>
      </x:c>
      <x:c r="Y500" s="14" t="n">
        <x:v>3</x:v>
      </x:c>
      <x:c r="Z500" s="6" t="str">
        <x:v>https://github.com/hagenhaeussler/Industrial-Agents-Hackathon-2026/blob/f41616590b69f3ea0c1cbfb41d6c35edd9ce53df/data/dev/proc-factory-dev-008/questions_basic.jsonl#L3</x:v>
      </x:c>
      <x:c r="AA500" s="6" t="str">
        <x:v>procedural</x:v>
      </x:c>
      <x:c r="AB500" s="6" t="str">
        <x:v>CC0-1.0</x:v>
      </x:c>
    </x:row>
    <x:row r="501" ht="72" customHeight="1">
      <x:c r="A501" s="14" t="n">
        <x:v>496</x:v>
      </x:c>
      <x:c r="B501" s="6" t="str">
        <x:v>locate</x:v>
      </x:c>
      <x:c r="C501" s="6" t="str">
        <x:v>Where is the whiteboard?</x:v>
      </x:c>
      <x:c r="D501" s="6" t="str">
        <x:v>Meeting room 1.11
Floor level: 1
Asset ID: proc-factory-dev-010-A00214
Position (m): 34.93, -2.301</x:v>
      </x:c>
      <x:c r="E501" s="6" t="str">
        <x:v>Reference supplied</x:v>
      </x:c>
      <x:c r="F501" s="6" t="str">
        <x:v>dev</x:v>
      </x:c>
      <x:c r="G501" s="6" t="str">
        <x:v>proc-factory-dev-010</x:v>
      </x:c>
      <x:c r="H501" s="6" t="str">
        <x:v>proc-factory-dev-010-Q01</x:v>
      </x:c>
      <x:c r="I501" s="6" t="str">
        <x:v>Find and count assets</x:v>
      </x:c>
      <x:c r="J501" s="6" t="str">
        <x:v>Warm-up</x:v>
      </x:c>
      <x:c r="K501" s="6" t="str">
        <x:v>Room name, floor and asset identity. Coordinates may help the UI.</x:v>
      </x:c>
      <x:c r="L501" s="6" t="str">
        <x:v>T02, T03</x:v>
      </x:c>
      <x:c r="M501" s="6" t="str">
        <x:v>Find a named item and identify its containing room and floor.</x:v>
      </x:c>
      <x:c r="N501" s="6" t="str">
        <x:v>{"asset_id":"proc-factory-dev-010-A00214","space_id":"proc-factory-dev-010-F1-S011","space_name":"Meeting room 1.11","floor_level":1,"position":[34.93,-2.301]}</x:v>
      </x:c>
      <x:c r="O501" s="6"/>
      <x:c r="P501" s="6" t="str">
        <x:v>Resolve the intended asset and its containing room/floor.</x:v>
      </x:c>
      <x:c r="Q501" s="15"/>
      <x:c r="R501" s="6"/>
      <x:c r="S501" s="16"/>
      <x:c r="T501" s="15"/>
      <x:c r="U501" s="6"/>
      <x:c r="V501" s="6"/>
      <x:c r="W501" s="6" t="str">
        <x:v>Existing search_building. Improve disambiguation and complete result pagination.</x:v>
      </x:c>
      <x:c r="X501" s="6" t="str">
        <x:v>data/dev/proc-factory-dev-010/questions_basic.jsonl</x:v>
      </x:c>
      <x:c r="Y501" s="14" t="n">
        <x:v>1</x:v>
      </x:c>
      <x:c r="Z501" s="6" t="str">
        <x:v>https://github.com/hagenhaeussler/Industrial-Agents-Hackathon-2026/blob/f41616590b69f3ea0c1cbfb41d6c35edd9ce53df/data/dev/proc-factory-dev-010/questions_basic.jsonl#L1</x:v>
      </x:c>
      <x:c r="AA501" s="6" t="str">
        <x:v>procedural</x:v>
      </x:c>
      <x:c r="AB501" s="6" t="str">
        <x:v>CC0-1.0</x:v>
      </x:c>
    </x:row>
    <x:row r="502" ht="72" customHeight="1">
      <x:c r="A502" s="14" t="n">
        <x:v>497</x:v>
      </x:c>
      <x:c r="B502" s="6" t="str">
        <x:v>locate</x:v>
      </x:c>
      <x:c r="C502" s="6" t="str">
        <x:v>Where is the display screen?</x:v>
      </x:c>
      <x:c r="D502" s="6" t="str">
        <x:v>Meeting room 1.11
Floor level: 1
Asset ID: proc-factory-dev-010-A00213
Position (m): 31.63, -2.249</x:v>
      </x:c>
      <x:c r="E502" s="6" t="str">
        <x:v>Reference supplied</x:v>
      </x:c>
      <x:c r="F502" s="6" t="str">
        <x:v>dev</x:v>
      </x:c>
      <x:c r="G502" s="6" t="str">
        <x:v>proc-factory-dev-010</x:v>
      </x:c>
      <x:c r="H502" s="6" t="str">
        <x:v>proc-factory-dev-010-Q02</x:v>
      </x:c>
      <x:c r="I502" s="6" t="str">
        <x:v>Find and count assets</x:v>
      </x:c>
      <x:c r="J502" s="6" t="str">
        <x:v>Warm-up</x:v>
      </x:c>
      <x:c r="K502" s="6" t="str">
        <x:v>Room name, floor and asset identity. Coordinates may help the UI.</x:v>
      </x:c>
      <x:c r="L502" s="6" t="str">
        <x:v>T02, T03</x:v>
      </x:c>
      <x:c r="M502" s="6" t="str">
        <x:v>Find a named item and identify its containing room and floor.</x:v>
      </x:c>
      <x:c r="N502" s="6" t="str">
        <x:v>{"asset_id":"proc-factory-dev-010-A00213","space_id":"proc-factory-dev-010-F1-S011","space_name":"Meeting room 1.11","floor_level":1,"position":[31.63,-2.249]}</x:v>
      </x:c>
      <x:c r="O502" s="6"/>
      <x:c r="P502" s="6" t="str">
        <x:v>Resolve the intended asset and its containing room/floor.</x:v>
      </x:c>
      <x:c r="Q502" s="15"/>
      <x:c r="R502" s="6"/>
      <x:c r="S502" s="16"/>
      <x:c r="T502" s="15"/>
      <x:c r="U502" s="6"/>
      <x:c r="V502" s="6"/>
      <x:c r="W502" s="6" t="str">
        <x:v>Existing search_building. Improve disambiguation and complete result pagination.</x:v>
      </x:c>
      <x:c r="X502" s="6" t="str">
        <x:v>data/dev/proc-factory-dev-010/questions_basic.jsonl</x:v>
      </x:c>
      <x:c r="Y502" s="14" t="n">
        <x:v>2</x:v>
      </x:c>
      <x:c r="Z502" s="6" t="str">
        <x:v>https://github.com/hagenhaeussler/Industrial-Agents-Hackathon-2026/blob/f41616590b69f3ea0c1cbfb41d6c35edd9ce53df/data/dev/proc-factory-dev-010/questions_basic.jsonl#L2</x:v>
      </x:c>
      <x:c r="AA502" s="6" t="str">
        <x:v>procedural</x:v>
      </x:c>
      <x:c r="AB502" s="6" t="str">
        <x:v>CC0-1.0</x:v>
      </x:c>
    </x:row>
    <x:row r="503" ht="72" customHeight="1">
      <x:c r="A503" s="14" t="n">
        <x:v>498</x:v>
      </x:c>
      <x:c r="B503" s="6" t="str">
        <x:v>locate</x:v>
      </x:c>
      <x:c r="C503" s="6" t="str">
        <x:v>Where is the meeting table?</x:v>
      </x:c>
      <x:c r="D503" s="6" t="str">
        <x:v>Meeting room 1.11
Floor level: 1
Asset ID: proc-factory-dev-010-A00205
Position (m): 33.658, -2.857</x:v>
      </x:c>
      <x:c r="E503" s="6" t="str">
        <x:v>Reference supplied</x:v>
      </x:c>
      <x:c r="F503" s="6" t="str">
        <x:v>dev</x:v>
      </x:c>
      <x:c r="G503" s="6" t="str">
        <x:v>proc-factory-dev-010</x:v>
      </x:c>
      <x:c r="H503" s="6" t="str">
        <x:v>proc-factory-dev-010-Q03</x:v>
      </x:c>
      <x:c r="I503" s="6" t="str">
        <x:v>Find and count assets</x:v>
      </x:c>
      <x:c r="J503" s="6" t="str">
        <x:v>Warm-up</x:v>
      </x:c>
      <x:c r="K503" s="6" t="str">
        <x:v>Room name, floor and asset identity. Coordinates may help the UI.</x:v>
      </x:c>
      <x:c r="L503" s="6" t="str">
        <x:v>T02, T03</x:v>
      </x:c>
      <x:c r="M503" s="6" t="str">
        <x:v>Find a named item and identify its containing room and floor.</x:v>
      </x:c>
      <x:c r="N503" s="6" t="str">
        <x:v>{"asset_id":"proc-factory-dev-010-A00205","space_id":"proc-factory-dev-010-F1-S011","space_name":"Meeting room 1.11","floor_level":1,"position":[33.658,-2.857]}</x:v>
      </x:c>
      <x:c r="O503" s="6"/>
      <x:c r="P503" s="6" t="str">
        <x:v>Resolve the intended asset and its containing room/floor.</x:v>
      </x:c>
      <x:c r="Q503" s="15"/>
      <x:c r="R503" s="6"/>
      <x:c r="S503" s="16"/>
      <x:c r="T503" s="15"/>
      <x:c r="U503" s="6"/>
      <x:c r="V503" s="6"/>
      <x:c r="W503" s="6" t="str">
        <x:v>Existing search_building. Improve disambiguation and complete result pagination.</x:v>
      </x:c>
      <x:c r="X503" s="6" t="str">
        <x:v>data/dev/proc-factory-dev-010/questions_basic.jsonl</x:v>
      </x:c>
      <x:c r="Y503" s="14" t="n">
        <x:v>3</x:v>
      </x:c>
      <x:c r="Z503" s="6" t="str">
        <x:v>https://github.com/hagenhaeussler/Industrial-Agents-Hackathon-2026/blob/f41616590b69f3ea0c1cbfb41d6c35edd9ce53df/data/dev/proc-factory-dev-010/questions_basic.jsonl#L3</x:v>
      </x:c>
      <x:c r="AA503" s="6" t="str">
        <x:v>procedural</x:v>
      </x:c>
      <x:c r="AB503" s="6" t="str">
        <x:v>CC0-1.0</x:v>
      </x:c>
    </x:row>
    <x:row r="504" ht="72" customHeight="1">
      <x:c r="A504" s="14" t="n">
        <x:v>499</x:v>
      </x:c>
      <x:c r="B504" s="6" t="str">
        <x:v>locate</x:v>
      </x:c>
      <x:c r="C504" s="6" t="str">
        <x:v>Where is the reception desk?</x:v>
      </x:c>
      <x:c r="D504" s="6" t="str">
        <x:v>Hall access 0.42
Floor level: 0
Asset ID: proc-factory-dev-011-A00273
Position (m): 2.739, 84.896</x:v>
      </x:c>
      <x:c r="E504" s="6" t="str">
        <x:v>Reference supplied</x:v>
      </x:c>
      <x:c r="F504" s="6" t="str">
        <x:v>dev</x:v>
      </x:c>
      <x:c r="G504" s="6" t="str">
        <x:v>proc-factory-dev-011</x:v>
      </x:c>
      <x:c r="H504" s="6" t="str">
        <x:v>proc-factory-dev-011-Q01</x:v>
      </x:c>
      <x:c r="I504" s="6" t="str">
        <x:v>Find and count assets</x:v>
      </x:c>
      <x:c r="J504" s="6" t="str">
        <x:v>Warm-up</x:v>
      </x:c>
      <x:c r="K504" s="6" t="str">
        <x:v>Room name, floor and asset identity. Coordinates may help the UI.</x:v>
      </x:c>
      <x:c r="L504" s="6" t="str">
        <x:v>T02, T03</x:v>
      </x:c>
      <x:c r="M504" s="6" t="str">
        <x:v>Find a named item and identify its containing room and floor.</x:v>
      </x:c>
      <x:c r="N504" s="6" t="str">
        <x:v>{"asset_id":"proc-factory-dev-011-A00273","space_id":"proc-factory-dev-011-F0-S042","space_name":"Hall access 0.42","floor_level":0,"position":[2.739,84.896]}</x:v>
      </x:c>
      <x:c r="O504" s="6"/>
      <x:c r="P504" s="6" t="str">
        <x:v>Resolve the intended asset and its containing room/floor.</x:v>
      </x:c>
      <x:c r="Q504" s="15"/>
      <x:c r="R504" s="6"/>
      <x:c r="S504" s="16"/>
      <x:c r="T504" s="15"/>
      <x:c r="U504" s="6"/>
      <x:c r="V504" s="6"/>
      <x:c r="W504" s="6" t="str">
        <x:v>Existing search_building. Improve disambiguation and complete result pagination.</x:v>
      </x:c>
      <x:c r="X504" s="6" t="str">
        <x:v>data/dev/proc-factory-dev-011/questions_basic.jsonl</x:v>
      </x:c>
      <x:c r="Y504" s="14" t="n">
        <x:v>1</x:v>
      </x:c>
      <x:c r="Z504" s="6" t="str">
        <x:v>https://github.com/hagenhaeussler/Industrial-Agents-Hackathon-2026/blob/f41616590b69f3ea0c1cbfb41d6c35edd9ce53df/data/dev/proc-factory-dev-011/questions_basic.jsonl#L1</x:v>
      </x:c>
      <x:c r="AA504" s="6" t="str">
        <x:v>procedural</x:v>
      </x:c>
      <x:c r="AB504" s="6" t="str">
        <x:v>CC0-1.0</x:v>
      </x:c>
    </x:row>
    <x:row r="505" ht="72" customHeight="1">
      <x:c r="A505" s="14" t="n">
        <x:v>500</x:v>
      </x:c>
      <x:c r="B505" s="6" t="str">
        <x:v>locate</x:v>
      </x:c>
      <x:c r="C505" s="6" t="str">
        <x:v>Where is the inspection bench?</x:v>
      </x:c>
      <x:c r="D505" s="6" t="str">
        <x:v>Quality lab 0.44
Floor level: 0
Asset ID: proc-factory-dev-011-A00287
Position (m): 11.53, 13.471</x:v>
      </x:c>
      <x:c r="E505" s="6" t="str">
        <x:v>Reference supplied</x:v>
      </x:c>
      <x:c r="F505" s="6" t="str">
        <x:v>dev</x:v>
      </x:c>
      <x:c r="G505" s="6" t="str">
        <x:v>proc-factory-dev-011</x:v>
      </x:c>
      <x:c r="H505" s="6" t="str">
        <x:v>proc-factory-dev-011-Q02</x:v>
      </x:c>
      <x:c r="I505" s="6" t="str">
        <x:v>Find and count assets</x:v>
      </x:c>
      <x:c r="J505" s="6" t="str">
        <x:v>Warm-up</x:v>
      </x:c>
      <x:c r="K505" s="6" t="str">
        <x:v>Room name, floor and asset identity. Coordinates may help the UI.</x:v>
      </x:c>
      <x:c r="L505" s="6" t="str">
        <x:v>T02, T03</x:v>
      </x:c>
      <x:c r="M505" s="6" t="str">
        <x:v>Find a named item and identify its containing room and floor.</x:v>
      </x:c>
      <x:c r="N505" s="6" t="str">
        <x:v>{"asset_id":"proc-factory-dev-011-A00287","space_id":"proc-factory-dev-011-F0-S044","space_name":"Quality lab 0.44","floor_level":0,"position":[11.53,13.471]}</x:v>
      </x:c>
      <x:c r="O505" s="6"/>
      <x:c r="P505" s="6" t="str">
        <x:v>Resolve the intended asset and its containing room/floor.</x:v>
      </x:c>
      <x:c r="Q505" s="15"/>
      <x:c r="R505" s="6"/>
      <x:c r="S505" s="16"/>
      <x:c r="T505" s="15"/>
      <x:c r="U505" s="6"/>
      <x:c r="V505" s="6"/>
      <x:c r="W505" s="6" t="str">
        <x:v>Existing search_building. Improve disambiguation and complete result pagination.</x:v>
      </x:c>
      <x:c r="X505" s="6" t="str">
        <x:v>data/dev/proc-factory-dev-011/questions_basic.jsonl</x:v>
      </x:c>
      <x:c r="Y505" s="14" t="n">
        <x:v>2</x:v>
      </x:c>
      <x:c r="Z505" s="6" t="str">
        <x:v>https://github.com/hagenhaeussler/Industrial-Agents-Hackathon-2026/blob/f41616590b69f3ea0c1cbfb41d6c35edd9ce53df/data/dev/proc-factory-dev-011/questions_basic.jsonl#L2</x:v>
      </x:c>
      <x:c r="AA505" s="6" t="str">
        <x:v>procedural</x:v>
      </x:c>
      <x:c r="AB505" s="6" t="str">
        <x:v>CC0-1.0</x:v>
      </x:c>
    </x:row>
    <x:row r="506" ht="72" customHeight="1">
      <x:c r="A506" s="14" t="n">
        <x:v>501</x:v>
      </x:c>
      <x:c r="B506" s="6" t="str">
        <x:v>locate</x:v>
      </x:c>
      <x:c r="C506" s="6" t="str">
        <x:v>Where is the vending machine?</x:v>
      </x:c>
      <x:c r="D506" s="6" t="str">
        <x:v>Hall access 0.42
Floor level: 0
Asset ID: proc-factory-dev-011-A00274
Position (m): 4.015, 83.65</x:v>
      </x:c>
      <x:c r="E506" s="6" t="str">
        <x:v>Reference supplied</x:v>
      </x:c>
      <x:c r="F506" s="6" t="str">
        <x:v>dev</x:v>
      </x:c>
      <x:c r="G506" s="6" t="str">
        <x:v>proc-factory-dev-011</x:v>
      </x:c>
      <x:c r="H506" s="6" t="str">
        <x:v>proc-factory-dev-011-Q03</x:v>
      </x:c>
      <x:c r="I506" s="6" t="str">
        <x:v>Find and count assets</x:v>
      </x:c>
      <x:c r="J506" s="6" t="str">
        <x:v>Warm-up</x:v>
      </x:c>
      <x:c r="K506" s="6" t="str">
        <x:v>Room name, floor and asset identity. Coordinates may help the UI.</x:v>
      </x:c>
      <x:c r="L506" s="6" t="str">
        <x:v>T02, T03</x:v>
      </x:c>
      <x:c r="M506" s="6" t="str">
        <x:v>Find a named item and identify its containing room and floor.</x:v>
      </x:c>
      <x:c r="N506" s="6" t="str">
        <x:v>{"asset_id":"proc-factory-dev-011-A00274","space_id":"proc-factory-dev-011-F0-S042","space_name":"Hall access 0.42","floor_level":0,"position":[4.015,83.65]}</x:v>
      </x:c>
      <x:c r="O506" s="6"/>
      <x:c r="P506" s="6" t="str">
        <x:v>Resolve the intended asset and its containing room/floor.</x:v>
      </x:c>
      <x:c r="Q506" s="15"/>
      <x:c r="R506" s="6"/>
      <x:c r="S506" s="16"/>
      <x:c r="T506" s="15"/>
      <x:c r="U506" s="6"/>
      <x:c r="V506" s="6"/>
      <x:c r="W506" s="6" t="str">
        <x:v>Existing search_building. Improve disambiguation and complete result pagination.</x:v>
      </x:c>
      <x:c r="X506" s="6" t="str">
        <x:v>data/dev/proc-factory-dev-011/questions_basic.jsonl</x:v>
      </x:c>
      <x:c r="Y506" s="14" t="n">
        <x:v>3</x:v>
      </x:c>
      <x:c r="Z506" s="6" t="str">
        <x:v>https://github.com/hagenhaeussler/Industrial-Agents-Hackathon-2026/blob/f41616590b69f3ea0c1cbfb41d6c35edd9ce53df/data/dev/proc-factory-dev-011/questions_basic.jsonl#L3</x:v>
      </x:c>
      <x:c r="AA506" s="6" t="str">
        <x:v>procedural</x:v>
      </x:c>
      <x:c r="AB506" s="6" t="str">
        <x:v>CC0-1.0</x:v>
      </x:c>
    </x:row>
    <x:row r="507" ht="72" customHeight="1">
      <x:c r="A507" s="14" t="n">
        <x:v>502</x:v>
      </x:c>
      <x:c r="B507" s="6" t="str">
        <x:v>locate</x:v>
      </x:c>
      <x:c r="C507" s="6" t="str">
        <x:v>Where is the defibrillator?</x:v>
      </x:c>
      <x:c r="D507" s="6" t="str">
        <x:v>Hall access 0.28
Floor level: 0
Asset ID: proc-factory-dev-012-A00170
Position (m): 4.71, -1.642</x:v>
      </x:c>
      <x:c r="E507" s="6" t="str">
        <x:v>Reference supplied</x:v>
      </x:c>
      <x:c r="F507" s="6" t="str">
        <x:v>dev</x:v>
      </x:c>
      <x:c r="G507" s="6" t="str">
        <x:v>proc-factory-dev-012</x:v>
      </x:c>
      <x:c r="H507" s="6" t="str">
        <x:v>proc-factory-dev-012-Q01</x:v>
      </x:c>
      <x:c r="I507" s="6" t="str">
        <x:v>Find and count assets</x:v>
      </x:c>
      <x:c r="J507" s="6" t="str">
        <x:v>Warm-up</x:v>
      </x:c>
      <x:c r="K507" s="6" t="str">
        <x:v>Room name, floor and asset identity. Coordinates may help the UI.</x:v>
      </x:c>
      <x:c r="L507" s="6" t="str">
        <x:v>T02, T03</x:v>
      </x:c>
      <x:c r="M507" s="6" t="str">
        <x:v>Find a named item and identify its containing room and floor.</x:v>
      </x:c>
      <x:c r="N507" s="6" t="str">
        <x:v>{"asset_id":"proc-factory-dev-012-A00170","space_id":"proc-factory-dev-012-F0-S028","space_name":"Hall access 0.28","floor_level":0,"position":[4.71,-1.642]}</x:v>
      </x:c>
      <x:c r="O507" s="6"/>
      <x:c r="P507" s="6" t="str">
        <x:v>Resolve the intended asset and its containing room/floor.</x:v>
      </x:c>
      <x:c r="Q507" s="15"/>
      <x:c r="R507" s="6"/>
      <x:c r="S507" s="16"/>
      <x:c r="T507" s="15"/>
      <x:c r="U507" s="6"/>
      <x:c r="V507" s="6"/>
      <x:c r="W507" s="6" t="str">
        <x:v>Existing search_building. Improve disambiguation and complete result pagination.</x:v>
      </x:c>
      <x:c r="X507" s="6" t="str">
        <x:v>data/dev/proc-factory-dev-012/questions_basic.jsonl</x:v>
      </x:c>
      <x:c r="Y507" s="14" t="n">
        <x:v>1</x:v>
      </x:c>
      <x:c r="Z507" s="6" t="str">
        <x:v>https://github.com/hagenhaeussler/Industrial-Agents-Hackathon-2026/blob/f41616590b69f3ea0c1cbfb41d6c35edd9ce53df/data/dev/proc-factory-dev-012/questions_basic.jsonl#L1</x:v>
      </x:c>
      <x:c r="AA507" s="6" t="str">
        <x:v>procedural</x:v>
      </x:c>
      <x:c r="AB507" s="6" t="str">
        <x:v>CC0-1.0</x:v>
      </x:c>
    </x:row>
    <x:row r="508" ht="72" customHeight="1">
      <x:c r="A508" s="14" t="n">
        <x:v>503</x:v>
      </x:c>
      <x:c r="B508" s="6" t="str">
        <x:v>locate</x:v>
      </x:c>
      <x:c r="C508" s="6" t="str">
        <x:v>Where is the hand dryer?</x:v>
      </x:c>
      <x:c r="D508" s="6" t="str">
        <x:v>Toilet 1.25
Floor level: 1
Asset ID: proc-factory-dev-012-A00503
Position (m): 26.28, -10.498</x:v>
      </x:c>
      <x:c r="E508" s="6" t="str">
        <x:v>Reference supplied</x:v>
      </x:c>
      <x:c r="F508" s="6" t="str">
        <x:v>dev</x:v>
      </x:c>
      <x:c r="G508" s="6" t="str">
        <x:v>proc-factory-dev-012</x:v>
      </x:c>
      <x:c r="H508" s="6" t="str">
        <x:v>proc-factory-dev-012-Q02</x:v>
      </x:c>
      <x:c r="I508" s="6" t="str">
        <x:v>Find and count assets</x:v>
      </x:c>
      <x:c r="J508" s="6" t="str">
        <x:v>Warm-up</x:v>
      </x:c>
      <x:c r="K508" s="6" t="str">
        <x:v>Room name, floor and asset identity. Coordinates may help the UI.</x:v>
      </x:c>
      <x:c r="L508" s="6" t="str">
        <x:v>T02, T03</x:v>
      </x:c>
      <x:c r="M508" s="6" t="str">
        <x:v>Find a named item and identify its containing room and floor.</x:v>
      </x:c>
      <x:c r="N508" s="6" t="str">
        <x:v>{"asset_id":"proc-factory-dev-012-A00503","space_id":"proc-factory-dev-012-F1-S025","space_name":"Toilet 1.25","floor_level":1,"position":[26.28,-10.498]}</x:v>
      </x:c>
      <x:c r="O508" s="6"/>
      <x:c r="P508" s="6" t="str">
        <x:v>Resolve the intended asset and its containing room/floor.</x:v>
      </x:c>
      <x:c r="Q508" s="15"/>
      <x:c r="R508" s="6"/>
      <x:c r="S508" s="16"/>
      <x:c r="T508" s="15"/>
      <x:c r="U508" s="6"/>
      <x:c r="V508" s="6"/>
      <x:c r="W508" s="6" t="str">
        <x:v>Existing search_building. Improve disambiguation and complete result pagination.</x:v>
      </x:c>
      <x:c r="X508" s="6" t="str">
        <x:v>data/dev/proc-factory-dev-012/questions_basic.jsonl</x:v>
      </x:c>
      <x:c r="Y508" s="14" t="n">
        <x:v>2</x:v>
      </x:c>
      <x:c r="Z508" s="6" t="str">
        <x:v>https://github.com/hagenhaeussler/Industrial-Agents-Hackathon-2026/blob/f41616590b69f3ea0c1cbfb41d6c35edd9ce53df/data/dev/proc-factory-dev-012/questions_basic.jsonl#L2</x:v>
      </x:c>
      <x:c r="AA508" s="6" t="str">
        <x:v>procedural</x:v>
      </x:c>
      <x:c r="AB508" s="6" t="str">
        <x:v>CC0-1.0</x:v>
      </x:c>
    </x:row>
    <x:row r="509" ht="72" customHeight="1">
      <x:c r="A509" s="14" t="n">
        <x:v>504</x:v>
      </x:c>
      <x:c r="B509" s="6" t="str">
        <x:v>locate</x:v>
      </x:c>
      <x:c r="C509" s="6" t="str">
        <x:v>Where is the coordinate measuring machine?</x:v>
      </x:c>
      <x:c r="D509" s="6" t="str">
        <x:v>Quality lab 0.50
Floor level: 0
Asset ID: proc-factory-dev-012-A00309
Position (m): 33.482, -10.525</x:v>
      </x:c>
      <x:c r="E509" s="6" t="str">
        <x:v>Reference supplied</x:v>
      </x:c>
      <x:c r="F509" s="6" t="str">
        <x:v>dev</x:v>
      </x:c>
      <x:c r="G509" s="6" t="str">
        <x:v>proc-factory-dev-012</x:v>
      </x:c>
      <x:c r="H509" s="6" t="str">
        <x:v>proc-factory-dev-012-Q03</x:v>
      </x:c>
      <x:c r="I509" s="6" t="str">
        <x:v>Find and count assets</x:v>
      </x:c>
      <x:c r="J509" s="6" t="str">
        <x:v>Warm-up</x:v>
      </x:c>
      <x:c r="K509" s="6" t="str">
        <x:v>Room name, floor and asset identity. Coordinates may help the UI.</x:v>
      </x:c>
      <x:c r="L509" s="6" t="str">
        <x:v>T02, T03</x:v>
      </x:c>
      <x:c r="M509" s="6" t="str">
        <x:v>Find a named item and identify its containing room and floor.</x:v>
      </x:c>
      <x:c r="N509" s="6" t="str">
        <x:v>{"asset_id":"proc-factory-dev-012-A00309","space_id":"proc-factory-dev-012-F0-S050","space_name":"Quality lab 0.50","floor_level":0,"position":[33.482,-10.525]}</x:v>
      </x:c>
      <x:c r="O509" s="6"/>
      <x:c r="P509" s="6" t="str">
        <x:v>Resolve the intended asset and its containing room/floor.</x:v>
      </x:c>
      <x:c r="Q509" s="15"/>
      <x:c r="R509" s="6"/>
      <x:c r="S509" s="16"/>
      <x:c r="T509" s="15"/>
      <x:c r="U509" s="6"/>
      <x:c r="V509" s="6"/>
      <x:c r="W509" s="6" t="str">
        <x:v>Existing search_building. Improve disambiguation and complete result pagination.</x:v>
      </x:c>
      <x:c r="X509" s="6" t="str">
        <x:v>data/dev/proc-factory-dev-012/questions_basic.jsonl</x:v>
      </x:c>
      <x:c r="Y509" s="14" t="n">
        <x:v>3</x:v>
      </x:c>
      <x:c r="Z509" s="6" t="str">
        <x:v>https://github.com/hagenhaeussler/Industrial-Agents-Hackathon-2026/blob/f41616590b69f3ea0c1cbfb41d6c35edd9ce53df/data/dev/proc-factory-dev-012/questions_basic.jsonl#L3</x:v>
      </x:c>
      <x:c r="AA509" s="6" t="str">
        <x:v>procedural</x:v>
      </x:c>
      <x:c r="AB509" s="6" t="str">
        <x:v>CC0-1.0</x:v>
      </x:c>
    </x:row>
    <x:row r="510" ht="72" customHeight="1">
      <x:c r="A510" s="14" t="n">
        <x:v>505</x:v>
      </x:c>
      <x:c r="B510" s="6" t="str">
        <x:v>locate</x:v>
      </x:c>
      <x:c r="C510" s="6" t="str">
        <x:v>Where is the washing machine?</x:v>
      </x:c>
      <x:c r="D510" s="6" t="str">
        <x:v>Bathroom 0.04
Floor level: 0
Asset ID: resplan-14509-A00017
Position (m): 7.648, 0.37</x:v>
      </x:c>
      <x:c r="E510" s="6" t="str">
        <x:v>Reference supplied</x:v>
      </x:c>
      <x:c r="F510" s="6" t="str">
        <x:v>dev</x:v>
      </x:c>
      <x:c r="G510" s="6" t="str">
        <x:v>resplan-14509</x:v>
      </x:c>
      <x:c r="H510" s="6" t="str">
        <x:v>resplan-14509-Q01</x:v>
      </x:c>
      <x:c r="I510" s="6" t="str">
        <x:v>Find and count assets</x:v>
      </x:c>
      <x:c r="J510" s="6" t="str">
        <x:v>Warm-up</x:v>
      </x:c>
      <x:c r="K510" s="6" t="str">
        <x:v>Room name, floor and asset identity. Coordinates may help the UI.</x:v>
      </x:c>
      <x:c r="L510" s="6" t="str">
        <x:v>T02, T03</x:v>
      </x:c>
      <x:c r="M510" s="6" t="str">
        <x:v>Find a named item and identify its containing room and floor.</x:v>
      </x:c>
      <x:c r="N510" s="6" t="str">
        <x:v>{"asset_id":"resplan-14509-A00017","space_id":"resplan-14509-F0-S004","space_name":"Bathroom 0.04","floor_level":0,"position":[7.648,0.37]}</x:v>
      </x:c>
      <x:c r="O510" s="6"/>
      <x:c r="P510" s="6" t="str">
        <x:v>Resolve the intended asset and its containing room/floor.</x:v>
      </x:c>
      <x:c r="Q510" s="15"/>
      <x:c r="R510" s="6"/>
      <x:c r="S510" s="16"/>
      <x:c r="T510" s="15"/>
      <x:c r="U510" s="6"/>
      <x:c r="V510" s="6"/>
      <x:c r="W510" s="6" t="str">
        <x:v>Existing search_building. Improve disambiguation and complete result pagination.</x:v>
      </x:c>
      <x:c r="X510" s="6" t="str">
        <x:v>data/dev/resplan-14509/questions_basic.jsonl</x:v>
      </x:c>
      <x:c r="Y510" s="14" t="n">
        <x:v>1</x:v>
      </x:c>
      <x:c r="Z510" s="6" t="str">
        <x:v>https://github.com/hagenhaeussler/Industrial-Agents-Hackathon-2026/blob/f41616590b69f3ea0c1cbfb41d6c35edd9ce53df/data/dev/resplan-14509/questions_basic.jsonl#L1</x:v>
      </x:c>
      <x:c r="AA510" s="6" t="str">
        <x:v>resplan</x:v>
      </x:c>
      <x:c r="AB510" s="6" t="str">
        <x:v>CC-BY-4.0</x:v>
      </x:c>
    </x:row>
    <x:row r="511" ht="72" customHeight="1">
      <x:c r="A511" s="14" t="n">
        <x:v>506</x:v>
      </x:c>
      <x:c r="B511" s="6" t="str">
        <x:v>locate</x:v>
      </x:c>
      <x:c r="C511" s="6" t="str">
        <x:v>Where is the armchair?</x:v>
      </x:c>
      <x:c r="D511" s="6" t="str">
        <x:v>Living room 0.01
Floor level: 0
Asset ID: resplan-14509-A00006
Position (m): 6.386, 5.283</x:v>
      </x:c>
      <x:c r="E511" s="6" t="str">
        <x:v>Reference supplied</x:v>
      </x:c>
      <x:c r="F511" s="6" t="str">
        <x:v>dev</x:v>
      </x:c>
      <x:c r="G511" s="6" t="str">
        <x:v>resplan-14509</x:v>
      </x:c>
      <x:c r="H511" s="6" t="str">
        <x:v>resplan-14509-Q02</x:v>
      </x:c>
      <x:c r="I511" s="6" t="str">
        <x:v>Find and count assets</x:v>
      </x:c>
      <x:c r="J511" s="6" t="str">
        <x:v>Warm-up</x:v>
      </x:c>
      <x:c r="K511" s="6" t="str">
        <x:v>Room name, floor and asset identity. Coordinates may help the UI.</x:v>
      </x:c>
      <x:c r="L511" s="6" t="str">
        <x:v>T02, T03</x:v>
      </x:c>
      <x:c r="M511" s="6" t="str">
        <x:v>Find a named item and identify its containing room and floor.</x:v>
      </x:c>
      <x:c r="N511" s="6" t="str">
        <x:v>{"asset_id":"resplan-14509-A00006","space_id":"resplan-14509-F0-S001","space_name":"Living room 0.01","floor_level":0,"position":[6.386,5.283]}</x:v>
      </x:c>
      <x:c r="O511" s="6"/>
      <x:c r="P511" s="6" t="str">
        <x:v>Resolve the intended asset and its containing room/floor.</x:v>
      </x:c>
      <x:c r="Q511" s="15"/>
      <x:c r="R511" s="6"/>
      <x:c r="S511" s="16"/>
      <x:c r="T511" s="15"/>
      <x:c r="U511" s="6"/>
      <x:c r="V511" s="6"/>
      <x:c r="W511" s="6" t="str">
        <x:v>Existing search_building. Improve disambiguation and complete result pagination.</x:v>
      </x:c>
      <x:c r="X511" s="6" t="str">
        <x:v>data/dev/resplan-14509/questions_basic.jsonl</x:v>
      </x:c>
      <x:c r="Y511" s="14" t="n">
        <x:v>2</x:v>
      </x:c>
      <x:c r="Z511" s="6" t="str">
        <x:v>https://github.com/hagenhaeussler/Industrial-Agents-Hackathon-2026/blob/f41616590b69f3ea0c1cbfb41d6c35edd9ce53df/data/dev/resplan-14509/questions_basic.jsonl#L2</x:v>
      </x:c>
      <x:c r="AA511" s="6" t="str">
        <x:v>resplan</x:v>
      </x:c>
      <x:c r="AB511" s="6" t="str">
        <x:v>CC-BY-4.0</x:v>
      </x:c>
    </x:row>
    <x:row r="512" ht="72" customHeight="1">
      <x:c r="A512" s="14" t="n">
        <x:v>507</x:v>
      </x:c>
      <x:c r="B512" s="6" t="str">
        <x:v>locate</x:v>
      </x:c>
      <x:c r="C512" s="6" t="str">
        <x:v>Where is the nightstand?</x:v>
      </x:c>
      <x:c r="D512" s="6" t="str">
        <x:v>Bedroom 0.02
Floor level: 0
Asset ID: resplan-14509-A00011
Position (m): 1.371, 2.421</x:v>
      </x:c>
      <x:c r="E512" s="6" t="str">
        <x:v>Reference supplied</x:v>
      </x:c>
      <x:c r="F512" s="6" t="str">
        <x:v>dev</x:v>
      </x:c>
      <x:c r="G512" s="6" t="str">
        <x:v>resplan-14509</x:v>
      </x:c>
      <x:c r="H512" s="6" t="str">
        <x:v>resplan-14509-Q03</x:v>
      </x:c>
      <x:c r="I512" s="6" t="str">
        <x:v>Find and count assets</x:v>
      </x:c>
      <x:c r="J512" s="6" t="str">
        <x:v>Warm-up</x:v>
      </x:c>
      <x:c r="K512" s="6" t="str">
        <x:v>Room name, floor and asset identity. Coordinates may help the UI.</x:v>
      </x:c>
      <x:c r="L512" s="6" t="str">
        <x:v>T02, T03</x:v>
      </x:c>
      <x:c r="M512" s="6" t="str">
        <x:v>Find a named item and identify its containing room and floor.</x:v>
      </x:c>
      <x:c r="N512" s="6" t="str">
        <x:v>{"asset_id":"resplan-14509-A00011","space_id":"resplan-14509-F0-S002","space_name":"Bedroom 0.02","floor_level":0,"position":[1.371,2.421]}</x:v>
      </x:c>
      <x:c r="O512" s="6"/>
      <x:c r="P512" s="6" t="str">
        <x:v>Resolve the intended asset and its containing room/floor.</x:v>
      </x:c>
      <x:c r="Q512" s="15"/>
      <x:c r="R512" s="6"/>
      <x:c r="S512" s="16"/>
      <x:c r="T512" s="15"/>
      <x:c r="U512" s="6"/>
      <x:c r="V512" s="6"/>
      <x:c r="W512" s="6" t="str">
        <x:v>Existing search_building. Improve disambiguation and complete result pagination.</x:v>
      </x:c>
      <x:c r="X512" s="6" t="str">
        <x:v>data/dev/resplan-14509/questions_basic.jsonl</x:v>
      </x:c>
      <x:c r="Y512" s="14" t="n">
        <x:v>3</x:v>
      </x:c>
      <x:c r="Z512" s="6" t="str">
        <x:v>https://github.com/hagenhaeussler/Industrial-Agents-Hackathon-2026/blob/f41616590b69f3ea0c1cbfb41d6c35edd9ce53df/data/dev/resplan-14509/questions_basic.jsonl#L3</x:v>
      </x:c>
      <x:c r="AA512" s="6" t="str">
        <x:v>resplan</x:v>
      </x:c>
      <x:c r="AB512" s="6" t="str">
        <x:v>CC-BY-4.0</x:v>
      </x:c>
    </x:row>
    <x:row r="513" ht="72" customHeight="1">
      <x:c r="A513" s="14" t="n">
        <x:v>508</x:v>
      </x:c>
      <x:c r="B513" s="6" t="str">
        <x:v>locate</x:v>
      </x:c>
      <x:c r="C513" s="6" t="str">
        <x:v>Where is the kitchen counter?</x:v>
      </x:c>
      <x:c r="D513" s="6" t="str">
        <x:v>Kitchen 0.06
Floor level: 0
Asset ID: resplan-1465-A00021
Position (m): 14.1, 16.192</x:v>
      </x:c>
      <x:c r="E513" s="6" t="str">
        <x:v>Reference supplied</x:v>
      </x:c>
      <x:c r="F513" s="6" t="str">
        <x:v>dev</x:v>
      </x:c>
      <x:c r="G513" s="6" t="str">
        <x:v>resplan-1465</x:v>
      </x:c>
      <x:c r="H513" s="6" t="str">
        <x:v>resplan-1465-Q01</x:v>
      </x:c>
      <x:c r="I513" s="6" t="str">
        <x:v>Find and count assets</x:v>
      </x:c>
      <x:c r="J513" s="6" t="str">
        <x:v>Warm-up</x:v>
      </x:c>
      <x:c r="K513" s="6" t="str">
        <x:v>Room name, floor and asset identity. Coordinates may help the UI.</x:v>
      </x:c>
      <x:c r="L513" s="6" t="str">
        <x:v>T02, T03</x:v>
      </x:c>
      <x:c r="M513" s="6" t="str">
        <x:v>Find a named item and identify its containing room and floor.</x:v>
      </x:c>
      <x:c r="N513" s="6" t="str">
        <x:v>{"asset_id":"resplan-1465-A00021","space_id":"resplan-1465-F0-S006","space_name":"Kitchen 0.06","floor_level":0,"position":[14.1,16.192]}</x:v>
      </x:c>
      <x:c r="O513" s="6"/>
      <x:c r="P513" s="6" t="str">
        <x:v>Resolve the intended asset and its containing room/floor.</x:v>
      </x:c>
      <x:c r="Q513" s="15"/>
      <x:c r="R513" s="6"/>
      <x:c r="S513" s="16"/>
      <x:c r="T513" s="15"/>
      <x:c r="U513" s="6"/>
      <x:c r="V513" s="6"/>
      <x:c r="W513" s="6" t="str">
        <x:v>Existing search_building. Improve disambiguation and complete result pagination.</x:v>
      </x:c>
      <x:c r="X513" s="6" t="str">
        <x:v>data/dev/resplan-1465/questions_basic.jsonl</x:v>
      </x:c>
      <x:c r="Y513" s="14" t="n">
        <x:v>1</x:v>
      </x:c>
      <x:c r="Z513" s="6" t="str">
        <x:v>https://github.com/hagenhaeussler/Industrial-Agents-Hackathon-2026/blob/f41616590b69f3ea0c1cbfb41d6c35edd9ce53df/data/dev/resplan-1465/questions_basic.jsonl#L1</x:v>
      </x:c>
      <x:c r="AA513" s="6" t="str">
        <x:v>resplan</x:v>
      </x:c>
      <x:c r="AB513" s="6" t="str">
        <x:v>CC-BY-4.0</x:v>
      </x:c>
    </x:row>
    <x:row r="514" ht="72" customHeight="1">
      <x:c r="A514" s="14" t="n">
        <x:v>509</x:v>
      </x:c>
      <x:c r="B514" s="6" t="str">
        <x:v>locate</x:v>
      </x:c>
      <x:c r="C514" s="6" t="str">
        <x:v>Where is the shower?</x:v>
      </x:c>
      <x:c r="D514" s="6" t="str">
        <x:v>Bathroom 0.04
Floor level: 0
Asset ID: resplan-1465-A00017
Position (m): 2.234, 14.867</x:v>
      </x:c>
      <x:c r="E514" s="6" t="str">
        <x:v>Reference supplied</x:v>
      </x:c>
      <x:c r="F514" s="6" t="str">
        <x:v>dev</x:v>
      </x:c>
      <x:c r="G514" s="6" t="str">
        <x:v>resplan-1465</x:v>
      </x:c>
      <x:c r="H514" s="6" t="str">
        <x:v>resplan-1465-Q02</x:v>
      </x:c>
      <x:c r="I514" s="6" t="str">
        <x:v>Find and count assets</x:v>
      </x:c>
      <x:c r="J514" s="6" t="str">
        <x:v>Warm-up</x:v>
      </x:c>
      <x:c r="K514" s="6" t="str">
        <x:v>Room name, floor and asset identity. Coordinates may help the UI.</x:v>
      </x:c>
      <x:c r="L514" s="6" t="str">
        <x:v>T02, T03</x:v>
      </x:c>
      <x:c r="M514" s="6" t="str">
        <x:v>Find a named item and identify its containing room and floor.</x:v>
      </x:c>
      <x:c r="N514" s="6" t="str">
        <x:v>{"asset_id":"resplan-1465-A00017","space_id":"resplan-1465-F0-S004","space_name":"Bathroom 0.04","floor_level":0,"position":[2.234,14.867]}</x:v>
      </x:c>
      <x:c r="O514" s="6"/>
      <x:c r="P514" s="6" t="str">
        <x:v>Resolve the intended asset and its containing room/floor.</x:v>
      </x:c>
      <x:c r="Q514" s="15"/>
      <x:c r="R514" s="6"/>
      <x:c r="S514" s="16"/>
      <x:c r="T514" s="15"/>
      <x:c r="U514" s="6"/>
      <x:c r="V514" s="6"/>
      <x:c r="W514" s="6" t="str">
        <x:v>Existing search_building. Improve disambiguation and complete result pagination.</x:v>
      </x:c>
      <x:c r="X514" s="6" t="str">
        <x:v>data/dev/resplan-1465/questions_basic.jsonl</x:v>
      </x:c>
      <x:c r="Y514" s="14" t="n">
        <x:v>2</x:v>
      </x:c>
      <x:c r="Z514" s="6" t="str">
        <x:v>https://github.com/hagenhaeussler/Industrial-Agents-Hackathon-2026/blob/f41616590b69f3ea0c1cbfb41d6c35edd9ce53df/data/dev/resplan-1465/questions_basic.jsonl#L2</x:v>
      </x:c>
      <x:c r="AA514" s="6" t="str">
        <x:v>resplan</x:v>
      </x:c>
      <x:c r="AB514" s="6" t="str">
        <x:v>CC-BY-4.0</x:v>
      </x:c>
    </x:row>
    <x:row r="515" ht="72" customHeight="1">
      <x:c r="A515" s="14" t="n">
        <x:v>510</x:v>
      </x:c>
      <x:c r="B515" s="6" t="str">
        <x:v>locate</x:v>
      </x:c>
      <x:c r="C515" s="6" t="str">
        <x:v>Where is the nightstand?</x:v>
      </x:c>
      <x:c r="D515" s="6" t="str">
        <x:v>Bedroom 0.02
Floor level: 0
Asset ID: resplan-1465-A00012
Position (m): 15.997, 14.767</x:v>
      </x:c>
      <x:c r="E515" s="6" t="str">
        <x:v>Reference supplied</x:v>
      </x:c>
      <x:c r="F515" s="6" t="str">
        <x:v>dev</x:v>
      </x:c>
      <x:c r="G515" s="6" t="str">
        <x:v>resplan-1465</x:v>
      </x:c>
      <x:c r="H515" s="6" t="str">
        <x:v>resplan-1465-Q03</x:v>
      </x:c>
      <x:c r="I515" s="6" t="str">
        <x:v>Find and count assets</x:v>
      </x:c>
      <x:c r="J515" s="6" t="str">
        <x:v>Warm-up</x:v>
      </x:c>
      <x:c r="K515" s="6" t="str">
        <x:v>Room name, floor and asset identity. Coordinates may help the UI.</x:v>
      </x:c>
      <x:c r="L515" s="6" t="str">
        <x:v>T02, T03</x:v>
      </x:c>
      <x:c r="M515" s="6" t="str">
        <x:v>Find a named item and identify its containing room and floor.</x:v>
      </x:c>
      <x:c r="N515" s="6" t="str">
        <x:v>{"asset_id":"resplan-1465-A00012","space_id":"resplan-1465-F0-S002","space_name":"Bedroom 0.02","floor_level":0,"position":[15.997,14.767]}</x:v>
      </x:c>
      <x:c r="O515" s="6"/>
      <x:c r="P515" s="6" t="str">
        <x:v>Resolve the intended asset and its containing room/floor.</x:v>
      </x:c>
      <x:c r="Q515" s="15"/>
      <x:c r="R515" s="6"/>
      <x:c r="S515" s="16"/>
      <x:c r="T515" s="15"/>
      <x:c r="U515" s="6"/>
      <x:c r="V515" s="6"/>
      <x:c r="W515" s="6" t="str">
        <x:v>Existing search_building. Improve disambiguation and complete result pagination.</x:v>
      </x:c>
      <x:c r="X515" s="6" t="str">
        <x:v>data/dev/resplan-1465/questions_basic.jsonl</x:v>
      </x:c>
      <x:c r="Y515" s="14" t="n">
        <x:v>3</x:v>
      </x:c>
      <x:c r="Z515" s="6" t="str">
        <x:v>https://github.com/hagenhaeussler/Industrial-Agents-Hackathon-2026/blob/f41616590b69f3ea0c1cbfb41d6c35edd9ce53df/data/dev/resplan-1465/questions_basic.jsonl#L3</x:v>
      </x:c>
      <x:c r="AA515" s="6" t="str">
        <x:v>resplan</x:v>
      </x:c>
      <x:c r="AB515" s="6" t="str">
        <x:v>CC-BY-4.0</x:v>
      </x:c>
    </x:row>
    <x:row r="516" ht="72" customHeight="1">
      <x:c r="A516" s="14" t="n">
        <x:v>511</x:v>
      </x:c>
      <x:c r="B516" s="6" t="str">
        <x:v>locate</x:v>
      </x:c>
      <x:c r="C516" s="6" t="str">
        <x:v>Where is the fridge?</x:v>
      </x:c>
      <x:c r="D516" s="6" t="str">
        <x:v>Kitchen 0.09
Floor level: 0
Asset ID: resplan-15179-A00028
Position (m): 11.359, 7.036</x:v>
      </x:c>
      <x:c r="E516" s="6" t="str">
        <x:v>Reference supplied</x:v>
      </x:c>
      <x:c r="F516" s="6" t="str">
        <x:v>dev</x:v>
      </x:c>
      <x:c r="G516" s="6" t="str">
        <x:v>resplan-15179</x:v>
      </x:c>
      <x:c r="H516" s="6" t="str">
        <x:v>resplan-15179-Q01</x:v>
      </x:c>
      <x:c r="I516" s="6" t="str">
        <x:v>Find and count assets</x:v>
      </x:c>
      <x:c r="J516" s="6" t="str">
        <x:v>Warm-up</x:v>
      </x:c>
      <x:c r="K516" s="6" t="str">
        <x:v>Room name, floor and asset identity. Coordinates may help the UI.</x:v>
      </x:c>
      <x:c r="L516" s="6" t="str">
        <x:v>T02, T03</x:v>
      </x:c>
      <x:c r="M516" s="6" t="str">
        <x:v>Find a named item and identify its containing room and floor.</x:v>
      </x:c>
      <x:c r="N516" s="6" t="str">
        <x:v>{"asset_id":"resplan-15179-A00028","space_id":"resplan-15179-F0-S009","space_name":"Kitchen 0.09","floor_level":0,"position":[11.359,7.036]}</x:v>
      </x:c>
      <x:c r="O516" s="6"/>
      <x:c r="P516" s="6" t="str">
        <x:v>Resolve the intended asset and its containing room/floor.</x:v>
      </x:c>
      <x:c r="Q516" s="15"/>
      <x:c r="R516" s="6"/>
      <x:c r="S516" s="16"/>
      <x:c r="T516" s="15"/>
      <x:c r="U516" s="6"/>
      <x:c r="V516" s="6"/>
      <x:c r="W516" s="6" t="str">
        <x:v>Existing search_building. Improve disambiguation and complete result pagination.</x:v>
      </x:c>
      <x:c r="X516" s="6" t="str">
        <x:v>data/dev/resplan-15179/questions_basic.jsonl</x:v>
      </x:c>
      <x:c r="Y516" s="14" t="n">
        <x:v>1</x:v>
      </x:c>
      <x:c r="Z516" s="6" t="str">
        <x:v>https://github.com/hagenhaeussler/Industrial-Agents-Hackathon-2026/blob/f41616590b69f3ea0c1cbfb41d6c35edd9ce53df/data/dev/resplan-15179/questions_basic.jsonl#L1</x:v>
      </x:c>
      <x:c r="AA516" s="6" t="str">
        <x:v>resplan</x:v>
      </x:c>
      <x:c r="AB516" s="6" t="str">
        <x:v>CC-BY-4.0</x:v>
      </x:c>
    </x:row>
    <x:row r="517" ht="72" customHeight="1">
      <x:c r="A517" s="14" t="n">
        <x:v>512</x:v>
      </x:c>
      <x:c r="B517" s="6" t="str">
        <x:v>locate</x:v>
      </x:c>
      <x:c r="C517" s="6" t="str">
        <x:v>Where is the coffee table?</x:v>
      </x:c>
      <x:c r="D517" s="6" t="str">
        <x:v>Living room 0.01
Floor level: 0
Asset ID: resplan-15179-A00002
Position (m): 7.576, 5.091</x:v>
      </x:c>
      <x:c r="E517" s="6" t="str">
        <x:v>Reference supplied</x:v>
      </x:c>
      <x:c r="F517" s="6" t="str">
        <x:v>dev</x:v>
      </x:c>
      <x:c r="G517" s="6" t="str">
        <x:v>resplan-15179</x:v>
      </x:c>
      <x:c r="H517" s="6" t="str">
        <x:v>resplan-15179-Q02</x:v>
      </x:c>
      <x:c r="I517" s="6" t="str">
        <x:v>Find and count assets</x:v>
      </x:c>
      <x:c r="J517" s="6" t="str">
        <x:v>Warm-up</x:v>
      </x:c>
      <x:c r="K517" s="6" t="str">
        <x:v>Room name, floor and asset identity. Coordinates may help the UI.</x:v>
      </x:c>
      <x:c r="L517" s="6" t="str">
        <x:v>T02, T03</x:v>
      </x:c>
      <x:c r="M517" s="6" t="str">
        <x:v>Find a named item and identify its containing room and floor.</x:v>
      </x:c>
      <x:c r="N517" s="6" t="str">
        <x:v>{"asset_id":"resplan-15179-A00002","space_id":"resplan-15179-F0-S001","space_name":"Living room 0.01","floor_level":0,"position":[7.576,5.091]}</x:v>
      </x:c>
      <x:c r="O517" s="6"/>
      <x:c r="P517" s="6" t="str">
        <x:v>Resolve the intended asset and its containing room/floor.</x:v>
      </x:c>
      <x:c r="Q517" s="15"/>
      <x:c r="R517" s="6"/>
      <x:c r="S517" s="16"/>
      <x:c r="T517" s="15"/>
      <x:c r="U517" s="6"/>
      <x:c r="V517" s="6"/>
      <x:c r="W517" s="6" t="str">
        <x:v>Existing search_building. Improve disambiguation and complete result pagination.</x:v>
      </x:c>
      <x:c r="X517" s="6" t="str">
        <x:v>data/dev/resplan-15179/questions_basic.jsonl</x:v>
      </x:c>
      <x:c r="Y517" s="14" t="n">
        <x:v>2</x:v>
      </x:c>
      <x:c r="Z517" s="6" t="str">
        <x:v>https://github.com/hagenhaeussler/Industrial-Agents-Hackathon-2026/blob/f41616590b69f3ea0c1cbfb41d6c35edd9ce53df/data/dev/resplan-15179/questions_basic.jsonl#L2</x:v>
      </x:c>
      <x:c r="AA517" s="6" t="str">
        <x:v>resplan</x:v>
      </x:c>
      <x:c r="AB517" s="6" t="str">
        <x:v>CC-BY-4.0</x:v>
      </x:c>
    </x:row>
    <x:row r="518" ht="72" customHeight="1">
      <x:c r="A518" s="14" t="n">
        <x:v>513</x:v>
      </x:c>
      <x:c r="B518" s="6" t="str">
        <x:v>locate</x:v>
      </x:c>
      <x:c r="C518" s="6" t="str">
        <x:v>Where is the bathtub?</x:v>
      </x:c>
      <x:c r="D518" s="6" t="str">
        <x:v>Bathroom 0.08
Floor level: 0
Asset ID: resplan-15179-A00026
Position (m): 5.243, 12.158</x:v>
      </x:c>
      <x:c r="E518" s="6" t="str">
        <x:v>Reference supplied</x:v>
      </x:c>
      <x:c r="F518" s="6" t="str">
        <x:v>dev</x:v>
      </x:c>
      <x:c r="G518" s="6" t="str">
        <x:v>resplan-15179</x:v>
      </x:c>
      <x:c r="H518" s="6" t="str">
        <x:v>resplan-15179-Q03</x:v>
      </x:c>
      <x:c r="I518" s="6" t="str">
        <x:v>Find and count assets</x:v>
      </x:c>
      <x:c r="J518" s="6" t="str">
        <x:v>Warm-up</x:v>
      </x:c>
      <x:c r="K518" s="6" t="str">
        <x:v>Room name, floor and asset identity. Coordinates may help the UI.</x:v>
      </x:c>
      <x:c r="L518" s="6" t="str">
        <x:v>T02, T03</x:v>
      </x:c>
      <x:c r="M518" s="6" t="str">
        <x:v>Find a named item and identify its containing room and floor.</x:v>
      </x:c>
      <x:c r="N518" s="6" t="str">
        <x:v>{"asset_id":"resplan-15179-A00026","space_id":"resplan-15179-F0-S008","space_name":"Bathroom 0.08","floor_level":0,"position":[5.243,12.158]}</x:v>
      </x:c>
      <x:c r="O518" s="6"/>
      <x:c r="P518" s="6" t="str">
        <x:v>Resolve the intended asset and its containing room/floor.</x:v>
      </x:c>
      <x:c r="Q518" s="15"/>
      <x:c r="R518" s="6"/>
      <x:c r="S518" s="16"/>
      <x:c r="T518" s="15"/>
      <x:c r="U518" s="6"/>
      <x:c r="V518" s="6"/>
      <x:c r="W518" s="6" t="str">
        <x:v>Existing search_building. Improve disambiguation and complete result pagination.</x:v>
      </x:c>
      <x:c r="X518" s="6" t="str">
        <x:v>data/dev/resplan-15179/questions_basic.jsonl</x:v>
      </x:c>
      <x:c r="Y518" s="14" t="n">
        <x:v>3</x:v>
      </x:c>
      <x:c r="Z518" s="6" t="str">
        <x:v>https://github.com/hagenhaeussler/Industrial-Agents-Hackathon-2026/blob/f41616590b69f3ea0c1cbfb41d6c35edd9ce53df/data/dev/resplan-15179/questions_basic.jsonl#L3</x:v>
      </x:c>
      <x:c r="AA518" s="6" t="str">
        <x:v>resplan</x:v>
      </x:c>
      <x:c r="AB518" s="6" t="str">
        <x:v>CC-BY-4.0</x:v>
      </x:c>
    </x:row>
    <x:row r="519" ht="72" customHeight="1">
      <x:c r="A519" s="14" t="n">
        <x:v>514</x:v>
      </x:c>
      <x:c r="B519" s="6" t="str">
        <x:v>locate</x:v>
      </x:c>
      <x:c r="C519" s="6" t="str">
        <x:v>Where is the tv stand?</x:v>
      </x:c>
      <x:c r="D519" s="6" t="str">
        <x:v>Living room 0.01
Floor level: 0
Asset ID: resplan-16154-A00003
Position (m): 9.833, 7.781</x:v>
      </x:c>
      <x:c r="E519" s="6" t="str">
        <x:v>Reference supplied</x:v>
      </x:c>
      <x:c r="F519" s="6" t="str">
        <x:v>dev</x:v>
      </x:c>
      <x:c r="G519" s="6" t="str">
        <x:v>resplan-16154</x:v>
      </x:c>
      <x:c r="H519" s="6" t="str">
        <x:v>resplan-16154-Q01</x:v>
      </x:c>
      <x:c r="I519" s="6" t="str">
        <x:v>Find and count assets</x:v>
      </x:c>
      <x:c r="J519" s="6" t="str">
        <x:v>Warm-up</x:v>
      </x:c>
      <x:c r="K519" s="6" t="str">
        <x:v>Room name, floor and asset identity. Coordinates may help the UI.</x:v>
      </x:c>
      <x:c r="L519" s="6" t="str">
        <x:v>T02, T03</x:v>
      </x:c>
      <x:c r="M519" s="6" t="str">
        <x:v>Find a named item and identify its containing room and floor.</x:v>
      </x:c>
      <x:c r="N519" s="6" t="str">
        <x:v>{"asset_id":"resplan-16154-A00003","space_id":"resplan-16154-F0-S001","space_name":"Living room 0.01","floor_level":0,"position":[9.833,7.781]}</x:v>
      </x:c>
      <x:c r="O519" s="6"/>
      <x:c r="P519" s="6" t="str">
        <x:v>Resolve the intended asset and its containing room/floor.</x:v>
      </x:c>
      <x:c r="Q519" s="15"/>
      <x:c r="R519" s="6"/>
      <x:c r="S519" s="16"/>
      <x:c r="T519" s="15"/>
      <x:c r="U519" s="6"/>
      <x:c r="V519" s="6"/>
      <x:c r="W519" s="6" t="str">
        <x:v>Existing search_building. Improve disambiguation and complete result pagination.</x:v>
      </x:c>
      <x:c r="X519" s="6" t="str">
        <x:v>data/dev/resplan-16154/questions_basic.jsonl</x:v>
      </x:c>
      <x:c r="Y519" s="14" t="n">
        <x:v>1</x:v>
      </x:c>
      <x:c r="Z519" s="6" t="str">
        <x:v>https://github.com/hagenhaeussler/Industrial-Agents-Hackathon-2026/blob/f41616590b69f3ea0c1cbfb41d6c35edd9ce53df/data/dev/resplan-16154/questions_basic.jsonl#L1</x:v>
      </x:c>
      <x:c r="AA519" s="6" t="str">
        <x:v>resplan</x:v>
      </x:c>
      <x:c r="AB519" s="6" t="str">
        <x:v>CC-BY-4.0</x:v>
      </x:c>
    </x:row>
    <x:row r="520" ht="72" customHeight="1">
      <x:c r="A520" s="14" t="n">
        <x:v>515</x:v>
      </x:c>
      <x:c r="B520" s="6" t="str">
        <x:v>locate</x:v>
      </x:c>
      <x:c r="C520" s="6" t="str">
        <x:v>Where is the shower?</x:v>
      </x:c>
      <x:c r="D520" s="6" t="str">
        <x:v>Bathroom 0.05
Floor level: 0
Asset ID: resplan-16154-A00020
Position (m): 1.704, 7.411</x:v>
      </x:c>
      <x:c r="E520" s="6" t="str">
        <x:v>Reference supplied</x:v>
      </x:c>
      <x:c r="F520" s="6" t="str">
        <x:v>dev</x:v>
      </x:c>
      <x:c r="G520" s="6" t="str">
        <x:v>resplan-16154</x:v>
      </x:c>
      <x:c r="H520" s="6" t="str">
        <x:v>resplan-16154-Q02</x:v>
      </x:c>
      <x:c r="I520" s="6" t="str">
        <x:v>Find and count assets</x:v>
      </x:c>
      <x:c r="J520" s="6" t="str">
        <x:v>Warm-up</x:v>
      </x:c>
      <x:c r="K520" s="6" t="str">
        <x:v>Room name, floor and asset identity. Coordinates may help the UI.</x:v>
      </x:c>
      <x:c r="L520" s="6" t="str">
        <x:v>T02, T03</x:v>
      </x:c>
      <x:c r="M520" s="6" t="str">
        <x:v>Find a named item and identify its containing room and floor.</x:v>
      </x:c>
      <x:c r="N520" s="6" t="str">
        <x:v>{"asset_id":"resplan-16154-A00020","space_id":"resplan-16154-F0-S005","space_name":"Bathroom 0.05","floor_level":0,"position":[1.704,7.411]}</x:v>
      </x:c>
      <x:c r="O520" s="6"/>
      <x:c r="P520" s="6" t="str">
        <x:v>Resolve the intended asset and its containing room/floor.</x:v>
      </x:c>
      <x:c r="Q520" s="15"/>
      <x:c r="R520" s="6"/>
      <x:c r="S520" s="16"/>
      <x:c r="T520" s="15"/>
      <x:c r="U520" s="6"/>
      <x:c r="V520" s="6"/>
      <x:c r="W520" s="6" t="str">
        <x:v>Existing search_building. Improve disambiguation and complete result pagination.</x:v>
      </x:c>
      <x:c r="X520" s="6" t="str">
        <x:v>data/dev/resplan-16154/questions_basic.jsonl</x:v>
      </x:c>
      <x:c r="Y520" s="14" t="n">
        <x:v>2</x:v>
      </x:c>
      <x:c r="Z520" s="6" t="str">
        <x:v>https://github.com/hagenhaeussler/Industrial-Agents-Hackathon-2026/blob/f41616590b69f3ea0c1cbfb41d6c35edd9ce53df/data/dev/resplan-16154/questions_basic.jsonl#L2</x:v>
      </x:c>
      <x:c r="AA520" s="6" t="str">
        <x:v>resplan</x:v>
      </x:c>
      <x:c r="AB520" s="6" t="str">
        <x:v>CC-BY-4.0</x:v>
      </x:c>
    </x:row>
    <x:row r="521" ht="72" customHeight="1">
      <x:c r="A521" s="14" t="n">
        <x:v>516</x:v>
      </x:c>
      <x:c r="B521" s="6" t="str">
        <x:v>locate</x:v>
      </x:c>
      <x:c r="C521" s="6" t="str">
        <x:v>Where is the desk?</x:v>
      </x:c>
      <x:c r="D521" s="6" t="str">
        <x:v>Bedroom 0.02
Floor level: 0
Asset ID: resplan-16154-A00013
Position (m): 0.42, 9.416</x:v>
      </x:c>
      <x:c r="E521" s="6" t="str">
        <x:v>Reference supplied</x:v>
      </x:c>
      <x:c r="F521" s="6" t="str">
        <x:v>dev</x:v>
      </x:c>
      <x:c r="G521" s="6" t="str">
        <x:v>resplan-16154</x:v>
      </x:c>
      <x:c r="H521" s="6" t="str">
        <x:v>resplan-16154-Q03</x:v>
      </x:c>
      <x:c r="I521" s="6" t="str">
        <x:v>Find and count assets</x:v>
      </x:c>
      <x:c r="J521" s="6" t="str">
        <x:v>Warm-up</x:v>
      </x:c>
      <x:c r="K521" s="6" t="str">
        <x:v>Room name, floor and asset identity. Coordinates may help the UI.</x:v>
      </x:c>
      <x:c r="L521" s="6" t="str">
        <x:v>T02, T03</x:v>
      </x:c>
      <x:c r="M521" s="6" t="str">
        <x:v>Find a named item and identify its containing room and floor.</x:v>
      </x:c>
      <x:c r="N521" s="6" t="str">
        <x:v>{"asset_id":"resplan-16154-A00013","space_id":"resplan-16154-F0-S002","space_name":"Bedroom 0.02","floor_level":0,"position":[0.42,9.416]}</x:v>
      </x:c>
      <x:c r="O521" s="6"/>
      <x:c r="P521" s="6" t="str">
        <x:v>Resolve the intended asset and its containing room/floor.</x:v>
      </x:c>
      <x:c r="Q521" s="15"/>
      <x:c r="R521" s="6"/>
      <x:c r="S521" s="16"/>
      <x:c r="T521" s="15"/>
      <x:c r="U521" s="6"/>
      <x:c r="V521" s="6"/>
      <x:c r="W521" s="6" t="str">
        <x:v>Existing search_building. Improve disambiguation and complete result pagination.</x:v>
      </x:c>
      <x:c r="X521" s="6" t="str">
        <x:v>data/dev/resplan-16154/questions_basic.jsonl</x:v>
      </x:c>
      <x:c r="Y521" s="14" t="n">
        <x:v>3</x:v>
      </x:c>
      <x:c r="Z521" s="6" t="str">
        <x:v>https://github.com/hagenhaeussler/Industrial-Agents-Hackathon-2026/blob/f41616590b69f3ea0c1cbfb41d6c35edd9ce53df/data/dev/resplan-16154/questions_basic.jsonl#L3</x:v>
      </x:c>
      <x:c r="AA521" s="6" t="str">
        <x:v>resplan</x:v>
      </x:c>
      <x:c r="AB521" s="6" t="str">
        <x:v>CC-BY-4.0</x:v>
      </x:c>
    </x:row>
    <x:row r="522" ht="72" customHeight="1">
      <x:c r="A522" s="14" t="n">
        <x:v>517</x:v>
      </x:c>
      <x:c r="B522" s="6" t="str">
        <x:v>locate</x:v>
      </x:c>
      <x:c r="C522" s="6" t="str">
        <x:v>Where is the coffee table?</x:v>
      </x:c>
      <x:c r="D522" s="6" t="str">
        <x:v>Living room 0.01
Floor level: 0
Asset ID: resplan-1677-A00002
Position (m): 9.682, 9.265</x:v>
      </x:c>
      <x:c r="E522" s="6" t="str">
        <x:v>Reference supplied</x:v>
      </x:c>
      <x:c r="F522" s="6" t="str">
        <x:v>dev</x:v>
      </x:c>
      <x:c r="G522" s="6" t="str">
        <x:v>resplan-1677</x:v>
      </x:c>
      <x:c r="H522" s="6" t="str">
        <x:v>resplan-1677-Q01</x:v>
      </x:c>
      <x:c r="I522" s="6" t="str">
        <x:v>Find and count assets</x:v>
      </x:c>
      <x:c r="J522" s="6" t="str">
        <x:v>Warm-up</x:v>
      </x:c>
      <x:c r="K522" s="6" t="str">
        <x:v>Room name, floor and asset identity. Coordinates may help the UI.</x:v>
      </x:c>
      <x:c r="L522" s="6" t="str">
        <x:v>T02, T03</x:v>
      </x:c>
      <x:c r="M522" s="6" t="str">
        <x:v>Find a named item and identify its containing room and floor.</x:v>
      </x:c>
      <x:c r="N522" s="6" t="str">
        <x:v>{"asset_id":"resplan-1677-A00002","space_id":"resplan-1677-F0-S001","space_name":"Living room 0.01","floor_level":0,"position":[9.682,9.265]}</x:v>
      </x:c>
      <x:c r="O522" s="6"/>
      <x:c r="P522" s="6" t="str">
        <x:v>Resolve the intended asset and its containing room/floor.</x:v>
      </x:c>
      <x:c r="Q522" s="15"/>
      <x:c r="R522" s="6"/>
      <x:c r="S522" s="16"/>
      <x:c r="T522" s="15"/>
      <x:c r="U522" s="6"/>
      <x:c r="V522" s="6"/>
      <x:c r="W522" s="6" t="str">
        <x:v>Existing search_building. Improve disambiguation and complete result pagination.</x:v>
      </x:c>
      <x:c r="X522" s="6" t="str">
        <x:v>data/dev/resplan-1677/questions_basic.jsonl</x:v>
      </x:c>
      <x:c r="Y522" s="14" t="n">
        <x:v>1</x:v>
      </x:c>
      <x:c r="Z522" s="6" t="str">
        <x:v>https://github.com/hagenhaeussler/Industrial-Agents-Hackathon-2026/blob/f41616590b69f3ea0c1cbfb41d6c35edd9ce53df/data/dev/resplan-1677/questions_basic.jsonl#L1</x:v>
      </x:c>
      <x:c r="AA522" s="6" t="str">
        <x:v>resplan</x:v>
      </x:c>
      <x:c r="AB522" s="6" t="str">
        <x:v>CC-BY-4.0</x:v>
      </x:c>
    </x:row>
    <x:row r="523" ht="72" customHeight="1">
      <x:c r="A523" s="14" t="n">
        <x:v>518</x:v>
      </x:c>
      <x:c r="B523" s="6" t="str">
        <x:v>locate</x:v>
      </x:c>
      <x:c r="C523" s="6" t="str">
        <x:v>Where is the bathtub?</x:v>
      </x:c>
      <x:c r="D523" s="6" t="str">
        <x:v>Bathroom 0.06
Floor level: 0
Asset ID: resplan-1677-A00023
Position (m): 1.386, 8.28</x:v>
      </x:c>
      <x:c r="E523" s="6" t="str">
        <x:v>Reference supplied</x:v>
      </x:c>
      <x:c r="F523" s="6" t="str">
        <x:v>dev</x:v>
      </x:c>
      <x:c r="G523" s="6" t="str">
        <x:v>resplan-1677</x:v>
      </x:c>
      <x:c r="H523" s="6" t="str">
        <x:v>resplan-1677-Q02</x:v>
      </x:c>
      <x:c r="I523" s="6" t="str">
        <x:v>Find and count assets</x:v>
      </x:c>
      <x:c r="J523" s="6" t="str">
        <x:v>Warm-up</x:v>
      </x:c>
      <x:c r="K523" s="6" t="str">
        <x:v>Room name, floor and asset identity. Coordinates may help the UI.</x:v>
      </x:c>
      <x:c r="L523" s="6" t="str">
        <x:v>T02, T03</x:v>
      </x:c>
      <x:c r="M523" s="6" t="str">
        <x:v>Find a named item and identify its containing room and floor.</x:v>
      </x:c>
      <x:c r="N523" s="6" t="str">
        <x:v>{"asset_id":"resplan-1677-A00023","space_id":"resplan-1677-F0-S006","space_name":"Bathroom 0.06","floor_level":0,"position":[1.386,8.28]}</x:v>
      </x:c>
      <x:c r="O523" s="6"/>
      <x:c r="P523" s="6" t="str">
        <x:v>Resolve the intended asset and its containing room/floor.</x:v>
      </x:c>
      <x:c r="Q523" s="15"/>
      <x:c r="R523" s="6"/>
      <x:c r="S523" s="16"/>
      <x:c r="T523" s="15"/>
      <x:c r="U523" s="6"/>
      <x:c r="V523" s="6"/>
      <x:c r="W523" s="6" t="str">
        <x:v>Existing search_building. Improve disambiguation and complete result pagination.</x:v>
      </x:c>
      <x:c r="X523" s="6" t="str">
        <x:v>data/dev/resplan-1677/questions_basic.jsonl</x:v>
      </x:c>
      <x:c r="Y523" s="14" t="n">
        <x:v>2</x:v>
      </x:c>
      <x:c r="Z523" s="6" t="str">
        <x:v>https://github.com/hagenhaeussler/Industrial-Agents-Hackathon-2026/blob/f41616590b69f3ea0c1cbfb41d6c35edd9ce53df/data/dev/resplan-1677/questions_basic.jsonl#L2</x:v>
      </x:c>
      <x:c r="AA523" s="6" t="str">
        <x:v>resplan</x:v>
      </x:c>
      <x:c r="AB523" s="6" t="str">
        <x:v>CC-BY-4.0</x:v>
      </x:c>
    </x:row>
    <x:row r="524" ht="72" customHeight="1">
      <x:c r="A524" s="14" t="n">
        <x:v>519</x:v>
      </x:c>
      <x:c r="B524" s="6" t="str">
        <x:v>locate</x:v>
      </x:c>
      <x:c r="C524" s="6" t="str">
        <x:v>Where is the coffee machine?</x:v>
      </x:c>
      <x:c r="D524" s="6" t="str">
        <x:v>Kitchen 0.08
Floor level: 0
Asset ID: resplan-1677-A00032
Position (m): 9.388, 13.05</x:v>
      </x:c>
      <x:c r="E524" s="6" t="str">
        <x:v>Reference supplied</x:v>
      </x:c>
      <x:c r="F524" s="6" t="str">
        <x:v>dev</x:v>
      </x:c>
      <x:c r="G524" s="6" t="str">
        <x:v>resplan-1677</x:v>
      </x:c>
      <x:c r="H524" s="6" t="str">
        <x:v>resplan-1677-Q03</x:v>
      </x:c>
      <x:c r="I524" s="6" t="str">
        <x:v>Find and count assets</x:v>
      </x:c>
      <x:c r="J524" s="6" t="str">
        <x:v>Warm-up</x:v>
      </x:c>
      <x:c r="K524" s="6" t="str">
        <x:v>Room name, floor and asset identity. Coordinates may help the UI.</x:v>
      </x:c>
      <x:c r="L524" s="6" t="str">
        <x:v>T02, T03</x:v>
      </x:c>
      <x:c r="M524" s="6" t="str">
        <x:v>Find a named item and identify its containing room and floor.</x:v>
      </x:c>
      <x:c r="N524" s="6" t="str">
        <x:v>{"asset_id":"resplan-1677-A00032","space_id":"resplan-1677-F0-S008","space_name":"Kitchen 0.08","floor_level":0,"position":[9.388,13.05]}</x:v>
      </x:c>
      <x:c r="O524" s="6"/>
      <x:c r="P524" s="6" t="str">
        <x:v>Resolve the intended asset and its containing room/floor.</x:v>
      </x:c>
      <x:c r="Q524" s="15"/>
      <x:c r="R524" s="6"/>
      <x:c r="S524" s="16"/>
      <x:c r="T524" s="15"/>
      <x:c r="U524" s="6"/>
      <x:c r="V524" s="6"/>
      <x:c r="W524" s="6" t="str">
        <x:v>Existing search_building. Improve disambiguation and complete result pagination.</x:v>
      </x:c>
      <x:c r="X524" s="6" t="str">
        <x:v>data/dev/resplan-1677/questions_basic.jsonl</x:v>
      </x:c>
      <x:c r="Y524" s="14" t="n">
        <x:v>3</x:v>
      </x:c>
      <x:c r="Z524" s="6" t="str">
        <x:v>https://github.com/hagenhaeussler/Industrial-Agents-Hackathon-2026/blob/f41616590b69f3ea0c1cbfb41d6c35edd9ce53df/data/dev/resplan-1677/questions_basic.jsonl#L3</x:v>
      </x:c>
      <x:c r="AA524" s="6" t="str">
        <x:v>resplan</x:v>
      </x:c>
      <x:c r="AB524" s="6" t="str">
        <x:v>CC-BY-4.0</x:v>
      </x:c>
    </x:row>
    <x:row r="525" ht="72" customHeight="1">
      <x:c r="A525" s="14" t="n">
        <x:v>520</x:v>
      </x:c>
      <x:c r="B525" s="6" t="str">
        <x:v>locate</x:v>
      </x:c>
      <x:c r="C525" s="6" t="str">
        <x:v>Where is the single bed?</x:v>
      </x:c>
      <x:c r="D525" s="6" t="str">
        <x:v>Bedroom 0.03
Floor level: 0
Asset ID: resplan-3832-A00012
Position (m): 1.061, 7.811</x:v>
      </x:c>
      <x:c r="E525" s="6" t="str">
        <x:v>Reference supplied</x:v>
      </x:c>
      <x:c r="F525" s="6" t="str">
        <x:v>dev</x:v>
      </x:c>
      <x:c r="G525" s="6" t="str">
        <x:v>resplan-3832</x:v>
      </x:c>
      <x:c r="H525" s="6" t="str">
        <x:v>resplan-3832-Q01</x:v>
      </x:c>
      <x:c r="I525" s="6" t="str">
        <x:v>Find and count assets</x:v>
      </x:c>
      <x:c r="J525" s="6" t="str">
        <x:v>Warm-up</x:v>
      </x:c>
      <x:c r="K525" s="6" t="str">
        <x:v>Room name, floor and asset identity. Coordinates may help the UI.</x:v>
      </x:c>
      <x:c r="L525" s="6" t="str">
        <x:v>T02, T03</x:v>
      </x:c>
      <x:c r="M525" s="6" t="str">
        <x:v>Find a named item and identify its containing room and floor.</x:v>
      </x:c>
      <x:c r="N525" s="6" t="str">
        <x:v>{"asset_id":"resplan-3832-A00012","space_id":"resplan-3832-F0-S003","space_name":"Bedroom 0.03","floor_level":0,"position":[1.061,7.811]}</x:v>
      </x:c>
      <x:c r="O525" s="6"/>
      <x:c r="P525" s="6" t="str">
        <x:v>Resolve the intended asset and its containing room/floor.</x:v>
      </x:c>
      <x:c r="Q525" s="15"/>
      <x:c r="R525" s="6"/>
      <x:c r="S525" s="16"/>
      <x:c r="T525" s="15"/>
      <x:c r="U525" s="6"/>
      <x:c r="V525" s="6"/>
      <x:c r="W525" s="6" t="str">
        <x:v>Existing search_building. Improve disambiguation and complete result pagination.</x:v>
      </x:c>
      <x:c r="X525" s="6" t="str">
        <x:v>data/dev/resplan-3832/questions_basic.jsonl</x:v>
      </x:c>
      <x:c r="Y525" s="14" t="n">
        <x:v>1</x:v>
      </x:c>
      <x:c r="Z525" s="6" t="str">
        <x:v>https://github.com/hagenhaeussler/Industrial-Agents-Hackathon-2026/blob/f41616590b69f3ea0c1cbfb41d6c35edd9ce53df/data/dev/resplan-3832/questions_basic.jsonl#L1</x:v>
      </x:c>
      <x:c r="AA525" s="6" t="str">
        <x:v>resplan</x:v>
      </x:c>
      <x:c r="AB525" s="6" t="str">
        <x:v>CC-BY-4.0</x:v>
      </x:c>
    </x:row>
    <x:row r="526" ht="72" customHeight="1">
      <x:c r="A526" s="14" t="n">
        <x:v>521</x:v>
      </x:c>
      <x:c r="B526" s="6" t="str">
        <x:v>locate</x:v>
      </x:c>
      <x:c r="C526" s="6" t="str">
        <x:v>Where is the plant?</x:v>
      </x:c>
      <x:c r="D526" s="6" t="str">
        <x:v>Living room 0.01
Floor level: 0
Asset ID: resplan-3832-A00008
Position (m): 6.94, 9.502</x:v>
      </x:c>
      <x:c r="E526" s="6" t="str">
        <x:v>Reference supplied</x:v>
      </x:c>
      <x:c r="F526" s="6" t="str">
        <x:v>dev</x:v>
      </x:c>
      <x:c r="G526" s="6" t="str">
        <x:v>resplan-3832</x:v>
      </x:c>
      <x:c r="H526" s="6" t="str">
        <x:v>resplan-3832-Q02</x:v>
      </x:c>
      <x:c r="I526" s="6" t="str">
        <x:v>Find and count assets</x:v>
      </x:c>
      <x:c r="J526" s="6" t="str">
        <x:v>Warm-up</x:v>
      </x:c>
      <x:c r="K526" s="6" t="str">
        <x:v>Room name, floor and asset identity. Coordinates may help the UI.</x:v>
      </x:c>
      <x:c r="L526" s="6" t="str">
        <x:v>T02, T03</x:v>
      </x:c>
      <x:c r="M526" s="6" t="str">
        <x:v>Find a named item and identify its containing room and floor.</x:v>
      </x:c>
      <x:c r="N526" s="6" t="str">
        <x:v>{"asset_id":"resplan-3832-A00008","space_id":"resplan-3832-F0-S001","space_name":"Living room 0.01","floor_level":0,"position":[6.94,9.502]}</x:v>
      </x:c>
      <x:c r="O526" s="6"/>
      <x:c r="P526" s="6" t="str">
        <x:v>Resolve the intended asset and its containing room/floor.</x:v>
      </x:c>
      <x:c r="Q526" s="15"/>
      <x:c r="R526" s="6"/>
      <x:c r="S526" s="16"/>
      <x:c r="T526" s="15"/>
      <x:c r="U526" s="6"/>
      <x:c r="V526" s="6"/>
      <x:c r="W526" s="6" t="str">
        <x:v>Existing search_building. Improve disambiguation and complete result pagination.</x:v>
      </x:c>
      <x:c r="X526" s="6" t="str">
        <x:v>data/dev/resplan-3832/questions_basic.jsonl</x:v>
      </x:c>
      <x:c r="Y526" s="14" t="n">
        <x:v>2</x:v>
      </x:c>
      <x:c r="Z526" s="6" t="str">
        <x:v>https://github.com/hagenhaeussler/Industrial-Agents-Hackathon-2026/blob/f41616590b69f3ea0c1cbfb41d6c35edd9ce53df/data/dev/resplan-3832/questions_basic.jsonl#L2</x:v>
      </x:c>
      <x:c r="AA526" s="6" t="str">
        <x:v>resplan</x:v>
      </x:c>
      <x:c r="AB526" s="6" t="str">
        <x:v>CC-BY-4.0</x:v>
      </x:c>
    </x:row>
    <x:row r="527" ht="72" customHeight="1">
      <x:c r="A527" s="14" t="n">
        <x:v>522</x:v>
      </x:c>
      <x:c r="B527" s="6" t="str">
        <x:v>locate</x:v>
      </x:c>
      <x:c r="C527" s="6" t="str">
        <x:v>Where is the bathtub?</x:v>
      </x:c>
      <x:c r="D527" s="6" t="str">
        <x:v>Bathroom 0.05
Floor level: 0
Asset ID: resplan-3832-A00021
Position (m): 11.198, 5.17</x:v>
      </x:c>
      <x:c r="E527" s="6" t="str">
        <x:v>Reference supplied</x:v>
      </x:c>
      <x:c r="F527" s="6" t="str">
        <x:v>dev</x:v>
      </x:c>
      <x:c r="G527" s="6" t="str">
        <x:v>resplan-3832</x:v>
      </x:c>
      <x:c r="H527" s="6" t="str">
        <x:v>resplan-3832-Q03</x:v>
      </x:c>
      <x:c r="I527" s="6" t="str">
        <x:v>Find and count assets</x:v>
      </x:c>
      <x:c r="J527" s="6" t="str">
        <x:v>Warm-up</x:v>
      </x:c>
      <x:c r="K527" s="6" t="str">
        <x:v>Room name, floor and asset identity. Coordinates may help the UI.</x:v>
      </x:c>
      <x:c r="L527" s="6" t="str">
        <x:v>T02, T03</x:v>
      </x:c>
      <x:c r="M527" s="6" t="str">
        <x:v>Find a named item and identify its containing room and floor.</x:v>
      </x:c>
      <x:c r="N527" s="6" t="str">
        <x:v>{"asset_id":"resplan-3832-A00021","space_id":"resplan-3832-F0-S005","space_name":"Bathroom 0.05","floor_level":0,"position":[11.198,5.17]}</x:v>
      </x:c>
      <x:c r="O527" s="6"/>
      <x:c r="P527" s="6" t="str">
        <x:v>Resolve the intended asset and its containing room/floor.</x:v>
      </x:c>
      <x:c r="Q527" s="15"/>
      <x:c r="R527" s="6"/>
      <x:c r="S527" s="16"/>
      <x:c r="T527" s="15"/>
      <x:c r="U527" s="6"/>
      <x:c r="V527" s="6"/>
      <x:c r="W527" s="6" t="str">
        <x:v>Existing search_building. Improve disambiguation and complete result pagination.</x:v>
      </x:c>
      <x:c r="X527" s="6" t="str">
        <x:v>data/dev/resplan-3832/questions_basic.jsonl</x:v>
      </x:c>
      <x:c r="Y527" s="14" t="n">
        <x:v>3</x:v>
      </x:c>
      <x:c r="Z527" s="6" t="str">
        <x:v>https://github.com/hagenhaeussler/Industrial-Agents-Hackathon-2026/blob/f41616590b69f3ea0c1cbfb41d6c35edd9ce53df/data/dev/resplan-3832/questions_basic.jsonl#L3</x:v>
      </x:c>
      <x:c r="AA527" s="6" t="str">
        <x:v>resplan</x:v>
      </x:c>
      <x:c r="AB527" s="6" t="str">
        <x:v>CC-BY-4.0</x:v>
      </x:c>
    </x:row>
    <x:row r="528" ht="72" customHeight="1">
      <x:c r="A528" s="14" t="n">
        <x:v>523</x:v>
      </x:c>
      <x:c r="B528" s="6" t="str">
        <x:v>locate</x:v>
      </x:c>
      <x:c r="C528" s="6" t="str">
        <x:v>Where is the coffee table?</x:v>
      </x:c>
      <x:c r="D528" s="6" t="str">
        <x:v>Living room 0.01
Floor level: 0
Asset ID: resplan-439-A00002
Position (m): 6.694, 9.219</x:v>
      </x:c>
      <x:c r="E528" s="6" t="str">
        <x:v>Reference supplied</x:v>
      </x:c>
      <x:c r="F528" s="6" t="str">
        <x:v>dev</x:v>
      </x:c>
      <x:c r="G528" s="6" t="str">
        <x:v>resplan-439</x:v>
      </x:c>
      <x:c r="H528" s="6" t="str">
        <x:v>resplan-439-Q01</x:v>
      </x:c>
      <x:c r="I528" s="6" t="str">
        <x:v>Find and count assets</x:v>
      </x:c>
      <x:c r="J528" s="6" t="str">
        <x:v>Warm-up</x:v>
      </x:c>
      <x:c r="K528" s="6" t="str">
        <x:v>Room name, floor and asset identity. Coordinates may help the UI.</x:v>
      </x:c>
      <x:c r="L528" s="6" t="str">
        <x:v>T02, T03</x:v>
      </x:c>
      <x:c r="M528" s="6" t="str">
        <x:v>Find a named item and identify its containing room and floor.</x:v>
      </x:c>
      <x:c r="N528" s="6" t="str">
        <x:v>{"asset_id":"resplan-439-A00002","space_id":"resplan-439-F0-S001","space_name":"Living room 0.01","floor_level":0,"position":[6.694,9.219]}</x:v>
      </x:c>
      <x:c r="O528" s="6"/>
      <x:c r="P528" s="6" t="str">
        <x:v>Resolve the intended asset and its containing room/floor.</x:v>
      </x:c>
      <x:c r="Q528" s="15"/>
      <x:c r="R528" s="6"/>
      <x:c r="S528" s="16"/>
      <x:c r="T528" s="15"/>
      <x:c r="U528" s="6"/>
      <x:c r="V528" s="6"/>
      <x:c r="W528" s="6" t="str">
        <x:v>Existing search_building. Improve disambiguation and complete result pagination.</x:v>
      </x:c>
      <x:c r="X528" s="6" t="str">
        <x:v>data/dev/resplan-439/questions_basic.jsonl</x:v>
      </x:c>
      <x:c r="Y528" s="14" t="n">
        <x:v>1</x:v>
      </x:c>
      <x:c r="Z528" s="6" t="str">
        <x:v>https://github.com/hagenhaeussler/Industrial-Agents-Hackathon-2026/blob/f41616590b69f3ea0c1cbfb41d6c35edd9ce53df/data/dev/resplan-439/questions_basic.jsonl#L1</x:v>
      </x:c>
      <x:c r="AA528" s="6" t="str">
        <x:v>resplan</x:v>
      </x:c>
      <x:c r="AB528" s="6" t="str">
        <x:v>CC-BY-4.0</x:v>
      </x:c>
    </x:row>
    <x:row r="529" ht="72" customHeight="1">
      <x:c r="A529" s="14" t="n">
        <x:v>524</x:v>
      </x:c>
      <x:c r="B529" s="6" t="str">
        <x:v>locate</x:v>
      </x:c>
      <x:c r="C529" s="6" t="str">
        <x:v>Where is the single bed?</x:v>
      </x:c>
      <x:c r="D529" s="6" t="str">
        <x:v>Bedroom 0.03
Floor level: 0
Asset ID: resplan-439-A00013
Position (m): 1.865, 3.201</x:v>
      </x:c>
      <x:c r="E529" s="6" t="str">
        <x:v>Reference supplied</x:v>
      </x:c>
      <x:c r="F529" s="6" t="str">
        <x:v>dev</x:v>
      </x:c>
      <x:c r="G529" s="6" t="str">
        <x:v>resplan-439</x:v>
      </x:c>
      <x:c r="H529" s="6" t="str">
        <x:v>resplan-439-Q02</x:v>
      </x:c>
      <x:c r="I529" s="6" t="str">
        <x:v>Find and count assets</x:v>
      </x:c>
      <x:c r="J529" s="6" t="str">
        <x:v>Warm-up</x:v>
      </x:c>
      <x:c r="K529" s="6" t="str">
        <x:v>Room name, floor and asset identity. Coordinates may help the UI.</x:v>
      </x:c>
      <x:c r="L529" s="6" t="str">
        <x:v>T02, T03</x:v>
      </x:c>
      <x:c r="M529" s="6" t="str">
        <x:v>Find a named item and identify its containing room and floor.</x:v>
      </x:c>
      <x:c r="N529" s="6" t="str">
        <x:v>{"asset_id":"resplan-439-A00013","space_id":"resplan-439-F0-S003","space_name":"Bedroom 0.03","floor_level":0,"position":[1.865,3.201]}</x:v>
      </x:c>
      <x:c r="O529" s="6"/>
      <x:c r="P529" s="6" t="str">
        <x:v>Resolve the intended asset and its containing room/floor.</x:v>
      </x:c>
      <x:c r="Q529" s="15"/>
      <x:c r="R529" s="6"/>
      <x:c r="S529" s="16"/>
      <x:c r="T529" s="15"/>
      <x:c r="U529" s="6"/>
      <x:c r="V529" s="6"/>
      <x:c r="W529" s="6" t="str">
        <x:v>Existing search_building. Improve disambiguation and complete result pagination.</x:v>
      </x:c>
      <x:c r="X529" s="6" t="str">
        <x:v>data/dev/resplan-439/questions_basic.jsonl</x:v>
      </x:c>
      <x:c r="Y529" s="14" t="n">
        <x:v>2</x:v>
      </x:c>
      <x:c r="Z529" s="6" t="str">
        <x:v>https://github.com/hagenhaeussler/Industrial-Agents-Hackathon-2026/blob/f41616590b69f3ea0c1cbfb41d6c35edd9ce53df/data/dev/resplan-439/questions_basic.jsonl#L2</x:v>
      </x:c>
      <x:c r="AA529" s="6" t="str">
        <x:v>resplan</x:v>
      </x:c>
      <x:c r="AB529" s="6" t="str">
        <x:v>CC-BY-4.0</x:v>
      </x:c>
    </x:row>
    <x:row r="530" ht="72" customHeight="1">
      <x:c r="A530" s="14" t="n">
        <x:v>525</x:v>
      </x:c>
      <x:c r="B530" s="6" t="str">
        <x:v>locate</x:v>
      </x:c>
      <x:c r="C530" s="6" t="str">
        <x:v>Where is the shower?</x:v>
      </x:c>
      <x:c r="D530" s="6" t="str">
        <x:v>Bathroom 0.04
Floor level: 0
Asset ID: resplan-439-A00017
Position (m): 7.294, 3.288</x:v>
      </x:c>
      <x:c r="E530" s="6" t="str">
        <x:v>Reference supplied</x:v>
      </x:c>
      <x:c r="F530" s="6" t="str">
        <x:v>dev</x:v>
      </x:c>
      <x:c r="G530" s="6" t="str">
        <x:v>resplan-439</x:v>
      </x:c>
      <x:c r="H530" s="6" t="str">
        <x:v>resplan-439-Q03</x:v>
      </x:c>
      <x:c r="I530" s="6" t="str">
        <x:v>Find and count assets</x:v>
      </x:c>
      <x:c r="J530" s="6" t="str">
        <x:v>Warm-up</x:v>
      </x:c>
      <x:c r="K530" s="6" t="str">
        <x:v>Room name, floor and asset identity. Coordinates may help the UI.</x:v>
      </x:c>
      <x:c r="L530" s="6" t="str">
        <x:v>T02, T03</x:v>
      </x:c>
      <x:c r="M530" s="6" t="str">
        <x:v>Find a named item and identify its containing room and floor.</x:v>
      </x:c>
      <x:c r="N530" s="6" t="str">
        <x:v>{"asset_id":"resplan-439-A00017","space_id":"resplan-439-F0-S004","space_name":"Bathroom 0.04","floor_level":0,"position":[7.294,3.288]}</x:v>
      </x:c>
      <x:c r="O530" s="6"/>
      <x:c r="P530" s="6" t="str">
        <x:v>Resolve the intended asset and its containing room/floor.</x:v>
      </x:c>
      <x:c r="Q530" s="15"/>
      <x:c r="R530" s="6"/>
      <x:c r="S530" s="16"/>
      <x:c r="T530" s="15"/>
      <x:c r="U530" s="6"/>
      <x:c r="V530" s="6"/>
      <x:c r="W530" s="6" t="str">
        <x:v>Existing search_building. Improve disambiguation and complete result pagination.</x:v>
      </x:c>
      <x:c r="X530" s="6" t="str">
        <x:v>data/dev/resplan-439/questions_basic.jsonl</x:v>
      </x:c>
      <x:c r="Y530" s="14" t="n">
        <x:v>3</x:v>
      </x:c>
      <x:c r="Z530" s="6" t="str">
        <x:v>https://github.com/hagenhaeussler/Industrial-Agents-Hackathon-2026/blob/f41616590b69f3ea0c1cbfb41d6c35edd9ce53df/data/dev/resplan-439/questions_basic.jsonl#L3</x:v>
      </x:c>
      <x:c r="AA530" s="6" t="str">
        <x:v>resplan</x:v>
      </x:c>
      <x:c r="AB530" s="6" t="str">
        <x:v>CC-BY-4.0</x:v>
      </x:c>
    </x:row>
    <x:row r="531" ht="72" customHeight="1">
      <x:c r="A531" s="14" t="n">
        <x:v>526</x:v>
      </x:c>
      <x:c r="B531" s="6" t="str">
        <x:v>locate</x:v>
      </x:c>
      <x:c r="C531" s="6" t="str">
        <x:v>Where is the fridge?</x:v>
      </x:c>
      <x:c r="D531" s="6" t="str">
        <x:v>Kitchen 0.06
Floor level: 0
Asset ID: resplan-7336-A00021
Position (m): 3.284, 4.686</x:v>
      </x:c>
      <x:c r="E531" s="6" t="str">
        <x:v>Reference supplied</x:v>
      </x:c>
      <x:c r="F531" s="6" t="str">
        <x:v>dev</x:v>
      </x:c>
      <x:c r="G531" s="6" t="str">
        <x:v>resplan-7336</x:v>
      </x:c>
      <x:c r="H531" s="6" t="str">
        <x:v>resplan-7336-Q01</x:v>
      </x:c>
      <x:c r="I531" s="6" t="str">
        <x:v>Find and count assets</x:v>
      </x:c>
      <x:c r="J531" s="6" t="str">
        <x:v>Warm-up</x:v>
      </x:c>
      <x:c r="K531" s="6" t="str">
        <x:v>Room name, floor and asset identity. Coordinates may help the UI.</x:v>
      </x:c>
      <x:c r="L531" s="6" t="str">
        <x:v>T02, T03</x:v>
      </x:c>
      <x:c r="M531" s="6" t="str">
        <x:v>Find a named item and identify its containing room and floor.</x:v>
      </x:c>
      <x:c r="N531" s="6" t="str">
        <x:v>{"asset_id":"resplan-7336-A00021","space_id":"resplan-7336-F0-S006","space_name":"Kitchen 0.06","floor_level":0,"position":[3.284,4.686]}</x:v>
      </x:c>
      <x:c r="O531" s="6"/>
      <x:c r="P531" s="6" t="str">
        <x:v>Resolve the intended asset and its containing room/floor.</x:v>
      </x:c>
      <x:c r="Q531" s="15"/>
      <x:c r="R531" s="6"/>
      <x:c r="S531" s="16"/>
      <x:c r="T531" s="15"/>
      <x:c r="U531" s="6"/>
      <x:c r="V531" s="6"/>
      <x:c r="W531" s="6" t="str">
        <x:v>Existing search_building. Improve disambiguation and complete result pagination.</x:v>
      </x:c>
      <x:c r="X531" s="6" t="str">
        <x:v>data/dev/resplan-7336/questions_basic.jsonl</x:v>
      </x:c>
      <x:c r="Y531" s="14" t="n">
        <x:v>1</x:v>
      </x:c>
      <x:c r="Z531" s="6" t="str">
        <x:v>https://github.com/hagenhaeussler/Industrial-Agents-Hackathon-2026/blob/f41616590b69f3ea0c1cbfb41d6c35edd9ce53df/data/dev/resplan-7336/questions_basic.jsonl#L1</x:v>
      </x:c>
      <x:c r="AA531" s="6" t="str">
        <x:v>resplan</x:v>
      </x:c>
      <x:c r="AB531" s="6" t="str">
        <x:v>CC-BY-4.0</x:v>
      </x:c>
    </x:row>
    <x:row r="532" ht="72" customHeight="1">
      <x:c r="A532" s="14" t="n">
        <x:v>527</x:v>
      </x:c>
      <x:c r="B532" s="6" t="str">
        <x:v>locate</x:v>
      </x:c>
      <x:c r="C532" s="6" t="str">
        <x:v>Where is the stove?</x:v>
      </x:c>
      <x:c r="D532" s="6" t="str">
        <x:v>Kitchen 0.06
Floor level: 0
Asset ID: resplan-7336-A00022
Position (m): 3.574, 3.297</x:v>
      </x:c>
      <x:c r="E532" s="6" t="str">
        <x:v>Reference supplied</x:v>
      </x:c>
      <x:c r="F532" s="6" t="str">
        <x:v>dev</x:v>
      </x:c>
      <x:c r="G532" s="6" t="str">
        <x:v>resplan-7336</x:v>
      </x:c>
      <x:c r="H532" s="6" t="str">
        <x:v>resplan-7336-Q02</x:v>
      </x:c>
      <x:c r="I532" s="6" t="str">
        <x:v>Find and count assets</x:v>
      </x:c>
      <x:c r="J532" s="6" t="str">
        <x:v>Warm-up</x:v>
      </x:c>
      <x:c r="K532" s="6" t="str">
        <x:v>Room name, floor and asset identity. Coordinates may help the UI.</x:v>
      </x:c>
      <x:c r="L532" s="6" t="str">
        <x:v>T02, T03</x:v>
      </x:c>
      <x:c r="M532" s="6" t="str">
        <x:v>Find a named item and identify its containing room and floor.</x:v>
      </x:c>
      <x:c r="N532" s="6" t="str">
        <x:v>{"asset_id":"resplan-7336-A00022","space_id":"resplan-7336-F0-S006","space_name":"Kitchen 0.06","floor_level":0,"position":[3.574,3.297]}</x:v>
      </x:c>
      <x:c r="O532" s="6"/>
      <x:c r="P532" s="6" t="str">
        <x:v>Resolve the intended asset and its containing room/floor.</x:v>
      </x:c>
      <x:c r="Q532" s="15"/>
      <x:c r="R532" s="6"/>
      <x:c r="S532" s="16"/>
      <x:c r="T532" s="15"/>
      <x:c r="U532" s="6"/>
      <x:c r="V532" s="6"/>
      <x:c r="W532" s="6" t="str">
        <x:v>Existing search_building. Improve disambiguation and complete result pagination.</x:v>
      </x:c>
      <x:c r="X532" s="6" t="str">
        <x:v>data/dev/resplan-7336/questions_basic.jsonl</x:v>
      </x:c>
      <x:c r="Y532" s="14" t="n">
        <x:v>2</x:v>
      </x:c>
      <x:c r="Z532" s="6" t="str">
        <x:v>https://github.com/hagenhaeussler/Industrial-Agents-Hackathon-2026/blob/f41616590b69f3ea0c1cbfb41d6c35edd9ce53df/data/dev/resplan-7336/questions_basic.jsonl#L2</x:v>
      </x:c>
      <x:c r="AA532" s="6" t="str">
        <x:v>resplan</x:v>
      </x:c>
      <x:c r="AB532" s="6" t="str">
        <x:v>CC-BY-4.0</x:v>
      </x:c>
    </x:row>
    <x:row r="533" ht="72" customHeight="1">
      <x:c r="A533" s="14" t="n">
        <x:v>528</x:v>
      </x:c>
      <x:c r="B533" s="6" t="str">
        <x:v>locate</x:v>
      </x:c>
      <x:c r="C533" s="6" t="str">
        <x:v>Where is the washing machine?</x:v>
      </x:c>
      <x:c r="D533" s="6" t="str">
        <x:v>Bathroom 0.05
Floor level: 0
Asset ID: resplan-7336-A00019
Position (m): 4.314, 10.793</x:v>
      </x:c>
      <x:c r="E533" s="6" t="str">
        <x:v>Reference supplied</x:v>
      </x:c>
      <x:c r="F533" s="6" t="str">
        <x:v>dev</x:v>
      </x:c>
      <x:c r="G533" s="6" t="str">
        <x:v>resplan-7336</x:v>
      </x:c>
      <x:c r="H533" s="6" t="str">
        <x:v>resplan-7336-Q03</x:v>
      </x:c>
      <x:c r="I533" s="6" t="str">
        <x:v>Find and count assets</x:v>
      </x:c>
      <x:c r="J533" s="6" t="str">
        <x:v>Warm-up</x:v>
      </x:c>
      <x:c r="K533" s="6" t="str">
        <x:v>Room name, floor and asset identity. Coordinates may help the UI.</x:v>
      </x:c>
      <x:c r="L533" s="6" t="str">
        <x:v>T02, T03</x:v>
      </x:c>
      <x:c r="M533" s="6" t="str">
        <x:v>Find a named item and identify its containing room and floor.</x:v>
      </x:c>
      <x:c r="N533" s="6" t="str">
        <x:v>{"asset_id":"resplan-7336-A00019","space_id":"resplan-7336-F0-S005","space_name":"Bathroom 0.05","floor_level":0,"position":[4.314,10.793]}</x:v>
      </x:c>
      <x:c r="O533" s="6"/>
      <x:c r="P533" s="6" t="str">
        <x:v>Resolve the intended asset and its containing room/floor.</x:v>
      </x:c>
      <x:c r="Q533" s="15"/>
      <x:c r="R533" s="6"/>
      <x:c r="S533" s="16"/>
      <x:c r="T533" s="15"/>
      <x:c r="U533" s="6"/>
      <x:c r="V533" s="6"/>
      <x:c r="W533" s="6" t="str">
        <x:v>Existing search_building. Improve disambiguation and complete result pagination.</x:v>
      </x:c>
      <x:c r="X533" s="6" t="str">
        <x:v>data/dev/resplan-7336/questions_basic.jsonl</x:v>
      </x:c>
      <x:c r="Y533" s="14" t="n">
        <x:v>3</x:v>
      </x:c>
      <x:c r="Z533" s="6" t="str">
        <x:v>https://github.com/hagenhaeussler/Industrial-Agents-Hackathon-2026/blob/f41616590b69f3ea0c1cbfb41d6c35edd9ce53df/data/dev/resplan-7336/questions_basic.jsonl#L3</x:v>
      </x:c>
      <x:c r="AA533" s="6" t="str">
        <x:v>resplan</x:v>
      </x:c>
      <x:c r="AB533" s="6" t="str">
        <x:v>CC-BY-4.0</x:v>
      </x:c>
    </x:row>
    <x:row r="534" ht="72" customHeight="1">
      <x:c r="A534" s="14" t="n">
        <x:v>529</x:v>
      </x:c>
      <x:c r="B534" s="6" t="str">
        <x:v>locate</x:v>
      </x:c>
      <x:c r="C534" s="6" t="str">
        <x:v>Where is the coffee table?</x:v>
      </x:c>
      <x:c r="D534" s="6" t="str">
        <x:v>Living room 0.01
Floor level: 0
Asset ID: resplan-8169-A00002
Position (m): 9.05, 3.529</x:v>
      </x:c>
      <x:c r="E534" s="6" t="str">
        <x:v>Reference supplied</x:v>
      </x:c>
      <x:c r="F534" s="6" t="str">
        <x:v>dev</x:v>
      </x:c>
      <x:c r="G534" s="6" t="str">
        <x:v>resplan-8169</x:v>
      </x:c>
      <x:c r="H534" s="6" t="str">
        <x:v>resplan-8169-Q01</x:v>
      </x:c>
      <x:c r="I534" s="6" t="str">
        <x:v>Find and count assets</x:v>
      </x:c>
      <x:c r="J534" s="6" t="str">
        <x:v>Warm-up</x:v>
      </x:c>
      <x:c r="K534" s="6" t="str">
        <x:v>Room name, floor and asset identity. Coordinates may help the UI.</x:v>
      </x:c>
      <x:c r="L534" s="6" t="str">
        <x:v>T02, T03</x:v>
      </x:c>
      <x:c r="M534" s="6" t="str">
        <x:v>Find a named item and identify its containing room and floor.</x:v>
      </x:c>
      <x:c r="N534" s="6" t="str">
        <x:v>{"asset_id":"resplan-8169-A00002","space_id":"resplan-8169-F0-S001","space_name":"Living room 0.01","floor_level":0,"position":[9.05,3.529]}</x:v>
      </x:c>
      <x:c r="O534" s="6"/>
      <x:c r="P534" s="6" t="str">
        <x:v>Resolve the intended asset and its containing room/floor.</x:v>
      </x:c>
      <x:c r="Q534" s="15"/>
      <x:c r="R534" s="6"/>
      <x:c r="S534" s="16"/>
      <x:c r="T534" s="15"/>
      <x:c r="U534" s="6"/>
      <x:c r="V534" s="6"/>
      <x:c r="W534" s="6" t="str">
        <x:v>Existing search_building. Improve disambiguation and complete result pagination.</x:v>
      </x:c>
      <x:c r="X534" s="6" t="str">
        <x:v>data/dev/resplan-8169/questions_basic.jsonl</x:v>
      </x:c>
      <x:c r="Y534" s="14" t="n">
        <x:v>1</x:v>
      </x:c>
      <x:c r="Z534" s="6" t="str">
        <x:v>https://github.com/hagenhaeussler/Industrial-Agents-Hackathon-2026/blob/f41616590b69f3ea0c1cbfb41d6c35edd9ce53df/data/dev/resplan-8169/questions_basic.jsonl#L1</x:v>
      </x:c>
      <x:c r="AA534" s="6" t="str">
        <x:v>resplan</x:v>
      </x:c>
      <x:c r="AB534" s="6" t="str">
        <x:v>CC-BY-4.0</x:v>
      </x:c>
    </x:row>
    <x:row r="535" ht="72" customHeight="1">
      <x:c r="A535" s="14" t="n">
        <x:v>530</x:v>
      </x:c>
      <x:c r="B535" s="6" t="str">
        <x:v>locate</x:v>
      </x:c>
      <x:c r="C535" s="6" t="str">
        <x:v>Where is the dishwasher?</x:v>
      </x:c>
      <x:c r="D535" s="6" t="str">
        <x:v>Kitchen 0.06
Floor level: 0
Asset ID: resplan-8169-A00024
Position (m): 9.781, 9.738</x:v>
      </x:c>
      <x:c r="E535" s="6" t="str">
        <x:v>Reference supplied</x:v>
      </x:c>
      <x:c r="F535" s="6" t="str">
        <x:v>dev</x:v>
      </x:c>
      <x:c r="G535" s="6" t="str">
        <x:v>resplan-8169</x:v>
      </x:c>
      <x:c r="H535" s="6" t="str">
        <x:v>resplan-8169-Q02</x:v>
      </x:c>
      <x:c r="I535" s="6" t="str">
        <x:v>Find and count assets</x:v>
      </x:c>
      <x:c r="J535" s="6" t="str">
        <x:v>Warm-up</x:v>
      </x:c>
      <x:c r="K535" s="6" t="str">
        <x:v>Room name, floor and asset identity. Coordinates may help the UI.</x:v>
      </x:c>
      <x:c r="L535" s="6" t="str">
        <x:v>T02, T03</x:v>
      </x:c>
      <x:c r="M535" s="6" t="str">
        <x:v>Find a named item and identify its containing room and floor.</x:v>
      </x:c>
      <x:c r="N535" s="6" t="str">
        <x:v>{"asset_id":"resplan-8169-A00024","space_id":"resplan-8169-F0-S006","space_name":"Kitchen 0.06","floor_level":0,"position":[9.781,9.738]}</x:v>
      </x:c>
      <x:c r="O535" s="6"/>
      <x:c r="P535" s="6" t="str">
        <x:v>Resolve the intended asset and its containing room/floor.</x:v>
      </x:c>
      <x:c r="Q535" s="15"/>
      <x:c r="R535" s="6"/>
      <x:c r="S535" s="16"/>
      <x:c r="T535" s="15"/>
      <x:c r="U535" s="6"/>
      <x:c r="V535" s="6"/>
      <x:c r="W535" s="6" t="str">
        <x:v>Existing search_building. Improve disambiguation and complete result pagination.</x:v>
      </x:c>
      <x:c r="X535" s="6" t="str">
        <x:v>data/dev/resplan-8169/questions_basic.jsonl</x:v>
      </x:c>
      <x:c r="Y535" s="14" t="n">
        <x:v>2</x:v>
      </x:c>
      <x:c r="Z535" s="6" t="str">
        <x:v>https://github.com/hagenhaeussler/Industrial-Agents-Hackathon-2026/blob/f41616590b69f3ea0c1cbfb41d6c35edd9ce53df/data/dev/resplan-8169/questions_basic.jsonl#L2</x:v>
      </x:c>
      <x:c r="AA535" s="6" t="str">
        <x:v>resplan</x:v>
      </x:c>
      <x:c r="AB535" s="6" t="str">
        <x:v>CC-BY-4.0</x:v>
      </x:c>
    </x:row>
    <x:row r="536" ht="72" customHeight="1">
      <x:c r="A536" s="14" t="n">
        <x:v>531</x:v>
      </x:c>
      <x:c r="B536" s="6" t="str">
        <x:v>locate</x:v>
      </x:c>
      <x:c r="C536" s="6" t="str">
        <x:v>Where is the sofa?</x:v>
      </x:c>
      <x:c r="D536" s="6" t="str">
        <x:v>Living room 0.01
Floor level: 0
Asset ID: resplan-8169-A00001
Position (m): 9.214, 2.22</x:v>
      </x:c>
      <x:c r="E536" s="6" t="str">
        <x:v>Reference supplied</x:v>
      </x:c>
      <x:c r="F536" s="6" t="str">
        <x:v>dev</x:v>
      </x:c>
      <x:c r="G536" s="6" t="str">
        <x:v>resplan-8169</x:v>
      </x:c>
      <x:c r="H536" s="6" t="str">
        <x:v>resplan-8169-Q03</x:v>
      </x:c>
      <x:c r="I536" s="6" t="str">
        <x:v>Find and count assets</x:v>
      </x:c>
      <x:c r="J536" s="6" t="str">
        <x:v>Warm-up</x:v>
      </x:c>
      <x:c r="K536" s="6" t="str">
        <x:v>Room name, floor and asset identity. Coordinates may help the UI.</x:v>
      </x:c>
      <x:c r="L536" s="6" t="str">
        <x:v>T02, T03</x:v>
      </x:c>
      <x:c r="M536" s="6" t="str">
        <x:v>Find a named item and identify its containing room and floor.</x:v>
      </x:c>
      <x:c r="N536" s="6" t="str">
        <x:v>{"asset_id":"resplan-8169-A00001","space_id":"resplan-8169-F0-S001","space_name":"Living room 0.01","floor_level":0,"position":[9.214,2.22]}</x:v>
      </x:c>
      <x:c r="O536" s="6"/>
      <x:c r="P536" s="6" t="str">
        <x:v>Resolve the intended asset and its containing room/floor.</x:v>
      </x:c>
      <x:c r="Q536" s="15"/>
      <x:c r="R536" s="6"/>
      <x:c r="S536" s="16"/>
      <x:c r="T536" s="15"/>
      <x:c r="U536" s="6"/>
      <x:c r="V536" s="6"/>
      <x:c r="W536" s="6" t="str">
        <x:v>Existing search_building. Improve disambiguation and complete result pagination.</x:v>
      </x:c>
      <x:c r="X536" s="6" t="str">
        <x:v>data/dev/resplan-8169/questions_basic.jsonl</x:v>
      </x:c>
      <x:c r="Y536" s="14" t="n">
        <x:v>3</x:v>
      </x:c>
      <x:c r="Z536" s="6" t="str">
        <x:v>https://github.com/hagenhaeussler/Industrial-Agents-Hackathon-2026/blob/f41616590b69f3ea0c1cbfb41d6c35edd9ce53df/data/dev/resplan-8169/questions_basic.jsonl#L3</x:v>
      </x:c>
      <x:c r="AA536" s="6" t="str">
        <x:v>resplan</x:v>
      </x:c>
      <x:c r="AB536" s="6" t="str">
        <x:v>CC-BY-4.0</x:v>
      </x:c>
    </x:row>
    <x:row r="537" ht="72" customHeight="1">
      <x:c r="A537" s="14" t="n">
        <x:v>532</x:v>
      </x:c>
      <x:c r="B537" s="6" t="str">
        <x:v>locate</x:v>
      </x:c>
      <x:c r="C537" s="6" t="str">
        <x:v>Where is the microwave?</x:v>
      </x:c>
      <x:c r="D537" s="6" t="str">
        <x:v>Kitchen 0.05
Floor level: 0
Asset ID: resplan-8269-A00018
Position (m): 11.032, 2.31</x:v>
      </x:c>
      <x:c r="E537" s="6" t="str">
        <x:v>Reference supplied</x:v>
      </x:c>
      <x:c r="F537" s="6" t="str">
        <x:v>dev</x:v>
      </x:c>
      <x:c r="G537" s="6" t="str">
        <x:v>resplan-8269</x:v>
      </x:c>
      <x:c r="H537" s="6" t="str">
        <x:v>resplan-8269-Q01</x:v>
      </x:c>
      <x:c r="I537" s="6" t="str">
        <x:v>Find and count assets</x:v>
      </x:c>
      <x:c r="J537" s="6" t="str">
        <x:v>Warm-up</x:v>
      </x:c>
      <x:c r="K537" s="6" t="str">
        <x:v>Room name, floor and asset identity. Coordinates may help the UI.</x:v>
      </x:c>
      <x:c r="L537" s="6" t="str">
        <x:v>T02, T03</x:v>
      </x:c>
      <x:c r="M537" s="6" t="str">
        <x:v>Find a named item and identify its containing room and floor.</x:v>
      </x:c>
      <x:c r="N537" s="6" t="str">
        <x:v>{"asset_id":"resplan-8269-A00018","space_id":"resplan-8269-F0-S005","space_name":"Kitchen 0.05","floor_level":0,"position":[11.032,2.31]}</x:v>
      </x:c>
      <x:c r="O537" s="6"/>
      <x:c r="P537" s="6" t="str">
        <x:v>Resolve the intended asset and its containing room/floor.</x:v>
      </x:c>
      <x:c r="Q537" s="15"/>
      <x:c r="R537" s="6"/>
      <x:c r="S537" s="16"/>
      <x:c r="T537" s="15"/>
      <x:c r="U537" s="6"/>
      <x:c r="V537" s="6"/>
      <x:c r="W537" s="6" t="str">
        <x:v>Existing search_building. Improve disambiguation and complete result pagination.</x:v>
      </x:c>
      <x:c r="X537" s="6" t="str">
        <x:v>data/dev/resplan-8269/questions_basic.jsonl</x:v>
      </x:c>
      <x:c r="Y537" s="14" t="n">
        <x:v>1</x:v>
      </x:c>
      <x:c r="Z537" s="6" t="str">
        <x:v>https://github.com/hagenhaeussler/Industrial-Agents-Hackathon-2026/blob/f41616590b69f3ea0c1cbfb41d6c35edd9ce53df/data/dev/resplan-8269/questions_basic.jsonl#L1</x:v>
      </x:c>
      <x:c r="AA537" s="6" t="str">
        <x:v>resplan</x:v>
      </x:c>
      <x:c r="AB537" s="6" t="str">
        <x:v>CC-BY-4.0</x:v>
      </x:c>
    </x:row>
    <x:row r="538" ht="72" customHeight="1">
      <x:c r="A538" s="14" t="n">
        <x:v>533</x:v>
      </x:c>
      <x:c r="B538" s="6" t="str">
        <x:v>locate</x:v>
      </x:c>
      <x:c r="C538" s="6" t="str">
        <x:v>Where is the stove?</x:v>
      </x:c>
      <x:c r="D538" s="6" t="str">
        <x:v>Kitchen 0.05
Floor level: 0
Asset ID: resplan-8269-A00017
Position (m): 11.902, 5.696</x:v>
      </x:c>
      <x:c r="E538" s="6" t="str">
        <x:v>Reference supplied</x:v>
      </x:c>
      <x:c r="F538" s="6" t="str">
        <x:v>dev</x:v>
      </x:c>
      <x:c r="G538" s="6" t="str">
        <x:v>resplan-8269</x:v>
      </x:c>
      <x:c r="H538" s="6" t="str">
        <x:v>resplan-8269-Q02</x:v>
      </x:c>
      <x:c r="I538" s="6" t="str">
        <x:v>Find and count assets</x:v>
      </x:c>
      <x:c r="J538" s="6" t="str">
        <x:v>Warm-up</x:v>
      </x:c>
      <x:c r="K538" s="6" t="str">
        <x:v>Room name, floor and asset identity. Coordinates may help the UI.</x:v>
      </x:c>
      <x:c r="L538" s="6" t="str">
        <x:v>T02, T03</x:v>
      </x:c>
      <x:c r="M538" s="6" t="str">
        <x:v>Find a named item and identify its containing room and floor.</x:v>
      </x:c>
      <x:c r="N538" s="6" t="str">
        <x:v>{"asset_id":"resplan-8269-A00017","space_id":"resplan-8269-F0-S005","space_name":"Kitchen 0.05","floor_level":0,"position":[11.902,5.696]}</x:v>
      </x:c>
      <x:c r="O538" s="6"/>
      <x:c r="P538" s="6" t="str">
        <x:v>Resolve the intended asset and its containing room/floor.</x:v>
      </x:c>
      <x:c r="Q538" s="15"/>
      <x:c r="R538" s="6"/>
      <x:c r="S538" s="16"/>
      <x:c r="T538" s="15"/>
      <x:c r="U538" s="6"/>
      <x:c r="V538" s="6"/>
      <x:c r="W538" s="6" t="str">
        <x:v>Existing search_building. Improve disambiguation and complete result pagination.</x:v>
      </x:c>
      <x:c r="X538" s="6" t="str">
        <x:v>data/dev/resplan-8269/questions_basic.jsonl</x:v>
      </x:c>
      <x:c r="Y538" s="14" t="n">
        <x:v>2</x:v>
      </x:c>
      <x:c r="Z538" s="6" t="str">
        <x:v>https://github.com/hagenhaeussler/Industrial-Agents-Hackathon-2026/blob/f41616590b69f3ea0c1cbfb41d6c35edd9ce53df/data/dev/resplan-8269/questions_basic.jsonl#L2</x:v>
      </x:c>
      <x:c r="AA538" s="6" t="str">
        <x:v>resplan</x:v>
      </x:c>
      <x:c r="AB538" s="6" t="str">
        <x:v>CC-BY-4.0</x:v>
      </x:c>
    </x:row>
    <x:row r="539" ht="72" customHeight="1">
      <x:c r="A539" s="14" t="n">
        <x:v>534</x:v>
      </x:c>
      <x:c r="B539" s="6" t="str">
        <x:v>locate</x:v>
      </x:c>
      <x:c r="C539" s="6" t="str">
        <x:v>Where is the kitchen counter?</x:v>
      </x:c>
      <x:c r="D539" s="6" t="str">
        <x:v>Kitchen 0.05
Floor level: 0
Asset ID: resplan-8269-A00015
Position (m): 9.79, 5.91</x:v>
      </x:c>
      <x:c r="E539" s="6" t="str">
        <x:v>Reference supplied</x:v>
      </x:c>
      <x:c r="F539" s="6" t="str">
        <x:v>dev</x:v>
      </x:c>
      <x:c r="G539" s="6" t="str">
        <x:v>resplan-8269</x:v>
      </x:c>
      <x:c r="H539" s="6" t="str">
        <x:v>resplan-8269-Q03</x:v>
      </x:c>
      <x:c r="I539" s="6" t="str">
        <x:v>Find and count assets</x:v>
      </x:c>
      <x:c r="J539" s="6" t="str">
        <x:v>Warm-up</x:v>
      </x:c>
      <x:c r="K539" s="6" t="str">
        <x:v>Room name, floor and asset identity. Coordinates may help the UI.</x:v>
      </x:c>
      <x:c r="L539" s="6" t="str">
        <x:v>T02, T03</x:v>
      </x:c>
      <x:c r="M539" s="6" t="str">
        <x:v>Find a named item and identify its containing room and floor.</x:v>
      </x:c>
      <x:c r="N539" s="6" t="str">
        <x:v>{"asset_id":"resplan-8269-A00015","space_id":"resplan-8269-F0-S005","space_name":"Kitchen 0.05","floor_level":0,"position":[9.79,5.91]}</x:v>
      </x:c>
      <x:c r="O539" s="6"/>
      <x:c r="P539" s="6" t="str">
        <x:v>Resolve the intended asset and its containing room/floor.</x:v>
      </x:c>
      <x:c r="Q539" s="15"/>
      <x:c r="R539" s="6"/>
      <x:c r="S539" s="16"/>
      <x:c r="T539" s="15"/>
      <x:c r="U539" s="6"/>
      <x:c r="V539" s="6"/>
      <x:c r="W539" s="6" t="str">
        <x:v>Existing search_building. Improve disambiguation and complete result pagination.</x:v>
      </x:c>
      <x:c r="X539" s="6" t="str">
        <x:v>data/dev/resplan-8269/questions_basic.jsonl</x:v>
      </x:c>
      <x:c r="Y539" s="14" t="n">
        <x:v>3</x:v>
      </x:c>
      <x:c r="Z539" s="6" t="str">
        <x:v>https://github.com/hagenhaeussler/Industrial-Agents-Hackathon-2026/blob/f41616590b69f3ea0c1cbfb41d6c35edd9ce53df/data/dev/resplan-8269/questions_basic.jsonl#L3</x:v>
      </x:c>
      <x:c r="AA539" s="6" t="str">
        <x:v>resplan</x:v>
      </x:c>
      <x:c r="AB539" s="6" t="str">
        <x:v>CC-BY-4.0</x:v>
      </x:c>
    </x:row>
    <x:row r="540" ht="72" customHeight="1">
      <x:c r="A540" s="14" t="n">
        <x:v>535</x:v>
      </x:c>
      <x:c r="B540" s="6" t="str">
        <x:v>locate</x:v>
      </x:c>
      <x:c r="C540" s="6" t="str">
        <x:v>Where is the shoe cabinet?</x:v>
      </x:c>
      <x:c r="D540" s="6" t="str">
        <x:v>Corridor 0.03 (apartment 1)
Floor level: 0
Asset ID: swiss-1785-A00104
Position (m): 0.54, 6.672</x:v>
      </x:c>
      <x:c r="E540" s="6" t="str">
        <x:v>Reference supplied</x:v>
      </x:c>
      <x:c r="F540" s="6" t="str">
        <x:v>dev</x:v>
      </x:c>
      <x:c r="G540" s="6" t="str">
        <x:v>swiss-1785</x:v>
      </x:c>
      <x:c r="H540" s="6" t="str">
        <x:v>swiss-1785-Q01</x:v>
      </x:c>
      <x:c r="I540" s="6" t="str">
        <x:v>Find and count assets</x:v>
      </x:c>
      <x:c r="J540" s="6" t="str">
        <x:v>Warm-up</x:v>
      </x:c>
      <x:c r="K540" s="6" t="str">
        <x:v>Room name, floor and asset identity. Coordinates may help the UI.</x:v>
      </x:c>
      <x:c r="L540" s="6" t="str">
        <x:v>T02, T03</x:v>
      </x:c>
      <x:c r="M540" s="6" t="str">
        <x:v>Find a named item and identify its containing room and floor.</x:v>
      </x:c>
      <x:c r="N540" s="6" t="str">
        <x:v>{"asset_id":"swiss-1785-A00104","space_id":"swiss-1785-F0-S003","space_name":"Corridor 0.03 (apartment 1)","floor_level":0,"position":[0.54,6.672]}</x:v>
      </x:c>
      <x:c r="O540" s="6"/>
      <x:c r="P540" s="6" t="str">
        <x:v>Resolve the intended asset and its containing room/floor.</x:v>
      </x:c>
      <x:c r="Q540" s="15"/>
      <x:c r="R540" s="6"/>
      <x:c r="S540" s="16"/>
      <x:c r="T540" s="15"/>
      <x:c r="U540" s="6"/>
      <x:c r="V540" s="6"/>
      <x:c r="W540" s="6" t="str">
        <x:v>Existing search_building. Improve disambiguation and complete result pagination.</x:v>
      </x:c>
      <x:c r="X540" s="6" t="str">
        <x:v>data/dev/swiss-1785/questions_basic.jsonl</x:v>
      </x:c>
      <x:c r="Y540" s="14" t="n">
        <x:v>1</x:v>
      </x:c>
      <x:c r="Z540" s="6" t="str">
        <x:v>https://github.com/hagenhaeussler/Industrial-Agents-Hackathon-2026/blob/f41616590b69f3ea0c1cbfb41d6c35edd9ce53df/data/dev/swiss-1785/questions_basic.jsonl#L1</x:v>
      </x:c>
      <x:c r="AA540" s="6" t="str">
        <x:v>swiss_dwellings</x:v>
      </x:c>
      <x:c r="AB540" s="6" t="str">
        <x:v>CC-BY-4.0</x:v>
      </x:c>
    </x:row>
    <x:row r="541" ht="72" customHeight="1">
      <x:c r="A541" s="14" t="n">
        <x:v>536</x:v>
      </x:c>
      <x:c r="B541" s="6" t="str">
        <x:v>locate</x:v>
      </x:c>
      <x:c r="C541" s="6" t="str">
        <x:v>Where is the microwave?</x:v>
      </x:c>
      <x:c r="D541" s="6" t="str">
        <x:v>Kitchen 1.01 (apartment 3)
Floor level: 1
Asset ID: swiss-2074-A00064
Position (m): 0.575, 3.049</x:v>
      </x:c>
      <x:c r="E541" s="6" t="str">
        <x:v>Reference supplied</x:v>
      </x:c>
      <x:c r="F541" s="6" t="str">
        <x:v>dev</x:v>
      </x:c>
      <x:c r="G541" s="6" t="str">
        <x:v>swiss-2074</x:v>
      </x:c>
      <x:c r="H541" s="6" t="str">
        <x:v>swiss-2074-Q01</x:v>
      </x:c>
      <x:c r="I541" s="6" t="str">
        <x:v>Find and count assets</x:v>
      </x:c>
      <x:c r="J541" s="6" t="str">
        <x:v>Warm-up</x:v>
      </x:c>
      <x:c r="K541" s="6" t="str">
        <x:v>Room name, floor and asset identity. Coordinates may help the UI.</x:v>
      </x:c>
      <x:c r="L541" s="6" t="str">
        <x:v>T02, T03</x:v>
      </x:c>
      <x:c r="M541" s="6" t="str">
        <x:v>Find a named item and identify its containing room and floor.</x:v>
      </x:c>
      <x:c r="N541" s="6" t="str">
        <x:v>{"asset_id":"swiss-2074-A00064","space_id":"swiss-2074-F1-S001","space_name":"Kitchen 1.01 (apartment 3)","floor_level":1,"position":[0.575,3.049]}</x:v>
      </x:c>
      <x:c r="O541" s="6"/>
      <x:c r="P541" s="6" t="str">
        <x:v>Resolve the intended asset and its containing room/floor.</x:v>
      </x:c>
      <x:c r="Q541" s="15"/>
      <x:c r="R541" s="6"/>
      <x:c r="S541" s="16"/>
      <x:c r="T541" s="15"/>
      <x:c r="U541" s="6"/>
      <x:c r="V541" s="6"/>
      <x:c r="W541" s="6" t="str">
        <x:v>Existing search_building. Improve disambiguation and complete result pagination.</x:v>
      </x:c>
      <x:c r="X541" s="6" t="str">
        <x:v>data/dev/swiss-2074/questions_basic.jsonl</x:v>
      </x:c>
      <x:c r="Y541" s="14" t="n">
        <x:v>1</x:v>
      </x:c>
      <x:c r="Z541" s="6" t="str">
        <x:v>https://github.com/hagenhaeussler/Industrial-Agents-Hackathon-2026/blob/f41616590b69f3ea0c1cbfb41d6c35edd9ce53df/data/dev/swiss-2074/questions_basic.jsonl#L1</x:v>
      </x:c>
      <x:c r="AA541" s="6" t="str">
        <x:v>swiss_dwellings</x:v>
      </x:c>
      <x:c r="AB541" s="6" t="str">
        <x:v>CC-BY-4.0</x:v>
      </x:c>
    </x:row>
    <x:row r="542" ht="72" customHeight="1">
      <x:c r="A542" s="14" t="n">
        <x:v>537</x:v>
      </x:c>
      <x:c r="B542" s="6" t="str">
        <x:v>locate</x:v>
      </x:c>
      <x:c r="C542" s="6" t="str">
        <x:v>Where is the coat rack?</x:v>
      </x:c>
      <x:c r="D542" s="6" t="str">
        <x:v>Corridor 2.14 (apartment 6)
Floor level: 2
Asset ID: swiss-2074-A00138
Position (m): 3.58, -0.956</x:v>
      </x:c>
      <x:c r="E542" s="6" t="str">
        <x:v>Reference supplied</x:v>
      </x:c>
      <x:c r="F542" s="6" t="str">
        <x:v>dev</x:v>
      </x:c>
      <x:c r="G542" s="6" t="str">
        <x:v>swiss-2074</x:v>
      </x:c>
      <x:c r="H542" s="6" t="str">
        <x:v>swiss-2074-Q02</x:v>
      </x:c>
      <x:c r="I542" s="6" t="str">
        <x:v>Find and count assets</x:v>
      </x:c>
      <x:c r="J542" s="6" t="str">
        <x:v>Warm-up</x:v>
      </x:c>
      <x:c r="K542" s="6" t="str">
        <x:v>Room name, floor and asset identity. Coordinates may help the UI.</x:v>
      </x:c>
      <x:c r="L542" s="6" t="str">
        <x:v>T02, T03</x:v>
      </x:c>
      <x:c r="M542" s="6" t="str">
        <x:v>Find a named item and identify its containing room and floor.</x:v>
      </x:c>
      <x:c r="N542" s="6" t="str">
        <x:v>{"asset_id":"swiss-2074-A00138","space_id":"swiss-2074-F2-S014","space_name":"Corridor 2.14 (apartment 6)","floor_level":2,"position":[3.58,-0.956]}</x:v>
      </x:c>
      <x:c r="O542" s="6"/>
      <x:c r="P542" s="6" t="str">
        <x:v>Resolve the intended asset and its containing room/floor.</x:v>
      </x:c>
      <x:c r="Q542" s="15"/>
      <x:c r="R542" s="6"/>
      <x:c r="S542" s="16"/>
      <x:c r="T542" s="15"/>
      <x:c r="U542" s="6"/>
      <x:c r="V542" s="6"/>
      <x:c r="W542" s="6" t="str">
        <x:v>Existing search_building. Improve disambiguation and complete result pagination.</x:v>
      </x:c>
      <x:c r="X542" s="6" t="str">
        <x:v>data/dev/swiss-2074/questions_basic.jsonl</x:v>
      </x:c>
      <x:c r="Y542" s="14" t="n">
        <x:v>2</x:v>
      </x:c>
      <x:c r="Z542" s="6" t="str">
        <x:v>https://github.com/hagenhaeussler/Industrial-Agents-Hackathon-2026/blob/f41616590b69f3ea0c1cbfb41d6c35edd9ce53df/data/dev/swiss-2074/questions_basic.jsonl#L2</x:v>
      </x:c>
      <x:c r="AA542" s="6" t="str">
        <x:v>swiss_dwellings</x:v>
      </x:c>
      <x:c r="AB542" s="6" t="str">
        <x:v>CC-BY-4.0</x:v>
      </x:c>
    </x:row>
    <x:row r="543" ht="72" customHeight="1">
      <x:c r="A543" s="14" t="n">
        <x:v>538</x:v>
      </x:c>
      <x:c r="B543" s="6" t="str">
        <x:v>locate</x:v>
      </x:c>
      <x:c r="C543" s="6" t="str">
        <x:v>Where is the washing machine?</x:v>
      </x:c>
      <x:c r="D543" s="6" t="str">
        <x:v>Bathroom 2.08 (apartment 5)
Floor level: 2
Asset ID: swiss-2325-A00165
Position (m): -8.406, -5.558</x:v>
      </x:c>
      <x:c r="E543" s="6" t="str">
        <x:v>Reference supplied</x:v>
      </x:c>
      <x:c r="F543" s="6" t="str">
        <x:v>dev</x:v>
      </x:c>
      <x:c r="G543" s="6" t="str">
        <x:v>swiss-2325</x:v>
      </x:c>
      <x:c r="H543" s="6" t="str">
        <x:v>swiss-2325-Q01</x:v>
      </x:c>
      <x:c r="I543" s="6" t="str">
        <x:v>Find and count assets</x:v>
      </x:c>
      <x:c r="J543" s="6" t="str">
        <x:v>Warm-up</x:v>
      </x:c>
      <x:c r="K543" s="6" t="str">
        <x:v>Room name, floor and asset identity. Coordinates may help the UI.</x:v>
      </x:c>
      <x:c r="L543" s="6" t="str">
        <x:v>T02, T03</x:v>
      </x:c>
      <x:c r="M543" s="6" t="str">
        <x:v>Find a named item and identify its containing room and floor.</x:v>
      </x:c>
      <x:c r="N543" s="6" t="str">
        <x:v>{"asset_id":"swiss-2325-A00165","space_id":"swiss-2325-F2-S008","space_name":"Bathroom 2.08 (apartment 5)","floor_level":2,"position":[-8.406,-5.558]}</x:v>
      </x:c>
      <x:c r="O543" s="6"/>
      <x:c r="P543" s="6" t="str">
        <x:v>Resolve the intended asset and its containing room/floor.</x:v>
      </x:c>
      <x:c r="Q543" s="15"/>
      <x:c r="R543" s="6"/>
      <x:c r="S543" s="16"/>
      <x:c r="T543" s="15"/>
      <x:c r="U543" s="6"/>
      <x:c r="V543" s="6"/>
      <x:c r="W543" s="6" t="str">
        <x:v>Existing search_building. Improve disambiguation and complete result pagination.</x:v>
      </x:c>
      <x:c r="X543" s="6" t="str">
        <x:v>data/dev/swiss-2325/questions_basic.jsonl</x:v>
      </x:c>
      <x:c r="Y543" s="14" t="n">
        <x:v>1</x:v>
      </x:c>
      <x:c r="Z543" s="6" t="str">
        <x:v>https://github.com/hagenhaeussler/Industrial-Agents-Hackathon-2026/blob/f41616590b69f3ea0c1cbfb41d6c35edd9ce53df/data/dev/swiss-2325/questions_basic.jsonl#L1</x:v>
      </x:c>
      <x:c r="AA543" s="6" t="str">
        <x:v>swiss_dwellings</x:v>
      </x:c>
      <x:c r="AB543" s="6" t="str">
        <x:v>CC-BY-4.0</x:v>
      </x:c>
    </x:row>
    <x:row r="544" ht="72" customHeight="1">
      <x:c r="A544" s="14" t="n">
        <x:v>539</x:v>
      </x:c>
      <x:c r="B544" s="6" t="str">
        <x:v>locate</x:v>
      </x:c>
      <x:c r="C544" s="6" t="str">
        <x:v>Where is the tv stand?</x:v>
      </x:c>
      <x:c r="D544" s="6" t="str">
        <x:v>Living room 5.08 (apartment 11)
Floor level: 5
Asset ID: swiss-2325-A00281
Position (m): 5.803, 2.447</x:v>
      </x:c>
      <x:c r="E544" s="6" t="str">
        <x:v>Reference supplied</x:v>
      </x:c>
      <x:c r="F544" s="6" t="str">
        <x:v>dev</x:v>
      </x:c>
      <x:c r="G544" s="6" t="str">
        <x:v>swiss-2325</x:v>
      </x:c>
      <x:c r="H544" s="6" t="str">
        <x:v>swiss-2325-Q02</x:v>
      </x:c>
      <x:c r="I544" s="6" t="str">
        <x:v>Find and count assets</x:v>
      </x:c>
      <x:c r="J544" s="6" t="str">
        <x:v>Warm-up</x:v>
      </x:c>
      <x:c r="K544" s="6" t="str">
        <x:v>Room name, floor and asset identity. Coordinates may help the UI.</x:v>
      </x:c>
      <x:c r="L544" s="6" t="str">
        <x:v>T02, T03</x:v>
      </x:c>
      <x:c r="M544" s="6" t="str">
        <x:v>Find a named item and identify its containing room and floor.</x:v>
      </x:c>
      <x:c r="N544" s="6" t="str">
        <x:v>{"asset_id":"swiss-2325-A00281","space_id":"swiss-2325-F5-S008","space_name":"Living room 5.08 (apartment 11)","floor_level":5,"position":[5.803,2.447]}</x:v>
      </x:c>
      <x:c r="O544" s="6"/>
      <x:c r="P544" s="6" t="str">
        <x:v>Resolve the intended asset and its containing room/floor.</x:v>
      </x:c>
      <x:c r="Q544" s="15"/>
      <x:c r="R544" s="6"/>
      <x:c r="S544" s="16"/>
      <x:c r="T544" s="15"/>
      <x:c r="U544" s="6"/>
      <x:c r="V544" s="6"/>
      <x:c r="W544" s="6" t="str">
        <x:v>Existing search_building. Improve disambiguation and complete result pagination.</x:v>
      </x:c>
      <x:c r="X544" s="6" t="str">
        <x:v>data/dev/swiss-2325/questions_basic.jsonl</x:v>
      </x:c>
      <x:c r="Y544" s="14" t="n">
        <x:v>2</x:v>
      </x:c>
      <x:c r="Z544" s="6" t="str">
        <x:v>https://github.com/hagenhaeussler/Industrial-Agents-Hackathon-2026/blob/f41616590b69f3ea0c1cbfb41d6c35edd9ce53df/data/dev/swiss-2325/questions_basic.jsonl#L2</x:v>
      </x:c>
      <x:c r="AA544" s="6" t="str">
        <x:v>swiss_dwellings</x:v>
      </x:c>
      <x:c r="AB544" s="6" t="str">
        <x:v>CC-BY-4.0</x:v>
      </x:c>
    </x:row>
    <x:row r="545" ht="72" customHeight="1">
      <x:c r="A545" s="14" t="n">
        <x:v>540</x:v>
      </x:c>
      <x:c r="B545" s="6" t="str">
        <x:v>locate</x:v>
      </x:c>
      <x:c r="C545" s="6" t="str">
        <x:v>Where is the coffee table?</x:v>
      </x:c>
      <x:c r="D545" s="6" t="str">
        <x:v>Living room 5.08 (apartment 11)
Floor level: 5
Asset ID: swiss-2325-A00280
Position (m): 3.069, -2.012</x:v>
      </x:c>
      <x:c r="E545" s="6" t="str">
        <x:v>Reference supplied</x:v>
      </x:c>
      <x:c r="F545" s="6" t="str">
        <x:v>dev</x:v>
      </x:c>
      <x:c r="G545" s="6" t="str">
        <x:v>swiss-2325</x:v>
      </x:c>
      <x:c r="H545" s="6" t="str">
        <x:v>swiss-2325-Q03</x:v>
      </x:c>
      <x:c r="I545" s="6" t="str">
        <x:v>Find and count assets</x:v>
      </x:c>
      <x:c r="J545" s="6" t="str">
        <x:v>Warm-up</x:v>
      </x:c>
      <x:c r="K545" s="6" t="str">
        <x:v>Room name, floor and asset identity. Coordinates may help the UI.</x:v>
      </x:c>
      <x:c r="L545" s="6" t="str">
        <x:v>T02, T03</x:v>
      </x:c>
      <x:c r="M545" s="6" t="str">
        <x:v>Find a named item and identify its containing room and floor.</x:v>
      </x:c>
      <x:c r="N545" s="6" t="str">
        <x:v>{"asset_id":"swiss-2325-A00280","space_id":"swiss-2325-F5-S008","space_name":"Living room 5.08 (apartment 11)","floor_level":5,"position":[3.069,-2.012]}</x:v>
      </x:c>
      <x:c r="O545" s="6"/>
      <x:c r="P545" s="6" t="str">
        <x:v>Resolve the intended asset and its containing room/floor.</x:v>
      </x:c>
      <x:c r="Q545" s="15"/>
      <x:c r="R545" s="6"/>
      <x:c r="S545" s="16"/>
      <x:c r="T545" s="15"/>
      <x:c r="U545" s="6"/>
      <x:c r="V545" s="6"/>
      <x:c r="W545" s="6" t="str">
        <x:v>Existing search_building. Improve disambiguation and complete result pagination.</x:v>
      </x:c>
      <x:c r="X545" s="6" t="str">
        <x:v>data/dev/swiss-2325/questions_basic.jsonl</x:v>
      </x:c>
      <x:c r="Y545" s="14" t="n">
        <x:v>3</x:v>
      </x:c>
      <x:c r="Z545" s="6" t="str">
        <x:v>https://github.com/hagenhaeussler/Industrial-Agents-Hackathon-2026/blob/f41616590b69f3ea0c1cbfb41d6c35edd9ce53df/data/dev/swiss-2325/questions_basic.jsonl#L3</x:v>
      </x:c>
      <x:c r="AA545" s="6" t="str">
        <x:v>swiss_dwellings</x:v>
      </x:c>
      <x:c r="AB545" s="6" t="str">
        <x:v>CC-BY-4.0</x:v>
      </x:c>
    </x:row>
    <x:row r="546" ht="72" customHeight="1">
      <x:c r="A546" s="14" t="n">
        <x:v>541</x:v>
      </x:c>
      <x:c r="B546" s="6" t="str">
        <x:v>locate</x:v>
      </x:c>
      <x:c r="C546" s="6" t="str">
        <x:v>Where is the shoe cabinet?</x:v>
      </x:c>
      <x:c r="D546" s="6" t="str">
        <x:v>Corridor 1.07 (apartment 6)
Floor level: 1
Asset ID: swiss-31-A00176
Position (m): -12.69, 0.134</x:v>
      </x:c>
      <x:c r="E546" s="6" t="str">
        <x:v>Reference supplied</x:v>
      </x:c>
      <x:c r="F546" s="6" t="str">
        <x:v>dev</x:v>
      </x:c>
      <x:c r="G546" s="6" t="str">
        <x:v>swiss-31</x:v>
      </x:c>
      <x:c r="H546" s="6" t="str">
        <x:v>swiss-31-Q01</x:v>
      </x:c>
      <x:c r="I546" s="6" t="str">
        <x:v>Find and count assets</x:v>
      </x:c>
      <x:c r="J546" s="6" t="str">
        <x:v>Warm-up</x:v>
      </x:c>
      <x:c r="K546" s="6" t="str">
        <x:v>Room name, floor and asset identity. Coordinates may help the UI.</x:v>
      </x:c>
      <x:c r="L546" s="6" t="str">
        <x:v>T02, T03</x:v>
      </x:c>
      <x:c r="M546" s="6" t="str">
        <x:v>Find a named item and identify its containing room and floor.</x:v>
      </x:c>
      <x:c r="N546" s="6" t="str">
        <x:v>{"asset_id":"swiss-31-A00176","space_id":"swiss-31-F1-S007","space_name":"Corridor 1.07 (apartment 6)","floor_level":1,"position":[-12.69,0.134]}</x:v>
      </x:c>
      <x:c r="O546" s="6"/>
      <x:c r="P546" s="6" t="str">
        <x:v>Resolve the intended asset and its containing room/floor.</x:v>
      </x:c>
      <x:c r="Q546" s="15"/>
      <x:c r="R546" s="6"/>
      <x:c r="S546" s="16"/>
      <x:c r="T546" s="15"/>
      <x:c r="U546" s="6"/>
      <x:c r="V546" s="6"/>
      <x:c r="W546" s="6" t="str">
        <x:v>Existing search_building. Improve disambiguation and complete result pagination.</x:v>
      </x:c>
      <x:c r="X546" s="6" t="str">
        <x:v>data/dev/swiss-31/questions_basic.jsonl</x:v>
      </x:c>
      <x:c r="Y546" s="14" t="n">
        <x:v>1</x:v>
      </x:c>
      <x:c r="Z546" s="6" t="str">
        <x:v>https://github.com/hagenhaeussler/Industrial-Agents-Hackathon-2026/blob/f41616590b69f3ea0c1cbfb41d6c35edd9ce53df/data/dev/swiss-31/questions_basic.jsonl#L1</x:v>
      </x:c>
      <x:c r="AA546" s="6" t="str">
        <x:v>swiss_dwellings</x:v>
      </x:c>
      <x:c r="AB546" s="6" t="str">
        <x:v>CC-BY-4.0</x:v>
      </x:c>
    </x:row>
    <x:row r="547" ht="72" customHeight="1">
      <x:c r="A547" s="14" t="n">
        <x:v>542</x:v>
      </x:c>
      <x:c r="B547" s="6" t="str">
        <x:v>locate</x:v>
      </x:c>
      <x:c r="C547" s="6" t="str">
        <x:v>Where is the coat rack?</x:v>
      </x:c>
      <x:c r="D547" s="6" t="str">
        <x:v>Corridor 2.18 (apartment 6)
Floor level: 2
Asset ID: swiss-3254-A00170
Position (m): 0.093, 0.594</x:v>
      </x:c>
      <x:c r="E547" s="6" t="str">
        <x:v>Reference supplied</x:v>
      </x:c>
      <x:c r="F547" s="6" t="str">
        <x:v>dev</x:v>
      </x:c>
      <x:c r="G547" s="6" t="str">
        <x:v>swiss-3254</x:v>
      </x:c>
      <x:c r="H547" s="6" t="str">
        <x:v>swiss-3254-Q01</x:v>
      </x:c>
      <x:c r="I547" s="6" t="str">
        <x:v>Find and count assets</x:v>
      </x:c>
      <x:c r="J547" s="6" t="str">
        <x:v>Warm-up</x:v>
      </x:c>
      <x:c r="K547" s="6" t="str">
        <x:v>Room name, floor and asset identity. Coordinates may help the UI.</x:v>
      </x:c>
      <x:c r="L547" s="6" t="str">
        <x:v>T02, T03</x:v>
      </x:c>
      <x:c r="M547" s="6" t="str">
        <x:v>Find a named item and identify its containing room and floor.</x:v>
      </x:c>
      <x:c r="N547" s="6" t="str">
        <x:v>{"asset_id":"swiss-3254-A00170","space_id":"swiss-3254-F2-S018","space_name":"Corridor 2.18 (apartment 6)","floor_level":2,"position":[0.093,0.594]}</x:v>
      </x:c>
      <x:c r="O547" s="6"/>
      <x:c r="P547" s="6" t="str">
        <x:v>Resolve the intended asset and its containing room/floor.</x:v>
      </x:c>
      <x:c r="Q547" s="15"/>
      <x:c r="R547" s="6"/>
      <x:c r="S547" s="16"/>
      <x:c r="T547" s="15"/>
      <x:c r="U547" s="6"/>
      <x:c r="V547" s="6"/>
      <x:c r="W547" s="6" t="str">
        <x:v>Existing search_building. Improve disambiguation and complete result pagination.</x:v>
      </x:c>
      <x:c r="X547" s="6" t="str">
        <x:v>data/dev/swiss-3254/questions_basic.jsonl</x:v>
      </x:c>
      <x:c r="Y547" s="14" t="n">
        <x:v>1</x:v>
      </x:c>
      <x:c r="Z547" s="6" t="str">
        <x:v>https://github.com/hagenhaeussler/Industrial-Agents-Hackathon-2026/blob/f41616590b69f3ea0c1cbfb41d6c35edd9ce53df/data/dev/swiss-3254/questions_basic.jsonl#L1</x:v>
      </x:c>
      <x:c r="AA547" s="6" t="str">
        <x:v>swiss_dwellings</x:v>
      </x:c>
      <x:c r="AB547" s="6" t="str">
        <x:v>CC-BY-4.0</x:v>
      </x:c>
    </x:row>
    <x:row r="548" ht="72" customHeight="1">
      <x:c r="A548" s="14" t="n">
        <x:v>543</x:v>
      </x:c>
      <x:c r="B548" s="6" t="str">
        <x:v>locate</x:v>
      </x:c>
      <x:c r="C548" s="6" t="str">
        <x:v>Where is the fire extinguisher?</x:v>
      </x:c>
      <x:c r="D548" s="6" t="str">
        <x:v>Landing 1.20
Floor level: 1
Asset ID: swiss-3254-A00140
Position (m): -1.321, 0.591</x:v>
      </x:c>
      <x:c r="E548" s="6" t="str">
        <x:v>Reference supplied</x:v>
      </x:c>
      <x:c r="F548" s="6" t="str">
        <x:v>dev</x:v>
      </x:c>
      <x:c r="G548" s="6" t="str">
        <x:v>swiss-3254</x:v>
      </x:c>
      <x:c r="H548" s="6" t="str">
        <x:v>swiss-3254-Q02</x:v>
      </x:c>
      <x:c r="I548" s="6" t="str">
        <x:v>Find and count assets</x:v>
      </x:c>
      <x:c r="J548" s="6" t="str">
        <x:v>Warm-up</x:v>
      </x:c>
      <x:c r="K548" s="6" t="str">
        <x:v>Room name, floor and asset identity. Coordinates may help the UI.</x:v>
      </x:c>
      <x:c r="L548" s="6" t="str">
        <x:v>T02, T03</x:v>
      </x:c>
      <x:c r="M548" s="6" t="str">
        <x:v>Find a named item and identify its containing room and floor.</x:v>
      </x:c>
      <x:c r="N548" s="6" t="str">
        <x:v>{"asset_id":"swiss-3254-A00140","space_id":"swiss-3254-F1-S020","space_name":"Landing 1.20","floor_level":1,"position":[-1.321,0.591]}</x:v>
      </x:c>
      <x:c r="O548" s="6"/>
      <x:c r="P548" s="6" t="str">
        <x:v>Resolve the intended asset and its containing room/floor.</x:v>
      </x:c>
      <x:c r="Q548" s="15"/>
      <x:c r="R548" s="6"/>
      <x:c r="S548" s="16"/>
      <x:c r="T548" s="15"/>
      <x:c r="U548" s="6"/>
      <x:c r="V548" s="6"/>
      <x:c r="W548" s="6" t="str">
        <x:v>Existing search_building. Improve disambiguation and complete result pagination.</x:v>
      </x:c>
      <x:c r="X548" s="6" t="str">
        <x:v>data/dev/swiss-3254/questions_basic.jsonl</x:v>
      </x:c>
      <x:c r="Y548" s="14" t="n">
        <x:v>2</x:v>
      </x:c>
      <x:c r="Z548" s="6" t="str">
        <x:v>https://github.com/hagenhaeussler/Industrial-Agents-Hackathon-2026/blob/f41616590b69f3ea0c1cbfb41d6c35edd9ce53df/data/dev/swiss-3254/questions_basic.jsonl#L2</x:v>
      </x:c>
      <x:c r="AA548" s="6" t="str">
        <x:v>swiss_dwellings</x:v>
      </x:c>
      <x:c r="AB548" s="6" t="str">
        <x:v>CC-BY-4.0</x:v>
      </x:c>
    </x:row>
    <x:row r="549" ht="72" customHeight="1">
      <x:c r="A549" s="14" t="n">
        <x:v>544</x:v>
      </x:c>
      <x:c r="B549" s="6" t="str">
        <x:v>locate</x:v>
      </x:c>
      <x:c r="C549" s="6" t="str">
        <x:v>Where is the dining table?</x:v>
      </x:c>
      <x:c r="D549" s="6" t="str">
        <x:v>Living room 0.06 (apartment 1)
Floor level: 0
Asset ID: swiss-450-A00050
Position (m): -3.426, 5.496</x:v>
      </x:c>
      <x:c r="E549" s="6" t="str">
        <x:v>Reference supplied</x:v>
      </x:c>
      <x:c r="F549" s="6" t="str">
        <x:v>dev</x:v>
      </x:c>
      <x:c r="G549" s="6" t="str">
        <x:v>swiss-450</x:v>
      </x:c>
      <x:c r="H549" s="6" t="str">
        <x:v>swiss-450-Q01</x:v>
      </x:c>
      <x:c r="I549" s="6" t="str">
        <x:v>Find and count assets</x:v>
      </x:c>
      <x:c r="J549" s="6" t="str">
        <x:v>Warm-up</x:v>
      </x:c>
      <x:c r="K549" s="6" t="str">
        <x:v>Room name, floor and asset identity. Coordinates may help the UI.</x:v>
      </x:c>
      <x:c r="L549" s="6" t="str">
        <x:v>T02, T03</x:v>
      </x:c>
      <x:c r="M549" s="6" t="str">
        <x:v>Find a named item and identify its containing room and floor.</x:v>
      </x:c>
      <x:c r="N549" s="6" t="str">
        <x:v>{"asset_id":"swiss-450-A00050","space_id":"swiss-450-F0-S006","space_name":"Living room 0.06 (apartment 1)","floor_level":0,"position":[-3.426,5.496]}</x:v>
      </x:c>
      <x:c r="O549" s="6"/>
      <x:c r="P549" s="6" t="str">
        <x:v>Resolve the intended asset and its containing room/floor.</x:v>
      </x:c>
      <x:c r="Q549" s="15"/>
      <x:c r="R549" s="6"/>
      <x:c r="S549" s="16"/>
      <x:c r="T549" s="15"/>
      <x:c r="U549" s="6"/>
      <x:c r="V549" s="6"/>
      <x:c r="W549" s="6" t="str">
        <x:v>Existing search_building. Improve disambiguation and complete result pagination.</x:v>
      </x:c>
      <x:c r="X549" s="6" t="str">
        <x:v>data/dev/swiss-450/questions_basic.jsonl</x:v>
      </x:c>
      <x:c r="Y549" s="14" t="n">
        <x:v>1</x:v>
      </x:c>
      <x:c r="Z549" s="6" t="str">
        <x:v>https://github.com/hagenhaeussler/Industrial-Agents-Hackathon-2026/blob/f41616590b69f3ea0c1cbfb41d6c35edd9ce53df/data/dev/swiss-450/questions_basic.jsonl#L1</x:v>
      </x:c>
      <x:c r="AA549" s="6" t="str">
        <x:v>swiss_dwellings</x:v>
      </x:c>
      <x:c r="AB549" s="6" t="str">
        <x:v>CC-BY-4.0</x:v>
      </x:c>
    </x:row>
    <x:row r="550" ht="72" customHeight="1">
      <x:c r="A550" s="14" t="n">
        <x:v>545</x:v>
      </x:c>
      <x:c r="B550" s="6" t="str">
        <x:v>locate</x:v>
      </x:c>
      <x:c r="C550" s="6" t="str">
        <x:v>Where is the shoe cabinet?</x:v>
      </x:c>
      <x:c r="D550" s="6" t="str">
        <x:v>Corridor 1.11 (apartment 3)
Floor level: 1
Asset ID: swiss-450-A00090
Position (m): 5.421, -0.97</x:v>
      </x:c>
      <x:c r="E550" s="6" t="str">
        <x:v>Reference supplied</x:v>
      </x:c>
      <x:c r="F550" s="6" t="str">
        <x:v>dev</x:v>
      </x:c>
      <x:c r="G550" s="6" t="str">
        <x:v>swiss-450</x:v>
      </x:c>
      <x:c r="H550" s="6" t="str">
        <x:v>swiss-450-Q02</x:v>
      </x:c>
      <x:c r="I550" s="6" t="str">
        <x:v>Find and count assets</x:v>
      </x:c>
      <x:c r="J550" s="6" t="str">
        <x:v>Warm-up</x:v>
      </x:c>
      <x:c r="K550" s="6" t="str">
        <x:v>Room name, floor and asset identity. Coordinates may help the UI.</x:v>
      </x:c>
      <x:c r="L550" s="6" t="str">
        <x:v>T02, T03</x:v>
      </x:c>
      <x:c r="M550" s="6" t="str">
        <x:v>Find a named item and identify its containing room and floor.</x:v>
      </x:c>
      <x:c r="N550" s="6" t="str">
        <x:v>{"asset_id":"swiss-450-A00090","space_id":"swiss-450-F1-S011","space_name":"Corridor 1.11 (apartment 3)","floor_level":1,"position":[5.421,-0.97]}</x:v>
      </x:c>
      <x:c r="O550" s="6"/>
      <x:c r="P550" s="6" t="str">
        <x:v>Resolve the intended asset and its containing room/floor.</x:v>
      </x:c>
      <x:c r="Q550" s="15"/>
      <x:c r="R550" s="6"/>
      <x:c r="S550" s="16"/>
      <x:c r="T550" s="15"/>
      <x:c r="U550" s="6"/>
      <x:c r="V550" s="6"/>
      <x:c r="W550" s="6" t="str">
        <x:v>Existing search_building. Improve disambiguation and complete result pagination.</x:v>
      </x:c>
      <x:c r="X550" s="6" t="str">
        <x:v>data/dev/swiss-450/questions_basic.jsonl</x:v>
      </x:c>
      <x:c r="Y550" s="14" t="n">
        <x:v>2</x:v>
      </x:c>
      <x:c r="Z550" s="6" t="str">
        <x:v>https://github.com/hagenhaeussler/Industrial-Agents-Hackathon-2026/blob/f41616590b69f3ea0c1cbfb41d6c35edd9ce53df/data/dev/swiss-450/questions_basic.jsonl#L2</x:v>
      </x:c>
      <x:c r="AA550" s="6" t="str">
        <x:v>swiss_dwellings</x:v>
      </x:c>
      <x:c r="AB550" s="6" t="str">
        <x:v>CC-BY-4.0</x:v>
      </x:c>
    </x:row>
    <x:row r="551" ht="72" customHeight="1">
      <x:c r="A551" s="14" t="n">
        <x:v>546</x:v>
      </x:c>
      <x:c r="B551" s="6" t="str">
        <x:v>locate</x:v>
      </x:c>
      <x:c r="C551" s="6" t="str">
        <x:v>Where is the outdoor table?</x:v>
      </x:c>
      <x:c r="D551" s="6" t="str">
        <x:v>Balcony 2.02 (apartment 5)
Floor level: 2
Asset ID: swiss-450-A00110
Position (m): -7.581, -4.228</x:v>
      </x:c>
      <x:c r="E551" s="6" t="str">
        <x:v>Reference supplied</x:v>
      </x:c>
      <x:c r="F551" s="6" t="str">
        <x:v>dev</x:v>
      </x:c>
      <x:c r="G551" s="6" t="str">
        <x:v>swiss-450</x:v>
      </x:c>
      <x:c r="H551" s="6" t="str">
        <x:v>swiss-450-Q03</x:v>
      </x:c>
      <x:c r="I551" s="6" t="str">
        <x:v>Find and count assets</x:v>
      </x:c>
      <x:c r="J551" s="6" t="str">
        <x:v>Warm-up</x:v>
      </x:c>
      <x:c r="K551" s="6" t="str">
        <x:v>Room name, floor and asset identity. Coordinates may help the UI.</x:v>
      </x:c>
      <x:c r="L551" s="6" t="str">
        <x:v>T02, T03</x:v>
      </x:c>
      <x:c r="M551" s="6" t="str">
        <x:v>Find a named item and identify its containing room and floor.</x:v>
      </x:c>
      <x:c r="N551" s="6" t="str">
        <x:v>{"asset_id":"swiss-450-A00110","space_id":"swiss-450-F2-S002","space_name":"Balcony 2.02 (apartment 5)","floor_level":2,"position":[-7.581,-4.228]}</x:v>
      </x:c>
      <x:c r="O551" s="6"/>
      <x:c r="P551" s="6" t="str">
        <x:v>Resolve the intended asset and its containing room/floor.</x:v>
      </x:c>
      <x:c r="Q551" s="15"/>
      <x:c r="R551" s="6"/>
      <x:c r="S551" s="16"/>
      <x:c r="T551" s="15"/>
      <x:c r="U551" s="6"/>
      <x:c r="V551" s="6"/>
      <x:c r="W551" s="6" t="str">
        <x:v>Existing search_building. Improve disambiguation and complete result pagination.</x:v>
      </x:c>
      <x:c r="X551" s="6" t="str">
        <x:v>data/dev/swiss-450/questions_basic.jsonl</x:v>
      </x:c>
      <x:c r="Y551" s="14" t="n">
        <x:v>3</x:v>
      </x:c>
      <x:c r="Z551" s="6" t="str">
        <x:v>https://github.com/hagenhaeussler/Industrial-Agents-Hackathon-2026/blob/f41616590b69f3ea0c1cbfb41d6c35edd9ce53df/data/dev/swiss-450/questions_basic.jsonl#L3</x:v>
      </x:c>
      <x:c r="AA551" s="6" t="str">
        <x:v>swiss_dwellings</x:v>
      </x:c>
      <x:c r="AB551" s="6" t="str">
        <x:v>CC-BY-4.0</x:v>
      </x:c>
    </x:row>
    <x:row r="552" ht="72" customHeight="1">
      <x:c r="A552" s="14" t="n">
        <x:v>547</x:v>
      </x:c>
      <x:c r="B552" s="6" t="str">
        <x:v>locate</x:v>
      </x:c>
      <x:c r="C552" s="6" t="str">
        <x:v>Where is the coat rack?</x:v>
      </x:c>
      <x:c r="D552" s="6" t="str">
        <x:v>Corridor 4.01 (apartment 9)
Floor level: 4
Asset ID: swiss-460-A00115
Position (m): -4.403, 1.945</x:v>
      </x:c>
      <x:c r="E552" s="6" t="str">
        <x:v>Reference supplied</x:v>
      </x:c>
      <x:c r="F552" s="6" t="str">
        <x:v>dev</x:v>
      </x:c>
      <x:c r="G552" s="6" t="str">
        <x:v>swiss-460</x:v>
      </x:c>
      <x:c r="H552" s="6" t="str">
        <x:v>swiss-460-Q01</x:v>
      </x:c>
      <x:c r="I552" s="6" t="str">
        <x:v>Find and count assets</x:v>
      </x:c>
      <x:c r="J552" s="6" t="str">
        <x:v>Warm-up</x:v>
      </x:c>
      <x:c r="K552" s="6" t="str">
        <x:v>Room name, floor and asset identity. Coordinates may help the UI.</x:v>
      </x:c>
      <x:c r="L552" s="6" t="str">
        <x:v>T02, T03</x:v>
      </x:c>
      <x:c r="M552" s="6" t="str">
        <x:v>Find a named item and identify its containing room and floor.</x:v>
      </x:c>
      <x:c r="N552" s="6" t="str">
        <x:v>{"asset_id":"swiss-460-A00115","space_id":"swiss-460-F4-S001","space_name":"Corridor 4.01 (apartment 9)","floor_level":4,"position":[-4.403,1.945]}</x:v>
      </x:c>
      <x:c r="O552" s="6"/>
      <x:c r="P552" s="6" t="str">
        <x:v>Resolve the intended asset and its containing room/floor.</x:v>
      </x:c>
      <x:c r="Q552" s="15"/>
      <x:c r="R552" s="6"/>
      <x:c r="S552" s="16"/>
      <x:c r="T552" s="15"/>
      <x:c r="U552" s="6"/>
      <x:c r="V552" s="6"/>
      <x:c r="W552" s="6" t="str">
        <x:v>Existing search_building. Improve disambiguation and complete result pagination.</x:v>
      </x:c>
      <x:c r="X552" s="6" t="str">
        <x:v>data/dev/swiss-460/questions_basic.jsonl</x:v>
      </x:c>
      <x:c r="Y552" s="14" t="n">
        <x:v>1</x:v>
      </x:c>
      <x:c r="Z552" s="6" t="str">
        <x:v>https://github.com/hagenhaeussler/Industrial-Agents-Hackathon-2026/blob/f41616590b69f3ea0c1cbfb41d6c35edd9ce53df/data/dev/swiss-460/questions_basic.jsonl#L1</x:v>
      </x:c>
      <x:c r="AA552" s="6" t="str">
        <x:v>swiss_dwellings</x:v>
      </x:c>
      <x:c r="AB552" s="6" t="str">
        <x:v>CC-BY-4.0</x:v>
      </x:c>
    </x:row>
    <x:row r="553" ht="72" customHeight="1">
      <x:c r="A553" s="14" t="n">
        <x:v>548</x:v>
      </x:c>
      <x:c r="B553" s="6" t="str">
        <x:v>locate</x:v>
      </x:c>
      <x:c r="C553" s="6" t="str">
        <x:v>Where is the outdoor chair?</x:v>
      </x:c>
      <x:c r="D553" s="6" t="str">
        <x:v>Balcony 4.02 (apartment 9)
Floor level: 4
Asset ID: swiss-460-A00116
Position (m): -5.623, -5.299</x:v>
      </x:c>
      <x:c r="E553" s="6" t="str">
        <x:v>Reference supplied</x:v>
      </x:c>
      <x:c r="F553" s="6" t="str">
        <x:v>dev</x:v>
      </x:c>
      <x:c r="G553" s="6" t="str">
        <x:v>swiss-460</x:v>
      </x:c>
      <x:c r="H553" s="6" t="str">
        <x:v>swiss-460-Q02</x:v>
      </x:c>
      <x:c r="I553" s="6" t="str">
        <x:v>Find and count assets</x:v>
      </x:c>
      <x:c r="J553" s="6" t="str">
        <x:v>Warm-up</x:v>
      </x:c>
      <x:c r="K553" s="6" t="str">
        <x:v>Room name, floor and asset identity. Coordinates may help the UI.</x:v>
      </x:c>
      <x:c r="L553" s="6" t="str">
        <x:v>T02, T03</x:v>
      </x:c>
      <x:c r="M553" s="6" t="str">
        <x:v>Find a named item and identify its containing room and floor.</x:v>
      </x:c>
      <x:c r="N553" s="6" t="str">
        <x:v>{"asset_id":"swiss-460-A00116","space_id":"swiss-460-F4-S002","space_name":"Balcony 4.02 (apartment 9)","floor_level":4,"position":[-5.623,-5.299]}</x:v>
      </x:c>
      <x:c r="O553" s="6"/>
      <x:c r="P553" s="6" t="str">
        <x:v>Resolve the intended asset and its containing room/floor.</x:v>
      </x:c>
      <x:c r="Q553" s="15"/>
      <x:c r="R553" s="6"/>
      <x:c r="S553" s="16"/>
      <x:c r="T553" s="15"/>
      <x:c r="U553" s="6"/>
      <x:c r="V553" s="6"/>
      <x:c r="W553" s="6" t="str">
        <x:v>Existing search_building. Improve disambiguation and complete result pagination.</x:v>
      </x:c>
      <x:c r="X553" s="6" t="str">
        <x:v>data/dev/swiss-460/questions_basic.jsonl</x:v>
      </x:c>
      <x:c r="Y553" s="14" t="n">
        <x:v>2</x:v>
      </x:c>
      <x:c r="Z553" s="6" t="str">
        <x:v>https://github.com/hagenhaeussler/Industrial-Agents-Hackathon-2026/blob/f41616590b69f3ea0c1cbfb41d6c35edd9ce53df/data/dev/swiss-460/questions_basic.jsonl#L2</x:v>
      </x:c>
      <x:c r="AA553" s="6" t="str">
        <x:v>swiss_dwellings</x:v>
      </x:c>
      <x:c r="AB553" s="6" t="str">
        <x:v>CC-BY-4.0</x:v>
      </x:c>
    </x:row>
    <x:row r="554" ht="72" customHeight="1">
      <x:c r="A554" s="14" t="n">
        <x:v>549</x:v>
      </x:c>
      <x:c r="B554" s="6" t="str">
        <x:v>locate</x:v>
      </x:c>
      <x:c r="C554" s="6" t="str">
        <x:v>Where is the shower?</x:v>
      </x:c>
      <x:c r="D554" s="6" t="str">
        <x:v>Bathroom 0.05 (apartment 1)
Floor level: 0
Asset ID: swiss-460-A00002
Position (m): 4.368, 4.619</x:v>
      </x:c>
      <x:c r="E554" s="6" t="str">
        <x:v>Reference supplied</x:v>
      </x:c>
      <x:c r="F554" s="6" t="str">
        <x:v>dev</x:v>
      </x:c>
      <x:c r="G554" s="6" t="str">
        <x:v>swiss-460</x:v>
      </x:c>
      <x:c r="H554" s="6" t="str">
        <x:v>swiss-460-Q03</x:v>
      </x:c>
      <x:c r="I554" s="6" t="str">
        <x:v>Find and count assets</x:v>
      </x:c>
      <x:c r="J554" s="6" t="str">
        <x:v>Warm-up</x:v>
      </x:c>
      <x:c r="K554" s="6" t="str">
        <x:v>Room name, floor and asset identity. Coordinates may help the UI.</x:v>
      </x:c>
      <x:c r="L554" s="6" t="str">
        <x:v>T02, T03</x:v>
      </x:c>
      <x:c r="M554" s="6" t="str">
        <x:v>Find a named item and identify its containing room and floor.</x:v>
      </x:c>
      <x:c r="N554" s="6" t="str">
        <x:v>{"asset_id":"swiss-460-A00002","space_id":"swiss-460-F0-S005","space_name":"Bathroom 0.05 (apartment 1)","floor_level":0,"position":[4.368,4.619]}</x:v>
      </x:c>
      <x:c r="O554" s="6"/>
      <x:c r="P554" s="6" t="str">
        <x:v>Resolve the intended asset and its containing room/floor.</x:v>
      </x:c>
      <x:c r="Q554" s="15"/>
      <x:c r="R554" s="6"/>
      <x:c r="S554" s="16"/>
      <x:c r="T554" s="15"/>
      <x:c r="U554" s="6"/>
      <x:c r="V554" s="6"/>
      <x:c r="W554" s="6" t="str">
        <x:v>Existing search_building. Improve disambiguation and complete result pagination.</x:v>
      </x:c>
      <x:c r="X554" s="6" t="str">
        <x:v>data/dev/swiss-460/questions_basic.jsonl</x:v>
      </x:c>
      <x:c r="Y554" s="14" t="n">
        <x:v>3</x:v>
      </x:c>
      <x:c r="Z554" s="6" t="str">
        <x:v>https://github.com/hagenhaeussler/Industrial-Agents-Hackathon-2026/blob/f41616590b69f3ea0c1cbfb41d6c35edd9ce53df/data/dev/swiss-460/questions_basic.jsonl#L3</x:v>
      </x:c>
      <x:c r="AA554" s="6" t="str">
        <x:v>swiss_dwellings</x:v>
      </x:c>
      <x:c r="AB554" s="6" t="str">
        <x:v>CC-BY-4.0</x:v>
      </x:c>
    </x:row>
    <x:row r="555" ht="72" customHeight="1">
      <x:c r="A555" s="14" t="n">
        <x:v>550</x:v>
      </x:c>
      <x:c r="B555" s="6" t="str">
        <x:v>locate</x:v>
      </x:c>
      <x:c r="C555" s="6" t="str">
        <x:v>Where is the shoe cabinet?</x:v>
      </x:c>
      <x:c r="D555" s="6" t="str">
        <x:v>Corridor -1.01 (apartment 1)
Floor level: -1
Asset ID: swiss-5097-A00183
Position (m): 6.48, 15.369</x:v>
      </x:c>
      <x:c r="E555" s="6" t="str">
        <x:v>Reference supplied</x:v>
      </x:c>
      <x:c r="F555" s="6" t="str">
        <x:v>dev</x:v>
      </x:c>
      <x:c r="G555" s="6" t="str">
        <x:v>swiss-5097</x:v>
      </x:c>
      <x:c r="H555" s="6" t="str">
        <x:v>swiss-5097-Q01</x:v>
      </x:c>
      <x:c r="I555" s="6" t="str">
        <x:v>Find and count assets</x:v>
      </x:c>
      <x:c r="J555" s="6" t="str">
        <x:v>Warm-up</x:v>
      </x:c>
      <x:c r="K555" s="6" t="str">
        <x:v>Room name, floor and asset identity. Coordinates may help the UI.</x:v>
      </x:c>
      <x:c r="L555" s="6" t="str">
        <x:v>T02, T03</x:v>
      </x:c>
      <x:c r="M555" s="6" t="str">
        <x:v>Find a named item and identify its containing room and floor.</x:v>
      </x:c>
      <x:c r="N555" s="6" t="str">
        <x:v>{"asset_id":"swiss-5097-A00183","space_id":"swiss-5097-F-1-S001","space_name":"Corridor -1.01 (apartment 1)","floor_level":-1,"position":[6.48,15.369]}</x:v>
      </x:c>
      <x:c r="O555" s="6"/>
      <x:c r="P555" s="6" t="str">
        <x:v>Resolve the intended asset and its containing room/floor.</x:v>
      </x:c>
      <x:c r="Q555" s="15"/>
      <x:c r="R555" s="6"/>
      <x:c r="S555" s="16"/>
      <x:c r="T555" s="15"/>
      <x:c r="U555" s="6"/>
      <x:c r="V555" s="6"/>
      <x:c r="W555" s="6" t="str">
        <x:v>Existing search_building. Improve disambiguation and complete result pagination.</x:v>
      </x:c>
      <x:c r="X555" s="6" t="str">
        <x:v>data/dev/swiss-5097/questions_basic.jsonl</x:v>
      </x:c>
      <x:c r="Y555" s="14" t="n">
        <x:v>1</x:v>
      </x:c>
      <x:c r="Z555" s="6" t="str">
        <x:v>https://github.com/hagenhaeussler/Industrial-Agents-Hackathon-2026/blob/f41616590b69f3ea0c1cbfb41d6c35edd9ce53df/data/dev/swiss-5097/questions_basic.jsonl#L1</x:v>
      </x:c>
      <x:c r="AA555" s="6" t="str">
        <x:v>swiss_dwellings</x:v>
      </x:c>
      <x:c r="AB555" s="6" t="str">
        <x:v>CC-BY-4.0</x:v>
      </x:c>
    </x:row>
    <x:row r="556" ht="72" customHeight="1">
      <x:c r="A556" s="14" t="n">
        <x:v>551</x:v>
      </x:c>
      <x:c r="B556" s="6" t="str">
        <x:v>locate</x:v>
      </x:c>
      <x:c r="C556" s="6" t="str">
        <x:v>Where is the outdoor table?</x:v>
      </x:c>
      <x:c r="D556" s="6" t="str">
        <x:v>Balcony 0.06 (apartment 1)
Floor level: 0
Asset ID: swiss-5462-A00032
Position (m): -6.033, -3.233</x:v>
      </x:c>
      <x:c r="E556" s="6" t="str">
        <x:v>Reference supplied</x:v>
      </x:c>
      <x:c r="F556" s="6" t="str">
        <x:v>dev</x:v>
      </x:c>
      <x:c r="G556" s="6" t="str">
        <x:v>swiss-5462</x:v>
      </x:c>
      <x:c r="H556" s="6" t="str">
        <x:v>swiss-5462-Q01</x:v>
      </x:c>
      <x:c r="I556" s="6" t="str">
        <x:v>Find and count assets</x:v>
      </x:c>
      <x:c r="J556" s="6" t="str">
        <x:v>Warm-up</x:v>
      </x:c>
      <x:c r="K556" s="6" t="str">
        <x:v>Room name, floor and asset identity. Coordinates may help the UI.</x:v>
      </x:c>
      <x:c r="L556" s="6" t="str">
        <x:v>T02, T03</x:v>
      </x:c>
      <x:c r="M556" s="6" t="str">
        <x:v>Find a named item and identify its containing room and floor.</x:v>
      </x:c>
      <x:c r="N556" s="6" t="str">
        <x:v>{"asset_id":"swiss-5462-A00032","space_id":"swiss-5462-F0-S006","space_name":"Balcony 0.06 (apartment 1)","floor_level":0,"position":[-6.033,-3.233]}</x:v>
      </x:c>
      <x:c r="O556" s="6"/>
      <x:c r="P556" s="6" t="str">
        <x:v>Resolve the intended asset and its containing room/floor.</x:v>
      </x:c>
      <x:c r="Q556" s="15"/>
      <x:c r="R556" s="6"/>
      <x:c r="S556" s="16"/>
      <x:c r="T556" s="15"/>
      <x:c r="U556" s="6"/>
      <x:c r="V556" s="6"/>
      <x:c r="W556" s="6" t="str">
        <x:v>Existing search_building. Improve disambiguation and complete result pagination.</x:v>
      </x:c>
      <x:c r="X556" s="6" t="str">
        <x:v>data/dev/swiss-5462/questions_basic.jsonl</x:v>
      </x:c>
      <x:c r="Y556" s="14" t="n">
        <x:v>1</x:v>
      </x:c>
      <x:c r="Z556" s="6" t="str">
        <x:v>https://github.com/hagenhaeussler/Industrial-Agents-Hackathon-2026/blob/f41616590b69f3ea0c1cbfb41d6c35edd9ce53df/data/dev/swiss-5462/questions_basic.jsonl#L1</x:v>
      </x:c>
      <x:c r="AA556" s="6" t="str">
        <x:v>swiss_dwellings</x:v>
      </x:c>
      <x:c r="AB556" s="6" t="str">
        <x:v>CC-BY-4.0</x:v>
      </x:c>
    </x:row>
    <x:row r="557" ht="72" customHeight="1">
      <x:c r="A557" s="14" t="n">
        <x:v>552</x:v>
      </x:c>
      <x:c r="B557" s="6" t="str">
        <x:v>locate</x:v>
      </x:c>
      <x:c r="C557" s="6" t="str">
        <x:v>Where is the microwave?</x:v>
      </x:c>
      <x:c r="D557" s="6" t="str">
        <x:v>Kitchen 1.06 (apartment 2)
Floor level: 1
Asset ID: swiss-5462-A00048
Position (m): -5.035, 2.415</x:v>
      </x:c>
      <x:c r="E557" s="6" t="str">
        <x:v>Reference supplied</x:v>
      </x:c>
      <x:c r="F557" s="6" t="str">
        <x:v>dev</x:v>
      </x:c>
      <x:c r="G557" s="6" t="str">
        <x:v>swiss-5462</x:v>
      </x:c>
      <x:c r="H557" s="6" t="str">
        <x:v>swiss-5462-Q02</x:v>
      </x:c>
      <x:c r="I557" s="6" t="str">
        <x:v>Find and count assets</x:v>
      </x:c>
      <x:c r="J557" s="6" t="str">
        <x:v>Warm-up</x:v>
      </x:c>
      <x:c r="K557" s="6" t="str">
        <x:v>Room name, floor and asset identity. Coordinates may help the UI.</x:v>
      </x:c>
      <x:c r="L557" s="6" t="str">
        <x:v>T02, T03</x:v>
      </x:c>
      <x:c r="M557" s="6" t="str">
        <x:v>Find a named item and identify its containing room and floor.</x:v>
      </x:c>
      <x:c r="N557" s="6" t="str">
        <x:v>{"asset_id":"swiss-5462-A00048","space_id":"swiss-5462-F1-S006","space_name":"Kitchen 1.06 (apartment 2)","floor_level":1,"position":[-5.035,2.415]}</x:v>
      </x:c>
      <x:c r="O557" s="6"/>
      <x:c r="P557" s="6" t="str">
        <x:v>Resolve the intended asset and its containing room/floor.</x:v>
      </x:c>
      <x:c r="Q557" s="15"/>
      <x:c r="R557" s="6"/>
      <x:c r="S557" s="16"/>
      <x:c r="T557" s="15"/>
      <x:c r="U557" s="6"/>
      <x:c r="V557" s="6"/>
      <x:c r="W557" s="6" t="str">
        <x:v>Existing search_building. Improve disambiguation and complete result pagination.</x:v>
      </x:c>
      <x:c r="X557" s="6" t="str">
        <x:v>data/dev/swiss-5462/questions_basic.jsonl</x:v>
      </x:c>
      <x:c r="Y557" s="14" t="n">
        <x:v>2</x:v>
      </x:c>
      <x:c r="Z557" s="6" t="str">
        <x:v>https://github.com/hagenhaeussler/Industrial-Agents-Hackathon-2026/blob/f41616590b69f3ea0c1cbfb41d6c35edd9ce53df/data/dev/swiss-5462/questions_basic.jsonl#L2</x:v>
      </x:c>
      <x:c r="AA557" s="6" t="str">
        <x:v>swiss_dwellings</x:v>
      </x:c>
      <x:c r="AB557" s="6" t="str">
        <x:v>CC-BY-4.0</x:v>
      </x:c>
    </x:row>
    <x:row r="558" ht="72" customHeight="1">
      <x:c r="A558" s="14" t="n">
        <x:v>553</x:v>
      </x:c>
      <x:c r="B558" s="6" t="str">
        <x:v>locate</x:v>
      </x:c>
      <x:c r="C558" s="6" t="str">
        <x:v>Where is the coffee machine?</x:v>
      </x:c>
      <x:c r="D558" s="6" t="str">
        <x:v>Kitchen 2.01 (apartment 3)
Floor level: 2
Asset ID: swiss-5462-A00062
Position (m): -3.733, 3.296</x:v>
      </x:c>
      <x:c r="E558" s="6" t="str">
        <x:v>Reference supplied</x:v>
      </x:c>
      <x:c r="F558" s="6" t="str">
        <x:v>dev</x:v>
      </x:c>
      <x:c r="G558" s="6" t="str">
        <x:v>swiss-5462</x:v>
      </x:c>
      <x:c r="H558" s="6" t="str">
        <x:v>swiss-5462-Q03</x:v>
      </x:c>
      <x:c r="I558" s="6" t="str">
        <x:v>Find and count assets</x:v>
      </x:c>
      <x:c r="J558" s="6" t="str">
        <x:v>Warm-up</x:v>
      </x:c>
      <x:c r="K558" s="6" t="str">
        <x:v>Room name, floor and asset identity. Coordinates may help the UI.</x:v>
      </x:c>
      <x:c r="L558" s="6" t="str">
        <x:v>T02, T03</x:v>
      </x:c>
      <x:c r="M558" s="6" t="str">
        <x:v>Find a named item and identify its containing room and floor.</x:v>
      </x:c>
      <x:c r="N558" s="6" t="str">
        <x:v>{"asset_id":"swiss-5462-A00062","space_id":"swiss-5462-F2-S001","space_name":"Kitchen 2.01 (apartment 3)","floor_level":2,"position":[-3.733,3.296]}</x:v>
      </x:c>
      <x:c r="O558" s="6"/>
      <x:c r="P558" s="6" t="str">
        <x:v>Resolve the intended asset and its containing room/floor.</x:v>
      </x:c>
      <x:c r="Q558" s="15"/>
      <x:c r="R558" s="6"/>
      <x:c r="S558" s="16"/>
      <x:c r="T558" s="15"/>
      <x:c r="U558" s="6"/>
      <x:c r="V558" s="6"/>
      <x:c r="W558" s="6" t="str">
        <x:v>Existing search_building. Improve disambiguation and complete result pagination.</x:v>
      </x:c>
      <x:c r="X558" s="6" t="str">
        <x:v>data/dev/swiss-5462/questions_basic.jsonl</x:v>
      </x:c>
      <x:c r="Y558" s="14" t="n">
        <x:v>3</x:v>
      </x:c>
      <x:c r="Z558" s="6" t="str">
        <x:v>https://github.com/hagenhaeussler/Industrial-Agents-Hackathon-2026/blob/f41616590b69f3ea0c1cbfb41d6c35edd9ce53df/data/dev/swiss-5462/questions_basic.jsonl#L3</x:v>
      </x:c>
      <x:c r="AA558" s="6" t="str">
        <x:v>swiss_dwellings</x:v>
      </x:c>
      <x:c r="AB558" s="6" t="str">
        <x:v>CC-BY-4.0</x:v>
      </x:c>
    </x:row>
    <x:row r="559" ht="72" customHeight="1">
      <x:c r="A559" s="14" t="n">
        <x:v>554</x:v>
      </x:c>
      <x:c r="B559" s="6" t="str">
        <x:v>count</x:v>
      </x:c>
      <x:c r="C559" s="6" t="str">
        <x:v>How many hand dryer items are on the ground floor?</x:v>
      </x:c>
      <x:c r="D559" s="6" t="str">
        <x:v>6 hand_dryer items
Floor level: 0</x:v>
      </x:c>
      <x:c r="E559" s="6" t="str">
        <x:v>Reference supplied</x:v>
      </x:c>
      <x:c r="F559" s="6" t="str">
        <x:v>train</x:v>
      </x:c>
      <x:c r="G559" s="6" t="str">
        <x:v>osm-way10053349</x:v>
      </x:c>
      <x:c r="H559" s="6" t="str">
        <x:v>osm-way10053349-Q03</x:v>
      </x:c>
      <x:c r="I559" s="6" t="str">
        <x:v>Find and count assets</x:v>
      </x:c>
      <x:c r="J559" s="6" t="str">
        <x:v>Warm-up</x:v>
      </x:c>
      <x:c r="K559" s="6" t="str">
        <x:v>An exact integer count with the scope stated in prose.</x:v>
      </x:c>
      <x:c r="L559" s="6" t="str">
        <x:v>T02, T03</x:v>
      </x:c>
      <x:c r="M559" s="6" t="str">
        <x:v>Count all items of a requested type on one floor.</x:v>
      </x:c>
      <x:c r="N559" s="6" t="str">
        <x:v>{"count":6,"asset_type":"hand_dryer","floor_level":0}</x:v>
      </x:c>
      <x:c r="O559" s="6"/>
      <x:c r="P559" s="6" t="str">
        <x:v>Exact asset type and target floor. Count complete collection.</x:v>
      </x:c>
      <x:c r="Q559" s="15" t="n">
        <x:v>6</x:v>
      </x:c>
      <x:c r="R559" s="6" t="str">
        <x:v>items</x:v>
      </x:c>
      <x:c r="S559" s="16"/>
      <x:c r="T559" s="15"/>
      <x:c r="U559" s="6"/>
      <x:c r="V559" s="6"/>
      <x:c r="W559" s="6" t="str">
        <x:v>No dedicated counting tool. search_building exposes matches but returns at most 15 results.</x:v>
      </x:c>
      <x:c r="X559" s="6" t="str">
        <x:v>data/train/osm-way10053349/questions_basic.jsonl</x:v>
      </x:c>
      <x:c r="Y559" s="14" t="n">
        <x:v>3</x:v>
      </x:c>
      <x:c r="Z559" s="6" t="str">
        <x:v>https://github.com/hagenhaeussler/Industrial-Agents-Hackathon-2026/blob/f41616590b69f3ea0c1cbfb41d6c35edd9ce53df/data/train/osm-way10053349/questions_basic.jsonl#L3</x:v>
      </x:c>
      <x:c r="AA559" s="6" t="str">
        <x:v>osm_indoor</x:v>
      </x:c>
      <x:c r="AB559" s="6" t="str">
        <x:v>ODbL-1.0</x:v>
      </x:c>
    </x:row>
    <x:row r="560" ht="72" customHeight="1">
      <x:c r="A560" s="14" t="n">
        <x:v>555</x:v>
      </x:c>
      <x:c r="B560" s="6" t="str">
        <x:v>count</x:v>
      </x:c>
      <x:c r="C560" s="6" t="str">
        <x:v>How many bookshelf items are on the floor 1?</x:v>
      </x:c>
      <x:c r="D560" s="6" t="str">
        <x:v>20 bookshelf items
Floor level: 1</x:v>
      </x:c>
      <x:c r="E560" s="6" t="str">
        <x:v>Reference supplied</x:v>
      </x:c>
      <x:c r="F560" s="6" t="str">
        <x:v>train</x:v>
      </x:c>
      <x:c r="G560" s="6" t="str">
        <x:v>osm-way13507441</x:v>
      </x:c>
      <x:c r="H560" s="6" t="str">
        <x:v>osm-way13507441-Q04</x:v>
      </x:c>
      <x:c r="I560" s="6" t="str">
        <x:v>Find and count assets</x:v>
      </x:c>
      <x:c r="J560" s="6" t="str">
        <x:v>Warm-up</x:v>
      </x:c>
      <x:c r="K560" s="6" t="str">
        <x:v>An exact integer count with the scope stated in prose.</x:v>
      </x:c>
      <x:c r="L560" s="6" t="str">
        <x:v>T02, T03</x:v>
      </x:c>
      <x:c r="M560" s="6" t="str">
        <x:v>Count all items of a requested type on one floor.</x:v>
      </x:c>
      <x:c r="N560" s="6" t="str">
        <x:v>{"count":20,"asset_type":"bookshelf","floor_level":1}</x:v>
      </x:c>
      <x:c r="O560" s="6"/>
      <x:c r="P560" s="6" t="str">
        <x:v>Exact asset type and target floor. Count complete collection.</x:v>
      </x:c>
      <x:c r="Q560" s="15" t="n">
        <x:v>20</x:v>
      </x:c>
      <x:c r="R560" s="6" t="str">
        <x:v>items</x:v>
      </x:c>
      <x:c r="S560" s="16"/>
      <x:c r="T560" s="15"/>
      <x:c r="U560" s="6"/>
      <x:c r="V560" s="6"/>
      <x:c r="W560" s="6" t="str">
        <x:v>No dedicated counting tool. search_building exposes matches but returns at most 15 results.</x:v>
      </x:c>
      <x:c r="X560" s="6" t="str">
        <x:v>data/train/osm-way13507441/questions_basic.jsonl</x:v>
      </x:c>
      <x:c r="Y560" s="14" t="n">
        <x:v>4</x:v>
      </x:c>
      <x:c r="Z560" s="6" t="str">
        <x:v>https://github.com/hagenhaeussler/Industrial-Agents-Hackathon-2026/blob/f41616590b69f3ea0c1cbfb41d6c35edd9ce53df/data/train/osm-way13507441/questions_basic.jsonl#L4</x:v>
      </x:c>
      <x:c r="AA560" s="6" t="str">
        <x:v>osm_indoor</x:v>
      </x:c>
      <x:c r="AB560" s="6" t="str">
        <x:v>ODbL-1.0</x:v>
      </x:c>
    </x:row>
    <x:row r="561" ht="72" customHeight="1">
      <x:c r="A561" s="14" t="n">
        <x:v>556</x:v>
      </x:c>
      <x:c r="B561" s="6" t="str">
        <x:v>count</x:v>
      </x:c>
      <x:c r="C561" s="6" t="str">
        <x:v>How many desk items are on the ground floor?</x:v>
      </x:c>
      <x:c r="D561" s="6" t="str">
        <x:v>33 desk items
Floor level: 0</x:v>
      </x:c>
      <x:c r="E561" s="6" t="str">
        <x:v>Reference supplied</x:v>
      </x:c>
      <x:c r="F561" s="6" t="str">
        <x:v>train</x:v>
      </x:c>
      <x:c r="G561" s="6" t="str">
        <x:v>osm-way19183732</x:v>
      </x:c>
      <x:c r="H561" s="6" t="str">
        <x:v>osm-way19183732-Q04</x:v>
      </x:c>
      <x:c r="I561" s="6" t="str">
        <x:v>Find and count assets</x:v>
      </x:c>
      <x:c r="J561" s="6" t="str">
        <x:v>Warm-up</x:v>
      </x:c>
      <x:c r="K561" s="6" t="str">
        <x:v>An exact integer count with the scope stated in prose.</x:v>
      </x:c>
      <x:c r="L561" s="6" t="str">
        <x:v>T02, T03</x:v>
      </x:c>
      <x:c r="M561" s="6" t="str">
        <x:v>Count all items of a requested type on one floor.</x:v>
      </x:c>
      <x:c r="N561" s="6" t="str">
        <x:v>{"count":33,"asset_type":"desk","floor_level":0}</x:v>
      </x:c>
      <x:c r="O561" s="6"/>
      <x:c r="P561" s="6" t="str">
        <x:v>Exact asset type and target floor. Count complete collection.</x:v>
      </x:c>
      <x:c r="Q561" s="15" t="n">
        <x:v>33</x:v>
      </x:c>
      <x:c r="R561" s="6" t="str">
        <x:v>items</x:v>
      </x:c>
      <x:c r="S561" s="16"/>
      <x:c r="T561" s="15"/>
      <x:c r="U561" s="6"/>
      <x:c r="V561" s="6"/>
      <x:c r="W561" s="6" t="str">
        <x:v>No dedicated counting tool. search_building exposes matches but returns at most 15 results.</x:v>
      </x:c>
      <x:c r="X561" s="6" t="str">
        <x:v>data/train/osm-way19183732/questions_basic.jsonl</x:v>
      </x:c>
      <x:c r="Y561" s="14" t="n">
        <x:v>4</x:v>
      </x:c>
      <x:c r="Z561" s="6" t="str">
        <x:v>https://github.com/hagenhaeussler/Industrial-Agents-Hackathon-2026/blob/f41616590b69f3ea0c1cbfb41d6c35edd9ce53df/data/train/osm-way19183732/questions_basic.jsonl#L4</x:v>
      </x:c>
      <x:c r="AA561" s="6" t="str">
        <x:v>osm_indoor</x:v>
      </x:c>
      <x:c r="AB561" s="6" t="str">
        <x:v>ODbL-1.0</x:v>
      </x:c>
    </x:row>
    <x:row r="562" ht="72" customHeight="1">
      <x:c r="A562" s="14" t="n">
        <x:v>557</x:v>
      </x:c>
      <x:c r="B562" s="6" t="str">
        <x:v>count</x:v>
      </x:c>
      <x:c r="C562" s="6" t="str">
        <x:v>How many filing cabinet items are on the ground floor?</x:v>
      </x:c>
      <x:c r="D562" s="6" t="str">
        <x:v>4 filing_cabinet items
Floor level: 0</x:v>
      </x:c>
      <x:c r="E562" s="6" t="str">
        <x:v>Reference supplied</x:v>
      </x:c>
      <x:c r="F562" s="6" t="str">
        <x:v>train</x:v>
      </x:c>
      <x:c r="G562" s="6" t="str">
        <x:v>osm-way37850565</x:v>
      </x:c>
      <x:c r="H562" s="6" t="str">
        <x:v>osm-way37850565-Q04</x:v>
      </x:c>
      <x:c r="I562" s="6" t="str">
        <x:v>Find and count assets</x:v>
      </x:c>
      <x:c r="J562" s="6" t="str">
        <x:v>Warm-up</x:v>
      </x:c>
      <x:c r="K562" s="6" t="str">
        <x:v>An exact integer count with the scope stated in prose.</x:v>
      </x:c>
      <x:c r="L562" s="6" t="str">
        <x:v>T02, T03</x:v>
      </x:c>
      <x:c r="M562" s="6" t="str">
        <x:v>Count all items of a requested type on one floor.</x:v>
      </x:c>
      <x:c r="N562" s="6" t="str">
        <x:v>{"count":4,"asset_type":"filing_cabinet","floor_level":0}</x:v>
      </x:c>
      <x:c r="O562" s="6"/>
      <x:c r="P562" s="6" t="str">
        <x:v>Exact asset type and target floor. Count complete collection.</x:v>
      </x:c>
      <x:c r="Q562" s="15" t="n">
        <x:v>4</x:v>
      </x:c>
      <x:c r="R562" s="6" t="str">
        <x:v>items</x:v>
      </x:c>
      <x:c r="S562" s="16"/>
      <x:c r="T562" s="15"/>
      <x:c r="U562" s="6"/>
      <x:c r="V562" s="6"/>
      <x:c r="W562" s="6" t="str">
        <x:v>No dedicated counting tool. search_building exposes matches but returns at most 15 results.</x:v>
      </x:c>
      <x:c r="X562" s="6" t="str">
        <x:v>data/train/osm-way37850565/questions_basic.jsonl</x:v>
      </x:c>
      <x:c r="Y562" s="14" t="n">
        <x:v>4</x:v>
      </x:c>
      <x:c r="Z562" s="6" t="str">
        <x:v>https://github.com/hagenhaeussler/Industrial-Agents-Hackathon-2026/blob/f41616590b69f3ea0c1cbfb41d6c35edd9ce53df/data/train/osm-way37850565/questions_basic.jsonl#L4</x:v>
      </x:c>
      <x:c r="AA562" s="6" t="str">
        <x:v>osm_indoor</x:v>
      </x:c>
      <x:c r="AB562" s="6" t="str">
        <x:v>ODbL-1.0</x:v>
      </x:c>
    </x:row>
    <x:row r="563" ht="72" customHeight="1">
      <x:c r="A563" s="14" t="n">
        <x:v>558</x:v>
      </x:c>
      <x:c r="B563" s="6" t="str">
        <x:v>count</x:v>
      </x:c>
      <x:c r="C563" s="6" t="str">
        <x:v>How many sink items are on the floor 3?</x:v>
      </x:c>
      <x:c r="D563" s="6" t="str">
        <x:v>4 sink items
Floor level: 3</x:v>
      </x:c>
      <x:c r="E563" s="6" t="str">
        <x:v>Reference supplied</x:v>
      </x:c>
      <x:c r="F563" s="6" t="str">
        <x:v>train</x:v>
      </x:c>
      <x:c r="G563" s="6" t="str">
        <x:v>osm-way476929995</x:v>
      </x:c>
      <x:c r="H563" s="6" t="str">
        <x:v>osm-way476929995-Q04</x:v>
      </x:c>
      <x:c r="I563" s="6" t="str">
        <x:v>Find and count assets</x:v>
      </x:c>
      <x:c r="J563" s="6" t="str">
        <x:v>Warm-up</x:v>
      </x:c>
      <x:c r="K563" s="6" t="str">
        <x:v>An exact integer count with the scope stated in prose.</x:v>
      </x:c>
      <x:c r="L563" s="6" t="str">
        <x:v>T02, T03</x:v>
      </x:c>
      <x:c r="M563" s="6" t="str">
        <x:v>Count all items of a requested type on one floor.</x:v>
      </x:c>
      <x:c r="N563" s="6" t="str">
        <x:v>{"count":4,"asset_type":"sink","floor_level":3}</x:v>
      </x:c>
      <x:c r="O563" s="6"/>
      <x:c r="P563" s="6" t="str">
        <x:v>Exact asset type and target floor. Count complete collection.</x:v>
      </x:c>
      <x:c r="Q563" s="15" t="n">
        <x:v>4</x:v>
      </x:c>
      <x:c r="R563" s="6" t="str">
        <x:v>items</x:v>
      </x:c>
      <x:c r="S563" s="16"/>
      <x:c r="T563" s="15"/>
      <x:c r="U563" s="6"/>
      <x:c r="V563" s="6"/>
      <x:c r="W563" s="6" t="str">
        <x:v>No dedicated counting tool. search_building exposes matches but returns at most 15 results.</x:v>
      </x:c>
      <x:c r="X563" s="6" t="str">
        <x:v>data/train/osm-way476929995/questions_basic.jsonl</x:v>
      </x:c>
      <x:c r="Y563" s="14" t="n">
        <x:v>4</x:v>
      </x:c>
      <x:c r="Z563" s="6" t="str">
        <x:v>https://github.com/hagenhaeussler/Industrial-Agents-Hackathon-2026/blob/f41616590b69f3ea0c1cbfb41d6c35edd9ce53df/data/train/osm-way476929995/questions_basic.jsonl#L4</x:v>
      </x:c>
      <x:c r="AA563" s="6" t="str">
        <x:v>osm_indoor</x:v>
      </x:c>
      <x:c r="AB563" s="6" t="str">
        <x:v>ODbL-1.0</x:v>
      </x:c>
    </x:row>
    <x:row r="564" ht="72" customHeight="1">
      <x:c r="A564" s="14" t="n">
        <x:v>559</x:v>
      </x:c>
      <x:c r="B564" s="6" t="str">
        <x:v>count</x:v>
      </x:c>
      <x:c r="C564" s="6" t="str">
        <x:v>How many toilet items are on the floor 1?</x:v>
      </x:c>
      <x:c r="D564" s="6" t="str">
        <x:v>6 toilet items
Floor level: 1</x:v>
      </x:c>
      <x:c r="E564" s="6" t="str">
        <x:v>Reference supplied</x:v>
      </x:c>
      <x:c r="F564" s="6" t="str">
        <x:v>train</x:v>
      </x:c>
      <x:c r="G564" s="6" t="str">
        <x:v>osm-way50299720</x:v>
      </x:c>
      <x:c r="H564" s="6" t="str">
        <x:v>osm-way50299720-Q02</x:v>
      </x:c>
      <x:c r="I564" s="6" t="str">
        <x:v>Find and count assets</x:v>
      </x:c>
      <x:c r="J564" s="6" t="str">
        <x:v>Warm-up</x:v>
      </x:c>
      <x:c r="K564" s="6" t="str">
        <x:v>An exact integer count with the scope stated in prose.</x:v>
      </x:c>
      <x:c r="L564" s="6" t="str">
        <x:v>T02, T03</x:v>
      </x:c>
      <x:c r="M564" s="6" t="str">
        <x:v>Count all items of a requested type on one floor.</x:v>
      </x:c>
      <x:c r="N564" s="6" t="str">
        <x:v>{"count":6,"asset_type":"toilet","floor_level":1}</x:v>
      </x:c>
      <x:c r="O564" s="6"/>
      <x:c r="P564" s="6" t="str">
        <x:v>Exact asset type and target floor. Count complete collection.</x:v>
      </x:c>
      <x:c r="Q564" s="15" t="n">
        <x:v>6</x:v>
      </x:c>
      <x:c r="R564" s="6" t="str">
        <x:v>items</x:v>
      </x:c>
      <x:c r="S564" s="16"/>
      <x:c r="T564" s="15"/>
      <x:c r="U564" s="6"/>
      <x:c r="V564" s="6"/>
      <x:c r="W564" s="6" t="str">
        <x:v>No dedicated counting tool. search_building exposes matches but returns at most 15 results.</x:v>
      </x:c>
      <x:c r="X564" s="6" t="str">
        <x:v>data/train/osm-way50299720/questions_basic.jsonl</x:v>
      </x:c>
      <x:c r="Y564" s="14" t="n">
        <x:v>2</x:v>
      </x:c>
      <x:c r="Z564" s="6" t="str">
        <x:v>https://github.com/hagenhaeussler/Industrial-Agents-Hackathon-2026/blob/f41616590b69f3ea0c1cbfb41d6c35edd9ce53df/data/train/osm-way50299720/questions_basic.jsonl#L2</x:v>
      </x:c>
      <x:c r="AA564" s="6" t="str">
        <x:v>osm_indoor</x:v>
      </x:c>
      <x:c r="AB564" s="6" t="str">
        <x:v>ODbL-1.0</x:v>
      </x:c>
    </x:row>
    <x:row r="565" ht="72" customHeight="1">
      <x:c r="A565" s="14" t="n">
        <x:v>560</x:v>
      </x:c>
      <x:c r="B565" s="6" t="str">
        <x:v>count</x:v>
      </x:c>
      <x:c r="C565" s="6" t="str">
        <x:v>How many desk items are on the ground floor?</x:v>
      </x:c>
      <x:c r="D565" s="6" t="str">
        <x:v>58 desk items
Floor level: 0</x:v>
      </x:c>
      <x:c r="E565" s="6" t="str">
        <x:v>Reference supplied</x:v>
      </x:c>
      <x:c r="F565" s="6" t="str">
        <x:v>train</x:v>
      </x:c>
      <x:c r="G565" s="6" t="str">
        <x:v>osm-way52060470</x:v>
      </x:c>
      <x:c r="H565" s="6" t="str">
        <x:v>osm-way52060470-Q03</x:v>
      </x:c>
      <x:c r="I565" s="6" t="str">
        <x:v>Find and count assets</x:v>
      </x:c>
      <x:c r="J565" s="6" t="str">
        <x:v>Warm-up</x:v>
      </x:c>
      <x:c r="K565" s="6" t="str">
        <x:v>An exact integer count with the scope stated in prose.</x:v>
      </x:c>
      <x:c r="L565" s="6" t="str">
        <x:v>T02, T03</x:v>
      </x:c>
      <x:c r="M565" s="6" t="str">
        <x:v>Count all items of a requested type on one floor.</x:v>
      </x:c>
      <x:c r="N565" s="6" t="str">
        <x:v>{"count":58,"asset_type":"desk","floor_level":0}</x:v>
      </x:c>
      <x:c r="O565" s="6"/>
      <x:c r="P565" s="6" t="str">
        <x:v>Exact asset type and target floor. Count complete collection.</x:v>
      </x:c>
      <x:c r="Q565" s="15" t="n">
        <x:v>58</x:v>
      </x:c>
      <x:c r="R565" s="6" t="str">
        <x:v>items</x:v>
      </x:c>
      <x:c r="S565" s="16"/>
      <x:c r="T565" s="15"/>
      <x:c r="U565" s="6"/>
      <x:c r="V565" s="6"/>
      <x:c r="W565" s="6" t="str">
        <x:v>No dedicated counting tool. search_building exposes matches but returns at most 15 results.</x:v>
      </x:c>
      <x:c r="X565" s="6" t="str">
        <x:v>data/train/osm-way52060470/questions_basic.jsonl</x:v>
      </x:c>
      <x:c r="Y565" s="14" t="n">
        <x:v>3</x:v>
      </x:c>
      <x:c r="Z565" s="6" t="str">
        <x:v>https://github.com/hagenhaeussler/Industrial-Agents-Hackathon-2026/blob/f41616590b69f3ea0c1cbfb41d6c35edd9ce53df/data/train/osm-way52060470/questions_basic.jsonl#L3</x:v>
      </x:c>
      <x:c r="AA565" s="6" t="str">
        <x:v>osm_indoor</x:v>
      </x:c>
      <x:c r="AB565" s="6" t="str">
        <x:v>ODbL-1.0</x:v>
      </x:c>
    </x:row>
    <x:row r="566" ht="72" customHeight="1">
      <x:c r="A566" s="14" t="n">
        <x:v>561</x:v>
      </x:c>
      <x:c r="B566" s="6" t="str">
        <x:v>count</x:v>
      </x:c>
      <x:c r="C566" s="6" t="str">
        <x:v>How many desk items are on the floor 2?</x:v>
      </x:c>
      <x:c r="D566" s="6" t="str">
        <x:v>124 desk items
Floor level: 2</x:v>
      </x:c>
      <x:c r="E566" s="6" t="str">
        <x:v>Reference supplied</x:v>
      </x:c>
      <x:c r="F566" s="6" t="str">
        <x:v>train</x:v>
      </x:c>
      <x:c r="G566" s="6" t="str">
        <x:v>osm-way58216509</x:v>
      </x:c>
      <x:c r="H566" s="6" t="str">
        <x:v>osm-way58216509-Q01</x:v>
      </x:c>
      <x:c r="I566" s="6" t="str">
        <x:v>Find and count assets</x:v>
      </x:c>
      <x:c r="J566" s="6" t="str">
        <x:v>Warm-up</x:v>
      </x:c>
      <x:c r="K566" s="6" t="str">
        <x:v>An exact integer count with the scope stated in prose.</x:v>
      </x:c>
      <x:c r="L566" s="6" t="str">
        <x:v>T02, T03</x:v>
      </x:c>
      <x:c r="M566" s="6" t="str">
        <x:v>Count all items of a requested type on one floor.</x:v>
      </x:c>
      <x:c r="N566" s="6" t="str">
        <x:v>{"count":124,"asset_type":"desk","floor_level":2}</x:v>
      </x:c>
      <x:c r="O566" s="6"/>
      <x:c r="P566" s="6" t="str">
        <x:v>Exact asset type and target floor. Count complete collection.</x:v>
      </x:c>
      <x:c r="Q566" s="15" t="n">
        <x:v>124</x:v>
      </x:c>
      <x:c r="R566" s="6" t="str">
        <x:v>items</x:v>
      </x:c>
      <x:c r="S566" s="16"/>
      <x:c r="T566" s="15"/>
      <x:c r="U566" s="6"/>
      <x:c r="V566" s="6"/>
      <x:c r="W566" s="6" t="str">
        <x:v>No dedicated counting tool. search_building exposes matches but returns at most 15 results.</x:v>
      </x:c>
      <x:c r="X566" s="6" t="str">
        <x:v>data/train/osm-way58216509/questions_basic.jsonl</x:v>
      </x:c>
      <x:c r="Y566" s="14" t="n">
        <x:v>1</x:v>
      </x:c>
      <x:c r="Z566" s="6" t="str">
        <x:v>https://github.com/hagenhaeussler/Industrial-Agents-Hackathon-2026/blob/f41616590b69f3ea0c1cbfb41d6c35edd9ce53df/data/train/osm-way58216509/questions_basic.jsonl#L1</x:v>
      </x:c>
      <x:c r="AA566" s="6" t="str">
        <x:v>osm_indoor</x:v>
      </x:c>
      <x:c r="AB566" s="6" t="str">
        <x:v>ODbL-1.0</x:v>
      </x:c>
    </x:row>
    <x:row r="567" ht="72" customHeight="1">
      <x:c r="A567" s="14" t="n">
        <x:v>562</x:v>
      </x:c>
      <x:c r="B567" s="6" t="str">
        <x:v>count</x:v>
      </x:c>
      <x:c r="C567" s="6" t="str">
        <x:v>How many coat rack items are on the basement 1?</x:v>
      </x:c>
      <x:c r="D567" s="6" t="str">
        <x:v>2 coat_rack items
Floor level: -1</x:v>
      </x:c>
      <x:c r="E567" s="6" t="str">
        <x:v>Reference supplied</x:v>
      </x:c>
      <x:c r="F567" s="6" t="str">
        <x:v>train</x:v>
      </x:c>
      <x:c r="G567" s="6" t="str">
        <x:v>osm-way61408163</x:v>
      </x:c>
      <x:c r="H567" s="6" t="str">
        <x:v>osm-way61408163-Q03</x:v>
      </x:c>
      <x:c r="I567" s="6" t="str">
        <x:v>Find and count assets</x:v>
      </x:c>
      <x:c r="J567" s="6" t="str">
        <x:v>Warm-up</x:v>
      </x:c>
      <x:c r="K567" s="6" t="str">
        <x:v>An exact integer count with the scope stated in prose.</x:v>
      </x:c>
      <x:c r="L567" s="6" t="str">
        <x:v>T02, T03</x:v>
      </x:c>
      <x:c r="M567" s="6" t="str">
        <x:v>Count all items of a requested type on one floor.</x:v>
      </x:c>
      <x:c r="N567" s="6" t="str">
        <x:v>{"count":2,"asset_type":"coat_rack","floor_level":-1}</x:v>
      </x:c>
      <x:c r="O567" s="6"/>
      <x:c r="P567" s="6" t="str">
        <x:v>Exact asset type and target floor. Count complete collection.</x:v>
      </x:c>
      <x:c r="Q567" s="15" t="n">
        <x:v>2</x:v>
      </x:c>
      <x:c r="R567" s="6" t="str">
        <x:v>items</x:v>
      </x:c>
      <x:c r="S567" s="16"/>
      <x:c r="T567" s="15"/>
      <x:c r="U567" s="6"/>
      <x:c r="V567" s="6"/>
      <x:c r="W567" s="6" t="str">
        <x:v>No dedicated counting tool. search_building exposes matches but returns at most 15 results.</x:v>
      </x:c>
      <x:c r="X567" s="6" t="str">
        <x:v>data/train/osm-way61408163/questions_basic.jsonl</x:v>
      </x:c>
      <x:c r="Y567" s="14" t="n">
        <x:v>3</x:v>
      </x:c>
      <x:c r="Z567" s="6" t="str">
        <x:v>https://github.com/hagenhaeussler/Industrial-Agents-Hackathon-2026/blob/f41616590b69f3ea0c1cbfb41d6c35edd9ce53df/data/train/osm-way61408163/questions_basic.jsonl#L3</x:v>
      </x:c>
      <x:c r="AA567" s="6" t="str">
        <x:v>osm_indoor</x:v>
      </x:c>
      <x:c r="AB567" s="6" t="str">
        <x:v>ODbL-1.0</x:v>
      </x:c>
    </x:row>
    <x:row r="568" ht="72" customHeight="1">
      <x:c r="A568" s="14" t="n">
        <x:v>563</x:v>
      </x:c>
      <x:c r="B568" s="6" t="str">
        <x:v>count</x:v>
      </x:c>
      <x:c r="C568" s="6" t="str">
        <x:v>How many whiteboard items are on the floor 3?</x:v>
      </x:c>
      <x:c r="D568" s="6" t="str">
        <x:v>2 whiteboard items
Floor level: 3</x:v>
      </x:c>
      <x:c r="E568" s="6" t="str">
        <x:v>Reference supplied</x:v>
      </x:c>
      <x:c r="F568" s="6" t="str">
        <x:v>train</x:v>
      </x:c>
      <x:c r="G568" s="6" t="str">
        <x:v>proc-campus-train-000</x:v>
      </x:c>
      <x:c r="H568" s="6" t="str">
        <x:v>proc-campus-train-000-Q04</x:v>
      </x:c>
      <x:c r="I568" s="6" t="str">
        <x:v>Find and count assets</x:v>
      </x:c>
      <x:c r="J568" s="6" t="str">
        <x:v>Warm-up</x:v>
      </x:c>
      <x:c r="K568" s="6" t="str">
        <x:v>An exact integer count with the scope stated in prose.</x:v>
      </x:c>
      <x:c r="L568" s="6" t="str">
        <x:v>T02, T03</x:v>
      </x:c>
      <x:c r="M568" s="6" t="str">
        <x:v>Count all items of a requested type on one floor.</x:v>
      </x:c>
      <x:c r="N568" s="6" t="str">
        <x:v>{"count":2,"asset_type":"whiteboard","floor_level":3}</x:v>
      </x:c>
      <x:c r="O568" s="6"/>
      <x:c r="P568" s="6" t="str">
        <x:v>Exact asset type and target floor. Count complete collection.</x:v>
      </x:c>
      <x:c r="Q568" s="15" t="n">
        <x:v>2</x:v>
      </x:c>
      <x:c r="R568" s="6" t="str">
        <x:v>items</x:v>
      </x:c>
      <x:c r="S568" s="16"/>
      <x:c r="T568" s="15"/>
      <x:c r="U568" s="6"/>
      <x:c r="V568" s="6"/>
      <x:c r="W568" s="6" t="str">
        <x:v>No dedicated counting tool. search_building exposes matches but returns at most 15 results.</x:v>
      </x:c>
      <x:c r="X568" s="6" t="str">
        <x:v>data/train/proc-campus-train-000/questions_basic.jsonl</x:v>
      </x:c>
      <x:c r="Y568" s="14" t="n">
        <x:v>4</x:v>
      </x:c>
      <x:c r="Z568" s="6" t="str">
        <x:v>https://github.com/hagenhaeussler/Industrial-Agents-Hackathon-2026/blob/f41616590b69f3ea0c1cbfb41d6c35edd9ce53df/data/train/proc-campus-train-000/questions_basic.jsonl#L4</x:v>
      </x:c>
      <x:c r="AA568" s="6" t="str">
        <x:v>procedural</x:v>
      </x:c>
      <x:c r="AB568" s="6" t="str">
        <x:v>CC0-1.0</x:v>
      </x:c>
    </x:row>
    <x:row r="569" ht="72" customHeight="1">
      <x:c r="A569" s="14" t="n">
        <x:v>564</x:v>
      </x:c>
      <x:c r="B569" s="6" t="str">
        <x:v>count</x:v>
      </x:c>
      <x:c r="C569" s="6" t="str">
        <x:v>How many fume hood items are on the floor 1?</x:v>
      </x:c>
      <x:c r="D569" s="6" t="str">
        <x:v>2 fume_hood items
Floor level: 1</x:v>
      </x:c>
      <x:c r="E569" s="6" t="str">
        <x:v>Reference supplied</x:v>
      </x:c>
      <x:c r="F569" s="6" t="str">
        <x:v>train</x:v>
      </x:c>
      <x:c r="G569" s="6" t="str">
        <x:v>proc-campus-train-001</x:v>
      </x:c>
      <x:c r="H569" s="6" t="str">
        <x:v>proc-campus-train-001-Q04</x:v>
      </x:c>
      <x:c r="I569" s="6" t="str">
        <x:v>Find and count assets</x:v>
      </x:c>
      <x:c r="J569" s="6" t="str">
        <x:v>Warm-up</x:v>
      </x:c>
      <x:c r="K569" s="6" t="str">
        <x:v>An exact integer count with the scope stated in prose.</x:v>
      </x:c>
      <x:c r="L569" s="6" t="str">
        <x:v>T02, T03</x:v>
      </x:c>
      <x:c r="M569" s="6" t="str">
        <x:v>Count all items of a requested type on one floor.</x:v>
      </x:c>
      <x:c r="N569" s="6" t="str">
        <x:v>{"count":2,"asset_type":"fume_hood","floor_level":1}</x:v>
      </x:c>
      <x:c r="O569" s="6"/>
      <x:c r="P569" s="6" t="str">
        <x:v>Exact asset type and target floor. Count complete collection.</x:v>
      </x:c>
      <x:c r="Q569" s="15" t="n">
        <x:v>2</x:v>
      </x:c>
      <x:c r="R569" s="6" t="str">
        <x:v>items</x:v>
      </x:c>
      <x:c r="S569" s="16"/>
      <x:c r="T569" s="15"/>
      <x:c r="U569" s="6"/>
      <x:c r="V569" s="6"/>
      <x:c r="W569" s="6" t="str">
        <x:v>No dedicated counting tool. search_building exposes matches but returns at most 15 results.</x:v>
      </x:c>
      <x:c r="X569" s="6" t="str">
        <x:v>data/train/proc-campus-train-001/questions_basic.jsonl</x:v>
      </x:c>
      <x:c r="Y569" s="14" t="n">
        <x:v>4</x:v>
      </x:c>
      <x:c r="Z569" s="6" t="str">
        <x:v>https://github.com/hagenhaeussler/Industrial-Agents-Hackathon-2026/blob/f41616590b69f3ea0c1cbfb41d6c35edd9ce53df/data/train/proc-campus-train-001/questions_basic.jsonl#L4</x:v>
      </x:c>
      <x:c r="AA569" s="6" t="str">
        <x:v>procedural</x:v>
      </x:c>
      <x:c r="AB569" s="6" t="str">
        <x:v>CC0-1.0</x:v>
      </x:c>
    </x:row>
    <x:row r="570" ht="72" customHeight="1">
      <x:c r="A570" s="14" t="n">
        <x:v>565</x:v>
      </x:c>
      <x:c r="B570" s="6" t="str">
        <x:v>count</x:v>
      </x:c>
      <x:c r="C570" s="6" t="str">
        <x:v>How many filing cabinet items are on the floor 3?</x:v>
      </x:c>
      <x:c r="D570" s="6" t="str">
        <x:v>3 filing_cabinet items
Floor level: 3</x:v>
      </x:c>
      <x:c r="E570" s="6" t="str">
        <x:v>Reference supplied</x:v>
      </x:c>
      <x:c r="F570" s="6" t="str">
        <x:v>train</x:v>
      </x:c>
      <x:c r="G570" s="6" t="str">
        <x:v>proc-campus-train-002</x:v>
      </x:c>
      <x:c r="H570" s="6" t="str">
        <x:v>proc-campus-train-002-Q04</x:v>
      </x:c>
      <x:c r="I570" s="6" t="str">
        <x:v>Find and count assets</x:v>
      </x:c>
      <x:c r="J570" s="6" t="str">
        <x:v>Warm-up</x:v>
      </x:c>
      <x:c r="K570" s="6" t="str">
        <x:v>An exact integer count with the scope stated in prose.</x:v>
      </x:c>
      <x:c r="L570" s="6" t="str">
        <x:v>T02, T03</x:v>
      </x:c>
      <x:c r="M570" s="6" t="str">
        <x:v>Count all items of a requested type on one floor.</x:v>
      </x:c>
      <x:c r="N570" s="6" t="str">
        <x:v>{"count":3,"asset_type":"filing_cabinet","floor_level":3}</x:v>
      </x:c>
      <x:c r="O570" s="6"/>
      <x:c r="P570" s="6" t="str">
        <x:v>Exact asset type and target floor. Count complete collection.</x:v>
      </x:c>
      <x:c r="Q570" s="15" t="n">
        <x:v>3</x:v>
      </x:c>
      <x:c r="R570" s="6" t="str">
        <x:v>items</x:v>
      </x:c>
      <x:c r="S570" s="16"/>
      <x:c r="T570" s="15"/>
      <x:c r="U570" s="6"/>
      <x:c r="V570" s="6"/>
      <x:c r="W570" s="6" t="str">
        <x:v>No dedicated counting tool. search_building exposes matches but returns at most 15 results.</x:v>
      </x:c>
      <x:c r="X570" s="6" t="str">
        <x:v>data/train/proc-campus-train-002/questions_basic.jsonl</x:v>
      </x:c>
      <x:c r="Y570" s="14" t="n">
        <x:v>4</x:v>
      </x:c>
      <x:c r="Z570" s="6" t="str">
        <x:v>https://github.com/hagenhaeussler/Industrial-Agents-Hackathon-2026/blob/f41616590b69f3ea0c1cbfb41d6c35edd9ce53df/data/train/proc-campus-train-002/questions_basic.jsonl#L4</x:v>
      </x:c>
      <x:c r="AA570" s="6" t="str">
        <x:v>procedural</x:v>
      </x:c>
      <x:c r="AB570" s="6" t="str">
        <x:v>CC0-1.0</x:v>
      </x:c>
    </x:row>
    <x:row r="571" ht="72" customHeight="1">
      <x:c r="A571" s="14" t="n">
        <x:v>566</x:v>
      </x:c>
      <x:c r="B571" s="6" t="str">
        <x:v>count</x:v>
      </x:c>
      <x:c r="C571" s="6" t="str">
        <x:v>How many oscilloscope station items are on the floor 1?</x:v>
      </x:c>
      <x:c r="D571" s="6" t="str">
        <x:v>8 oscilloscope_station items
Floor level: 1</x:v>
      </x:c>
      <x:c r="E571" s="6" t="str">
        <x:v>Reference supplied</x:v>
      </x:c>
      <x:c r="F571" s="6" t="str">
        <x:v>train</x:v>
      </x:c>
      <x:c r="G571" s="6" t="str">
        <x:v>proc-campus-train-003</x:v>
      </x:c>
      <x:c r="H571" s="6" t="str">
        <x:v>proc-campus-train-003-Q04</x:v>
      </x:c>
      <x:c r="I571" s="6" t="str">
        <x:v>Find and count assets</x:v>
      </x:c>
      <x:c r="J571" s="6" t="str">
        <x:v>Warm-up</x:v>
      </x:c>
      <x:c r="K571" s="6" t="str">
        <x:v>An exact integer count with the scope stated in prose.</x:v>
      </x:c>
      <x:c r="L571" s="6" t="str">
        <x:v>T02, T03</x:v>
      </x:c>
      <x:c r="M571" s="6" t="str">
        <x:v>Count all items of a requested type on one floor.</x:v>
      </x:c>
      <x:c r="N571" s="6" t="str">
        <x:v>{"count":8,"asset_type":"oscilloscope_station","floor_level":1}</x:v>
      </x:c>
      <x:c r="O571" s="6"/>
      <x:c r="P571" s="6" t="str">
        <x:v>Exact asset type and target floor. Count complete collection.</x:v>
      </x:c>
      <x:c r="Q571" s="15" t="n">
        <x:v>8</x:v>
      </x:c>
      <x:c r="R571" s="6" t="str">
        <x:v>items</x:v>
      </x:c>
      <x:c r="S571" s="16"/>
      <x:c r="T571" s="15"/>
      <x:c r="U571" s="6"/>
      <x:c r="V571" s="6"/>
      <x:c r="W571" s="6" t="str">
        <x:v>No dedicated counting tool. search_building exposes matches but returns at most 15 results.</x:v>
      </x:c>
      <x:c r="X571" s="6" t="str">
        <x:v>data/train/proc-campus-train-003/questions_basic.jsonl</x:v>
      </x:c>
      <x:c r="Y571" s="14" t="n">
        <x:v>4</x:v>
      </x:c>
      <x:c r="Z571" s="6" t="str">
        <x:v>https://github.com/hagenhaeussler/Industrial-Agents-Hackathon-2026/blob/f41616590b69f3ea0c1cbfb41d6c35edd9ce53df/data/train/proc-campus-train-003/questions_basic.jsonl#L4</x:v>
      </x:c>
      <x:c r="AA571" s="6" t="str">
        <x:v>procedural</x:v>
      </x:c>
      <x:c r="AB571" s="6" t="str">
        <x:v>CC0-1.0</x:v>
      </x:c>
    </x:row>
    <x:row r="572" ht="72" customHeight="1">
      <x:c r="A572" s="14" t="n">
        <x:v>567</x:v>
      </x:c>
      <x:c r="B572" s="6" t="str">
        <x:v>count</x:v>
      </x:c>
      <x:c r="C572" s="6" t="str">
        <x:v>How many microscope items are on the floor 2?</x:v>
      </x:c>
      <x:c r="D572" s="6" t="str">
        <x:v>4 microscope items
Floor level: 2</x:v>
      </x:c>
      <x:c r="E572" s="6" t="str">
        <x:v>Reference supplied</x:v>
      </x:c>
      <x:c r="F572" s="6" t="str">
        <x:v>train</x:v>
      </x:c>
      <x:c r="G572" s="6" t="str">
        <x:v>proc-campus-train-004</x:v>
      </x:c>
      <x:c r="H572" s="6" t="str">
        <x:v>proc-campus-train-004-Q04</x:v>
      </x:c>
      <x:c r="I572" s="6" t="str">
        <x:v>Find and count assets</x:v>
      </x:c>
      <x:c r="J572" s="6" t="str">
        <x:v>Warm-up</x:v>
      </x:c>
      <x:c r="K572" s="6" t="str">
        <x:v>An exact integer count with the scope stated in prose.</x:v>
      </x:c>
      <x:c r="L572" s="6" t="str">
        <x:v>T02, T03</x:v>
      </x:c>
      <x:c r="M572" s="6" t="str">
        <x:v>Count all items of a requested type on one floor.</x:v>
      </x:c>
      <x:c r="N572" s="6" t="str">
        <x:v>{"count":4,"asset_type":"microscope","floor_level":2}</x:v>
      </x:c>
      <x:c r="O572" s="6"/>
      <x:c r="P572" s="6" t="str">
        <x:v>Exact asset type and target floor. Count complete collection.</x:v>
      </x:c>
      <x:c r="Q572" s="15" t="n">
        <x:v>4</x:v>
      </x:c>
      <x:c r="R572" s="6" t="str">
        <x:v>items</x:v>
      </x:c>
      <x:c r="S572" s="16"/>
      <x:c r="T572" s="15"/>
      <x:c r="U572" s="6"/>
      <x:c r="V572" s="6"/>
      <x:c r="W572" s="6" t="str">
        <x:v>No dedicated counting tool. search_building exposes matches but returns at most 15 results.</x:v>
      </x:c>
      <x:c r="X572" s="6" t="str">
        <x:v>data/train/proc-campus-train-004/questions_basic.jsonl</x:v>
      </x:c>
      <x:c r="Y572" s="14" t="n">
        <x:v>4</x:v>
      </x:c>
      <x:c r="Z572" s="6" t="str">
        <x:v>https://github.com/hagenhaeussler/Industrial-Agents-Hackathon-2026/blob/f41616590b69f3ea0c1cbfb41d6c35edd9ce53df/data/train/proc-campus-train-004/questions_basic.jsonl#L4</x:v>
      </x:c>
      <x:c r="AA572" s="6" t="str">
        <x:v>procedural</x:v>
      </x:c>
      <x:c r="AB572" s="6" t="str">
        <x:v>CC0-1.0</x:v>
      </x:c>
    </x:row>
    <x:row r="573" ht="72" customHeight="1">
      <x:c r="A573" s="14" t="n">
        <x:v>568</x:v>
      </x:c>
      <x:c r="B573" s="6" t="str">
        <x:v>count</x:v>
      </x:c>
      <x:c r="C573" s="6" t="str">
        <x:v>How many microscope items are on the floor 2?</x:v>
      </x:c>
      <x:c r="D573" s="6" t="str">
        <x:v>4 microscope items
Floor level: 2</x:v>
      </x:c>
      <x:c r="E573" s="6" t="str">
        <x:v>Reference supplied</x:v>
      </x:c>
      <x:c r="F573" s="6" t="str">
        <x:v>train</x:v>
      </x:c>
      <x:c r="G573" s="6" t="str">
        <x:v>proc-campus-train-011</x:v>
      </x:c>
      <x:c r="H573" s="6" t="str">
        <x:v>proc-campus-train-011-Q04</x:v>
      </x:c>
      <x:c r="I573" s="6" t="str">
        <x:v>Find and count assets</x:v>
      </x:c>
      <x:c r="J573" s="6" t="str">
        <x:v>Warm-up</x:v>
      </x:c>
      <x:c r="K573" s="6" t="str">
        <x:v>An exact integer count with the scope stated in prose.</x:v>
      </x:c>
      <x:c r="L573" s="6" t="str">
        <x:v>T02, T03</x:v>
      </x:c>
      <x:c r="M573" s="6" t="str">
        <x:v>Count all items of a requested type on one floor.</x:v>
      </x:c>
      <x:c r="N573" s="6" t="str">
        <x:v>{"count":4,"asset_type":"microscope","floor_level":2}</x:v>
      </x:c>
      <x:c r="O573" s="6"/>
      <x:c r="P573" s="6" t="str">
        <x:v>Exact asset type and target floor. Count complete collection.</x:v>
      </x:c>
      <x:c r="Q573" s="15" t="n">
        <x:v>4</x:v>
      </x:c>
      <x:c r="R573" s="6" t="str">
        <x:v>items</x:v>
      </x:c>
      <x:c r="S573" s="16"/>
      <x:c r="T573" s="15"/>
      <x:c r="U573" s="6"/>
      <x:c r="V573" s="6"/>
      <x:c r="W573" s="6" t="str">
        <x:v>No dedicated counting tool. search_building exposes matches but returns at most 15 results.</x:v>
      </x:c>
      <x:c r="X573" s="6" t="str">
        <x:v>data/train/proc-campus-train-011/questions_basic.jsonl</x:v>
      </x:c>
      <x:c r="Y573" s="14" t="n">
        <x:v>4</x:v>
      </x:c>
      <x:c r="Z573" s="6" t="str">
        <x:v>https://github.com/hagenhaeussler/Industrial-Agents-Hackathon-2026/blob/f41616590b69f3ea0c1cbfb41d6c35edd9ce53df/data/train/proc-campus-train-011/questions_basic.jsonl#L4</x:v>
      </x:c>
      <x:c r="AA573" s="6" t="str">
        <x:v>procedural</x:v>
      </x:c>
      <x:c r="AB573" s="6" t="str">
        <x:v>CC0-1.0</x:v>
      </x:c>
    </x:row>
    <x:row r="574" ht="72" customHeight="1">
      <x:c r="A574" s="14" t="n">
        <x:v>569</x:v>
      </x:c>
      <x:c r="B574" s="6" t="str">
        <x:v>count</x:v>
      </x:c>
      <x:c r="C574" s="6" t="str">
        <x:v>How many seating row items are on the ground floor?</x:v>
      </x:c>
      <x:c r="D574" s="6" t="str">
        <x:v>7 lecture_seating_row items
Floor level: 0</x:v>
      </x:c>
      <x:c r="E574" s="6" t="str">
        <x:v>Reference supplied</x:v>
      </x:c>
      <x:c r="F574" s="6" t="str">
        <x:v>train</x:v>
      </x:c>
      <x:c r="G574" s="6" t="str">
        <x:v>proc-campus-train-012</x:v>
      </x:c>
      <x:c r="H574" s="6" t="str">
        <x:v>proc-campus-train-012-Q04</x:v>
      </x:c>
      <x:c r="I574" s="6" t="str">
        <x:v>Find and count assets</x:v>
      </x:c>
      <x:c r="J574" s="6" t="str">
        <x:v>Warm-up</x:v>
      </x:c>
      <x:c r="K574" s="6" t="str">
        <x:v>An exact integer count with the scope stated in prose.</x:v>
      </x:c>
      <x:c r="L574" s="6" t="str">
        <x:v>T02, T03</x:v>
      </x:c>
      <x:c r="M574" s="6" t="str">
        <x:v>Count all items of a requested type on one floor.</x:v>
      </x:c>
      <x:c r="N574" s="6" t="str">
        <x:v>{"count":7,"asset_type":"lecture_seating_row","floor_level":0}</x:v>
      </x:c>
      <x:c r="O574" s="6"/>
      <x:c r="P574" s="6" t="str">
        <x:v>Exact asset type and target floor. Count complete collection.</x:v>
      </x:c>
      <x:c r="Q574" s="15" t="n">
        <x:v>7</x:v>
      </x:c>
      <x:c r="R574" s="6" t="str">
        <x:v>items</x:v>
      </x:c>
      <x:c r="S574" s="16"/>
      <x:c r="T574" s="15"/>
      <x:c r="U574" s="6"/>
      <x:c r="V574" s="6"/>
      <x:c r="W574" s="6" t="str">
        <x:v>No dedicated counting tool. search_building exposes matches but returns at most 15 results.</x:v>
      </x:c>
      <x:c r="X574" s="6" t="str">
        <x:v>data/train/proc-campus-train-012/questions_basic.jsonl</x:v>
      </x:c>
      <x:c r="Y574" s="14" t="n">
        <x:v>4</x:v>
      </x:c>
      <x:c r="Z574" s="6" t="str">
        <x:v>https://github.com/hagenhaeussler/Industrial-Agents-Hackathon-2026/blob/f41616590b69f3ea0c1cbfb41d6c35edd9ce53df/data/train/proc-campus-train-012/questions_basic.jsonl#L4</x:v>
      </x:c>
      <x:c r="AA574" s="6" t="str">
        <x:v>procedural</x:v>
      </x:c>
      <x:c r="AB574" s="6" t="str">
        <x:v>CC0-1.0</x:v>
      </x:c>
    </x:row>
    <x:row r="575" ht="72" customHeight="1">
      <x:c r="A575" s="14" t="n">
        <x:v>570</x:v>
      </x:c>
      <x:c r="B575" s="6" t="str">
        <x:v>count</x:v>
      </x:c>
      <x:c r="C575" s="6" t="str">
        <x:v>How many desk items are on the floor 1?</x:v>
      </x:c>
      <x:c r="D575" s="6" t="str">
        <x:v>13 desk items
Floor level: 1</x:v>
      </x:c>
      <x:c r="E575" s="6" t="str">
        <x:v>Reference supplied</x:v>
      </x:c>
      <x:c r="F575" s="6" t="str">
        <x:v>train</x:v>
      </x:c>
      <x:c r="G575" s="6" t="str">
        <x:v>proc-campus-train-013</x:v>
      </x:c>
      <x:c r="H575" s="6" t="str">
        <x:v>proc-campus-train-013-Q04</x:v>
      </x:c>
      <x:c r="I575" s="6" t="str">
        <x:v>Find and count assets</x:v>
      </x:c>
      <x:c r="J575" s="6" t="str">
        <x:v>Warm-up</x:v>
      </x:c>
      <x:c r="K575" s="6" t="str">
        <x:v>An exact integer count with the scope stated in prose.</x:v>
      </x:c>
      <x:c r="L575" s="6" t="str">
        <x:v>T02, T03</x:v>
      </x:c>
      <x:c r="M575" s="6" t="str">
        <x:v>Count all items of a requested type on one floor.</x:v>
      </x:c>
      <x:c r="N575" s="6" t="str">
        <x:v>{"count":13,"asset_type":"desk","floor_level":1}</x:v>
      </x:c>
      <x:c r="O575" s="6"/>
      <x:c r="P575" s="6" t="str">
        <x:v>Exact asset type and target floor. Count complete collection.</x:v>
      </x:c>
      <x:c r="Q575" s="15" t="n">
        <x:v>13</x:v>
      </x:c>
      <x:c r="R575" s="6" t="str">
        <x:v>items</x:v>
      </x:c>
      <x:c r="S575" s="16"/>
      <x:c r="T575" s="15"/>
      <x:c r="U575" s="6"/>
      <x:c r="V575" s="6"/>
      <x:c r="W575" s="6" t="str">
        <x:v>No dedicated counting tool. search_building exposes matches but returns at most 15 results.</x:v>
      </x:c>
      <x:c r="X575" s="6" t="str">
        <x:v>data/train/proc-campus-train-013/questions_basic.jsonl</x:v>
      </x:c>
      <x:c r="Y575" s="14" t="n">
        <x:v>4</x:v>
      </x:c>
      <x:c r="Z575" s="6" t="str">
        <x:v>https://github.com/hagenhaeussler/Industrial-Agents-Hackathon-2026/blob/f41616590b69f3ea0c1cbfb41d6c35edd9ce53df/data/train/proc-campus-train-013/questions_basic.jsonl#L4</x:v>
      </x:c>
      <x:c r="AA575" s="6" t="str">
        <x:v>procedural</x:v>
      </x:c>
      <x:c r="AB575" s="6" t="str">
        <x:v>CC0-1.0</x:v>
      </x:c>
    </x:row>
    <x:row r="576" ht="72" customHeight="1">
      <x:c r="A576" s="14" t="n">
        <x:v>571</x:v>
      </x:c>
      <x:c r="B576" s="6" t="str">
        <x:v>count</x:v>
      </x:c>
      <x:c r="C576" s="6" t="str">
        <x:v>How many microscope items are on the floor 1?</x:v>
      </x:c>
      <x:c r="D576" s="6" t="str">
        <x:v>3 microscope items
Floor level: 1</x:v>
      </x:c>
      <x:c r="E576" s="6" t="str">
        <x:v>Reference supplied</x:v>
      </x:c>
      <x:c r="F576" s="6" t="str">
        <x:v>train</x:v>
      </x:c>
      <x:c r="G576" s="6" t="str">
        <x:v>proc-campus-train-014</x:v>
      </x:c>
      <x:c r="H576" s="6" t="str">
        <x:v>proc-campus-train-014-Q04</x:v>
      </x:c>
      <x:c r="I576" s="6" t="str">
        <x:v>Find and count assets</x:v>
      </x:c>
      <x:c r="J576" s="6" t="str">
        <x:v>Warm-up</x:v>
      </x:c>
      <x:c r="K576" s="6" t="str">
        <x:v>An exact integer count with the scope stated in prose.</x:v>
      </x:c>
      <x:c r="L576" s="6" t="str">
        <x:v>T02, T03</x:v>
      </x:c>
      <x:c r="M576" s="6" t="str">
        <x:v>Count all items of a requested type on one floor.</x:v>
      </x:c>
      <x:c r="N576" s="6" t="str">
        <x:v>{"count":3,"asset_type":"microscope","floor_level":1}</x:v>
      </x:c>
      <x:c r="O576" s="6"/>
      <x:c r="P576" s="6" t="str">
        <x:v>Exact asset type and target floor. Count complete collection.</x:v>
      </x:c>
      <x:c r="Q576" s="15" t="n">
        <x:v>3</x:v>
      </x:c>
      <x:c r="R576" s="6" t="str">
        <x:v>items</x:v>
      </x:c>
      <x:c r="S576" s="16"/>
      <x:c r="T576" s="15"/>
      <x:c r="U576" s="6"/>
      <x:c r="V576" s="6"/>
      <x:c r="W576" s="6" t="str">
        <x:v>No dedicated counting tool. search_building exposes matches but returns at most 15 results.</x:v>
      </x:c>
      <x:c r="X576" s="6" t="str">
        <x:v>data/train/proc-campus-train-014/questions_basic.jsonl</x:v>
      </x:c>
      <x:c r="Y576" s="14" t="n">
        <x:v>4</x:v>
      </x:c>
      <x:c r="Z576" s="6" t="str">
        <x:v>https://github.com/hagenhaeussler/Industrial-Agents-Hackathon-2026/blob/f41616590b69f3ea0c1cbfb41d6c35edd9ce53df/data/train/proc-campus-train-014/questions_basic.jsonl#L4</x:v>
      </x:c>
      <x:c r="AA576" s="6" t="str">
        <x:v>procedural</x:v>
      </x:c>
      <x:c r="AB576" s="6" t="str">
        <x:v>CC0-1.0</x:v>
      </x:c>
    </x:row>
    <x:row r="577" ht="72" customHeight="1">
      <x:c r="A577" s="14" t="n">
        <x:v>572</x:v>
      </x:c>
      <x:c r="B577" s="6" t="str">
        <x:v>count</x:v>
      </x:c>
      <x:c r="C577" s="6" t="str">
        <x:v>How many seating row items are on the ground floor?</x:v>
      </x:c>
      <x:c r="D577" s="6" t="str">
        <x:v>9 lecture_seating_row items
Floor level: 0</x:v>
      </x:c>
      <x:c r="E577" s="6" t="str">
        <x:v>Reference supplied</x:v>
      </x:c>
      <x:c r="F577" s="6" t="str">
        <x:v>train</x:v>
      </x:c>
      <x:c r="G577" s="6" t="str">
        <x:v>proc-campus-train-016</x:v>
      </x:c>
      <x:c r="H577" s="6" t="str">
        <x:v>proc-campus-train-016-Q04</x:v>
      </x:c>
      <x:c r="I577" s="6" t="str">
        <x:v>Find and count assets</x:v>
      </x:c>
      <x:c r="J577" s="6" t="str">
        <x:v>Warm-up</x:v>
      </x:c>
      <x:c r="K577" s="6" t="str">
        <x:v>An exact integer count with the scope stated in prose.</x:v>
      </x:c>
      <x:c r="L577" s="6" t="str">
        <x:v>T02, T03</x:v>
      </x:c>
      <x:c r="M577" s="6" t="str">
        <x:v>Count all items of a requested type on one floor.</x:v>
      </x:c>
      <x:c r="N577" s="6" t="str">
        <x:v>{"count":9,"asset_type":"lecture_seating_row","floor_level":0}</x:v>
      </x:c>
      <x:c r="O577" s="6"/>
      <x:c r="P577" s="6" t="str">
        <x:v>Exact asset type and target floor. Count complete collection.</x:v>
      </x:c>
      <x:c r="Q577" s="15" t="n">
        <x:v>9</x:v>
      </x:c>
      <x:c r="R577" s="6" t="str">
        <x:v>items</x:v>
      </x:c>
      <x:c r="S577" s="16"/>
      <x:c r="T577" s="15"/>
      <x:c r="U577" s="6"/>
      <x:c r="V577" s="6"/>
      <x:c r="W577" s="6" t="str">
        <x:v>No dedicated counting tool. search_building exposes matches but returns at most 15 results.</x:v>
      </x:c>
      <x:c r="X577" s="6" t="str">
        <x:v>data/train/proc-campus-train-016/questions_basic.jsonl</x:v>
      </x:c>
      <x:c r="Y577" s="14" t="n">
        <x:v>4</x:v>
      </x:c>
      <x:c r="Z577" s="6" t="str">
        <x:v>https://github.com/hagenhaeussler/Industrial-Agents-Hackathon-2026/blob/f41616590b69f3ea0c1cbfb41d6c35edd9ce53df/data/train/proc-campus-train-016/questions_basic.jsonl#L4</x:v>
      </x:c>
      <x:c r="AA577" s="6" t="str">
        <x:v>procedural</x:v>
      </x:c>
      <x:c r="AB577" s="6" t="str">
        <x:v>CC0-1.0</x:v>
      </x:c>
    </x:row>
    <x:row r="578" ht="72" customHeight="1">
      <x:c r="A578" s="14" t="n">
        <x:v>573</x:v>
      </x:c>
      <x:c r="B578" s="6" t="str">
        <x:v>count</x:v>
      </x:c>
      <x:c r="C578" s="6" t="str">
        <x:v>How many fume hood items are on the floor 1?</x:v>
      </x:c>
      <x:c r="D578" s="6" t="str">
        <x:v>3 fume_hood items
Floor level: 1</x:v>
      </x:c>
      <x:c r="E578" s="6" t="str">
        <x:v>Reference supplied</x:v>
      </x:c>
      <x:c r="F578" s="6" t="str">
        <x:v>train</x:v>
      </x:c>
      <x:c r="G578" s="6" t="str">
        <x:v>proc-campus-train-019</x:v>
      </x:c>
      <x:c r="H578" s="6" t="str">
        <x:v>proc-campus-train-019-Q04</x:v>
      </x:c>
      <x:c r="I578" s="6" t="str">
        <x:v>Find and count assets</x:v>
      </x:c>
      <x:c r="J578" s="6" t="str">
        <x:v>Warm-up</x:v>
      </x:c>
      <x:c r="K578" s="6" t="str">
        <x:v>An exact integer count with the scope stated in prose.</x:v>
      </x:c>
      <x:c r="L578" s="6" t="str">
        <x:v>T02, T03</x:v>
      </x:c>
      <x:c r="M578" s="6" t="str">
        <x:v>Count all items of a requested type on one floor.</x:v>
      </x:c>
      <x:c r="N578" s="6" t="str">
        <x:v>{"count":3,"asset_type":"fume_hood","floor_level":1}</x:v>
      </x:c>
      <x:c r="O578" s="6"/>
      <x:c r="P578" s="6" t="str">
        <x:v>Exact asset type and target floor. Count complete collection.</x:v>
      </x:c>
      <x:c r="Q578" s="15" t="n">
        <x:v>3</x:v>
      </x:c>
      <x:c r="R578" s="6" t="str">
        <x:v>items</x:v>
      </x:c>
      <x:c r="S578" s="16"/>
      <x:c r="T578" s="15"/>
      <x:c r="U578" s="6"/>
      <x:c r="V578" s="6"/>
      <x:c r="W578" s="6" t="str">
        <x:v>No dedicated counting tool. search_building exposes matches but returns at most 15 results.</x:v>
      </x:c>
      <x:c r="X578" s="6" t="str">
        <x:v>data/train/proc-campus-train-019/questions_basic.jsonl</x:v>
      </x:c>
      <x:c r="Y578" s="14" t="n">
        <x:v>4</x:v>
      </x:c>
      <x:c r="Z578" s="6" t="str">
        <x:v>https://github.com/hagenhaeussler/Industrial-Agents-Hackathon-2026/blob/f41616590b69f3ea0c1cbfb41d6c35edd9ce53df/data/train/proc-campus-train-019/questions_basic.jsonl#L4</x:v>
      </x:c>
      <x:c r="AA578" s="6" t="str">
        <x:v>procedural</x:v>
      </x:c>
      <x:c r="AB578" s="6" t="str">
        <x:v>CC0-1.0</x:v>
      </x:c>
    </x:row>
    <x:row r="579" ht="72" customHeight="1">
      <x:c r="A579" s="14" t="n">
        <x:v>574</x:v>
      </x:c>
      <x:c r="B579" s="6" t="str">
        <x:v>count</x:v>
      </x:c>
      <x:c r="C579" s="6" t="str">
        <x:v>How many toilet items are on the floor 1?</x:v>
      </x:c>
      <x:c r="D579" s="6" t="str">
        <x:v>3 toilet items
Floor level: 1</x:v>
      </x:c>
      <x:c r="E579" s="6" t="str">
        <x:v>Reference supplied</x:v>
      </x:c>
      <x:c r="F579" s="6" t="str">
        <x:v>train</x:v>
      </x:c>
      <x:c r="G579" s="6" t="str">
        <x:v>proc-factory-train-005</x:v>
      </x:c>
      <x:c r="H579" s="6" t="str">
        <x:v>proc-factory-train-005-Q04</x:v>
      </x:c>
      <x:c r="I579" s="6" t="str">
        <x:v>Find and count assets</x:v>
      </x:c>
      <x:c r="J579" s="6" t="str">
        <x:v>Warm-up</x:v>
      </x:c>
      <x:c r="K579" s="6" t="str">
        <x:v>An exact integer count with the scope stated in prose.</x:v>
      </x:c>
      <x:c r="L579" s="6" t="str">
        <x:v>T02, T03</x:v>
      </x:c>
      <x:c r="M579" s="6" t="str">
        <x:v>Count all items of a requested type on one floor.</x:v>
      </x:c>
      <x:c r="N579" s="6" t="str">
        <x:v>{"count":3,"asset_type":"toilet","floor_level":1}</x:v>
      </x:c>
      <x:c r="O579" s="6"/>
      <x:c r="P579" s="6" t="str">
        <x:v>Exact asset type and target floor. Count complete collection.</x:v>
      </x:c>
      <x:c r="Q579" s="15" t="n">
        <x:v>3</x:v>
      </x:c>
      <x:c r="R579" s="6" t="str">
        <x:v>items</x:v>
      </x:c>
      <x:c r="S579" s="16"/>
      <x:c r="T579" s="15"/>
      <x:c r="U579" s="6"/>
      <x:c r="V579" s="6"/>
      <x:c r="W579" s="6" t="str">
        <x:v>No dedicated counting tool. search_building exposes matches but returns at most 15 results.</x:v>
      </x:c>
      <x:c r="X579" s="6" t="str">
        <x:v>data/train/proc-factory-train-005/questions_basic.jsonl</x:v>
      </x:c>
      <x:c r="Y579" s="14" t="n">
        <x:v>4</x:v>
      </x:c>
      <x:c r="Z579" s="6" t="str">
        <x:v>https://github.com/hagenhaeussler/Industrial-Agents-Hackathon-2026/blob/f41616590b69f3ea0c1cbfb41d6c35edd9ce53df/data/train/proc-factory-train-005/questions_basic.jsonl#L4</x:v>
      </x:c>
      <x:c r="AA579" s="6" t="str">
        <x:v>procedural</x:v>
      </x:c>
      <x:c r="AB579" s="6" t="str">
        <x:v>CC0-1.0</x:v>
      </x:c>
    </x:row>
    <x:row r="580" ht="72" customHeight="1">
      <x:c r="A580" s="14" t="n">
        <x:v>575</x:v>
      </x:c>
      <x:c r="B580" s="6" t="str">
        <x:v>count</x:v>
      </x:c>
      <x:c r="C580" s="6" t="str">
        <x:v>How many meeting table items are on the ground floor?</x:v>
      </x:c>
      <x:c r="D580" s="6" t="str">
        <x:v>2 meeting_table items
Floor level: 0</x:v>
      </x:c>
      <x:c r="E580" s="6" t="str">
        <x:v>Reference supplied</x:v>
      </x:c>
      <x:c r="F580" s="6" t="str">
        <x:v>train</x:v>
      </x:c>
      <x:c r="G580" s="6" t="str">
        <x:v>proc-factory-train-006</x:v>
      </x:c>
      <x:c r="H580" s="6" t="str">
        <x:v>proc-factory-train-006-Q04</x:v>
      </x:c>
      <x:c r="I580" s="6" t="str">
        <x:v>Find and count assets</x:v>
      </x:c>
      <x:c r="J580" s="6" t="str">
        <x:v>Warm-up</x:v>
      </x:c>
      <x:c r="K580" s="6" t="str">
        <x:v>An exact integer count with the scope stated in prose.</x:v>
      </x:c>
      <x:c r="L580" s="6" t="str">
        <x:v>T02, T03</x:v>
      </x:c>
      <x:c r="M580" s="6" t="str">
        <x:v>Count all items of a requested type on one floor.</x:v>
      </x:c>
      <x:c r="N580" s="6" t="str">
        <x:v>{"count":2,"asset_type":"meeting_table","floor_level":0}</x:v>
      </x:c>
      <x:c r="O580" s="6"/>
      <x:c r="P580" s="6" t="str">
        <x:v>Exact asset type and target floor. Count complete collection.</x:v>
      </x:c>
      <x:c r="Q580" s="15" t="n">
        <x:v>2</x:v>
      </x:c>
      <x:c r="R580" s="6" t="str">
        <x:v>items</x:v>
      </x:c>
      <x:c r="S580" s="16"/>
      <x:c r="T580" s="15"/>
      <x:c r="U580" s="6"/>
      <x:c r="V580" s="6"/>
      <x:c r="W580" s="6" t="str">
        <x:v>No dedicated counting tool. search_building exposes matches but returns at most 15 results.</x:v>
      </x:c>
      <x:c r="X580" s="6" t="str">
        <x:v>data/train/proc-factory-train-006/questions_basic.jsonl</x:v>
      </x:c>
      <x:c r="Y580" s="14" t="n">
        <x:v>4</x:v>
      </x:c>
      <x:c r="Z580" s="6" t="str">
        <x:v>https://github.com/hagenhaeussler/Industrial-Agents-Hackathon-2026/blob/f41616590b69f3ea0c1cbfb41d6c35edd9ce53df/data/train/proc-factory-train-006/questions_basic.jsonl#L4</x:v>
      </x:c>
      <x:c r="AA580" s="6" t="str">
        <x:v>procedural</x:v>
      </x:c>
      <x:c r="AB580" s="6" t="str">
        <x:v>CC0-1.0</x:v>
      </x:c>
    </x:row>
    <x:row r="581" ht="72" customHeight="1">
      <x:c r="A581" s="14" t="n">
        <x:v>576</x:v>
      </x:c>
      <x:c r="B581" s="6" t="str">
        <x:v>count</x:v>
      </x:c>
      <x:c r="C581" s="6" t="str">
        <x:v>How many office chair items are on the ground floor?</x:v>
      </x:c>
      <x:c r="D581" s="6" t="str">
        <x:v>11 office_chair items
Floor level: 0</x:v>
      </x:c>
      <x:c r="E581" s="6" t="str">
        <x:v>Reference supplied</x:v>
      </x:c>
      <x:c r="F581" s="6" t="str">
        <x:v>train</x:v>
      </x:c>
      <x:c r="G581" s="6" t="str">
        <x:v>proc-factory-train-007</x:v>
      </x:c>
      <x:c r="H581" s="6" t="str">
        <x:v>proc-factory-train-007-Q04</x:v>
      </x:c>
      <x:c r="I581" s="6" t="str">
        <x:v>Find and count assets</x:v>
      </x:c>
      <x:c r="J581" s="6" t="str">
        <x:v>Warm-up</x:v>
      </x:c>
      <x:c r="K581" s="6" t="str">
        <x:v>An exact integer count with the scope stated in prose.</x:v>
      </x:c>
      <x:c r="L581" s="6" t="str">
        <x:v>T02, T03</x:v>
      </x:c>
      <x:c r="M581" s="6" t="str">
        <x:v>Count all items of a requested type on one floor.</x:v>
      </x:c>
      <x:c r="N581" s="6" t="str">
        <x:v>{"count":11,"asset_type":"office_chair","floor_level":0}</x:v>
      </x:c>
      <x:c r="O581" s="6"/>
      <x:c r="P581" s="6" t="str">
        <x:v>Exact asset type and target floor. Count complete collection.</x:v>
      </x:c>
      <x:c r="Q581" s="15" t="n">
        <x:v>11</x:v>
      </x:c>
      <x:c r="R581" s="6" t="str">
        <x:v>items</x:v>
      </x:c>
      <x:c r="S581" s="16"/>
      <x:c r="T581" s="15"/>
      <x:c r="U581" s="6"/>
      <x:c r="V581" s="6"/>
      <x:c r="W581" s="6" t="str">
        <x:v>No dedicated counting tool. search_building exposes matches but returns at most 15 results.</x:v>
      </x:c>
      <x:c r="X581" s="6" t="str">
        <x:v>data/train/proc-factory-train-007/questions_basic.jsonl</x:v>
      </x:c>
      <x:c r="Y581" s="14" t="n">
        <x:v>4</x:v>
      </x:c>
      <x:c r="Z581" s="6" t="str">
        <x:v>https://github.com/hagenhaeussler/Industrial-Agents-Hackathon-2026/blob/f41616590b69f3ea0c1cbfb41d6c35edd9ce53df/data/train/proc-factory-train-007/questions_basic.jsonl#L4</x:v>
      </x:c>
      <x:c r="AA581" s="6" t="str">
        <x:v>procedural</x:v>
      </x:c>
      <x:c r="AB581" s="6" t="str">
        <x:v>CC0-1.0</x:v>
      </x:c>
    </x:row>
    <x:row r="582" ht="72" customHeight="1">
      <x:c r="A582" s="14" t="n">
        <x:v>577</x:v>
      </x:c>
      <x:c r="B582" s="6" t="str">
        <x:v>count</x:v>
      </x:c>
      <x:c r="C582" s="6" t="str">
        <x:v>How many meeting table items are on the floor 1?</x:v>
      </x:c>
      <x:c r="D582" s="6" t="str">
        <x:v>3 meeting_table items
Floor level: 1</x:v>
      </x:c>
      <x:c r="E582" s="6" t="str">
        <x:v>Reference supplied</x:v>
      </x:c>
      <x:c r="F582" s="6" t="str">
        <x:v>train</x:v>
      </x:c>
      <x:c r="G582" s="6" t="str">
        <x:v>proc-factory-train-008</x:v>
      </x:c>
      <x:c r="H582" s="6" t="str">
        <x:v>proc-factory-train-008-Q04</x:v>
      </x:c>
      <x:c r="I582" s="6" t="str">
        <x:v>Find and count assets</x:v>
      </x:c>
      <x:c r="J582" s="6" t="str">
        <x:v>Warm-up</x:v>
      </x:c>
      <x:c r="K582" s="6" t="str">
        <x:v>An exact integer count with the scope stated in prose.</x:v>
      </x:c>
      <x:c r="L582" s="6" t="str">
        <x:v>T02, T03</x:v>
      </x:c>
      <x:c r="M582" s="6" t="str">
        <x:v>Count all items of a requested type on one floor.</x:v>
      </x:c>
      <x:c r="N582" s="6" t="str">
        <x:v>{"count":3,"asset_type":"meeting_table","floor_level":1}</x:v>
      </x:c>
      <x:c r="O582" s="6"/>
      <x:c r="P582" s="6" t="str">
        <x:v>Exact asset type and target floor. Count complete collection.</x:v>
      </x:c>
      <x:c r="Q582" s="15" t="n">
        <x:v>3</x:v>
      </x:c>
      <x:c r="R582" s="6" t="str">
        <x:v>items</x:v>
      </x:c>
      <x:c r="S582" s="16"/>
      <x:c r="T582" s="15"/>
      <x:c r="U582" s="6"/>
      <x:c r="V582" s="6"/>
      <x:c r="W582" s="6" t="str">
        <x:v>No dedicated counting tool. search_building exposes matches but returns at most 15 results.</x:v>
      </x:c>
      <x:c r="X582" s="6" t="str">
        <x:v>data/train/proc-factory-train-008/questions_basic.jsonl</x:v>
      </x:c>
      <x:c r="Y582" s="14" t="n">
        <x:v>4</x:v>
      </x:c>
      <x:c r="Z582" s="6" t="str">
        <x:v>https://github.com/hagenhaeussler/Industrial-Agents-Hackathon-2026/blob/f41616590b69f3ea0c1cbfb41d6c35edd9ce53df/data/train/proc-factory-train-008/questions_basic.jsonl#L4</x:v>
      </x:c>
      <x:c r="AA582" s="6" t="str">
        <x:v>procedural</x:v>
      </x:c>
      <x:c r="AB582" s="6" t="str">
        <x:v>CC0-1.0</x:v>
      </x:c>
    </x:row>
    <x:row r="583" ht="72" customHeight="1">
      <x:c r="A583" s="14" t="n">
        <x:v>578</x:v>
      </x:c>
      <x:c r="B583" s="6" t="str">
        <x:v>count</x:v>
      </x:c>
      <x:c r="C583" s="6" t="str">
        <x:v>How many server rack items are on the ground floor?</x:v>
      </x:c>
      <x:c r="D583" s="6" t="str">
        <x:v>5 server_rack items
Floor level: 0</x:v>
      </x:c>
      <x:c r="E583" s="6" t="str">
        <x:v>Reference supplied</x:v>
      </x:c>
      <x:c r="F583" s="6" t="str">
        <x:v>train</x:v>
      </x:c>
      <x:c r="G583" s="6" t="str">
        <x:v>proc-factory-train-009</x:v>
      </x:c>
      <x:c r="H583" s="6" t="str">
        <x:v>proc-factory-train-009-Q04</x:v>
      </x:c>
      <x:c r="I583" s="6" t="str">
        <x:v>Find and count assets</x:v>
      </x:c>
      <x:c r="J583" s="6" t="str">
        <x:v>Warm-up</x:v>
      </x:c>
      <x:c r="K583" s="6" t="str">
        <x:v>An exact integer count with the scope stated in prose.</x:v>
      </x:c>
      <x:c r="L583" s="6" t="str">
        <x:v>T02, T03</x:v>
      </x:c>
      <x:c r="M583" s="6" t="str">
        <x:v>Count all items of a requested type on one floor.</x:v>
      </x:c>
      <x:c r="N583" s="6" t="str">
        <x:v>{"count":5,"asset_type":"server_rack","floor_level":0}</x:v>
      </x:c>
      <x:c r="O583" s="6"/>
      <x:c r="P583" s="6" t="str">
        <x:v>Exact asset type and target floor. Count complete collection.</x:v>
      </x:c>
      <x:c r="Q583" s="15" t="n">
        <x:v>5</x:v>
      </x:c>
      <x:c r="R583" s="6" t="str">
        <x:v>items</x:v>
      </x:c>
      <x:c r="S583" s="16"/>
      <x:c r="T583" s="15"/>
      <x:c r="U583" s="6"/>
      <x:c r="V583" s="6"/>
      <x:c r="W583" s="6" t="str">
        <x:v>No dedicated counting tool. search_building exposes matches but returns at most 15 results.</x:v>
      </x:c>
      <x:c r="X583" s="6" t="str">
        <x:v>data/train/proc-factory-train-009/questions_basic.jsonl</x:v>
      </x:c>
      <x:c r="Y583" s="14" t="n">
        <x:v>4</x:v>
      </x:c>
      <x:c r="Z583" s="6" t="str">
        <x:v>https://github.com/hagenhaeussler/Industrial-Agents-Hackathon-2026/blob/f41616590b69f3ea0c1cbfb41d6c35edd9ce53df/data/train/proc-factory-train-009/questions_basic.jsonl#L4</x:v>
      </x:c>
      <x:c r="AA583" s="6" t="str">
        <x:v>procedural</x:v>
      </x:c>
      <x:c r="AB583" s="6" t="str">
        <x:v>CC0-1.0</x:v>
      </x:c>
    </x:row>
    <x:row r="584" ht="72" customHeight="1">
      <x:c r="A584" s="14" t="n">
        <x:v>579</x:v>
      </x:c>
      <x:c r="B584" s="6" t="str">
        <x:v>count</x:v>
      </x:c>
      <x:c r="C584" s="6" t="str">
        <x:v>How many meeting table items are on the ground floor?</x:v>
      </x:c>
      <x:c r="D584" s="6" t="str">
        <x:v>3 meeting_table items
Floor level: 0</x:v>
      </x:c>
      <x:c r="E584" s="6" t="str">
        <x:v>Reference supplied</x:v>
      </x:c>
      <x:c r="F584" s="6" t="str">
        <x:v>train</x:v>
      </x:c>
      <x:c r="G584" s="6" t="str">
        <x:v>proc-factory-train-010</x:v>
      </x:c>
      <x:c r="H584" s="6" t="str">
        <x:v>proc-factory-train-010-Q04</x:v>
      </x:c>
      <x:c r="I584" s="6" t="str">
        <x:v>Find and count assets</x:v>
      </x:c>
      <x:c r="J584" s="6" t="str">
        <x:v>Warm-up</x:v>
      </x:c>
      <x:c r="K584" s="6" t="str">
        <x:v>An exact integer count with the scope stated in prose.</x:v>
      </x:c>
      <x:c r="L584" s="6" t="str">
        <x:v>T02, T03</x:v>
      </x:c>
      <x:c r="M584" s="6" t="str">
        <x:v>Count all items of a requested type on one floor.</x:v>
      </x:c>
      <x:c r="N584" s="6" t="str">
        <x:v>{"count":3,"asset_type":"meeting_table","floor_level":0}</x:v>
      </x:c>
      <x:c r="O584" s="6"/>
      <x:c r="P584" s="6" t="str">
        <x:v>Exact asset type and target floor. Count complete collection.</x:v>
      </x:c>
      <x:c r="Q584" s="15" t="n">
        <x:v>3</x:v>
      </x:c>
      <x:c r="R584" s="6" t="str">
        <x:v>items</x:v>
      </x:c>
      <x:c r="S584" s="16"/>
      <x:c r="T584" s="15"/>
      <x:c r="U584" s="6"/>
      <x:c r="V584" s="6"/>
      <x:c r="W584" s="6" t="str">
        <x:v>No dedicated counting tool. search_building exposes matches but returns at most 15 results.</x:v>
      </x:c>
      <x:c r="X584" s="6" t="str">
        <x:v>data/train/proc-factory-train-010/questions_basic.jsonl</x:v>
      </x:c>
      <x:c r="Y584" s="14" t="n">
        <x:v>4</x:v>
      </x:c>
      <x:c r="Z584" s="6" t="str">
        <x:v>https://github.com/hagenhaeussler/Industrial-Agents-Hackathon-2026/blob/f41616590b69f3ea0c1cbfb41d6c35edd9ce53df/data/train/proc-factory-train-010/questions_basic.jsonl#L4</x:v>
      </x:c>
      <x:c r="AA584" s="6" t="str">
        <x:v>procedural</x:v>
      </x:c>
      <x:c r="AB584" s="6" t="str">
        <x:v>CC0-1.0</x:v>
      </x:c>
    </x:row>
    <x:row r="585" ht="72" customHeight="1">
      <x:c r="A585" s="14" t="n">
        <x:v>580</x:v>
      </x:c>
      <x:c r="B585" s="6" t="str">
        <x:v>count</x:v>
      </x:c>
      <x:c r="C585" s="6" t="str">
        <x:v>How many kitchen counter items are on the floor 1?</x:v>
      </x:c>
      <x:c r="D585" s="6" t="str">
        <x:v>3 kitchen_counter items
Floor level: 1</x:v>
      </x:c>
      <x:c r="E585" s="6" t="str">
        <x:v>Reference supplied</x:v>
      </x:c>
      <x:c r="F585" s="6" t="str">
        <x:v>train</x:v>
      </x:c>
      <x:c r="G585" s="6" t="str">
        <x:v>proc-factory-train-015</x:v>
      </x:c>
      <x:c r="H585" s="6" t="str">
        <x:v>proc-factory-train-015-Q04</x:v>
      </x:c>
      <x:c r="I585" s="6" t="str">
        <x:v>Find and count assets</x:v>
      </x:c>
      <x:c r="J585" s="6" t="str">
        <x:v>Warm-up</x:v>
      </x:c>
      <x:c r="K585" s="6" t="str">
        <x:v>An exact integer count with the scope stated in prose.</x:v>
      </x:c>
      <x:c r="L585" s="6" t="str">
        <x:v>T02, T03</x:v>
      </x:c>
      <x:c r="M585" s="6" t="str">
        <x:v>Count all items of a requested type on one floor.</x:v>
      </x:c>
      <x:c r="N585" s="6" t="str">
        <x:v>{"count":3,"asset_type":"kitchen_counter","floor_level":1}</x:v>
      </x:c>
      <x:c r="O585" s="6"/>
      <x:c r="P585" s="6" t="str">
        <x:v>Exact asset type and target floor. Count complete collection.</x:v>
      </x:c>
      <x:c r="Q585" s="15" t="n">
        <x:v>3</x:v>
      </x:c>
      <x:c r="R585" s="6" t="str">
        <x:v>items</x:v>
      </x:c>
      <x:c r="S585" s="16"/>
      <x:c r="T585" s="15"/>
      <x:c r="U585" s="6"/>
      <x:c r="V585" s="6"/>
      <x:c r="W585" s="6" t="str">
        <x:v>No dedicated counting tool. search_building exposes matches but returns at most 15 results.</x:v>
      </x:c>
      <x:c r="X585" s="6" t="str">
        <x:v>data/train/proc-factory-train-015/questions_basic.jsonl</x:v>
      </x:c>
      <x:c r="Y585" s="14" t="n">
        <x:v>4</x:v>
      </x:c>
      <x:c r="Z585" s="6" t="str">
        <x:v>https://github.com/hagenhaeussler/Industrial-Agents-Hackathon-2026/blob/f41616590b69f3ea0c1cbfb41d6c35edd9ce53df/data/train/proc-factory-train-015/questions_basic.jsonl#L4</x:v>
      </x:c>
      <x:c r="AA585" s="6" t="str">
        <x:v>procedural</x:v>
      </x:c>
      <x:c r="AB585" s="6" t="str">
        <x:v>CC0-1.0</x:v>
      </x:c>
    </x:row>
    <x:row r="586" ht="72" customHeight="1">
      <x:c r="A586" s="14" t="n">
        <x:v>581</x:v>
      </x:c>
      <x:c r="B586" s="6" t="str">
        <x:v>count</x:v>
      </x:c>
      <x:c r="C586" s="6" t="str">
        <x:v>How many bookshelf items are on the floor 1?</x:v>
      </x:c>
      <x:c r="D586" s="6" t="str">
        <x:v>4 bookshelf items
Floor level: 1</x:v>
      </x:c>
      <x:c r="E586" s="6" t="str">
        <x:v>Reference supplied</x:v>
      </x:c>
      <x:c r="F586" s="6" t="str">
        <x:v>train</x:v>
      </x:c>
      <x:c r="G586" s="6" t="str">
        <x:v>proc-factory-train-017</x:v>
      </x:c>
      <x:c r="H586" s="6" t="str">
        <x:v>proc-factory-train-017-Q04</x:v>
      </x:c>
      <x:c r="I586" s="6" t="str">
        <x:v>Find and count assets</x:v>
      </x:c>
      <x:c r="J586" s="6" t="str">
        <x:v>Warm-up</x:v>
      </x:c>
      <x:c r="K586" s="6" t="str">
        <x:v>An exact integer count with the scope stated in prose.</x:v>
      </x:c>
      <x:c r="L586" s="6" t="str">
        <x:v>T02, T03</x:v>
      </x:c>
      <x:c r="M586" s="6" t="str">
        <x:v>Count all items of a requested type on one floor.</x:v>
      </x:c>
      <x:c r="N586" s="6" t="str">
        <x:v>{"count":4,"asset_type":"bookshelf","floor_level":1}</x:v>
      </x:c>
      <x:c r="O586" s="6"/>
      <x:c r="P586" s="6" t="str">
        <x:v>Exact asset type and target floor. Count complete collection.</x:v>
      </x:c>
      <x:c r="Q586" s="15" t="n">
        <x:v>4</x:v>
      </x:c>
      <x:c r="R586" s="6" t="str">
        <x:v>items</x:v>
      </x:c>
      <x:c r="S586" s="16"/>
      <x:c r="T586" s="15"/>
      <x:c r="U586" s="6"/>
      <x:c r="V586" s="6"/>
      <x:c r="W586" s="6" t="str">
        <x:v>No dedicated counting tool. search_building exposes matches but returns at most 15 results.</x:v>
      </x:c>
      <x:c r="X586" s="6" t="str">
        <x:v>data/train/proc-factory-train-017/questions_basic.jsonl</x:v>
      </x:c>
      <x:c r="Y586" s="14" t="n">
        <x:v>4</x:v>
      </x:c>
      <x:c r="Z586" s="6" t="str">
        <x:v>https://github.com/hagenhaeussler/Industrial-Agents-Hackathon-2026/blob/f41616590b69f3ea0c1cbfb41d6c35edd9ce53df/data/train/proc-factory-train-017/questions_basic.jsonl#L4</x:v>
      </x:c>
      <x:c r="AA586" s="6" t="str">
        <x:v>procedural</x:v>
      </x:c>
      <x:c r="AB586" s="6" t="str">
        <x:v>CC0-1.0</x:v>
      </x:c>
    </x:row>
    <x:row r="587" ht="72" customHeight="1">
      <x:c r="A587" s="14" t="n">
        <x:v>582</x:v>
      </x:c>
      <x:c r="B587" s="6" t="str">
        <x:v>count</x:v>
      </x:c>
      <x:c r="C587" s="6" t="str">
        <x:v>How many drill press items are on the ground floor?</x:v>
      </x:c>
      <x:c r="D587" s="6" t="str">
        <x:v>2 drill_press items
Floor level: 0</x:v>
      </x:c>
      <x:c r="E587" s="6" t="str">
        <x:v>Reference supplied</x:v>
      </x:c>
      <x:c r="F587" s="6" t="str">
        <x:v>train</x:v>
      </x:c>
      <x:c r="G587" s="6" t="str">
        <x:v>proc-factory-train-018</x:v>
      </x:c>
      <x:c r="H587" s="6" t="str">
        <x:v>proc-factory-train-018-Q04</x:v>
      </x:c>
      <x:c r="I587" s="6" t="str">
        <x:v>Find and count assets</x:v>
      </x:c>
      <x:c r="J587" s="6" t="str">
        <x:v>Warm-up</x:v>
      </x:c>
      <x:c r="K587" s="6" t="str">
        <x:v>An exact integer count with the scope stated in prose.</x:v>
      </x:c>
      <x:c r="L587" s="6" t="str">
        <x:v>T02, T03</x:v>
      </x:c>
      <x:c r="M587" s="6" t="str">
        <x:v>Count all items of a requested type on one floor.</x:v>
      </x:c>
      <x:c r="N587" s="6" t="str">
        <x:v>{"count":2,"asset_type":"drill_press","floor_level":0}</x:v>
      </x:c>
      <x:c r="O587" s="6"/>
      <x:c r="P587" s="6" t="str">
        <x:v>Exact asset type and target floor. Count complete collection.</x:v>
      </x:c>
      <x:c r="Q587" s="15" t="n">
        <x:v>2</x:v>
      </x:c>
      <x:c r="R587" s="6" t="str">
        <x:v>items</x:v>
      </x:c>
      <x:c r="S587" s="16"/>
      <x:c r="T587" s="15"/>
      <x:c r="U587" s="6"/>
      <x:c r="V587" s="6"/>
      <x:c r="W587" s="6" t="str">
        <x:v>No dedicated counting tool. search_building exposes matches but returns at most 15 results.</x:v>
      </x:c>
      <x:c r="X587" s="6" t="str">
        <x:v>data/train/proc-factory-train-018/questions_basic.jsonl</x:v>
      </x:c>
      <x:c r="Y587" s="14" t="n">
        <x:v>4</x:v>
      </x:c>
      <x:c r="Z587" s="6" t="str">
        <x:v>https://github.com/hagenhaeussler/Industrial-Agents-Hackathon-2026/blob/f41616590b69f3ea0c1cbfb41d6c35edd9ce53df/data/train/proc-factory-train-018/questions_basic.jsonl#L4</x:v>
      </x:c>
      <x:c r="AA587" s="6" t="str">
        <x:v>procedural</x:v>
      </x:c>
      <x:c r="AB587" s="6" t="str">
        <x:v>CC0-1.0</x:v>
      </x:c>
    </x:row>
    <x:row r="588" ht="72" customHeight="1">
      <x:c r="A588" s="14" t="n">
        <x:v>583</x:v>
      </x:c>
      <x:c r="B588" s="6" t="str">
        <x:v>count</x:v>
      </x:c>
      <x:c r="C588" s="6" t="str">
        <x:v>How many packing station items are on the ground floor?</x:v>
      </x:c>
      <x:c r="D588" s="6" t="str">
        <x:v>5 packing_station items
Floor level: 0</x:v>
      </x:c>
      <x:c r="E588" s="6" t="str">
        <x:v>Reference supplied</x:v>
      </x:c>
      <x:c r="F588" s="6" t="str">
        <x:v>train</x:v>
      </x:c>
      <x:c r="G588" s="6" t="str">
        <x:v>proc-factory-train-020</x:v>
      </x:c>
      <x:c r="H588" s="6" t="str">
        <x:v>proc-factory-train-020-Q04</x:v>
      </x:c>
      <x:c r="I588" s="6" t="str">
        <x:v>Find and count assets</x:v>
      </x:c>
      <x:c r="J588" s="6" t="str">
        <x:v>Warm-up</x:v>
      </x:c>
      <x:c r="K588" s="6" t="str">
        <x:v>An exact integer count with the scope stated in prose.</x:v>
      </x:c>
      <x:c r="L588" s="6" t="str">
        <x:v>T02, T03</x:v>
      </x:c>
      <x:c r="M588" s="6" t="str">
        <x:v>Count all items of a requested type on one floor.</x:v>
      </x:c>
      <x:c r="N588" s="6" t="str">
        <x:v>{"count":5,"asset_type":"packing_station","floor_level":0}</x:v>
      </x:c>
      <x:c r="O588" s="6"/>
      <x:c r="P588" s="6" t="str">
        <x:v>Exact asset type and target floor. Count complete collection.</x:v>
      </x:c>
      <x:c r="Q588" s="15" t="n">
        <x:v>5</x:v>
      </x:c>
      <x:c r="R588" s="6" t="str">
        <x:v>items</x:v>
      </x:c>
      <x:c r="S588" s="16"/>
      <x:c r="T588" s="15"/>
      <x:c r="U588" s="6"/>
      <x:c r="V588" s="6"/>
      <x:c r="W588" s="6" t="str">
        <x:v>No dedicated counting tool. search_building exposes matches but returns at most 15 results.</x:v>
      </x:c>
      <x:c r="X588" s="6" t="str">
        <x:v>data/train/proc-factory-train-020/questions_basic.jsonl</x:v>
      </x:c>
      <x:c r="Y588" s="14" t="n">
        <x:v>4</x:v>
      </x:c>
      <x:c r="Z588" s="6" t="str">
        <x:v>https://github.com/hagenhaeussler/Industrial-Agents-Hackathon-2026/blob/f41616590b69f3ea0c1cbfb41d6c35edd9ce53df/data/train/proc-factory-train-020/questions_basic.jsonl#L4</x:v>
      </x:c>
      <x:c r="AA588" s="6" t="str">
        <x:v>procedural</x:v>
      </x:c>
      <x:c r="AB588" s="6" t="str">
        <x:v>CC0-1.0</x:v>
      </x:c>
    </x:row>
    <x:row r="589" ht="72" customHeight="1">
      <x:c r="A589" s="14" t="n">
        <x:v>584</x:v>
      </x:c>
      <x:c r="B589" s="6" t="str">
        <x:v>count</x:v>
      </x:c>
      <x:c r="C589" s="6" t="str">
        <x:v>How many outdoor chair items are on the ground floor?</x:v>
      </x:c>
      <x:c r="D589" s="6" t="str">
        <x:v>2 outdoor_chair items
Floor level: 0</x:v>
      </x:c>
      <x:c r="E589" s="6" t="str">
        <x:v>Reference supplied</x:v>
      </x:c>
      <x:c r="F589" s="6" t="str">
        <x:v>train</x:v>
      </x:c>
      <x:c r="G589" s="6" t="str">
        <x:v>resplan-10002</x:v>
      </x:c>
      <x:c r="H589" s="6" t="str">
        <x:v>resplan-10002-Q04</x:v>
      </x:c>
      <x:c r="I589" s="6" t="str">
        <x:v>Find and count assets</x:v>
      </x:c>
      <x:c r="J589" s="6" t="str">
        <x:v>Warm-up</x:v>
      </x:c>
      <x:c r="K589" s="6" t="str">
        <x:v>An exact integer count with the scope stated in prose.</x:v>
      </x:c>
      <x:c r="L589" s="6" t="str">
        <x:v>T02, T03</x:v>
      </x:c>
      <x:c r="M589" s="6" t="str">
        <x:v>Count all items of a requested type on one floor.</x:v>
      </x:c>
      <x:c r="N589" s="6" t="str">
        <x:v>{"count":2,"asset_type":"outdoor_chair","floor_level":0}</x:v>
      </x:c>
      <x:c r="O589" s="6"/>
      <x:c r="P589" s="6" t="str">
        <x:v>Exact asset type and target floor. Count complete collection.</x:v>
      </x:c>
      <x:c r="Q589" s="15" t="n">
        <x:v>2</x:v>
      </x:c>
      <x:c r="R589" s="6" t="str">
        <x:v>items</x:v>
      </x:c>
      <x:c r="S589" s="16"/>
      <x:c r="T589" s="15"/>
      <x:c r="U589" s="6"/>
      <x:c r="V589" s="6"/>
      <x:c r="W589" s="6" t="str">
        <x:v>No dedicated counting tool. search_building exposes matches but returns at most 15 results.</x:v>
      </x:c>
      <x:c r="X589" s="6" t="str">
        <x:v>data/train/resplan-10002/questions_basic.jsonl</x:v>
      </x:c>
      <x:c r="Y589" s="14" t="n">
        <x:v>4</x:v>
      </x:c>
      <x:c r="Z589" s="6" t="str">
        <x:v>https://github.com/hagenhaeussler/Industrial-Agents-Hackathon-2026/blob/f41616590b69f3ea0c1cbfb41d6c35edd9ce53df/data/train/resplan-10002/questions_basic.jsonl#L4</x:v>
      </x:c>
      <x:c r="AA589" s="6" t="str">
        <x:v>resplan</x:v>
      </x:c>
      <x:c r="AB589" s="6" t="str">
        <x:v>CC-BY-4.0</x:v>
      </x:c>
    </x:row>
    <x:row r="590" ht="72" customHeight="1">
      <x:c r="A590" s="14" t="n">
        <x:v>585</x:v>
      </x:c>
      <x:c r="B590" s="6" t="str">
        <x:v>count</x:v>
      </x:c>
      <x:c r="C590" s="6" t="str">
        <x:v>How many sink items are on the ground floor?</x:v>
      </x:c>
      <x:c r="D590" s="6" t="str">
        <x:v>2 sink items
Floor level: 0</x:v>
      </x:c>
      <x:c r="E590" s="6" t="str">
        <x:v>Reference supplied</x:v>
      </x:c>
      <x:c r="F590" s="6" t="str">
        <x:v>train</x:v>
      </x:c>
      <x:c r="G590" s="6" t="str">
        <x:v>resplan-10192</x:v>
      </x:c>
      <x:c r="H590" s="6" t="str">
        <x:v>resplan-10192-Q04</x:v>
      </x:c>
      <x:c r="I590" s="6" t="str">
        <x:v>Find and count assets</x:v>
      </x:c>
      <x:c r="J590" s="6" t="str">
        <x:v>Warm-up</x:v>
      </x:c>
      <x:c r="K590" s="6" t="str">
        <x:v>An exact integer count with the scope stated in prose.</x:v>
      </x:c>
      <x:c r="L590" s="6" t="str">
        <x:v>T02, T03</x:v>
      </x:c>
      <x:c r="M590" s="6" t="str">
        <x:v>Count all items of a requested type on one floor.</x:v>
      </x:c>
      <x:c r="N590" s="6" t="str">
        <x:v>{"count":2,"asset_type":"sink","floor_level":0}</x:v>
      </x:c>
      <x:c r="O590" s="6"/>
      <x:c r="P590" s="6" t="str">
        <x:v>Exact asset type and target floor. Count complete collection.</x:v>
      </x:c>
      <x:c r="Q590" s="15" t="n">
        <x:v>2</x:v>
      </x:c>
      <x:c r="R590" s="6" t="str">
        <x:v>items</x:v>
      </x:c>
      <x:c r="S590" s="16"/>
      <x:c r="T590" s="15"/>
      <x:c r="U590" s="6"/>
      <x:c r="V590" s="6"/>
      <x:c r="W590" s="6" t="str">
        <x:v>No dedicated counting tool. search_building exposes matches but returns at most 15 results.</x:v>
      </x:c>
      <x:c r="X590" s="6" t="str">
        <x:v>data/train/resplan-10192/questions_basic.jsonl</x:v>
      </x:c>
      <x:c r="Y590" s="14" t="n">
        <x:v>4</x:v>
      </x:c>
      <x:c r="Z590" s="6" t="str">
        <x:v>https://github.com/hagenhaeussler/Industrial-Agents-Hackathon-2026/blob/f41616590b69f3ea0c1cbfb41d6c35edd9ce53df/data/train/resplan-10192/questions_basic.jsonl#L4</x:v>
      </x:c>
      <x:c r="AA590" s="6" t="str">
        <x:v>resplan</x:v>
      </x:c>
      <x:c r="AB590" s="6" t="str">
        <x:v>CC-BY-4.0</x:v>
      </x:c>
    </x:row>
    <x:row r="591" ht="72" customHeight="1">
      <x:c r="A591" s="14" t="n">
        <x:v>586</x:v>
      </x:c>
      <x:c r="B591" s="6" t="str">
        <x:v>count</x:v>
      </x:c>
      <x:c r="C591" s="6" t="str">
        <x:v>How many plant items are on the ground floor?</x:v>
      </x:c>
      <x:c r="D591" s="6" t="str">
        <x:v>2 plant items
Floor level: 0</x:v>
      </x:c>
      <x:c r="E591" s="6" t="str">
        <x:v>Reference supplied</x:v>
      </x:c>
      <x:c r="F591" s="6" t="str">
        <x:v>train</x:v>
      </x:c>
      <x:c r="G591" s="6" t="str">
        <x:v>resplan-10428</x:v>
      </x:c>
      <x:c r="H591" s="6" t="str">
        <x:v>resplan-10428-Q04</x:v>
      </x:c>
      <x:c r="I591" s="6" t="str">
        <x:v>Find and count assets</x:v>
      </x:c>
      <x:c r="J591" s="6" t="str">
        <x:v>Warm-up</x:v>
      </x:c>
      <x:c r="K591" s="6" t="str">
        <x:v>An exact integer count with the scope stated in prose.</x:v>
      </x:c>
      <x:c r="L591" s="6" t="str">
        <x:v>T02, T03</x:v>
      </x:c>
      <x:c r="M591" s="6" t="str">
        <x:v>Count all items of a requested type on one floor.</x:v>
      </x:c>
      <x:c r="N591" s="6" t="str">
        <x:v>{"count":2,"asset_type":"plant","floor_level":0}</x:v>
      </x:c>
      <x:c r="O591" s="6"/>
      <x:c r="P591" s="6" t="str">
        <x:v>Exact asset type and target floor. Count complete collection.</x:v>
      </x:c>
      <x:c r="Q591" s="15" t="n">
        <x:v>2</x:v>
      </x:c>
      <x:c r="R591" s="6" t="str">
        <x:v>items</x:v>
      </x:c>
      <x:c r="S591" s="16"/>
      <x:c r="T591" s="15"/>
      <x:c r="U591" s="6"/>
      <x:c r="V591" s="6"/>
      <x:c r="W591" s="6" t="str">
        <x:v>No dedicated counting tool. search_building exposes matches but returns at most 15 results.</x:v>
      </x:c>
      <x:c r="X591" s="6" t="str">
        <x:v>data/train/resplan-10428/questions_basic.jsonl</x:v>
      </x:c>
      <x:c r="Y591" s="14" t="n">
        <x:v>4</x:v>
      </x:c>
      <x:c r="Z591" s="6" t="str">
        <x:v>https://github.com/hagenhaeussler/Industrial-Agents-Hackathon-2026/blob/f41616590b69f3ea0c1cbfb41d6c35edd9ce53df/data/train/resplan-10428/questions_basic.jsonl#L4</x:v>
      </x:c>
      <x:c r="AA591" s="6" t="str">
        <x:v>resplan</x:v>
      </x:c>
      <x:c r="AB591" s="6" t="str">
        <x:v>CC-BY-4.0</x:v>
      </x:c>
    </x:row>
    <x:row r="592" ht="72" customHeight="1">
      <x:c r="A592" s="14" t="n">
        <x:v>587</x:v>
      </x:c>
      <x:c r="B592" s="6" t="str">
        <x:v>count</x:v>
      </x:c>
      <x:c r="C592" s="6" t="str">
        <x:v>How many toilet items are on the ground floor?</x:v>
      </x:c>
      <x:c r="D592" s="6" t="str">
        <x:v>2 toilet items
Floor level: 0</x:v>
      </x:c>
      <x:c r="E592" s="6" t="str">
        <x:v>Reference supplied</x:v>
      </x:c>
      <x:c r="F592" s="6" t="str">
        <x:v>train</x:v>
      </x:c>
      <x:c r="G592" s="6" t="str">
        <x:v>resplan-10504</x:v>
      </x:c>
      <x:c r="H592" s="6" t="str">
        <x:v>resplan-10504-Q04</x:v>
      </x:c>
      <x:c r="I592" s="6" t="str">
        <x:v>Find and count assets</x:v>
      </x:c>
      <x:c r="J592" s="6" t="str">
        <x:v>Warm-up</x:v>
      </x:c>
      <x:c r="K592" s="6" t="str">
        <x:v>An exact integer count with the scope stated in prose.</x:v>
      </x:c>
      <x:c r="L592" s="6" t="str">
        <x:v>T02, T03</x:v>
      </x:c>
      <x:c r="M592" s="6" t="str">
        <x:v>Count all items of a requested type on one floor.</x:v>
      </x:c>
      <x:c r="N592" s="6" t="str">
        <x:v>{"count":2,"asset_type":"toilet","floor_level":0}</x:v>
      </x:c>
      <x:c r="O592" s="6"/>
      <x:c r="P592" s="6" t="str">
        <x:v>Exact asset type and target floor. Count complete collection.</x:v>
      </x:c>
      <x:c r="Q592" s="15" t="n">
        <x:v>2</x:v>
      </x:c>
      <x:c r="R592" s="6" t="str">
        <x:v>items</x:v>
      </x:c>
      <x:c r="S592" s="16"/>
      <x:c r="T592" s="15"/>
      <x:c r="U592" s="6"/>
      <x:c r="V592" s="6"/>
      <x:c r="W592" s="6" t="str">
        <x:v>No dedicated counting tool. search_building exposes matches but returns at most 15 results.</x:v>
      </x:c>
      <x:c r="X592" s="6" t="str">
        <x:v>data/train/resplan-10504/questions_basic.jsonl</x:v>
      </x:c>
      <x:c r="Y592" s="14" t="n">
        <x:v>4</x:v>
      </x:c>
      <x:c r="Z592" s="6" t="str">
        <x:v>https://github.com/hagenhaeussler/Industrial-Agents-Hackathon-2026/blob/f41616590b69f3ea0c1cbfb41d6c35edd9ce53df/data/train/resplan-10504/questions_basic.jsonl#L4</x:v>
      </x:c>
      <x:c r="AA592" s="6" t="str">
        <x:v>resplan</x:v>
      </x:c>
      <x:c r="AB592" s="6" t="str">
        <x:v>CC-BY-4.0</x:v>
      </x:c>
    </x:row>
    <x:row r="593" ht="72" customHeight="1">
      <x:c r="A593" s="14" t="n">
        <x:v>588</x:v>
      </x:c>
      <x:c r="B593" s="6" t="str">
        <x:v>count</x:v>
      </x:c>
      <x:c r="C593" s="6" t="str">
        <x:v>How many wardrobe items are on the ground floor?</x:v>
      </x:c>
      <x:c r="D593" s="6" t="str">
        <x:v>2 wardrobe items
Floor level: 0</x:v>
      </x:c>
      <x:c r="E593" s="6" t="str">
        <x:v>Reference supplied</x:v>
      </x:c>
      <x:c r="F593" s="6" t="str">
        <x:v>train</x:v>
      </x:c>
      <x:c r="G593" s="6" t="str">
        <x:v>resplan-10650</x:v>
      </x:c>
      <x:c r="H593" s="6" t="str">
        <x:v>resplan-10650-Q04</x:v>
      </x:c>
      <x:c r="I593" s="6" t="str">
        <x:v>Find and count assets</x:v>
      </x:c>
      <x:c r="J593" s="6" t="str">
        <x:v>Warm-up</x:v>
      </x:c>
      <x:c r="K593" s="6" t="str">
        <x:v>An exact integer count with the scope stated in prose.</x:v>
      </x:c>
      <x:c r="L593" s="6" t="str">
        <x:v>T02, T03</x:v>
      </x:c>
      <x:c r="M593" s="6" t="str">
        <x:v>Count all items of a requested type on one floor.</x:v>
      </x:c>
      <x:c r="N593" s="6" t="str">
        <x:v>{"count":2,"asset_type":"wardrobe","floor_level":0}</x:v>
      </x:c>
      <x:c r="O593" s="6"/>
      <x:c r="P593" s="6" t="str">
        <x:v>Exact asset type and target floor. Count complete collection.</x:v>
      </x:c>
      <x:c r="Q593" s="15" t="n">
        <x:v>2</x:v>
      </x:c>
      <x:c r="R593" s="6" t="str">
        <x:v>items</x:v>
      </x:c>
      <x:c r="S593" s="16"/>
      <x:c r="T593" s="15"/>
      <x:c r="U593" s="6"/>
      <x:c r="V593" s="6"/>
      <x:c r="W593" s="6" t="str">
        <x:v>No dedicated counting tool. search_building exposes matches but returns at most 15 results.</x:v>
      </x:c>
      <x:c r="X593" s="6" t="str">
        <x:v>data/train/resplan-10650/questions_basic.jsonl</x:v>
      </x:c>
      <x:c r="Y593" s="14" t="n">
        <x:v>4</x:v>
      </x:c>
      <x:c r="Z593" s="6" t="str">
        <x:v>https://github.com/hagenhaeussler/Industrial-Agents-Hackathon-2026/blob/f41616590b69f3ea0c1cbfb41d6c35edd9ce53df/data/train/resplan-10650/questions_basic.jsonl#L4</x:v>
      </x:c>
      <x:c r="AA593" s="6" t="str">
        <x:v>resplan</x:v>
      </x:c>
      <x:c r="AB593" s="6" t="str">
        <x:v>CC-BY-4.0</x:v>
      </x:c>
    </x:row>
    <x:row r="594" ht="72" customHeight="1">
      <x:c r="A594" s="14" t="n">
        <x:v>589</x:v>
      </x:c>
      <x:c r="B594" s="6" t="str">
        <x:v>count</x:v>
      </x:c>
      <x:c r="C594" s="6" t="str">
        <x:v>How many plant items are on the ground floor?</x:v>
      </x:c>
      <x:c r="D594" s="6" t="str">
        <x:v>2 plant items
Floor level: 0</x:v>
      </x:c>
      <x:c r="E594" s="6" t="str">
        <x:v>Reference supplied</x:v>
      </x:c>
      <x:c r="F594" s="6" t="str">
        <x:v>train</x:v>
      </x:c>
      <x:c r="G594" s="6" t="str">
        <x:v>resplan-10882</x:v>
      </x:c>
      <x:c r="H594" s="6" t="str">
        <x:v>resplan-10882-Q04</x:v>
      </x:c>
      <x:c r="I594" s="6" t="str">
        <x:v>Find and count assets</x:v>
      </x:c>
      <x:c r="J594" s="6" t="str">
        <x:v>Warm-up</x:v>
      </x:c>
      <x:c r="K594" s="6" t="str">
        <x:v>An exact integer count with the scope stated in prose.</x:v>
      </x:c>
      <x:c r="L594" s="6" t="str">
        <x:v>T02, T03</x:v>
      </x:c>
      <x:c r="M594" s="6" t="str">
        <x:v>Count all items of a requested type on one floor.</x:v>
      </x:c>
      <x:c r="N594" s="6" t="str">
        <x:v>{"count":2,"asset_type":"plant","floor_level":0}</x:v>
      </x:c>
      <x:c r="O594" s="6"/>
      <x:c r="P594" s="6" t="str">
        <x:v>Exact asset type and target floor. Count complete collection.</x:v>
      </x:c>
      <x:c r="Q594" s="15" t="n">
        <x:v>2</x:v>
      </x:c>
      <x:c r="R594" s="6" t="str">
        <x:v>items</x:v>
      </x:c>
      <x:c r="S594" s="16"/>
      <x:c r="T594" s="15"/>
      <x:c r="U594" s="6"/>
      <x:c r="V594" s="6"/>
      <x:c r="W594" s="6" t="str">
        <x:v>No dedicated counting tool. search_building exposes matches but returns at most 15 results.</x:v>
      </x:c>
      <x:c r="X594" s="6" t="str">
        <x:v>data/train/resplan-10882/questions_basic.jsonl</x:v>
      </x:c>
      <x:c r="Y594" s="14" t="n">
        <x:v>4</x:v>
      </x:c>
      <x:c r="Z594" s="6" t="str">
        <x:v>https://github.com/hagenhaeussler/Industrial-Agents-Hackathon-2026/blob/f41616590b69f3ea0c1cbfb41d6c35edd9ce53df/data/train/resplan-10882/questions_basic.jsonl#L4</x:v>
      </x:c>
      <x:c r="AA594" s="6" t="str">
        <x:v>resplan</x:v>
      </x:c>
      <x:c r="AB594" s="6" t="str">
        <x:v>CC-BY-4.0</x:v>
      </x:c>
    </x:row>
    <x:row r="595" ht="72" customHeight="1">
      <x:c r="A595" s="14" t="n">
        <x:v>590</x:v>
      </x:c>
      <x:c r="B595" s="6" t="str">
        <x:v>count</x:v>
      </x:c>
      <x:c r="C595" s="6" t="str">
        <x:v>How many dining chair items are on the ground floor?</x:v>
      </x:c>
      <x:c r="D595" s="6" t="str">
        <x:v>4 dining_chair items
Floor level: 0</x:v>
      </x:c>
      <x:c r="E595" s="6" t="str">
        <x:v>Reference supplied</x:v>
      </x:c>
      <x:c r="F595" s="6" t="str">
        <x:v>train</x:v>
      </x:c>
      <x:c r="G595" s="6" t="str">
        <x:v>resplan-1095</x:v>
      </x:c>
      <x:c r="H595" s="6" t="str">
        <x:v>resplan-1095-Q04</x:v>
      </x:c>
      <x:c r="I595" s="6" t="str">
        <x:v>Find and count assets</x:v>
      </x:c>
      <x:c r="J595" s="6" t="str">
        <x:v>Warm-up</x:v>
      </x:c>
      <x:c r="K595" s="6" t="str">
        <x:v>An exact integer count with the scope stated in prose.</x:v>
      </x:c>
      <x:c r="L595" s="6" t="str">
        <x:v>T02, T03</x:v>
      </x:c>
      <x:c r="M595" s="6" t="str">
        <x:v>Count all items of a requested type on one floor.</x:v>
      </x:c>
      <x:c r="N595" s="6" t="str">
        <x:v>{"count":4,"asset_type":"dining_chair","floor_level":0}</x:v>
      </x:c>
      <x:c r="O595" s="6"/>
      <x:c r="P595" s="6" t="str">
        <x:v>Exact asset type and target floor. Count complete collection.</x:v>
      </x:c>
      <x:c r="Q595" s="15" t="n">
        <x:v>4</x:v>
      </x:c>
      <x:c r="R595" s="6" t="str">
        <x:v>items</x:v>
      </x:c>
      <x:c r="S595" s="16"/>
      <x:c r="T595" s="15"/>
      <x:c r="U595" s="6"/>
      <x:c r="V595" s="6"/>
      <x:c r="W595" s="6" t="str">
        <x:v>No dedicated counting tool. search_building exposes matches but returns at most 15 results.</x:v>
      </x:c>
      <x:c r="X595" s="6" t="str">
        <x:v>data/train/resplan-1095/questions_basic.jsonl</x:v>
      </x:c>
      <x:c r="Y595" s="14" t="n">
        <x:v>4</x:v>
      </x:c>
      <x:c r="Z595" s="6" t="str">
        <x:v>https://github.com/hagenhaeussler/Industrial-Agents-Hackathon-2026/blob/f41616590b69f3ea0c1cbfb41d6c35edd9ce53df/data/train/resplan-1095/questions_basic.jsonl#L4</x:v>
      </x:c>
      <x:c r="AA595" s="6" t="str">
        <x:v>resplan</x:v>
      </x:c>
      <x:c r="AB595" s="6" t="str">
        <x:v>CC-BY-4.0</x:v>
      </x:c>
    </x:row>
    <x:row r="596" ht="72" customHeight="1">
      <x:c r="A596" s="14" t="n">
        <x:v>591</x:v>
      </x:c>
      <x:c r="B596" s="6" t="str">
        <x:v>count</x:v>
      </x:c>
      <x:c r="C596" s="6" t="str">
        <x:v>How many plant items are on the ground floor?</x:v>
      </x:c>
      <x:c r="D596" s="6" t="str">
        <x:v>2 plant items
Floor level: 0</x:v>
      </x:c>
      <x:c r="E596" s="6" t="str">
        <x:v>Reference supplied</x:v>
      </x:c>
      <x:c r="F596" s="6" t="str">
        <x:v>train</x:v>
      </x:c>
      <x:c r="G596" s="6" t="str">
        <x:v>resplan-11076</x:v>
      </x:c>
      <x:c r="H596" s="6" t="str">
        <x:v>resplan-11076-Q04</x:v>
      </x:c>
      <x:c r="I596" s="6" t="str">
        <x:v>Find and count assets</x:v>
      </x:c>
      <x:c r="J596" s="6" t="str">
        <x:v>Warm-up</x:v>
      </x:c>
      <x:c r="K596" s="6" t="str">
        <x:v>An exact integer count with the scope stated in prose.</x:v>
      </x:c>
      <x:c r="L596" s="6" t="str">
        <x:v>T02, T03</x:v>
      </x:c>
      <x:c r="M596" s="6" t="str">
        <x:v>Count all items of a requested type on one floor.</x:v>
      </x:c>
      <x:c r="N596" s="6" t="str">
        <x:v>{"count":2,"asset_type":"plant","floor_level":0}</x:v>
      </x:c>
      <x:c r="O596" s="6"/>
      <x:c r="P596" s="6" t="str">
        <x:v>Exact asset type and target floor. Count complete collection.</x:v>
      </x:c>
      <x:c r="Q596" s="15" t="n">
        <x:v>2</x:v>
      </x:c>
      <x:c r="R596" s="6" t="str">
        <x:v>items</x:v>
      </x:c>
      <x:c r="S596" s="16"/>
      <x:c r="T596" s="15"/>
      <x:c r="U596" s="6"/>
      <x:c r="V596" s="6"/>
      <x:c r="W596" s="6" t="str">
        <x:v>No dedicated counting tool. search_building exposes matches but returns at most 15 results.</x:v>
      </x:c>
      <x:c r="X596" s="6" t="str">
        <x:v>data/train/resplan-11076/questions_basic.jsonl</x:v>
      </x:c>
      <x:c r="Y596" s="14" t="n">
        <x:v>4</x:v>
      </x:c>
      <x:c r="Z596" s="6" t="str">
        <x:v>https://github.com/hagenhaeussler/Industrial-Agents-Hackathon-2026/blob/f41616590b69f3ea0c1cbfb41d6c35edd9ce53df/data/train/resplan-11076/questions_basic.jsonl#L4</x:v>
      </x:c>
      <x:c r="AA596" s="6" t="str">
        <x:v>resplan</x:v>
      </x:c>
      <x:c r="AB596" s="6" t="str">
        <x:v>CC-BY-4.0</x:v>
      </x:c>
    </x:row>
    <x:row r="597" ht="72" customHeight="1">
      <x:c r="A597" s="14" t="n">
        <x:v>592</x:v>
      </x:c>
      <x:c r="B597" s="6" t="str">
        <x:v>count</x:v>
      </x:c>
      <x:c r="C597" s="6" t="str">
        <x:v>How many bookshelf items are on the ground floor?</x:v>
      </x:c>
      <x:c r="D597" s="6" t="str">
        <x:v>2 bookshelf items
Floor level: 0</x:v>
      </x:c>
      <x:c r="E597" s="6" t="str">
        <x:v>Reference supplied</x:v>
      </x:c>
      <x:c r="F597" s="6" t="str">
        <x:v>train</x:v>
      </x:c>
      <x:c r="G597" s="6" t="str">
        <x:v>resplan-11706</x:v>
      </x:c>
      <x:c r="H597" s="6" t="str">
        <x:v>resplan-11706-Q04</x:v>
      </x:c>
      <x:c r="I597" s="6" t="str">
        <x:v>Find and count assets</x:v>
      </x:c>
      <x:c r="J597" s="6" t="str">
        <x:v>Warm-up</x:v>
      </x:c>
      <x:c r="K597" s="6" t="str">
        <x:v>An exact integer count with the scope stated in prose.</x:v>
      </x:c>
      <x:c r="L597" s="6" t="str">
        <x:v>T02, T03</x:v>
      </x:c>
      <x:c r="M597" s="6" t="str">
        <x:v>Count all items of a requested type on one floor.</x:v>
      </x:c>
      <x:c r="N597" s="6" t="str">
        <x:v>{"count":2,"asset_type":"bookshelf","floor_level":0}</x:v>
      </x:c>
      <x:c r="O597" s="6"/>
      <x:c r="P597" s="6" t="str">
        <x:v>Exact asset type and target floor. Count complete collection.</x:v>
      </x:c>
      <x:c r="Q597" s="15" t="n">
        <x:v>2</x:v>
      </x:c>
      <x:c r="R597" s="6" t="str">
        <x:v>items</x:v>
      </x:c>
      <x:c r="S597" s="16"/>
      <x:c r="T597" s="15"/>
      <x:c r="U597" s="6"/>
      <x:c r="V597" s="6"/>
      <x:c r="W597" s="6" t="str">
        <x:v>No dedicated counting tool. search_building exposes matches but returns at most 15 results.</x:v>
      </x:c>
      <x:c r="X597" s="6" t="str">
        <x:v>data/train/resplan-11706/questions_basic.jsonl</x:v>
      </x:c>
      <x:c r="Y597" s="14" t="n">
        <x:v>4</x:v>
      </x:c>
      <x:c r="Z597" s="6" t="str">
        <x:v>https://github.com/hagenhaeussler/Industrial-Agents-Hackathon-2026/blob/f41616590b69f3ea0c1cbfb41d6c35edd9ce53df/data/train/resplan-11706/questions_basic.jsonl#L4</x:v>
      </x:c>
      <x:c r="AA597" s="6" t="str">
        <x:v>resplan</x:v>
      </x:c>
      <x:c r="AB597" s="6" t="str">
        <x:v>CC-BY-4.0</x:v>
      </x:c>
    </x:row>
    <x:row r="598" ht="72" customHeight="1">
      <x:c r="A598" s="14" t="n">
        <x:v>593</x:v>
      </x:c>
      <x:c r="B598" s="6" t="str">
        <x:v>count</x:v>
      </x:c>
      <x:c r="C598" s="6" t="str">
        <x:v>How many wardrobe items are on the ground floor?</x:v>
      </x:c>
      <x:c r="D598" s="6" t="str">
        <x:v>2 wardrobe items
Floor level: 0</x:v>
      </x:c>
      <x:c r="E598" s="6" t="str">
        <x:v>Reference supplied</x:v>
      </x:c>
      <x:c r="F598" s="6" t="str">
        <x:v>train</x:v>
      </x:c>
      <x:c r="G598" s="6" t="str">
        <x:v>resplan-11816</x:v>
      </x:c>
      <x:c r="H598" s="6" t="str">
        <x:v>resplan-11816-Q04</x:v>
      </x:c>
      <x:c r="I598" s="6" t="str">
        <x:v>Find and count assets</x:v>
      </x:c>
      <x:c r="J598" s="6" t="str">
        <x:v>Warm-up</x:v>
      </x:c>
      <x:c r="K598" s="6" t="str">
        <x:v>An exact integer count with the scope stated in prose.</x:v>
      </x:c>
      <x:c r="L598" s="6" t="str">
        <x:v>T02, T03</x:v>
      </x:c>
      <x:c r="M598" s="6" t="str">
        <x:v>Count all items of a requested type on one floor.</x:v>
      </x:c>
      <x:c r="N598" s="6" t="str">
        <x:v>{"count":2,"asset_type":"wardrobe","floor_level":0}</x:v>
      </x:c>
      <x:c r="O598" s="6"/>
      <x:c r="P598" s="6" t="str">
        <x:v>Exact asset type and target floor. Count complete collection.</x:v>
      </x:c>
      <x:c r="Q598" s="15" t="n">
        <x:v>2</x:v>
      </x:c>
      <x:c r="R598" s="6" t="str">
        <x:v>items</x:v>
      </x:c>
      <x:c r="S598" s="16"/>
      <x:c r="T598" s="15"/>
      <x:c r="U598" s="6"/>
      <x:c r="V598" s="6"/>
      <x:c r="W598" s="6" t="str">
        <x:v>No dedicated counting tool. search_building exposes matches but returns at most 15 results.</x:v>
      </x:c>
      <x:c r="X598" s="6" t="str">
        <x:v>data/train/resplan-11816/questions_basic.jsonl</x:v>
      </x:c>
      <x:c r="Y598" s="14" t="n">
        <x:v>4</x:v>
      </x:c>
      <x:c r="Z598" s="6" t="str">
        <x:v>https://github.com/hagenhaeussler/Industrial-Agents-Hackathon-2026/blob/f41616590b69f3ea0c1cbfb41d6c35edd9ce53df/data/train/resplan-11816/questions_basic.jsonl#L4</x:v>
      </x:c>
      <x:c r="AA598" s="6" t="str">
        <x:v>resplan</x:v>
      </x:c>
      <x:c r="AB598" s="6" t="str">
        <x:v>CC-BY-4.0</x:v>
      </x:c>
    </x:row>
    <x:row r="599" ht="72" customHeight="1">
      <x:c r="A599" s="14" t="n">
        <x:v>594</x:v>
      </x:c>
      <x:c r="B599" s="6" t="str">
        <x:v>count</x:v>
      </x:c>
      <x:c r="C599" s="6" t="str">
        <x:v>How many plant items are on the ground floor?</x:v>
      </x:c>
      <x:c r="D599" s="6" t="str">
        <x:v>3 plant items
Floor level: 0</x:v>
      </x:c>
      <x:c r="E599" s="6" t="str">
        <x:v>Reference supplied</x:v>
      </x:c>
      <x:c r="F599" s="6" t="str">
        <x:v>train</x:v>
      </x:c>
      <x:c r="G599" s="6" t="str">
        <x:v>resplan-120</x:v>
      </x:c>
      <x:c r="H599" s="6" t="str">
        <x:v>resplan-120-Q04</x:v>
      </x:c>
      <x:c r="I599" s="6" t="str">
        <x:v>Find and count assets</x:v>
      </x:c>
      <x:c r="J599" s="6" t="str">
        <x:v>Warm-up</x:v>
      </x:c>
      <x:c r="K599" s="6" t="str">
        <x:v>An exact integer count with the scope stated in prose.</x:v>
      </x:c>
      <x:c r="L599" s="6" t="str">
        <x:v>T02, T03</x:v>
      </x:c>
      <x:c r="M599" s="6" t="str">
        <x:v>Count all items of a requested type on one floor.</x:v>
      </x:c>
      <x:c r="N599" s="6" t="str">
        <x:v>{"count":3,"asset_type":"plant","floor_level":0}</x:v>
      </x:c>
      <x:c r="O599" s="6"/>
      <x:c r="P599" s="6" t="str">
        <x:v>Exact asset type and target floor. Count complete collection.</x:v>
      </x:c>
      <x:c r="Q599" s="15" t="n">
        <x:v>3</x:v>
      </x:c>
      <x:c r="R599" s="6" t="str">
        <x:v>items</x:v>
      </x:c>
      <x:c r="S599" s="16"/>
      <x:c r="T599" s="15"/>
      <x:c r="U599" s="6"/>
      <x:c r="V599" s="6"/>
      <x:c r="W599" s="6" t="str">
        <x:v>No dedicated counting tool. search_building exposes matches but returns at most 15 results.</x:v>
      </x:c>
      <x:c r="X599" s="6" t="str">
        <x:v>data/train/resplan-120/questions_basic.jsonl</x:v>
      </x:c>
      <x:c r="Y599" s="14" t="n">
        <x:v>4</x:v>
      </x:c>
      <x:c r="Z599" s="6" t="str">
        <x:v>https://github.com/hagenhaeussler/Industrial-Agents-Hackathon-2026/blob/f41616590b69f3ea0c1cbfb41d6c35edd9ce53df/data/train/resplan-120/questions_basic.jsonl#L4</x:v>
      </x:c>
      <x:c r="AA599" s="6" t="str">
        <x:v>resplan</x:v>
      </x:c>
      <x:c r="AB599" s="6" t="str">
        <x:v>CC-BY-4.0</x:v>
      </x:c>
    </x:row>
    <x:row r="600" ht="72" customHeight="1">
      <x:c r="A600" s="14" t="n">
        <x:v>595</x:v>
      </x:c>
      <x:c r="B600" s="6" t="str">
        <x:v>count</x:v>
      </x:c>
      <x:c r="C600" s="6" t="str">
        <x:v>How many sink items are on the ground floor?</x:v>
      </x:c>
      <x:c r="D600" s="6" t="str">
        <x:v>2 sink items
Floor level: 0</x:v>
      </x:c>
      <x:c r="E600" s="6" t="str">
        <x:v>Reference supplied</x:v>
      </x:c>
      <x:c r="F600" s="6" t="str">
        <x:v>train</x:v>
      </x:c>
      <x:c r="G600" s="6" t="str">
        <x:v>resplan-12034</x:v>
      </x:c>
      <x:c r="H600" s="6" t="str">
        <x:v>resplan-12034-Q04</x:v>
      </x:c>
      <x:c r="I600" s="6" t="str">
        <x:v>Find and count assets</x:v>
      </x:c>
      <x:c r="J600" s="6" t="str">
        <x:v>Warm-up</x:v>
      </x:c>
      <x:c r="K600" s="6" t="str">
        <x:v>An exact integer count with the scope stated in prose.</x:v>
      </x:c>
      <x:c r="L600" s="6" t="str">
        <x:v>T02, T03</x:v>
      </x:c>
      <x:c r="M600" s="6" t="str">
        <x:v>Count all items of a requested type on one floor.</x:v>
      </x:c>
      <x:c r="N600" s="6" t="str">
        <x:v>{"count":2,"asset_type":"sink","floor_level":0}</x:v>
      </x:c>
      <x:c r="O600" s="6"/>
      <x:c r="P600" s="6" t="str">
        <x:v>Exact asset type and target floor. Count complete collection.</x:v>
      </x:c>
      <x:c r="Q600" s="15" t="n">
        <x:v>2</x:v>
      </x:c>
      <x:c r="R600" s="6" t="str">
        <x:v>items</x:v>
      </x:c>
      <x:c r="S600" s="16"/>
      <x:c r="T600" s="15"/>
      <x:c r="U600" s="6"/>
      <x:c r="V600" s="6"/>
      <x:c r="W600" s="6" t="str">
        <x:v>No dedicated counting tool. search_building exposes matches but returns at most 15 results.</x:v>
      </x:c>
      <x:c r="X600" s="6" t="str">
        <x:v>data/train/resplan-12034/questions_basic.jsonl</x:v>
      </x:c>
      <x:c r="Y600" s="14" t="n">
        <x:v>4</x:v>
      </x:c>
      <x:c r="Z600" s="6" t="str">
        <x:v>https://github.com/hagenhaeussler/Industrial-Agents-Hackathon-2026/blob/f41616590b69f3ea0c1cbfb41d6c35edd9ce53df/data/train/resplan-12034/questions_basic.jsonl#L4</x:v>
      </x:c>
      <x:c r="AA600" s="6" t="str">
        <x:v>resplan</x:v>
      </x:c>
      <x:c r="AB600" s="6" t="str">
        <x:v>CC-BY-4.0</x:v>
      </x:c>
    </x:row>
    <x:row r="601" ht="72" customHeight="1">
      <x:c r="A601" s="14" t="n">
        <x:v>596</x:v>
      </x:c>
      <x:c r="B601" s="6" t="str">
        <x:v>count</x:v>
      </x:c>
      <x:c r="C601" s="6" t="str">
        <x:v>How many wardrobe items are on the ground floor?</x:v>
      </x:c>
      <x:c r="D601" s="6" t="str">
        <x:v>2 wardrobe items
Floor level: 0</x:v>
      </x:c>
      <x:c r="E601" s="6" t="str">
        <x:v>Reference supplied</x:v>
      </x:c>
      <x:c r="F601" s="6" t="str">
        <x:v>train</x:v>
      </x:c>
      <x:c r="G601" s="6" t="str">
        <x:v>resplan-1224</x:v>
      </x:c>
      <x:c r="H601" s="6" t="str">
        <x:v>resplan-1224-Q04</x:v>
      </x:c>
      <x:c r="I601" s="6" t="str">
        <x:v>Find and count assets</x:v>
      </x:c>
      <x:c r="J601" s="6" t="str">
        <x:v>Warm-up</x:v>
      </x:c>
      <x:c r="K601" s="6" t="str">
        <x:v>An exact integer count with the scope stated in prose.</x:v>
      </x:c>
      <x:c r="L601" s="6" t="str">
        <x:v>T02, T03</x:v>
      </x:c>
      <x:c r="M601" s="6" t="str">
        <x:v>Count all items of a requested type on one floor.</x:v>
      </x:c>
      <x:c r="N601" s="6" t="str">
        <x:v>{"count":2,"asset_type":"wardrobe","floor_level":0}</x:v>
      </x:c>
      <x:c r="O601" s="6"/>
      <x:c r="P601" s="6" t="str">
        <x:v>Exact asset type and target floor. Count complete collection.</x:v>
      </x:c>
      <x:c r="Q601" s="15" t="n">
        <x:v>2</x:v>
      </x:c>
      <x:c r="R601" s="6" t="str">
        <x:v>items</x:v>
      </x:c>
      <x:c r="S601" s="16"/>
      <x:c r="T601" s="15"/>
      <x:c r="U601" s="6"/>
      <x:c r="V601" s="6"/>
      <x:c r="W601" s="6" t="str">
        <x:v>No dedicated counting tool. search_building exposes matches but returns at most 15 results.</x:v>
      </x:c>
      <x:c r="X601" s="6" t="str">
        <x:v>data/train/resplan-1224/questions_basic.jsonl</x:v>
      </x:c>
      <x:c r="Y601" s="14" t="n">
        <x:v>4</x:v>
      </x:c>
      <x:c r="Z601" s="6" t="str">
        <x:v>https://github.com/hagenhaeussler/Industrial-Agents-Hackathon-2026/blob/f41616590b69f3ea0c1cbfb41d6c35edd9ce53df/data/train/resplan-1224/questions_basic.jsonl#L4</x:v>
      </x:c>
      <x:c r="AA601" s="6" t="str">
        <x:v>resplan</x:v>
      </x:c>
      <x:c r="AB601" s="6" t="str">
        <x:v>CC-BY-4.0</x:v>
      </x:c>
    </x:row>
    <x:row r="602" ht="72" customHeight="1">
      <x:c r="A602" s="14" t="n">
        <x:v>597</x:v>
      </x:c>
      <x:c r="B602" s="6" t="str">
        <x:v>count</x:v>
      </x:c>
      <x:c r="C602" s="6" t="str">
        <x:v>How many dining chair items are on the ground floor?</x:v>
      </x:c>
      <x:c r="D602" s="6" t="str">
        <x:v>3 dining_chair items
Floor level: 0</x:v>
      </x:c>
      <x:c r="E602" s="6" t="str">
        <x:v>Reference supplied</x:v>
      </x:c>
      <x:c r="F602" s="6" t="str">
        <x:v>train</x:v>
      </x:c>
      <x:c r="G602" s="6" t="str">
        <x:v>resplan-12304</x:v>
      </x:c>
      <x:c r="H602" s="6" t="str">
        <x:v>resplan-12304-Q04</x:v>
      </x:c>
      <x:c r="I602" s="6" t="str">
        <x:v>Find and count assets</x:v>
      </x:c>
      <x:c r="J602" s="6" t="str">
        <x:v>Warm-up</x:v>
      </x:c>
      <x:c r="K602" s="6" t="str">
        <x:v>An exact integer count with the scope stated in prose.</x:v>
      </x:c>
      <x:c r="L602" s="6" t="str">
        <x:v>T02, T03</x:v>
      </x:c>
      <x:c r="M602" s="6" t="str">
        <x:v>Count all items of a requested type on one floor.</x:v>
      </x:c>
      <x:c r="N602" s="6" t="str">
        <x:v>{"count":3,"asset_type":"dining_chair","floor_level":0}</x:v>
      </x:c>
      <x:c r="O602" s="6"/>
      <x:c r="P602" s="6" t="str">
        <x:v>Exact asset type and target floor. Count complete collection.</x:v>
      </x:c>
      <x:c r="Q602" s="15" t="n">
        <x:v>3</x:v>
      </x:c>
      <x:c r="R602" s="6" t="str">
        <x:v>items</x:v>
      </x:c>
      <x:c r="S602" s="16"/>
      <x:c r="T602" s="15"/>
      <x:c r="U602" s="6"/>
      <x:c r="V602" s="6"/>
      <x:c r="W602" s="6" t="str">
        <x:v>No dedicated counting tool. search_building exposes matches but returns at most 15 results.</x:v>
      </x:c>
      <x:c r="X602" s="6" t="str">
        <x:v>data/train/resplan-12304/questions_basic.jsonl</x:v>
      </x:c>
      <x:c r="Y602" s="14" t="n">
        <x:v>4</x:v>
      </x:c>
      <x:c r="Z602" s="6" t="str">
        <x:v>https://github.com/hagenhaeussler/Industrial-Agents-Hackathon-2026/blob/f41616590b69f3ea0c1cbfb41d6c35edd9ce53df/data/train/resplan-12304/questions_basic.jsonl#L4</x:v>
      </x:c>
      <x:c r="AA602" s="6" t="str">
        <x:v>resplan</x:v>
      </x:c>
      <x:c r="AB602" s="6" t="str">
        <x:v>CC-BY-4.0</x:v>
      </x:c>
    </x:row>
    <x:row r="603" ht="72" customHeight="1">
      <x:c r="A603" s="14" t="n">
        <x:v>598</x:v>
      </x:c>
      <x:c r="B603" s="6" t="str">
        <x:v>count</x:v>
      </x:c>
      <x:c r="C603" s="6" t="str">
        <x:v>How many toilet items are on the ground floor?</x:v>
      </x:c>
      <x:c r="D603" s="6" t="str">
        <x:v>2 toilet items
Floor level: 0</x:v>
      </x:c>
      <x:c r="E603" s="6" t="str">
        <x:v>Reference supplied</x:v>
      </x:c>
      <x:c r="F603" s="6" t="str">
        <x:v>train</x:v>
      </x:c>
      <x:c r="G603" s="6" t="str">
        <x:v>resplan-12336</x:v>
      </x:c>
      <x:c r="H603" s="6" t="str">
        <x:v>resplan-12336-Q04</x:v>
      </x:c>
      <x:c r="I603" s="6" t="str">
        <x:v>Find and count assets</x:v>
      </x:c>
      <x:c r="J603" s="6" t="str">
        <x:v>Warm-up</x:v>
      </x:c>
      <x:c r="K603" s="6" t="str">
        <x:v>An exact integer count with the scope stated in prose.</x:v>
      </x:c>
      <x:c r="L603" s="6" t="str">
        <x:v>T02, T03</x:v>
      </x:c>
      <x:c r="M603" s="6" t="str">
        <x:v>Count all items of a requested type on one floor.</x:v>
      </x:c>
      <x:c r="N603" s="6" t="str">
        <x:v>{"count":2,"asset_type":"toilet","floor_level":0}</x:v>
      </x:c>
      <x:c r="O603" s="6"/>
      <x:c r="P603" s="6" t="str">
        <x:v>Exact asset type and target floor. Count complete collection.</x:v>
      </x:c>
      <x:c r="Q603" s="15" t="n">
        <x:v>2</x:v>
      </x:c>
      <x:c r="R603" s="6" t="str">
        <x:v>items</x:v>
      </x:c>
      <x:c r="S603" s="16"/>
      <x:c r="T603" s="15"/>
      <x:c r="U603" s="6"/>
      <x:c r="V603" s="6"/>
      <x:c r="W603" s="6" t="str">
        <x:v>No dedicated counting tool. search_building exposes matches but returns at most 15 results.</x:v>
      </x:c>
      <x:c r="X603" s="6" t="str">
        <x:v>data/train/resplan-12336/questions_basic.jsonl</x:v>
      </x:c>
      <x:c r="Y603" s="14" t="n">
        <x:v>4</x:v>
      </x:c>
      <x:c r="Z603" s="6" t="str">
        <x:v>https://github.com/hagenhaeussler/Industrial-Agents-Hackathon-2026/blob/f41616590b69f3ea0c1cbfb41d6c35edd9ce53df/data/train/resplan-12336/questions_basic.jsonl#L4</x:v>
      </x:c>
      <x:c r="AA603" s="6" t="str">
        <x:v>resplan</x:v>
      </x:c>
      <x:c r="AB603" s="6" t="str">
        <x:v>CC-BY-4.0</x:v>
      </x:c>
    </x:row>
    <x:row r="604" ht="72" customHeight="1">
      <x:c r="A604" s="14" t="n">
        <x:v>599</x:v>
      </x:c>
      <x:c r="B604" s="6" t="str">
        <x:v>count</x:v>
      </x:c>
      <x:c r="C604" s="6" t="str">
        <x:v>How many wardrobe items are on the ground floor?</x:v>
      </x:c>
      <x:c r="D604" s="6" t="str">
        <x:v>3 wardrobe items
Floor level: 0</x:v>
      </x:c>
      <x:c r="E604" s="6" t="str">
        <x:v>Reference supplied</x:v>
      </x:c>
      <x:c r="F604" s="6" t="str">
        <x:v>train</x:v>
      </x:c>
      <x:c r="G604" s="6" t="str">
        <x:v>resplan-12462</x:v>
      </x:c>
      <x:c r="H604" s="6" t="str">
        <x:v>resplan-12462-Q04</x:v>
      </x:c>
      <x:c r="I604" s="6" t="str">
        <x:v>Find and count assets</x:v>
      </x:c>
      <x:c r="J604" s="6" t="str">
        <x:v>Warm-up</x:v>
      </x:c>
      <x:c r="K604" s="6" t="str">
        <x:v>An exact integer count with the scope stated in prose.</x:v>
      </x:c>
      <x:c r="L604" s="6" t="str">
        <x:v>T02, T03</x:v>
      </x:c>
      <x:c r="M604" s="6" t="str">
        <x:v>Count all items of a requested type on one floor.</x:v>
      </x:c>
      <x:c r="N604" s="6" t="str">
        <x:v>{"count":3,"asset_type":"wardrobe","floor_level":0}</x:v>
      </x:c>
      <x:c r="O604" s="6"/>
      <x:c r="P604" s="6" t="str">
        <x:v>Exact asset type and target floor. Count complete collection.</x:v>
      </x:c>
      <x:c r="Q604" s="15" t="n">
        <x:v>3</x:v>
      </x:c>
      <x:c r="R604" s="6" t="str">
        <x:v>items</x:v>
      </x:c>
      <x:c r="S604" s="16"/>
      <x:c r="T604" s="15"/>
      <x:c r="U604" s="6"/>
      <x:c r="V604" s="6"/>
      <x:c r="W604" s="6" t="str">
        <x:v>No dedicated counting tool. search_building exposes matches but returns at most 15 results.</x:v>
      </x:c>
      <x:c r="X604" s="6" t="str">
        <x:v>data/train/resplan-12462/questions_basic.jsonl</x:v>
      </x:c>
      <x:c r="Y604" s="14" t="n">
        <x:v>4</x:v>
      </x:c>
      <x:c r="Z604" s="6" t="str">
        <x:v>https://github.com/hagenhaeussler/Industrial-Agents-Hackathon-2026/blob/f41616590b69f3ea0c1cbfb41d6c35edd9ce53df/data/train/resplan-12462/questions_basic.jsonl#L4</x:v>
      </x:c>
      <x:c r="AA604" s="6" t="str">
        <x:v>resplan</x:v>
      </x:c>
      <x:c r="AB604" s="6" t="str">
        <x:v>CC-BY-4.0</x:v>
      </x:c>
    </x:row>
    <x:row r="605" ht="72" customHeight="1">
      <x:c r="A605" s="14" t="n">
        <x:v>600</x:v>
      </x:c>
      <x:c r="B605" s="6" t="str">
        <x:v>count</x:v>
      </x:c>
      <x:c r="C605" s="6" t="str">
        <x:v>How many sink items are on the ground floor?</x:v>
      </x:c>
      <x:c r="D605" s="6" t="str">
        <x:v>2 sink items
Floor level: 0</x:v>
      </x:c>
      <x:c r="E605" s="6" t="str">
        <x:v>Reference supplied</x:v>
      </x:c>
      <x:c r="F605" s="6" t="str">
        <x:v>train</x:v>
      </x:c>
      <x:c r="G605" s="6" t="str">
        <x:v>resplan-12750</x:v>
      </x:c>
      <x:c r="H605" s="6" t="str">
        <x:v>resplan-12750-Q04</x:v>
      </x:c>
      <x:c r="I605" s="6" t="str">
        <x:v>Find and count assets</x:v>
      </x:c>
      <x:c r="J605" s="6" t="str">
        <x:v>Warm-up</x:v>
      </x:c>
      <x:c r="K605" s="6" t="str">
        <x:v>An exact integer count with the scope stated in prose.</x:v>
      </x:c>
      <x:c r="L605" s="6" t="str">
        <x:v>T02, T03</x:v>
      </x:c>
      <x:c r="M605" s="6" t="str">
        <x:v>Count all items of a requested type on one floor.</x:v>
      </x:c>
      <x:c r="N605" s="6" t="str">
        <x:v>{"count":2,"asset_type":"sink","floor_level":0}</x:v>
      </x:c>
      <x:c r="O605" s="6"/>
      <x:c r="P605" s="6" t="str">
        <x:v>Exact asset type and target floor. Count complete collection.</x:v>
      </x:c>
      <x:c r="Q605" s="15" t="n">
        <x:v>2</x:v>
      </x:c>
      <x:c r="R605" s="6" t="str">
        <x:v>items</x:v>
      </x:c>
      <x:c r="S605" s="16"/>
      <x:c r="T605" s="15"/>
      <x:c r="U605" s="6"/>
      <x:c r="V605" s="6"/>
      <x:c r="W605" s="6" t="str">
        <x:v>No dedicated counting tool. search_building exposes matches but returns at most 15 results.</x:v>
      </x:c>
      <x:c r="X605" s="6" t="str">
        <x:v>data/train/resplan-12750/questions_basic.jsonl</x:v>
      </x:c>
      <x:c r="Y605" s="14" t="n">
        <x:v>4</x:v>
      </x:c>
      <x:c r="Z605" s="6" t="str">
        <x:v>https://github.com/hagenhaeussler/Industrial-Agents-Hackathon-2026/blob/f41616590b69f3ea0c1cbfb41d6c35edd9ce53df/data/train/resplan-12750/questions_basic.jsonl#L4</x:v>
      </x:c>
      <x:c r="AA605" s="6" t="str">
        <x:v>resplan</x:v>
      </x:c>
      <x:c r="AB605" s="6" t="str">
        <x:v>CC-BY-4.0</x:v>
      </x:c>
    </x:row>
    <x:row r="606" ht="72" customHeight="1">
      <x:c r="A606" s="14" t="n">
        <x:v>601</x:v>
      </x:c>
      <x:c r="B606" s="6" t="str">
        <x:v>count</x:v>
      </x:c>
      <x:c r="C606" s="6" t="str">
        <x:v>How many sink items are on the ground floor?</x:v>
      </x:c>
      <x:c r="D606" s="6" t="str">
        <x:v>2 sink items
Floor level: 0</x:v>
      </x:c>
      <x:c r="E606" s="6" t="str">
        <x:v>Reference supplied</x:v>
      </x:c>
      <x:c r="F606" s="6" t="str">
        <x:v>train</x:v>
      </x:c>
      <x:c r="G606" s="6" t="str">
        <x:v>resplan-12844</x:v>
      </x:c>
      <x:c r="H606" s="6" t="str">
        <x:v>resplan-12844-Q04</x:v>
      </x:c>
      <x:c r="I606" s="6" t="str">
        <x:v>Find and count assets</x:v>
      </x:c>
      <x:c r="J606" s="6" t="str">
        <x:v>Warm-up</x:v>
      </x:c>
      <x:c r="K606" s="6" t="str">
        <x:v>An exact integer count with the scope stated in prose.</x:v>
      </x:c>
      <x:c r="L606" s="6" t="str">
        <x:v>T02, T03</x:v>
      </x:c>
      <x:c r="M606" s="6" t="str">
        <x:v>Count all items of a requested type on one floor.</x:v>
      </x:c>
      <x:c r="N606" s="6" t="str">
        <x:v>{"count":2,"asset_type":"sink","floor_level":0}</x:v>
      </x:c>
      <x:c r="O606" s="6"/>
      <x:c r="P606" s="6" t="str">
        <x:v>Exact asset type and target floor. Count complete collection.</x:v>
      </x:c>
      <x:c r="Q606" s="15" t="n">
        <x:v>2</x:v>
      </x:c>
      <x:c r="R606" s="6" t="str">
        <x:v>items</x:v>
      </x:c>
      <x:c r="S606" s="16"/>
      <x:c r="T606" s="15"/>
      <x:c r="U606" s="6"/>
      <x:c r="V606" s="6"/>
      <x:c r="W606" s="6" t="str">
        <x:v>No dedicated counting tool. search_building exposes matches but returns at most 15 results.</x:v>
      </x:c>
      <x:c r="X606" s="6" t="str">
        <x:v>data/train/resplan-12844/questions_basic.jsonl</x:v>
      </x:c>
      <x:c r="Y606" s="14" t="n">
        <x:v>4</x:v>
      </x:c>
      <x:c r="Z606" s="6" t="str">
        <x:v>https://github.com/hagenhaeussler/Industrial-Agents-Hackathon-2026/blob/f41616590b69f3ea0c1cbfb41d6c35edd9ce53df/data/train/resplan-12844/questions_basic.jsonl#L4</x:v>
      </x:c>
      <x:c r="AA606" s="6" t="str">
        <x:v>resplan</x:v>
      </x:c>
      <x:c r="AB606" s="6" t="str">
        <x:v>CC-BY-4.0</x:v>
      </x:c>
    </x:row>
    <x:row r="607" ht="72" customHeight="1">
      <x:c r="A607" s="14" t="n">
        <x:v>602</x:v>
      </x:c>
      <x:c r="B607" s="6" t="str">
        <x:v>count</x:v>
      </x:c>
      <x:c r="C607" s="6" t="str">
        <x:v>How many outdoor chair items are on the ground floor?</x:v>
      </x:c>
      <x:c r="D607" s="6" t="str">
        <x:v>5 outdoor_chair items
Floor level: 0</x:v>
      </x:c>
      <x:c r="E607" s="6" t="str">
        <x:v>Reference supplied</x:v>
      </x:c>
      <x:c r="F607" s="6" t="str">
        <x:v>train</x:v>
      </x:c>
      <x:c r="G607" s="6" t="str">
        <x:v>resplan-12867</x:v>
      </x:c>
      <x:c r="H607" s="6" t="str">
        <x:v>resplan-12867-Q04</x:v>
      </x:c>
      <x:c r="I607" s="6" t="str">
        <x:v>Find and count assets</x:v>
      </x:c>
      <x:c r="J607" s="6" t="str">
        <x:v>Warm-up</x:v>
      </x:c>
      <x:c r="K607" s="6" t="str">
        <x:v>An exact integer count with the scope stated in prose.</x:v>
      </x:c>
      <x:c r="L607" s="6" t="str">
        <x:v>T02, T03</x:v>
      </x:c>
      <x:c r="M607" s="6" t="str">
        <x:v>Count all items of a requested type on one floor.</x:v>
      </x:c>
      <x:c r="N607" s="6" t="str">
        <x:v>{"count":5,"asset_type":"outdoor_chair","floor_level":0}</x:v>
      </x:c>
      <x:c r="O607" s="6"/>
      <x:c r="P607" s="6" t="str">
        <x:v>Exact asset type and target floor. Count complete collection.</x:v>
      </x:c>
      <x:c r="Q607" s="15" t="n">
        <x:v>5</x:v>
      </x:c>
      <x:c r="R607" s="6" t="str">
        <x:v>items</x:v>
      </x:c>
      <x:c r="S607" s="16"/>
      <x:c r="T607" s="15"/>
      <x:c r="U607" s="6"/>
      <x:c r="V607" s="6"/>
      <x:c r="W607" s="6" t="str">
        <x:v>No dedicated counting tool. search_building exposes matches but returns at most 15 results.</x:v>
      </x:c>
      <x:c r="X607" s="6" t="str">
        <x:v>data/train/resplan-12867/questions_basic.jsonl</x:v>
      </x:c>
      <x:c r="Y607" s="14" t="n">
        <x:v>4</x:v>
      </x:c>
      <x:c r="Z607" s="6" t="str">
        <x:v>https://github.com/hagenhaeussler/Industrial-Agents-Hackathon-2026/blob/f41616590b69f3ea0c1cbfb41d6c35edd9ce53df/data/train/resplan-12867/questions_basic.jsonl#L4</x:v>
      </x:c>
      <x:c r="AA607" s="6" t="str">
        <x:v>resplan</x:v>
      </x:c>
      <x:c r="AB607" s="6" t="str">
        <x:v>CC-BY-4.0</x:v>
      </x:c>
    </x:row>
    <x:row r="608" ht="72" customHeight="1">
      <x:c r="A608" s="14" t="n">
        <x:v>603</x:v>
      </x:c>
      <x:c r="B608" s="6" t="str">
        <x:v>count</x:v>
      </x:c>
      <x:c r="C608" s="6" t="str">
        <x:v>How many plant items are on the ground floor?</x:v>
      </x:c>
      <x:c r="D608" s="6" t="str">
        <x:v>2 plant items
Floor level: 0</x:v>
      </x:c>
      <x:c r="E608" s="6" t="str">
        <x:v>Reference supplied</x:v>
      </x:c>
      <x:c r="F608" s="6" t="str">
        <x:v>train</x:v>
      </x:c>
      <x:c r="G608" s="6" t="str">
        <x:v>resplan-12878</x:v>
      </x:c>
      <x:c r="H608" s="6" t="str">
        <x:v>resplan-12878-Q04</x:v>
      </x:c>
      <x:c r="I608" s="6" t="str">
        <x:v>Find and count assets</x:v>
      </x:c>
      <x:c r="J608" s="6" t="str">
        <x:v>Warm-up</x:v>
      </x:c>
      <x:c r="K608" s="6" t="str">
        <x:v>An exact integer count with the scope stated in prose.</x:v>
      </x:c>
      <x:c r="L608" s="6" t="str">
        <x:v>T02, T03</x:v>
      </x:c>
      <x:c r="M608" s="6" t="str">
        <x:v>Count all items of a requested type on one floor.</x:v>
      </x:c>
      <x:c r="N608" s="6" t="str">
        <x:v>{"count":2,"asset_type":"plant","floor_level":0}</x:v>
      </x:c>
      <x:c r="O608" s="6"/>
      <x:c r="P608" s="6" t="str">
        <x:v>Exact asset type and target floor. Count complete collection.</x:v>
      </x:c>
      <x:c r="Q608" s="15" t="n">
        <x:v>2</x:v>
      </x:c>
      <x:c r="R608" s="6" t="str">
        <x:v>items</x:v>
      </x:c>
      <x:c r="S608" s="16"/>
      <x:c r="T608" s="15"/>
      <x:c r="U608" s="6"/>
      <x:c r="V608" s="6"/>
      <x:c r="W608" s="6" t="str">
        <x:v>No dedicated counting tool. search_building exposes matches but returns at most 15 results.</x:v>
      </x:c>
      <x:c r="X608" s="6" t="str">
        <x:v>data/train/resplan-12878/questions_basic.jsonl</x:v>
      </x:c>
      <x:c r="Y608" s="14" t="n">
        <x:v>4</x:v>
      </x:c>
      <x:c r="Z608" s="6" t="str">
        <x:v>https://github.com/hagenhaeussler/Industrial-Agents-Hackathon-2026/blob/f41616590b69f3ea0c1cbfb41d6c35edd9ce53df/data/train/resplan-12878/questions_basic.jsonl#L4</x:v>
      </x:c>
      <x:c r="AA608" s="6" t="str">
        <x:v>resplan</x:v>
      </x:c>
      <x:c r="AB608" s="6" t="str">
        <x:v>CC-BY-4.0</x:v>
      </x:c>
    </x:row>
    <x:row r="609" ht="72" customHeight="1">
      <x:c r="A609" s="14" t="n">
        <x:v>604</x:v>
      </x:c>
      <x:c r="B609" s="6" t="str">
        <x:v>count</x:v>
      </x:c>
      <x:c r="C609" s="6" t="str">
        <x:v>How many toilet items are on the ground floor?</x:v>
      </x:c>
      <x:c r="D609" s="6" t="str">
        <x:v>2 toilet items
Floor level: 0</x:v>
      </x:c>
      <x:c r="E609" s="6" t="str">
        <x:v>Reference supplied</x:v>
      </x:c>
      <x:c r="F609" s="6" t="str">
        <x:v>train</x:v>
      </x:c>
      <x:c r="G609" s="6" t="str">
        <x:v>resplan-12897</x:v>
      </x:c>
      <x:c r="H609" s="6" t="str">
        <x:v>resplan-12897-Q04</x:v>
      </x:c>
      <x:c r="I609" s="6" t="str">
        <x:v>Find and count assets</x:v>
      </x:c>
      <x:c r="J609" s="6" t="str">
        <x:v>Warm-up</x:v>
      </x:c>
      <x:c r="K609" s="6" t="str">
        <x:v>An exact integer count with the scope stated in prose.</x:v>
      </x:c>
      <x:c r="L609" s="6" t="str">
        <x:v>T02, T03</x:v>
      </x:c>
      <x:c r="M609" s="6" t="str">
        <x:v>Count all items of a requested type on one floor.</x:v>
      </x:c>
      <x:c r="N609" s="6" t="str">
        <x:v>{"count":2,"asset_type":"toilet","floor_level":0}</x:v>
      </x:c>
      <x:c r="O609" s="6"/>
      <x:c r="P609" s="6" t="str">
        <x:v>Exact asset type and target floor. Count complete collection.</x:v>
      </x:c>
      <x:c r="Q609" s="15" t="n">
        <x:v>2</x:v>
      </x:c>
      <x:c r="R609" s="6" t="str">
        <x:v>items</x:v>
      </x:c>
      <x:c r="S609" s="16"/>
      <x:c r="T609" s="15"/>
      <x:c r="U609" s="6"/>
      <x:c r="V609" s="6"/>
      <x:c r="W609" s="6" t="str">
        <x:v>No dedicated counting tool. search_building exposes matches but returns at most 15 results.</x:v>
      </x:c>
      <x:c r="X609" s="6" t="str">
        <x:v>data/train/resplan-12897/questions_basic.jsonl</x:v>
      </x:c>
      <x:c r="Y609" s="14" t="n">
        <x:v>4</x:v>
      </x:c>
      <x:c r="Z609" s="6" t="str">
        <x:v>https://github.com/hagenhaeussler/Industrial-Agents-Hackathon-2026/blob/f41616590b69f3ea0c1cbfb41d6c35edd9ce53df/data/train/resplan-12897/questions_basic.jsonl#L4</x:v>
      </x:c>
      <x:c r="AA609" s="6" t="str">
        <x:v>resplan</x:v>
      </x:c>
      <x:c r="AB609" s="6" t="str">
        <x:v>CC-BY-4.0</x:v>
      </x:c>
    </x:row>
    <x:row r="610" ht="72" customHeight="1">
      <x:c r="A610" s="14" t="n">
        <x:v>605</x:v>
      </x:c>
      <x:c r="B610" s="6" t="str">
        <x:v>count</x:v>
      </x:c>
      <x:c r="C610" s="6" t="str">
        <x:v>How many wardrobe items are on the ground floor?</x:v>
      </x:c>
      <x:c r="D610" s="6" t="str">
        <x:v>3 wardrobe items
Floor level: 0</x:v>
      </x:c>
      <x:c r="E610" s="6" t="str">
        <x:v>Reference supplied</x:v>
      </x:c>
      <x:c r="F610" s="6" t="str">
        <x:v>train</x:v>
      </x:c>
      <x:c r="G610" s="6" t="str">
        <x:v>resplan-12985</x:v>
      </x:c>
      <x:c r="H610" s="6" t="str">
        <x:v>resplan-12985-Q04</x:v>
      </x:c>
      <x:c r="I610" s="6" t="str">
        <x:v>Find and count assets</x:v>
      </x:c>
      <x:c r="J610" s="6" t="str">
        <x:v>Warm-up</x:v>
      </x:c>
      <x:c r="K610" s="6" t="str">
        <x:v>An exact integer count with the scope stated in prose.</x:v>
      </x:c>
      <x:c r="L610" s="6" t="str">
        <x:v>T02, T03</x:v>
      </x:c>
      <x:c r="M610" s="6" t="str">
        <x:v>Count all items of a requested type on one floor.</x:v>
      </x:c>
      <x:c r="N610" s="6" t="str">
        <x:v>{"count":3,"asset_type":"wardrobe","floor_level":0}</x:v>
      </x:c>
      <x:c r="O610" s="6"/>
      <x:c r="P610" s="6" t="str">
        <x:v>Exact asset type and target floor. Count complete collection.</x:v>
      </x:c>
      <x:c r="Q610" s="15" t="n">
        <x:v>3</x:v>
      </x:c>
      <x:c r="R610" s="6" t="str">
        <x:v>items</x:v>
      </x:c>
      <x:c r="S610" s="16"/>
      <x:c r="T610" s="15"/>
      <x:c r="U610" s="6"/>
      <x:c r="V610" s="6"/>
      <x:c r="W610" s="6" t="str">
        <x:v>No dedicated counting tool. search_building exposes matches but returns at most 15 results.</x:v>
      </x:c>
      <x:c r="X610" s="6" t="str">
        <x:v>data/train/resplan-12985/questions_basic.jsonl</x:v>
      </x:c>
      <x:c r="Y610" s="14" t="n">
        <x:v>4</x:v>
      </x:c>
      <x:c r="Z610" s="6" t="str">
        <x:v>https://github.com/hagenhaeussler/Industrial-Agents-Hackathon-2026/blob/f41616590b69f3ea0c1cbfb41d6c35edd9ce53df/data/train/resplan-12985/questions_basic.jsonl#L4</x:v>
      </x:c>
      <x:c r="AA610" s="6" t="str">
        <x:v>resplan</x:v>
      </x:c>
      <x:c r="AB610" s="6" t="str">
        <x:v>CC-BY-4.0</x:v>
      </x:c>
    </x:row>
    <x:row r="611" ht="72" customHeight="1">
      <x:c r="A611" s="14" t="n">
        <x:v>606</x:v>
      </x:c>
      <x:c r="B611" s="6" t="str">
        <x:v>count</x:v>
      </x:c>
      <x:c r="C611" s="6" t="str">
        <x:v>How many nightstand items are on the ground floor?</x:v>
      </x:c>
      <x:c r="D611" s="6" t="str">
        <x:v>4 nightstand items
Floor level: 0</x:v>
      </x:c>
      <x:c r="E611" s="6" t="str">
        <x:v>Reference supplied</x:v>
      </x:c>
      <x:c r="F611" s="6" t="str">
        <x:v>train</x:v>
      </x:c>
      <x:c r="G611" s="6" t="str">
        <x:v>resplan-13024</x:v>
      </x:c>
      <x:c r="H611" s="6" t="str">
        <x:v>resplan-13024-Q04</x:v>
      </x:c>
      <x:c r="I611" s="6" t="str">
        <x:v>Find and count assets</x:v>
      </x:c>
      <x:c r="J611" s="6" t="str">
        <x:v>Warm-up</x:v>
      </x:c>
      <x:c r="K611" s="6" t="str">
        <x:v>An exact integer count with the scope stated in prose.</x:v>
      </x:c>
      <x:c r="L611" s="6" t="str">
        <x:v>T02, T03</x:v>
      </x:c>
      <x:c r="M611" s="6" t="str">
        <x:v>Count all items of a requested type on one floor.</x:v>
      </x:c>
      <x:c r="N611" s="6" t="str">
        <x:v>{"count":4,"asset_type":"nightstand","floor_level":0}</x:v>
      </x:c>
      <x:c r="O611" s="6"/>
      <x:c r="P611" s="6" t="str">
        <x:v>Exact asset type and target floor. Count complete collection.</x:v>
      </x:c>
      <x:c r="Q611" s="15" t="n">
        <x:v>4</x:v>
      </x:c>
      <x:c r="R611" s="6" t="str">
        <x:v>items</x:v>
      </x:c>
      <x:c r="S611" s="16"/>
      <x:c r="T611" s="15"/>
      <x:c r="U611" s="6"/>
      <x:c r="V611" s="6"/>
      <x:c r="W611" s="6" t="str">
        <x:v>No dedicated counting tool. search_building exposes matches but returns at most 15 results.</x:v>
      </x:c>
      <x:c r="X611" s="6" t="str">
        <x:v>data/train/resplan-13024/questions_basic.jsonl</x:v>
      </x:c>
      <x:c r="Y611" s="14" t="n">
        <x:v>4</x:v>
      </x:c>
      <x:c r="Z611" s="6" t="str">
        <x:v>https://github.com/hagenhaeussler/Industrial-Agents-Hackathon-2026/blob/f41616590b69f3ea0c1cbfb41d6c35edd9ce53df/data/train/resplan-13024/questions_basic.jsonl#L4</x:v>
      </x:c>
      <x:c r="AA611" s="6" t="str">
        <x:v>resplan</x:v>
      </x:c>
      <x:c r="AB611" s="6" t="str">
        <x:v>CC-BY-4.0</x:v>
      </x:c>
    </x:row>
    <x:row r="612" ht="72" customHeight="1">
      <x:c r="A612" s="14" t="n">
        <x:v>607</x:v>
      </x:c>
      <x:c r="B612" s="6" t="str">
        <x:v>count</x:v>
      </x:c>
      <x:c r="C612" s="6" t="str">
        <x:v>How many outdoor chair items are on the ground floor?</x:v>
      </x:c>
      <x:c r="D612" s="6" t="str">
        <x:v>2 outdoor_chair items
Floor level: 0</x:v>
      </x:c>
      <x:c r="E612" s="6" t="str">
        <x:v>Reference supplied</x:v>
      </x:c>
      <x:c r="F612" s="6" t="str">
        <x:v>train</x:v>
      </x:c>
      <x:c r="G612" s="6" t="str">
        <x:v>resplan-13846</x:v>
      </x:c>
      <x:c r="H612" s="6" t="str">
        <x:v>resplan-13846-Q04</x:v>
      </x:c>
      <x:c r="I612" s="6" t="str">
        <x:v>Find and count assets</x:v>
      </x:c>
      <x:c r="J612" s="6" t="str">
        <x:v>Warm-up</x:v>
      </x:c>
      <x:c r="K612" s="6" t="str">
        <x:v>An exact integer count with the scope stated in prose.</x:v>
      </x:c>
      <x:c r="L612" s="6" t="str">
        <x:v>T02, T03</x:v>
      </x:c>
      <x:c r="M612" s="6" t="str">
        <x:v>Count all items of a requested type on one floor.</x:v>
      </x:c>
      <x:c r="N612" s="6" t="str">
        <x:v>{"count":2,"asset_type":"outdoor_chair","floor_level":0}</x:v>
      </x:c>
      <x:c r="O612" s="6"/>
      <x:c r="P612" s="6" t="str">
        <x:v>Exact asset type and target floor. Count complete collection.</x:v>
      </x:c>
      <x:c r="Q612" s="15" t="n">
        <x:v>2</x:v>
      </x:c>
      <x:c r="R612" s="6" t="str">
        <x:v>items</x:v>
      </x:c>
      <x:c r="S612" s="16"/>
      <x:c r="T612" s="15"/>
      <x:c r="U612" s="6"/>
      <x:c r="V612" s="6"/>
      <x:c r="W612" s="6" t="str">
        <x:v>No dedicated counting tool. search_building exposes matches but returns at most 15 results.</x:v>
      </x:c>
      <x:c r="X612" s="6" t="str">
        <x:v>data/train/resplan-13846/questions_basic.jsonl</x:v>
      </x:c>
      <x:c r="Y612" s="14" t="n">
        <x:v>4</x:v>
      </x:c>
      <x:c r="Z612" s="6" t="str">
        <x:v>https://github.com/hagenhaeussler/Industrial-Agents-Hackathon-2026/blob/f41616590b69f3ea0c1cbfb41d6c35edd9ce53df/data/train/resplan-13846/questions_basic.jsonl#L4</x:v>
      </x:c>
      <x:c r="AA612" s="6" t="str">
        <x:v>resplan</x:v>
      </x:c>
      <x:c r="AB612" s="6" t="str">
        <x:v>CC-BY-4.0</x:v>
      </x:c>
    </x:row>
    <x:row r="613" ht="72" customHeight="1">
      <x:c r="A613" s="14" t="n">
        <x:v>608</x:v>
      </x:c>
      <x:c r="B613" s="6" t="str">
        <x:v>count</x:v>
      </x:c>
      <x:c r="C613" s="6" t="str">
        <x:v>How many toilet items are on the ground floor?</x:v>
      </x:c>
      <x:c r="D613" s="6" t="str">
        <x:v>2 toilet items
Floor level: 0</x:v>
      </x:c>
      <x:c r="E613" s="6" t="str">
        <x:v>Reference supplied</x:v>
      </x:c>
      <x:c r="F613" s="6" t="str">
        <x:v>train</x:v>
      </x:c>
      <x:c r="G613" s="6" t="str">
        <x:v>resplan-14012</x:v>
      </x:c>
      <x:c r="H613" s="6" t="str">
        <x:v>resplan-14012-Q04</x:v>
      </x:c>
      <x:c r="I613" s="6" t="str">
        <x:v>Find and count assets</x:v>
      </x:c>
      <x:c r="J613" s="6" t="str">
        <x:v>Warm-up</x:v>
      </x:c>
      <x:c r="K613" s="6" t="str">
        <x:v>An exact integer count with the scope stated in prose.</x:v>
      </x:c>
      <x:c r="L613" s="6" t="str">
        <x:v>T02, T03</x:v>
      </x:c>
      <x:c r="M613" s="6" t="str">
        <x:v>Count all items of a requested type on one floor.</x:v>
      </x:c>
      <x:c r="N613" s="6" t="str">
        <x:v>{"count":2,"asset_type":"toilet","floor_level":0}</x:v>
      </x:c>
      <x:c r="O613" s="6"/>
      <x:c r="P613" s="6" t="str">
        <x:v>Exact asset type and target floor. Count complete collection.</x:v>
      </x:c>
      <x:c r="Q613" s="15" t="n">
        <x:v>2</x:v>
      </x:c>
      <x:c r="R613" s="6" t="str">
        <x:v>items</x:v>
      </x:c>
      <x:c r="S613" s="16"/>
      <x:c r="T613" s="15"/>
      <x:c r="U613" s="6"/>
      <x:c r="V613" s="6"/>
      <x:c r="W613" s="6" t="str">
        <x:v>No dedicated counting tool. search_building exposes matches but returns at most 15 results.</x:v>
      </x:c>
      <x:c r="X613" s="6" t="str">
        <x:v>data/train/resplan-14012/questions_basic.jsonl</x:v>
      </x:c>
      <x:c r="Y613" s="14" t="n">
        <x:v>4</x:v>
      </x:c>
      <x:c r="Z613" s="6" t="str">
        <x:v>https://github.com/hagenhaeussler/Industrial-Agents-Hackathon-2026/blob/f41616590b69f3ea0c1cbfb41d6c35edd9ce53df/data/train/resplan-14012/questions_basic.jsonl#L4</x:v>
      </x:c>
      <x:c r="AA613" s="6" t="str">
        <x:v>resplan</x:v>
      </x:c>
      <x:c r="AB613" s="6" t="str">
        <x:v>CC-BY-4.0</x:v>
      </x:c>
    </x:row>
    <x:row r="614" ht="72" customHeight="1">
      <x:c r="A614" s="14" t="n">
        <x:v>609</x:v>
      </x:c>
      <x:c r="B614" s="6" t="str">
        <x:v>count</x:v>
      </x:c>
      <x:c r="C614" s="6" t="str">
        <x:v>How many bookshelf items are on the ground floor?</x:v>
      </x:c>
      <x:c r="D614" s="6" t="str">
        <x:v>2 bookshelf items
Floor level: 0</x:v>
      </x:c>
      <x:c r="E614" s="6" t="str">
        <x:v>Reference supplied</x:v>
      </x:c>
      <x:c r="F614" s="6" t="str">
        <x:v>train</x:v>
      </x:c>
      <x:c r="G614" s="6" t="str">
        <x:v>resplan-14211</x:v>
      </x:c>
      <x:c r="H614" s="6" t="str">
        <x:v>resplan-14211-Q04</x:v>
      </x:c>
      <x:c r="I614" s="6" t="str">
        <x:v>Find and count assets</x:v>
      </x:c>
      <x:c r="J614" s="6" t="str">
        <x:v>Warm-up</x:v>
      </x:c>
      <x:c r="K614" s="6" t="str">
        <x:v>An exact integer count with the scope stated in prose.</x:v>
      </x:c>
      <x:c r="L614" s="6" t="str">
        <x:v>T02, T03</x:v>
      </x:c>
      <x:c r="M614" s="6" t="str">
        <x:v>Count all items of a requested type on one floor.</x:v>
      </x:c>
      <x:c r="N614" s="6" t="str">
        <x:v>{"count":2,"asset_type":"bookshelf","floor_level":0}</x:v>
      </x:c>
      <x:c r="O614" s="6"/>
      <x:c r="P614" s="6" t="str">
        <x:v>Exact asset type and target floor. Count complete collection.</x:v>
      </x:c>
      <x:c r="Q614" s="15" t="n">
        <x:v>2</x:v>
      </x:c>
      <x:c r="R614" s="6" t="str">
        <x:v>items</x:v>
      </x:c>
      <x:c r="S614" s="16"/>
      <x:c r="T614" s="15"/>
      <x:c r="U614" s="6"/>
      <x:c r="V614" s="6"/>
      <x:c r="W614" s="6" t="str">
        <x:v>No dedicated counting tool. search_building exposes matches but returns at most 15 results.</x:v>
      </x:c>
      <x:c r="X614" s="6" t="str">
        <x:v>data/train/resplan-14211/questions_basic.jsonl</x:v>
      </x:c>
      <x:c r="Y614" s="14" t="n">
        <x:v>4</x:v>
      </x:c>
      <x:c r="Z614" s="6" t="str">
        <x:v>https://github.com/hagenhaeussler/Industrial-Agents-Hackathon-2026/blob/f41616590b69f3ea0c1cbfb41d6c35edd9ce53df/data/train/resplan-14211/questions_basic.jsonl#L4</x:v>
      </x:c>
      <x:c r="AA614" s="6" t="str">
        <x:v>resplan</x:v>
      </x:c>
      <x:c r="AB614" s="6" t="str">
        <x:v>CC-BY-4.0</x:v>
      </x:c>
    </x:row>
    <x:row r="615" ht="72" customHeight="1">
      <x:c r="A615" s="14" t="n">
        <x:v>610</x:v>
      </x:c>
      <x:c r="B615" s="6" t="str">
        <x:v>count</x:v>
      </x:c>
      <x:c r="C615" s="6" t="str">
        <x:v>How many sink items are on the ground floor?</x:v>
      </x:c>
      <x:c r="D615" s="6" t="str">
        <x:v>3 sink items
Floor level: 0</x:v>
      </x:c>
      <x:c r="E615" s="6" t="str">
        <x:v>Reference supplied</x:v>
      </x:c>
      <x:c r="F615" s="6" t="str">
        <x:v>train</x:v>
      </x:c>
      <x:c r="G615" s="6" t="str">
        <x:v>resplan-14407</x:v>
      </x:c>
      <x:c r="H615" s="6" t="str">
        <x:v>resplan-14407-Q04</x:v>
      </x:c>
      <x:c r="I615" s="6" t="str">
        <x:v>Find and count assets</x:v>
      </x:c>
      <x:c r="J615" s="6" t="str">
        <x:v>Warm-up</x:v>
      </x:c>
      <x:c r="K615" s="6" t="str">
        <x:v>An exact integer count with the scope stated in prose.</x:v>
      </x:c>
      <x:c r="L615" s="6" t="str">
        <x:v>T02, T03</x:v>
      </x:c>
      <x:c r="M615" s="6" t="str">
        <x:v>Count all items of a requested type on one floor.</x:v>
      </x:c>
      <x:c r="N615" s="6" t="str">
        <x:v>{"count":3,"asset_type":"sink","floor_level":0}</x:v>
      </x:c>
      <x:c r="O615" s="6"/>
      <x:c r="P615" s="6" t="str">
        <x:v>Exact asset type and target floor. Count complete collection.</x:v>
      </x:c>
      <x:c r="Q615" s="15" t="n">
        <x:v>3</x:v>
      </x:c>
      <x:c r="R615" s="6" t="str">
        <x:v>items</x:v>
      </x:c>
      <x:c r="S615" s="16"/>
      <x:c r="T615" s="15"/>
      <x:c r="U615" s="6"/>
      <x:c r="V615" s="6"/>
      <x:c r="W615" s="6" t="str">
        <x:v>No dedicated counting tool. search_building exposes matches but returns at most 15 results.</x:v>
      </x:c>
      <x:c r="X615" s="6" t="str">
        <x:v>data/train/resplan-14407/questions_basic.jsonl</x:v>
      </x:c>
      <x:c r="Y615" s="14" t="n">
        <x:v>4</x:v>
      </x:c>
      <x:c r="Z615" s="6" t="str">
        <x:v>https://github.com/hagenhaeussler/Industrial-Agents-Hackathon-2026/blob/f41616590b69f3ea0c1cbfb41d6c35edd9ce53df/data/train/resplan-14407/questions_basic.jsonl#L4</x:v>
      </x:c>
      <x:c r="AA615" s="6" t="str">
        <x:v>resplan</x:v>
      </x:c>
      <x:c r="AB615" s="6" t="str">
        <x:v>CC-BY-4.0</x:v>
      </x:c>
    </x:row>
    <x:row r="616" ht="72" customHeight="1">
      <x:c r="A616" s="14" t="n">
        <x:v>611</x:v>
      </x:c>
      <x:c r="B616" s="6" t="str">
        <x:v>count</x:v>
      </x:c>
      <x:c r="C616" s="6" t="str">
        <x:v>How many outdoor chair items are on the ground floor?</x:v>
      </x:c>
      <x:c r="D616" s="6" t="str">
        <x:v>3 outdoor_chair items
Floor level: 0</x:v>
      </x:c>
      <x:c r="E616" s="6" t="str">
        <x:v>Reference supplied</x:v>
      </x:c>
      <x:c r="F616" s="6" t="str">
        <x:v>train</x:v>
      </x:c>
      <x:c r="G616" s="6" t="str">
        <x:v>resplan-14602</x:v>
      </x:c>
      <x:c r="H616" s="6" t="str">
        <x:v>resplan-14602-Q04</x:v>
      </x:c>
      <x:c r="I616" s="6" t="str">
        <x:v>Find and count assets</x:v>
      </x:c>
      <x:c r="J616" s="6" t="str">
        <x:v>Warm-up</x:v>
      </x:c>
      <x:c r="K616" s="6" t="str">
        <x:v>An exact integer count with the scope stated in prose.</x:v>
      </x:c>
      <x:c r="L616" s="6" t="str">
        <x:v>T02, T03</x:v>
      </x:c>
      <x:c r="M616" s="6" t="str">
        <x:v>Count all items of a requested type on one floor.</x:v>
      </x:c>
      <x:c r="N616" s="6" t="str">
        <x:v>{"count":3,"asset_type":"outdoor_chair","floor_level":0}</x:v>
      </x:c>
      <x:c r="O616" s="6"/>
      <x:c r="P616" s="6" t="str">
        <x:v>Exact asset type and target floor. Count complete collection.</x:v>
      </x:c>
      <x:c r="Q616" s="15" t="n">
        <x:v>3</x:v>
      </x:c>
      <x:c r="R616" s="6" t="str">
        <x:v>items</x:v>
      </x:c>
      <x:c r="S616" s="16"/>
      <x:c r="T616" s="15"/>
      <x:c r="U616" s="6"/>
      <x:c r="V616" s="6"/>
      <x:c r="W616" s="6" t="str">
        <x:v>No dedicated counting tool. search_building exposes matches but returns at most 15 results.</x:v>
      </x:c>
      <x:c r="X616" s="6" t="str">
        <x:v>data/train/resplan-14602/questions_basic.jsonl</x:v>
      </x:c>
      <x:c r="Y616" s="14" t="n">
        <x:v>4</x:v>
      </x:c>
      <x:c r="Z616" s="6" t="str">
        <x:v>https://github.com/hagenhaeussler/Industrial-Agents-Hackathon-2026/blob/f41616590b69f3ea0c1cbfb41d6c35edd9ce53df/data/train/resplan-14602/questions_basic.jsonl#L4</x:v>
      </x:c>
      <x:c r="AA616" s="6" t="str">
        <x:v>resplan</x:v>
      </x:c>
      <x:c r="AB616" s="6" t="str">
        <x:v>CC-BY-4.0</x:v>
      </x:c>
    </x:row>
    <x:row r="617" ht="72" customHeight="1">
      <x:c r="A617" s="14" t="n">
        <x:v>612</x:v>
      </x:c>
      <x:c r="B617" s="6" t="str">
        <x:v>count</x:v>
      </x:c>
      <x:c r="C617" s="6" t="str">
        <x:v>How many sink items are on the ground floor?</x:v>
      </x:c>
      <x:c r="D617" s="6" t="str">
        <x:v>2 sink items
Floor level: 0</x:v>
      </x:c>
      <x:c r="E617" s="6" t="str">
        <x:v>Reference supplied</x:v>
      </x:c>
      <x:c r="F617" s="6" t="str">
        <x:v>train</x:v>
      </x:c>
      <x:c r="G617" s="6" t="str">
        <x:v>resplan-15074</x:v>
      </x:c>
      <x:c r="H617" s="6" t="str">
        <x:v>resplan-15074-Q04</x:v>
      </x:c>
      <x:c r="I617" s="6" t="str">
        <x:v>Find and count assets</x:v>
      </x:c>
      <x:c r="J617" s="6" t="str">
        <x:v>Warm-up</x:v>
      </x:c>
      <x:c r="K617" s="6" t="str">
        <x:v>An exact integer count with the scope stated in prose.</x:v>
      </x:c>
      <x:c r="L617" s="6" t="str">
        <x:v>T02, T03</x:v>
      </x:c>
      <x:c r="M617" s="6" t="str">
        <x:v>Count all items of a requested type on one floor.</x:v>
      </x:c>
      <x:c r="N617" s="6" t="str">
        <x:v>{"count":2,"asset_type":"sink","floor_level":0}</x:v>
      </x:c>
      <x:c r="O617" s="6"/>
      <x:c r="P617" s="6" t="str">
        <x:v>Exact asset type and target floor. Count complete collection.</x:v>
      </x:c>
      <x:c r="Q617" s="15" t="n">
        <x:v>2</x:v>
      </x:c>
      <x:c r="R617" s="6" t="str">
        <x:v>items</x:v>
      </x:c>
      <x:c r="S617" s="16"/>
      <x:c r="T617" s="15"/>
      <x:c r="U617" s="6"/>
      <x:c r="V617" s="6"/>
      <x:c r="W617" s="6" t="str">
        <x:v>No dedicated counting tool. search_building exposes matches but returns at most 15 results.</x:v>
      </x:c>
      <x:c r="X617" s="6" t="str">
        <x:v>data/train/resplan-15074/questions_basic.jsonl</x:v>
      </x:c>
      <x:c r="Y617" s="14" t="n">
        <x:v>4</x:v>
      </x:c>
      <x:c r="Z617" s="6" t="str">
        <x:v>https://github.com/hagenhaeussler/Industrial-Agents-Hackathon-2026/blob/f41616590b69f3ea0c1cbfb41d6c35edd9ce53df/data/train/resplan-15074/questions_basic.jsonl#L4</x:v>
      </x:c>
      <x:c r="AA617" s="6" t="str">
        <x:v>resplan</x:v>
      </x:c>
      <x:c r="AB617" s="6" t="str">
        <x:v>CC-BY-4.0</x:v>
      </x:c>
    </x:row>
    <x:row r="618" ht="72" customHeight="1">
      <x:c r="A618" s="14" t="n">
        <x:v>613</x:v>
      </x:c>
      <x:c r="B618" s="6" t="str">
        <x:v>count</x:v>
      </x:c>
      <x:c r="C618" s="6" t="str">
        <x:v>How many sink items are on the ground floor?</x:v>
      </x:c>
      <x:c r="D618" s="6" t="str">
        <x:v>2 sink items
Floor level: 0</x:v>
      </x:c>
      <x:c r="E618" s="6" t="str">
        <x:v>Reference supplied</x:v>
      </x:c>
      <x:c r="F618" s="6" t="str">
        <x:v>train</x:v>
      </x:c>
      <x:c r="G618" s="6" t="str">
        <x:v>resplan-15183</x:v>
      </x:c>
      <x:c r="H618" s="6" t="str">
        <x:v>resplan-15183-Q04</x:v>
      </x:c>
      <x:c r="I618" s="6" t="str">
        <x:v>Find and count assets</x:v>
      </x:c>
      <x:c r="J618" s="6" t="str">
        <x:v>Warm-up</x:v>
      </x:c>
      <x:c r="K618" s="6" t="str">
        <x:v>An exact integer count with the scope stated in prose.</x:v>
      </x:c>
      <x:c r="L618" s="6" t="str">
        <x:v>T02, T03</x:v>
      </x:c>
      <x:c r="M618" s="6" t="str">
        <x:v>Count all items of a requested type on one floor.</x:v>
      </x:c>
      <x:c r="N618" s="6" t="str">
        <x:v>{"count":2,"asset_type":"sink","floor_level":0}</x:v>
      </x:c>
      <x:c r="O618" s="6"/>
      <x:c r="P618" s="6" t="str">
        <x:v>Exact asset type and target floor. Count complete collection.</x:v>
      </x:c>
      <x:c r="Q618" s="15" t="n">
        <x:v>2</x:v>
      </x:c>
      <x:c r="R618" s="6" t="str">
        <x:v>items</x:v>
      </x:c>
      <x:c r="S618" s="16"/>
      <x:c r="T618" s="15"/>
      <x:c r="U618" s="6"/>
      <x:c r="V618" s="6"/>
      <x:c r="W618" s="6" t="str">
        <x:v>No dedicated counting tool. search_building exposes matches but returns at most 15 results.</x:v>
      </x:c>
      <x:c r="X618" s="6" t="str">
        <x:v>data/train/resplan-15183/questions_basic.jsonl</x:v>
      </x:c>
      <x:c r="Y618" s="14" t="n">
        <x:v>4</x:v>
      </x:c>
      <x:c r="Z618" s="6" t="str">
        <x:v>https://github.com/hagenhaeussler/Industrial-Agents-Hackathon-2026/blob/f41616590b69f3ea0c1cbfb41d6c35edd9ce53df/data/train/resplan-15183/questions_basic.jsonl#L4</x:v>
      </x:c>
      <x:c r="AA618" s="6" t="str">
        <x:v>resplan</x:v>
      </x:c>
      <x:c r="AB618" s="6" t="str">
        <x:v>CC-BY-4.0</x:v>
      </x:c>
    </x:row>
    <x:row r="619" ht="72" customHeight="1">
      <x:c r="A619" s="14" t="n">
        <x:v>614</x:v>
      </x:c>
      <x:c r="B619" s="6" t="str">
        <x:v>count</x:v>
      </x:c>
      <x:c r="C619" s="6" t="str">
        <x:v>How many wardrobe items are on the ground floor?</x:v>
      </x:c>
      <x:c r="D619" s="6" t="str">
        <x:v>2 wardrobe items
Floor level: 0</x:v>
      </x:c>
      <x:c r="E619" s="6" t="str">
        <x:v>Reference supplied</x:v>
      </x:c>
      <x:c r="F619" s="6" t="str">
        <x:v>train</x:v>
      </x:c>
      <x:c r="G619" s="6" t="str">
        <x:v>resplan-15550</x:v>
      </x:c>
      <x:c r="H619" s="6" t="str">
        <x:v>resplan-15550-Q04</x:v>
      </x:c>
      <x:c r="I619" s="6" t="str">
        <x:v>Find and count assets</x:v>
      </x:c>
      <x:c r="J619" s="6" t="str">
        <x:v>Warm-up</x:v>
      </x:c>
      <x:c r="K619" s="6" t="str">
        <x:v>An exact integer count with the scope stated in prose.</x:v>
      </x:c>
      <x:c r="L619" s="6" t="str">
        <x:v>T02, T03</x:v>
      </x:c>
      <x:c r="M619" s="6" t="str">
        <x:v>Count all items of a requested type on one floor.</x:v>
      </x:c>
      <x:c r="N619" s="6" t="str">
        <x:v>{"count":2,"asset_type":"wardrobe","floor_level":0}</x:v>
      </x:c>
      <x:c r="O619" s="6"/>
      <x:c r="P619" s="6" t="str">
        <x:v>Exact asset type and target floor. Count complete collection.</x:v>
      </x:c>
      <x:c r="Q619" s="15" t="n">
        <x:v>2</x:v>
      </x:c>
      <x:c r="R619" s="6" t="str">
        <x:v>items</x:v>
      </x:c>
      <x:c r="S619" s="16"/>
      <x:c r="T619" s="15"/>
      <x:c r="U619" s="6"/>
      <x:c r="V619" s="6"/>
      <x:c r="W619" s="6" t="str">
        <x:v>No dedicated counting tool. search_building exposes matches but returns at most 15 results.</x:v>
      </x:c>
      <x:c r="X619" s="6" t="str">
        <x:v>data/train/resplan-15550/questions_basic.jsonl</x:v>
      </x:c>
      <x:c r="Y619" s="14" t="n">
        <x:v>4</x:v>
      </x:c>
      <x:c r="Z619" s="6" t="str">
        <x:v>https://github.com/hagenhaeussler/Industrial-Agents-Hackathon-2026/blob/f41616590b69f3ea0c1cbfb41d6c35edd9ce53df/data/train/resplan-15550/questions_basic.jsonl#L4</x:v>
      </x:c>
      <x:c r="AA619" s="6" t="str">
        <x:v>resplan</x:v>
      </x:c>
      <x:c r="AB619" s="6" t="str">
        <x:v>CC-BY-4.0</x:v>
      </x:c>
    </x:row>
    <x:row r="620" ht="72" customHeight="1">
      <x:c r="A620" s="14" t="n">
        <x:v>615</x:v>
      </x:c>
      <x:c r="B620" s="6" t="str">
        <x:v>count</x:v>
      </x:c>
      <x:c r="C620" s="6" t="str">
        <x:v>How many nightstand items are on the ground floor?</x:v>
      </x:c>
      <x:c r="D620" s="6" t="str">
        <x:v>2 nightstand items
Floor level: 0</x:v>
      </x:c>
      <x:c r="E620" s="6" t="str">
        <x:v>Reference supplied</x:v>
      </x:c>
      <x:c r="F620" s="6" t="str">
        <x:v>train</x:v>
      </x:c>
      <x:c r="G620" s="6" t="str">
        <x:v>resplan-15793</x:v>
      </x:c>
      <x:c r="H620" s="6" t="str">
        <x:v>resplan-15793-Q04</x:v>
      </x:c>
      <x:c r="I620" s="6" t="str">
        <x:v>Find and count assets</x:v>
      </x:c>
      <x:c r="J620" s="6" t="str">
        <x:v>Warm-up</x:v>
      </x:c>
      <x:c r="K620" s="6" t="str">
        <x:v>An exact integer count with the scope stated in prose.</x:v>
      </x:c>
      <x:c r="L620" s="6" t="str">
        <x:v>T02, T03</x:v>
      </x:c>
      <x:c r="M620" s="6" t="str">
        <x:v>Count all items of a requested type on one floor.</x:v>
      </x:c>
      <x:c r="N620" s="6" t="str">
        <x:v>{"count":2,"asset_type":"nightstand","floor_level":0}</x:v>
      </x:c>
      <x:c r="O620" s="6"/>
      <x:c r="P620" s="6" t="str">
        <x:v>Exact asset type and target floor. Count complete collection.</x:v>
      </x:c>
      <x:c r="Q620" s="15" t="n">
        <x:v>2</x:v>
      </x:c>
      <x:c r="R620" s="6" t="str">
        <x:v>items</x:v>
      </x:c>
      <x:c r="S620" s="16"/>
      <x:c r="T620" s="15"/>
      <x:c r="U620" s="6"/>
      <x:c r="V620" s="6"/>
      <x:c r="W620" s="6" t="str">
        <x:v>No dedicated counting tool. search_building exposes matches but returns at most 15 results.</x:v>
      </x:c>
      <x:c r="X620" s="6" t="str">
        <x:v>data/train/resplan-15793/questions_basic.jsonl</x:v>
      </x:c>
      <x:c r="Y620" s="14" t="n">
        <x:v>4</x:v>
      </x:c>
      <x:c r="Z620" s="6" t="str">
        <x:v>https://github.com/hagenhaeussler/Industrial-Agents-Hackathon-2026/blob/f41616590b69f3ea0c1cbfb41d6c35edd9ce53df/data/train/resplan-15793/questions_basic.jsonl#L4</x:v>
      </x:c>
      <x:c r="AA620" s="6" t="str">
        <x:v>resplan</x:v>
      </x:c>
      <x:c r="AB620" s="6" t="str">
        <x:v>CC-BY-4.0</x:v>
      </x:c>
    </x:row>
    <x:row r="621" ht="72" customHeight="1">
      <x:c r="A621" s="14" t="n">
        <x:v>616</x:v>
      </x:c>
      <x:c r="B621" s="6" t="str">
        <x:v>count</x:v>
      </x:c>
      <x:c r="C621" s="6" t="str">
        <x:v>How many bookshelf items are on the ground floor?</x:v>
      </x:c>
      <x:c r="D621" s="6" t="str">
        <x:v>2 bookshelf items
Floor level: 0</x:v>
      </x:c>
      <x:c r="E621" s="6" t="str">
        <x:v>Reference supplied</x:v>
      </x:c>
      <x:c r="F621" s="6" t="str">
        <x:v>train</x:v>
      </x:c>
      <x:c r="G621" s="6" t="str">
        <x:v>resplan-16021</x:v>
      </x:c>
      <x:c r="H621" s="6" t="str">
        <x:v>resplan-16021-Q04</x:v>
      </x:c>
      <x:c r="I621" s="6" t="str">
        <x:v>Find and count assets</x:v>
      </x:c>
      <x:c r="J621" s="6" t="str">
        <x:v>Warm-up</x:v>
      </x:c>
      <x:c r="K621" s="6" t="str">
        <x:v>An exact integer count with the scope stated in prose.</x:v>
      </x:c>
      <x:c r="L621" s="6" t="str">
        <x:v>T02, T03</x:v>
      </x:c>
      <x:c r="M621" s="6" t="str">
        <x:v>Count all items of a requested type on one floor.</x:v>
      </x:c>
      <x:c r="N621" s="6" t="str">
        <x:v>{"count":2,"asset_type":"bookshelf","floor_level":0}</x:v>
      </x:c>
      <x:c r="O621" s="6"/>
      <x:c r="P621" s="6" t="str">
        <x:v>Exact asset type and target floor. Count complete collection.</x:v>
      </x:c>
      <x:c r="Q621" s="15" t="n">
        <x:v>2</x:v>
      </x:c>
      <x:c r="R621" s="6" t="str">
        <x:v>items</x:v>
      </x:c>
      <x:c r="S621" s="16"/>
      <x:c r="T621" s="15"/>
      <x:c r="U621" s="6"/>
      <x:c r="V621" s="6"/>
      <x:c r="W621" s="6" t="str">
        <x:v>No dedicated counting tool. search_building exposes matches but returns at most 15 results.</x:v>
      </x:c>
      <x:c r="X621" s="6" t="str">
        <x:v>data/train/resplan-16021/questions_basic.jsonl</x:v>
      </x:c>
      <x:c r="Y621" s="14" t="n">
        <x:v>4</x:v>
      </x:c>
      <x:c r="Z621" s="6" t="str">
        <x:v>https://github.com/hagenhaeussler/Industrial-Agents-Hackathon-2026/blob/f41616590b69f3ea0c1cbfb41d6c35edd9ce53df/data/train/resplan-16021/questions_basic.jsonl#L4</x:v>
      </x:c>
      <x:c r="AA621" s="6" t="str">
        <x:v>resplan</x:v>
      </x:c>
      <x:c r="AB621" s="6" t="str">
        <x:v>CC-BY-4.0</x:v>
      </x:c>
    </x:row>
    <x:row r="622" ht="72" customHeight="1">
      <x:c r="A622" s="14" t="n">
        <x:v>617</x:v>
      </x:c>
      <x:c r="B622" s="6" t="str">
        <x:v>count</x:v>
      </x:c>
      <x:c r="C622" s="6" t="str">
        <x:v>How many shower items are on the ground floor?</x:v>
      </x:c>
      <x:c r="D622" s="6" t="str">
        <x:v>2 shower items
Floor level: 0</x:v>
      </x:c>
      <x:c r="E622" s="6" t="str">
        <x:v>Reference supplied</x:v>
      </x:c>
      <x:c r="F622" s="6" t="str">
        <x:v>train</x:v>
      </x:c>
      <x:c r="G622" s="6" t="str">
        <x:v>resplan-16188</x:v>
      </x:c>
      <x:c r="H622" s="6" t="str">
        <x:v>resplan-16188-Q04</x:v>
      </x:c>
      <x:c r="I622" s="6" t="str">
        <x:v>Find and count assets</x:v>
      </x:c>
      <x:c r="J622" s="6" t="str">
        <x:v>Warm-up</x:v>
      </x:c>
      <x:c r="K622" s="6" t="str">
        <x:v>An exact integer count with the scope stated in prose.</x:v>
      </x:c>
      <x:c r="L622" s="6" t="str">
        <x:v>T02, T03</x:v>
      </x:c>
      <x:c r="M622" s="6" t="str">
        <x:v>Count all items of a requested type on one floor.</x:v>
      </x:c>
      <x:c r="N622" s="6" t="str">
        <x:v>{"count":2,"asset_type":"shower","floor_level":0}</x:v>
      </x:c>
      <x:c r="O622" s="6"/>
      <x:c r="P622" s="6" t="str">
        <x:v>Exact asset type and target floor. Count complete collection.</x:v>
      </x:c>
      <x:c r="Q622" s="15" t="n">
        <x:v>2</x:v>
      </x:c>
      <x:c r="R622" s="6" t="str">
        <x:v>items</x:v>
      </x:c>
      <x:c r="S622" s="16"/>
      <x:c r="T622" s="15"/>
      <x:c r="U622" s="6"/>
      <x:c r="V622" s="6"/>
      <x:c r="W622" s="6" t="str">
        <x:v>No dedicated counting tool. search_building exposes matches but returns at most 15 results.</x:v>
      </x:c>
      <x:c r="X622" s="6" t="str">
        <x:v>data/train/resplan-16188/questions_basic.jsonl</x:v>
      </x:c>
      <x:c r="Y622" s="14" t="n">
        <x:v>4</x:v>
      </x:c>
      <x:c r="Z622" s="6" t="str">
        <x:v>https://github.com/hagenhaeussler/Industrial-Agents-Hackathon-2026/blob/f41616590b69f3ea0c1cbfb41d6c35edd9ce53df/data/train/resplan-16188/questions_basic.jsonl#L4</x:v>
      </x:c>
      <x:c r="AA622" s="6" t="str">
        <x:v>resplan</x:v>
      </x:c>
      <x:c r="AB622" s="6" t="str">
        <x:v>CC-BY-4.0</x:v>
      </x:c>
    </x:row>
    <x:row r="623" ht="72" customHeight="1">
      <x:c r="A623" s="14" t="n">
        <x:v>618</x:v>
      </x:c>
      <x:c r="B623" s="6" t="str">
        <x:v>count</x:v>
      </x:c>
      <x:c r="C623" s="6" t="str">
        <x:v>How many wardrobe items are on the ground floor?</x:v>
      </x:c>
      <x:c r="D623" s="6" t="str">
        <x:v>3 wardrobe items
Floor level: 0</x:v>
      </x:c>
      <x:c r="E623" s="6" t="str">
        <x:v>Reference supplied</x:v>
      </x:c>
      <x:c r="F623" s="6" t="str">
        <x:v>train</x:v>
      </x:c>
      <x:c r="G623" s="6" t="str">
        <x:v>resplan-16407</x:v>
      </x:c>
      <x:c r="H623" s="6" t="str">
        <x:v>resplan-16407-Q04</x:v>
      </x:c>
      <x:c r="I623" s="6" t="str">
        <x:v>Find and count assets</x:v>
      </x:c>
      <x:c r="J623" s="6" t="str">
        <x:v>Warm-up</x:v>
      </x:c>
      <x:c r="K623" s="6" t="str">
        <x:v>An exact integer count with the scope stated in prose.</x:v>
      </x:c>
      <x:c r="L623" s="6" t="str">
        <x:v>T02, T03</x:v>
      </x:c>
      <x:c r="M623" s="6" t="str">
        <x:v>Count all items of a requested type on one floor.</x:v>
      </x:c>
      <x:c r="N623" s="6" t="str">
        <x:v>{"count":3,"asset_type":"wardrobe","floor_level":0}</x:v>
      </x:c>
      <x:c r="O623" s="6"/>
      <x:c r="P623" s="6" t="str">
        <x:v>Exact asset type and target floor. Count complete collection.</x:v>
      </x:c>
      <x:c r="Q623" s="15" t="n">
        <x:v>3</x:v>
      </x:c>
      <x:c r="R623" s="6" t="str">
        <x:v>items</x:v>
      </x:c>
      <x:c r="S623" s="16"/>
      <x:c r="T623" s="15"/>
      <x:c r="U623" s="6"/>
      <x:c r="V623" s="6"/>
      <x:c r="W623" s="6" t="str">
        <x:v>No dedicated counting tool. search_building exposes matches but returns at most 15 results.</x:v>
      </x:c>
      <x:c r="X623" s="6" t="str">
        <x:v>data/train/resplan-16407/questions_basic.jsonl</x:v>
      </x:c>
      <x:c r="Y623" s="14" t="n">
        <x:v>4</x:v>
      </x:c>
      <x:c r="Z623" s="6" t="str">
        <x:v>https://github.com/hagenhaeussler/Industrial-Agents-Hackathon-2026/blob/f41616590b69f3ea0c1cbfb41d6c35edd9ce53df/data/train/resplan-16407/questions_basic.jsonl#L4</x:v>
      </x:c>
      <x:c r="AA623" s="6" t="str">
        <x:v>resplan</x:v>
      </x:c>
      <x:c r="AB623" s="6" t="str">
        <x:v>CC-BY-4.0</x:v>
      </x:c>
    </x:row>
    <x:row r="624" ht="72" customHeight="1">
      <x:c r="A624" s="14" t="n">
        <x:v>619</x:v>
      </x:c>
      <x:c r="B624" s="6" t="str">
        <x:v>count</x:v>
      </x:c>
      <x:c r="C624" s="6" t="str">
        <x:v>How many wardrobe items are on the ground floor?</x:v>
      </x:c>
      <x:c r="D624" s="6" t="str">
        <x:v>3 wardrobe items
Floor level: 0</x:v>
      </x:c>
      <x:c r="E624" s="6" t="str">
        <x:v>Reference supplied</x:v>
      </x:c>
      <x:c r="F624" s="6" t="str">
        <x:v>train</x:v>
      </x:c>
      <x:c r="G624" s="6" t="str">
        <x:v>resplan-16484</x:v>
      </x:c>
      <x:c r="H624" s="6" t="str">
        <x:v>resplan-16484-Q04</x:v>
      </x:c>
      <x:c r="I624" s="6" t="str">
        <x:v>Find and count assets</x:v>
      </x:c>
      <x:c r="J624" s="6" t="str">
        <x:v>Warm-up</x:v>
      </x:c>
      <x:c r="K624" s="6" t="str">
        <x:v>An exact integer count with the scope stated in prose.</x:v>
      </x:c>
      <x:c r="L624" s="6" t="str">
        <x:v>T02, T03</x:v>
      </x:c>
      <x:c r="M624" s="6" t="str">
        <x:v>Count all items of a requested type on one floor.</x:v>
      </x:c>
      <x:c r="N624" s="6" t="str">
        <x:v>{"count":3,"asset_type":"wardrobe","floor_level":0}</x:v>
      </x:c>
      <x:c r="O624" s="6"/>
      <x:c r="P624" s="6" t="str">
        <x:v>Exact asset type and target floor. Count complete collection.</x:v>
      </x:c>
      <x:c r="Q624" s="15" t="n">
        <x:v>3</x:v>
      </x:c>
      <x:c r="R624" s="6" t="str">
        <x:v>items</x:v>
      </x:c>
      <x:c r="S624" s="16"/>
      <x:c r="T624" s="15"/>
      <x:c r="U624" s="6"/>
      <x:c r="V624" s="6"/>
      <x:c r="W624" s="6" t="str">
        <x:v>No dedicated counting tool. search_building exposes matches but returns at most 15 results.</x:v>
      </x:c>
      <x:c r="X624" s="6" t="str">
        <x:v>data/train/resplan-16484/questions_basic.jsonl</x:v>
      </x:c>
      <x:c r="Y624" s="14" t="n">
        <x:v>4</x:v>
      </x:c>
      <x:c r="Z624" s="6" t="str">
        <x:v>https://github.com/hagenhaeussler/Industrial-Agents-Hackathon-2026/blob/f41616590b69f3ea0c1cbfb41d6c35edd9ce53df/data/train/resplan-16484/questions_basic.jsonl#L4</x:v>
      </x:c>
      <x:c r="AA624" s="6" t="str">
        <x:v>resplan</x:v>
      </x:c>
      <x:c r="AB624" s="6" t="str">
        <x:v>CC-BY-4.0</x:v>
      </x:c>
    </x:row>
    <x:row r="625" ht="72" customHeight="1">
      <x:c r="A625" s="14" t="n">
        <x:v>620</x:v>
      </x:c>
      <x:c r="B625" s="6" t="str">
        <x:v>count</x:v>
      </x:c>
      <x:c r="C625" s="6" t="str">
        <x:v>How many nightstand items are on the ground floor?</x:v>
      </x:c>
      <x:c r="D625" s="6" t="str">
        <x:v>2 nightstand items
Floor level: 0</x:v>
      </x:c>
      <x:c r="E625" s="6" t="str">
        <x:v>Reference supplied</x:v>
      </x:c>
      <x:c r="F625" s="6" t="str">
        <x:v>train</x:v>
      </x:c>
      <x:c r="G625" s="6" t="str">
        <x:v>resplan-16645</x:v>
      </x:c>
      <x:c r="H625" s="6" t="str">
        <x:v>resplan-16645-Q04</x:v>
      </x:c>
      <x:c r="I625" s="6" t="str">
        <x:v>Find and count assets</x:v>
      </x:c>
      <x:c r="J625" s="6" t="str">
        <x:v>Warm-up</x:v>
      </x:c>
      <x:c r="K625" s="6" t="str">
        <x:v>An exact integer count with the scope stated in prose.</x:v>
      </x:c>
      <x:c r="L625" s="6" t="str">
        <x:v>T02, T03</x:v>
      </x:c>
      <x:c r="M625" s="6" t="str">
        <x:v>Count all items of a requested type on one floor.</x:v>
      </x:c>
      <x:c r="N625" s="6" t="str">
        <x:v>{"count":2,"asset_type":"nightstand","floor_level":0}</x:v>
      </x:c>
      <x:c r="O625" s="6"/>
      <x:c r="P625" s="6" t="str">
        <x:v>Exact asset type and target floor. Count complete collection.</x:v>
      </x:c>
      <x:c r="Q625" s="15" t="n">
        <x:v>2</x:v>
      </x:c>
      <x:c r="R625" s="6" t="str">
        <x:v>items</x:v>
      </x:c>
      <x:c r="S625" s="16"/>
      <x:c r="T625" s="15"/>
      <x:c r="U625" s="6"/>
      <x:c r="V625" s="6"/>
      <x:c r="W625" s="6" t="str">
        <x:v>No dedicated counting tool. search_building exposes matches but returns at most 15 results.</x:v>
      </x:c>
      <x:c r="X625" s="6" t="str">
        <x:v>data/train/resplan-16645/questions_basic.jsonl</x:v>
      </x:c>
      <x:c r="Y625" s="14" t="n">
        <x:v>4</x:v>
      </x:c>
      <x:c r="Z625" s="6" t="str">
        <x:v>https://github.com/hagenhaeussler/Industrial-Agents-Hackathon-2026/blob/f41616590b69f3ea0c1cbfb41d6c35edd9ce53df/data/train/resplan-16645/questions_basic.jsonl#L4</x:v>
      </x:c>
      <x:c r="AA625" s="6" t="str">
        <x:v>resplan</x:v>
      </x:c>
      <x:c r="AB625" s="6" t="str">
        <x:v>CC-BY-4.0</x:v>
      </x:c>
    </x:row>
    <x:row r="626" ht="72" customHeight="1">
      <x:c r="A626" s="14" t="n">
        <x:v>621</x:v>
      </x:c>
      <x:c r="B626" s="6" t="str">
        <x:v>count</x:v>
      </x:c>
      <x:c r="C626" s="6" t="str">
        <x:v>How many dining chair items are on the ground floor?</x:v>
      </x:c>
      <x:c r="D626" s="6" t="str">
        <x:v>3 dining_chair items
Floor level: 0</x:v>
      </x:c>
      <x:c r="E626" s="6" t="str">
        <x:v>Reference supplied</x:v>
      </x:c>
      <x:c r="F626" s="6" t="str">
        <x:v>train</x:v>
      </x:c>
      <x:c r="G626" s="6" t="str">
        <x:v>resplan-16778</x:v>
      </x:c>
      <x:c r="H626" s="6" t="str">
        <x:v>resplan-16778-Q04</x:v>
      </x:c>
      <x:c r="I626" s="6" t="str">
        <x:v>Find and count assets</x:v>
      </x:c>
      <x:c r="J626" s="6" t="str">
        <x:v>Warm-up</x:v>
      </x:c>
      <x:c r="K626" s="6" t="str">
        <x:v>An exact integer count with the scope stated in prose.</x:v>
      </x:c>
      <x:c r="L626" s="6" t="str">
        <x:v>T02, T03</x:v>
      </x:c>
      <x:c r="M626" s="6" t="str">
        <x:v>Count all items of a requested type on one floor.</x:v>
      </x:c>
      <x:c r="N626" s="6" t="str">
        <x:v>{"count":3,"asset_type":"dining_chair","floor_level":0}</x:v>
      </x:c>
      <x:c r="O626" s="6"/>
      <x:c r="P626" s="6" t="str">
        <x:v>Exact asset type and target floor. Count complete collection.</x:v>
      </x:c>
      <x:c r="Q626" s="15" t="n">
        <x:v>3</x:v>
      </x:c>
      <x:c r="R626" s="6" t="str">
        <x:v>items</x:v>
      </x:c>
      <x:c r="S626" s="16"/>
      <x:c r="T626" s="15"/>
      <x:c r="U626" s="6"/>
      <x:c r="V626" s="6"/>
      <x:c r="W626" s="6" t="str">
        <x:v>No dedicated counting tool. search_building exposes matches but returns at most 15 results.</x:v>
      </x:c>
      <x:c r="X626" s="6" t="str">
        <x:v>data/train/resplan-16778/questions_basic.jsonl</x:v>
      </x:c>
      <x:c r="Y626" s="14" t="n">
        <x:v>4</x:v>
      </x:c>
      <x:c r="Z626" s="6" t="str">
        <x:v>https://github.com/hagenhaeussler/Industrial-Agents-Hackathon-2026/blob/f41616590b69f3ea0c1cbfb41d6c35edd9ce53df/data/train/resplan-16778/questions_basic.jsonl#L4</x:v>
      </x:c>
      <x:c r="AA626" s="6" t="str">
        <x:v>resplan</x:v>
      </x:c>
      <x:c r="AB626" s="6" t="str">
        <x:v>CC-BY-4.0</x:v>
      </x:c>
    </x:row>
    <x:row r="627" ht="72" customHeight="1">
      <x:c r="A627" s="14" t="n">
        <x:v>622</x:v>
      </x:c>
      <x:c r="B627" s="6" t="str">
        <x:v>count</x:v>
      </x:c>
      <x:c r="C627" s="6" t="str">
        <x:v>How many sink items are on the ground floor?</x:v>
      </x:c>
      <x:c r="D627" s="6" t="str">
        <x:v>2 sink items
Floor level: 0</x:v>
      </x:c>
      <x:c r="E627" s="6" t="str">
        <x:v>Reference supplied</x:v>
      </x:c>
      <x:c r="F627" s="6" t="str">
        <x:v>train</x:v>
      </x:c>
      <x:c r="G627" s="6" t="str">
        <x:v>resplan-1702</x:v>
      </x:c>
      <x:c r="H627" s="6" t="str">
        <x:v>resplan-1702-Q04</x:v>
      </x:c>
      <x:c r="I627" s="6" t="str">
        <x:v>Find and count assets</x:v>
      </x:c>
      <x:c r="J627" s="6" t="str">
        <x:v>Warm-up</x:v>
      </x:c>
      <x:c r="K627" s="6" t="str">
        <x:v>An exact integer count with the scope stated in prose.</x:v>
      </x:c>
      <x:c r="L627" s="6" t="str">
        <x:v>T02, T03</x:v>
      </x:c>
      <x:c r="M627" s="6" t="str">
        <x:v>Count all items of a requested type on one floor.</x:v>
      </x:c>
      <x:c r="N627" s="6" t="str">
        <x:v>{"count":2,"asset_type":"sink","floor_level":0}</x:v>
      </x:c>
      <x:c r="O627" s="6"/>
      <x:c r="P627" s="6" t="str">
        <x:v>Exact asset type and target floor. Count complete collection.</x:v>
      </x:c>
      <x:c r="Q627" s="15" t="n">
        <x:v>2</x:v>
      </x:c>
      <x:c r="R627" s="6" t="str">
        <x:v>items</x:v>
      </x:c>
      <x:c r="S627" s="16"/>
      <x:c r="T627" s="15"/>
      <x:c r="U627" s="6"/>
      <x:c r="V627" s="6"/>
      <x:c r="W627" s="6" t="str">
        <x:v>No dedicated counting tool. search_building exposes matches but returns at most 15 results.</x:v>
      </x:c>
      <x:c r="X627" s="6" t="str">
        <x:v>data/train/resplan-1702/questions_basic.jsonl</x:v>
      </x:c>
      <x:c r="Y627" s="14" t="n">
        <x:v>4</x:v>
      </x:c>
      <x:c r="Z627" s="6" t="str">
        <x:v>https://github.com/hagenhaeussler/Industrial-Agents-Hackathon-2026/blob/f41616590b69f3ea0c1cbfb41d6c35edd9ce53df/data/train/resplan-1702/questions_basic.jsonl#L4</x:v>
      </x:c>
      <x:c r="AA627" s="6" t="str">
        <x:v>resplan</x:v>
      </x:c>
      <x:c r="AB627" s="6" t="str">
        <x:v>CC-BY-4.0</x:v>
      </x:c>
    </x:row>
    <x:row r="628" ht="72" customHeight="1">
      <x:c r="A628" s="14" t="n">
        <x:v>623</x:v>
      </x:c>
      <x:c r="B628" s="6" t="str">
        <x:v>count</x:v>
      </x:c>
      <x:c r="C628" s="6" t="str">
        <x:v>How many wardrobe items are on the ground floor?</x:v>
      </x:c>
      <x:c r="D628" s="6" t="str">
        <x:v>2 wardrobe items
Floor level: 0</x:v>
      </x:c>
      <x:c r="E628" s="6" t="str">
        <x:v>Reference supplied</x:v>
      </x:c>
      <x:c r="F628" s="6" t="str">
        <x:v>train</x:v>
      </x:c>
      <x:c r="G628" s="6" t="str">
        <x:v>resplan-1804</x:v>
      </x:c>
      <x:c r="H628" s="6" t="str">
        <x:v>resplan-1804-Q04</x:v>
      </x:c>
      <x:c r="I628" s="6" t="str">
        <x:v>Find and count assets</x:v>
      </x:c>
      <x:c r="J628" s="6" t="str">
        <x:v>Warm-up</x:v>
      </x:c>
      <x:c r="K628" s="6" t="str">
        <x:v>An exact integer count with the scope stated in prose.</x:v>
      </x:c>
      <x:c r="L628" s="6" t="str">
        <x:v>T02, T03</x:v>
      </x:c>
      <x:c r="M628" s="6" t="str">
        <x:v>Count all items of a requested type on one floor.</x:v>
      </x:c>
      <x:c r="N628" s="6" t="str">
        <x:v>{"count":2,"asset_type":"wardrobe","floor_level":0}</x:v>
      </x:c>
      <x:c r="O628" s="6"/>
      <x:c r="P628" s="6" t="str">
        <x:v>Exact asset type and target floor. Count complete collection.</x:v>
      </x:c>
      <x:c r="Q628" s="15" t="n">
        <x:v>2</x:v>
      </x:c>
      <x:c r="R628" s="6" t="str">
        <x:v>items</x:v>
      </x:c>
      <x:c r="S628" s="16"/>
      <x:c r="T628" s="15"/>
      <x:c r="U628" s="6"/>
      <x:c r="V628" s="6"/>
      <x:c r="W628" s="6" t="str">
        <x:v>No dedicated counting tool. search_building exposes matches but returns at most 15 results.</x:v>
      </x:c>
      <x:c r="X628" s="6" t="str">
        <x:v>data/train/resplan-1804/questions_basic.jsonl</x:v>
      </x:c>
      <x:c r="Y628" s="14" t="n">
        <x:v>4</x:v>
      </x:c>
      <x:c r="Z628" s="6" t="str">
        <x:v>https://github.com/hagenhaeussler/Industrial-Agents-Hackathon-2026/blob/f41616590b69f3ea0c1cbfb41d6c35edd9ce53df/data/train/resplan-1804/questions_basic.jsonl#L4</x:v>
      </x:c>
      <x:c r="AA628" s="6" t="str">
        <x:v>resplan</x:v>
      </x:c>
      <x:c r="AB628" s="6" t="str">
        <x:v>CC-BY-4.0</x:v>
      </x:c>
    </x:row>
    <x:row r="629" ht="72" customHeight="1">
      <x:c r="A629" s="14" t="n">
        <x:v>624</x:v>
      </x:c>
      <x:c r="B629" s="6" t="str">
        <x:v>count</x:v>
      </x:c>
      <x:c r="C629" s="6" t="str">
        <x:v>How many nightstand items are on the ground floor?</x:v>
      </x:c>
      <x:c r="D629" s="6" t="str">
        <x:v>2 nightstand items
Floor level: 0</x:v>
      </x:c>
      <x:c r="E629" s="6" t="str">
        <x:v>Reference supplied</x:v>
      </x:c>
      <x:c r="F629" s="6" t="str">
        <x:v>train</x:v>
      </x:c>
      <x:c r="G629" s="6" t="str">
        <x:v>resplan-2100</x:v>
      </x:c>
      <x:c r="H629" s="6" t="str">
        <x:v>resplan-2100-Q04</x:v>
      </x:c>
      <x:c r="I629" s="6" t="str">
        <x:v>Find and count assets</x:v>
      </x:c>
      <x:c r="J629" s="6" t="str">
        <x:v>Warm-up</x:v>
      </x:c>
      <x:c r="K629" s="6" t="str">
        <x:v>An exact integer count with the scope stated in prose.</x:v>
      </x:c>
      <x:c r="L629" s="6" t="str">
        <x:v>T02, T03</x:v>
      </x:c>
      <x:c r="M629" s="6" t="str">
        <x:v>Count all items of a requested type on one floor.</x:v>
      </x:c>
      <x:c r="N629" s="6" t="str">
        <x:v>{"count":2,"asset_type":"nightstand","floor_level":0}</x:v>
      </x:c>
      <x:c r="O629" s="6"/>
      <x:c r="P629" s="6" t="str">
        <x:v>Exact asset type and target floor. Count complete collection.</x:v>
      </x:c>
      <x:c r="Q629" s="15" t="n">
        <x:v>2</x:v>
      </x:c>
      <x:c r="R629" s="6" t="str">
        <x:v>items</x:v>
      </x:c>
      <x:c r="S629" s="16"/>
      <x:c r="T629" s="15"/>
      <x:c r="U629" s="6"/>
      <x:c r="V629" s="6"/>
      <x:c r="W629" s="6" t="str">
        <x:v>No dedicated counting tool. search_building exposes matches but returns at most 15 results.</x:v>
      </x:c>
      <x:c r="X629" s="6" t="str">
        <x:v>data/train/resplan-2100/questions_basic.jsonl</x:v>
      </x:c>
      <x:c r="Y629" s="14" t="n">
        <x:v>4</x:v>
      </x:c>
      <x:c r="Z629" s="6" t="str">
        <x:v>https://github.com/hagenhaeussler/Industrial-Agents-Hackathon-2026/blob/f41616590b69f3ea0c1cbfb41d6c35edd9ce53df/data/train/resplan-2100/questions_basic.jsonl#L4</x:v>
      </x:c>
      <x:c r="AA629" s="6" t="str">
        <x:v>resplan</x:v>
      </x:c>
      <x:c r="AB629" s="6" t="str">
        <x:v>CC-BY-4.0</x:v>
      </x:c>
    </x:row>
    <x:row r="630" ht="72" customHeight="1">
      <x:c r="A630" s="14" t="n">
        <x:v>625</x:v>
      </x:c>
      <x:c r="B630" s="6" t="str">
        <x:v>count</x:v>
      </x:c>
      <x:c r="C630" s="6" t="str">
        <x:v>How many bookshelf items are on the ground floor?</x:v>
      </x:c>
      <x:c r="D630" s="6" t="str">
        <x:v>2 bookshelf items
Floor level: 0</x:v>
      </x:c>
      <x:c r="E630" s="6" t="str">
        <x:v>Reference supplied</x:v>
      </x:c>
      <x:c r="F630" s="6" t="str">
        <x:v>train</x:v>
      </x:c>
      <x:c r="G630" s="6" t="str">
        <x:v>resplan-2247</x:v>
      </x:c>
      <x:c r="H630" s="6" t="str">
        <x:v>resplan-2247-Q04</x:v>
      </x:c>
      <x:c r="I630" s="6" t="str">
        <x:v>Find and count assets</x:v>
      </x:c>
      <x:c r="J630" s="6" t="str">
        <x:v>Warm-up</x:v>
      </x:c>
      <x:c r="K630" s="6" t="str">
        <x:v>An exact integer count with the scope stated in prose.</x:v>
      </x:c>
      <x:c r="L630" s="6" t="str">
        <x:v>T02, T03</x:v>
      </x:c>
      <x:c r="M630" s="6" t="str">
        <x:v>Count all items of a requested type on one floor.</x:v>
      </x:c>
      <x:c r="N630" s="6" t="str">
        <x:v>{"count":2,"asset_type":"bookshelf","floor_level":0}</x:v>
      </x:c>
      <x:c r="O630" s="6"/>
      <x:c r="P630" s="6" t="str">
        <x:v>Exact asset type and target floor. Count complete collection.</x:v>
      </x:c>
      <x:c r="Q630" s="15" t="n">
        <x:v>2</x:v>
      </x:c>
      <x:c r="R630" s="6" t="str">
        <x:v>items</x:v>
      </x:c>
      <x:c r="S630" s="16"/>
      <x:c r="T630" s="15"/>
      <x:c r="U630" s="6"/>
      <x:c r="V630" s="6"/>
      <x:c r="W630" s="6" t="str">
        <x:v>No dedicated counting tool. search_building exposes matches but returns at most 15 results.</x:v>
      </x:c>
      <x:c r="X630" s="6" t="str">
        <x:v>data/train/resplan-2247/questions_basic.jsonl</x:v>
      </x:c>
      <x:c r="Y630" s="14" t="n">
        <x:v>4</x:v>
      </x:c>
      <x:c r="Z630" s="6" t="str">
        <x:v>https://github.com/hagenhaeussler/Industrial-Agents-Hackathon-2026/blob/f41616590b69f3ea0c1cbfb41d6c35edd9ce53df/data/train/resplan-2247/questions_basic.jsonl#L4</x:v>
      </x:c>
      <x:c r="AA630" s="6" t="str">
        <x:v>resplan</x:v>
      </x:c>
      <x:c r="AB630" s="6" t="str">
        <x:v>CC-BY-4.0</x:v>
      </x:c>
    </x:row>
    <x:row r="631" ht="72" customHeight="1">
      <x:c r="A631" s="14" t="n">
        <x:v>626</x:v>
      </x:c>
      <x:c r="B631" s="6" t="str">
        <x:v>count</x:v>
      </x:c>
      <x:c r="C631" s="6" t="str">
        <x:v>How many wardrobe items are on the ground floor?</x:v>
      </x:c>
      <x:c r="D631" s="6" t="str">
        <x:v>3 wardrobe items
Floor level: 0</x:v>
      </x:c>
      <x:c r="E631" s="6" t="str">
        <x:v>Reference supplied</x:v>
      </x:c>
      <x:c r="F631" s="6" t="str">
        <x:v>train</x:v>
      </x:c>
      <x:c r="G631" s="6" t="str">
        <x:v>resplan-2478</x:v>
      </x:c>
      <x:c r="H631" s="6" t="str">
        <x:v>resplan-2478-Q04</x:v>
      </x:c>
      <x:c r="I631" s="6" t="str">
        <x:v>Find and count assets</x:v>
      </x:c>
      <x:c r="J631" s="6" t="str">
        <x:v>Warm-up</x:v>
      </x:c>
      <x:c r="K631" s="6" t="str">
        <x:v>An exact integer count with the scope stated in prose.</x:v>
      </x:c>
      <x:c r="L631" s="6" t="str">
        <x:v>T02, T03</x:v>
      </x:c>
      <x:c r="M631" s="6" t="str">
        <x:v>Count all items of a requested type on one floor.</x:v>
      </x:c>
      <x:c r="N631" s="6" t="str">
        <x:v>{"count":3,"asset_type":"wardrobe","floor_level":0}</x:v>
      </x:c>
      <x:c r="O631" s="6"/>
      <x:c r="P631" s="6" t="str">
        <x:v>Exact asset type and target floor. Count complete collection.</x:v>
      </x:c>
      <x:c r="Q631" s="15" t="n">
        <x:v>3</x:v>
      </x:c>
      <x:c r="R631" s="6" t="str">
        <x:v>items</x:v>
      </x:c>
      <x:c r="S631" s="16"/>
      <x:c r="T631" s="15"/>
      <x:c r="U631" s="6"/>
      <x:c r="V631" s="6"/>
      <x:c r="W631" s="6" t="str">
        <x:v>No dedicated counting tool. search_building exposes matches but returns at most 15 results.</x:v>
      </x:c>
      <x:c r="X631" s="6" t="str">
        <x:v>data/train/resplan-2478/questions_basic.jsonl</x:v>
      </x:c>
      <x:c r="Y631" s="14" t="n">
        <x:v>4</x:v>
      </x:c>
      <x:c r="Z631" s="6" t="str">
        <x:v>https://github.com/hagenhaeussler/Industrial-Agents-Hackathon-2026/blob/f41616590b69f3ea0c1cbfb41d6c35edd9ce53df/data/train/resplan-2478/questions_basic.jsonl#L4</x:v>
      </x:c>
      <x:c r="AA631" s="6" t="str">
        <x:v>resplan</x:v>
      </x:c>
      <x:c r="AB631" s="6" t="str">
        <x:v>CC-BY-4.0</x:v>
      </x:c>
    </x:row>
    <x:row r="632" ht="72" customHeight="1">
      <x:c r="A632" s="14" t="n">
        <x:v>627</x:v>
      </x:c>
      <x:c r="B632" s="6" t="str">
        <x:v>count</x:v>
      </x:c>
      <x:c r="C632" s="6" t="str">
        <x:v>How many outdoor chair items are on the ground floor?</x:v>
      </x:c>
      <x:c r="D632" s="6" t="str">
        <x:v>2 outdoor_chair items
Floor level: 0</x:v>
      </x:c>
      <x:c r="E632" s="6" t="str">
        <x:v>Reference supplied</x:v>
      </x:c>
      <x:c r="F632" s="6" t="str">
        <x:v>train</x:v>
      </x:c>
      <x:c r="G632" s="6" t="str">
        <x:v>resplan-2515</x:v>
      </x:c>
      <x:c r="H632" s="6" t="str">
        <x:v>resplan-2515-Q04</x:v>
      </x:c>
      <x:c r="I632" s="6" t="str">
        <x:v>Find and count assets</x:v>
      </x:c>
      <x:c r="J632" s="6" t="str">
        <x:v>Warm-up</x:v>
      </x:c>
      <x:c r="K632" s="6" t="str">
        <x:v>An exact integer count with the scope stated in prose.</x:v>
      </x:c>
      <x:c r="L632" s="6" t="str">
        <x:v>T02, T03</x:v>
      </x:c>
      <x:c r="M632" s="6" t="str">
        <x:v>Count all items of a requested type on one floor.</x:v>
      </x:c>
      <x:c r="N632" s="6" t="str">
        <x:v>{"count":2,"asset_type":"outdoor_chair","floor_level":0}</x:v>
      </x:c>
      <x:c r="O632" s="6"/>
      <x:c r="P632" s="6" t="str">
        <x:v>Exact asset type and target floor. Count complete collection.</x:v>
      </x:c>
      <x:c r="Q632" s="15" t="n">
        <x:v>2</x:v>
      </x:c>
      <x:c r="R632" s="6" t="str">
        <x:v>items</x:v>
      </x:c>
      <x:c r="S632" s="16"/>
      <x:c r="T632" s="15"/>
      <x:c r="U632" s="6"/>
      <x:c r="V632" s="6"/>
      <x:c r="W632" s="6" t="str">
        <x:v>No dedicated counting tool. search_building exposes matches but returns at most 15 results.</x:v>
      </x:c>
      <x:c r="X632" s="6" t="str">
        <x:v>data/train/resplan-2515/questions_basic.jsonl</x:v>
      </x:c>
      <x:c r="Y632" s="14" t="n">
        <x:v>4</x:v>
      </x:c>
      <x:c r="Z632" s="6" t="str">
        <x:v>https://github.com/hagenhaeussler/Industrial-Agents-Hackathon-2026/blob/f41616590b69f3ea0c1cbfb41d6c35edd9ce53df/data/train/resplan-2515/questions_basic.jsonl#L4</x:v>
      </x:c>
      <x:c r="AA632" s="6" t="str">
        <x:v>resplan</x:v>
      </x:c>
      <x:c r="AB632" s="6" t="str">
        <x:v>CC-BY-4.0</x:v>
      </x:c>
    </x:row>
    <x:row r="633" ht="72" customHeight="1">
      <x:c r="A633" s="14" t="n">
        <x:v>628</x:v>
      </x:c>
      <x:c r="B633" s="6" t="str">
        <x:v>count</x:v>
      </x:c>
      <x:c r="C633" s="6" t="str">
        <x:v>How many wardrobe items are on the ground floor?</x:v>
      </x:c>
      <x:c r="D633" s="6" t="str">
        <x:v>2 wardrobe items
Floor level: 0</x:v>
      </x:c>
      <x:c r="E633" s="6" t="str">
        <x:v>Reference supplied</x:v>
      </x:c>
      <x:c r="F633" s="6" t="str">
        <x:v>train</x:v>
      </x:c>
      <x:c r="G633" s="6" t="str">
        <x:v>resplan-2587</x:v>
      </x:c>
      <x:c r="H633" s="6" t="str">
        <x:v>resplan-2587-Q04</x:v>
      </x:c>
      <x:c r="I633" s="6" t="str">
        <x:v>Find and count assets</x:v>
      </x:c>
      <x:c r="J633" s="6" t="str">
        <x:v>Warm-up</x:v>
      </x:c>
      <x:c r="K633" s="6" t="str">
        <x:v>An exact integer count with the scope stated in prose.</x:v>
      </x:c>
      <x:c r="L633" s="6" t="str">
        <x:v>T02, T03</x:v>
      </x:c>
      <x:c r="M633" s="6" t="str">
        <x:v>Count all items of a requested type on one floor.</x:v>
      </x:c>
      <x:c r="N633" s="6" t="str">
        <x:v>{"count":2,"asset_type":"wardrobe","floor_level":0}</x:v>
      </x:c>
      <x:c r="O633" s="6"/>
      <x:c r="P633" s="6" t="str">
        <x:v>Exact asset type and target floor. Count complete collection.</x:v>
      </x:c>
      <x:c r="Q633" s="15" t="n">
        <x:v>2</x:v>
      </x:c>
      <x:c r="R633" s="6" t="str">
        <x:v>items</x:v>
      </x:c>
      <x:c r="S633" s="16"/>
      <x:c r="T633" s="15"/>
      <x:c r="U633" s="6"/>
      <x:c r="V633" s="6"/>
      <x:c r="W633" s="6" t="str">
        <x:v>No dedicated counting tool. search_building exposes matches but returns at most 15 results.</x:v>
      </x:c>
      <x:c r="X633" s="6" t="str">
        <x:v>data/train/resplan-2587/questions_basic.jsonl</x:v>
      </x:c>
      <x:c r="Y633" s="14" t="n">
        <x:v>4</x:v>
      </x:c>
      <x:c r="Z633" s="6" t="str">
        <x:v>https://github.com/hagenhaeussler/Industrial-Agents-Hackathon-2026/blob/f41616590b69f3ea0c1cbfb41d6c35edd9ce53df/data/train/resplan-2587/questions_basic.jsonl#L4</x:v>
      </x:c>
      <x:c r="AA633" s="6" t="str">
        <x:v>resplan</x:v>
      </x:c>
      <x:c r="AB633" s="6" t="str">
        <x:v>CC-BY-4.0</x:v>
      </x:c>
    </x:row>
    <x:row r="634" ht="72" customHeight="1">
      <x:c r="A634" s="14" t="n">
        <x:v>629</x:v>
      </x:c>
      <x:c r="B634" s="6" t="str">
        <x:v>count</x:v>
      </x:c>
      <x:c r="C634" s="6" t="str">
        <x:v>How many toilet items are on the ground floor?</x:v>
      </x:c>
      <x:c r="D634" s="6" t="str">
        <x:v>3 toilet items
Floor level: 0</x:v>
      </x:c>
      <x:c r="E634" s="6" t="str">
        <x:v>Reference supplied</x:v>
      </x:c>
      <x:c r="F634" s="6" t="str">
        <x:v>train</x:v>
      </x:c>
      <x:c r="G634" s="6" t="str">
        <x:v>resplan-3207</x:v>
      </x:c>
      <x:c r="H634" s="6" t="str">
        <x:v>resplan-3207-Q04</x:v>
      </x:c>
      <x:c r="I634" s="6" t="str">
        <x:v>Find and count assets</x:v>
      </x:c>
      <x:c r="J634" s="6" t="str">
        <x:v>Warm-up</x:v>
      </x:c>
      <x:c r="K634" s="6" t="str">
        <x:v>An exact integer count with the scope stated in prose.</x:v>
      </x:c>
      <x:c r="L634" s="6" t="str">
        <x:v>T02, T03</x:v>
      </x:c>
      <x:c r="M634" s="6" t="str">
        <x:v>Count all items of a requested type on one floor.</x:v>
      </x:c>
      <x:c r="N634" s="6" t="str">
        <x:v>{"count":3,"asset_type":"toilet","floor_level":0}</x:v>
      </x:c>
      <x:c r="O634" s="6"/>
      <x:c r="P634" s="6" t="str">
        <x:v>Exact asset type and target floor. Count complete collection.</x:v>
      </x:c>
      <x:c r="Q634" s="15" t="n">
        <x:v>3</x:v>
      </x:c>
      <x:c r="R634" s="6" t="str">
        <x:v>items</x:v>
      </x:c>
      <x:c r="S634" s="16"/>
      <x:c r="T634" s="15"/>
      <x:c r="U634" s="6"/>
      <x:c r="V634" s="6"/>
      <x:c r="W634" s="6" t="str">
        <x:v>No dedicated counting tool. search_building exposes matches but returns at most 15 results.</x:v>
      </x:c>
      <x:c r="X634" s="6" t="str">
        <x:v>data/train/resplan-3207/questions_basic.jsonl</x:v>
      </x:c>
      <x:c r="Y634" s="14" t="n">
        <x:v>4</x:v>
      </x:c>
      <x:c r="Z634" s="6" t="str">
        <x:v>https://github.com/hagenhaeussler/Industrial-Agents-Hackathon-2026/blob/f41616590b69f3ea0c1cbfb41d6c35edd9ce53df/data/train/resplan-3207/questions_basic.jsonl#L4</x:v>
      </x:c>
      <x:c r="AA634" s="6" t="str">
        <x:v>resplan</x:v>
      </x:c>
      <x:c r="AB634" s="6" t="str">
        <x:v>CC-BY-4.0</x:v>
      </x:c>
    </x:row>
    <x:row r="635" ht="72" customHeight="1">
      <x:c r="A635" s="14" t="n">
        <x:v>630</x:v>
      </x:c>
      <x:c r="B635" s="6" t="str">
        <x:v>count</x:v>
      </x:c>
      <x:c r="C635" s="6" t="str">
        <x:v>How many outdoor chair items are on the ground floor?</x:v>
      </x:c>
      <x:c r="D635" s="6" t="str">
        <x:v>2 outdoor_chair items
Floor level: 0</x:v>
      </x:c>
      <x:c r="E635" s="6" t="str">
        <x:v>Reference supplied</x:v>
      </x:c>
      <x:c r="F635" s="6" t="str">
        <x:v>train</x:v>
      </x:c>
      <x:c r="G635" s="6" t="str">
        <x:v>resplan-3221</x:v>
      </x:c>
      <x:c r="H635" s="6" t="str">
        <x:v>resplan-3221-Q04</x:v>
      </x:c>
      <x:c r="I635" s="6" t="str">
        <x:v>Find and count assets</x:v>
      </x:c>
      <x:c r="J635" s="6" t="str">
        <x:v>Warm-up</x:v>
      </x:c>
      <x:c r="K635" s="6" t="str">
        <x:v>An exact integer count with the scope stated in prose.</x:v>
      </x:c>
      <x:c r="L635" s="6" t="str">
        <x:v>T02, T03</x:v>
      </x:c>
      <x:c r="M635" s="6" t="str">
        <x:v>Count all items of a requested type on one floor.</x:v>
      </x:c>
      <x:c r="N635" s="6" t="str">
        <x:v>{"count":2,"asset_type":"outdoor_chair","floor_level":0}</x:v>
      </x:c>
      <x:c r="O635" s="6"/>
      <x:c r="P635" s="6" t="str">
        <x:v>Exact asset type and target floor. Count complete collection.</x:v>
      </x:c>
      <x:c r="Q635" s="15" t="n">
        <x:v>2</x:v>
      </x:c>
      <x:c r="R635" s="6" t="str">
        <x:v>items</x:v>
      </x:c>
      <x:c r="S635" s="16"/>
      <x:c r="T635" s="15"/>
      <x:c r="U635" s="6"/>
      <x:c r="V635" s="6"/>
      <x:c r="W635" s="6" t="str">
        <x:v>No dedicated counting tool. search_building exposes matches but returns at most 15 results.</x:v>
      </x:c>
      <x:c r="X635" s="6" t="str">
        <x:v>data/train/resplan-3221/questions_basic.jsonl</x:v>
      </x:c>
      <x:c r="Y635" s="14" t="n">
        <x:v>4</x:v>
      </x:c>
      <x:c r="Z635" s="6" t="str">
        <x:v>https://github.com/hagenhaeussler/Industrial-Agents-Hackathon-2026/blob/f41616590b69f3ea0c1cbfb41d6c35edd9ce53df/data/train/resplan-3221/questions_basic.jsonl#L4</x:v>
      </x:c>
      <x:c r="AA635" s="6" t="str">
        <x:v>resplan</x:v>
      </x:c>
      <x:c r="AB635" s="6" t="str">
        <x:v>CC-BY-4.0</x:v>
      </x:c>
    </x:row>
    <x:row r="636" ht="72" customHeight="1">
      <x:c r="A636" s="14" t="n">
        <x:v>631</x:v>
      </x:c>
      <x:c r="B636" s="6" t="str">
        <x:v>count</x:v>
      </x:c>
      <x:c r="C636" s="6" t="str">
        <x:v>How many single bed items are on the ground floor?</x:v>
      </x:c>
      <x:c r="D636" s="6" t="str">
        <x:v>2 single_bed items
Floor level: 0</x:v>
      </x:c>
      <x:c r="E636" s="6" t="str">
        <x:v>Reference supplied</x:v>
      </x:c>
      <x:c r="F636" s="6" t="str">
        <x:v>train</x:v>
      </x:c>
      <x:c r="G636" s="6" t="str">
        <x:v>resplan-3562</x:v>
      </x:c>
      <x:c r="H636" s="6" t="str">
        <x:v>resplan-3562-Q04</x:v>
      </x:c>
      <x:c r="I636" s="6" t="str">
        <x:v>Find and count assets</x:v>
      </x:c>
      <x:c r="J636" s="6" t="str">
        <x:v>Warm-up</x:v>
      </x:c>
      <x:c r="K636" s="6" t="str">
        <x:v>An exact integer count with the scope stated in prose.</x:v>
      </x:c>
      <x:c r="L636" s="6" t="str">
        <x:v>T02, T03</x:v>
      </x:c>
      <x:c r="M636" s="6" t="str">
        <x:v>Count all items of a requested type on one floor.</x:v>
      </x:c>
      <x:c r="N636" s="6" t="str">
        <x:v>{"count":2,"asset_type":"single_bed","floor_level":0}</x:v>
      </x:c>
      <x:c r="O636" s="6"/>
      <x:c r="P636" s="6" t="str">
        <x:v>Exact asset type and target floor. Count complete collection.</x:v>
      </x:c>
      <x:c r="Q636" s="15" t="n">
        <x:v>2</x:v>
      </x:c>
      <x:c r="R636" s="6" t="str">
        <x:v>items</x:v>
      </x:c>
      <x:c r="S636" s="16"/>
      <x:c r="T636" s="15"/>
      <x:c r="U636" s="6"/>
      <x:c r="V636" s="6"/>
      <x:c r="W636" s="6" t="str">
        <x:v>No dedicated counting tool. search_building exposes matches but returns at most 15 results.</x:v>
      </x:c>
      <x:c r="X636" s="6" t="str">
        <x:v>data/train/resplan-3562/questions_basic.jsonl</x:v>
      </x:c>
      <x:c r="Y636" s="14" t="n">
        <x:v>4</x:v>
      </x:c>
      <x:c r="Z636" s="6" t="str">
        <x:v>https://github.com/hagenhaeussler/Industrial-Agents-Hackathon-2026/blob/f41616590b69f3ea0c1cbfb41d6c35edd9ce53df/data/train/resplan-3562/questions_basic.jsonl#L4</x:v>
      </x:c>
      <x:c r="AA636" s="6" t="str">
        <x:v>resplan</x:v>
      </x:c>
      <x:c r="AB636" s="6" t="str">
        <x:v>CC-BY-4.0</x:v>
      </x:c>
    </x:row>
    <x:row r="637" ht="72" customHeight="1">
      <x:c r="A637" s="14" t="n">
        <x:v>632</x:v>
      </x:c>
      <x:c r="B637" s="6" t="str">
        <x:v>count</x:v>
      </x:c>
      <x:c r="C637" s="6" t="str">
        <x:v>How many single bed items are on the ground floor?</x:v>
      </x:c>
      <x:c r="D637" s="6" t="str">
        <x:v>3 single_bed items
Floor level: 0</x:v>
      </x:c>
      <x:c r="E637" s="6" t="str">
        <x:v>Reference supplied</x:v>
      </x:c>
      <x:c r="F637" s="6" t="str">
        <x:v>train</x:v>
      </x:c>
      <x:c r="G637" s="6" t="str">
        <x:v>resplan-3806</x:v>
      </x:c>
      <x:c r="H637" s="6" t="str">
        <x:v>resplan-3806-Q04</x:v>
      </x:c>
      <x:c r="I637" s="6" t="str">
        <x:v>Find and count assets</x:v>
      </x:c>
      <x:c r="J637" s="6" t="str">
        <x:v>Warm-up</x:v>
      </x:c>
      <x:c r="K637" s="6" t="str">
        <x:v>An exact integer count with the scope stated in prose.</x:v>
      </x:c>
      <x:c r="L637" s="6" t="str">
        <x:v>T02, T03</x:v>
      </x:c>
      <x:c r="M637" s="6" t="str">
        <x:v>Count all items of a requested type on one floor.</x:v>
      </x:c>
      <x:c r="N637" s="6" t="str">
        <x:v>{"count":3,"asset_type":"single_bed","floor_level":0}</x:v>
      </x:c>
      <x:c r="O637" s="6"/>
      <x:c r="P637" s="6" t="str">
        <x:v>Exact asset type and target floor. Count complete collection.</x:v>
      </x:c>
      <x:c r="Q637" s="15" t="n">
        <x:v>3</x:v>
      </x:c>
      <x:c r="R637" s="6" t="str">
        <x:v>items</x:v>
      </x:c>
      <x:c r="S637" s="16"/>
      <x:c r="T637" s="15"/>
      <x:c r="U637" s="6"/>
      <x:c r="V637" s="6"/>
      <x:c r="W637" s="6" t="str">
        <x:v>No dedicated counting tool. search_building exposes matches but returns at most 15 results.</x:v>
      </x:c>
      <x:c r="X637" s="6" t="str">
        <x:v>data/train/resplan-3806/questions_basic.jsonl</x:v>
      </x:c>
      <x:c r="Y637" s="14" t="n">
        <x:v>4</x:v>
      </x:c>
      <x:c r="Z637" s="6" t="str">
        <x:v>https://github.com/hagenhaeussler/Industrial-Agents-Hackathon-2026/blob/f41616590b69f3ea0c1cbfb41d6c35edd9ce53df/data/train/resplan-3806/questions_basic.jsonl#L4</x:v>
      </x:c>
      <x:c r="AA637" s="6" t="str">
        <x:v>resplan</x:v>
      </x:c>
      <x:c r="AB637" s="6" t="str">
        <x:v>CC-BY-4.0</x:v>
      </x:c>
    </x:row>
    <x:row r="638" ht="72" customHeight="1">
      <x:c r="A638" s="14" t="n">
        <x:v>633</x:v>
      </x:c>
      <x:c r="B638" s="6" t="str">
        <x:v>count</x:v>
      </x:c>
      <x:c r="C638" s="6" t="str">
        <x:v>How many dining chair items are on the ground floor?</x:v>
      </x:c>
      <x:c r="D638" s="6" t="str">
        <x:v>3 dining_chair items
Floor level: 0</x:v>
      </x:c>
      <x:c r="E638" s="6" t="str">
        <x:v>Reference supplied</x:v>
      </x:c>
      <x:c r="F638" s="6" t="str">
        <x:v>train</x:v>
      </x:c>
      <x:c r="G638" s="6" t="str">
        <x:v>resplan-3971</x:v>
      </x:c>
      <x:c r="H638" s="6" t="str">
        <x:v>resplan-3971-Q04</x:v>
      </x:c>
      <x:c r="I638" s="6" t="str">
        <x:v>Find and count assets</x:v>
      </x:c>
      <x:c r="J638" s="6" t="str">
        <x:v>Warm-up</x:v>
      </x:c>
      <x:c r="K638" s="6" t="str">
        <x:v>An exact integer count with the scope stated in prose.</x:v>
      </x:c>
      <x:c r="L638" s="6" t="str">
        <x:v>T02, T03</x:v>
      </x:c>
      <x:c r="M638" s="6" t="str">
        <x:v>Count all items of a requested type on one floor.</x:v>
      </x:c>
      <x:c r="N638" s="6" t="str">
        <x:v>{"count":3,"asset_type":"dining_chair","floor_level":0}</x:v>
      </x:c>
      <x:c r="O638" s="6"/>
      <x:c r="P638" s="6" t="str">
        <x:v>Exact asset type and target floor. Count complete collection.</x:v>
      </x:c>
      <x:c r="Q638" s="15" t="n">
        <x:v>3</x:v>
      </x:c>
      <x:c r="R638" s="6" t="str">
        <x:v>items</x:v>
      </x:c>
      <x:c r="S638" s="16"/>
      <x:c r="T638" s="15"/>
      <x:c r="U638" s="6"/>
      <x:c r="V638" s="6"/>
      <x:c r="W638" s="6" t="str">
        <x:v>No dedicated counting tool. search_building exposes matches but returns at most 15 results.</x:v>
      </x:c>
      <x:c r="X638" s="6" t="str">
        <x:v>data/train/resplan-3971/questions_basic.jsonl</x:v>
      </x:c>
      <x:c r="Y638" s="14" t="n">
        <x:v>4</x:v>
      </x:c>
      <x:c r="Z638" s="6" t="str">
        <x:v>https://github.com/hagenhaeussler/Industrial-Agents-Hackathon-2026/blob/f41616590b69f3ea0c1cbfb41d6c35edd9ce53df/data/train/resplan-3971/questions_basic.jsonl#L4</x:v>
      </x:c>
      <x:c r="AA638" s="6" t="str">
        <x:v>resplan</x:v>
      </x:c>
      <x:c r="AB638" s="6" t="str">
        <x:v>CC-BY-4.0</x:v>
      </x:c>
    </x:row>
    <x:row r="639" ht="72" customHeight="1">
      <x:c r="A639" s="14" t="n">
        <x:v>634</x:v>
      </x:c>
      <x:c r="B639" s="6" t="str">
        <x:v>count</x:v>
      </x:c>
      <x:c r="C639" s="6" t="str">
        <x:v>How many dining chair items are on the ground floor?</x:v>
      </x:c>
      <x:c r="D639" s="6" t="str">
        <x:v>4 dining_chair items
Floor level: 0</x:v>
      </x:c>
      <x:c r="E639" s="6" t="str">
        <x:v>Reference supplied</x:v>
      </x:c>
      <x:c r="F639" s="6" t="str">
        <x:v>train</x:v>
      </x:c>
      <x:c r="G639" s="6" t="str">
        <x:v>resplan-4294</x:v>
      </x:c>
      <x:c r="H639" s="6" t="str">
        <x:v>resplan-4294-Q04</x:v>
      </x:c>
      <x:c r="I639" s="6" t="str">
        <x:v>Find and count assets</x:v>
      </x:c>
      <x:c r="J639" s="6" t="str">
        <x:v>Warm-up</x:v>
      </x:c>
      <x:c r="K639" s="6" t="str">
        <x:v>An exact integer count with the scope stated in prose.</x:v>
      </x:c>
      <x:c r="L639" s="6" t="str">
        <x:v>T02, T03</x:v>
      </x:c>
      <x:c r="M639" s="6" t="str">
        <x:v>Count all items of a requested type on one floor.</x:v>
      </x:c>
      <x:c r="N639" s="6" t="str">
        <x:v>{"count":4,"asset_type":"dining_chair","floor_level":0}</x:v>
      </x:c>
      <x:c r="O639" s="6"/>
      <x:c r="P639" s="6" t="str">
        <x:v>Exact asset type and target floor. Count complete collection.</x:v>
      </x:c>
      <x:c r="Q639" s="15" t="n">
        <x:v>4</x:v>
      </x:c>
      <x:c r="R639" s="6" t="str">
        <x:v>items</x:v>
      </x:c>
      <x:c r="S639" s="16"/>
      <x:c r="T639" s="15"/>
      <x:c r="U639" s="6"/>
      <x:c r="V639" s="6"/>
      <x:c r="W639" s="6" t="str">
        <x:v>No dedicated counting tool. search_building exposes matches but returns at most 15 results.</x:v>
      </x:c>
      <x:c r="X639" s="6" t="str">
        <x:v>data/train/resplan-4294/questions_basic.jsonl</x:v>
      </x:c>
      <x:c r="Y639" s="14" t="n">
        <x:v>4</x:v>
      </x:c>
      <x:c r="Z639" s="6" t="str">
        <x:v>https://github.com/hagenhaeussler/Industrial-Agents-Hackathon-2026/blob/f41616590b69f3ea0c1cbfb41d6c35edd9ce53df/data/train/resplan-4294/questions_basic.jsonl#L4</x:v>
      </x:c>
      <x:c r="AA639" s="6" t="str">
        <x:v>resplan</x:v>
      </x:c>
      <x:c r="AB639" s="6" t="str">
        <x:v>CC-BY-4.0</x:v>
      </x:c>
    </x:row>
    <x:row r="640" ht="72" customHeight="1">
      <x:c r="A640" s="14" t="n">
        <x:v>635</x:v>
      </x:c>
      <x:c r="B640" s="6" t="str">
        <x:v>count</x:v>
      </x:c>
      <x:c r="C640" s="6" t="str">
        <x:v>How many nightstand items are on the ground floor?</x:v>
      </x:c>
      <x:c r="D640" s="6" t="str">
        <x:v>3 nightstand items
Floor level: 0</x:v>
      </x:c>
      <x:c r="E640" s="6" t="str">
        <x:v>Reference supplied</x:v>
      </x:c>
      <x:c r="F640" s="6" t="str">
        <x:v>train</x:v>
      </x:c>
      <x:c r="G640" s="6" t="str">
        <x:v>resplan-4303</x:v>
      </x:c>
      <x:c r="H640" s="6" t="str">
        <x:v>resplan-4303-Q04</x:v>
      </x:c>
      <x:c r="I640" s="6" t="str">
        <x:v>Find and count assets</x:v>
      </x:c>
      <x:c r="J640" s="6" t="str">
        <x:v>Warm-up</x:v>
      </x:c>
      <x:c r="K640" s="6" t="str">
        <x:v>An exact integer count with the scope stated in prose.</x:v>
      </x:c>
      <x:c r="L640" s="6" t="str">
        <x:v>T02, T03</x:v>
      </x:c>
      <x:c r="M640" s="6" t="str">
        <x:v>Count all items of a requested type on one floor.</x:v>
      </x:c>
      <x:c r="N640" s="6" t="str">
        <x:v>{"count":3,"asset_type":"nightstand","floor_level":0}</x:v>
      </x:c>
      <x:c r="O640" s="6"/>
      <x:c r="P640" s="6" t="str">
        <x:v>Exact asset type and target floor. Count complete collection.</x:v>
      </x:c>
      <x:c r="Q640" s="15" t="n">
        <x:v>3</x:v>
      </x:c>
      <x:c r="R640" s="6" t="str">
        <x:v>items</x:v>
      </x:c>
      <x:c r="S640" s="16"/>
      <x:c r="T640" s="15"/>
      <x:c r="U640" s="6"/>
      <x:c r="V640" s="6"/>
      <x:c r="W640" s="6" t="str">
        <x:v>No dedicated counting tool. search_building exposes matches but returns at most 15 results.</x:v>
      </x:c>
      <x:c r="X640" s="6" t="str">
        <x:v>data/train/resplan-4303/questions_basic.jsonl</x:v>
      </x:c>
      <x:c r="Y640" s="14" t="n">
        <x:v>4</x:v>
      </x:c>
      <x:c r="Z640" s="6" t="str">
        <x:v>https://github.com/hagenhaeussler/Industrial-Agents-Hackathon-2026/blob/f41616590b69f3ea0c1cbfb41d6c35edd9ce53df/data/train/resplan-4303/questions_basic.jsonl#L4</x:v>
      </x:c>
      <x:c r="AA640" s="6" t="str">
        <x:v>resplan</x:v>
      </x:c>
      <x:c r="AB640" s="6" t="str">
        <x:v>CC-BY-4.0</x:v>
      </x:c>
    </x:row>
    <x:row r="641" ht="72" customHeight="1">
      <x:c r="A641" s="14" t="n">
        <x:v>636</x:v>
      </x:c>
      <x:c r="B641" s="6" t="str">
        <x:v>count</x:v>
      </x:c>
      <x:c r="C641" s="6" t="str">
        <x:v>How many sink items are on the ground floor?</x:v>
      </x:c>
      <x:c r="D641" s="6" t="str">
        <x:v>2 sink items
Floor level: 0</x:v>
      </x:c>
      <x:c r="E641" s="6" t="str">
        <x:v>Reference supplied</x:v>
      </x:c>
      <x:c r="F641" s="6" t="str">
        <x:v>train</x:v>
      </x:c>
      <x:c r="G641" s="6" t="str">
        <x:v>resplan-4378</x:v>
      </x:c>
      <x:c r="H641" s="6" t="str">
        <x:v>resplan-4378-Q04</x:v>
      </x:c>
      <x:c r="I641" s="6" t="str">
        <x:v>Find and count assets</x:v>
      </x:c>
      <x:c r="J641" s="6" t="str">
        <x:v>Warm-up</x:v>
      </x:c>
      <x:c r="K641" s="6" t="str">
        <x:v>An exact integer count with the scope stated in prose.</x:v>
      </x:c>
      <x:c r="L641" s="6" t="str">
        <x:v>T02, T03</x:v>
      </x:c>
      <x:c r="M641" s="6" t="str">
        <x:v>Count all items of a requested type on one floor.</x:v>
      </x:c>
      <x:c r="N641" s="6" t="str">
        <x:v>{"count":2,"asset_type":"sink","floor_level":0}</x:v>
      </x:c>
      <x:c r="O641" s="6"/>
      <x:c r="P641" s="6" t="str">
        <x:v>Exact asset type and target floor. Count complete collection.</x:v>
      </x:c>
      <x:c r="Q641" s="15" t="n">
        <x:v>2</x:v>
      </x:c>
      <x:c r="R641" s="6" t="str">
        <x:v>items</x:v>
      </x:c>
      <x:c r="S641" s="16"/>
      <x:c r="T641" s="15"/>
      <x:c r="U641" s="6"/>
      <x:c r="V641" s="6"/>
      <x:c r="W641" s="6" t="str">
        <x:v>No dedicated counting tool. search_building exposes matches but returns at most 15 results.</x:v>
      </x:c>
      <x:c r="X641" s="6" t="str">
        <x:v>data/train/resplan-4378/questions_basic.jsonl</x:v>
      </x:c>
      <x:c r="Y641" s="14" t="n">
        <x:v>4</x:v>
      </x:c>
      <x:c r="Z641" s="6" t="str">
        <x:v>https://github.com/hagenhaeussler/Industrial-Agents-Hackathon-2026/blob/f41616590b69f3ea0c1cbfb41d6c35edd9ce53df/data/train/resplan-4378/questions_basic.jsonl#L4</x:v>
      </x:c>
      <x:c r="AA641" s="6" t="str">
        <x:v>resplan</x:v>
      </x:c>
      <x:c r="AB641" s="6" t="str">
        <x:v>CC-BY-4.0</x:v>
      </x:c>
    </x:row>
    <x:row r="642" ht="72" customHeight="1">
      <x:c r="A642" s="14" t="n">
        <x:v>637</x:v>
      </x:c>
      <x:c r="B642" s="6" t="str">
        <x:v>count</x:v>
      </x:c>
      <x:c r="C642" s="6" t="str">
        <x:v>How many dining chair items are on the ground floor?</x:v>
      </x:c>
      <x:c r="D642" s="6" t="str">
        <x:v>2 dining_chair items
Floor level: 0</x:v>
      </x:c>
      <x:c r="E642" s="6" t="str">
        <x:v>Reference supplied</x:v>
      </x:c>
      <x:c r="F642" s="6" t="str">
        <x:v>train</x:v>
      </x:c>
      <x:c r="G642" s="6" t="str">
        <x:v>resplan-4429</x:v>
      </x:c>
      <x:c r="H642" s="6" t="str">
        <x:v>resplan-4429-Q04</x:v>
      </x:c>
      <x:c r="I642" s="6" t="str">
        <x:v>Find and count assets</x:v>
      </x:c>
      <x:c r="J642" s="6" t="str">
        <x:v>Warm-up</x:v>
      </x:c>
      <x:c r="K642" s="6" t="str">
        <x:v>An exact integer count with the scope stated in prose.</x:v>
      </x:c>
      <x:c r="L642" s="6" t="str">
        <x:v>T02, T03</x:v>
      </x:c>
      <x:c r="M642" s="6" t="str">
        <x:v>Count all items of a requested type on one floor.</x:v>
      </x:c>
      <x:c r="N642" s="6" t="str">
        <x:v>{"count":2,"asset_type":"dining_chair","floor_level":0}</x:v>
      </x:c>
      <x:c r="O642" s="6"/>
      <x:c r="P642" s="6" t="str">
        <x:v>Exact asset type and target floor. Count complete collection.</x:v>
      </x:c>
      <x:c r="Q642" s="15" t="n">
        <x:v>2</x:v>
      </x:c>
      <x:c r="R642" s="6" t="str">
        <x:v>items</x:v>
      </x:c>
      <x:c r="S642" s="16"/>
      <x:c r="T642" s="15"/>
      <x:c r="U642" s="6"/>
      <x:c r="V642" s="6"/>
      <x:c r="W642" s="6" t="str">
        <x:v>No dedicated counting tool. search_building exposes matches but returns at most 15 results.</x:v>
      </x:c>
      <x:c r="X642" s="6" t="str">
        <x:v>data/train/resplan-4429/questions_basic.jsonl</x:v>
      </x:c>
      <x:c r="Y642" s="14" t="n">
        <x:v>4</x:v>
      </x:c>
      <x:c r="Z642" s="6" t="str">
        <x:v>https://github.com/hagenhaeussler/Industrial-Agents-Hackathon-2026/blob/f41616590b69f3ea0c1cbfb41d6c35edd9ce53df/data/train/resplan-4429/questions_basic.jsonl#L4</x:v>
      </x:c>
      <x:c r="AA642" s="6" t="str">
        <x:v>resplan</x:v>
      </x:c>
      <x:c r="AB642" s="6" t="str">
        <x:v>CC-BY-4.0</x:v>
      </x:c>
    </x:row>
    <x:row r="643" ht="72" customHeight="1">
      <x:c r="A643" s="14" t="n">
        <x:v>638</x:v>
      </x:c>
      <x:c r="B643" s="6" t="str">
        <x:v>count</x:v>
      </x:c>
      <x:c r="C643" s="6" t="str">
        <x:v>How many wardrobe items are on the ground floor?</x:v>
      </x:c>
      <x:c r="D643" s="6" t="str">
        <x:v>3 wardrobe items
Floor level: 0</x:v>
      </x:c>
      <x:c r="E643" s="6" t="str">
        <x:v>Reference supplied</x:v>
      </x:c>
      <x:c r="F643" s="6" t="str">
        <x:v>train</x:v>
      </x:c>
      <x:c r="G643" s="6" t="str">
        <x:v>resplan-4453</x:v>
      </x:c>
      <x:c r="H643" s="6" t="str">
        <x:v>resplan-4453-Q04</x:v>
      </x:c>
      <x:c r="I643" s="6" t="str">
        <x:v>Find and count assets</x:v>
      </x:c>
      <x:c r="J643" s="6" t="str">
        <x:v>Warm-up</x:v>
      </x:c>
      <x:c r="K643" s="6" t="str">
        <x:v>An exact integer count with the scope stated in prose.</x:v>
      </x:c>
      <x:c r="L643" s="6" t="str">
        <x:v>T02, T03</x:v>
      </x:c>
      <x:c r="M643" s="6" t="str">
        <x:v>Count all items of a requested type on one floor.</x:v>
      </x:c>
      <x:c r="N643" s="6" t="str">
        <x:v>{"count":3,"asset_type":"wardrobe","floor_level":0}</x:v>
      </x:c>
      <x:c r="O643" s="6"/>
      <x:c r="P643" s="6" t="str">
        <x:v>Exact asset type and target floor. Count complete collection.</x:v>
      </x:c>
      <x:c r="Q643" s="15" t="n">
        <x:v>3</x:v>
      </x:c>
      <x:c r="R643" s="6" t="str">
        <x:v>items</x:v>
      </x:c>
      <x:c r="S643" s="16"/>
      <x:c r="T643" s="15"/>
      <x:c r="U643" s="6"/>
      <x:c r="V643" s="6"/>
      <x:c r="W643" s="6" t="str">
        <x:v>No dedicated counting tool. search_building exposes matches but returns at most 15 results.</x:v>
      </x:c>
      <x:c r="X643" s="6" t="str">
        <x:v>data/train/resplan-4453/questions_basic.jsonl</x:v>
      </x:c>
      <x:c r="Y643" s="14" t="n">
        <x:v>4</x:v>
      </x:c>
      <x:c r="Z643" s="6" t="str">
        <x:v>https://github.com/hagenhaeussler/Industrial-Agents-Hackathon-2026/blob/f41616590b69f3ea0c1cbfb41d6c35edd9ce53df/data/train/resplan-4453/questions_basic.jsonl#L4</x:v>
      </x:c>
      <x:c r="AA643" s="6" t="str">
        <x:v>resplan</x:v>
      </x:c>
      <x:c r="AB643" s="6" t="str">
        <x:v>CC-BY-4.0</x:v>
      </x:c>
    </x:row>
    <x:row r="644" ht="72" customHeight="1">
      <x:c r="A644" s="14" t="n">
        <x:v>639</x:v>
      </x:c>
      <x:c r="B644" s="6" t="str">
        <x:v>count</x:v>
      </x:c>
      <x:c r="C644" s="6" t="str">
        <x:v>How many toilet items are on the ground floor?</x:v>
      </x:c>
      <x:c r="D644" s="6" t="str">
        <x:v>2 toilet items
Floor level: 0</x:v>
      </x:c>
      <x:c r="E644" s="6" t="str">
        <x:v>Reference supplied</x:v>
      </x:c>
      <x:c r="F644" s="6" t="str">
        <x:v>train</x:v>
      </x:c>
      <x:c r="G644" s="6" t="str">
        <x:v>resplan-457</x:v>
      </x:c>
      <x:c r="H644" s="6" t="str">
        <x:v>resplan-457-Q04</x:v>
      </x:c>
      <x:c r="I644" s="6" t="str">
        <x:v>Find and count assets</x:v>
      </x:c>
      <x:c r="J644" s="6" t="str">
        <x:v>Warm-up</x:v>
      </x:c>
      <x:c r="K644" s="6" t="str">
        <x:v>An exact integer count with the scope stated in prose.</x:v>
      </x:c>
      <x:c r="L644" s="6" t="str">
        <x:v>T02, T03</x:v>
      </x:c>
      <x:c r="M644" s="6" t="str">
        <x:v>Count all items of a requested type on one floor.</x:v>
      </x:c>
      <x:c r="N644" s="6" t="str">
        <x:v>{"count":2,"asset_type":"toilet","floor_level":0}</x:v>
      </x:c>
      <x:c r="O644" s="6"/>
      <x:c r="P644" s="6" t="str">
        <x:v>Exact asset type and target floor. Count complete collection.</x:v>
      </x:c>
      <x:c r="Q644" s="15" t="n">
        <x:v>2</x:v>
      </x:c>
      <x:c r="R644" s="6" t="str">
        <x:v>items</x:v>
      </x:c>
      <x:c r="S644" s="16"/>
      <x:c r="T644" s="15"/>
      <x:c r="U644" s="6"/>
      <x:c r="V644" s="6"/>
      <x:c r="W644" s="6" t="str">
        <x:v>No dedicated counting tool. search_building exposes matches but returns at most 15 results.</x:v>
      </x:c>
      <x:c r="X644" s="6" t="str">
        <x:v>data/train/resplan-457/questions_basic.jsonl</x:v>
      </x:c>
      <x:c r="Y644" s="14" t="n">
        <x:v>4</x:v>
      </x:c>
      <x:c r="Z644" s="6" t="str">
        <x:v>https://github.com/hagenhaeussler/Industrial-Agents-Hackathon-2026/blob/f41616590b69f3ea0c1cbfb41d6c35edd9ce53df/data/train/resplan-457/questions_basic.jsonl#L4</x:v>
      </x:c>
      <x:c r="AA644" s="6" t="str">
        <x:v>resplan</x:v>
      </x:c>
      <x:c r="AB644" s="6" t="str">
        <x:v>CC-BY-4.0</x:v>
      </x:c>
    </x:row>
    <x:row r="645" ht="72" customHeight="1">
      <x:c r="A645" s="14" t="n">
        <x:v>640</x:v>
      </x:c>
      <x:c r="B645" s="6" t="str">
        <x:v>count</x:v>
      </x:c>
      <x:c r="C645" s="6" t="str">
        <x:v>How many toilet items are on the ground floor?</x:v>
      </x:c>
      <x:c r="D645" s="6" t="str">
        <x:v>3 toilet items
Floor level: 0</x:v>
      </x:c>
      <x:c r="E645" s="6" t="str">
        <x:v>Reference supplied</x:v>
      </x:c>
      <x:c r="F645" s="6" t="str">
        <x:v>train</x:v>
      </x:c>
      <x:c r="G645" s="6" t="str">
        <x:v>resplan-47</x:v>
      </x:c>
      <x:c r="H645" s="6" t="str">
        <x:v>resplan-47-Q04</x:v>
      </x:c>
      <x:c r="I645" s="6" t="str">
        <x:v>Find and count assets</x:v>
      </x:c>
      <x:c r="J645" s="6" t="str">
        <x:v>Warm-up</x:v>
      </x:c>
      <x:c r="K645" s="6" t="str">
        <x:v>An exact integer count with the scope stated in prose.</x:v>
      </x:c>
      <x:c r="L645" s="6" t="str">
        <x:v>T02, T03</x:v>
      </x:c>
      <x:c r="M645" s="6" t="str">
        <x:v>Count all items of a requested type on one floor.</x:v>
      </x:c>
      <x:c r="N645" s="6" t="str">
        <x:v>{"count":3,"asset_type":"toilet","floor_level":0}</x:v>
      </x:c>
      <x:c r="O645" s="6"/>
      <x:c r="P645" s="6" t="str">
        <x:v>Exact asset type and target floor. Count complete collection.</x:v>
      </x:c>
      <x:c r="Q645" s="15" t="n">
        <x:v>3</x:v>
      </x:c>
      <x:c r="R645" s="6" t="str">
        <x:v>items</x:v>
      </x:c>
      <x:c r="S645" s="16"/>
      <x:c r="T645" s="15"/>
      <x:c r="U645" s="6"/>
      <x:c r="V645" s="6"/>
      <x:c r="W645" s="6" t="str">
        <x:v>No dedicated counting tool. search_building exposes matches but returns at most 15 results.</x:v>
      </x:c>
      <x:c r="X645" s="6" t="str">
        <x:v>data/train/resplan-47/questions_basic.jsonl</x:v>
      </x:c>
      <x:c r="Y645" s="14" t="n">
        <x:v>4</x:v>
      </x:c>
      <x:c r="Z645" s="6" t="str">
        <x:v>https://github.com/hagenhaeussler/Industrial-Agents-Hackathon-2026/blob/f41616590b69f3ea0c1cbfb41d6c35edd9ce53df/data/train/resplan-47/questions_basic.jsonl#L4</x:v>
      </x:c>
      <x:c r="AA645" s="6" t="str">
        <x:v>resplan</x:v>
      </x:c>
      <x:c r="AB645" s="6" t="str">
        <x:v>CC-BY-4.0</x:v>
      </x:c>
    </x:row>
    <x:row r="646" ht="72" customHeight="1">
      <x:c r="A646" s="14" t="n">
        <x:v>641</x:v>
      </x:c>
      <x:c r="B646" s="6" t="str">
        <x:v>count</x:v>
      </x:c>
      <x:c r="C646" s="6" t="str">
        <x:v>How many nightstand items are on the ground floor?</x:v>
      </x:c>
      <x:c r="D646" s="6" t="str">
        <x:v>2 nightstand items
Floor level: 0</x:v>
      </x:c>
      <x:c r="E646" s="6" t="str">
        <x:v>Reference supplied</x:v>
      </x:c>
      <x:c r="F646" s="6" t="str">
        <x:v>train</x:v>
      </x:c>
      <x:c r="G646" s="6" t="str">
        <x:v>resplan-5277</x:v>
      </x:c>
      <x:c r="H646" s="6" t="str">
        <x:v>resplan-5277-Q04</x:v>
      </x:c>
      <x:c r="I646" s="6" t="str">
        <x:v>Find and count assets</x:v>
      </x:c>
      <x:c r="J646" s="6" t="str">
        <x:v>Warm-up</x:v>
      </x:c>
      <x:c r="K646" s="6" t="str">
        <x:v>An exact integer count with the scope stated in prose.</x:v>
      </x:c>
      <x:c r="L646" s="6" t="str">
        <x:v>T02, T03</x:v>
      </x:c>
      <x:c r="M646" s="6" t="str">
        <x:v>Count all items of a requested type on one floor.</x:v>
      </x:c>
      <x:c r="N646" s="6" t="str">
        <x:v>{"count":2,"asset_type":"nightstand","floor_level":0}</x:v>
      </x:c>
      <x:c r="O646" s="6"/>
      <x:c r="P646" s="6" t="str">
        <x:v>Exact asset type and target floor. Count complete collection.</x:v>
      </x:c>
      <x:c r="Q646" s="15" t="n">
        <x:v>2</x:v>
      </x:c>
      <x:c r="R646" s="6" t="str">
        <x:v>items</x:v>
      </x:c>
      <x:c r="S646" s="16"/>
      <x:c r="T646" s="15"/>
      <x:c r="U646" s="6"/>
      <x:c r="V646" s="6"/>
      <x:c r="W646" s="6" t="str">
        <x:v>No dedicated counting tool. search_building exposes matches but returns at most 15 results.</x:v>
      </x:c>
      <x:c r="X646" s="6" t="str">
        <x:v>data/train/resplan-5277/questions_basic.jsonl</x:v>
      </x:c>
      <x:c r="Y646" s="14" t="n">
        <x:v>4</x:v>
      </x:c>
      <x:c r="Z646" s="6" t="str">
        <x:v>https://github.com/hagenhaeussler/Industrial-Agents-Hackathon-2026/blob/f41616590b69f3ea0c1cbfb41d6c35edd9ce53df/data/train/resplan-5277/questions_basic.jsonl#L4</x:v>
      </x:c>
      <x:c r="AA646" s="6" t="str">
        <x:v>resplan</x:v>
      </x:c>
      <x:c r="AB646" s="6" t="str">
        <x:v>CC-BY-4.0</x:v>
      </x:c>
    </x:row>
    <x:row r="647" ht="72" customHeight="1">
      <x:c r="A647" s="14" t="n">
        <x:v>642</x:v>
      </x:c>
      <x:c r="B647" s="6" t="str">
        <x:v>count</x:v>
      </x:c>
      <x:c r="C647" s="6" t="str">
        <x:v>How many plant items are on the ground floor?</x:v>
      </x:c>
      <x:c r="D647" s="6" t="str">
        <x:v>2 plant items
Floor level: 0</x:v>
      </x:c>
      <x:c r="E647" s="6" t="str">
        <x:v>Reference supplied</x:v>
      </x:c>
      <x:c r="F647" s="6" t="str">
        <x:v>train</x:v>
      </x:c>
      <x:c r="G647" s="6" t="str">
        <x:v>resplan-553</x:v>
      </x:c>
      <x:c r="H647" s="6" t="str">
        <x:v>resplan-553-Q04</x:v>
      </x:c>
      <x:c r="I647" s="6" t="str">
        <x:v>Find and count assets</x:v>
      </x:c>
      <x:c r="J647" s="6" t="str">
        <x:v>Warm-up</x:v>
      </x:c>
      <x:c r="K647" s="6" t="str">
        <x:v>An exact integer count with the scope stated in prose.</x:v>
      </x:c>
      <x:c r="L647" s="6" t="str">
        <x:v>T02, T03</x:v>
      </x:c>
      <x:c r="M647" s="6" t="str">
        <x:v>Count all items of a requested type on one floor.</x:v>
      </x:c>
      <x:c r="N647" s="6" t="str">
        <x:v>{"count":2,"asset_type":"plant","floor_level":0}</x:v>
      </x:c>
      <x:c r="O647" s="6"/>
      <x:c r="P647" s="6" t="str">
        <x:v>Exact asset type and target floor. Count complete collection.</x:v>
      </x:c>
      <x:c r="Q647" s="15" t="n">
        <x:v>2</x:v>
      </x:c>
      <x:c r="R647" s="6" t="str">
        <x:v>items</x:v>
      </x:c>
      <x:c r="S647" s="16"/>
      <x:c r="T647" s="15"/>
      <x:c r="U647" s="6"/>
      <x:c r="V647" s="6"/>
      <x:c r="W647" s="6" t="str">
        <x:v>No dedicated counting tool. search_building exposes matches but returns at most 15 results.</x:v>
      </x:c>
      <x:c r="X647" s="6" t="str">
        <x:v>data/train/resplan-553/questions_basic.jsonl</x:v>
      </x:c>
      <x:c r="Y647" s="14" t="n">
        <x:v>4</x:v>
      </x:c>
      <x:c r="Z647" s="6" t="str">
        <x:v>https://github.com/hagenhaeussler/Industrial-Agents-Hackathon-2026/blob/f41616590b69f3ea0c1cbfb41d6c35edd9ce53df/data/train/resplan-553/questions_basic.jsonl#L4</x:v>
      </x:c>
      <x:c r="AA647" s="6" t="str">
        <x:v>resplan</x:v>
      </x:c>
      <x:c r="AB647" s="6" t="str">
        <x:v>CC-BY-4.0</x:v>
      </x:c>
    </x:row>
    <x:row r="648" ht="72" customHeight="1">
      <x:c r="A648" s="14" t="n">
        <x:v>643</x:v>
      </x:c>
      <x:c r="B648" s="6" t="str">
        <x:v>count</x:v>
      </x:c>
      <x:c r="C648" s="6" t="str">
        <x:v>How many sink items are on the ground floor?</x:v>
      </x:c>
      <x:c r="D648" s="6" t="str">
        <x:v>2 sink items
Floor level: 0</x:v>
      </x:c>
      <x:c r="E648" s="6" t="str">
        <x:v>Reference supplied</x:v>
      </x:c>
      <x:c r="F648" s="6" t="str">
        <x:v>train</x:v>
      </x:c>
      <x:c r="G648" s="6" t="str">
        <x:v>resplan-56</x:v>
      </x:c>
      <x:c r="H648" s="6" t="str">
        <x:v>resplan-56-Q04</x:v>
      </x:c>
      <x:c r="I648" s="6" t="str">
        <x:v>Find and count assets</x:v>
      </x:c>
      <x:c r="J648" s="6" t="str">
        <x:v>Warm-up</x:v>
      </x:c>
      <x:c r="K648" s="6" t="str">
        <x:v>An exact integer count with the scope stated in prose.</x:v>
      </x:c>
      <x:c r="L648" s="6" t="str">
        <x:v>T02, T03</x:v>
      </x:c>
      <x:c r="M648" s="6" t="str">
        <x:v>Count all items of a requested type on one floor.</x:v>
      </x:c>
      <x:c r="N648" s="6" t="str">
        <x:v>{"count":2,"asset_type":"sink","floor_level":0}</x:v>
      </x:c>
      <x:c r="O648" s="6"/>
      <x:c r="P648" s="6" t="str">
        <x:v>Exact asset type and target floor. Count complete collection.</x:v>
      </x:c>
      <x:c r="Q648" s="15" t="n">
        <x:v>2</x:v>
      </x:c>
      <x:c r="R648" s="6" t="str">
        <x:v>items</x:v>
      </x:c>
      <x:c r="S648" s="16"/>
      <x:c r="T648" s="15"/>
      <x:c r="U648" s="6"/>
      <x:c r="V648" s="6"/>
      <x:c r="W648" s="6" t="str">
        <x:v>No dedicated counting tool. search_building exposes matches but returns at most 15 results.</x:v>
      </x:c>
      <x:c r="X648" s="6" t="str">
        <x:v>data/train/resplan-56/questions_basic.jsonl</x:v>
      </x:c>
      <x:c r="Y648" s="14" t="n">
        <x:v>4</x:v>
      </x:c>
      <x:c r="Z648" s="6" t="str">
        <x:v>https://github.com/hagenhaeussler/Industrial-Agents-Hackathon-2026/blob/f41616590b69f3ea0c1cbfb41d6c35edd9ce53df/data/train/resplan-56/questions_basic.jsonl#L4</x:v>
      </x:c>
      <x:c r="AA648" s="6" t="str">
        <x:v>resplan</x:v>
      </x:c>
      <x:c r="AB648" s="6" t="str">
        <x:v>CC-BY-4.0</x:v>
      </x:c>
    </x:row>
    <x:row r="649" ht="72" customHeight="1">
      <x:c r="A649" s="14" t="n">
        <x:v>644</x:v>
      </x:c>
      <x:c r="B649" s="6" t="str">
        <x:v>count</x:v>
      </x:c>
      <x:c r="C649" s="6" t="str">
        <x:v>How many outdoor chair items are on the ground floor?</x:v>
      </x:c>
      <x:c r="D649" s="6" t="str">
        <x:v>2 outdoor_chair items
Floor level: 0</x:v>
      </x:c>
      <x:c r="E649" s="6" t="str">
        <x:v>Reference supplied</x:v>
      </x:c>
      <x:c r="F649" s="6" t="str">
        <x:v>train</x:v>
      </x:c>
      <x:c r="G649" s="6" t="str">
        <x:v>resplan-5783</x:v>
      </x:c>
      <x:c r="H649" s="6" t="str">
        <x:v>resplan-5783-Q04</x:v>
      </x:c>
      <x:c r="I649" s="6" t="str">
        <x:v>Find and count assets</x:v>
      </x:c>
      <x:c r="J649" s="6" t="str">
        <x:v>Warm-up</x:v>
      </x:c>
      <x:c r="K649" s="6" t="str">
        <x:v>An exact integer count with the scope stated in prose.</x:v>
      </x:c>
      <x:c r="L649" s="6" t="str">
        <x:v>T02, T03</x:v>
      </x:c>
      <x:c r="M649" s="6" t="str">
        <x:v>Count all items of a requested type on one floor.</x:v>
      </x:c>
      <x:c r="N649" s="6" t="str">
        <x:v>{"count":2,"asset_type":"outdoor_chair","floor_level":0}</x:v>
      </x:c>
      <x:c r="O649" s="6"/>
      <x:c r="P649" s="6" t="str">
        <x:v>Exact asset type and target floor. Count complete collection.</x:v>
      </x:c>
      <x:c r="Q649" s="15" t="n">
        <x:v>2</x:v>
      </x:c>
      <x:c r="R649" s="6" t="str">
        <x:v>items</x:v>
      </x:c>
      <x:c r="S649" s="16"/>
      <x:c r="T649" s="15"/>
      <x:c r="U649" s="6"/>
      <x:c r="V649" s="6"/>
      <x:c r="W649" s="6" t="str">
        <x:v>No dedicated counting tool. search_building exposes matches but returns at most 15 results.</x:v>
      </x:c>
      <x:c r="X649" s="6" t="str">
        <x:v>data/train/resplan-5783/questions_basic.jsonl</x:v>
      </x:c>
      <x:c r="Y649" s="14" t="n">
        <x:v>4</x:v>
      </x:c>
      <x:c r="Z649" s="6" t="str">
        <x:v>https://github.com/hagenhaeussler/Industrial-Agents-Hackathon-2026/blob/f41616590b69f3ea0c1cbfb41d6c35edd9ce53df/data/train/resplan-5783/questions_basic.jsonl#L4</x:v>
      </x:c>
      <x:c r="AA649" s="6" t="str">
        <x:v>resplan</x:v>
      </x:c>
      <x:c r="AB649" s="6" t="str">
        <x:v>CC-BY-4.0</x:v>
      </x:c>
    </x:row>
    <x:row r="650" ht="72" customHeight="1">
      <x:c r="A650" s="14" t="n">
        <x:v>645</x:v>
      </x:c>
      <x:c r="B650" s="6" t="str">
        <x:v>count</x:v>
      </x:c>
      <x:c r="C650" s="6" t="str">
        <x:v>How many toilet items are on the ground floor?</x:v>
      </x:c>
      <x:c r="D650" s="6" t="str">
        <x:v>2 toilet items
Floor level: 0</x:v>
      </x:c>
      <x:c r="E650" s="6" t="str">
        <x:v>Reference supplied</x:v>
      </x:c>
      <x:c r="F650" s="6" t="str">
        <x:v>train</x:v>
      </x:c>
      <x:c r="G650" s="6" t="str">
        <x:v>resplan-5871</x:v>
      </x:c>
      <x:c r="H650" s="6" t="str">
        <x:v>resplan-5871-Q04</x:v>
      </x:c>
      <x:c r="I650" s="6" t="str">
        <x:v>Find and count assets</x:v>
      </x:c>
      <x:c r="J650" s="6" t="str">
        <x:v>Warm-up</x:v>
      </x:c>
      <x:c r="K650" s="6" t="str">
        <x:v>An exact integer count with the scope stated in prose.</x:v>
      </x:c>
      <x:c r="L650" s="6" t="str">
        <x:v>T02, T03</x:v>
      </x:c>
      <x:c r="M650" s="6" t="str">
        <x:v>Count all items of a requested type on one floor.</x:v>
      </x:c>
      <x:c r="N650" s="6" t="str">
        <x:v>{"count":2,"asset_type":"toilet","floor_level":0}</x:v>
      </x:c>
      <x:c r="O650" s="6"/>
      <x:c r="P650" s="6" t="str">
        <x:v>Exact asset type and target floor. Count complete collection.</x:v>
      </x:c>
      <x:c r="Q650" s="15" t="n">
        <x:v>2</x:v>
      </x:c>
      <x:c r="R650" s="6" t="str">
        <x:v>items</x:v>
      </x:c>
      <x:c r="S650" s="16"/>
      <x:c r="T650" s="15"/>
      <x:c r="U650" s="6"/>
      <x:c r="V650" s="6"/>
      <x:c r="W650" s="6" t="str">
        <x:v>No dedicated counting tool. search_building exposes matches but returns at most 15 results.</x:v>
      </x:c>
      <x:c r="X650" s="6" t="str">
        <x:v>data/train/resplan-5871/questions_basic.jsonl</x:v>
      </x:c>
      <x:c r="Y650" s="14" t="n">
        <x:v>4</x:v>
      </x:c>
      <x:c r="Z650" s="6" t="str">
        <x:v>https://github.com/hagenhaeussler/Industrial-Agents-Hackathon-2026/blob/f41616590b69f3ea0c1cbfb41d6c35edd9ce53df/data/train/resplan-5871/questions_basic.jsonl#L4</x:v>
      </x:c>
      <x:c r="AA650" s="6" t="str">
        <x:v>resplan</x:v>
      </x:c>
      <x:c r="AB650" s="6" t="str">
        <x:v>CC-BY-4.0</x:v>
      </x:c>
    </x:row>
    <x:row r="651" ht="72" customHeight="1">
      <x:c r="A651" s="14" t="n">
        <x:v>646</x:v>
      </x:c>
      <x:c r="B651" s="6" t="str">
        <x:v>count</x:v>
      </x:c>
      <x:c r="C651" s="6" t="str">
        <x:v>How many wardrobe items are on the ground floor?</x:v>
      </x:c>
      <x:c r="D651" s="6" t="str">
        <x:v>3 wardrobe items
Floor level: 0</x:v>
      </x:c>
      <x:c r="E651" s="6" t="str">
        <x:v>Reference supplied</x:v>
      </x:c>
      <x:c r="F651" s="6" t="str">
        <x:v>train</x:v>
      </x:c>
      <x:c r="G651" s="6" t="str">
        <x:v>resplan-6242</x:v>
      </x:c>
      <x:c r="H651" s="6" t="str">
        <x:v>resplan-6242-Q04</x:v>
      </x:c>
      <x:c r="I651" s="6" t="str">
        <x:v>Find and count assets</x:v>
      </x:c>
      <x:c r="J651" s="6" t="str">
        <x:v>Warm-up</x:v>
      </x:c>
      <x:c r="K651" s="6" t="str">
        <x:v>An exact integer count with the scope stated in prose.</x:v>
      </x:c>
      <x:c r="L651" s="6" t="str">
        <x:v>T02, T03</x:v>
      </x:c>
      <x:c r="M651" s="6" t="str">
        <x:v>Count all items of a requested type on one floor.</x:v>
      </x:c>
      <x:c r="N651" s="6" t="str">
        <x:v>{"count":3,"asset_type":"wardrobe","floor_level":0}</x:v>
      </x:c>
      <x:c r="O651" s="6"/>
      <x:c r="P651" s="6" t="str">
        <x:v>Exact asset type and target floor. Count complete collection.</x:v>
      </x:c>
      <x:c r="Q651" s="15" t="n">
        <x:v>3</x:v>
      </x:c>
      <x:c r="R651" s="6" t="str">
        <x:v>items</x:v>
      </x:c>
      <x:c r="S651" s="16"/>
      <x:c r="T651" s="15"/>
      <x:c r="U651" s="6"/>
      <x:c r="V651" s="6"/>
      <x:c r="W651" s="6" t="str">
        <x:v>No dedicated counting tool. search_building exposes matches but returns at most 15 results.</x:v>
      </x:c>
      <x:c r="X651" s="6" t="str">
        <x:v>data/train/resplan-6242/questions_basic.jsonl</x:v>
      </x:c>
      <x:c r="Y651" s="14" t="n">
        <x:v>4</x:v>
      </x:c>
      <x:c r="Z651" s="6" t="str">
        <x:v>https://github.com/hagenhaeussler/Industrial-Agents-Hackathon-2026/blob/f41616590b69f3ea0c1cbfb41d6c35edd9ce53df/data/train/resplan-6242/questions_basic.jsonl#L4</x:v>
      </x:c>
      <x:c r="AA651" s="6" t="str">
        <x:v>resplan</x:v>
      </x:c>
      <x:c r="AB651" s="6" t="str">
        <x:v>CC-BY-4.0</x:v>
      </x:c>
    </x:row>
    <x:row r="652" ht="72" customHeight="1">
      <x:c r="A652" s="14" t="n">
        <x:v>647</x:v>
      </x:c>
      <x:c r="B652" s="6" t="str">
        <x:v>count</x:v>
      </x:c>
      <x:c r="C652" s="6" t="str">
        <x:v>How many wardrobe items are on the ground floor?</x:v>
      </x:c>
      <x:c r="D652" s="6" t="str">
        <x:v>2 wardrobe items
Floor level: 0</x:v>
      </x:c>
      <x:c r="E652" s="6" t="str">
        <x:v>Reference supplied</x:v>
      </x:c>
      <x:c r="F652" s="6" t="str">
        <x:v>train</x:v>
      </x:c>
      <x:c r="G652" s="6" t="str">
        <x:v>resplan-6565</x:v>
      </x:c>
      <x:c r="H652" s="6" t="str">
        <x:v>resplan-6565-Q04</x:v>
      </x:c>
      <x:c r="I652" s="6" t="str">
        <x:v>Find and count assets</x:v>
      </x:c>
      <x:c r="J652" s="6" t="str">
        <x:v>Warm-up</x:v>
      </x:c>
      <x:c r="K652" s="6" t="str">
        <x:v>An exact integer count with the scope stated in prose.</x:v>
      </x:c>
      <x:c r="L652" s="6" t="str">
        <x:v>T02, T03</x:v>
      </x:c>
      <x:c r="M652" s="6" t="str">
        <x:v>Count all items of a requested type on one floor.</x:v>
      </x:c>
      <x:c r="N652" s="6" t="str">
        <x:v>{"count":2,"asset_type":"wardrobe","floor_level":0}</x:v>
      </x:c>
      <x:c r="O652" s="6"/>
      <x:c r="P652" s="6" t="str">
        <x:v>Exact asset type and target floor. Count complete collection.</x:v>
      </x:c>
      <x:c r="Q652" s="15" t="n">
        <x:v>2</x:v>
      </x:c>
      <x:c r="R652" s="6" t="str">
        <x:v>items</x:v>
      </x:c>
      <x:c r="S652" s="16"/>
      <x:c r="T652" s="15"/>
      <x:c r="U652" s="6"/>
      <x:c r="V652" s="6"/>
      <x:c r="W652" s="6" t="str">
        <x:v>No dedicated counting tool. search_building exposes matches but returns at most 15 results.</x:v>
      </x:c>
      <x:c r="X652" s="6" t="str">
        <x:v>data/train/resplan-6565/questions_basic.jsonl</x:v>
      </x:c>
      <x:c r="Y652" s="14" t="n">
        <x:v>4</x:v>
      </x:c>
      <x:c r="Z652" s="6" t="str">
        <x:v>https://github.com/hagenhaeussler/Industrial-Agents-Hackathon-2026/blob/f41616590b69f3ea0c1cbfb41d6c35edd9ce53df/data/train/resplan-6565/questions_basic.jsonl#L4</x:v>
      </x:c>
      <x:c r="AA652" s="6" t="str">
        <x:v>resplan</x:v>
      </x:c>
      <x:c r="AB652" s="6" t="str">
        <x:v>CC-BY-4.0</x:v>
      </x:c>
    </x:row>
    <x:row r="653" ht="72" customHeight="1">
      <x:c r="A653" s="14" t="n">
        <x:v>648</x:v>
      </x:c>
      <x:c r="B653" s="6" t="str">
        <x:v>count</x:v>
      </x:c>
      <x:c r="C653" s="6" t="str">
        <x:v>How many nightstand items are on the ground floor?</x:v>
      </x:c>
      <x:c r="D653" s="6" t="str">
        <x:v>4 nightstand items
Floor level: 0</x:v>
      </x:c>
      <x:c r="E653" s="6" t="str">
        <x:v>Reference supplied</x:v>
      </x:c>
      <x:c r="F653" s="6" t="str">
        <x:v>train</x:v>
      </x:c>
      <x:c r="G653" s="6" t="str">
        <x:v>resplan-666</x:v>
      </x:c>
      <x:c r="H653" s="6" t="str">
        <x:v>resplan-666-Q04</x:v>
      </x:c>
      <x:c r="I653" s="6" t="str">
        <x:v>Find and count assets</x:v>
      </x:c>
      <x:c r="J653" s="6" t="str">
        <x:v>Warm-up</x:v>
      </x:c>
      <x:c r="K653" s="6" t="str">
        <x:v>An exact integer count with the scope stated in prose.</x:v>
      </x:c>
      <x:c r="L653" s="6" t="str">
        <x:v>T02, T03</x:v>
      </x:c>
      <x:c r="M653" s="6" t="str">
        <x:v>Count all items of a requested type on one floor.</x:v>
      </x:c>
      <x:c r="N653" s="6" t="str">
        <x:v>{"count":4,"asset_type":"nightstand","floor_level":0}</x:v>
      </x:c>
      <x:c r="O653" s="6"/>
      <x:c r="P653" s="6" t="str">
        <x:v>Exact asset type and target floor. Count complete collection.</x:v>
      </x:c>
      <x:c r="Q653" s="15" t="n">
        <x:v>4</x:v>
      </x:c>
      <x:c r="R653" s="6" t="str">
        <x:v>items</x:v>
      </x:c>
      <x:c r="S653" s="16"/>
      <x:c r="T653" s="15"/>
      <x:c r="U653" s="6"/>
      <x:c r="V653" s="6"/>
      <x:c r="W653" s="6" t="str">
        <x:v>No dedicated counting tool. search_building exposes matches but returns at most 15 results.</x:v>
      </x:c>
      <x:c r="X653" s="6" t="str">
        <x:v>data/train/resplan-666/questions_basic.jsonl</x:v>
      </x:c>
      <x:c r="Y653" s="14" t="n">
        <x:v>4</x:v>
      </x:c>
      <x:c r="Z653" s="6" t="str">
        <x:v>https://github.com/hagenhaeussler/Industrial-Agents-Hackathon-2026/blob/f41616590b69f3ea0c1cbfb41d6c35edd9ce53df/data/train/resplan-666/questions_basic.jsonl#L4</x:v>
      </x:c>
      <x:c r="AA653" s="6" t="str">
        <x:v>resplan</x:v>
      </x:c>
      <x:c r="AB653" s="6" t="str">
        <x:v>CC-BY-4.0</x:v>
      </x:c>
    </x:row>
    <x:row r="654" ht="72" customHeight="1">
      <x:c r="A654" s="14" t="n">
        <x:v>649</x:v>
      </x:c>
      <x:c r="B654" s="6" t="str">
        <x:v>count</x:v>
      </x:c>
      <x:c r="C654" s="6" t="str">
        <x:v>How many wardrobe items are on the ground floor?</x:v>
      </x:c>
      <x:c r="D654" s="6" t="str">
        <x:v>3 wardrobe items
Floor level: 0</x:v>
      </x:c>
      <x:c r="E654" s="6" t="str">
        <x:v>Reference supplied</x:v>
      </x:c>
      <x:c r="F654" s="6" t="str">
        <x:v>train</x:v>
      </x:c>
      <x:c r="G654" s="6" t="str">
        <x:v>resplan-6994</x:v>
      </x:c>
      <x:c r="H654" s="6" t="str">
        <x:v>resplan-6994-Q04</x:v>
      </x:c>
      <x:c r="I654" s="6" t="str">
        <x:v>Find and count assets</x:v>
      </x:c>
      <x:c r="J654" s="6" t="str">
        <x:v>Warm-up</x:v>
      </x:c>
      <x:c r="K654" s="6" t="str">
        <x:v>An exact integer count with the scope stated in prose.</x:v>
      </x:c>
      <x:c r="L654" s="6" t="str">
        <x:v>T02, T03</x:v>
      </x:c>
      <x:c r="M654" s="6" t="str">
        <x:v>Count all items of a requested type on one floor.</x:v>
      </x:c>
      <x:c r="N654" s="6" t="str">
        <x:v>{"count":3,"asset_type":"wardrobe","floor_level":0}</x:v>
      </x:c>
      <x:c r="O654" s="6"/>
      <x:c r="P654" s="6" t="str">
        <x:v>Exact asset type and target floor. Count complete collection.</x:v>
      </x:c>
      <x:c r="Q654" s="15" t="n">
        <x:v>3</x:v>
      </x:c>
      <x:c r="R654" s="6" t="str">
        <x:v>items</x:v>
      </x:c>
      <x:c r="S654" s="16"/>
      <x:c r="T654" s="15"/>
      <x:c r="U654" s="6"/>
      <x:c r="V654" s="6"/>
      <x:c r="W654" s="6" t="str">
        <x:v>No dedicated counting tool. search_building exposes matches but returns at most 15 results.</x:v>
      </x:c>
      <x:c r="X654" s="6" t="str">
        <x:v>data/train/resplan-6994/questions_basic.jsonl</x:v>
      </x:c>
      <x:c r="Y654" s="14" t="n">
        <x:v>4</x:v>
      </x:c>
      <x:c r="Z654" s="6" t="str">
        <x:v>https://github.com/hagenhaeussler/Industrial-Agents-Hackathon-2026/blob/f41616590b69f3ea0c1cbfb41d6c35edd9ce53df/data/train/resplan-6994/questions_basic.jsonl#L4</x:v>
      </x:c>
      <x:c r="AA654" s="6" t="str">
        <x:v>resplan</x:v>
      </x:c>
      <x:c r="AB654" s="6" t="str">
        <x:v>CC-BY-4.0</x:v>
      </x:c>
    </x:row>
    <x:row r="655" ht="72" customHeight="1">
      <x:c r="A655" s="14" t="n">
        <x:v>650</x:v>
      </x:c>
      <x:c r="B655" s="6" t="str">
        <x:v>count</x:v>
      </x:c>
      <x:c r="C655" s="6" t="str">
        <x:v>How many toilet items are on the ground floor?</x:v>
      </x:c>
      <x:c r="D655" s="6" t="str">
        <x:v>2 toilet items
Floor level: 0</x:v>
      </x:c>
      <x:c r="E655" s="6" t="str">
        <x:v>Reference supplied</x:v>
      </x:c>
      <x:c r="F655" s="6" t="str">
        <x:v>train</x:v>
      </x:c>
      <x:c r="G655" s="6" t="str">
        <x:v>resplan-7151</x:v>
      </x:c>
      <x:c r="H655" s="6" t="str">
        <x:v>resplan-7151-Q04</x:v>
      </x:c>
      <x:c r="I655" s="6" t="str">
        <x:v>Find and count assets</x:v>
      </x:c>
      <x:c r="J655" s="6" t="str">
        <x:v>Warm-up</x:v>
      </x:c>
      <x:c r="K655" s="6" t="str">
        <x:v>An exact integer count with the scope stated in prose.</x:v>
      </x:c>
      <x:c r="L655" s="6" t="str">
        <x:v>T02, T03</x:v>
      </x:c>
      <x:c r="M655" s="6" t="str">
        <x:v>Count all items of a requested type on one floor.</x:v>
      </x:c>
      <x:c r="N655" s="6" t="str">
        <x:v>{"count":2,"asset_type":"toilet","floor_level":0}</x:v>
      </x:c>
      <x:c r="O655" s="6"/>
      <x:c r="P655" s="6" t="str">
        <x:v>Exact asset type and target floor. Count complete collection.</x:v>
      </x:c>
      <x:c r="Q655" s="15" t="n">
        <x:v>2</x:v>
      </x:c>
      <x:c r="R655" s="6" t="str">
        <x:v>items</x:v>
      </x:c>
      <x:c r="S655" s="16"/>
      <x:c r="T655" s="15"/>
      <x:c r="U655" s="6"/>
      <x:c r="V655" s="6"/>
      <x:c r="W655" s="6" t="str">
        <x:v>No dedicated counting tool. search_building exposes matches but returns at most 15 results.</x:v>
      </x:c>
      <x:c r="X655" s="6" t="str">
        <x:v>data/train/resplan-7151/questions_basic.jsonl</x:v>
      </x:c>
      <x:c r="Y655" s="14" t="n">
        <x:v>4</x:v>
      </x:c>
      <x:c r="Z655" s="6" t="str">
        <x:v>https://github.com/hagenhaeussler/Industrial-Agents-Hackathon-2026/blob/f41616590b69f3ea0c1cbfb41d6c35edd9ce53df/data/train/resplan-7151/questions_basic.jsonl#L4</x:v>
      </x:c>
      <x:c r="AA655" s="6" t="str">
        <x:v>resplan</x:v>
      </x:c>
      <x:c r="AB655" s="6" t="str">
        <x:v>CC-BY-4.0</x:v>
      </x:c>
    </x:row>
    <x:row r="656" ht="72" customHeight="1">
      <x:c r="A656" s="14" t="n">
        <x:v>651</x:v>
      </x:c>
      <x:c r="B656" s="6" t="str">
        <x:v>count</x:v>
      </x:c>
      <x:c r="C656" s="6" t="str">
        <x:v>How many single bed items are on the ground floor?</x:v>
      </x:c>
      <x:c r="D656" s="6" t="str">
        <x:v>2 single_bed items
Floor level: 0</x:v>
      </x:c>
      <x:c r="E656" s="6" t="str">
        <x:v>Reference supplied</x:v>
      </x:c>
      <x:c r="F656" s="6" t="str">
        <x:v>train</x:v>
      </x:c>
      <x:c r="G656" s="6" t="str">
        <x:v>resplan-7471</x:v>
      </x:c>
      <x:c r="H656" s="6" t="str">
        <x:v>resplan-7471-Q04</x:v>
      </x:c>
      <x:c r="I656" s="6" t="str">
        <x:v>Find and count assets</x:v>
      </x:c>
      <x:c r="J656" s="6" t="str">
        <x:v>Warm-up</x:v>
      </x:c>
      <x:c r="K656" s="6" t="str">
        <x:v>An exact integer count with the scope stated in prose.</x:v>
      </x:c>
      <x:c r="L656" s="6" t="str">
        <x:v>T02, T03</x:v>
      </x:c>
      <x:c r="M656" s="6" t="str">
        <x:v>Count all items of a requested type on one floor.</x:v>
      </x:c>
      <x:c r="N656" s="6" t="str">
        <x:v>{"count":2,"asset_type":"single_bed","floor_level":0}</x:v>
      </x:c>
      <x:c r="O656" s="6"/>
      <x:c r="P656" s="6" t="str">
        <x:v>Exact asset type and target floor. Count complete collection.</x:v>
      </x:c>
      <x:c r="Q656" s="15" t="n">
        <x:v>2</x:v>
      </x:c>
      <x:c r="R656" s="6" t="str">
        <x:v>items</x:v>
      </x:c>
      <x:c r="S656" s="16"/>
      <x:c r="T656" s="15"/>
      <x:c r="U656" s="6"/>
      <x:c r="V656" s="6"/>
      <x:c r="W656" s="6" t="str">
        <x:v>No dedicated counting tool. search_building exposes matches but returns at most 15 results.</x:v>
      </x:c>
      <x:c r="X656" s="6" t="str">
        <x:v>data/train/resplan-7471/questions_basic.jsonl</x:v>
      </x:c>
      <x:c r="Y656" s="14" t="n">
        <x:v>4</x:v>
      </x:c>
      <x:c r="Z656" s="6" t="str">
        <x:v>https://github.com/hagenhaeussler/Industrial-Agents-Hackathon-2026/blob/f41616590b69f3ea0c1cbfb41d6c35edd9ce53df/data/train/resplan-7471/questions_basic.jsonl#L4</x:v>
      </x:c>
      <x:c r="AA656" s="6" t="str">
        <x:v>resplan</x:v>
      </x:c>
      <x:c r="AB656" s="6" t="str">
        <x:v>CC-BY-4.0</x:v>
      </x:c>
    </x:row>
    <x:row r="657" ht="72" customHeight="1">
      <x:c r="A657" s="14" t="n">
        <x:v>652</x:v>
      </x:c>
      <x:c r="B657" s="6" t="str">
        <x:v>count</x:v>
      </x:c>
      <x:c r="C657" s="6" t="str">
        <x:v>How many bookshelf items are on the ground floor?</x:v>
      </x:c>
      <x:c r="D657" s="6" t="str">
        <x:v>2 bookshelf items
Floor level: 0</x:v>
      </x:c>
      <x:c r="E657" s="6" t="str">
        <x:v>Reference supplied</x:v>
      </x:c>
      <x:c r="F657" s="6" t="str">
        <x:v>train</x:v>
      </x:c>
      <x:c r="G657" s="6" t="str">
        <x:v>resplan-7667</x:v>
      </x:c>
      <x:c r="H657" s="6" t="str">
        <x:v>resplan-7667-Q04</x:v>
      </x:c>
      <x:c r="I657" s="6" t="str">
        <x:v>Find and count assets</x:v>
      </x:c>
      <x:c r="J657" s="6" t="str">
        <x:v>Warm-up</x:v>
      </x:c>
      <x:c r="K657" s="6" t="str">
        <x:v>An exact integer count with the scope stated in prose.</x:v>
      </x:c>
      <x:c r="L657" s="6" t="str">
        <x:v>T02, T03</x:v>
      </x:c>
      <x:c r="M657" s="6" t="str">
        <x:v>Count all items of a requested type on one floor.</x:v>
      </x:c>
      <x:c r="N657" s="6" t="str">
        <x:v>{"count":2,"asset_type":"bookshelf","floor_level":0}</x:v>
      </x:c>
      <x:c r="O657" s="6"/>
      <x:c r="P657" s="6" t="str">
        <x:v>Exact asset type and target floor. Count complete collection.</x:v>
      </x:c>
      <x:c r="Q657" s="15" t="n">
        <x:v>2</x:v>
      </x:c>
      <x:c r="R657" s="6" t="str">
        <x:v>items</x:v>
      </x:c>
      <x:c r="S657" s="16"/>
      <x:c r="T657" s="15"/>
      <x:c r="U657" s="6"/>
      <x:c r="V657" s="6"/>
      <x:c r="W657" s="6" t="str">
        <x:v>No dedicated counting tool. search_building exposes matches but returns at most 15 results.</x:v>
      </x:c>
      <x:c r="X657" s="6" t="str">
        <x:v>data/train/resplan-7667/questions_basic.jsonl</x:v>
      </x:c>
      <x:c r="Y657" s="14" t="n">
        <x:v>4</x:v>
      </x:c>
      <x:c r="Z657" s="6" t="str">
        <x:v>https://github.com/hagenhaeussler/Industrial-Agents-Hackathon-2026/blob/f41616590b69f3ea0c1cbfb41d6c35edd9ce53df/data/train/resplan-7667/questions_basic.jsonl#L4</x:v>
      </x:c>
      <x:c r="AA657" s="6" t="str">
        <x:v>resplan</x:v>
      </x:c>
      <x:c r="AB657" s="6" t="str">
        <x:v>CC-BY-4.0</x:v>
      </x:c>
    </x:row>
    <x:row r="658" ht="72" customHeight="1">
      <x:c r="A658" s="14" t="n">
        <x:v>653</x:v>
      </x:c>
      <x:c r="B658" s="6" t="str">
        <x:v>count</x:v>
      </x:c>
      <x:c r="C658" s="6" t="str">
        <x:v>How many nightstand items are on the ground floor?</x:v>
      </x:c>
      <x:c r="D658" s="6" t="str">
        <x:v>4 nightstand items
Floor level: 0</x:v>
      </x:c>
      <x:c r="E658" s="6" t="str">
        <x:v>Reference supplied</x:v>
      </x:c>
      <x:c r="F658" s="6" t="str">
        <x:v>train</x:v>
      </x:c>
      <x:c r="G658" s="6" t="str">
        <x:v>resplan-7709</x:v>
      </x:c>
      <x:c r="H658" s="6" t="str">
        <x:v>resplan-7709-Q04</x:v>
      </x:c>
      <x:c r="I658" s="6" t="str">
        <x:v>Find and count assets</x:v>
      </x:c>
      <x:c r="J658" s="6" t="str">
        <x:v>Warm-up</x:v>
      </x:c>
      <x:c r="K658" s="6" t="str">
        <x:v>An exact integer count with the scope stated in prose.</x:v>
      </x:c>
      <x:c r="L658" s="6" t="str">
        <x:v>T02, T03</x:v>
      </x:c>
      <x:c r="M658" s="6" t="str">
        <x:v>Count all items of a requested type on one floor.</x:v>
      </x:c>
      <x:c r="N658" s="6" t="str">
        <x:v>{"count":4,"asset_type":"nightstand","floor_level":0}</x:v>
      </x:c>
      <x:c r="O658" s="6"/>
      <x:c r="P658" s="6" t="str">
        <x:v>Exact asset type and target floor. Count complete collection.</x:v>
      </x:c>
      <x:c r="Q658" s="15" t="n">
        <x:v>4</x:v>
      </x:c>
      <x:c r="R658" s="6" t="str">
        <x:v>items</x:v>
      </x:c>
      <x:c r="S658" s="16"/>
      <x:c r="T658" s="15"/>
      <x:c r="U658" s="6"/>
      <x:c r="V658" s="6"/>
      <x:c r="W658" s="6" t="str">
        <x:v>No dedicated counting tool. search_building exposes matches but returns at most 15 results.</x:v>
      </x:c>
      <x:c r="X658" s="6" t="str">
        <x:v>data/train/resplan-7709/questions_basic.jsonl</x:v>
      </x:c>
      <x:c r="Y658" s="14" t="n">
        <x:v>4</x:v>
      </x:c>
      <x:c r="Z658" s="6" t="str">
        <x:v>https://github.com/hagenhaeussler/Industrial-Agents-Hackathon-2026/blob/f41616590b69f3ea0c1cbfb41d6c35edd9ce53df/data/train/resplan-7709/questions_basic.jsonl#L4</x:v>
      </x:c>
      <x:c r="AA658" s="6" t="str">
        <x:v>resplan</x:v>
      </x:c>
      <x:c r="AB658" s="6" t="str">
        <x:v>CC-BY-4.0</x:v>
      </x:c>
    </x:row>
    <x:row r="659" ht="72" customHeight="1">
      <x:c r="A659" s="14" t="n">
        <x:v>654</x:v>
      </x:c>
      <x:c r="B659" s="6" t="str">
        <x:v>count</x:v>
      </x:c>
      <x:c r="C659" s="6" t="str">
        <x:v>How many shower items are on the ground floor?</x:v>
      </x:c>
      <x:c r="D659" s="6" t="str">
        <x:v>2 shower items
Floor level: 0</x:v>
      </x:c>
      <x:c r="E659" s="6" t="str">
        <x:v>Reference supplied</x:v>
      </x:c>
      <x:c r="F659" s="6" t="str">
        <x:v>train</x:v>
      </x:c>
      <x:c r="G659" s="6" t="str">
        <x:v>resplan-7948</x:v>
      </x:c>
      <x:c r="H659" s="6" t="str">
        <x:v>resplan-7948-Q04</x:v>
      </x:c>
      <x:c r="I659" s="6" t="str">
        <x:v>Find and count assets</x:v>
      </x:c>
      <x:c r="J659" s="6" t="str">
        <x:v>Warm-up</x:v>
      </x:c>
      <x:c r="K659" s="6" t="str">
        <x:v>An exact integer count with the scope stated in prose.</x:v>
      </x:c>
      <x:c r="L659" s="6" t="str">
        <x:v>T02, T03</x:v>
      </x:c>
      <x:c r="M659" s="6" t="str">
        <x:v>Count all items of a requested type on one floor.</x:v>
      </x:c>
      <x:c r="N659" s="6" t="str">
        <x:v>{"count":2,"asset_type":"shower","floor_level":0}</x:v>
      </x:c>
      <x:c r="O659" s="6"/>
      <x:c r="P659" s="6" t="str">
        <x:v>Exact asset type and target floor. Count complete collection.</x:v>
      </x:c>
      <x:c r="Q659" s="15" t="n">
        <x:v>2</x:v>
      </x:c>
      <x:c r="R659" s="6" t="str">
        <x:v>items</x:v>
      </x:c>
      <x:c r="S659" s="16"/>
      <x:c r="T659" s="15"/>
      <x:c r="U659" s="6"/>
      <x:c r="V659" s="6"/>
      <x:c r="W659" s="6" t="str">
        <x:v>No dedicated counting tool. search_building exposes matches but returns at most 15 results.</x:v>
      </x:c>
      <x:c r="X659" s="6" t="str">
        <x:v>data/train/resplan-7948/questions_basic.jsonl</x:v>
      </x:c>
      <x:c r="Y659" s="14" t="n">
        <x:v>4</x:v>
      </x:c>
      <x:c r="Z659" s="6" t="str">
        <x:v>https://github.com/hagenhaeussler/Industrial-Agents-Hackathon-2026/blob/f41616590b69f3ea0c1cbfb41d6c35edd9ce53df/data/train/resplan-7948/questions_basic.jsonl#L4</x:v>
      </x:c>
      <x:c r="AA659" s="6" t="str">
        <x:v>resplan</x:v>
      </x:c>
      <x:c r="AB659" s="6" t="str">
        <x:v>CC-BY-4.0</x:v>
      </x:c>
    </x:row>
    <x:row r="660" ht="72" customHeight="1">
      <x:c r="A660" s="14" t="n">
        <x:v>655</x:v>
      </x:c>
      <x:c r="B660" s="6" t="str">
        <x:v>count</x:v>
      </x:c>
      <x:c r="C660" s="6" t="str">
        <x:v>How many outdoor chair items are on the ground floor?</x:v>
      </x:c>
      <x:c r="D660" s="6" t="str">
        <x:v>2 outdoor_chair items
Floor level: 0</x:v>
      </x:c>
      <x:c r="E660" s="6" t="str">
        <x:v>Reference supplied</x:v>
      </x:c>
      <x:c r="F660" s="6" t="str">
        <x:v>train</x:v>
      </x:c>
      <x:c r="G660" s="6" t="str">
        <x:v>resplan-8006</x:v>
      </x:c>
      <x:c r="H660" s="6" t="str">
        <x:v>resplan-8006-Q04</x:v>
      </x:c>
      <x:c r="I660" s="6" t="str">
        <x:v>Find and count assets</x:v>
      </x:c>
      <x:c r="J660" s="6" t="str">
        <x:v>Warm-up</x:v>
      </x:c>
      <x:c r="K660" s="6" t="str">
        <x:v>An exact integer count with the scope stated in prose.</x:v>
      </x:c>
      <x:c r="L660" s="6" t="str">
        <x:v>T02, T03</x:v>
      </x:c>
      <x:c r="M660" s="6" t="str">
        <x:v>Count all items of a requested type on one floor.</x:v>
      </x:c>
      <x:c r="N660" s="6" t="str">
        <x:v>{"count":2,"asset_type":"outdoor_chair","floor_level":0}</x:v>
      </x:c>
      <x:c r="O660" s="6"/>
      <x:c r="P660" s="6" t="str">
        <x:v>Exact asset type and target floor. Count complete collection.</x:v>
      </x:c>
      <x:c r="Q660" s="15" t="n">
        <x:v>2</x:v>
      </x:c>
      <x:c r="R660" s="6" t="str">
        <x:v>items</x:v>
      </x:c>
      <x:c r="S660" s="16"/>
      <x:c r="T660" s="15"/>
      <x:c r="U660" s="6"/>
      <x:c r="V660" s="6"/>
      <x:c r="W660" s="6" t="str">
        <x:v>No dedicated counting tool. search_building exposes matches but returns at most 15 results.</x:v>
      </x:c>
      <x:c r="X660" s="6" t="str">
        <x:v>data/train/resplan-8006/questions_basic.jsonl</x:v>
      </x:c>
      <x:c r="Y660" s="14" t="n">
        <x:v>4</x:v>
      </x:c>
      <x:c r="Z660" s="6" t="str">
        <x:v>https://github.com/hagenhaeussler/Industrial-Agents-Hackathon-2026/blob/f41616590b69f3ea0c1cbfb41d6c35edd9ce53df/data/train/resplan-8006/questions_basic.jsonl#L4</x:v>
      </x:c>
      <x:c r="AA660" s="6" t="str">
        <x:v>resplan</x:v>
      </x:c>
      <x:c r="AB660" s="6" t="str">
        <x:v>CC-BY-4.0</x:v>
      </x:c>
    </x:row>
    <x:row r="661" ht="72" customHeight="1">
      <x:c r="A661" s="14" t="n">
        <x:v>656</x:v>
      </x:c>
      <x:c r="B661" s="6" t="str">
        <x:v>count</x:v>
      </x:c>
      <x:c r="C661" s="6" t="str">
        <x:v>How many nightstand items are on the ground floor?</x:v>
      </x:c>
      <x:c r="D661" s="6" t="str">
        <x:v>2 nightstand items
Floor level: 0</x:v>
      </x:c>
      <x:c r="E661" s="6" t="str">
        <x:v>Reference supplied</x:v>
      </x:c>
      <x:c r="F661" s="6" t="str">
        <x:v>train</x:v>
      </x:c>
      <x:c r="G661" s="6" t="str">
        <x:v>resplan-8080</x:v>
      </x:c>
      <x:c r="H661" s="6" t="str">
        <x:v>resplan-8080-Q04</x:v>
      </x:c>
      <x:c r="I661" s="6" t="str">
        <x:v>Find and count assets</x:v>
      </x:c>
      <x:c r="J661" s="6" t="str">
        <x:v>Warm-up</x:v>
      </x:c>
      <x:c r="K661" s="6" t="str">
        <x:v>An exact integer count with the scope stated in prose.</x:v>
      </x:c>
      <x:c r="L661" s="6" t="str">
        <x:v>T02, T03</x:v>
      </x:c>
      <x:c r="M661" s="6" t="str">
        <x:v>Count all items of a requested type on one floor.</x:v>
      </x:c>
      <x:c r="N661" s="6" t="str">
        <x:v>{"count":2,"asset_type":"nightstand","floor_level":0}</x:v>
      </x:c>
      <x:c r="O661" s="6"/>
      <x:c r="P661" s="6" t="str">
        <x:v>Exact asset type and target floor. Count complete collection.</x:v>
      </x:c>
      <x:c r="Q661" s="15" t="n">
        <x:v>2</x:v>
      </x:c>
      <x:c r="R661" s="6" t="str">
        <x:v>items</x:v>
      </x:c>
      <x:c r="S661" s="16"/>
      <x:c r="T661" s="15"/>
      <x:c r="U661" s="6"/>
      <x:c r="V661" s="6"/>
      <x:c r="W661" s="6" t="str">
        <x:v>No dedicated counting tool. search_building exposes matches but returns at most 15 results.</x:v>
      </x:c>
      <x:c r="X661" s="6" t="str">
        <x:v>data/train/resplan-8080/questions_basic.jsonl</x:v>
      </x:c>
      <x:c r="Y661" s="14" t="n">
        <x:v>4</x:v>
      </x:c>
      <x:c r="Z661" s="6" t="str">
        <x:v>https://github.com/hagenhaeussler/Industrial-Agents-Hackathon-2026/blob/f41616590b69f3ea0c1cbfb41d6c35edd9ce53df/data/train/resplan-8080/questions_basic.jsonl#L4</x:v>
      </x:c>
      <x:c r="AA661" s="6" t="str">
        <x:v>resplan</x:v>
      </x:c>
      <x:c r="AB661" s="6" t="str">
        <x:v>CC-BY-4.0</x:v>
      </x:c>
    </x:row>
    <x:row r="662" ht="72" customHeight="1">
      <x:c r="A662" s="14" t="n">
        <x:v>657</x:v>
      </x:c>
      <x:c r="B662" s="6" t="str">
        <x:v>count</x:v>
      </x:c>
      <x:c r="C662" s="6" t="str">
        <x:v>How many wardrobe items are on the ground floor?</x:v>
      </x:c>
      <x:c r="D662" s="6" t="str">
        <x:v>3 wardrobe items
Floor level: 0</x:v>
      </x:c>
      <x:c r="E662" s="6" t="str">
        <x:v>Reference supplied</x:v>
      </x:c>
      <x:c r="F662" s="6" t="str">
        <x:v>train</x:v>
      </x:c>
      <x:c r="G662" s="6" t="str">
        <x:v>resplan-8174</x:v>
      </x:c>
      <x:c r="H662" s="6" t="str">
        <x:v>resplan-8174-Q04</x:v>
      </x:c>
      <x:c r="I662" s="6" t="str">
        <x:v>Find and count assets</x:v>
      </x:c>
      <x:c r="J662" s="6" t="str">
        <x:v>Warm-up</x:v>
      </x:c>
      <x:c r="K662" s="6" t="str">
        <x:v>An exact integer count with the scope stated in prose.</x:v>
      </x:c>
      <x:c r="L662" s="6" t="str">
        <x:v>T02, T03</x:v>
      </x:c>
      <x:c r="M662" s="6" t="str">
        <x:v>Count all items of a requested type on one floor.</x:v>
      </x:c>
      <x:c r="N662" s="6" t="str">
        <x:v>{"count":3,"asset_type":"wardrobe","floor_level":0}</x:v>
      </x:c>
      <x:c r="O662" s="6"/>
      <x:c r="P662" s="6" t="str">
        <x:v>Exact asset type and target floor. Count complete collection.</x:v>
      </x:c>
      <x:c r="Q662" s="15" t="n">
        <x:v>3</x:v>
      </x:c>
      <x:c r="R662" s="6" t="str">
        <x:v>items</x:v>
      </x:c>
      <x:c r="S662" s="16"/>
      <x:c r="T662" s="15"/>
      <x:c r="U662" s="6"/>
      <x:c r="V662" s="6"/>
      <x:c r="W662" s="6" t="str">
        <x:v>No dedicated counting tool. search_building exposes matches but returns at most 15 results.</x:v>
      </x:c>
      <x:c r="X662" s="6" t="str">
        <x:v>data/train/resplan-8174/questions_basic.jsonl</x:v>
      </x:c>
      <x:c r="Y662" s="14" t="n">
        <x:v>4</x:v>
      </x:c>
      <x:c r="Z662" s="6" t="str">
        <x:v>https://github.com/hagenhaeussler/Industrial-Agents-Hackathon-2026/blob/f41616590b69f3ea0c1cbfb41d6c35edd9ce53df/data/train/resplan-8174/questions_basic.jsonl#L4</x:v>
      </x:c>
      <x:c r="AA662" s="6" t="str">
        <x:v>resplan</x:v>
      </x:c>
      <x:c r="AB662" s="6" t="str">
        <x:v>CC-BY-4.0</x:v>
      </x:c>
    </x:row>
    <x:row r="663" ht="72" customHeight="1">
      <x:c r="A663" s="14" t="n">
        <x:v>658</x:v>
      </x:c>
      <x:c r="B663" s="6" t="str">
        <x:v>count</x:v>
      </x:c>
      <x:c r="C663" s="6" t="str">
        <x:v>How many wardrobe items are on the ground floor?</x:v>
      </x:c>
      <x:c r="D663" s="6" t="str">
        <x:v>2 wardrobe items
Floor level: 0</x:v>
      </x:c>
      <x:c r="E663" s="6" t="str">
        <x:v>Reference supplied</x:v>
      </x:c>
      <x:c r="F663" s="6" t="str">
        <x:v>train</x:v>
      </x:c>
      <x:c r="G663" s="6" t="str">
        <x:v>resplan-8431</x:v>
      </x:c>
      <x:c r="H663" s="6" t="str">
        <x:v>resplan-8431-Q04</x:v>
      </x:c>
      <x:c r="I663" s="6" t="str">
        <x:v>Find and count assets</x:v>
      </x:c>
      <x:c r="J663" s="6" t="str">
        <x:v>Warm-up</x:v>
      </x:c>
      <x:c r="K663" s="6" t="str">
        <x:v>An exact integer count with the scope stated in prose.</x:v>
      </x:c>
      <x:c r="L663" s="6" t="str">
        <x:v>T02, T03</x:v>
      </x:c>
      <x:c r="M663" s="6" t="str">
        <x:v>Count all items of a requested type on one floor.</x:v>
      </x:c>
      <x:c r="N663" s="6" t="str">
        <x:v>{"count":2,"asset_type":"wardrobe","floor_level":0}</x:v>
      </x:c>
      <x:c r="O663" s="6"/>
      <x:c r="P663" s="6" t="str">
        <x:v>Exact asset type and target floor. Count complete collection.</x:v>
      </x:c>
      <x:c r="Q663" s="15" t="n">
        <x:v>2</x:v>
      </x:c>
      <x:c r="R663" s="6" t="str">
        <x:v>items</x:v>
      </x:c>
      <x:c r="S663" s="16"/>
      <x:c r="T663" s="15"/>
      <x:c r="U663" s="6"/>
      <x:c r="V663" s="6"/>
      <x:c r="W663" s="6" t="str">
        <x:v>No dedicated counting tool. search_building exposes matches but returns at most 15 results.</x:v>
      </x:c>
      <x:c r="X663" s="6" t="str">
        <x:v>data/train/resplan-8431/questions_basic.jsonl</x:v>
      </x:c>
      <x:c r="Y663" s="14" t="n">
        <x:v>4</x:v>
      </x:c>
      <x:c r="Z663" s="6" t="str">
        <x:v>https://github.com/hagenhaeussler/Industrial-Agents-Hackathon-2026/blob/f41616590b69f3ea0c1cbfb41d6c35edd9ce53df/data/train/resplan-8431/questions_basic.jsonl#L4</x:v>
      </x:c>
      <x:c r="AA663" s="6" t="str">
        <x:v>resplan</x:v>
      </x:c>
      <x:c r="AB663" s="6" t="str">
        <x:v>CC-BY-4.0</x:v>
      </x:c>
    </x:row>
    <x:row r="664" ht="72" customHeight="1">
      <x:c r="A664" s="14" t="n">
        <x:v>659</x:v>
      </x:c>
      <x:c r="B664" s="6" t="str">
        <x:v>count</x:v>
      </x:c>
      <x:c r="C664" s="6" t="str">
        <x:v>How many wardrobe items are on the ground floor?</x:v>
      </x:c>
      <x:c r="D664" s="6" t="str">
        <x:v>2 wardrobe items
Floor level: 0</x:v>
      </x:c>
      <x:c r="E664" s="6" t="str">
        <x:v>Reference supplied</x:v>
      </x:c>
      <x:c r="F664" s="6" t="str">
        <x:v>train</x:v>
      </x:c>
      <x:c r="G664" s="6" t="str">
        <x:v>resplan-8449</x:v>
      </x:c>
      <x:c r="H664" s="6" t="str">
        <x:v>resplan-8449-Q04</x:v>
      </x:c>
      <x:c r="I664" s="6" t="str">
        <x:v>Find and count assets</x:v>
      </x:c>
      <x:c r="J664" s="6" t="str">
        <x:v>Warm-up</x:v>
      </x:c>
      <x:c r="K664" s="6" t="str">
        <x:v>An exact integer count with the scope stated in prose.</x:v>
      </x:c>
      <x:c r="L664" s="6" t="str">
        <x:v>T02, T03</x:v>
      </x:c>
      <x:c r="M664" s="6" t="str">
        <x:v>Count all items of a requested type on one floor.</x:v>
      </x:c>
      <x:c r="N664" s="6" t="str">
        <x:v>{"count":2,"asset_type":"wardrobe","floor_level":0}</x:v>
      </x:c>
      <x:c r="O664" s="6"/>
      <x:c r="P664" s="6" t="str">
        <x:v>Exact asset type and target floor. Count complete collection.</x:v>
      </x:c>
      <x:c r="Q664" s="15" t="n">
        <x:v>2</x:v>
      </x:c>
      <x:c r="R664" s="6" t="str">
        <x:v>items</x:v>
      </x:c>
      <x:c r="S664" s="16"/>
      <x:c r="T664" s="15"/>
      <x:c r="U664" s="6"/>
      <x:c r="V664" s="6"/>
      <x:c r="W664" s="6" t="str">
        <x:v>No dedicated counting tool. search_building exposes matches but returns at most 15 results.</x:v>
      </x:c>
      <x:c r="X664" s="6" t="str">
        <x:v>data/train/resplan-8449/questions_basic.jsonl</x:v>
      </x:c>
      <x:c r="Y664" s="14" t="n">
        <x:v>4</x:v>
      </x:c>
      <x:c r="Z664" s="6" t="str">
        <x:v>https://github.com/hagenhaeussler/Industrial-Agents-Hackathon-2026/blob/f41616590b69f3ea0c1cbfb41d6c35edd9ce53df/data/train/resplan-8449/questions_basic.jsonl#L4</x:v>
      </x:c>
      <x:c r="AA664" s="6" t="str">
        <x:v>resplan</x:v>
      </x:c>
      <x:c r="AB664" s="6" t="str">
        <x:v>CC-BY-4.0</x:v>
      </x:c>
    </x:row>
    <x:row r="665" ht="72" customHeight="1">
      <x:c r="A665" s="14" t="n">
        <x:v>660</x:v>
      </x:c>
      <x:c r="B665" s="6" t="str">
        <x:v>count</x:v>
      </x:c>
      <x:c r="C665" s="6" t="str">
        <x:v>How many nightstand items are on the ground floor?</x:v>
      </x:c>
      <x:c r="D665" s="6" t="str">
        <x:v>6 nightstand items
Floor level: 0</x:v>
      </x:c>
      <x:c r="E665" s="6" t="str">
        <x:v>Reference supplied</x:v>
      </x:c>
      <x:c r="F665" s="6" t="str">
        <x:v>train</x:v>
      </x:c>
      <x:c r="G665" s="6" t="str">
        <x:v>resplan-8565</x:v>
      </x:c>
      <x:c r="H665" s="6" t="str">
        <x:v>resplan-8565-Q04</x:v>
      </x:c>
      <x:c r="I665" s="6" t="str">
        <x:v>Find and count assets</x:v>
      </x:c>
      <x:c r="J665" s="6" t="str">
        <x:v>Warm-up</x:v>
      </x:c>
      <x:c r="K665" s="6" t="str">
        <x:v>An exact integer count with the scope stated in prose.</x:v>
      </x:c>
      <x:c r="L665" s="6" t="str">
        <x:v>T02, T03</x:v>
      </x:c>
      <x:c r="M665" s="6" t="str">
        <x:v>Count all items of a requested type on one floor.</x:v>
      </x:c>
      <x:c r="N665" s="6" t="str">
        <x:v>{"count":6,"asset_type":"nightstand","floor_level":0}</x:v>
      </x:c>
      <x:c r="O665" s="6"/>
      <x:c r="P665" s="6" t="str">
        <x:v>Exact asset type and target floor. Count complete collection.</x:v>
      </x:c>
      <x:c r="Q665" s="15" t="n">
        <x:v>6</x:v>
      </x:c>
      <x:c r="R665" s="6" t="str">
        <x:v>items</x:v>
      </x:c>
      <x:c r="S665" s="16"/>
      <x:c r="T665" s="15"/>
      <x:c r="U665" s="6"/>
      <x:c r="V665" s="6"/>
      <x:c r="W665" s="6" t="str">
        <x:v>No dedicated counting tool. search_building exposes matches but returns at most 15 results.</x:v>
      </x:c>
      <x:c r="X665" s="6" t="str">
        <x:v>data/train/resplan-8565/questions_basic.jsonl</x:v>
      </x:c>
      <x:c r="Y665" s="14" t="n">
        <x:v>4</x:v>
      </x:c>
      <x:c r="Z665" s="6" t="str">
        <x:v>https://github.com/hagenhaeussler/Industrial-Agents-Hackathon-2026/blob/f41616590b69f3ea0c1cbfb41d6c35edd9ce53df/data/train/resplan-8565/questions_basic.jsonl#L4</x:v>
      </x:c>
      <x:c r="AA665" s="6" t="str">
        <x:v>resplan</x:v>
      </x:c>
      <x:c r="AB665" s="6" t="str">
        <x:v>CC-BY-4.0</x:v>
      </x:c>
    </x:row>
    <x:row r="666" ht="72" customHeight="1">
      <x:c r="A666" s="14" t="n">
        <x:v>661</x:v>
      </x:c>
      <x:c r="B666" s="6" t="str">
        <x:v>count</x:v>
      </x:c>
      <x:c r="C666" s="6" t="str">
        <x:v>How many bed items are on the ground floor?</x:v>
      </x:c>
      <x:c r="D666" s="6" t="str">
        <x:v>2 bed items
Floor level: 0</x:v>
      </x:c>
      <x:c r="E666" s="6" t="str">
        <x:v>Reference supplied</x:v>
      </x:c>
      <x:c r="F666" s="6" t="str">
        <x:v>train</x:v>
      </x:c>
      <x:c r="G666" s="6" t="str">
        <x:v>resplan-8889</x:v>
      </x:c>
      <x:c r="H666" s="6" t="str">
        <x:v>resplan-8889-Q04</x:v>
      </x:c>
      <x:c r="I666" s="6" t="str">
        <x:v>Find and count assets</x:v>
      </x:c>
      <x:c r="J666" s="6" t="str">
        <x:v>Warm-up</x:v>
      </x:c>
      <x:c r="K666" s="6" t="str">
        <x:v>An exact integer count with the scope stated in prose.</x:v>
      </x:c>
      <x:c r="L666" s="6" t="str">
        <x:v>T02, T03</x:v>
      </x:c>
      <x:c r="M666" s="6" t="str">
        <x:v>Count all items of a requested type on one floor.</x:v>
      </x:c>
      <x:c r="N666" s="6" t="str">
        <x:v>{"count":2,"asset_type":"bed","floor_level":0}</x:v>
      </x:c>
      <x:c r="O666" s="6"/>
      <x:c r="P666" s="6" t="str">
        <x:v>Exact asset type and target floor. Count complete collection.</x:v>
      </x:c>
      <x:c r="Q666" s="15" t="n">
        <x:v>2</x:v>
      </x:c>
      <x:c r="R666" s="6" t="str">
        <x:v>items</x:v>
      </x:c>
      <x:c r="S666" s="16"/>
      <x:c r="T666" s="15"/>
      <x:c r="U666" s="6"/>
      <x:c r="V666" s="6"/>
      <x:c r="W666" s="6" t="str">
        <x:v>No dedicated counting tool. search_building exposes matches but returns at most 15 results.</x:v>
      </x:c>
      <x:c r="X666" s="6" t="str">
        <x:v>data/train/resplan-8889/questions_basic.jsonl</x:v>
      </x:c>
      <x:c r="Y666" s="14" t="n">
        <x:v>4</x:v>
      </x:c>
      <x:c r="Z666" s="6" t="str">
        <x:v>https://github.com/hagenhaeussler/Industrial-Agents-Hackathon-2026/blob/f41616590b69f3ea0c1cbfb41d6c35edd9ce53df/data/train/resplan-8889/questions_basic.jsonl#L4</x:v>
      </x:c>
      <x:c r="AA666" s="6" t="str">
        <x:v>resplan</x:v>
      </x:c>
      <x:c r="AB666" s="6" t="str">
        <x:v>CC-BY-4.0</x:v>
      </x:c>
    </x:row>
    <x:row r="667" ht="72" customHeight="1">
      <x:c r="A667" s="14" t="n">
        <x:v>662</x:v>
      </x:c>
      <x:c r="B667" s="6" t="str">
        <x:v>count</x:v>
      </x:c>
      <x:c r="C667" s="6" t="str">
        <x:v>How many toilet items are on the ground floor?</x:v>
      </x:c>
      <x:c r="D667" s="6" t="str">
        <x:v>4 toilet items
Floor level: 0</x:v>
      </x:c>
      <x:c r="E667" s="6" t="str">
        <x:v>Reference supplied</x:v>
      </x:c>
      <x:c r="F667" s="6" t="str">
        <x:v>train</x:v>
      </x:c>
      <x:c r="G667" s="6" t="str">
        <x:v>resplan-9082</x:v>
      </x:c>
      <x:c r="H667" s="6" t="str">
        <x:v>resplan-9082-Q04</x:v>
      </x:c>
      <x:c r="I667" s="6" t="str">
        <x:v>Find and count assets</x:v>
      </x:c>
      <x:c r="J667" s="6" t="str">
        <x:v>Warm-up</x:v>
      </x:c>
      <x:c r="K667" s="6" t="str">
        <x:v>An exact integer count with the scope stated in prose.</x:v>
      </x:c>
      <x:c r="L667" s="6" t="str">
        <x:v>T02, T03</x:v>
      </x:c>
      <x:c r="M667" s="6" t="str">
        <x:v>Count all items of a requested type on one floor.</x:v>
      </x:c>
      <x:c r="N667" s="6" t="str">
        <x:v>{"count":4,"asset_type":"toilet","floor_level":0}</x:v>
      </x:c>
      <x:c r="O667" s="6"/>
      <x:c r="P667" s="6" t="str">
        <x:v>Exact asset type and target floor. Count complete collection.</x:v>
      </x:c>
      <x:c r="Q667" s="15" t="n">
        <x:v>4</x:v>
      </x:c>
      <x:c r="R667" s="6" t="str">
        <x:v>items</x:v>
      </x:c>
      <x:c r="S667" s="16"/>
      <x:c r="T667" s="15"/>
      <x:c r="U667" s="6"/>
      <x:c r="V667" s="6"/>
      <x:c r="W667" s="6" t="str">
        <x:v>No dedicated counting tool. search_building exposes matches but returns at most 15 results.</x:v>
      </x:c>
      <x:c r="X667" s="6" t="str">
        <x:v>data/train/resplan-9082/questions_basic.jsonl</x:v>
      </x:c>
      <x:c r="Y667" s="14" t="n">
        <x:v>4</x:v>
      </x:c>
      <x:c r="Z667" s="6" t="str">
        <x:v>https://github.com/hagenhaeussler/Industrial-Agents-Hackathon-2026/blob/f41616590b69f3ea0c1cbfb41d6c35edd9ce53df/data/train/resplan-9082/questions_basic.jsonl#L4</x:v>
      </x:c>
      <x:c r="AA667" s="6" t="str">
        <x:v>resplan</x:v>
      </x:c>
      <x:c r="AB667" s="6" t="str">
        <x:v>CC-BY-4.0</x:v>
      </x:c>
    </x:row>
    <x:row r="668" ht="72" customHeight="1">
      <x:c r="A668" s="14" t="n">
        <x:v>663</x:v>
      </x:c>
      <x:c r="B668" s="6" t="str">
        <x:v>count</x:v>
      </x:c>
      <x:c r="C668" s="6" t="str">
        <x:v>How many toilet items are on the ground floor?</x:v>
      </x:c>
      <x:c r="D668" s="6" t="str">
        <x:v>2 toilet items
Floor level: 0</x:v>
      </x:c>
      <x:c r="E668" s="6" t="str">
        <x:v>Reference supplied</x:v>
      </x:c>
      <x:c r="F668" s="6" t="str">
        <x:v>train</x:v>
      </x:c>
      <x:c r="G668" s="6" t="str">
        <x:v>resplan-9204</x:v>
      </x:c>
      <x:c r="H668" s="6" t="str">
        <x:v>resplan-9204-Q04</x:v>
      </x:c>
      <x:c r="I668" s="6" t="str">
        <x:v>Find and count assets</x:v>
      </x:c>
      <x:c r="J668" s="6" t="str">
        <x:v>Warm-up</x:v>
      </x:c>
      <x:c r="K668" s="6" t="str">
        <x:v>An exact integer count with the scope stated in prose.</x:v>
      </x:c>
      <x:c r="L668" s="6" t="str">
        <x:v>T02, T03</x:v>
      </x:c>
      <x:c r="M668" s="6" t="str">
        <x:v>Count all items of a requested type on one floor.</x:v>
      </x:c>
      <x:c r="N668" s="6" t="str">
        <x:v>{"count":2,"asset_type":"toilet","floor_level":0}</x:v>
      </x:c>
      <x:c r="O668" s="6"/>
      <x:c r="P668" s="6" t="str">
        <x:v>Exact asset type and target floor. Count complete collection.</x:v>
      </x:c>
      <x:c r="Q668" s="15" t="n">
        <x:v>2</x:v>
      </x:c>
      <x:c r="R668" s="6" t="str">
        <x:v>items</x:v>
      </x:c>
      <x:c r="S668" s="16"/>
      <x:c r="T668" s="15"/>
      <x:c r="U668" s="6"/>
      <x:c r="V668" s="6"/>
      <x:c r="W668" s="6" t="str">
        <x:v>No dedicated counting tool. search_building exposes matches but returns at most 15 results.</x:v>
      </x:c>
      <x:c r="X668" s="6" t="str">
        <x:v>data/train/resplan-9204/questions_basic.jsonl</x:v>
      </x:c>
      <x:c r="Y668" s="14" t="n">
        <x:v>4</x:v>
      </x:c>
      <x:c r="Z668" s="6" t="str">
        <x:v>https://github.com/hagenhaeussler/Industrial-Agents-Hackathon-2026/blob/f41616590b69f3ea0c1cbfb41d6c35edd9ce53df/data/train/resplan-9204/questions_basic.jsonl#L4</x:v>
      </x:c>
      <x:c r="AA668" s="6" t="str">
        <x:v>resplan</x:v>
      </x:c>
      <x:c r="AB668" s="6" t="str">
        <x:v>CC-BY-4.0</x:v>
      </x:c>
    </x:row>
    <x:row r="669" ht="72" customHeight="1">
      <x:c r="A669" s="14" t="n">
        <x:v>664</x:v>
      </x:c>
      <x:c r="B669" s="6" t="str">
        <x:v>count</x:v>
      </x:c>
      <x:c r="C669" s="6" t="str">
        <x:v>How many plant items are on the ground floor?</x:v>
      </x:c>
      <x:c r="D669" s="6" t="str">
        <x:v>4 plant items
Floor level: 0</x:v>
      </x:c>
      <x:c r="E669" s="6" t="str">
        <x:v>Reference supplied</x:v>
      </x:c>
      <x:c r="F669" s="6" t="str">
        <x:v>train</x:v>
      </x:c>
      <x:c r="G669" s="6" t="str">
        <x:v>resplan-9416</x:v>
      </x:c>
      <x:c r="H669" s="6" t="str">
        <x:v>resplan-9416-Q04</x:v>
      </x:c>
      <x:c r="I669" s="6" t="str">
        <x:v>Find and count assets</x:v>
      </x:c>
      <x:c r="J669" s="6" t="str">
        <x:v>Warm-up</x:v>
      </x:c>
      <x:c r="K669" s="6" t="str">
        <x:v>An exact integer count with the scope stated in prose.</x:v>
      </x:c>
      <x:c r="L669" s="6" t="str">
        <x:v>T02, T03</x:v>
      </x:c>
      <x:c r="M669" s="6" t="str">
        <x:v>Count all items of a requested type on one floor.</x:v>
      </x:c>
      <x:c r="N669" s="6" t="str">
        <x:v>{"count":4,"asset_type":"plant","floor_level":0}</x:v>
      </x:c>
      <x:c r="O669" s="6"/>
      <x:c r="P669" s="6" t="str">
        <x:v>Exact asset type and target floor. Count complete collection.</x:v>
      </x:c>
      <x:c r="Q669" s="15" t="n">
        <x:v>4</x:v>
      </x:c>
      <x:c r="R669" s="6" t="str">
        <x:v>items</x:v>
      </x:c>
      <x:c r="S669" s="16"/>
      <x:c r="T669" s="15"/>
      <x:c r="U669" s="6"/>
      <x:c r="V669" s="6"/>
      <x:c r="W669" s="6" t="str">
        <x:v>No dedicated counting tool. search_building exposes matches but returns at most 15 results.</x:v>
      </x:c>
      <x:c r="X669" s="6" t="str">
        <x:v>data/train/resplan-9416/questions_basic.jsonl</x:v>
      </x:c>
      <x:c r="Y669" s="14" t="n">
        <x:v>4</x:v>
      </x:c>
      <x:c r="Z669" s="6" t="str">
        <x:v>https://github.com/hagenhaeussler/Industrial-Agents-Hackathon-2026/blob/f41616590b69f3ea0c1cbfb41d6c35edd9ce53df/data/train/resplan-9416/questions_basic.jsonl#L4</x:v>
      </x:c>
      <x:c r="AA669" s="6" t="str">
        <x:v>resplan</x:v>
      </x:c>
      <x:c r="AB669" s="6" t="str">
        <x:v>CC-BY-4.0</x:v>
      </x:c>
    </x:row>
    <x:row r="670" ht="72" customHeight="1">
      <x:c r="A670" s="14" t="n">
        <x:v>665</x:v>
      </x:c>
      <x:c r="B670" s="6" t="str">
        <x:v>count</x:v>
      </x:c>
      <x:c r="C670" s="6" t="str">
        <x:v>How many toilet items are on the ground floor?</x:v>
      </x:c>
      <x:c r="D670" s="6" t="str">
        <x:v>2 toilet items
Floor level: 0</x:v>
      </x:c>
      <x:c r="E670" s="6" t="str">
        <x:v>Reference supplied</x:v>
      </x:c>
      <x:c r="F670" s="6" t="str">
        <x:v>train</x:v>
      </x:c>
      <x:c r="G670" s="6" t="str">
        <x:v>resplan-9515</x:v>
      </x:c>
      <x:c r="H670" s="6" t="str">
        <x:v>resplan-9515-Q04</x:v>
      </x:c>
      <x:c r="I670" s="6" t="str">
        <x:v>Find and count assets</x:v>
      </x:c>
      <x:c r="J670" s="6" t="str">
        <x:v>Warm-up</x:v>
      </x:c>
      <x:c r="K670" s="6" t="str">
        <x:v>An exact integer count with the scope stated in prose.</x:v>
      </x:c>
      <x:c r="L670" s="6" t="str">
        <x:v>T02, T03</x:v>
      </x:c>
      <x:c r="M670" s="6" t="str">
        <x:v>Count all items of a requested type on one floor.</x:v>
      </x:c>
      <x:c r="N670" s="6" t="str">
        <x:v>{"count":2,"asset_type":"toilet","floor_level":0}</x:v>
      </x:c>
      <x:c r="O670" s="6"/>
      <x:c r="P670" s="6" t="str">
        <x:v>Exact asset type and target floor. Count complete collection.</x:v>
      </x:c>
      <x:c r="Q670" s="15" t="n">
        <x:v>2</x:v>
      </x:c>
      <x:c r="R670" s="6" t="str">
        <x:v>items</x:v>
      </x:c>
      <x:c r="S670" s="16"/>
      <x:c r="T670" s="15"/>
      <x:c r="U670" s="6"/>
      <x:c r="V670" s="6"/>
      <x:c r="W670" s="6" t="str">
        <x:v>No dedicated counting tool. search_building exposes matches but returns at most 15 results.</x:v>
      </x:c>
      <x:c r="X670" s="6" t="str">
        <x:v>data/train/resplan-9515/questions_basic.jsonl</x:v>
      </x:c>
      <x:c r="Y670" s="14" t="n">
        <x:v>4</x:v>
      </x:c>
      <x:c r="Z670" s="6" t="str">
        <x:v>https://github.com/hagenhaeussler/Industrial-Agents-Hackathon-2026/blob/f41616590b69f3ea0c1cbfb41d6c35edd9ce53df/data/train/resplan-9515/questions_basic.jsonl#L4</x:v>
      </x:c>
      <x:c r="AA670" s="6" t="str">
        <x:v>resplan</x:v>
      </x:c>
      <x:c r="AB670" s="6" t="str">
        <x:v>CC-BY-4.0</x:v>
      </x:c>
    </x:row>
    <x:row r="671" ht="72" customHeight="1">
      <x:c r="A671" s="14" t="n">
        <x:v>666</x:v>
      </x:c>
      <x:c r="B671" s="6" t="str">
        <x:v>count</x:v>
      </x:c>
      <x:c r="C671" s="6" t="str">
        <x:v>How many sink items are on the ground floor?</x:v>
      </x:c>
      <x:c r="D671" s="6" t="str">
        <x:v>3 sink items
Floor level: 0</x:v>
      </x:c>
      <x:c r="E671" s="6" t="str">
        <x:v>Reference supplied</x:v>
      </x:c>
      <x:c r="F671" s="6" t="str">
        <x:v>train</x:v>
      </x:c>
      <x:c r="G671" s="6" t="str">
        <x:v>resplan-9809</x:v>
      </x:c>
      <x:c r="H671" s="6" t="str">
        <x:v>resplan-9809-Q04</x:v>
      </x:c>
      <x:c r="I671" s="6" t="str">
        <x:v>Find and count assets</x:v>
      </x:c>
      <x:c r="J671" s="6" t="str">
        <x:v>Warm-up</x:v>
      </x:c>
      <x:c r="K671" s="6" t="str">
        <x:v>An exact integer count with the scope stated in prose.</x:v>
      </x:c>
      <x:c r="L671" s="6" t="str">
        <x:v>T02, T03</x:v>
      </x:c>
      <x:c r="M671" s="6" t="str">
        <x:v>Count all items of a requested type on one floor.</x:v>
      </x:c>
      <x:c r="N671" s="6" t="str">
        <x:v>{"count":3,"asset_type":"sink","floor_level":0}</x:v>
      </x:c>
      <x:c r="O671" s="6"/>
      <x:c r="P671" s="6" t="str">
        <x:v>Exact asset type and target floor. Count complete collection.</x:v>
      </x:c>
      <x:c r="Q671" s="15" t="n">
        <x:v>3</x:v>
      </x:c>
      <x:c r="R671" s="6" t="str">
        <x:v>items</x:v>
      </x:c>
      <x:c r="S671" s="16"/>
      <x:c r="T671" s="15"/>
      <x:c r="U671" s="6"/>
      <x:c r="V671" s="6"/>
      <x:c r="W671" s="6" t="str">
        <x:v>No dedicated counting tool. search_building exposes matches but returns at most 15 results.</x:v>
      </x:c>
      <x:c r="X671" s="6" t="str">
        <x:v>data/train/resplan-9809/questions_basic.jsonl</x:v>
      </x:c>
      <x:c r="Y671" s="14" t="n">
        <x:v>4</x:v>
      </x:c>
      <x:c r="Z671" s="6" t="str">
        <x:v>https://github.com/hagenhaeussler/Industrial-Agents-Hackathon-2026/blob/f41616590b69f3ea0c1cbfb41d6c35edd9ce53df/data/train/resplan-9809/questions_basic.jsonl#L4</x:v>
      </x:c>
      <x:c r="AA671" s="6" t="str">
        <x:v>resplan</x:v>
      </x:c>
      <x:c r="AB671" s="6" t="str">
        <x:v>CC-BY-4.0</x:v>
      </x:c>
    </x:row>
    <x:row r="672" ht="72" customHeight="1">
      <x:c r="A672" s="14" t="n">
        <x:v>667</x:v>
      </x:c>
      <x:c r="B672" s="6" t="str">
        <x:v>count</x:v>
      </x:c>
      <x:c r="C672" s="6" t="str">
        <x:v>How many outdoor chair items are on the ground floor?</x:v>
      </x:c>
      <x:c r="D672" s="6" t="str">
        <x:v>2 outdoor_chair items
Floor level: 0</x:v>
      </x:c>
      <x:c r="E672" s="6" t="str">
        <x:v>Reference supplied</x:v>
      </x:c>
      <x:c r="F672" s="6" t="str">
        <x:v>train</x:v>
      </x:c>
      <x:c r="G672" s="6" t="str">
        <x:v>resplan-9872</x:v>
      </x:c>
      <x:c r="H672" s="6" t="str">
        <x:v>resplan-9872-Q04</x:v>
      </x:c>
      <x:c r="I672" s="6" t="str">
        <x:v>Find and count assets</x:v>
      </x:c>
      <x:c r="J672" s="6" t="str">
        <x:v>Warm-up</x:v>
      </x:c>
      <x:c r="K672" s="6" t="str">
        <x:v>An exact integer count with the scope stated in prose.</x:v>
      </x:c>
      <x:c r="L672" s="6" t="str">
        <x:v>T02, T03</x:v>
      </x:c>
      <x:c r="M672" s="6" t="str">
        <x:v>Count all items of a requested type on one floor.</x:v>
      </x:c>
      <x:c r="N672" s="6" t="str">
        <x:v>{"count":2,"asset_type":"outdoor_chair","floor_level":0}</x:v>
      </x:c>
      <x:c r="O672" s="6"/>
      <x:c r="P672" s="6" t="str">
        <x:v>Exact asset type and target floor. Count complete collection.</x:v>
      </x:c>
      <x:c r="Q672" s="15" t="n">
        <x:v>2</x:v>
      </x:c>
      <x:c r="R672" s="6" t="str">
        <x:v>items</x:v>
      </x:c>
      <x:c r="S672" s="16"/>
      <x:c r="T672" s="15"/>
      <x:c r="U672" s="6"/>
      <x:c r="V672" s="6"/>
      <x:c r="W672" s="6" t="str">
        <x:v>No dedicated counting tool. search_building exposes matches but returns at most 15 results.</x:v>
      </x:c>
      <x:c r="X672" s="6" t="str">
        <x:v>data/train/resplan-9872/questions_basic.jsonl</x:v>
      </x:c>
      <x:c r="Y672" s="14" t="n">
        <x:v>4</x:v>
      </x:c>
      <x:c r="Z672" s="6" t="str">
        <x:v>https://github.com/hagenhaeussler/Industrial-Agents-Hackathon-2026/blob/f41616590b69f3ea0c1cbfb41d6c35edd9ce53df/data/train/resplan-9872/questions_basic.jsonl#L4</x:v>
      </x:c>
      <x:c r="AA672" s="6" t="str">
        <x:v>resplan</x:v>
      </x:c>
      <x:c r="AB672" s="6" t="str">
        <x:v>CC-BY-4.0</x:v>
      </x:c>
    </x:row>
    <x:row r="673" ht="72" customHeight="1">
      <x:c r="A673" s="14" t="n">
        <x:v>668</x:v>
      </x:c>
      <x:c r="B673" s="6" t="str">
        <x:v>count</x:v>
      </x:c>
      <x:c r="C673" s="6" t="str">
        <x:v>How many dining chair items are on the ground floor?</x:v>
      </x:c>
      <x:c r="D673" s="6" t="str">
        <x:v>4 dining_chair items
Floor level: 0</x:v>
      </x:c>
      <x:c r="E673" s="6" t="str">
        <x:v>Reference supplied</x:v>
      </x:c>
      <x:c r="F673" s="6" t="str">
        <x:v>train</x:v>
      </x:c>
      <x:c r="G673" s="6" t="str">
        <x:v>swiss-1075</x:v>
      </x:c>
      <x:c r="H673" s="6" t="str">
        <x:v>swiss-1075-Q04</x:v>
      </x:c>
      <x:c r="I673" s="6" t="str">
        <x:v>Find and count assets</x:v>
      </x:c>
      <x:c r="J673" s="6" t="str">
        <x:v>Warm-up</x:v>
      </x:c>
      <x:c r="K673" s="6" t="str">
        <x:v>An exact integer count with the scope stated in prose.</x:v>
      </x:c>
      <x:c r="L673" s="6" t="str">
        <x:v>T02, T03</x:v>
      </x:c>
      <x:c r="M673" s="6" t="str">
        <x:v>Count all items of a requested type on one floor.</x:v>
      </x:c>
      <x:c r="N673" s="6" t="str">
        <x:v>{"count":4,"asset_type":"dining_chair","floor_level":0}</x:v>
      </x:c>
      <x:c r="O673" s="6"/>
      <x:c r="P673" s="6" t="str">
        <x:v>Exact asset type and target floor. Count complete collection.</x:v>
      </x:c>
      <x:c r="Q673" s="15" t="n">
        <x:v>4</x:v>
      </x:c>
      <x:c r="R673" s="6" t="str">
        <x:v>items</x:v>
      </x:c>
      <x:c r="S673" s="16"/>
      <x:c r="T673" s="15"/>
      <x:c r="U673" s="6"/>
      <x:c r="V673" s="6"/>
      <x:c r="W673" s="6" t="str">
        <x:v>No dedicated counting tool. search_building exposes matches but returns at most 15 results.</x:v>
      </x:c>
      <x:c r="X673" s="6" t="str">
        <x:v>data/train/swiss-1075/questions_basic.jsonl</x:v>
      </x:c>
      <x:c r="Y673" s="14" t="n">
        <x:v>4</x:v>
      </x:c>
      <x:c r="Z673" s="6" t="str">
        <x:v>https://github.com/hagenhaeussler/Industrial-Agents-Hackathon-2026/blob/f41616590b69f3ea0c1cbfb41d6c35edd9ce53df/data/train/swiss-1075/questions_basic.jsonl#L4</x:v>
      </x:c>
      <x:c r="AA673" s="6" t="str">
        <x:v>swiss_dwellings</x:v>
      </x:c>
      <x:c r="AB673" s="6" t="str">
        <x:v>CC-BY-4.0</x:v>
      </x:c>
    </x:row>
    <x:row r="674" ht="72" customHeight="1">
      <x:c r="A674" s="14" t="n">
        <x:v>669</x:v>
      </x:c>
      <x:c r="B674" s="6" t="str">
        <x:v>count</x:v>
      </x:c>
      <x:c r="C674" s="6" t="str">
        <x:v>How many fire extinguisher items are on the floor 3?</x:v>
      </x:c>
      <x:c r="D674" s="6" t="str">
        <x:v>5 fire_extinguisher items
Floor level: 3</x:v>
      </x:c>
      <x:c r="E674" s="6" t="str">
        <x:v>Reference supplied</x:v>
      </x:c>
      <x:c r="F674" s="6" t="str">
        <x:v>train</x:v>
      </x:c>
      <x:c r="G674" s="6" t="str">
        <x:v>swiss-1104</x:v>
      </x:c>
      <x:c r="H674" s="6" t="str">
        <x:v>swiss-1104-Q01</x:v>
      </x:c>
      <x:c r="I674" s="6" t="str">
        <x:v>Find and count assets</x:v>
      </x:c>
      <x:c r="J674" s="6" t="str">
        <x:v>Warm-up</x:v>
      </x:c>
      <x:c r="K674" s="6" t="str">
        <x:v>An exact integer count with the scope stated in prose.</x:v>
      </x:c>
      <x:c r="L674" s="6" t="str">
        <x:v>T02, T03</x:v>
      </x:c>
      <x:c r="M674" s="6" t="str">
        <x:v>Count all items of a requested type on one floor.</x:v>
      </x:c>
      <x:c r="N674" s="6" t="str">
        <x:v>{"count":5,"asset_type":"fire_extinguisher","floor_level":3}</x:v>
      </x:c>
      <x:c r="O674" s="6"/>
      <x:c r="P674" s="6" t="str">
        <x:v>Exact asset type and target floor. Count complete collection.</x:v>
      </x:c>
      <x:c r="Q674" s="15" t="n">
        <x:v>5</x:v>
      </x:c>
      <x:c r="R674" s="6" t="str">
        <x:v>items</x:v>
      </x:c>
      <x:c r="S674" s="16"/>
      <x:c r="T674" s="15"/>
      <x:c r="U674" s="6"/>
      <x:c r="V674" s="6"/>
      <x:c r="W674" s="6" t="str">
        <x:v>No dedicated counting tool. search_building exposes matches but returns at most 15 results.</x:v>
      </x:c>
      <x:c r="X674" s="6" t="str">
        <x:v>data/train/swiss-1104/questions_basic.jsonl</x:v>
      </x:c>
      <x:c r="Y674" s="14" t="n">
        <x:v>1</x:v>
      </x:c>
      <x:c r="Z674" s="6" t="str">
        <x:v>https://github.com/hagenhaeussler/Industrial-Agents-Hackathon-2026/blob/f41616590b69f3ea0c1cbfb41d6c35edd9ce53df/data/train/swiss-1104/questions_basic.jsonl#L1</x:v>
      </x:c>
      <x:c r="AA674" s="6" t="str">
        <x:v>swiss_dwellings</x:v>
      </x:c>
      <x:c r="AB674" s="6" t="str">
        <x:v>CC-BY-4.0</x:v>
      </x:c>
    </x:row>
    <x:row r="675" ht="72" customHeight="1">
      <x:c r="A675" s="14" t="n">
        <x:v>670</x:v>
      </x:c>
      <x:c r="B675" s="6" t="str">
        <x:v>count</x:v>
      </x:c>
      <x:c r="C675" s="6" t="str">
        <x:v>How many toilet items are on the floor 3?</x:v>
      </x:c>
      <x:c r="D675" s="6" t="str">
        <x:v>6 toilet items
Floor level: 3</x:v>
      </x:c>
      <x:c r="E675" s="6" t="str">
        <x:v>Reference supplied</x:v>
      </x:c>
      <x:c r="F675" s="6" t="str">
        <x:v>train</x:v>
      </x:c>
      <x:c r="G675" s="6" t="str">
        <x:v>swiss-1110</x:v>
      </x:c>
      <x:c r="H675" s="6" t="str">
        <x:v>swiss-1110-Q02</x:v>
      </x:c>
      <x:c r="I675" s="6" t="str">
        <x:v>Find and count assets</x:v>
      </x:c>
      <x:c r="J675" s="6" t="str">
        <x:v>Warm-up</x:v>
      </x:c>
      <x:c r="K675" s="6" t="str">
        <x:v>An exact integer count with the scope stated in prose.</x:v>
      </x:c>
      <x:c r="L675" s="6" t="str">
        <x:v>T02, T03</x:v>
      </x:c>
      <x:c r="M675" s="6" t="str">
        <x:v>Count all items of a requested type on one floor.</x:v>
      </x:c>
      <x:c r="N675" s="6" t="str">
        <x:v>{"count":6,"asset_type":"toilet","floor_level":3}</x:v>
      </x:c>
      <x:c r="O675" s="6"/>
      <x:c r="P675" s="6" t="str">
        <x:v>Exact asset type and target floor. Count complete collection.</x:v>
      </x:c>
      <x:c r="Q675" s="15" t="n">
        <x:v>6</x:v>
      </x:c>
      <x:c r="R675" s="6" t="str">
        <x:v>items</x:v>
      </x:c>
      <x:c r="S675" s="16"/>
      <x:c r="T675" s="15"/>
      <x:c r="U675" s="6"/>
      <x:c r="V675" s="6"/>
      <x:c r="W675" s="6" t="str">
        <x:v>No dedicated counting tool. search_building exposes matches but returns at most 15 results.</x:v>
      </x:c>
      <x:c r="X675" s="6" t="str">
        <x:v>data/train/swiss-1110/questions_basic.jsonl</x:v>
      </x:c>
      <x:c r="Y675" s="14" t="n">
        <x:v>2</x:v>
      </x:c>
      <x:c r="Z675" s="6" t="str">
        <x:v>https://github.com/hagenhaeussler/Industrial-Agents-Hackathon-2026/blob/f41616590b69f3ea0c1cbfb41d6c35edd9ce53df/data/train/swiss-1110/questions_basic.jsonl#L2</x:v>
      </x:c>
      <x:c r="AA675" s="6" t="str">
        <x:v>swiss_dwellings</x:v>
      </x:c>
      <x:c r="AB675" s="6" t="str">
        <x:v>CC-BY-4.0</x:v>
      </x:c>
    </x:row>
    <x:row r="676" ht="72" customHeight="1">
      <x:c r="A676" s="14" t="n">
        <x:v>671</x:v>
      </x:c>
      <x:c r="B676" s="6" t="str">
        <x:v>count</x:v>
      </x:c>
      <x:c r="C676" s="6" t="str">
        <x:v>How many nightstand items are on the floor 2?</x:v>
      </x:c>
      <x:c r="D676" s="6" t="str">
        <x:v>16 nightstand items
Floor level: 2</x:v>
      </x:c>
      <x:c r="E676" s="6" t="str">
        <x:v>Reference supplied</x:v>
      </x:c>
      <x:c r="F676" s="6" t="str">
        <x:v>train</x:v>
      </x:c>
      <x:c r="G676" s="6" t="str">
        <x:v>swiss-116</x:v>
      </x:c>
      <x:c r="H676" s="6" t="str">
        <x:v>swiss-116-Q02</x:v>
      </x:c>
      <x:c r="I676" s="6" t="str">
        <x:v>Find and count assets</x:v>
      </x:c>
      <x:c r="J676" s="6" t="str">
        <x:v>Warm-up</x:v>
      </x:c>
      <x:c r="K676" s="6" t="str">
        <x:v>An exact integer count with the scope stated in prose.</x:v>
      </x:c>
      <x:c r="L676" s="6" t="str">
        <x:v>T02, T03</x:v>
      </x:c>
      <x:c r="M676" s="6" t="str">
        <x:v>Count all items of a requested type on one floor.</x:v>
      </x:c>
      <x:c r="N676" s="6" t="str">
        <x:v>{"count":16,"asset_type":"nightstand","floor_level":2}</x:v>
      </x:c>
      <x:c r="O676" s="6"/>
      <x:c r="P676" s="6" t="str">
        <x:v>Exact asset type and target floor. Count complete collection.</x:v>
      </x:c>
      <x:c r="Q676" s="15" t="n">
        <x:v>16</x:v>
      </x:c>
      <x:c r="R676" s="6" t="str">
        <x:v>items</x:v>
      </x:c>
      <x:c r="S676" s="16"/>
      <x:c r="T676" s="15"/>
      <x:c r="U676" s="6"/>
      <x:c r="V676" s="6"/>
      <x:c r="W676" s="6" t="str">
        <x:v>No dedicated counting tool. search_building exposes matches but returns at most 15 results.</x:v>
      </x:c>
      <x:c r="X676" s="6" t="str">
        <x:v>data/train/swiss-116/questions_basic.jsonl</x:v>
      </x:c>
      <x:c r="Y676" s="14" t="n">
        <x:v>2</x:v>
      </x:c>
      <x:c r="Z676" s="6" t="str">
        <x:v>https://github.com/hagenhaeussler/Industrial-Agents-Hackathon-2026/blob/f41616590b69f3ea0c1cbfb41d6c35edd9ce53df/data/train/swiss-116/questions_basic.jsonl#L2</x:v>
      </x:c>
      <x:c r="AA676" s="6" t="str">
        <x:v>swiss_dwellings</x:v>
      </x:c>
      <x:c r="AB676" s="6" t="str">
        <x:v>CC-BY-4.0</x:v>
      </x:c>
    </x:row>
    <x:row r="677" ht="72" customHeight="1">
      <x:c r="A677" s="14" t="n">
        <x:v>672</x:v>
      </x:c>
      <x:c r="B677" s="6" t="str">
        <x:v>count</x:v>
      </x:c>
      <x:c r="C677" s="6" t="str">
        <x:v>How many dining chair items are on the floor 1?</x:v>
      </x:c>
      <x:c r="D677" s="6" t="str">
        <x:v>6 dining_chair items
Floor level: 1</x:v>
      </x:c>
      <x:c r="E677" s="6" t="str">
        <x:v>Reference supplied</x:v>
      </x:c>
      <x:c r="F677" s="6" t="str">
        <x:v>train</x:v>
      </x:c>
      <x:c r="G677" s="6" t="str">
        <x:v>swiss-120</x:v>
      </x:c>
      <x:c r="H677" s="6" t="str">
        <x:v>swiss-120-Q01</x:v>
      </x:c>
      <x:c r="I677" s="6" t="str">
        <x:v>Find and count assets</x:v>
      </x:c>
      <x:c r="J677" s="6" t="str">
        <x:v>Warm-up</x:v>
      </x:c>
      <x:c r="K677" s="6" t="str">
        <x:v>An exact integer count with the scope stated in prose.</x:v>
      </x:c>
      <x:c r="L677" s="6" t="str">
        <x:v>T02, T03</x:v>
      </x:c>
      <x:c r="M677" s="6" t="str">
        <x:v>Count all items of a requested type on one floor.</x:v>
      </x:c>
      <x:c r="N677" s="6" t="str">
        <x:v>{"count":6,"asset_type":"dining_chair","floor_level":1}</x:v>
      </x:c>
      <x:c r="O677" s="6"/>
      <x:c r="P677" s="6" t="str">
        <x:v>Exact asset type and target floor. Count complete collection.</x:v>
      </x:c>
      <x:c r="Q677" s="15" t="n">
        <x:v>6</x:v>
      </x:c>
      <x:c r="R677" s="6" t="str">
        <x:v>items</x:v>
      </x:c>
      <x:c r="S677" s="16"/>
      <x:c r="T677" s="15"/>
      <x:c r="U677" s="6"/>
      <x:c r="V677" s="6"/>
      <x:c r="W677" s="6" t="str">
        <x:v>No dedicated counting tool. search_building exposes matches but returns at most 15 results.</x:v>
      </x:c>
      <x:c r="X677" s="6" t="str">
        <x:v>data/train/swiss-120/questions_basic.jsonl</x:v>
      </x:c>
      <x:c r="Y677" s="14" t="n">
        <x:v>1</x:v>
      </x:c>
      <x:c r="Z677" s="6" t="str">
        <x:v>https://github.com/hagenhaeussler/Industrial-Agents-Hackathon-2026/blob/f41616590b69f3ea0c1cbfb41d6c35edd9ce53df/data/train/swiss-120/questions_basic.jsonl#L1</x:v>
      </x:c>
      <x:c r="AA677" s="6" t="str">
        <x:v>swiss_dwellings</x:v>
      </x:c>
      <x:c r="AB677" s="6" t="str">
        <x:v>CC-BY-4.0</x:v>
      </x:c>
    </x:row>
    <x:row r="678" ht="72" customHeight="1">
      <x:c r="A678" s="14" t="n">
        <x:v>673</x:v>
      </x:c>
      <x:c r="B678" s="6" t="str">
        <x:v>count</x:v>
      </x:c>
      <x:c r="C678" s="6" t="str">
        <x:v>How many dining table items are on the ground floor?</x:v>
      </x:c>
      <x:c r="D678" s="6" t="str">
        <x:v>2 dining_table items
Floor level: 0</x:v>
      </x:c>
      <x:c r="E678" s="6" t="str">
        <x:v>Reference supplied</x:v>
      </x:c>
      <x:c r="F678" s="6" t="str">
        <x:v>train</x:v>
      </x:c>
      <x:c r="G678" s="6" t="str">
        <x:v>swiss-1224</x:v>
      </x:c>
      <x:c r="H678" s="6" t="str">
        <x:v>swiss-1224-Q01</x:v>
      </x:c>
      <x:c r="I678" s="6" t="str">
        <x:v>Find and count assets</x:v>
      </x:c>
      <x:c r="J678" s="6" t="str">
        <x:v>Warm-up</x:v>
      </x:c>
      <x:c r="K678" s="6" t="str">
        <x:v>An exact integer count with the scope stated in prose.</x:v>
      </x:c>
      <x:c r="L678" s="6" t="str">
        <x:v>T02, T03</x:v>
      </x:c>
      <x:c r="M678" s="6" t="str">
        <x:v>Count all items of a requested type on one floor.</x:v>
      </x:c>
      <x:c r="N678" s="6" t="str">
        <x:v>{"count":2,"asset_type":"dining_table","floor_level":0}</x:v>
      </x:c>
      <x:c r="O678" s="6"/>
      <x:c r="P678" s="6" t="str">
        <x:v>Exact asset type and target floor. Count complete collection.</x:v>
      </x:c>
      <x:c r="Q678" s="15" t="n">
        <x:v>2</x:v>
      </x:c>
      <x:c r="R678" s="6" t="str">
        <x:v>items</x:v>
      </x:c>
      <x:c r="S678" s="16"/>
      <x:c r="T678" s="15"/>
      <x:c r="U678" s="6"/>
      <x:c r="V678" s="6"/>
      <x:c r="W678" s="6" t="str">
        <x:v>No dedicated counting tool. search_building exposes matches but returns at most 15 results.</x:v>
      </x:c>
      <x:c r="X678" s="6" t="str">
        <x:v>data/train/swiss-1224/questions_basic.jsonl</x:v>
      </x:c>
      <x:c r="Y678" s="14" t="n">
        <x:v>1</x:v>
      </x:c>
      <x:c r="Z678" s="6" t="str">
        <x:v>https://github.com/hagenhaeussler/Industrial-Agents-Hackathon-2026/blob/f41616590b69f3ea0c1cbfb41d6c35edd9ce53df/data/train/swiss-1224/questions_basic.jsonl#L1</x:v>
      </x:c>
      <x:c r="AA678" s="6" t="str">
        <x:v>swiss_dwellings</x:v>
      </x:c>
      <x:c r="AB678" s="6" t="str">
        <x:v>CC-BY-4.0</x:v>
      </x:c>
    </x:row>
    <x:row r="679" ht="72" customHeight="1">
      <x:c r="A679" s="14" t="n">
        <x:v>674</x:v>
      </x:c>
      <x:c r="B679" s="6" t="str">
        <x:v>count</x:v>
      </x:c>
      <x:c r="C679" s="6" t="str">
        <x:v>How many tv stand items are on the floor 1?</x:v>
      </x:c>
      <x:c r="D679" s="6" t="str">
        <x:v>2 tv_stand items
Floor level: 1</x:v>
      </x:c>
      <x:c r="E679" s="6" t="str">
        <x:v>Reference supplied</x:v>
      </x:c>
      <x:c r="F679" s="6" t="str">
        <x:v>train</x:v>
      </x:c>
      <x:c r="G679" s="6" t="str">
        <x:v>swiss-1283</x:v>
      </x:c>
      <x:c r="H679" s="6" t="str">
        <x:v>swiss-1283-Q02</x:v>
      </x:c>
      <x:c r="I679" s="6" t="str">
        <x:v>Find and count assets</x:v>
      </x:c>
      <x:c r="J679" s="6" t="str">
        <x:v>Warm-up</x:v>
      </x:c>
      <x:c r="K679" s="6" t="str">
        <x:v>An exact integer count with the scope stated in prose.</x:v>
      </x:c>
      <x:c r="L679" s="6" t="str">
        <x:v>T02, T03</x:v>
      </x:c>
      <x:c r="M679" s="6" t="str">
        <x:v>Count all items of a requested type on one floor.</x:v>
      </x:c>
      <x:c r="N679" s="6" t="str">
        <x:v>{"count":2,"asset_type":"tv_stand","floor_level":1}</x:v>
      </x:c>
      <x:c r="O679" s="6"/>
      <x:c r="P679" s="6" t="str">
        <x:v>Exact asset type and target floor. Count complete collection.</x:v>
      </x:c>
      <x:c r="Q679" s="15" t="n">
        <x:v>2</x:v>
      </x:c>
      <x:c r="R679" s="6" t="str">
        <x:v>items</x:v>
      </x:c>
      <x:c r="S679" s="16"/>
      <x:c r="T679" s="15"/>
      <x:c r="U679" s="6"/>
      <x:c r="V679" s="6"/>
      <x:c r="W679" s="6" t="str">
        <x:v>No dedicated counting tool. search_building exposes matches but returns at most 15 results.</x:v>
      </x:c>
      <x:c r="X679" s="6" t="str">
        <x:v>data/train/swiss-1283/questions_basic.jsonl</x:v>
      </x:c>
      <x:c r="Y679" s="14" t="n">
        <x:v>2</x:v>
      </x:c>
      <x:c r="Z679" s="6" t="str">
        <x:v>https://github.com/hagenhaeussler/Industrial-Agents-Hackathon-2026/blob/f41616590b69f3ea0c1cbfb41d6c35edd9ce53df/data/train/swiss-1283/questions_basic.jsonl#L2</x:v>
      </x:c>
      <x:c r="AA679" s="6" t="str">
        <x:v>swiss_dwellings</x:v>
      </x:c>
      <x:c r="AB679" s="6" t="str">
        <x:v>CC-BY-4.0</x:v>
      </x:c>
    </x:row>
    <x:row r="680" ht="72" customHeight="1">
      <x:c r="A680" s="14" t="n">
        <x:v>675</x:v>
      </x:c>
      <x:c r="B680" s="6" t="str">
        <x:v>count</x:v>
      </x:c>
      <x:c r="C680" s="6" t="str">
        <x:v>How many toilet items are on the floor 2?</x:v>
      </x:c>
      <x:c r="D680" s="6" t="str">
        <x:v>2 toilet items
Floor level: 2</x:v>
      </x:c>
      <x:c r="E680" s="6" t="str">
        <x:v>Reference supplied</x:v>
      </x:c>
      <x:c r="F680" s="6" t="str">
        <x:v>train</x:v>
      </x:c>
      <x:c r="G680" s="6" t="str">
        <x:v>swiss-1355</x:v>
      </x:c>
      <x:c r="H680" s="6" t="str">
        <x:v>swiss-1355-Q01</x:v>
      </x:c>
      <x:c r="I680" s="6" t="str">
        <x:v>Find and count assets</x:v>
      </x:c>
      <x:c r="J680" s="6" t="str">
        <x:v>Warm-up</x:v>
      </x:c>
      <x:c r="K680" s="6" t="str">
        <x:v>An exact integer count with the scope stated in prose.</x:v>
      </x:c>
      <x:c r="L680" s="6" t="str">
        <x:v>T02, T03</x:v>
      </x:c>
      <x:c r="M680" s="6" t="str">
        <x:v>Count all items of a requested type on one floor.</x:v>
      </x:c>
      <x:c r="N680" s="6" t="str">
        <x:v>{"count":2,"asset_type":"toilet","floor_level":2}</x:v>
      </x:c>
      <x:c r="O680" s="6"/>
      <x:c r="P680" s="6" t="str">
        <x:v>Exact asset type and target floor. Count complete collection.</x:v>
      </x:c>
      <x:c r="Q680" s="15" t="n">
        <x:v>2</x:v>
      </x:c>
      <x:c r="R680" s="6" t="str">
        <x:v>items</x:v>
      </x:c>
      <x:c r="S680" s="16"/>
      <x:c r="T680" s="15"/>
      <x:c r="U680" s="6"/>
      <x:c r="V680" s="6"/>
      <x:c r="W680" s="6" t="str">
        <x:v>No dedicated counting tool. search_building exposes matches but returns at most 15 results.</x:v>
      </x:c>
      <x:c r="X680" s="6" t="str">
        <x:v>data/train/swiss-1355/questions_basic.jsonl</x:v>
      </x:c>
      <x:c r="Y680" s="14" t="n">
        <x:v>1</x:v>
      </x:c>
      <x:c r="Z680" s="6" t="str">
        <x:v>https://github.com/hagenhaeussler/Industrial-Agents-Hackathon-2026/blob/f41616590b69f3ea0c1cbfb41d6c35edd9ce53df/data/train/swiss-1355/questions_basic.jsonl#L1</x:v>
      </x:c>
      <x:c r="AA680" s="6" t="str">
        <x:v>swiss_dwellings</x:v>
      </x:c>
      <x:c r="AB680" s="6" t="str">
        <x:v>CC-BY-4.0</x:v>
      </x:c>
    </x:row>
    <x:row r="681" ht="72" customHeight="1">
      <x:c r="A681" s="14" t="n">
        <x:v>676</x:v>
      </x:c>
      <x:c r="B681" s="6" t="str">
        <x:v>count</x:v>
      </x:c>
      <x:c r="C681" s="6" t="str">
        <x:v>How many desk items are on the floor 3?</x:v>
      </x:c>
      <x:c r="D681" s="6" t="str">
        <x:v>5 desk items
Floor level: 3</x:v>
      </x:c>
      <x:c r="E681" s="6" t="str">
        <x:v>Reference supplied</x:v>
      </x:c>
      <x:c r="F681" s="6" t="str">
        <x:v>train</x:v>
      </x:c>
      <x:c r="G681" s="6" t="str">
        <x:v>swiss-1390</x:v>
      </x:c>
      <x:c r="H681" s="6" t="str">
        <x:v>swiss-1390-Q02</x:v>
      </x:c>
      <x:c r="I681" s="6" t="str">
        <x:v>Find and count assets</x:v>
      </x:c>
      <x:c r="J681" s="6" t="str">
        <x:v>Warm-up</x:v>
      </x:c>
      <x:c r="K681" s="6" t="str">
        <x:v>An exact integer count with the scope stated in prose.</x:v>
      </x:c>
      <x:c r="L681" s="6" t="str">
        <x:v>T02, T03</x:v>
      </x:c>
      <x:c r="M681" s="6" t="str">
        <x:v>Count all items of a requested type on one floor.</x:v>
      </x:c>
      <x:c r="N681" s="6" t="str">
        <x:v>{"count":5,"asset_type":"desk","floor_level":3}</x:v>
      </x:c>
      <x:c r="O681" s="6"/>
      <x:c r="P681" s="6" t="str">
        <x:v>Exact asset type and target floor. Count complete collection.</x:v>
      </x:c>
      <x:c r="Q681" s="15" t="n">
        <x:v>5</x:v>
      </x:c>
      <x:c r="R681" s="6" t="str">
        <x:v>items</x:v>
      </x:c>
      <x:c r="S681" s="16"/>
      <x:c r="T681" s="15"/>
      <x:c r="U681" s="6"/>
      <x:c r="V681" s="6"/>
      <x:c r="W681" s="6" t="str">
        <x:v>No dedicated counting tool. search_building exposes matches but returns at most 15 results.</x:v>
      </x:c>
      <x:c r="X681" s="6" t="str">
        <x:v>data/train/swiss-1390/questions_basic.jsonl</x:v>
      </x:c>
      <x:c r="Y681" s="14" t="n">
        <x:v>2</x:v>
      </x:c>
      <x:c r="Z681" s="6" t="str">
        <x:v>https://github.com/hagenhaeussler/Industrial-Agents-Hackathon-2026/blob/f41616590b69f3ea0c1cbfb41d6c35edd9ce53df/data/train/swiss-1390/questions_basic.jsonl#L2</x:v>
      </x:c>
      <x:c r="AA681" s="6" t="str">
        <x:v>swiss_dwellings</x:v>
      </x:c>
      <x:c r="AB681" s="6" t="str">
        <x:v>CC-BY-4.0</x:v>
      </x:c>
    </x:row>
    <x:row r="682" ht="72" customHeight="1">
      <x:c r="A682" s="14" t="n">
        <x:v>677</x:v>
      </x:c>
      <x:c r="B682" s="6" t="str">
        <x:v>count</x:v>
      </x:c>
      <x:c r="C682" s="6" t="str">
        <x:v>How many toilet items are on the floor 2?</x:v>
      </x:c>
      <x:c r="D682" s="6" t="str">
        <x:v>2 toilet items
Floor level: 2</x:v>
      </x:c>
      <x:c r="E682" s="6" t="str">
        <x:v>Reference supplied</x:v>
      </x:c>
      <x:c r="F682" s="6" t="str">
        <x:v>train</x:v>
      </x:c>
      <x:c r="G682" s="6" t="str">
        <x:v>swiss-1433</x:v>
      </x:c>
      <x:c r="H682" s="6" t="str">
        <x:v>swiss-1433-Q03</x:v>
      </x:c>
      <x:c r="I682" s="6" t="str">
        <x:v>Find and count assets</x:v>
      </x:c>
      <x:c r="J682" s="6" t="str">
        <x:v>Warm-up</x:v>
      </x:c>
      <x:c r="K682" s="6" t="str">
        <x:v>An exact integer count with the scope stated in prose.</x:v>
      </x:c>
      <x:c r="L682" s="6" t="str">
        <x:v>T02, T03</x:v>
      </x:c>
      <x:c r="M682" s="6" t="str">
        <x:v>Count all items of a requested type on one floor.</x:v>
      </x:c>
      <x:c r="N682" s="6" t="str">
        <x:v>{"count":2,"asset_type":"toilet","floor_level":2}</x:v>
      </x:c>
      <x:c r="O682" s="6"/>
      <x:c r="P682" s="6" t="str">
        <x:v>Exact asset type and target floor. Count complete collection.</x:v>
      </x:c>
      <x:c r="Q682" s="15" t="n">
        <x:v>2</x:v>
      </x:c>
      <x:c r="R682" s="6" t="str">
        <x:v>items</x:v>
      </x:c>
      <x:c r="S682" s="16"/>
      <x:c r="T682" s="15"/>
      <x:c r="U682" s="6"/>
      <x:c r="V682" s="6"/>
      <x:c r="W682" s="6" t="str">
        <x:v>No dedicated counting tool. search_building exposes matches but returns at most 15 results.</x:v>
      </x:c>
      <x:c r="X682" s="6" t="str">
        <x:v>data/train/swiss-1433/questions_basic.jsonl</x:v>
      </x:c>
      <x:c r="Y682" s="14" t="n">
        <x:v>3</x:v>
      </x:c>
      <x:c r="Z682" s="6" t="str">
        <x:v>https://github.com/hagenhaeussler/Industrial-Agents-Hackathon-2026/blob/f41616590b69f3ea0c1cbfb41d6c35edd9ce53df/data/train/swiss-1433/questions_basic.jsonl#L3</x:v>
      </x:c>
      <x:c r="AA682" s="6" t="str">
        <x:v>swiss_dwellings</x:v>
      </x:c>
      <x:c r="AB682" s="6" t="str">
        <x:v>CC-BY-4.0</x:v>
      </x:c>
    </x:row>
    <x:row r="683" ht="72" customHeight="1">
      <x:c r="A683" s="14" t="n">
        <x:v>678</x:v>
      </x:c>
      <x:c r="B683" s="6" t="str">
        <x:v>count</x:v>
      </x:c>
      <x:c r="C683" s="6" t="str">
        <x:v>How many desk items are on the ground floor?</x:v>
      </x:c>
      <x:c r="D683" s="6" t="str">
        <x:v>5 desk items
Floor level: 0</x:v>
      </x:c>
      <x:c r="E683" s="6" t="str">
        <x:v>Reference supplied</x:v>
      </x:c>
      <x:c r="F683" s="6" t="str">
        <x:v>train</x:v>
      </x:c>
      <x:c r="G683" s="6" t="str">
        <x:v>swiss-1444</x:v>
      </x:c>
      <x:c r="H683" s="6" t="str">
        <x:v>swiss-1444-Q02</x:v>
      </x:c>
      <x:c r="I683" s="6" t="str">
        <x:v>Find and count assets</x:v>
      </x:c>
      <x:c r="J683" s="6" t="str">
        <x:v>Warm-up</x:v>
      </x:c>
      <x:c r="K683" s="6" t="str">
        <x:v>An exact integer count with the scope stated in prose.</x:v>
      </x:c>
      <x:c r="L683" s="6" t="str">
        <x:v>T02, T03</x:v>
      </x:c>
      <x:c r="M683" s="6" t="str">
        <x:v>Count all items of a requested type on one floor.</x:v>
      </x:c>
      <x:c r="N683" s="6" t="str">
        <x:v>{"count":5,"asset_type":"desk","floor_level":0}</x:v>
      </x:c>
      <x:c r="O683" s="6"/>
      <x:c r="P683" s="6" t="str">
        <x:v>Exact asset type and target floor. Count complete collection.</x:v>
      </x:c>
      <x:c r="Q683" s="15" t="n">
        <x:v>5</x:v>
      </x:c>
      <x:c r="R683" s="6" t="str">
        <x:v>items</x:v>
      </x:c>
      <x:c r="S683" s="16"/>
      <x:c r="T683" s="15"/>
      <x:c r="U683" s="6"/>
      <x:c r="V683" s="6"/>
      <x:c r="W683" s="6" t="str">
        <x:v>No dedicated counting tool. search_building exposes matches but returns at most 15 results.</x:v>
      </x:c>
      <x:c r="X683" s="6" t="str">
        <x:v>data/train/swiss-1444/questions_basic.jsonl</x:v>
      </x:c>
      <x:c r="Y683" s="14" t="n">
        <x:v>2</x:v>
      </x:c>
      <x:c r="Z683" s="6" t="str">
        <x:v>https://github.com/hagenhaeussler/Industrial-Agents-Hackathon-2026/blob/f41616590b69f3ea0c1cbfb41d6c35edd9ce53df/data/train/swiss-1444/questions_basic.jsonl#L2</x:v>
      </x:c>
      <x:c r="AA683" s="6" t="str">
        <x:v>swiss_dwellings</x:v>
      </x:c>
      <x:c r="AB683" s="6" t="str">
        <x:v>CC-BY-4.0</x:v>
      </x:c>
    </x:row>
    <x:row r="684" ht="72" customHeight="1">
      <x:c r="A684" s="14" t="n">
        <x:v>679</x:v>
      </x:c>
      <x:c r="B684" s="6" t="str">
        <x:v>count</x:v>
      </x:c>
      <x:c r="C684" s="6" t="str">
        <x:v>How many tv stand items are on the floor 1?</x:v>
      </x:c>
      <x:c r="D684" s="6" t="str">
        <x:v>2 tv_stand items
Floor level: 1</x:v>
      </x:c>
      <x:c r="E684" s="6" t="str">
        <x:v>Reference supplied</x:v>
      </x:c>
      <x:c r="F684" s="6" t="str">
        <x:v>train</x:v>
      </x:c>
      <x:c r="G684" s="6" t="str">
        <x:v>swiss-1457</x:v>
      </x:c>
      <x:c r="H684" s="6" t="str">
        <x:v>swiss-1457-Q03</x:v>
      </x:c>
      <x:c r="I684" s="6" t="str">
        <x:v>Find and count assets</x:v>
      </x:c>
      <x:c r="J684" s="6" t="str">
        <x:v>Warm-up</x:v>
      </x:c>
      <x:c r="K684" s="6" t="str">
        <x:v>An exact integer count with the scope stated in prose.</x:v>
      </x:c>
      <x:c r="L684" s="6" t="str">
        <x:v>T02, T03</x:v>
      </x:c>
      <x:c r="M684" s="6" t="str">
        <x:v>Count all items of a requested type on one floor.</x:v>
      </x:c>
      <x:c r="N684" s="6" t="str">
        <x:v>{"count":2,"asset_type":"tv_stand","floor_level":1}</x:v>
      </x:c>
      <x:c r="O684" s="6"/>
      <x:c r="P684" s="6" t="str">
        <x:v>Exact asset type and target floor. Count complete collection.</x:v>
      </x:c>
      <x:c r="Q684" s="15" t="n">
        <x:v>2</x:v>
      </x:c>
      <x:c r="R684" s="6" t="str">
        <x:v>items</x:v>
      </x:c>
      <x:c r="S684" s="16"/>
      <x:c r="T684" s="15"/>
      <x:c r="U684" s="6"/>
      <x:c r="V684" s="6"/>
      <x:c r="W684" s="6" t="str">
        <x:v>No dedicated counting tool. search_building exposes matches but returns at most 15 results.</x:v>
      </x:c>
      <x:c r="X684" s="6" t="str">
        <x:v>data/train/swiss-1457/questions_basic.jsonl</x:v>
      </x:c>
      <x:c r="Y684" s="14" t="n">
        <x:v>3</x:v>
      </x:c>
      <x:c r="Z684" s="6" t="str">
        <x:v>https://github.com/hagenhaeussler/Industrial-Agents-Hackathon-2026/blob/f41616590b69f3ea0c1cbfb41d6c35edd9ce53df/data/train/swiss-1457/questions_basic.jsonl#L3</x:v>
      </x:c>
      <x:c r="AA684" s="6" t="str">
        <x:v>swiss_dwellings</x:v>
      </x:c>
      <x:c r="AB684" s="6" t="str">
        <x:v>CC-BY-4.0</x:v>
      </x:c>
    </x:row>
    <x:row r="685" ht="72" customHeight="1">
      <x:c r="A685" s="14" t="n">
        <x:v>680</x:v>
      </x:c>
      <x:c r="B685" s="6" t="str">
        <x:v>count</x:v>
      </x:c>
      <x:c r="C685" s="6" t="str">
        <x:v>How many stove items are on the floor 3?</x:v>
      </x:c>
      <x:c r="D685" s="6" t="str">
        <x:v>2 stove items
Floor level: 3</x:v>
      </x:c>
      <x:c r="E685" s="6" t="str">
        <x:v>Reference supplied</x:v>
      </x:c>
      <x:c r="F685" s="6" t="str">
        <x:v>train</x:v>
      </x:c>
      <x:c r="G685" s="6" t="str">
        <x:v>swiss-1463</x:v>
      </x:c>
      <x:c r="H685" s="6" t="str">
        <x:v>swiss-1463-Q02</x:v>
      </x:c>
      <x:c r="I685" s="6" t="str">
        <x:v>Find and count assets</x:v>
      </x:c>
      <x:c r="J685" s="6" t="str">
        <x:v>Warm-up</x:v>
      </x:c>
      <x:c r="K685" s="6" t="str">
        <x:v>An exact integer count with the scope stated in prose.</x:v>
      </x:c>
      <x:c r="L685" s="6" t="str">
        <x:v>T02, T03</x:v>
      </x:c>
      <x:c r="M685" s="6" t="str">
        <x:v>Count all items of a requested type on one floor.</x:v>
      </x:c>
      <x:c r="N685" s="6" t="str">
        <x:v>{"count":2,"asset_type":"stove","floor_level":3}</x:v>
      </x:c>
      <x:c r="O685" s="6"/>
      <x:c r="P685" s="6" t="str">
        <x:v>Exact asset type and target floor. Count complete collection.</x:v>
      </x:c>
      <x:c r="Q685" s="15" t="n">
        <x:v>2</x:v>
      </x:c>
      <x:c r="R685" s="6" t="str">
        <x:v>items</x:v>
      </x:c>
      <x:c r="S685" s="16"/>
      <x:c r="T685" s="15"/>
      <x:c r="U685" s="6"/>
      <x:c r="V685" s="6"/>
      <x:c r="W685" s="6" t="str">
        <x:v>No dedicated counting tool. search_building exposes matches but returns at most 15 results.</x:v>
      </x:c>
      <x:c r="X685" s="6" t="str">
        <x:v>data/train/swiss-1463/questions_basic.jsonl</x:v>
      </x:c>
      <x:c r="Y685" s="14" t="n">
        <x:v>2</x:v>
      </x:c>
      <x:c r="Z685" s="6" t="str">
        <x:v>https://github.com/hagenhaeussler/Industrial-Agents-Hackathon-2026/blob/f41616590b69f3ea0c1cbfb41d6c35edd9ce53df/data/train/swiss-1463/questions_basic.jsonl#L2</x:v>
      </x:c>
      <x:c r="AA685" s="6" t="str">
        <x:v>swiss_dwellings</x:v>
      </x:c>
      <x:c r="AB685" s="6" t="str">
        <x:v>CC-BY-4.0</x:v>
      </x:c>
    </x:row>
    <x:row r="686" ht="72" customHeight="1">
      <x:c r="A686" s="14" t="n">
        <x:v>681</x:v>
      </x:c>
      <x:c r="B686" s="6" t="str">
        <x:v>count</x:v>
      </x:c>
      <x:c r="C686" s="6" t="str">
        <x:v>How many fridge items are on the ground floor?</x:v>
      </x:c>
      <x:c r="D686" s="6" t="str">
        <x:v>2 fridge items
Floor level: 0</x:v>
      </x:c>
      <x:c r="E686" s="6" t="str">
        <x:v>Reference supplied</x:v>
      </x:c>
      <x:c r="F686" s="6" t="str">
        <x:v>train</x:v>
      </x:c>
      <x:c r="G686" s="6" t="str">
        <x:v>swiss-1470</x:v>
      </x:c>
      <x:c r="H686" s="6" t="str">
        <x:v>swiss-1470-Q04</x:v>
      </x:c>
      <x:c r="I686" s="6" t="str">
        <x:v>Find and count assets</x:v>
      </x:c>
      <x:c r="J686" s="6" t="str">
        <x:v>Warm-up</x:v>
      </x:c>
      <x:c r="K686" s="6" t="str">
        <x:v>An exact integer count with the scope stated in prose.</x:v>
      </x:c>
      <x:c r="L686" s="6" t="str">
        <x:v>T02, T03</x:v>
      </x:c>
      <x:c r="M686" s="6" t="str">
        <x:v>Count all items of a requested type on one floor.</x:v>
      </x:c>
      <x:c r="N686" s="6" t="str">
        <x:v>{"count":2,"asset_type":"fridge","floor_level":0}</x:v>
      </x:c>
      <x:c r="O686" s="6"/>
      <x:c r="P686" s="6" t="str">
        <x:v>Exact asset type and target floor. Count complete collection.</x:v>
      </x:c>
      <x:c r="Q686" s="15" t="n">
        <x:v>2</x:v>
      </x:c>
      <x:c r="R686" s="6" t="str">
        <x:v>items</x:v>
      </x:c>
      <x:c r="S686" s="16"/>
      <x:c r="T686" s="15"/>
      <x:c r="U686" s="6"/>
      <x:c r="V686" s="6"/>
      <x:c r="W686" s="6" t="str">
        <x:v>No dedicated counting tool. search_building exposes matches but returns at most 15 results.</x:v>
      </x:c>
      <x:c r="X686" s="6" t="str">
        <x:v>data/train/swiss-1470/questions_basic.jsonl</x:v>
      </x:c>
      <x:c r="Y686" s="14" t="n">
        <x:v>4</x:v>
      </x:c>
      <x:c r="Z686" s="6" t="str">
        <x:v>https://github.com/hagenhaeussler/Industrial-Agents-Hackathon-2026/blob/f41616590b69f3ea0c1cbfb41d6c35edd9ce53df/data/train/swiss-1470/questions_basic.jsonl#L4</x:v>
      </x:c>
      <x:c r="AA686" s="6" t="str">
        <x:v>swiss_dwellings</x:v>
      </x:c>
      <x:c r="AB686" s="6" t="str">
        <x:v>CC-BY-4.0</x:v>
      </x:c>
    </x:row>
    <x:row r="687" ht="72" customHeight="1">
      <x:c r="A687" s="14" t="n">
        <x:v>682</x:v>
      </x:c>
      <x:c r="B687" s="6" t="str">
        <x:v>count</x:v>
      </x:c>
      <x:c r="C687" s="6" t="str">
        <x:v>How many wardrobe items are on the floor 1?</x:v>
      </x:c>
      <x:c r="D687" s="6" t="str">
        <x:v>9 wardrobe items
Floor level: 1</x:v>
      </x:c>
      <x:c r="E687" s="6" t="str">
        <x:v>Reference supplied</x:v>
      </x:c>
      <x:c r="F687" s="6" t="str">
        <x:v>train</x:v>
      </x:c>
      <x:c r="G687" s="6" t="str">
        <x:v>swiss-148</x:v>
      </x:c>
      <x:c r="H687" s="6" t="str">
        <x:v>swiss-148-Q03</x:v>
      </x:c>
      <x:c r="I687" s="6" t="str">
        <x:v>Find and count assets</x:v>
      </x:c>
      <x:c r="J687" s="6" t="str">
        <x:v>Warm-up</x:v>
      </x:c>
      <x:c r="K687" s="6" t="str">
        <x:v>An exact integer count with the scope stated in prose.</x:v>
      </x:c>
      <x:c r="L687" s="6" t="str">
        <x:v>T02, T03</x:v>
      </x:c>
      <x:c r="M687" s="6" t="str">
        <x:v>Count all items of a requested type on one floor.</x:v>
      </x:c>
      <x:c r="N687" s="6" t="str">
        <x:v>{"count":9,"asset_type":"wardrobe","floor_level":1}</x:v>
      </x:c>
      <x:c r="O687" s="6"/>
      <x:c r="P687" s="6" t="str">
        <x:v>Exact asset type and target floor. Count complete collection.</x:v>
      </x:c>
      <x:c r="Q687" s="15" t="n">
        <x:v>9</x:v>
      </x:c>
      <x:c r="R687" s="6" t="str">
        <x:v>items</x:v>
      </x:c>
      <x:c r="S687" s="16"/>
      <x:c r="T687" s="15"/>
      <x:c r="U687" s="6"/>
      <x:c r="V687" s="6"/>
      <x:c r="W687" s="6" t="str">
        <x:v>No dedicated counting tool. search_building exposes matches but returns at most 15 results.</x:v>
      </x:c>
      <x:c r="X687" s="6" t="str">
        <x:v>data/train/swiss-148/questions_basic.jsonl</x:v>
      </x:c>
      <x:c r="Y687" s="14" t="n">
        <x:v>3</x:v>
      </x:c>
      <x:c r="Z687" s="6" t="str">
        <x:v>https://github.com/hagenhaeussler/Industrial-Agents-Hackathon-2026/blob/f41616590b69f3ea0c1cbfb41d6c35edd9ce53df/data/train/swiss-148/questions_basic.jsonl#L3</x:v>
      </x:c>
      <x:c r="AA687" s="6" t="str">
        <x:v>swiss_dwellings</x:v>
      </x:c>
      <x:c r="AB687" s="6" t="str">
        <x:v>CC-BY-4.0</x:v>
      </x:c>
    </x:row>
    <x:row r="688" ht="72" customHeight="1">
      <x:c r="A688" s="14" t="n">
        <x:v>683</x:v>
      </x:c>
      <x:c r="B688" s="6" t="str">
        <x:v>count</x:v>
      </x:c>
      <x:c r="C688" s="6" t="str">
        <x:v>How many desk items are on the ground floor?</x:v>
      </x:c>
      <x:c r="D688" s="6" t="str">
        <x:v>3 desk items
Floor level: 0</x:v>
      </x:c>
      <x:c r="E688" s="6" t="str">
        <x:v>Reference supplied</x:v>
      </x:c>
      <x:c r="F688" s="6" t="str">
        <x:v>train</x:v>
      </x:c>
      <x:c r="G688" s="6" t="str">
        <x:v>swiss-1543</x:v>
      </x:c>
      <x:c r="H688" s="6" t="str">
        <x:v>swiss-1543-Q02</x:v>
      </x:c>
      <x:c r="I688" s="6" t="str">
        <x:v>Find and count assets</x:v>
      </x:c>
      <x:c r="J688" s="6" t="str">
        <x:v>Warm-up</x:v>
      </x:c>
      <x:c r="K688" s="6" t="str">
        <x:v>An exact integer count with the scope stated in prose.</x:v>
      </x:c>
      <x:c r="L688" s="6" t="str">
        <x:v>T02, T03</x:v>
      </x:c>
      <x:c r="M688" s="6" t="str">
        <x:v>Count all items of a requested type on one floor.</x:v>
      </x:c>
      <x:c r="N688" s="6" t="str">
        <x:v>{"count":3,"asset_type":"desk","floor_level":0}</x:v>
      </x:c>
      <x:c r="O688" s="6"/>
      <x:c r="P688" s="6" t="str">
        <x:v>Exact asset type and target floor. Count complete collection.</x:v>
      </x:c>
      <x:c r="Q688" s="15" t="n">
        <x:v>3</x:v>
      </x:c>
      <x:c r="R688" s="6" t="str">
        <x:v>items</x:v>
      </x:c>
      <x:c r="S688" s="16"/>
      <x:c r="T688" s="15"/>
      <x:c r="U688" s="6"/>
      <x:c r="V688" s="6"/>
      <x:c r="W688" s="6" t="str">
        <x:v>No dedicated counting tool. search_building exposes matches but returns at most 15 results.</x:v>
      </x:c>
      <x:c r="X688" s="6" t="str">
        <x:v>data/train/swiss-1543/questions_basic.jsonl</x:v>
      </x:c>
      <x:c r="Y688" s="14" t="n">
        <x:v>2</x:v>
      </x:c>
      <x:c r="Z688" s="6" t="str">
        <x:v>https://github.com/hagenhaeussler/Industrial-Agents-Hackathon-2026/blob/f41616590b69f3ea0c1cbfb41d6c35edd9ce53df/data/train/swiss-1543/questions_basic.jsonl#L2</x:v>
      </x:c>
      <x:c r="AA688" s="6" t="str">
        <x:v>swiss_dwellings</x:v>
      </x:c>
      <x:c r="AB688" s="6" t="str">
        <x:v>CC-BY-4.0</x:v>
      </x:c>
    </x:row>
    <x:row r="689" ht="72" customHeight="1">
      <x:c r="A689" s="14" t="n">
        <x:v>684</x:v>
      </x:c>
      <x:c r="B689" s="6" t="str">
        <x:v>count</x:v>
      </x:c>
      <x:c r="C689" s="6" t="str">
        <x:v>How many outdoor chair items are on the basement 1?</x:v>
      </x:c>
      <x:c r="D689" s="6" t="str">
        <x:v>3 outdoor_chair items
Floor level: -1</x:v>
      </x:c>
      <x:c r="E689" s="6" t="str">
        <x:v>Reference supplied</x:v>
      </x:c>
      <x:c r="F689" s="6" t="str">
        <x:v>train</x:v>
      </x:c>
      <x:c r="G689" s="6" t="str">
        <x:v>swiss-15503</x:v>
      </x:c>
      <x:c r="H689" s="6" t="str">
        <x:v>swiss-15503-Q03</x:v>
      </x:c>
      <x:c r="I689" s="6" t="str">
        <x:v>Find and count assets</x:v>
      </x:c>
      <x:c r="J689" s="6" t="str">
        <x:v>Warm-up</x:v>
      </x:c>
      <x:c r="K689" s="6" t="str">
        <x:v>An exact integer count with the scope stated in prose.</x:v>
      </x:c>
      <x:c r="L689" s="6" t="str">
        <x:v>T02, T03</x:v>
      </x:c>
      <x:c r="M689" s="6" t="str">
        <x:v>Count all items of a requested type on one floor.</x:v>
      </x:c>
      <x:c r="N689" s="6" t="str">
        <x:v>{"count":3,"asset_type":"outdoor_chair","floor_level":-1}</x:v>
      </x:c>
      <x:c r="O689" s="6"/>
      <x:c r="P689" s="6" t="str">
        <x:v>Exact asset type and target floor. Count complete collection.</x:v>
      </x:c>
      <x:c r="Q689" s="15" t="n">
        <x:v>3</x:v>
      </x:c>
      <x:c r="R689" s="6" t="str">
        <x:v>items</x:v>
      </x:c>
      <x:c r="S689" s="16"/>
      <x:c r="T689" s="15"/>
      <x:c r="U689" s="6"/>
      <x:c r="V689" s="6"/>
      <x:c r="W689" s="6" t="str">
        <x:v>No dedicated counting tool. search_building exposes matches but returns at most 15 results.</x:v>
      </x:c>
      <x:c r="X689" s="6" t="str">
        <x:v>data/train/swiss-15503/questions_basic.jsonl</x:v>
      </x:c>
      <x:c r="Y689" s="14" t="n">
        <x:v>3</x:v>
      </x:c>
      <x:c r="Z689" s="6" t="str">
        <x:v>https://github.com/hagenhaeussler/Industrial-Agents-Hackathon-2026/blob/f41616590b69f3ea0c1cbfb41d6c35edd9ce53df/data/train/swiss-15503/questions_basic.jsonl#L3</x:v>
      </x:c>
      <x:c r="AA689" s="6" t="str">
        <x:v>swiss_dwellings</x:v>
      </x:c>
      <x:c r="AB689" s="6" t="str">
        <x:v>CC-BY-4.0</x:v>
      </x:c>
    </x:row>
    <x:row r="690" ht="72" customHeight="1">
      <x:c r="A690" s="14" t="n">
        <x:v>685</x:v>
      </x:c>
      <x:c r="B690" s="6" t="str">
        <x:v>count</x:v>
      </x:c>
      <x:c r="C690" s="6" t="str">
        <x:v>How many sofa items are on the ground floor?</x:v>
      </x:c>
      <x:c r="D690" s="6" t="str">
        <x:v>2 sofa items
Floor level: 0</x:v>
      </x:c>
      <x:c r="E690" s="6" t="str">
        <x:v>Reference supplied</x:v>
      </x:c>
      <x:c r="F690" s="6" t="str">
        <x:v>train</x:v>
      </x:c>
      <x:c r="G690" s="6" t="str">
        <x:v>swiss-1571</x:v>
      </x:c>
      <x:c r="H690" s="6" t="str">
        <x:v>swiss-1571-Q03</x:v>
      </x:c>
      <x:c r="I690" s="6" t="str">
        <x:v>Find and count assets</x:v>
      </x:c>
      <x:c r="J690" s="6" t="str">
        <x:v>Warm-up</x:v>
      </x:c>
      <x:c r="K690" s="6" t="str">
        <x:v>An exact integer count with the scope stated in prose.</x:v>
      </x:c>
      <x:c r="L690" s="6" t="str">
        <x:v>T02, T03</x:v>
      </x:c>
      <x:c r="M690" s="6" t="str">
        <x:v>Count all items of a requested type on one floor.</x:v>
      </x:c>
      <x:c r="N690" s="6" t="str">
        <x:v>{"count":2,"asset_type":"sofa","floor_level":0}</x:v>
      </x:c>
      <x:c r="O690" s="6"/>
      <x:c r="P690" s="6" t="str">
        <x:v>Exact asset type and target floor. Count complete collection.</x:v>
      </x:c>
      <x:c r="Q690" s="15" t="n">
        <x:v>2</x:v>
      </x:c>
      <x:c r="R690" s="6" t="str">
        <x:v>items</x:v>
      </x:c>
      <x:c r="S690" s="16"/>
      <x:c r="T690" s="15"/>
      <x:c r="U690" s="6"/>
      <x:c r="V690" s="6"/>
      <x:c r="W690" s="6" t="str">
        <x:v>No dedicated counting tool. search_building exposes matches but returns at most 15 results.</x:v>
      </x:c>
      <x:c r="X690" s="6" t="str">
        <x:v>data/train/swiss-1571/questions_basic.jsonl</x:v>
      </x:c>
      <x:c r="Y690" s="14" t="n">
        <x:v>3</x:v>
      </x:c>
      <x:c r="Z690" s="6" t="str">
        <x:v>https://github.com/hagenhaeussler/Industrial-Agents-Hackathon-2026/blob/f41616590b69f3ea0c1cbfb41d6c35edd9ce53df/data/train/swiss-1571/questions_basic.jsonl#L3</x:v>
      </x:c>
      <x:c r="AA690" s="6" t="str">
        <x:v>swiss_dwellings</x:v>
      </x:c>
      <x:c r="AB690" s="6" t="str">
        <x:v>CC-BY-4.0</x:v>
      </x:c>
    </x:row>
    <x:row r="691" ht="72" customHeight="1">
      <x:c r="A691" s="14" t="n">
        <x:v>686</x:v>
      </x:c>
      <x:c r="B691" s="6" t="str">
        <x:v>count</x:v>
      </x:c>
      <x:c r="C691" s="6" t="str">
        <x:v>How many plant items are on the ground floor?</x:v>
      </x:c>
      <x:c r="D691" s="6" t="str">
        <x:v>2 plant items
Floor level: 0</x:v>
      </x:c>
      <x:c r="E691" s="6" t="str">
        <x:v>Reference supplied</x:v>
      </x:c>
      <x:c r="F691" s="6" t="str">
        <x:v>train</x:v>
      </x:c>
      <x:c r="G691" s="6" t="str">
        <x:v>swiss-16357</x:v>
      </x:c>
      <x:c r="H691" s="6" t="str">
        <x:v>swiss-16357-Q04</x:v>
      </x:c>
      <x:c r="I691" s="6" t="str">
        <x:v>Find and count assets</x:v>
      </x:c>
      <x:c r="J691" s="6" t="str">
        <x:v>Warm-up</x:v>
      </x:c>
      <x:c r="K691" s="6" t="str">
        <x:v>An exact integer count with the scope stated in prose.</x:v>
      </x:c>
      <x:c r="L691" s="6" t="str">
        <x:v>T02, T03</x:v>
      </x:c>
      <x:c r="M691" s="6" t="str">
        <x:v>Count all items of a requested type on one floor.</x:v>
      </x:c>
      <x:c r="N691" s="6" t="str">
        <x:v>{"count":2,"asset_type":"plant","floor_level":0}</x:v>
      </x:c>
      <x:c r="O691" s="6"/>
      <x:c r="P691" s="6" t="str">
        <x:v>Exact asset type and target floor. Count complete collection.</x:v>
      </x:c>
      <x:c r="Q691" s="15" t="n">
        <x:v>2</x:v>
      </x:c>
      <x:c r="R691" s="6" t="str">
        <x:v>items</x:v>
      </x:c>
      <x:c r="S691" s="16"/>
      <x:c r="T691" s="15"/>
      <x:c r="U691" s="6"/>
      <x:c r="V691" s="6"/>
      <x:c r="W691" s="6" t="str">
        <x:v>No dedicated counting tool. search_building exposes matches but returns at most 15 results.</x:v>
      </x:c>
      <x:c r="X691" s="6" t="str">
        <x:v>data/train/swiss-16357/questions_basic.jsonl</x:v>
      </x:c>
      <x:c r="Y691" s="14" t="n">
        <x:v>4</x:v>
      </x:c>
      <x:c r="Z691" s="6" t="str">
        <x:v>https://github.com/hagenhaeussler/Industrial-Agents-Hackathon-2026/blob/f41616590b69f3ea0c1cbfb41d6c35edd9ce53df/data/train/swiss-16357/questions_basic.jsonl#L4</x:v>
      </x:c>
      <x:c r="AA691" s="6" t="str">
        <x:v>swiss_dwellings</x:v>
      </x:c>
      <x:c r="AB691" s="6" t="str">
        <x:v>CC-BY-4.0</x:v>
      </x:c>
    </x:row>
    <x:row r="692" ht="72" customHeight="1">
      <x:c r="A692" s="14" t="n">
        <x:v>687</x:v>
      </x:c>
      <x:c r="B692" s="6" t="str">
        <x:v>count</x:v>
      </x:c>
      <x:c r="C692" s="6" t="str">
        <x:v>How many sink items are on the ground floor?</x:v>
      </x:c>
      <x:c r="D692" s="6" t="str">
        <x:v>2 sink items
Floor level: 0</x:v>
      </x:c>
      <x:c r="E692" s="6" t="str">
        <x:v>Reference supplied</x:v>
      </x:c>
      <x:c r="F692" s="6" t="str">
        <x:v>train</x:v>
      </x:c>
      <x:c r="G692" s="6" t="str">
        <x:v>swiss-1650</x:v>
      </x:c>
      <x:c r="H692" s="6" t="str">
        <x:v>swiss-1650-Q03</x:v>
      </x:c>
      <x:c r="I692" s="6" t="str">
        <x:v>Find and count assets</x:v>
      </x:c>
      <x:c r="J692" s="6" t="str">
        <x:v>Warm-up</x:v>
      </x:c>
      <x:c r="K692" s="6" t="str">
        <x:v>An exact integer count with the scope stated in prose.</x:v>
      </x:c>
      <x:c r="L692" s="6" t="str">
        <x:v>T02, T03</x:v>
      </x:c>
      <x:c r="M692" s="6" t="str">
        <x:v>Count all items of a requested type on one floor.</x:v>
      </x:c>
      <x:c r="N692" s="6" t="str">
        <x:v>{"count":2,"asset_type":"sink","floor_level":0}</x:v>
      </x:c>
      <x:c r="O692" s="6"/>
      <x:c r="P692" s="6" t="str">
        <x:v>Exact asset type and target floor. Count complete collection.</x:v>
      </x:c>
      <x:c r="Q692" s="15" t="n">
        <x:v>2</x:v>
      </x:c>
      <x:c r="R692" s="6" t="str">
        <x:v>items</x:v>
      </x:c>
      <x:c r="S692" s="16"/>
      <x:c r="T692" s="15"/>
      <x:c r="U692" s="6"/>
      <x:c r="V692" s="6"/>
      <x:c r="W692" s="6" t="str">
        <x:v>No dedicated counting tool. search_building exposes matches but returns at most 15 results.</x:v>
      </x:c>
      <x:c r="X692" s="6" t="str">
        <x:v>data/train/swiss-1650/questions_basic.jsonl</x:v>
      </x:c>
      <x:c r="Y692" s="14" t="n">
        <x:v>3</x:v>
      </x:c>
      <x:c r="Z692" s="6" t="str">
        <x:v>https://github.com/hagenhaeussler/Industrial-Agents-Hackathon-2026/blob/f41616590b69f3ea0c1cbfb41d6c35edd9ce53df/data/train/swiss-1650/questions_basic.jsonl#L3</x:v>
      </x:c>
      <x:c r="AA692" s="6" t="str">
        <x:v>swiss_dwellings</x:v>
      </x:c>
      <x:c r="AB692" s="6" t="str">
        <x:v>CC-BY-4.0</x:v>
      </x:c>
    </x:row>
    <x:row r="693" ht="72" customHeight="1">
      <x:c r="A693" s="14" t="n">
        <x:v>688</x:v>
      </x:c>
      <x:c r="B693" s="6" t="str">
        <x:v>count</x:v>
      </x:c>
      <x:c r="C693" s="6" t="str">
        <x:v>How many sink items are on the floor 2?</x:v>
      </x:c>
      <x:c r="D693" s="6" t="str">
        <x:v>3 sink items
Floor level: 2</x:v>
      </x:c>
      <x:c r="E693" s="6" t="str">
        <x:v>Reference supplied</x:v>
      </x:c>
      <x:c r="F693" s="6" t="str">
        <x:v>train</x:v>
      </x:c>
      <x:c r="G693" s="6" t="str">
        <x:v>swiss-18196</x:v>
      </x:c>
      <x:c r="H693" s="6" t="str">
        <x:v>swiss-18196-Q03</x:v>
      </x:c>
      <x:c r="I693" s="6" t="str">
        <x:v>Find and count assets</x:v>
      </x:c>
      <x:c r="J693" s="6" t="str">
        <x:v>Warm-up</x:v>
      </x:c>
      <x:c r="K693" s="6" t="str">
        <x:v>An exact integer count with the scope stated in prose.</x:v>
      </x:c>
      <x:c r="L693" s="6" t="str">
        <x:v>T02, T03</x:v>
      </x:c>
      <x:c r="M693" s="6" t="str">
        <x:v>Count all items of a requested type on one floor.</x:v>
      </x:c>
      <x:c r="N693" s="6" t="str">
        <x:v>{"count":3,"asset_type":"sink","floor_level":2}</x:v>
      </x:c>
      <x:c r="O693" s="6"/>
      <x:c r="P693" s="6" t="str">
        <x:v>Exact asset type and target floor. Count complete collection.</x:v>
      </x:c>
      <x:c r="Q693" s="15" t="n">
        <x:v>3</x:v>
      </x:c>
      <x:c r="R693" s="6" t="str">
        <x:v>items</x:v>
      </x:c>
      <x:c r="S693" s="16"/>
      <x:c r="T693" s="15"/>
      <x:c r="U693" s="6"/>
      <x:c r="V693" s="6"/>
      <x:c r="W693" s="6" t="str">
        <x:v>No dedicated counting tool. search_building exposes matches but returns at most 15 results.</x:v>
      </x:c>
      <x:c r="X693" s="6" t="str">
        <x:v>data/train/swiss-18196/questions_basic.jsonl</x:v>
      </x:c>
      <x:c r="Y693" s="14" t="n">
        <x:v>3</x:v>
      </x:c>
      <x:c r="Z693" s="6" t="str">
        <x:v>https://github.com/hagenhaeussler/Industrial-Agents-Hackathon-2026/blob/f41616590b69f3ea0c1cbfb41d6c35edd9ce53df/data/train/swiss-18196/questions_basic.jsonl#L3</x:v>
      </x:c>
      <x:c r="AA693" s="6" t="str">
        <x:v>swiss_dwellings</x:v>
      </x:c>
      <x:c r="AB693" s="6" t="str">
        <x:v>CC-BY-4.0</x:v>
      </x:c>
    </x:row>
    <x:row r="694" ht="72" customHeight="1">
      <x:c r="A694" s="14" t="n">
        <x:v>689</x:v>
      </x:c>
      <x:c r="B694" s="6" t="str">
        <x:v>count</x:v>
      </x:c>
      <x:c r="C694" s="6" t="str">
        <x:v>How many nightstand items are on the floor 4?</x:v>
      </x:c>
      <x:c r="D694" s="6" t="str">
        <x:v>3 nightstand items
Floor level: 4</x:v>
      </x:c>
      <x:c r="E694" s="6" t="str">
        <x:v>Reference supplied</x:v>
      </x:c>
      <x:c r="F694" s="6" t="str">
        <x:v>train</x:v>
      </x:c>
      <x:c r="G694" s="6" t="str">
        <x:v>swiss-18256</x:v>
      </x:c>
      <x:c r="H694" s="6" t="str">
        <x:v>swiss-18256-Q03</x:v>
      </x:c>
      <x:c r="I694" s="6" t="str">
        <x:v>Find and count assets</x:v>
      </x:c>
      <x:c r="J694" s="6" t="str">
        <x:v>Warm-up</x:v>
      </x:c>
      <x:c r="K694" s="6" t="str">
        <x:v>An exact integer count with the scope stated in prose.</x:v>
      </x:c>
      <x:c r="L694" s="6" t="str">
        <x:v>T02, T03</x:v>
      </x:c>
      <x:c r="M694" s="6" t="str">
        <x:v>Count all items of a requested type on one floor.</x:v>
      </x:c>
      <x:c r="N694" s="6" t="str">
        <x:v>{"count":3,"asset_type":"nightstand","floor_level":4}</x:v>
      </x:c>
      <x:c r="O694" s="6"/>
      <x:c r="P694" s="6" t="str">
        <x:v>Exact asset type and target floor. Count complete collection.</x:v>
      </x:c>
      <x:c r="Q694" s="15" t="n">
        <x:v>3</x:v>
      </x:c>
      <x:c r="R694" s="6" t="str">
        <x:v>items</x:v>
      </x:c>
      <x:c r="S694" s="16"/>
      <x:c r="T694" s="15"/>
      <x:c r="U694" s="6"/>
      <x:c r="V694" s="6"/>
      <x:c r="W694" s="6" t="str">
        <x:v>No dedicated counting tool. search_building exposes matches but returns at most 15 results.</x:v>
      </x:c>
      <x:c r="X694" s="6" t="str">
        <x:v>data/train/swiss-18256/questions_basic.jsonl</x:v>
      </x:c>
      <x:c r="Y694" s="14" t="n">
        <x:v>3</x:v>
      </x:c>
      <x:c r="Z694" s="6" t="str">
        <x:v>https://github.com/hagenhaeussler/Industrial-Agents-Hackathon-2026/blob/f41616590b69f3ea0c1cbfb41d6c35edd9ce53df/data/train/swiss-18256/questions_basic.jsonl#L3</x:v>
      </x:c>
      <x:c r="AA694" s="6" t="str">
        <x:v>swiss_dwellings</x:v>
      </x:c>
      <x:c r="AB694" s="6" t="str">
        <x:v>CC-BY-4.0</x:v>
      </x:c>
    </x:row>
    <x:row r="695" ht="72" customHeight="1">
      <x:c r="A695" s="14" t="n">
        <x:v>690</x:v>
      </x:c>
      <x:c r="B695" s="6" t="str">
        <x:v>count</x:v>
      </x:c>
      <x:c r="C695" s="6" t="str">
        <x:v>How many sofa items are on the ground floor?</x:v>
      </x:c>
      <x:c r="D695" s="6" t="str">
        <x:v>2 sofa items
Floor level: 0</x:v>
      </x:c>
      <x:c r="E695" s="6" t="str">
        <x:v>Reference supplied</x:v>
      </x:c>
      <x:c r="F695" s="6" t="str">
        <x:v>train</x:v>
      </x:c>
      <x:c r="G695" s="6" t="str">
        <x:v>swiss-18260</x:v>
      </x:c>
      <x:c r="H695" s="6" t="str">
        <x:v>swiss-18260-Q04</x:v>
      </x:c>
      <x:c r="I695" s="6" t="str">
        <x:v>Find and count assets</x:v>
      </x:c>
      <x:c r="J695" s="6" t="str">
        <x:v>Warm-up</x:v>
      </x:c>
      <x:c r="K695" s="6" t="str">
        <x:v>An exact integer count with the scope stated in prose.</x:v>
      </x:c>
      <x:c r="L695" s="6" t="str">
        <x:v>T02, T03</x:v>
      </x:c>
      <x:c r="M695" s="6" t="str">
        <x:v>Count all items of a requested type on one floor.</x:v>
      </x:c>
      <x:c r="N695" s="6" t="str">
        <x:v>{"count":2,"asset_type":"sofa","floor_level":0}</x:v>
      </x:c>
      <x:c r="O695" s="6"/>
      <x:c r="P695" s="6" t="str">
        <x:v>Exact asset type and target floor. Count complete collection.</x:v>
      </x:c>
      <x:c r="Q695" s="15" t="n">
        <x:v>2</x:v>
      </x:c>
      <x:c r="R695" s="6" t="str">
        <x:v>items</x:v>
      </x:c>
      <x:c r="S695" s="16"/>
      <x:c r="T695" s="15"/>
      <x:c r="U695" s="6"/>
      <x:c r="V695" s="6"/>
      <x:c r="W695" s="6" t="str">
        <x:v>No dedicated counting tool. search_building exposes matches but returns at most 15 results.</x:v>
      </x:c>
      <x:c r="X695" s="6" t="str">
        <x:v>data/train/swiss-18260/questions_basic.jsonl</x:v>
      </x:c>
      <x:c r="Y695" s="14" t="n">
        <x:v>4</x:v>
      </x:c>
      <x:c r="Z695" s="6" t="str">
        <x:v>https://github.com/hagenhaeussler/Industrial-Agents-Hackathon-2026/blob/f41616590b69f3ea0c1cbfb41d6c35edd9ce53df/data/train/swiss-18260/questions_basic.jsonl#L4</x:v>
      </x:c>
      <x:c r="AA695" s="6" t="str">
        <x:v>swiss_dwellings</x:v>
      </x:c>
      <x:c r="AB695" s="6" t="str">
        <x:v>CC-BY-4.0</x:v>
      </x:c>
    </x:row>
    <x:row r="696" ht="72" customHeight="1">
      <x:c r="A696" s="14" t="n">
        <x:v>691</x:v>
      </x:c>
      <x:c r="B696" s="6" t="str">
        <x:v>count</x:v>
      </x:c>
      <x:c r="C696" s="6" t="str">
        <x:v>How many sofa items are on the ground floor?</x:v>
      </x:c>
      <x:c r="D696" s="6" t="str">
        <x:v>2 sofa items
Floor level: 0</x:v>
      </x:c>
      <x:c r="E696" s="6" t="str">
        <x:v>Reference supplied</x:v>
      </x:c>
      <x:c r="F696" s="6" t="str">
        <x:v>train</x:v>
      </x:c>
      <x:c r="G696" s="6" t="str">
        <x:v>swiss-1828</x:v>
      </x:c>
      <x:c r="H696" s="6" t="str">
        <x:v>swiss-1828-Q03</x:v>
      </x:c>
      <x:c r="I696" s="6" t="str">
        <x:v>Find and count assets</x:v>
      </x:c>
      <x:c r="J696" s="6" t="str">
        <x:v>Warm-up</x:v>
      </x:c>
      <x:c r="K696" s="6" t="str">
        <x:v>An exact integer count with the scope stated in prose.</x:v>
      </x:c>
      <x:c r="L696" s="6" t="str">
        <x:v>T02, T03</x:v>
      </x:c>
      <x:c r="M696" s="6" t="str">
        <x:v>Count all items of a requested type on one floor.</x:v>
      </x:c>
      <x:c r="N696" s="6" t="str">
        <x:v>{"count":2,"asset_type":"sofa","floor_level":0}</x:v>
      </x:c>
      <x:c r="O696" s="6"/>
      <x:c r="P696" s="6" t="str">
        <x:v>Exact asset type and target floor. Count complete collection.</x:v>
      </x:c>
      <x:c r="Q696" s="15" t="n">
        <x:v>2</x:v>
      </x:c>
      <x:c r="R696" s="6" t="str">
        <x:v>items</x:v>
      </x:c>
      <x:c r="S696" s="16"/>
      <x:c r="T696" s="15"/>
      <x:c r="U696" s="6"/>
      <x:c r="V696" s="6"/>
      <x:c r="W696" s="6" t="str">
        <x:v>No dedicated counting tool. search_building exposes matches but returns at most 15 results.</x:v>
      </x:c>
      <x:c r="X696" s="6" t="str">
        <x:v>data/train/swiss-1828/questions_basic.jsonl</x:v>
      </x:c>
      <x:c r="Y696" s="14" t="n">
        <x:v>3</x:v>
      </x:c>
      <x:c r="Z696" s="6" t="str">
        <x:v>https://github.com/hagenhaeussler/Industrial-Agents-Hackathon-2026/blob/f41616590b69f3ea0c1cbfb41d6c35edd9ce53df/data/train/swiss-1828/questions_basic.jsonl#L3</x:v>
      </x:c>
      <x:c r="AA696" s="6" t="str">
        <x:v>swiss_dwellings</x:v>
      </x:c>
      <x:c r="AB696" s="6" t="str">
        <x:v>CC-BY-4.0</x:v>
      </x:c>
    </x:row>
    <x:row r="697" ht="72" customHeight="1">
      <x:c r="A697" s="14" t="n">
        <x:v>692</x:v>
      </x:c>
      <x:c r="B697" s="6" t="str">
        <x:v>count</x:v>
      </x:c>
      <x:c r="C697" s="6" t="str">
        <x:v>How many kitchen counter items are on the floor 4?</x:v>
      </x:c>
      <x:c r="D697" s="6" t="str">
        <x:v>2 kitchen_counter items
Floor level: 4</x:v>
      </x:c>
      <x:c r="E697" s="6" t="str">
        <x:v>Reference supplied</x:v>
      </x:c>
      <x:c r="F697" s="6" t="str">
        <x:v>train</x:v>
      </x:c>
      <x:c r="G697" s="6" t="str">
        <x:v>swiss-1829</x:v>
      </x:c>
      <x:c r="H697" s="6" t="str">
        <x:v>swiss-1829-Q03</x:v>
      </x:c>
      <x:c r="I697" s="6" t="str">
        <x:v>Find and count assets</x:v>
      </x:c>
      <x:c r="J697" s="6" t="str">
        <x:v>Warm-up</x:v>
      </x:c>
      <x:c r="K697" s="6" t="str">
        <x:v>An exact integer count with the scope stated in prose.</x:v>
      </x:c>
      <x:c r="L697" s="6" t="str">
        <x:v>T02, T03</x:v>
      </x:c>
      <x:c r="M697" s="6" t="str">
        <x:v>Count all items of a requested type on one floor.</x:v>
      </x:c>
      <x:c r="N697" s="6" t="str">
        <x:v>{"count":2,"asset_type":"kitchen_counter","floor_level":4}</x:v>
      </x:c>
      <x:c r="O697" s="6"/>
      <x:c r="P697" s="6" t="str">
        <x:v>Exact asset type and target floor. Count complete collection.</x:v>
      </x:c>
      <x:c r="Q697" s="15" t="n">
        <x:v>2</x:v>
      </x:c>
      <x:c r="R697" s="6" t="str">
        <x:v>items</x:v>
      </x:c>
      <x:c r="S697" s="16"/>
      <x:c r="T697" s="15"/>
      <x:c r="U697" s="6"/>
      <x:c r="V697" s="6"/>
      <x:c r="W697" s="6" t="str">
        <x:v>No dedicated counting tool. search_building exposes matches but returns at most 15 results.</x:v>
      </x:c>
      <x:c r="X697" s="6" t="str">
        <x:v>data/train/swiss-1829/questions_basic.jsonl</x:v>
      </x:c>
      <x:c r="Y697" s="14" t="n">
        <x:v>3</x:v>
      </x:c>
      <x:c r="Z697" s="6" t="str">
        <x:v>https://github.com/hagenhaeussler/Industrial-Agents-Hackathon-2026/blob/f41616590b69f3ea0c1cbfb41d6c35edd9ce53df/data/train/swiss-1829/questions_basic.jsonl#L3</x:v>
      </x:c>
      <x:c r="AA697" s="6" t="str">
        <x:v>swiss_dwellings</x:v>
      </x:c>
      <x:c r="AB697" s="6" t="str">
        <x:v>CC-BY-4.0</x:v>
      </x:c>
    </x:row>
    <x:row r="698" ht="72" customHeight="1">
      <x:c r="A698" s="14" t="n">
        <x:v>693</x:v>
      </x:c>
      <x:c r="B698" s="6" t="str">
        <x:v>count</x:v>
      </x:c>
      <x:c r="C698" s="6" t="str">
        <x:v>How many wardrobe items are on the ground floor?</x:v>
      </x:c>
      <x:c r="D698" s="6" t="str">
        <x:v>6 wardrobe items
Floor level: 0</x:v>
      </x:c>
      <x:c r="E698" s="6" t="str">
        <x:v>Reference supplied</x:v>
      </x:c>
      <x:c r="F698" s="6" t="str">
        <x:v>train</x:v>
      </x:c>
      <x:c r="G698" s="6" t="str">
        <x:v>swiss-1860</x:v>
      </x:c>
      <x:c r="H698" s="6" t="str">
        <x:v>swiss-1860-Q01</x:v>
      </x:c>
      <x:c r="I698" s="6" t="str">
        <x:v>Find and count assets</x:v>
      </x:c>
      <x:c r="J698" s="6" t="str">
        <x:v>Warm-up</x:v>
      </x:c>
      <x:c r="K698" s="6" t="str">
        <x:v>An exact integer count with the scope stated in prose.</x:v>
      </x:c>
      <x:c r="L698" s="6" t="str">
        <x:v>T02, T03</x:v>
      </x:c>
      <x:c r="M698" s="6" t="str">
        <x:v>Count all items of a requested type on one floor.</x:v>
      </x:c>
      <x:c r="N698" s="6" t="str">
        <x:v>{"count":6,"asset_type":"wardrobe","floor_level":0}</x:v>
      </x:c>
      <x:c r="O698" s="6"/>
      <x:c r="P698" s="6" t="str">
        <x:v>Exact asset type and target floor. Count complete collection.</x:v>
      </x:c>
      <x:c r="Q698" s="15" t="n">
        <x:v>6</x:v>
      </x:c>
      <x:c r="R698" s="6" t="str">
        <x:v>items</x:v>
      </x:c>
      <x:c r="S698" s="16"/>
      <x:c r="T698" s="15"/>
      <x:c r="U698" s="6"/>
      <x:c r="V698" s="6"/>
      <x:c r="W698" s="6" t="str">
        <x:v>No dedicated counting tool. search_building exposes matches but returns at most 15 results.</x:v>
      </x:c>
      <x:c r="X698" s="6" t="str">
        <x:v>data/train/swiss-1860/questions_basic.jsonl</x:v>
      </x:c>
      <x:c r="Y698" s="14" t="n">
        <x:v>1</x:v>
      </x:c>
      <x:c r="Z698" s="6" t="str">
        <x:v>https://github.com/hagenhaeussler/Industrial-Agents-Hackathon-2026/blob/f41616590b69f3ea0c1cbfb41d6c35edd9ce53df/data/train/swiss-1860/questions_basic.jsonl#L1</x:v>
      </x:c>
      <x:c r="AA698" s="6" t="str">
        <x:v>swiss_dwellings</x:v>
      </x:c>
      <x:c r="AB698" s="6" t="str">
        <x:v>CC-BY-4.0</x:v>
      </x:c>
    </x:row>
    <x:row r="699" ht="72" customHeight="1">
      <x:c r="A699" s="14" t="n">
        <x:v>694</x:v>
      </x:c>
      <x:c r="B699" s="6" t="str">
        <x:v>count</x:v>
      </x:c>
      <x:c r="C699" s="6" t="str">
        <x:v>How many single bed items are on the floor 1?</x:v>
      </x:c>
      <x:c r="D699" s="6" t="str">
        <x:v>4 single_bed items
Floor level: 1</x:v>
      </x:c>
      <x:c r="E699" s="6" t="str">
        <x:v>Reference supplied</x:v>
      </x:c>
      <x:c r="F699" s="6" t="str">
        <x:v>train</x:v>
      </x:c>
      <x:c r="G699" s="6" t="str">
        <x:v>swiss-1883</x:v>
      </x:c>
      <x:c r="H699" s="6" t="str">
        <x:v>swiss-1883-Q01</x:v>
      </x:c>
      <x:c r="I699" s="6" t="str">
        <x:v>Find and count assets</x:v>
      </x:c>
      <x:c r="J699" s="6" t="str">
        <x:v>Warm-up</x:v>
      </x:c>
      <x:c r="K699" s="6" t="str">
        <x:v>An exact integer count with the scope stated in prose.</x:v>
      </x:c>
      <x:c r="L699" s="6" t="str">
        <x:v>T02, T03</x:v>
      </x:c>
      <x:c r="M699" s="6" t="str">
        <x:v>Count all items of a requested type on one floor.</x:v>
      </x:c>
      <x:c r="N699" s="6" t="str">
        <x:v>{"count":4,"asset_type":"single_bed","floor_level":1}</x:v>
      </x:c>
      <x:c r="O699" s="6"/>
      <x:c r="P699" s="6" t="str">
        <x:v>Exact asset type and target floor. Count complete collection.</x:v>
      </x:c>
      <x:c r="Q699" s="15" t="n">
        <x:v>4</x:v>
      </x:c>
      <x:c r="R699" s="6" t="str">
        <x:v>items</x:v>
      </x:c>
      <x:c r="S699" s="16"/>
      <x:c r="T699" s="15"/>
      <x:c r="U699" s="6"/>
      <x:c r="V699" s="6"/>
      <x:c r="W699" s="6" t="str">
        <x:v>No dedicated counting tool. search_building exposes matches but returns at most 15 results.</x:v>
      </x:c>
      <x:c r="X699" s="6" t="str">
        <x:v>data/train/swiss-1883/questions_basic.jsonl</x:v>
      </x:c>
      <x:c r="Y699" s="14" t="n">
        <x:v>1</x:v>
      </x:c>
      <x:c r="Z699" s="6" t="str">
        <x:v>https://github.com/hagenhaeussler/Industrial-Agents-Hackathon-2026/blob/f41616590b69f3ea0c1cbfb41d6c35edd9ce53df/data/train/swiss-1883/questions_basic.jsonl#L1</x:v>
      </x:c>
      <x:c r="AA699" s="6" t="str">
        <x:v>swiss_dwellings</x:v>
      </x:c>
      <x:c r="AB699" s="6" t="str">
        <x:v>CC-BY-4.0</x:v>
      </x:c>
    </x:row>
    <x:row r="700" ht="72" customHeight="1">
      <x:c r="A700" s="14" t="n">
        <x:v>695</x:v>
      </x:c>
      <x:c r="B700" s="6" t="str">
        <x:v>count</x:v>
      </x:c>
      <x:c r="C700" s="6" t="str">
        <x:v>How many microwave items are on the floor 1?</x:v>
      </x:c>
      <x:c r="D700" s="6" t="str">
        <x:v>2 microwave items
Floor level: 1</x:v>
      </x:c>
      <x:c r="E700" s="6" t="str">
        <x:v>Reference supplied</x:v>
      </x:c>
      <x:c r="F700" s="6" t="str">
        <x:v>train</x:v>
      </x:c>
      <x:c r="G700" s="6" t="str">
        <x:v>swiss-1889</x:v>
      </x:c>
      <x:c r="H700" s="6" t="str">
        <x:v>swiss-1889-Q03</x:v>
      </x:c>
      <x:c r="I700" s="6" t="str">
        <x:v>Find and count assets</x:v>
      </x:c>
      <x:c r="J700" s="6" t="str">
        <x:v>Warm-up</x:v>
      </x:c>
      <x:c r="K700" s="6" t="str">
        <x:v>An exact integer count with the scope stated in prose.</x:v>
      </x:c>
      <x:c r="L700" s="6" t="str">
        <x:v>T02, T03</x:v>
      </x:c>
      <x:c r="M700" s="6" t="str">
        <x:v>Count all items of a requested type on one floor.</x:v>
      </x:c>
      <x:c r="N700" s="6" t="str">
        <x:v>{"count":2,"asset_type":"microwave","floor_level":1}</x:v>
      </x:c>
      <x:c r="O700" s="6"/>
      <x:c r="P700" s="6" t="str">
        <x:v>Exact asset type and target floor. Count complete collection.</x:v>
      </x:c>
      <x:c r="Q700" s="15" t="n">
        <x:v>2</x:v>
      </x:c>
      <x:c r="R700" s="6" t="str">
        <x:v>items</x:v>
      </x:c>
      <x:c r="S700" s="16"/>
      <x:c r="T700" s="15"/>
      <x:c r="U700" s="6"/>
      <x:c r="V700" s="6"/>
      <x:c r="W700" s="6" t="str">
        <x:v>No dedicated counting tool. search_building exposes matches but returns at most 15 results.</x:v>
      </x:c>
      <x:c r="X700" s="6" t="str">
        <x:v>data/train/swiss-1889/questions_basic.jsonl</x:v>
      </x:c>
      <x:c r="Y700" s="14" t="n">
        <x:v>3</x:v>
      </x:c>
      <x:c r="Z700" s="6" t="str">
        <x:v>https://github.com/hagenhaeussler/Industrial-Agents-Hackathon-2026/blob/f41616590b69f3ea0c1cbfb41d6c35edd9ce53df/data/train/swiss-1889/questions_basic.jsonl#L3</x:v>
      </x:c>
      <x:c r="AA700" s="6" t="str">
        <x:v>swiss_dwellings</x:v>
      </x:c>
      <x:c r="AB700" s="6" t="str">
        <x:v>CC-BY-4.0</x:v>
      </x:c>
    </x:row>
    <x:row r="701" ht="72" customHeight="1">
      <x:c r="A701" s="14" t="n">
        <x:v>696</x:v>
      </x:c>
      <x:c r="B701" s="6" t="str">
        <x:v>count</x:v>
      </x:c>
      <x:c r="C701" s="6" t="str">
        <x:v>How many stove items are on the ground floor?</x:v>
      </x:c>
      <x:c r="D701" s="6" t="str">
        <x:v>2 stove items
Floor level: 0</x:v>
      </x:c>
      <x:c r="E701" s="6" t="str">
        <x:v>Reference supplied</x:v>
      </x:c>
      <x:c r="F701" s="6" t="str">
        <x:v>train</x:v>
      </x:c>
      <x:c r="G701" s="6" t="str">
        <x:v>swiss-1898</x:v>
      </x:c>
      <x:c r="H701" s="6" t="str">
        <x:v>swiss-1898-Q03</x:v>
      </x:c>
      <x:c r="I701" s="6" t="str">
        <x:v>Find and count assets</x:v>
      </x:c>
      <x:c r="J701" s="6" t="str">
        <x:v>Warm-up</x:v>
      </x:c>
      <x:c r="K701" s="6" t="str">
        <x:v>An exact integer count with the scope stated in prose.</x:v>
      </x:c>
      <x:c r="L701" s="6" t="str">
        <x:v>T02, T03</x:v>
      </x:c>
      <x:c r="M701" s="6" t="str">
        <x:v>Count all items of a requested type on one floor.</x:v>
      </x:c>
      <x:c r="N701" s="6" t="str">
        <x:v>{"count":2,"asset_type":"stove","floor_level":0}</x:v>
      </x:c>
      <x:c r="O701" s="6"/>
      <x:c r="P701" s="6" t="str">
        <x:v>Exact asset type and target floor. Count complete collection.</x:v>
      </x:c>
      <x:c r="Q701" s="15" t="n">
        <x:v>2</x:v>
      </x:c>
      <x:c r="R701" s="6" t="str">
        <x:v>items</x:v>
      </x:c>
      <x:c r="S701" s="16"/>
      <x:c r="T701" s="15"/>
      <x:c r="U701" s="6"/>
      <x:c r="V701" s="6"/>
      <x:c r="W701" s="6" t="str">
        <x:v>No dedicated counting tool. search_building exposes matches but returns at most 15 results.</x:v>
      </x:c>
      <x:c r="X701" s="6" t="str">
        <x:v>data/train/swiss-1898/questions_basic.jsonl</x:v>
      </x:c>
      <x:c r="Y701" s="14" t="n">
        <x:v>3</x:v>
      </x:c>
      <x:c r="Z701" s="6" t="str">
        <x:v>https://github.com/hagenhaeussler/Industrial-Agents-Hackathon-2026/blob/f41616590b69f3ea0c1cbfb41d6c35edd9ce53df/data/train/swiss-1898/questions_basic.jsonl#L3</x:v>
      </x:c>
      <x:c r="AA701" s="6" t="str">
        <x:v>swiss_dwellings</x:v>
      </x:c>
      <x:c r="AB701" s="6" t="str">
        <x:v>CC-BY-4.0</x:v>
      </x:c>
    </x:row>
    <x:row r="702" ht="72" customHeight="1">
      <x:c r="A702" s="14" t="n">
        <x:v>697</x:v>
      </x:c>
      <x:c r="B702" s="6" t="str">
        <x:v>count</x:v>
      </x:c>
      <x:c r="C702" s="6" t="str">
        <x:v>How many coffee table items are on the floor 4?</x:v>
      </x:c>
      <x:c r="D702" s="6" t="str">
        <x:v>6 coffee_table items
Floor level: 4</x:v>
      </x:c>
      <x:c r="E702" s="6" t="str">
        <x:v>Reference supplied</x:v>
      </x:c>
      <x:c r="F702" s="6" t="str">
        <x:v>train</x:v>
      </x:c>
      <x:c r="G702" s="6" t="str">
        <x:v>swiss-1922</x:v>
      </x:c>
      <x:c r="H702" s="6" t="str">
        <x:v>swiss-1922-Q02</x:v>
      </x:c>
      <x:c r="I702" s="6" t="str">
        <x:v>Find and count assets</x:v>
      </x:c>
      <x:c r="J702" s="6" t="str">
        <x:v>Warm-up</x:v>
      </x:c>
      <x:c r="K702" s="6" t="str">
        <x:v>An exact integer count with the scope stated in prose.</x:v>
      </x:c>
      <x:c r="L702" s="6" t="str">
        <x:v>T02, T03</x:v>
      </x:c>
      <x:c r="M702" s="6" t="str">
        <x:v>Count all items of a requested type on one floor.</x:v>
      </x:c>
      <x:c r="N702" s="6" t="str">
        <x:v>{"count":6,"asset_type":"coffee_table","floor_level":4}</x:v>
      </x:c>
      <x:c r="O702" s="6"/>
      <x:c r="P702" s="6" t="str">
        <x:v>Exact asset type and target floor. Count complete collection.</x:v>
      </x:c>
      <x:c r="Q702" s="15" t="n">
        <x:v>6</x:v>
      </x:c>
      <x:c r="R702" s="6" t="str">
        <x:v>items</x:v>
      </x:c>
      <x:c r="S702" s="16"/>
      <x:c r="T702" s="15"/>
      <x:c r="U702" s="6"/>
      <x:c r="V702" s="6"/>
      <x:c r="W702" s="6" t="str">
        <x:v>No dedicated counting tool. search_building exposes matches but returns at most 15 results.</x:v>
      </x:c>
      <x:c r="X702" s="6" t="str">
        <x:v>data/train/swiss-1922/questions_basic.jsonl</x:v>
      </x:c>
      <x:c r="Y702" s="14" t="n">
        <x:v>2</x:v>
      </x:c>
      <x:c r="Z702" s="6" t="str">
        <x:v>https://github.com/hagenhaeussler/Industrial-Agents-Hackathon-2026/blob/f41616590b69f3ea0c1cbfb41d6c35edd9ce53df/data/train/swiss-1922/questions_basic.jsonl#L2</x:v>
      </x:c>
      <x:c r="AA702" s="6" t="str">
        <x:v>swiss_dwellings</x:v>
      </x:c>
      <x:c r="AB702" s="6" t="str">
        <x:v>CC-BY-4.0</x:v>
      </x:c>
    </x:row>
    <x:row r="703" ht="72" customHeight="1">
      <x:c r="A703" s="14" t="n">
        <x:v>698</x:v>
      </x:c>
      <x:c r="B703" s="6" t="str">
        <x:v>count</x:v>
      </x:c>
      <x:c r="C703" s="6" t="str">
        <x:v>How many toilet items are on the floor 1?</x:v>
      </x:c>
      <x:c r="D703" s="6" t="str">
        <x:v>2 toilet items
Floor level: 1</x:v>
      </x:c>
      <x:c r="E703" s="6" t="str">
        <x:v>Reference supplied</x:v>
      </x:c>
      <x:c r="F703" s="6" t="str">
        <x:v>train</x:v>
      </x:c>
      <x:c r="G703" s="6" t="str">
        <x:v>swiss-1928</x:v>
      </x:c>
      <x:c r="H703" s="6" t="str">
        <x:v>swiss-1928-Q04</x:v>
      </x:c>
      <x:c r="I703" s="6" t="str">
        <x:v>Find and count assets</x:v>
      </x:c>
      <x:c r="J703" s="6" t="str">
        <x:v>Warm-up</x:v>
      </x:c>
      <x:c r="K703" s="6" t="str">
        <x:v>An exact integer count with the scope stated in prose.</x:v>
      </x:c>
      <x:c r="L703" s="6" t="str">
        <x:v>T02, T03</x:v>
      </x:c>
      <x:c r="M703" s="6" t="str">
        <x:v>Count all items of a requested type on one floor.</x:v>
      </x:c>
      <x:c r="N703" s="6" t="str">
        <x:v>{"count":2,"asset_type":"toilet","floor_level":1}</x:v>
      </x:c>
      <x:c r="O703" s="6"/>
      <x:c r="P703" s="6" t="str">
        <x:v>Exact asset type and target floor. Count complete collection.</x:v>
      </x:c>
      <x:c r="Q703" s="15" t="n">
        <x:v>2</x:v>
      </x:c>
      <x:c r="R703" s="6" t="str">
        <x:v>items</x:v>
      </x:c>
      <x:c r="S703" s="16"/>
      <x:c r="T703" s="15"/>
      <x:c r="U703" s="6"/>
      <x:c r="V703" s="6"/>
      <x:c r="W703" s="6" t="str">
        <x:v>No dedicated counting tool. search_building exposes matches but returns at most 15 results.</x:v>
      </x:c>
      <x:c r="X703" s="6" t="str">
        <x:v>data/train/swiss-1928/questions_basic.jsonl</x:v>
      </x:c>
      <x:c r="Y703" s="14" t="n">
        <x:v>4</x:v>
      </x:c>
      <x:c r="Z703" s="6" t="str">
        <x:v>https://github.com/hagenhaeussler/Industrial-Agents-Hackathon-2026/blob/f41616590b69f3ea0c1cbfb41d6c35edd9ce53df/data/train/swiss-1928/questions_basic.jsonl#L4</x:v>
      </x:c>
      <x:c r="AA703" s="6" t="str">
        <x:v>swiss_dwellings</x:v>
      </x:c>
      <x:c r="AB703" s="6" t="str">
        <x:v>CC-BY-4.0</x:v>
      </x:c>
    </x:row>
    <x:row r="704" ht="72" customHeight="1">
      <x:c r="A704" s="14" t="n">
        <x:v>699</x:v>
      </x:c>
      <x:c r="B704" s="6" t="str">
        <x:v>count</x:v>
      </x:c>
      <x:c r="C704" s="6" t="str">
        <x:v>How many fridge items are on the floor 3?</x:v>
      </x:c>
      <x:c r="D704" s="6" t="str">
        <x:v>2 fridge items
Floor level: 3</x:v>
      </x:c>
      <x:c r="E704" s="6" t="str">
        <x:v>Reference supplied</x:v>
      </x:c>
      <x:c r="F704" s="6" t="str">
        <x:v>train</x:v>
      </x:c>
      <x:c r="G704" s="6" t="str">
        <x:v>swiss-1936</x:v>
      </x:c>
      <x:c r="H704" s="6" t="str">
        <x:v>swiss-1936-Q02</x:v>
      </x:c>
      <x:c r="I704" s="6" t="str">
        <x:v>Find and count assets</x:v>
      </x:c>
      <x:c r="J704" s="6" t="str">
        <x:v>Warm-up</x:v>
      </x:c>
      <x:c r="K704" s="6" t="str">
        <x:v>An exact integer count with the scope stated in prose.</x:v>
      </x:c>
      <x:c r="L704" s="6" t="str">
        <x:v>T02, T03</x:v>
      </x:c>
      <x:c r="M704" s="6" t="str">
        <x:v>Count all items of a requested type on one floor.</x:v>
      </x:c>
      <x:c r="N704" s="6" t="str">
        <x:v>{"count":2,"asset_type":"fridge","floor_level":3}</x:v>
      </x:c>
      <x:c r="O704" s="6"/>
      <x:c r="P704" s="6" t="str">
        <x:v>Exact asset type and target floor. Count complete collection.</x:v>
      </x:c>
      <x:c r="Q704" s="15" t="n">
        <x:v>2</x:v>
      </x:c>
      <x:c r="R704" s="6" t="str">
        <x:v>items</x:v>
      </x:c>
      <x:c r="S704" s="16"/>
      <x:c r="T704" s="15"/>
      <x:c r="U704" s="6"/>
      <x:c r="V704" s="6"/>
      <x:c r="W704" s="6" t="str">
        <x:v>No dedicated counting tool. search_building exposes matches but returns at most 15 results.</x:v>
      </x:c>
      <x:c r="X704" s="6" t="str">
        <x:v>data/train/swiss-1936/questions_basic.jsonl</x:v>
      </x:c>
      <x:c r="Y704" s="14" t="n">
        <x:v>2</x:v>
      </x:c>
      <x:c r="Z704" s="6" t="str">
        <x:v>https://github.com/hagenhaeussler/Industrial-Agents-Hackathon-2026/blob/f41616590b69f3ea0c1cbfb41d6c35edd9ce53df/data/train/swiss-1936/questions_basic.jsonl#L2</x:v>
      </x:c>
      <x:c r="AA704" s="6" t="str">
        <x:v>swiss_dwellings</x:v>
      </x:c>
      <x:c r="AB704" s="6" t="str">
        <x:v>CC-BY-4.0</x:v>
      </x:c>
    </x:row>
    <x:row r="705" ht="72" customHeight="1">
      <x:c r="A705" s="14" t="n">
        <x:v>700</x:v>
      </x:c>
      <x:c r="B705" s="6" t="str">
        <x:v>count</x:v>
      </x:c>
      <x:c r="C705" s="6" t="str">
        <x:v>How many toilet items are on the floor 2?</x:v>
      </x:c>
      <x:c r="D705" s="6" t="str">
        <x:v>4 toilet items
Floor level: 2</x:v>
      </x:c>
      <x:c r="E705" s="6" t="str">
        <x:v>Reference supplied</x:v>
      </x:c>
      <x:c r="F705" s="6" t="str">
        <x:v>train</x:v>
      </x:c>
      <x:c r="G705" s="6" t="str">
        <x:v>swiss-1956</x:v>
      </x:c>
      <x:c r="H705" s="6" t="str">
        <x:v>swiss-1956-Q01</x:v>
      </x:c>
      <x:c r="I705" s="6" t="str">
        <x:v>Find and count assets</x:v>
      </x:c>
      <x:c r="J705" s="6" t="str">
        <x:v>Warm-up</x:v>
      </x:c>
      <x:c r="K705" s="6" t="str">
        <x:v>An exact integer count with the scope stated in prose.</x:v>
      </x:c>
      <x:c r="L705" s="6" t="str">
        <x:v>T02, T03</x:v>
      </x:c>
      <x:c r="M705" s="6" t="str">
        <x:v>Count all items of a requested type on one floor.</x:v>
      </x:c>
      <x:c r="N705" s="6" t="str">
        <x:v>{"count":4,"asset_type":"toilet","floor_level":2}</x:v>
      </x:c>
      <x:c r="O705" s="6"/>
      <x:c r="P705" s="6" t="str">
        <x:v>Exact asset type and target floor. Count complete collection.</x:v>
      </x:c>
      <x:c r="Q705" s="15" t="n">
        <x:v>4</x:v>
      </x:c>
      <x:c r="R705" s="6" t="str">
        <x:v>items</x:v>
      </x:c>
      <x:c r="S705" s="16"/>
      <x:c r="T705" s="15"/>
      <x:c r="U705" s="6"/>
      <x:c r="V705" s="6"/>
      <x:c r="W705" s="6" t="str">
        <x:v>No dedicated counting tool. search_building exposes matches but returns at most 15 results.</x:v>
      </x:c>
      <x:c r="X705" s="6" t="str">
        <x:v>data/train/swiss-1956/questions_basic.jsonl</x:v>
      </x:c>
      <x:c r="Y705" s="14" t="n">
        <x:v>1</x:v>
      </x:c>
      <x:c r="Z705" s="6" t="str">
        <x:v>https://github.com/hagenhaeussler/Industrial-Agents-Hackathon-2026/blob/f41616590b69f3ea0c1cbfb41d6c35edd9ce53df/data/train/swiss-1956/questions_basic.jsonl#L1</x:v>
      </x:c>
      <x:c r="AA705" s="6" t="str">
        <x:v>swiss_dwellings</x:v>
      </x:c>
      <x:c r="AB705" s="6" t="str">
        <x:v>CC-BY-4.0</x:v>
      </x:c>
    </x:row>
    <x:row r="706" ht="72" customHeight="1">
      <x:c r="A706" s="14" t="n">
        <x:v>701</x:v>
      </x:c>
      <x:c r="B706" s="6" t="str">
        <x:v>count</x:v>
      </x:c>
      <x:c r="C706" s="6" t="str">
        <x:v>How many coffee machine items are on the floor 2?</x:v>
      </x:c>
      <x:c r="D706" s="6" t="str">
        <x:v>4 coffee_machine items
Floor level: 2</x:v>
      </x:c>
      <x:c r="E706" s="6" t="str">
        <x:v>Reference supplied</x:v>
      </x:c>
      <x:c r="F706" s="6" t="str">
        <x:v>train</x:v>
      </x:c>
      <x:c r="G706" s="6" t="str">
        <x:v>swiss-1970</x:v>
      </x:c>
      <x:c r="H706" s="6" t="str">
        <x:v>swiss-1970-Q04</x:v>
      </x:c>
      <x:c r="I706" s="6" t="str">
        <x:v>Find and count assets</x:v>
      </x:c>
      <x:c r="J706" s="6" t="str">
        <x:v>Warm-up</x:v>
      </x:c>
      <x:c r="K706" s="6" t="str">
        <x:v>An exact integer count with the scope stated in prose.</x:v>
      </x:c>
      <x:c r="L706" s="6" t="str">
        <x:v>T02, T03</x:v>
      </x:c>
      <x:c r="M706" s="6" t="str">
        <x:v>Count all items of a requested type on one floor.</x:v>
      </x:c>
      <x:c r="N706" s="6" t="str">
        <x:v>{"count":4,"asset_type":"coffee_machine","floor_level":2}</x:v>
      </x:c>
      <x:c r="O706" s="6"/>
      <x:c r="P706" s="6" t="str">
        <x:v>Exact asset type and target floor. Count complete collection.</x:v>
      </x:c>
      <x:c r="Q706" s="15" t="n">
        <x:v>4</x:v>
      </x:c>
      <x:c r="R706" s="6" t="str">
        <x:v>items</x:v>
      </x:c>
      <x:c r="S706" s="16"/>
      <x:c r="T706" s="15"/>
      <x:c r="U706" s="6"/>
      <x:c r="V706" s="6"/>
      <x:c r="W706" s="6" t="str">
        <x:v>No dedicated counting tool. search_building exposes matches but returns at most 15 results.</x:v>
      </x:c>
      <x:c r="X706" s="6" t="str">
        <x:v>data/train/swiss-1970/questions_basic.jsonl</x:v>
      </x:c>
      <x:c r="Y706" s="14" t="n">
        <x:v>4</x:v>
      </x:c>
      <x:c r="Z706" s="6" t="str">
        <x:v>https://github.com/hagenhaeussler/Industrial-Agents-Hackathon-2026/blob/f41616590b69f3ea0c1cbfb41d6c35edd9ce53df/data/train/swiss-1970/questions_basic.jsonl#L4</x:v>
      </x:c>
      <x:c r="AA706" s="6" t="str">
        <x:v>swiss_dwellings</x:v>
      </x:c>
      <x:c r="AB706" s="6" t="str">
        <x:v>CC-BY-4.0</x:v>
      </x:c>
    </x:row>
    <x:row r="707" ht="72" customHeight="1">
      <x:c r="A707" s="14" t="n">
        <x:v>702</x:v>
      </x:c>
      <x:c r="B707" s="6" t="str">
        <x:v>count</x:v>
      </x:c>
      <x:c r="C707" s="6" t="str">
        <x:v>How many single bed items are on the floor 4?</x:v>
      </x:c>
      <x:c r="D707" s="6" t="str">
        <x:v>7 single_bed items
Floor level: 4</x:v>
      </x:c>
      <x:c r="E707" s="6" t="str">
        <x:v>Reference supplied</x:v>
      </x:c>
      <x:c r="F707" s="6" t="str">
        <x:v>train</x:v>
      </x:c>
      <x:c r="G707" s="6" t="str">
        <x:v>swiss-2049</x:v>
      </x:c>
      <x:c r="H707" s="6" t="str">
        <x:v>swiss-2049-Q01</x:v>
      </x:c>
      <x:c r="I707" s="6" t="str">
        <x:v>Find and count assets</x:v>
      </x:c>
      <x:c r="J707" s="6" t="str">
        <x:v>Warm-up</x:v>
      </x:c>
      <x:c r="K707" s="6" t="str">
        <x:v>An exact integer count with the scope stated in prose.</x:v>
      </x:c>
      <x:c r="L707" s="6" t="str">
        <x:v>T02, T03</x:v>
      </x:c>
      <x:c r="M707" s="6" t="str">
        <x:v>Count all items of a requested type on one floor.</x:v>
      </x:c>
      <x:c r="N707" s="6" t="str">
        <x:v>{"count":7,"asset_type":"single_bed","floor_level":4}</x:v>
      </x:c>
      <x:c r="O707" s="6"/>
      <x:c r="P707" s="6" t="str">
        <x:v>Exact asset type and target floor. Count complete collection.</x:v>
      </x:c>
      <x:c r="Q707" s="15" t="n">
        <x:v>7</x:v>
      </x:c>
      <x:c r="R707" s="6" t="str">
        <x:v>items</x:v>
      </x:c>
      <x:c r="S707" s="16"/>
      <x:c r="T707" s="15"/>
      <x:c r="U707" s="6"/>
      <x:c r="V707" s="6"/>
      <x:c r="W707" s="6" t="str">
        <x:v>No dedicated counting tool. search_building exposes matches but returns at most 15 results.</x:v>
      </x:c>
      <x:c r="X707" s="6" t="str">
        <x:v>data/train/swiss-2049/questions_basic.jsonl</x:v>
      </x:c>
      <x:c r="Y707" s="14" t="n">
        <x:v>1</x:v>
      </x:c>
      <x:c r="Z707" s="6" t="str">
        <x:v>https://github.com/hagenhaeussler/Industrial-Agents-Hackathon-2026/blob/f41616590b69f3ea0c1cbfb41d6c35edd9ce53df/data/train/swiss-2049/questions_basic.jsonl#L1</x:v>
      </x:c>
      <x:c r="AA707" s="6" t="str">
        <x:v>swiss_dwellings</x:v>
      </x:c>
      <x:c r="AB707" s="6" t="str">
        <x:v>CC-BY-4.0</x:v>
      </x:c>
    </x:row>
    <x:row r="708" ht="72" customHeight="1">
      <x:c r="A708" s="14" t="n">
        <x:v>703</x:v>
      </x:c>
      <x:c r="B708" s="6" t="str">
        <x:v>count</x:v>
      </x:c>
      <x:c r="C708" s="6" t="str">
        <x:v>How many bathtub items are on the floor 5?</x:v>
      </x:c>
      <x:c r="D708" s="6" t="str">
        <x:v>2 bathtub items
Floor level: 5</x:v>
      </x:c>
      <x:c r="E708" s="6" t="str">
        <x:v>Reference supplied</x:v>
      </x:c>
      <x:c r="F708" s="6" t="str">
        <x:v>train</x:v>
      </x:c>
      <x:c r="G708" s="6" t="str">
        <x:v>swiss-2084</x:v>
      </x:c>
      <x:c r="H708" s="6" t="str">
        <x:v>swiss-2084-Q01</x:v>
      </x:c>
      <x:c r="I708" s="6" t="str">
        <x:v>Find and count assets</x:v>
      </x:c>
      <x:c r="J708" s="6" t="str">
        <x:v>Warm-up</x:v>
      </x:c>
      <x:c r="K708" s="6" t="str">
        <x:v>An exact integer count with the scope stated in prose.</x:v>
      </x:c>
      <x:c r="L708" s="6" t="str">
        <x:v>T02, T03</x:v>
      </x:c>
      <x:c r="M708" s="6" t="str">
        <x:v>Count all items of a requested type on one floor.</x:v>
      </x:c>
      <x:c r="N708" s="6" t="str">
        <x:v>{"count":2,"asset_type":"bathtub","floor_level":5}</x:v>
      </x:c>
      <x:c r="O708" s="6"/>
      <x:c r="P708" s="6" t="str">
        <x:v>Exact asset type and target floor. Count complete collection.</x:v>
      </x:c>
      <x:c r="Q708" s="15" t="n">
        <x:v>2</x:v>
      </x:c>
      <x:c r="R708" s="6" t="str">
        <x:v>items</x:v>
      </x:c>
      <x:c r="S708" s="16"/>
      <x:c r="T708" s="15"/>
      <x:c r="U708" s="6"/>
      <x:c r="V708" s="6"/>
      <x:c r="W708" s="6" t="str">
        <x:v>No dedicated counting tool. search_building exposes matches but returns at most 15 results.</x:v>
      </x:c>
      <x:c r="X708" s="6" t="str">
        <x:v>data/train/swiss-2084/questions_basic.jsonl</x:v>
      </x:c>
      <x:c r="Y708" s="14" t="n">
        <x:v>1</x:v>
      </x:c>
      <x:c r="Z708" s="6" t="str">
        <x:v>https://github.com/hagenhaeussler/Industrial-Agents-Hackathon-2026/blob/f41616590b69f3ea0c1cbfb41d6c35edd9ce53df/data/train/swiss-2084/questions_basic.jsonl#L1</x:v>
      </x:c>
      <x:c r="AA708" s="6" t="str">
        <x:v>swiss_dwellings</x:v>
      </x:c>
      <x:c r="AB708" s="6" t="str">
        <x:v>CC-BY-4.0</x:v>
      </x:c>
    </x:row>
    <x:row r="709" ht="72" customHeight="1">
      <x:c r="A709" s="14" t="n">
        <x:v>704</x:v>
      </x:c>
      <x:c r="B709" s="6" t="str">
        <x:v>count</x:v>
      </x:c>
      <x:c r="C709" s="6" t="str">
        <x:v>How many nightstand items are on the floor 3?</x:v>
      </x:c>
      <x:c r="D709" s="6" t="str">
        <x:v>8 nightstand items
Floor level: 3</x:v>
      </x:c>
      <x:c r="E709" s="6" t="str">
        <x:v>Reference supplied</x:v>
      </x:c>
      <x:c r="F709" s="6" t="str">
        <x:v>train</x:v>
      </x:c>
      <x:c r="G709" s="6" t="str">
        <x:v>swiss-210</x:v>
      </x:c>
      <x:c r="H709" s="6" t="str">
        <x:v>swiss-210-Q02</x:v>
      </x:c>
      <x:c r="I709" s="6" t="str">
        <x:v>Find and count assets</x:v>
      </x:c>
      <x:c r="J709" s="6" t="str">
        <x:v>Warm-up</x:v>
      </x:c>
      <x:c r="K709" s="6" t="str">
        <x:v>An exact integer count with the scope stated in prose.</x:v>
      </x:c>
      <x:c r="L709" s="6" t="str">
        <x:v>T02, T03</x:v>
      </x:c>
      <x:c r="M709" s="6" t="str">
        <x:v>Count all items of a requested type on one floor.</x:v>
      </x:c>
      <x:c r="N709" s="6" t="str">
        <x:v>{"count":8,"asset_type":"nightstand","floor_level":3}</x:v>
      </x:c>
      <x:c r="O709" s="6"/>
      <x:c r="P709" s="6" t="str">
        <x:v>Exact asset type and target floor. Count complete collection.</x:v>
      </x:c>
      <x:c r="Q709" s="15" t="n">
        <x:v>8</x:v>
      </x:c>
      <x:c r="R709" s="6" t="str">
        <x:v>items</x:v>
      </x:c>
      <x:c r="S709" s="16"/>
      <x:c r="T709" s="15"/>
      <x:c r="U709" s="6"/>
      <x:c r="V709" s="6"/>
      <x:c r="W709" s="6" t="str">
        <x:v>No dedicated counting tool. search_building exposes matches but returns at most 15 results.</x:v>
      </x:c>
      <x:c r="X709" s="6" t="str">
        <x:v>data/train/swiss-210/questions_basic.jsonl</x:v>
      </x:c>
      <x:c r="Y709" s="14" t="n">
        <x:v>2</x:v>
      </x:c>
      <x:c r="Z709" s="6" t="str">
        <x:v>https://github.com/hagenhaeussler/Industrial-Agents-Hackathon-2026/blob/f41616590b69f3ea0c1cbfb41d6c35edd9ce53df/data/train/swiss-210/questions_basic.jsonl#L2</x:v>
      </x:c>
      <x:c r="AA709" s="6" t="str">
        <x:v>swiss_dwellings</x:v>
      </x:c>
      <x:c r="AB709" s="6" t="str">
        <x:v>CC-BY-4.0</x:v>
      </x:c>
    </x:row>
    <x:row r="710" ht="72" customHeight="1">
      <x:c r="A710" s="14" t="n">
        <x:v>705</x:v>
      </x:c>
      <x:c r="B710" s="6" t="str">
        <x:v>count</x:v>
      </x:c>
      <x:c r="C710" s="6" t="str">
        <x:v>How many fire extinguisher items are on the floor 1?</x:v>
      </x:c>
      <x:c r="D710" s="6" t="str">
        <x:v>3 fire_extinguisher items
Floor level: 1</x:v>
      </x:c>
      <x:c r="E710" s="6" t="str">
        <x:v>Reference supplied</x:v>
      </x:c>
      <x:c r="F710" s="6" t="str">
        <x:v>train</x:v>
      </x:c>
      <x:c r="G710" s="6" t="str">
        <x:v>swiss-22</x:v>
      </x:c>
      <x:c r="H710" s="6" t="str">
        <x:v>swiss-22-Q01</x:v>
      </x:c>
      <x:c r="I710" s="6" t="str">
        <x:v>Find and count assets</x:v>
      </x:c>
      <x:c r="J710" s="6" t="str">
        <x:v>Warm-up</x:v>
      </x:c>
      <x:c r="K710" s="6" t="str">
        <x:v>An exact integer count with the scope stated in prose.</x:v>
      </x:c>
      <x:c r="L710" s="6" t="str">
        <x:v>T02, T03</x:v>
      </x:c>
      <x:c r="M710" s="6" t="str">
        <x:v>Count all items of a requested type on one floor.</x:v>
      </x:c>
      <x:c r="N710" s="6" t="str">
        <x:v>{"count":3,"asset_type":"fire_extinguisher","floor_level":1}</x:v>
      </x:c>
      <x:c r="O710" s="6"/>
      <x:c r="P710" s="6" t="str">
        <x:v>Exact asset type and target floor. Count complete collection.</x:v>
      </x:c>
      <x:c r="Q710" s="15" t="n">
        <x:v>3</x:v>
      </x:c>
      <x:c r="R710" s="6" t="str">
        <x:v>items</x:v>
      </x:c>
      <x:c r="S710" s="16"/>
      <x:c r="T710" s="15"/>
      <x:c r="U710" s="6"/>
      <x:c r="V710" s="6"/>
      <x:c r="W710" s="6" t="str">
        <x:v>No dedicated counting tool. search_building exposes matches but returns at most 15 results.</x:v>
      </x:c>
      <x:c r="X710" s="6" t="str">
        <x:v>data/train/swiss-22/questions_basic.jsonl</x:v>
      </x:c>
      <x:c r="Y710" s="14" t="n">
        <x:v>1</x:v>
      </x:c>
      <x:c r="Z710" s="6" t="str">
        <x:v>https://github.com/hagenhaeussler/Industrial-Agents-Hackathon-2026/blob/f41616590b69f3ea0c1cbfb41d6c35edd9ce53df/data/train/swiss-22/questions_basic.jsonl#L1</x:v>
      </x:c>
      <x:c r="AA710" s="6" t="str">
        <x:v>swiss_dwellings</x:v>
      </x:c>
      <x:c r="AB710" s="6" t="str">
        <x:v>CC-BY-4.0</x:v>
      </x:c>
    </x:row>
    <x:row r="711" ht="72" customHeight="1">
      <x:c r="A711" s="14" t="n">
        <x:v>706</x:v>
      </x:c>
      <x:c r="B711" s="6" t="str">
        <x:v>count</x:v>
      </x:c>
      <x:c r="C711" s="6" t="str">
        <x:v>How many coffee machine items are on the floor 4?</x:v>
      </x:c>
      <x:c r="D711" s="6" t="str">
        <x:v>2 coffee_machine items
Floor level: 4</x:v>
      </x:c>
      <x:c r="E711" s="6" t="str">
        <x:v>Reference supplied</x:v>
      </x:c>
      <x:c r="F711" s="6" t="str">
        <x:v>train</x:v>
      </x:c>
      <x:c r="G711" s="6" t="str">
        <x:v>swiss-2214</x:v>
      </x:c>
      <x:c r="H711" s="6" t="str">
        <x:v>swiss-2214-Q01</x:v>
      </x:c>
      <x:c r="I711" s="6" t="str">
        <x:v>Find and count assets</x:v>
      </x:c>
      <x:c r="J711" s="6" t="str">
        <x:v>Warm-up</x:v>
      </x:c>
      <x:c r="K711" s="6" t="str">
        <x:v>An exact integer count with the scope stated in prose.</x:v>
      </x:c>
      <x:c r="L711" s="6" t="str">
        <x:v>T02, T03</x:v>
      </x:c>
      <x:c r="M711" s="6" t="str">
        <x:v>Count all items of a requested type on one floor.</x:v>
      </x:c>
      <x:c r="N711" s="6" t="str">
        <x:v>{"count":2,"asset_type":"coffee_machine","floor_level":4}</x:v>
      </x:c>
      <x:c r="O711" s="6"/>
      <x:c r="P711" s="6" t="str">
        <x:v>Exact asset type and target floor. Count complete collection.</x:v>
      </x:c>
      <x:c r="Q711" s="15" t="n">
        <x:v>2</x:v>
      </x:c>
      <x:c r="R711" s="6" t="str">
        <x:v>items</x:v>
      </x:c>
      <x:c r="S711" s="16"/>
      <x:c r="T711" s="15"/>
      <x:c r="U711" s="6"/>
      <x:c r="V711" s="6"/>
      <x:c r="W711" s="6" t="str">
        <x:v>No dedicated counting tool. search_building exposes matches but returns at most 15 results.</x:v>
      </x:c>
      <x:c r="X711" s="6" t="str">
        <x:v>data/train/swiss-2214/questions_basic.jsonl</x:v>
      </x:c>
      <x:c r="Y711" s="14" t="n">
        <x:v>1</x:v>
      </x:c>
      <x:c r="Z711" s="6" t="str">
        <x:v>https://github.com/hagenhaeussler/Industrial-Agents-Hackathon-2026/blob/f41616590b69f3ea0c1cbfb41d6c35edd9ce53df/data/train/swiss-2214/questions_basic.jsonl#L1</x:v>
      </x:c>
      <x:c r="AA711" s="6" t="str">
        <x:v>swiss_dwellings</x:v>
      </x:c>
      <x:c r="AB711" s="6" t="str">
        <x:v>CC-BY-4.0</x:v>
      </x:c>
    </x:row>
    <x:row r="712" ht="72" customHeight="1">
      <x:c r="A712" s="14" t="n">
        <x:v>707</x:v>
      </x:c>
      <x:c r="B712" s="6" t="str">
        <x:v>count</x:v>
      </x:c>
      <x:c r="C712" s="6" t="str">
        <x:v>How many microwave items are on the floor 1?</x:v>
      </x:c>
      <x:c r="D712" s="6" t="str">
        <x:v>2 microwave items
Floor level: 1</x:v>
      </x:c>
      <x:c r="E712" s="6" t="str">
        <x:v>Reference supplied</x:v>
      </x:c>
      <x:c r="F712" s="6" t="str">
        <x:v>train</x:v>
      </x:c>
      <x:c r="G712" s="6" t="str">
        <x:v>swiss-2216</x:v>
      </x:c>
      <x:c r="H712" s="6" t="str">
        <x:v>swiss-2216-Q02</x:v>
      </x:c>
      <x:c r="I712" s="6" t="str">
        <x:v>Find and count assets</x:v>
      </x:c>
      <x:c r="J712" s="6" t="str">
        <x:v>Warm-up</x:v>
      </x:c>
      <x:c r="K712" s="6" t="str">
        <x:v>An exact integer count with the scope stated in prose.</x:v>
      </x:c>
      <x:c r="L712" s="6" t="str">
        <x:v>T02, T03</x:v>
      </x:c>
      <x:c r="M712" s="6" t="str">
        <x:v>Count all items of a requested type on one floor.</x:v>
      </x:c>
      <x:c r="N712" s="6" t="str">
        <x:v>{"count":2,"asset_type":"microwave","floor_level":1}</x:v>
      </x:c>
      <x:c r="O712" s="6"/>
      <x:c r="P712" s="6" t="str">
        <x:v>Exact asset type and target floor. Count complete collection.</x:v>
      </x:c>
      <x:c r="Q712" s="15" t="n">
        <x:v>2</x:v>
      </x:c>
      <x:c r="R712" s="6" t="str">
        <x:v>items</x:v>
      </x:c>
      <x:c r="S712" s="16"/>
      <x:c r="T712" s="15"/>
      <x:c r="U712" s="6"/>
      <x:c r="V712" s="6"/>
      <x:c r="W712" s="6" t="str">
        <x:v>No dedicated counting tool. search_building exposes matches but returns at most 15 results.</x:v>
      </x:c>
      <x:c r="X712" s="6" t="str">
        <x:v>data/train/swiss-2216/questions_basic.jsonl</x:v>
      </x:c>
      <x:c r="Y712" s="14" t="n">
        <x:v>2</x:v>
      </x:c>
      <x:c r="Z712" s="6" t="str">
        <x:v>https://github.com/hagenhaeussler/Industrial-Agents-Hackathon-2026/blob/f41616590b69f3ea0c1cbfb41d6c35edd9ce53df/data/train/swiss-2216/questions_basic.jsonl#L2</x:v>
      </x:c>
      <x:c r="AA712" s="6" t="str">
        <x:v>swiss_dwellings</x:v>
      </x:c>
      <x:c r="AB712" s="6" t="str">
        <x:v>CC-BY-4.0</x:v>
      </x:c>
    </x:row>
    <x:row r="713" ht="72" customHeight="1">
      <x:c r="A713" s="14" t="n">
        <x:v>708</x:v>
      </x:c>
      <x:c r="B713" s="6" t="str">
        <x:v>count</x:v>
      </x:c>
      <x:c r="C713" s="6" t="str">
        <x:v>How many wardrobe items are on the ground floor?</x:v>
      </x:c>
      <x:c r="D713" s="6" t="str">
        <x:v>6 wardrobe items
Floor level: 0</x:v>
      </x:c>
      <x:c r="E713" s="6" t="str">
        <x:v>Reference supplied</x:v>
      </x:c>
      <x:c r="F713" s="6" t="str">
        <x:v>train</x:v>
      </x:c>
      <x:c r="G713" s="6" t="str">
        <x:v>swiss-2221</x:v>
      </x:c>
      <x:c r="H713" s="6" t="str">
        <x:v>swiss-2221-Q04</x:v>
      </x:c>
      <x:c r="I713" s="6" t="str">
        <x:v>Find and count assets</x:v>
      </x:c>
      <x:c r="J713" s="6" t="str">
        <x:v>Warm-up</x:v>
      </x:c>
      <x:c r="K713" s="6" t="str">
        <x:v>An exact integer count with the scope stated in prose.</x:v>
      </x:c>
      <x:c r="L713" s="6" t="str">
        <x:v>T02, T03</x:v>
      </x:c>
      <x:c r="M713" s="6" t="str">
        <x:v>Count all items of a requested type on one floor.</x:v>
      </x:c>
      <x:c r="N713" s="6" t="str">
        <x:v>{"count":6,"asset_type":"wardrobe","floor_level":0}</x:v>
      </x:c>
      <x:c r="O713" s="6"/>
      <x:c r="P713" s="6" t="str">
        <x:v>Exact asset type and target floor. Count complete collection.</x:v>
      </x:c>
      <x:c r="Q713" s="15" t="n">
        <x:v>6</x:v>
      </x:c>
      <x:c r="R713" s="6" t="str">
        <x:v>items</x:v>
      </x:c>
      <x:c r="S713" s="16"/>
      <x:c r="T713" s="15"/>
      <x:c r="U713" s="6"/>
      <x:c r="V713" s="6"/>
      <x:c r="W713" s="6" t="str">
        <x:v>No dedicated counting tool. search_building exposes matches but returns at most 15 results.</x:v>
      </x:c>
      <x:c r="X713" s="6" t="str">
        <x:v>data/train/swiss-2221/questions_basic.jsonl</x:v>
      </x:c>
      <x:c r="Y713" s="14" t="n">
        <x:v>4</x:v>
      </x:c>
      <x:c r="Z713" s="6" t="str">
        <x:v>https://github.com/hagenhaeussler/Industrial-Agents-Hackathon-2026/blob/f41616590b69f3ea0c1cbfb41d6c35edd9ce53df/data/train/swiss-2221/questions_basic.jsonl#L4</x:v>
      </x:c>
      <x:c r="AA713" s="6" t="str">
        <x:v>swiss_dwellings</x:v>
      </x:c>
      <x:c r="AB713" s="6" t="str">
        <x:v>CC-BY-4.0</x:v>
      </x:c>
    </x:row>
    <x:row r="714" ht="72" customHeight="1">
      <x:c r="A714" s="14" t="n">
        <x:v>709</x:v>
      </x:c>
      <x:c r="B714" s="6" t="str">
        <x:v>count</x:v>
      </x:c>
      <x:c r="C714" s="6" t="str">
        <x:v>How many fridge items are on the floor 1?</x:v>
      </x:c>
      <x:c r="D714" s="6" t="str">
        <x:v>6 fridge items
Floor level: 1</x:v>
      </x:c>
      <x:c r="E714" s="6" t="str">
        <x:v>Reference supplied</x:v>
      </x:c>
      <x:c r="F714" s="6" t="str">
        <x:v>train</x:v>
      </x:c>
      <x:c r="G714" s="6" t="str">
        <x:v>swiss-2235</x:v>
      </x:c>
      <x:c r="H714" s="6" t="str">
        <x:v>swiss-2235-Q02</x:v>
      </x:c>
      <x:c r="I714" s="6" t="str">
        <x:v>Find and count assets</x:v>
      </x:c>
      <x:c r="J714" s="6" t="str">
        <x:v>Warm-up</x:v>
      </x:c>
      <x:c r="K714" s="6" t="str">
        <x:v>An exact integer count with the scope stated in prose.</x:v>
      </x:c>
      <x:c r="L714" s="6" t="str">
        <x:v>T02, T03</x:v>
      </x:c>
      <x:c r="M714" s="6" t="str">
        <x:v>Count all items of a requested type on one floor.</x:v>
      </x:c>
      <x:c r="N714" s="6" t="str">
        <x:v>{"count":6,"asset_type":"fridge","floor_level":1}</x:v>
      </x:c>
      <x:c r="O714" s="6"/>
      <x:c r="P714" s="6" t="str">
        <x:v>Exact asset type and target floor. Count complete collection.</x:v>
      </x:c>
      <x:c r="Q714" s="15" t="n">
        <x:v>6</x:v>
      </x:c>
      <x:c r="R714" s="6" t="str">
        <x:v>items</x:v>
      </x:c>
      <x:c r="S714" s="16"/>
      <x:c r="T714" s="15"/>
      <x:c r="U714" s="6"/>
      <x:c r="V714" s="6"/>
      <x:c r="W714" s="6" t="str">
        <x:v>No dedicated counting tool. search_building exposes matches but returns at most 15 results.</x:v>
      </x:c>
      <x:c r="X714" s="6" t="str">
        <x:v>data/train/swiss-2235/questions_basic.jsonl</x:v>
      </x:c>
      <x:c r="Y714" s="14" t="n">
        <x:v>2</x:v>
      </x:c>
      <x:c r="Z714" s="6" t="str">
        <x:v>https://github.com/hagenhaeussler/Industrial-Agents-Hackathon-2026/blob/f41616590b69f3ea0c1cbfb41d6c35edd9ce53df/data/train/swiss-2235/questions_basic.jsonl#L2</x:v>
      </x:c>
      <x:c r="AA714" s="6" t="str">
        <x:v>swiss_dwellings</x:v>
      </x:c>
      <x:c r="AB714" s="6" t="str">
        <x:v>CC-BY-4.0</x:v>
      </x:c>
    </x:row>
    <x:row r="715" ht="72" customHeight="1">
      <x:c r="A715" s="14" t="n">
        <x:v>710</x:v>
      </x:c>
      <x:c r="B715" s="6" t="str">
        <x:v>count</x:v>
      </x:c>
      <x:c r="C715" s="6" t="str">
        <x:v>How many wardrobe items are on the ground floor?</x:v>
      </x:c>
      <x:c r="D715" s="6" t="str">
        <x:v>13 wardrobe items
Floor level: 0</x:v>
      </x:c>
      <x:c r="E715" s="6" t="str">
        <x:v>Reference supplied</x:v>
      </x:c>
      <x:c r="F715" s="6" t="str">
        <x:v>train</x:v>
      </x:c>
      <x:c r="G715" s="6" t="str">
        <x:v>swiss-2274</x:v>
      </x:c>
      <x:c r="H715" s="6" t="str">
        <x:v>swiss-2274-Q02</x:v>
      </x:c>
      <x:c r="I715" s="6" t="str">
        <x:v>Find and count assets</x:v>
      </x:c>
      <x:c r="J715" s="6" t="str">
        <x:v>Warm-up</x:v>
      </x:c>
      <x:c r="K715" s="6" t="str">
        <x:v>An exact integer count with the scope stated in prose.</x:v>
      </x:c>
      <x:c r="L715" s="6" t="str">
        <x:v>T02, T03</x:v>
      </x:c>
      <x:c r="M715" s="6" t="str">
        <x:v>Count all items of a requested type on one floor.</x:v>
      </x:c>
      <x:c r="N715" s="6" t="str">
        <x:v>{"count":13,"asset_type":"wardrobe","floor_level":0}</x:v>
      </x:c>
      <x:c r="O715" s="6"/>
      <x:c r="P715" s="6" t="str">
        <x:v>Exact asset type and target floor. Count complete collection.</x:v>
      </x:c>
      <x:c r="Q715" s="15" t="n">
        <x:v>13</x:v>
      </x:c>
      <x:c r="R715" s="6" t="str">
        <x:v>items</x:v>
      </x:c>
      <x:c r="S715" s="16"/>
      <x:c r="T715" s="15"/>
      <x:c r="U715" s="6"/>
      <x:c r="V715" s="6"/>
      <x:c r="W715" s="6" t="str">
        <x:v>No dedicated counting tool. search_building exposes matches but returns at most 15 results.</x:v>
      </x:c>
      <x:c r="X715" s="6" t="str">
        <x:v>data/train/swiss-2274/questions_basic.jsonl</x:v>
      </x:c>
      <x:c r="Y715" s="14" t="n">
        <x:v>2</x:v>
      </x:c>
      <x:c r="Z715" s="6" t="str">
        <x:v>https://github.com/hagenhaeussler/Industrial-Agents-Hackathon-2026/blob/f41616590b69f3ea0c1cbfb41d6c35edd9ce53df/data/train/swiss-2274/questions_basic.jsonl#L2</x:v>
      </x:c>
      <x:c r="AA715" s="6" t="str">
        <x:v>swiss_dwellings</x:v>
      </x:c>
      <x:c r="AB715" s="6" t="str">
        <x:v>CC-BY-4.0</x:v>
      </x:c>
    </x:row>
    <x:row r="716" ht="72" customHeight="1">
      <x:c r="A716" s="14" t="n">
        <x:v>711</x:v>
      </x:c>
      <x:c r="B716" s="6" t="str">
        <x:v>count</x:v>
      </x:c>
      <x:c r="C716" s="6" t="str">
        <x:v>How many microwave items are on the floor 1?</x:v>
      </x:c>
      <x:c r="D716" s="6" t="str">
        <x:v>2 microwave items
Floor level: 1</x:v>
      </x:c>
      <x:c r="E716" s="6" t="str">
        <x:v>Reference supplied</x:v>
      </x:c>
      <x:c r="F716" s="6" t="str">
        <x:v>train</x:v>
      </x:c>
      <x:c r="G716" s="6" t="str">
        <x:v>swiss-2314</x:v>
      </x:c>
      <x:c r="H716" s="6" t="str">
        <x:v>swiss-2314-Q02</x:v>
      </x:c>
      <x:c r="I716" s="6" t="str">
        <x:v>Find and count assets</x:v>
      </x:c>
      <x:c r="J716" s="6" t="str">
        <x:v>Warm-up</x:v>
      </x:c>
      <x:c r="K716" s="6" t="str">
        <x:v>An exact integer count with the scope stated in prose.</x:v>
      </x:c>
      <x:c r="L716" s="6" t="str">
        <x:v>T02, T03</x:v>
      </x:c>
      <x:c r="M716" s="6" t="str">
        <x:v>Count all items of a requested type on one floor.</x:v>
      </x:c>
      <x:c r="N716" s="6" t="str">
        <x:v>{"count":2,"asset_type":"microwave","floor_level":1}</x:v>
      </x:c>
      <x:c r="O716" s="6"/>
      <x:c r="P716" s="6" t="str">
        <x:v>Exact asset type and target floor. Count complete collection.</x:v>
      </x:c>
      <x:c r="Q716" s="15" t="n">
        <x:v>2</x:v>
      </x:c>
      <x:c r="R716" s="6" t="str">
        <x:v>items</x:v>
      </x:c>
      <x:c r="S716" s="16"/>
      <x:c r="T716" s="15"/>
      <x:c r="U716" s="6"/>
      <x:c r="V716" s="6"/>
      <x:c r="W716" s="6" t="str">
        <x:v>No dedicated counting tool. search_building exposes matches but returns at most 15 results.</x:v>
      </x:c>
      <x:c r="X716" s="6" t="str">
        <x:v>data/train/swiss-2314/questions_basic.jsonl</x:v>
      </x:c>
      <x:c r="Y716" s="14" t="n">
        <x:v>2</x:v>
      </x:c>
      <x:c r="Z716" s="6" t="str">
        <x:v>https://github.com/hagenhaeussler/Industrial-Agents-Hackathon-2026/blob/f41616590b69f3ea0c1cbfb41d6c35edd9ce53df/data/train/swiss-2314/questions_basic.jsonl#L2</x:v>
      </x:c>
      <x:c r="AA716" s="6" t="str">
        <x:v>swiss_dwellings</x:v>
      </x:c>
      <x:c r="AB716" s="6" t="str">
        <x:v>CC-BY-4.0</x:v>
      </x:c>
    </x:row>
    <x:row r="717" ht="72" customHeight="1">
      <x:c r="A717" s="14" t="n">
        <x:v>712</x:v>
      </x:c>
      <x:c r="B717" s="6" t="str">
        <x:v>count</x:v>
      </x:c>
      <x:c r="C717" s="6" t="str">
        <x:v>How many outdoor chair items are on the floor 2?</x:v>
      </x:c>
      <x:c r="D717" s="6" t="str">
        <x:v>4 outdoor_chair items
Floor level: 2</x:v>
      </x:c>
      <x:c r="E717" s="6" t="str">
        <x:v>Reference supplied</x:v>
      </x:c>
      <x:c r="F717" s="6" t="str">
        <x:v>train</x:v>
      </x:c>
      <x:c r="G717" s="6" t="str">
        <x:v>swiss-2390</x:v>
      </x:c>
      <x:c r="H717" s="6" t="str">
        <x:v>swiss-2390-Q02</x:v>
      </x:c>
      <x:c r="I717" s="6" t="str">
        <x:v>Find and count assets</x:v>
      </x:c>
      <x:c r="J717" s="6" t="str">
        <x:v>Warm-up</x:v>
      </x:c>
      <x:c r="K717" s="6" t="str">
        <x:v>An exact integer count with the scope stated in prose.</x:v>
      </x:c>
      <x:c r="L717" s="6" t="str">
        <x:v>T02, T03</x:v>
      </x:c>
      <x:c r="M717" s="6" t="str">
        <x:v>Count all items of a requested type on one floor.</x:v>
      </x:c>
      <x:c r="N717" s="6" t="str">
        <x:v>{"count":4,"asset_type":"outdoor_chair","floor_level":2}</x:v>
      </x:c>
      <x:c r="O717" s="6"/>
      <x:c r="P717" s="6" t="str">
        <x:v>Exact asset type and target floor. Count complete collection.</x:v>
      </x:c>
      <x:c r="Q717" s="15" t="n">
        <x:v>4</x:v>
      </x:c>
      <x:c r="R717" s="6" t="str">
        <x:v>items</x:v>
      </x:c>
      <x:c r="S717" s="16"/>
      <x:c r="T717" s="15"/>
      <x:c r="U717" s="6"/>
      <x:c r="V717" s="6"/>
      <x:c r="W717" s="6" t="str">
        <x:v>No dedicated counting tool. search_building exposes matches but returns at most 15 results.</x:v>
      </x:c>
      <x:c r="X717" s="6" t="str">
        <x:v>data/train/swiss-2390/questions_basic.jsonl</x:v>
      </x:c>
      <x:c r="Y717" s="14" t="n">
        <x:v>2</x:v>
      </x:c>
      <x:c r="Z717" s="6" t="str">
        <x:v>https://github.com/hagenhaeussler/Industrial-Agents-Hackathon-2026/blob/f41616590b69f3ea0c1cbfb41d6c35edd9ce53df/data/train/swiss-2390/questions_basic.jsonl#L2</x:v>
      </x:c>
      <x:c r="AA717" s="6" t="str">
        <x:v>swiss_dwellings</x:v>
      </x:c>
      <x:c r="AB717" s="6" t="str">
        <x:v>CC-BY-4.0</x:v>
      </x:c>
    </x:row>
    <x:row r="718" ht="72" customHeight="1">
      <x:c r="A718" s="14" t="n">
        <x:v>713</x:v>
      </x:c>
      <x:c r="B718" s="6" t="str">
        <x:v>count</x:v>
      </x:c>
      <x:c r="C718" s="6" t="str">
        <x:v>How many outdoor chair items are on the ground floor?</x:v>
      </x:c>
      <x:c r="D718" s="6" t="str">
        <x:v>2 outdoor_chair items
Floor level: 0</x:v>
      </x:c>
      <x:c r="E718" s="6" t="str">
        <x:v>Reference supplied</x:v>
      </x:c>
      <x:c r="F718" s="6" t="str">
        <x:v>train</x:v>
      </x:c>
      <x:c r="G718" s="6" t="str">
        <x:v>swiss-2476</x:v>
      </x:c>
      <x:c r="H718" s="6" t="str">
        <x:v>swiss-2476-Q02</x:v>
      </x:c>
      <x:c r="I718" s="6" t="str">
        <x:v>Find and count assets</x:v>
      </x:c>
      <x:c r="J718" s="6" t="str">
        <x:v>Warm-up</x:v>
      </x:c>
      <x:c r="K718" s="6" t="str">
        <x:v>An exact integer count with the scope stated in prose.</x:v>
      </x:c>
      <x:c r="L718" s="6" t="str">
        <x:v>T02, T03</x:v>
      </x:c>
      <x:c r="M718" s="6" t="str">
        <x:v>Count all items of a requested type on one floor.</x:v>
      </x:c>
      <x:c r="N718" s="6" t="str">
        <x:v>{"count":2,"asset_type":"outdoor_chair","floor_level":0}</x:v>
      </x:c>
      <x:c r="O718" s="6"/>
      <x:c r="P718" s="6" t="str">
        <x:v>Exact asset type and target floor. Count complete collection.</x:v>
      </x:c>
      <x:c r="Q718" s="15" t="n">
        <x:v>2</x:v>
      </x:c>
      <x:c r="R718" s="6" t="str">
        <x:v>items</x:v>
      </x:c>
      <x:c r="S718" s="16"/>
      <x:c r="T718" s="15"/>
      <x:c r="U718" s="6"/>
      <x:c r="V718" s="6"/>
      <x:c r="W718" s="6" t="str">
        <x:v>No dedicated counting tool. search_building exposes matches but returns at most 15 results.</x:v>
      </x:c>
      <x:c r="X718" s="6" t="str">
        <x:v>data/train/swiss-2476/questions_basic.jsonl</x:v>
      </x:c>
      <x:c r="Y718" s="14" t="n">
        <x:v>2</x:v>
      </x:c>
      <x:c r="Z718" s="6" t="str">
        <x:v>https://github.com/hagenhaeussler/Industrial-Agents-Hackathon-2026/blob/f41616590b69f3ea0c1cbfb41d6c35edd9ce53df/data/train/swiss-2476/questions_basic.jsonl#L2</x:v>
      </x:c>
      <x:c r="AA718" s="6" t="str">
        <x:v>swiss_dwellings</x:v>
      </x:c>
      <x:c r="AB718" s="6" t="str">
        <x:v>CC-BY-4.0</x:v>
      </x:c>
    </x:row>
    <x:row r="719" ht="72" customHeight="1">
      <x:c r="A719" s="14" t="n">
        <x:v>714</x:v>
      </x:c>
      <x:c r="B719" s="6" t="str">
        <x:v>count</x:v>
      </x:c>
      <x:c r="C719" s="6" t="str">
        <x:v>How many tv stand items are on the floor 2?</x:v>
      </x:c>
      <x:c r="D719" s="6" t="str">
        <x:v>2 tv_stand items
Floor level: 2</x:v>
      </x:c>
      <x:c r="E719" s="6" t="str">
        <x:v>Reference supplied</x:v>
      </x:c>
      <x:c r="F719" s="6" t="str">
        <x:v>train</x:v>
      </x:c>
      <x:c r="G719" s="6" t="str">
        <x:v>swiss-2482</x:v>
      </x:c>
      <x:c r="H719" s="6" t="str">
        <x:v>swiss-2482-Q03</x:v>
      </x:c>
      <x:c r="I719" s="6" t="str">
        <x:v>Find and count assets</x:v>
      </x:c>
      <x:c r="J719" s="6" t="str">
        <x:v>Warm-up</x:v>
      </x:c>
      <x:c r="K719" s="6" t="str">
        <x:v>An exact integer count with the scope stated in prose.</x:v>
      </x:c>
      <x:c r="L719" s="6" t="str">
        <x:v>T02, T03</x:v>
      </x:c>
      <x:c r="M719" s="6" t="str">
        <x:v>Count all items of a requested type on one floor.</x:v>
      </x:c>
      <x:c r="N719" s="6" t="str">
        <x:v>{"count":2,"asset_type":"tv_stand","floor_level":2}</x:v>
      </x:c>
      <x:c r="O719" s="6"/>
      <x:c r="P719" s="6" t="str">
        <x:v>Exact asset type and target floor. Count complete collection.</x:v>
      </x:c>
      <x:c r="Q719" s="15" t="n">
        <x:v>2</x:v>
      </x:c>
      <x:c r="R719" s="6" t="str">
        <x:v>items</x:v>
      </x:c>
      <x:c r="S719" s="16"/>
      <x:c r="T719" s="15"/>
      <x:c r="U719" s="6"/>
      <x:c r="V719" s="6"/>
      <x:c r="W719" s="6" t="str">
        <x:v>No dedicated counting tool. search_building exposes matches but returns at most 15 results.</x:v>
      </x:c>
      <x:c r="X719" s="6" t="str">
        <x:v>data/train/swiss-2482/questions_basic.jsonl</x:v>
      </x:c>
      <x:c r="Y719" s="14" t="n">
        <x:v>3</x:v>
      </x:c>
      <x:c r="Z719" s="6" t="str">
        <x:v>https://github.com/hagenhaeussler/Industrial-Agents-Hackathon-2026/blob/f41616590b69f3ea0c1cbfb41d6c35edd9ce53df/data/train/swiss-2482/questions_basic.jsonl#L3</x:v>
      </x:c>
      <x:c r="AA719" s="6" t="str">
        <x:v>swiss_dwellings</x:v>
      </x:c>
      <x:c r="AB719" s="6" t="str">
        <x:v>CC-BY-4.0</x:v>
      </x:c>
    </x:row>
    <x:row r="720" ht="72" customHeight="1">
      <x:c r="A720" s="14" t="n">
        <x:v>715</x:v>
      </x:c>
      <x:c r="B720" s="6" t="str">
        <x:v>count</x:v>
      </x:c>
      <x:c r="C720" s="6" t="str">
        <x:v>How many sink items are on the floor 2?</x:v>
      </x:c>
      <x:c r="D720" s="6" t="str">
        <x:v>6 sink items
Floor level: 2</x:v>
      </x:c>
      <x:c r="E720" s="6" t="str">
        <x:v>Reference supplied</x:v>
      </x:c>
      <x:c r="F720" s="6" t="str">
        <x:v>train</x:v>
      </x:c>
      <x:c r="G720" s="6" t="str">
        <x:v>swiss-256</x:v>
      </x:c>
      <x:c r="H720" s="6" t="str">
        <x:v>swiss-256-Q01</x:v>
      </x:c>
      <x:c r="I720" s="6" t="str">
        <x:v>Find and count assets</x:v>
      </x:c>
      <x:c r="J720" s="6" t="str">
        <x:v>Warm-up</x:v>
      </x:c>
      <x:c r="K720" s="6" t="str">
        <x:v>An exact integer count with the scope stated in prose.</x:v>
      </x:c>
      <x:c r="L720" s="6" t="str">
        <x:v>T02, T03</x:v>
      </x:c>
      <x:c r="M720" s="6" t="str">
        <x:v>Count all items of a requested type on one floor.</x:v>
      </x:c>
      <x:c r="N720" s="6" t="str">
        <x:v>{"count":6,"asset_type":"sink","floor_level":2}</x:v>
      </x:c>
      <x:c r="O720" s="6"/>
      <x:c r="P720" s="6" t="str">
        <x:v>Exact asset type and target floor. Count complete collection.</x:v>
      </x:c>
      <x:c r="Q720" s="15" t="n">
        <x:v>6</x:v>
      </x:c>
      <x:c r="R720" s="6" t="str">
        <x:v>items</x:v>
      </x:c>
      <x:c r="S720" s="16"/>
      <x:c r="T720" s="15"/>
      <x:c r="U720" s="6"/>
      <x:c r="V720" s="6"/>
      <x:c r="W720" s="6" t="str">
        <x:v>No dedicated counting tool. search_building exposes matches but returns at most 15 results.</x:v>
      </x:c>
      <x:c r="X720" s="6" t="str">
        <x:v>data/train/swiss-256/questions_basic.jsonl</x:v>
      </x:c>
      <x:c r="Y720" s="14" t="n">
        <x:v>1</x:v>
      </x:c>
      <x:c r="Z720" s="6" t="str">
        <x:v>https://github.com/hagenhaeussler/Industrial-Agents-Hackathon-2026/blob/f41616590b69f3ea0c1cbfb41d6c35edd9ce53df/data/train/swiss-256/questions_basic.jsonl#L1</x:v>
      </x:c>
      <x:c r="AA720" s="6" t="str">
        <x:v>swiss_dwellings</x:v>
      </x:c>
      <x:c r="AB720" s="6" t="str">
        <x:v>CC-BY-4.0</x:v>
      </x:c>
    </x:row>
    <x:row r="721" ht="72" customHeight="1">
      <x:c r="A721" s="14" t="n">
        <x:v>716</x:v>
      </x:c>
      <x:c r="B721" s="6" t="str">
        <x:v>count</x:v>
      </x:c>
      <x:c r="C721" s="6" t="str">
        <x:v>How many sink items are on the ground floor?</x:v>
      </x:c>
      <x:c r="D721" s="6" t="str">
        <x:v>13 sink items
Floor level: 0</x:v>
      </x:c>
      <x:c r="E721" s="6" t="str">
        <x:v>Reference supplied</x:v>
      </x:c>
      <x:c r="F721" s="6" t="str">
        <x:v>train</x:v>
      </x:c>
      <x:c r="G721" s="6" t="str">
        <x:v>swiss-2798</x:v>
      </x:c>
      <x:c r="H721" s="6" t="str">
        <x:v>swiss-2798-Q02</x:v>
      </x:c>
      <x:c r="I721" s="6" t="str">
        <x:v>Find and count assets</x:v>
      </x:c>
      <x:c r="J721" s="6" t="str">
        <x:v>Warm-up</x:v>
      </x:c>
      <x:c r="K721" s="6" t="str">
        <x:v>An exact integer count with the scope stated in prose.</x:v>
      </x:c>
      <x:c r="L721" s="6" t="str">
        <x:v>T02, T03</x:v>
      </x:c>
      <x:c r="M721" s="6" t="str">
        <x:v>Count all items of a requested type on one floor.</x:v>
      </x:c>
      <x:c r="N721" s="6" t="str">
        <x:v>{"count":13,"asset_type":"sink","floor_level":0}</x:v>
      </x:c>
      <x:c r="O721" s="6"/>
      <x:c r="P721" s="6" t="str">
        <x:v>Exact asset type and target floor. Count complete collection.</x:v>
      </x:c>
      <x:c r="Q721" s="15" t="n">
        <x:v>13</x:v>
      </x:c>
      <x:c r="R721" s="6" t="str">
        <x:v>items</x:v>
      </x:c>
      <x:c r="S721" s="16"/>
      <x:c r="T721" s="15"/>
      <x:c r="U721" s="6"/>
      <x:c r="V721" s="6"/>
      <x:c r="W721" s="6" t="str">
        <x:v>No dedicated counting tool. search_building exposes matches but returns at most 15 results.</x:v>
      </x:c>
      <x:c r="X721" s="6" t="str">
        <x:v>data/train/swiss-2798/questions_basic.jsonl</x:v>
      </x:c>
      <x:c r="Y721" s="14" t="n">
        <x:v>2</x:v>
      </x:c>
      <x:c r="Z721" s="6" t="str">
        <x:v>https://github.com/hagenhaeussler/Industrial-Agents-Hackathon-2026/blob/f41616590b69f3ea0c1cbfb41d6c35edd9ce53df/data/train/swiss-2798/questions_basic.jsonl#L2</x:v>
      </x:c>
      <x:c r="AA721" s="6" t="str">
        <x:v>swiss_dwellings</x:v>
      </x:c>
      <x:c r="AB721" s="6" t="str">
        <x:v>CC-BY-4.0</x:v>
      </x:c>
    </x:row>
    <x:row r="722" ht="72" customHeight="1">
      <x:c r="A722" s="14" t="n">
        <x:v>717</x:v>
      </x:c>
      <x:c r="B722" s="6" t="str">
        <x:v>count</x:v>
      </x:c>
      <x:c r="C722" s="6" t="str">
        <x:v>How many coffee machine items are on the floor 2?</x:v>
      </x:c>
      <x:c r="D722" s="6" t="str">
        <x:v>2 coffee_machine items
Floor level: 2</x:v>
      </x:c>
      <x:c r="E722" s="6" t="str">
        <x:v>Reference supplied</x:v>
      </x:c>
      <x:c r="F722" s="6" t="str">
        <x:v>train</x:v>
      </x:c>
      <x:c r="G722" s="6" t="str">
        <x:v>swiss-28</x:v>
      </x:c>
      <x:c r="H722" s="6" t="str">
        <x:v>swiss-28-Q04</x:v>
      </x:c>
      <x:c r="I722" s="6" t="str">
        <x:v>Find and count assets</x:v>
      </x:c>
      <x:c r="J722" s="6" t="str">
        <x:v>Warm-up</x:v>
      </x:c>
      <x:c r="K722" s="6" t="str">
        <x:v>An exact integer count with the scope stated in prose.</x:v>
      </x:c>
      <x:c r="L722" s="6" t="str">
        <x:v>T02, T03</x:v>
      </x:c>
      <x:c r="M722" s="6" t="str">
        <x:v>Count all items of a requested type on one floor.</x:v>
      </x:c>
      <x:c r="N722" s="6" t="str">
        <x:v>{"count":2,"asset_type":"coffee_machine","floor_level":2}</x:v>
      </x:c>
      <x:c r="O722" s="6"/>
      <x:c r="P722" s="6" t="str">
        <x:v>Exact asset type and target floor. Count complete collection.</x:v>
      </x:c>
      <x:c r="Q722" s="15" t="n">
        <x:v>2</x:v>
      </x:c>
      <x:c r="R722" s="6" t="str">
        <x:v>items</x:v>
      </x:c>
      <x:c r="S722" s="16"/>
      <x:c r="T722" s="15"/>
      <x:c r="U722" s="6"/>
      <x:c r="V722" s="6"/>
      <x:c r="W722" s="6" t="str">
        <x:v>No dedicated counting tool. search_building exposes matches but returns at most 15 results.</x:v>
      </x:c>
      <x:c r="X722" s="6" t="str">
        <x:v>data/train/swiss-28/questions_basic.jsonl</x:v>
      </x:c>
      <x:c r="Y722" s="14" t="n">
        <x:v>4</x:v>
      </x:c>
      <x:c r="Z722" s="6" t="str">
        <x:v>https://github.com/hagenhaeussler/Industrial-Agents-Hackathon-2026/blob/f41616590b69f3ea0c1cbfb41d6c35edd9ce53df/data/train/swiss-28/questions_basic.jsonl#L4</x:v>
      </x:c>
      <x:c r="AA722" s="6" t="str">
        <x:v>swiss_dwellings</x:v>
      </x:c>
      <x:c r="AB722" s="6" t="str">
        <x:v>CC-BY-4.0</x:v>
      </x:c>
    </x:row>
    <x:row r="723" ht="72" customHeight="1">
      <x:c r="A723" s="14" t="n">
        <x:v>718</x:v>
      </x:c>
      <x:c r="B723" s="6" t="str">
        <x:v>count</x:v>
      </x:c>
      <x:c r="C723" s="6" t="str">
        <x:v>How many armchair items are on the floor 2?</x:v>
      </x:c>
      <x:c r="D723" s="6" t="str">
        <x:v>2 armchair items
Floor level: 2</x:v>
      </x:c>
      <x:c r="E723" s="6" t="str">
        <x:v>Reference supplied</x:v>
      </x:c>
      <x:c r="F723" s="6" t="str">
        <x:v>train</x:v>
      </x:c>
      <x:c r="G723" s="6" t="str">
        <x:v>swiss-2974</x:v>
      </x:c>
      <x:c r="H723" s="6" t="str">
        <x:v>swiss-2974-Q02</x:v>
      </x:c>
      <x:c r="I723" s="6" t="str">
        <x:v>Find and count assets</x:v>
      </x:c>
      <x:c r="J723" s="6" t="str">
        <x:v>Warm-up</x:v>
      </x:c>
      <x:c r="K723" s="6" t="str">
        <x:v>An exact integer count with the scope stated in prose.</x:v>
      </x:c>
      <x:c r="L723" s="6" t="str">
        <x:v>T02, T03</x:v>
      </x:c>
      <x:c r="M723" s="6" t="str">
        <x:v>Count all items of a requested type on one floor.</x:v>
      </x:c>
      <x:c r="N723" s="6" t="str">
        <x:v>{"count":2,"asset_type":"armchair","floor_level":2}</x:v>
      </x:c>
      <x:c r="O723" s="6"/>
      <x:c r="P723" s="6" t="str">
        <x:v>Exact asset type and target floor. Count complete collection.</x:v>
      </x:c>
      <x:c r="Q723" s="15" t="n">
        <x:v>2</x:v>
      </x:c>
      <x:c r="R723" s="6" t="str">
        <x:v>items</x:v>
      </x:c>
      <x:c r="S723" s="16"/>
      <x:c r="T723" s="15"/>
      <x:c r="U723" s="6"/>
      <x:c r="V723" s="6"/>
      <x:c r="W723" s="6" t="str">
        <x:v>No dedicated counting tool. search_building exposes matches but returns at most 15 results.</x:v>
      </x:c>
      <x:c r="X723" s="6" t="str">
        <x:v>data/train/swiss-2974/questions_basic.jsonl</x:v>
      </x:c>
      <x:c r="Y723" s="14" t="n">
        <x:v>2</x:v>
      </x:c>
      <x:c r="Z723" s="6" t="str">
        <x:v>https://github.com/hagenhaeussler/Industrial-Agents-Hackathon-2026/blob/f41616590b69f3ea0c1cbfb41d6c35edd9ce53df/data/train/swiss-2974/questions_basic.jsonl#L2</x:v>
      </x:c>
      <x:c r="AA723" s="6" t="str">
        <x:v>swiss_dwellings</x:v>
      </x:c>
      <x:c r="AB723" s="6" t="str">
        <x:v>CC-BY-4.0</x:v>
      </x:c>
    </x:row>
    <x:row r="724" ht="72" customHeight="1">
      <x:c r="A724" s="14" t="n">
        <x:v>719</x:v>
      </x:c>
      <x:c r="B724" s="6" t="str">
        <x:v>count</x:v>
      </x:c>
      <x:c r="C724" s="6" t="str">
        <x:v>How many outdoor table items are on the floor 4?</x:v>
      </x:c>
      <x:c r="D724" s="6" t="str">
        <x:v>4 outdoor_table items
Floor level: 4</x:v>
      </x:c>
      <x:c r="E724" s="6" t="str">
        <x:v>Reference supplied</x:v>
      </x:c>
      <x:c r="F724" s="6" t="str">
        <x:v>train</x:v>
      </x:c>
      <x:c r="G724" s="6" t="str">
        <x:v>swiss-2975</x:v>
      </x:c>
      <x:c r="H724" s="6" t="str">
        <x:v>swiss-2975-Q03</x:v>
      </x:c>
      <x:c r="I724" s="6" t="str">
        <x:v>Find and count assets</x:v>
      </x:c>
      <x:c r="J724" s="6" t="str">
        <x:v>Warm-up</x:v>
      </x:c>
      <x:c r="K724" s="6" t="str">
        <x:v>An exact integer count with the scope stated in prose.</x:v>
      </x:c>
      <x:c r="L724" s="6" t="str">
        <x:v>T02, T03</x:v>
      </x:c>
      <x:c r="M724" s="6" t="str">
        <x:v>Count all items of a requested type on one floor.</x:v>
      </x:c>
      <x:c r="N724" s="6" t="str">
        <x:v>{"count":4,"asset_type":"outdoor_table","floor_level":4}</x:v>
      </x:c>
      <x:c r="O724" s="6"/>
      <x:c r="P724" s="6" t="str">
        <x:v>Exact asset type and target floor. Count complete collection.</x:v>
      </x:c>
      <x:c r="Q724" s="15" t="n">
        <x:v>4</x:v>
      </x:c>
      <x:c r="R724" s="6" t="str">
        <x:v>items</x:v>
      </x:c>
      <x:c r="S724" s="16"/>
      <x:c r="T724" s="15"/>
      <x:c r="U724" s="6"/>
      <x:c r="V724" s="6"/>
      <x:c r="W724" s="6" t="str">
        <x:v>No dedicated counting tool. search_building exposes matches but returns at most 15 results.</x:v>
      </x:c>
      <x:c r="X724" s="6" t="str">
        <x:v>data/train/swiss-2975/questions_basic.jsonl</x:v>
      </x:c>
      <x:c r="Y724" s="14" t="n">
        <x:v>3</x:v>
      </x:c>
      <x:c r="Z724" s="6" t="str">
        <x:v>https://github.com/hagenhaeussler/Industrial-Agents-Hackathon-2026/blob/f41616590b69f3ea0c1cbfb41d6c35edd9ce53df/data/train/swiss-2975/questions_basic.jsonl#L3</x:v>
      </x:c>
      <x:c r="AA724" s="6" t="str">
        <x:v>swiss_dwellings</x:v>
      </x:c>
      <x:c r="AB724" s="6" t="str">
        <x:v>CC-BY-4.0</x:v>
      </x:c>
    </x:row>
    <x:row r="725" ht="72" customHeight="1">
      <x:c r="A725" s="14" t="n">
        <x:v>720</x:v>
      </x:c>
      <x:c r="B725" s="6" t="str">
        <x:v>count</x:v>
      </x:c>
      <x:c r="C725" s="6" t="str">
        <x:v>How many kitchen counter items are on the ground floor?</x:v>
      </x:c>
      <x:c r="D725" s="6" t="str">
        <x:v>4 kitchen_counter items
Floor level: 0</x:v>
      </x:c>
      <x:c r="E725" s="6" t="str">
        <x:v>Reference supplied</x:v>
      </x:c>
      <x:c r="F725" s="6" t="str">
        <x:v>train</x:v>
      </x:c>
      <x:c r="G725" s="6" t="str">
        <x:v>swiss-3066</x:v>
      </x:c>
      <x:c r="H725" s="6" t="str">
        <x:v>swiss-3066-Q03</x:v>
      </x:c>
      <x:c r="I725" s="6" t="str">
        <x:v>Find and count assets</x:v>
      </x:c>
      <x:c r="J725" s="6" t="str">
        <x:v>Warm-up</x:v>
      </x:c>
      <x:c r="K725" s="6" t="str">
        <x:v>An exact integer count with the scope stated in prose.</x:v>
      </x:c>
      <x:c r="L725" s="6" t="str">
        <x:v>T02, T03</x:v>
      </x:c>
      <x:c r="M725" s="6" t="str">
        <x:v>Count all items of a requested type on one floor.</x:v>
      </x:c>
      <x:c r="N725" s="6" t="str">
        <x:v>{"count":4,"asset_type":"kitchen_counter","floor_level":0}</x:v>
      </x:c>
      <x:c r="O725" s="6"/>
      <x:c r="P725" s="6" t="str">
        <x:v>Exact asset type and target floor. Count complete collection.</x:v>
      </x:c>
      <x:c r="Q725" s="15" t="n">
        <x:v>4</x:v>
      </x:c>
      <x:c r="R725" s="6" t="str">
        <x:v>items</x:v>
      </x:c>
      <x:c r="S725" s="16"/>
      <x:c r="T725" s="15"/>
      <x:c r="U725" s="6"/>
      <x:c r="V725" s="6"/>
      <x:c r="W725" s="6" t="str">
        <x:v>No dedicated counting tool. search_building exposes matches but returns at most 15 results.</x:v>
      </x:c>
      <x:c r="X725" s="6" t="str">
        <x:v>data/train/swiss-3066/questions_basic.jsonl</x:v>
      </x:c>
      <x:c r="Y725" s="14" t="n">
        <x:v>3</x:v>
      </x:c>
      <x:c r="Z725" s="6" t="str">
        <x:v>https://github.com/hagenhaeussler/Industrial-Agents-Hackathon-2026/blob/f41616590b69f3ea0c1cbfb41d6c35edd9ce53df/data/train/swiss-3066/questions_basic.jsonl#L3</x:v>
      </x:c>
      <x:c r="AA725" s="6" t="str">
        <x:v>swiss_dwellings</x:v>
      </x:c>
      <x:c r="AB725" s="6" t="str">
        <x:v>CC-BY-4.0</x:v>
      </x:c>
    </x:row>
    <x:row r="726" ht="72" customHeight="1">
      <x:c r="A726" s="14" t="n">
        <x:v>721</x:v>
      </x:c>
      <x:c r="B726" s="6" t="str">
        <x:v>count</x:v>
      </x:c>
      <x:c r="C726" s="6" t="str">
        <x:v>How many bookshelf items are on the floor 3?</x:v>
      </x:c>
      <x:c r="D726" s="6" t="str">
        <x:v>4 bookshelf items
Floor level: 3</x:v>
      </x:c>
      <x:c r="E726" s="6" t="str">
        <x:v>Reference supplied</x:v>
      </x:c>
      <x:c r="F726" s="6" t="str">
        <x:v>train</x:v>
      </x:c>
      <x:c r="G726" s="6" t="str">
        <x:v>swiss-3092</x:v>
      </x:c>
      <x:c r="H726" s="6" t="str">
        <x:v>swiss-3092-Q01</x:v>
      </x:c>
      <x:c r="I726" s="6" t="str">
        <x:v>Find and count assets</x:v>
      </x:c>
      <x:c r="J726" s="6" t="str">
        <x:v>Warm-up</x:v>
      </x:c>
      <x:c r="K726" s="6" t="str">
        <x:v>An exact integer count with the scope stated in prose.</x:v>
      </x:c>
      <x:c r="L726" s="6" t="str">
        <x:v>T02, T03</x:v>
      </x:c>
      <x:c r="M726" s="6" t="str">
        <x:v>Count all items of a requested type on one floor.</x:v>
      </x:c>
      <x:c r="N726" s="6" t="str">
        <x:v>{"count":4,"asset_type":"bookshelf","floor_level":3}</x:v>
      </x:c>
      <x:c r="O726" s="6"/>
      <x:c r="P726" s="6" t="str">
        <x:v>Exact asset type and target floor. Count complete collection.</x:v>
      </x:c>
      <x:c r="Q726" s="15" t="n">
        <x:v>4</x:v>
      </x:c>
      <x:c r="R726" s="6" t="str">
        <x:v>items</x:v>
      </x:c>
      <x:c r="S726" s="16"/>
      <x:c r="T726" s="15"/>
      <x:c r="U726" s="6"/>
      <x:c r="V726" s="6"/>
      <x:c r="W726" s="6" t="str">
        <x:v>No dedicated counting tool. search_building exposes matches but returns at most 15 results.</x:v>
      </x:c>
      <x:c r="X726" s="6" t="str">
        <x:v>data/train/swiss-3092/questions_basic.jsonl</x:v>
      </x:c>
      <x:c r="Y726" s="14" t="n">
        <x:v>1</x:v>
      </x:c>
      <x:c r="Z726" s="6" t="str">
        <x:v>https://github.com/hagenhaeussler/Industrial-Agents-Hackathon-2026/blob/f41616590b69f3ea0c1cbfb41d6c35edd9ce53df/data/train/swiss-3092/questions_basic.jsonl#L1</x:v>
      </x:c>
      <x:c r="AA726" s="6" t="str">
        <x:v>swiss_dwellings</x:v>
      </x:c>
      <x:c r="AB726" s="6" t="str">
        <x:v>CC-BY-4.0</x:v>
      </x:c>
    </x:row>
    <x:row r="727" ht="72" customHeight="1">
      <x:c r="A727" s="14" t="n">
        <x:v>722</x:v>
      </x:c>
      <x:c r="B727" s="6" t="str">
        <x:v>count</x:v>
      </x:c>
      <x:c r="C727" s="6" t="str">
        <x:v>How many outdoor chair items are on the ground floor?</x:v>
      </x:c>
      <x:c r="D727" s="6" t="str">
        <x:v>4 outdoor_chair items
Floor level: 0</x:v>
      </x:c>
      <x:c r="E727" s="6" t="str">
        <x:v>Reference supplied</x:v>
      </x:c>
      <x:c r="F727" s="6" t="str">
        <x:v>train</x:v>
      </x:c>
      <x:c r="G727" s="6" t="str">
        <x:v>swiss-3096</x:v>
      </x:c>
      <x:c r="H727" s="6" t="str">
        <x:v>swiss-3096-Q04</x:v>
      </x:c>
      <x:c r="I727" s="6" t="str">
        <x:v>Find and count assets</x:v>
      </x:c>
      <x:c r="J727" s="6" t="str">
        <x:v>Warm-up</x:v>
      </x:c>
      <x:c r="K727" s="6" t="str">
        <x:v>An exact integer count with the scope stated in prose.</x:v>
      </x:c>
      <x:c r="L727" s="6" t="str">
        <x:v>T02, T03</x:v>
      </x:c>
      <x:c r="M727" s="6" t="str">
        <x:v>Count all items of a requested type on one floor.</x:v>
      </x:c>
      <x:c r="N727" s="6" t="str">
        <x:v>{"count":4,"asset_type":"outdoor_chair","floor_level":0}</x:v>
      </x:c>
      <x:c r="O727" s="6"/>
      <x:c r="P727" s="6" t="str">
        <x:v>Exact asset type and target floor. Count complete collection.</x:v>
      </x:c>
      <x:c r="Q727" s="15" t="n">
        <x:v>4</x:v>
      </x:c>
      <x:c r="R727" s="6" t="str">
        <x:v>items</x:v>
      </x:c>
      <x:c r="S727" s="16"/>
      <x:c r="T727" s="15"/>
      <x:c r="U727" s="6"/>
      <x:c r="V727" s="6"/>
      <x:c r="W727" s="6" t="str">
        <x:v>No dedicated counting tool. search_building exposes matches but returns at most 15 results.</x:v>
      </x:c>
      <x:c r="X727" s="6" t="str">
        <x:v>data/train/swiss-3096/questions_basic.jsonl</x:v>
      </x:c>
      <x:c r="Y727" s="14" t="n">
        <x:v>4</x:v>
      </x:c>
      <x:c r="Z727" s="6" t="str">
        <x:v>https://github.com/hagenhaeussler/Industrial-Agents-Hackathon-2026/blob/f41616590b69f3ea0c1cbfb41d6c35edd9ce53df/data/train/swiss-3096/questions_basic.jsonl#L4</x:v>
      </x:c>
      <x:c r="AA727" s="6" t="str">
        <x:v>swiss_dwellings</x:v>
      </x:c>
      <x:c r="AB727" s="6" t="str">
        <x:v>CC-BY-4.0</x:v>
      </x:c>
    </x:row>
    <x:row r="728" ht="72" customHeight="1">
      <x:c r="A728" s="14" t="n">
        <x:v>723</x:v>
      </x:c>
      <x:c r="B728" s="6" t="str">
        <x:v>count</x:v>
      </x:c>
      <x:c r="C728" s="6" t="str">
        <x:v>How many single bed items are on the floor 1?</x:v>
      </x:c>
      <x:c r="D728" s="6" t="str">
        <x:v>6 single_bed items
Floor level: 1</x:v>
      </x:c>
      <x:c r="E728" s="6" t="str">
        <x:v>Reference supplied</x:v>
      </x:c>
      <x:c r="F728" s="6" t="str">
        <x:v>train</x:v>
      </x:c>
      <x:c r="G728" s="6" t="str">
        <x:v>swiss-3197</x:v>
      </x:c>
      <x:c r="H728" s="6" t="str">
        <x:v>swiss-3197-Q02</x:v>
      </x:c>
      <x:c r="I728" s="6" t="str">
        <x:v>Find and count assets</x:v>
      </x:c>
      <x:c r="J728" s="6" t="str">
        <x:v>Warm-up</x:v>
      </x:c>
      <x:c r="K728" s="6" t="str">
        <x:v>An exact integer count with the scope stated in prose.</x:v>
      </x:c>
      <x:c r="L728" s="6" t="str">
        <x:v>T02, T03</x:v>
      </x:c>
      <x:c r="M728" s="6" t="str">
        <x:v>Count all items of a requested type on one floor.</x:v>
      </x:c>
      <x:c r="N728" s="6" t="str">
        <x:v>{"count":6,"asset_type":"single_bed","floor_level":1}</x:v>
      </x:c>
      <x:c r="O728" s="6"/>
      <x:c r="P728" s="6" t="str">
        <x:v>Exact asset type and target floor. Count complete collection.</x:v>
      </x:c>
      <x:c r="Q728" s="15" t="n">
        <x:v>6</x:v>
      </x:c>
      <x:c r="R728" s="6" t="str">
        <x:v>items</x:v>
      </x:c>
      <x:c r="S728" s="16"/>
      <x:c r="T728" s="15"/>
      <x:c r="U728" s="6"/>
      <x:c r="V728" s="6"/>
      <x:c r="W728" s="6" t="str">
        <x:v>No dedicated counting tool. search_building exposes matches but returns at most 15 results.</x:v>
      </x:c>
      <x:c r="X728" s="6" t="str">
        <x:v>data/train/swiss-3197/questions_basic.jsonl</x:v>
      </x:c>
      <x:c r="Y728" s="14" t="n">
        <x:v>2</x:v>
      </x:c>
      <x:c r="Z728" s="6" t="str">
        <x:v>https://github.com/hagenhaeussler/Industrial-Agents-Hackathon-2026/blob/f41616590b69f3ea0c1cbfb41d6c35edd9ce53df/data/train/swiss-3197/questions_basic.jsonl#L2</x:v>
      </x:c>
      <x:c r="AA728" s="6" t="str">
        <x:v>swiss_dwellings</x:v>
      </x:c>
      <x:c r="AB728" s="6" t="str">
        <x:v>CC-BY-4.0</x:v>
      </x:c>
    </x:row>
    <x:row r="729" ht="72" customHeight="1">
      <x:c r="A729" s="14" t="n">
        <x:v>724</x:v>
      </x:c>
      <x:c r="B729" s="6" t="str">
        <x:v>count</x:v>
      </x:c>
      <x:c r="C729" s="6" t="str">
        <x:v>How many nightstand items are on the ground floor?</x:v>
      </x:c>
      <x:c r="D729" s="6" t="str">
        <x:v>10 nightstand items
Floor level: 0</x:v>
      </x:c>
      <x:c r="E729" s="6" t="str">
        <x:v>Reference supplied</x:v>
      </x:c>
      <x:c r="F729" s="6" t="str">
        <x:v>train</x:v>
      </x:c>
      <x:c r="G729" s="6" t="str">
        <x:v>swiss-325</x:v>
      </x:c>
      <x:c r="H729" s="6" t="str">
        <x:v>swiss-325-Q03</x:v>
      </x:c>
      <x:c r="I729" s="6" t="str">
        <x:v>Find and count assets</x:v>
      </x:c>
      <x:c r="J729" s="6" t="str">
        <x:v>Warm-up</x:v>
      </x:c>
      <x:c r="K729" s="6" t="str">
        <x:v>An exact integer count with the scope stated in prose.</x:v>
      </x:c>
      <x:c r="L729" s="6" t="str">
        <x:v>T02, T03</x:v>
      </x:c>
      <x:c r="M729" s="6" t="str">
        <x:v>Count all items of a requested type on one floor.</x:v>
      </x:c>
      <x:c r="N729" s="6" t="str">
        <x:v>{"count":10,"asset_type":"nightstand","floor_level":0}</x:v>
      </x:c>
      <x:c r="O729" s="6"/>
      <x:c r="P729" s="6" t="str">
        <x:v>Exact asset type and target floor. Count complete collection.</x:v>
      </x:c>
      <x:c r="Q729" s="15" t="n">
        <x:v>10</x:v>
      </x:c>
      <x:c r="R729" s="6" t="str">
        <x:v>items</x:v>
      </x:c>
      <x:c r="S729" s="16"/>
      <x:c r="T729" s="15"/>
      <x:c r="U729" s="6"/>
      <x:c r="V729" s="6"/>
      <x:c r="W729" s="6" t="str">
        <x:v>No dedicated counting tool. search_building exposes matches but returns at most 15 results.</x:v>
      </x:c>
      <x:c r="X729" s="6" t="str">
        <x:v>data/train/swiss-325/questions_basic.jsonl</x:v>
      </x:c>
      <x:c r="Y729" s="14" t="n">
        <x:v>3</x:v>
      </x:c>
      <x:c r="Z729" s="6" t="str">
        <x:v>https://github.com/hagenhaeussler/Industrial-Agents-Hackathon-2026/blob/f41616590b69f3ea0c1cbfb41d6c35edd9ce53df/data/train/swiss-325/questions_basic.jsonl#L3</x:v>
      </x:c>
      <x:c r="AA729" s="6" t="str">
        <x:v>swiss_dwellings</x:v>
      </x:c>
      <x:c r="AB729" s="6" t="str">
        <x:v>CC-BY-4.0</x:v>
      </x:c>
    </x:row>
    <x:row r="730" ht="72" customHeight="1">
      <x:c r="A730" s="14" t="n">
        <x:v>725</x:v>
      </x:c>
      <x:c r="B730" s="6" t="str">
        <x:v>count</x:v>
      </x:c>
      <x:c r="C730" s="6" t="str">
        <x:v>How many tv stand items are on the ground floor?</x:v>
      </x:c>
      <x:c r="D730" s="6" t="str">
        <x:v>2 tv_stand items
Floor level: 0</x:v>
      </x:c>
      <x:c r="E730" s="6" t="str">
        <x:v>Reference supplied</x:v>
      </x:c>
      <x:c r="F730" s="6" t="str">
        <x:v>train</x:v>
      </x:c>
      <x:c r="G730" s="6" t="str">
        <x:v>swiss-328</x:v>
      </x:c>
      <x:c r="H730" s="6" t="str">
        <x:v>swiss-328-Q01</x:v>
      </x:c>
      <x:c r="I730" s="6" t="str">
        <x:v>Find and count assets</x:v>
      </x:c>
      <x:c r="J730" s="6" t="str">
        <x:v>Warm-up</x:v>
      </x:c>
      <x:c r="K730" s="6" t="str">
        <x:v>An exact integer count with the scope stated in prose.</x:v>
      </x:c>
      <x:c r="L730" s="6" t="str">
        <x:v>T02, T03</x:v>
      </x:c>
      <x:c r="M730" s="6" t="str">
        <x:v>Count all items of a requested type on one floor.</x:v>
      </x:c>
      <x:c r="N730" s="6" t="str">
        <x:v>{"count":2,"asset_type":"tv_stand","floor_level":0}</x:v>
      </x:c>
      <x:c r="O730" s="6"/>
      <x:c r="P730" s="6" t="str">
        <x:v>Exact asset type and target floor. Count complete collection.</x:v>
      </x:c>
      <x:c r="Q730" s="15" t="n">
        <x:v>2</x:v>
      </x:c>
      <x:c r="R730" s="6" t="str">
        <x:v>items</x:v>
      </x:c>
      <x:c r="S730" s="16"/>
      <x:c r="T730" s="15"/>
      <x:c r="U730" s="6"/>
      <x:c r="V730" s="6"/>
      <x:c r="W730" s="6" t="str">
        <x:v>No dedicated counting tool. search_building exposes matches but returns at most 15 results.</x:v>
      </x:c>
      <x:c r="X730" s="6" t="str">
        <x:v>data/train/swiss-328/questions_basic.jsonl</x:v>
      </x:c>
      <x:c r="Y730" s="14" t="n">
        <x:v>1</x:v>
      </x:c>
      <x:c r="Z730" s="6" t="str">
        <x:v>https://github.com/hagenhaeussler/Industrial-Agents-Hackathon-2026/blob/f41616590b69f3ea0c1cbfb41d6c35edd9ce53df/data/train/swiss-328/questions_basic.jsonl#L1</x:v>
      </x:c>
      <x:c r="AA730" s="6" t="str">
        <x:v>swiss_dwellings</x:v>
      </x:c>
      <x:c r="AB730" s="6" t="str">
        <x:v>CC-BY-4.0</x:v>
      </x:c>
    </x:row>
    <x:row r="731" ht="72" customHeight="1">
      <x:c r="A731" s="14" t="n">
        <x:v>726</x:v>
      </x:c>
      <x:c r="B731" s="6" t="str">
        <x:v>count</x:v>
      </x:c>
      <x:c r="C731" s="6" t="str">
        <x:v>How many sink items are on the floor 3?</x:v>
      </x:c>
      <x:c r="D731" s="6" t="str">
        <x:v>6 sink items
Floor level: 3</x:v>
      </x:c>
      <x:c r="E731" s="6" t="str">
        <x:v>Reference supplied</x:v>
      </x:c>
      <x:c r="F731" s="6" t="str">
        <x:v>train</x:v>
      </x:c>
      <x:c r="G731" s="6" t="str">
        <x:v>swiss-3284</x:v>
      </x:c>
      <x:c r="H731" s="6" t="str">
        <x:v>swiss-3284-Q02</x:v>
      </x:c>
      <x:c r="I731" s="6" t="str">
        <x:v>Find and count assets</x:v>
      </x:c>
      <x:c r="J731" s="6" t="str">
        <x:v>Warm-up</x:v>
      </x:c>
      <x:c r="K731" s="6" t="str">
        <x:v>An exact integer count with the scope stated in prose.</x:v>
      </x:c>
      <x:c r="L731" s="6" t="str">
        <x:v>T02, T03</x:v>
      </x:c>
      <x:c r="M731" s="6" t="str">
        <x:v>Count all items of a requested type on one floor.</x:v>
      </x:c>
      <x:c r="N731" s="6" t="str">
        <x:v>{"count":6,"asset_type":"sink","floor_level":3}</x:v>
      </x:c>
      <x:c r="O731" s="6"/>
      <x:c r="P731" s="6" t="str">
        <x:v>Exact asset type and target floor. Count complete collection.</x:v>
      </x:c>
      <x:c r="Q731" s="15" t="n">
        <x:v>6</x:v>
      </x:c>
      <x:c r="R731" s="6" t="str">
        <x:v>items</x:v>
      </x:c>
      <x:c r="S731" s="16"/>
      <x:c r="T731" s="15"/>
      <x:c r="U731" s="6"/>
      <x:c r="V731" s="6"/>
      <x:c r="W731" s="6" t="str">
        <x:v>No dedicated counting tool. search_building exposes matches but returns at most 15 results.</x:v>
      </x:c>
      <x:c r="X731" s="6" t="str">
        <x:v>data/train/swiss-3284/questions_basic.jsonl</x:v>
      </x:c>
      <x:c r="Y731" s="14" t="n">
        <x:v>2</x:v>
      </x:c>
      <x:c r="Z731" s="6" t="str">
        <x:v>https://github.com/hagenhaeussler/Industrial-Agents-Hackathon-2026/blob/f41616590b69f3ea0c1cbfb41d6c35edd9ce53df/data/train/swiss-3284/questions_basic.jsonl#L2</x:v>
      </x:c>
      <x:c r="AA731" s="6" t="str">
        <x:v>swiss_dwellings</x:v>
      </x:c>
      <x:c r="AB731" s="6" t="str">
        <x:v>CC-BY-4.0</x:v>
      </x:c>
    </x:row>
    <x:row r="732" ht="72" customHeight="1">
      <x:c r="A732" s="14" t="n">
        <x:v>727</x:v>
      </x:c>
      <x:c r="B732" s="6" t="str">
        <x:v>count</x:v>
      </x:c>
      <x:c r="C732" s="6" t="str">
        <x:v>How many nightstand items are on the floor 2?</x:v>
      </x:c>
      <x:c r="D732" s="6" t="str">
        <x:v>6 nightstand items
Floor level: 2</x:v>
      </x:c>
      <x:c r="E732" s="6" t="str">
        <x:v>Reference supplied</x:v>
      </x:c>
      <x:c r="F732" s="6" t="str">
        <x:v>train</x:v>
      </x:c>
      <x:c r="G732" s="6" t="str">
        <x:v>swiss-333</x:v>
      </x:c>
      <x:c r="H732" s="6" t="str">
        <x:v>swiss-333-Q03</x:v>
      </x:c>
      <x:c r="I732" s="6" t="str">
        <x:v>Find and count assets</x:v>
      </x:c>
      <x:c r="J732" s="6" t="str">
        <x:v>Warm-up</x:v>
      </x:c>
      <x:c r="K732" s="6" t="str">
        <x:v>An exact integer count with the scope stated in prose.</x:v>
      </x:c>
      <x:c r="L732" s="6" t="str">
        <x:v>T02, T03</x:v>
      </x:c>
      <x:c r="M732" s="6" t="str">
        <x:v>Count all items of a requested type on one floor.</x:v>
      </x:c>
      <x:c r="N732" s="6" t="str">
        <x:v>{"count":6,"asset_type":"nightstand","floor_level":2}</x:v>
      </x:c>
      <x:c r="O732" s="6"/>
      <x:c r="P732" s="6" t="str">
        <x:v>Exact asset type and target floor. Count complete collection.</x:v>
      </x:c>
      <x:c r="Q732" s="15" t="n">
        <x:v>6</x:v>
      </x:c>
      <x:c r="R732" s="6" t="str">
        <x:v>items</x:v>
      </x:c>
      <x:c r="S732" s="16"/>
      <x:c r="T732" s="15"/>
      <x:c r="U732" s="6"/>
      <x:c r="V732" s="6"/>
      <x:c r="W732" s="6" t="str">
        <x:v>No dedicated counting tool. search_building exposes matches but returns at most 15 results.</x:v>
      </x:c>
      <x:c r="X732" s="6" t="str">
        <x:v>data/train/swiss-333/questions_basic.jsonl</x:v>
      </x:c>
      <x:c r="Y732" s="14" t="n">
        <x:v>3</x:v>
      </x:c>
      <x:c r="Z732" s="6" t="str">
        <x:v>https://github.com/hagenhaeussler/Industrial-Agents-Hackathon-2026/blob/f41616590b69f3ea0c1cbfb41d6c35edd9ce53df/data/train/swiss-333/questions_basic.jsonl#L3</x:v>
      </x:c>
      <x:c r="AA732" s="6" t="str">
        <x:v>swiss_dwellings</x:v>
      </x:c>
      <x:c r="AB732" s="6" t="str">
        <x:v>CC-BY-4.0</x:v>
      </x:c>
    </x:row>
    <x:row r="733" ht="72" customHeight="1">
      <x:c r="A733" s="14" t="n">
        <x:v>728</x:v>
      </x:c>
      <x:c r="B733" s="6" t="str">
        <x:v>count</x:v>
      </x:c>
      <x:c r="C733" s="6" t="str">
        <x:v>How many nightstand items are on the ground floor?</x:v>
      </x:c>
      <x:c r="D733" s="6" t="str">
        <x:v>7 nightstand items
Floor level: 0</x:v>
      </x:c>
      <x:c r="E733" s="6" t="str">
        <x:v>Reference supplied</x:v>
      </x:c>
      <x:c r="F733" s="6" t="str">
        <x:v>train</x:v>
      </x:c>
      <x:c r="G733" s="6" t="str">
        <x:v>swiss-3338</x:v>
      </x:c>
      <x:c r="H733" s="6" t="str">
        <x:v>swiss-3338-Q02</x:v>
      </x:c>
      <x:c r="I733" s="6" t="str">
        <x:v>Find and count assets</x:v>
      </x:c>
      <x:c r="J733" s="6" t="str">
        <x:v>Warm-up</x:v>
      </x:c>
      <x:c r="K733" s="6" t="str">
        <x:v>An exact integer count with the scope stated in prose.</x:v>
      </x:c>
      <x:c r="L733" s="6" t="str">
        <x:v>T02, T03</x:v>
      </x:c>
      <x:c r="M733" s="6" t="str">
        <x:v>Count all items of a requested type on one floor.</x:v>
      </x:c>
      <x:c r="N733" s="6" t="str">
        <x:v>{"count":7,"asset_type":"nightstand","floor_level":0}</x:v>
      </x:c>
      <x:c r="O733" s="6"/>
      <x:c r="P733" s="6" t="str">
        <x:v>Exact asset type and target floor. Count complete collection.</x:v>
      </x:c>
      <x:c r="Q733" s="15" t="n">
        <x:v>7</x:v>
      </x:c>
      <x:c r="R733" s="6" t="str">
        <x:v>items</x:v>
      </x:c>
      <x:c r="S733" s="16"/>
      <x:c r="T733" s="15"/>
      <x:c r="U733" s="6"/>
      <x:c r="V733" s="6"/>
      <x:c r="W733" s="6" t="str">
        <x:v>No dedicated counting tool. search_building exposes matches but returns at most 15 results.</x:v>
      </x:c>
      <x:c r="X733" s="6" t="str">
        <x:v>data/train/swiss-3338/questions_basic.jsonl</x:v>
      </x:c>
      <x:c r="Y733" s="14" t="n">
        <x:v>2</x:v>
      </x:c>
      <x:c r="Z733" s="6" t="str">
        <x:v>https://github.com/hagenhaeussler/Industrial-Agents-Hackathon-2026/blob/f41616590b69f3ea0c1cbfb41d6c35edd9ce53df/data/train/swiss-3338/questions_basic.jsonl#L2</x:v>
      </x:c>
      <x:c r="AA733" s="6" t="str">
        <x:v>swiss_dwellings</x:v>
      </x:c>
      <x:c r="AB733" s="6" t="str">
        <x:v>CC-BY-4.0</x:v>
      </x:c>
    </x:row>
    <x:row r="734" ht="72" customHeight="1">
      <x:c r="A734" s="14" t="n">
        <x:v>729</x:v>
      </x:c>
      <x:c r="B734" s="6" t="str">
        <x:v>count</x:v>
      </x:c>
      <x:c r="C734" s="6" t="str">
        <x:v>How many kitchen counter items are on the basement 1?</x:v>
      </x:c>
      <x:c r="D734" s="6" t="str">
        <x:v>2 kitchen_counter items
Floor level: -1</x:v>
      </x:c>
      <x:c r="E734" s="6" t="str">
        <x:v>Reference supplied</x:v>
      </x:c>
      <x:c r="F734" s="6" t="str">
        <x:v>train</x:v>
      </x:c>
      <x:c r="G734" s="6" t="str">
        <x:v>swiss-3355</x:v>
      </x:c>
      <x:c r="H734" s="6" t="str">
        <x:v>swiss-3355-Q03</x:v>
      </x:c>
      <x:c r="I734" s="6" t="str">
        <x:v>Find and count assets</x:v>
      </x:c>
      <x:c r="J734" s="6" t="str">
        <x:v>Warm-up</x:v>
      </x:c>
      <x:c r="K734" s="6" t="str">
        <x:v>An exact integer count with the scope stated in prose.</x:v>
      </x:c>
      <x:c r="L734" s="6" t="str">
        <x:v>T02, T03</x:v>
      </x:c>
      <x:c r="M734" s="6" t="str">
        <x:v>Count all items of a requested type on one floor.</x:v>
      </x:c>
      <x:c r="N734" s="6" t="str">
        <x:v>{"count":2,"asset_type":"kitchen_counter","floor_level":-1}</x:v>
      </x:c>
      <x:c r="O734" s="6"/>
      <x:c r="P734" s="6" t="str">
        <x:v>Exact asset type and target floor. Count complete collection.</x:v>
      </x:c>
      <x:c r="Q734" s="15" t="n">
        <x:v>2</x:v>
      </x:c>
      <x:c r="R734" s="6" t="str">
        <x:v>items</x:v>
      </x:c>
      <x:c r="S734" s="16"/>
      <x:c r="T734" s="15"/>
      <x:c r="U734" s="6"/>
      <x:c r="V734" s="6"/>
      <x:c r="W734" s="6" t="str">
        <x:v>No dedicated counting tool. search_building exposes matches but returns at most 15 results.</x:v>
      </x:c>
      <x:c r="X734" s="6" t="str">
        <x:v>data/train/swiss-3355/questions_basic.jsonl</x:v>
      </x:c>
      <x:c r="Y734" s="14" t="n">
        <x:v>3</x:v>
      </x:c>
      <x:c r="Z734" s="6" t="str">
        <x:v>https://github.com/hagenhaeussler/Industrial-Agents-Hackathon-2026/blob/f41616590b69f3ea0c1cbfb41d6c35edd9ce53df/data/train/swiss-3355/questions_basic.jsonl#L3</x:v>
      </x:c>
      <x:c r="AA734" s="6" t="str">
        <x:v>swiss_dwellings</x:v>
      </x:c>
      <x:c r="AB734" s="6" t="str">
        <x:v>CC-BY-4.0</x:v>
      </x:c>
    </x:row>
    <x:row r="735" ht="72" customHeight="1">
      <x:c r="A735" s="14" t="n">
        <x:v>730</x:v>
      </x:c>
      <x:c r="B735" s="6" t="str">
        <x:v>count</x:v>
      </x:c>
      <x:c r="C735" s="6" t="str">
        <x:v>How many sofa items are on the floor 3?</x:v>
      </x:c>
      <x:c r="D735" s="6" t="str">
        <x:v>2 sofa items
Floor level: 3</x:v>
      </x:c>
      <x:c r="E735" s="6" t="str">
        <x:v>Reference supplied</x:v>
      </x:c>
      <x:c r="F735" s="6" t="str">
        <x:v>train</x:v>
      </x:c>
      <x:c r="G735" s="6" t="str">
        <x:v>swiss-3418</x:v>
      </x:c>
      <x:c r="H735" s="6" t="str">
        <x:v>swiss-3418-Q02</x:v>
      </x:c>
      <x:c r="I735" s="6" t="str">
        <x:v>Find and count assets</x:v>
      </x:c>
      <x:c r="J735" s="6" t="str">
        <x:v>Warm-up</x:v>
      </x:c>
      <x:c r="K735" s="6" t="str">
        <x:v>An exact integer count with the scope stated in prose.</x:v>
      </x:c>
      <x:c r="L735" s="6" t="str">
        <x:v>T02, T03</x:v>
      </x:c>
      <x:c r="M735" s="6" t="str">
        <x:v>Count all items of a requested type on one floor.</x:v>
      </x:c>
      <x:c r="N735" s="6" t="str">
        <x:v>{"count":2,"asset_type":"sofa","floor_level":3}</x:v>
      </x:c>
      <x:c r="O735" s="6"/>
      <x:c r="P735" s="6" t="str">
        <x:v>Exact asset type and target floor. Count complete collection.</x:v>
      </x:c>
      <x:c r="Q735" s="15" t="n">
        <x:v>2</x:v>
      </x:c>
      <x:c r="R735" s="6" t="str">
        <x:v>items</x:v>
      </x:c>
      <x:c r="S735" s="16"/>
      <x:c r="T735" s="15"/>
      <x:c r="U735" s="6"/>
      <x:c r="V735" s="6"/>
      <x:c r="W735" s="6" t="str">
        <x:v>No dedicated counting tool. search_building exposes matches but returns at most 15 results.</x:v>
      </x:c>
      <x:c r="X735" s="6" t="str">
        <x:v>data/train/swiss-3418/questions_basic.jsonl</x:v>
      </x:c>
      <x:c r="Y735" s="14" t="n">
        <x:v>2</x:v>
      </x:c>
      <x:c r="Z735" s="6" t="str">
        <x:v>https://github.com/hagenhaeussler/Industrial-Agents-Hackathon-2026/blob/f41616590b69f3ea0c1cbfb41d6c35edd9ce53df/data/train/swiss-3418/questions_basic.jsonl#L2</x:v>
      </x:c>
      <x:c r="AA735" s="6" t="str">
        <x:v>swiss_dwellings</x:v>
      </x:c>
      <x:c r="AB735" s="6" t="str">
        <x:v>CC-BY-4.0</x:v>
      </x:c>
    </x:row>
    <x:row r="736" ht="72" customHeight="1">
      <x:c r="A736" s="14" t="n">
        <x:v>731</x:v>
      </x:c>
      <x:c r="B736" s="6" t="str">
        <x:v>count</x:v>
      </x:c>
      <x:c r="C736" s="6" t="str">
        <x:v>How many kitchen counter items are on the floor 2?</x:v>
      </x:c>
      <x:c r="D736" s="6" t="str">
        <x:v>2 kitchen_counter items
Floor level: 2</x:v>
      </x:c>
      <x:c r="E736" s="6" t="str">
        <x:v>Reference supplied</x:v>
      </x:c>
      <x:c r="F736" s="6" t="str">
        <x:v>train</x:v>
      </x:c>
      <x:c r="G736" s="6" t="str">
        <x:v>swiss-373</x:v>
      </x:c>
      <x:c r="H736" s="6" t="str">
        <x:v>swiss-373-Q04</x:v>
      </x:c>
      <x:c r="I736" s="6" t="str">
        <x:v>Find and count assets</x:v>
      </x:c>
      <x:c r="J736" s="6" t="str">
        <x:v>Warm-up</x:v>
      </x:c>
      <x:c r="K736" s="6" t="str">
        <x:v>An exact integer count with the scope stated in prose.</x:v>
      </x:c>
      <x:c r="L736" s="6" t="str">
        <x:v>T02, T03</x:v>
      </x:c>
      <x:c r="M736" s="6" t="str">
        <x:v>Count all items of a requested type on one floor.</x:v>
      </x:c>
      <x:c r="N736" s="6" t="str">
        <x:v>{"count":2,"asset_type":"kitchen_counter","floor_level":2}</x:v>
      </x:c>
      <x:c r="O736" s="6"/>
      <x:c r="P736" s="6" t="str">
        <x:v>Exact asset type and target floor. Count complete collection.</x:v>
      </x:c>
      <x:c r="Q736" s="15" t="n">
        <x:v>2</x:v>
      </x:c>
      <x:c r="R736" s="6" t="str">
        <x:v>items</x:v>
      </x:c>
      <x:c r="S736" s="16"/>
      <x:c r="T736" s="15"/>
      <x:c r="U736" s="6"/>
      <x:c r="V736" s="6"/>
      <x:c r="W736" s="6" t="str">
        <x:v>No dedicated counting tool. search_building exposes matches but returns at most 15 results.</x:v>
      </x:c>
      <x:c r="X736" s="6" t="str">
        <x:v>data/train/swiss-373/questions_basic.jsonl</x:v>
      </x:c>
      <x:c r="Y736" s="14" t="n">
        <x:v>4</x:v>
      </x:c>
      <x:c r="Z736" s="6" t="str">
        <x:v>https://github.com/hagenhaeussler/Industrial-Agents-Hackathon-2026/blob/f41616590b69f3ea0c1cbfb41d6c35edd9ce53df/data/train/swiss-373/questions_basic.jsonl#L4</x:v>
      </x:c>
      <x:c r="AA736" s="6" t="str">
        <x:v>swiss_dwellings</x:v>
      </x:c>
      <x:c r="AB736" s="6" t="str">
        <x:v>CC-BY-4.0</x:v>
      </x:c>
    </x:row>
    <x:row r="737" ht="72" customHeight="1">
      <x:c r="A737" s="14" t="n">
        <x:v>732</x:v>
      </x:c>
      <x:c r="B737" s="6" t="str">
        <x:v>count</x:v>
      </x:c>
      <x:c r="C737" s="6" t="str">
        <x:v>How many toilet items are on the floor 2?</x:v>
      </x:c>
      <x:c r="D737" s="6" t="str">
        <x:v>2 toilet items
Floor level: 2</x:v>
      </x:c>
      <x:c r="E737" s="6" t="str">
        <x:v>Reference supplied</x:v>
      </x:c>
      <x:c r="F737" s="6" t="str">
        <x:v>train</x:v>
      </x:c>
      <x:c r="G737" s="6" t="str">
        <x:v>swiss-390</x:v>
      </x:c>
      <x:c r="H737" s="6" t="str">
        <x:v>swiss-390-Q04</x:v>
      </x:c>
      <x:c r="I737" s="6" t="str">
        <x:v>Find and count assets</x:v>
      </x:c>
      <x:c r="J737" s="6" t="str">
        <x:v>Warm-up</x:v>
      </x:c>
      <x:c r="K737" s="6" t="str">
        <x:v>An exact integer count with the scope stated in prose.</x:v>
      </x:c>
      <x:c r="L737" s="6" t="str">
        <x:v>T02, T03</x:v>
      </x:c>
      <x:c r="M737" s="6" t="str">
        <x:v>Count all items of a requested type on one floor.</x:v>
      </x:c>
      <x:c r="N737" s="6" t="str">
        <x:v>{"count":2,"asset_type":"toilet","floor_level":2}</x:v>
      </x:c>
      <x:c r="O737" s="6"/>
      <x:c r="P737" s="6" t="str">
        <x:v>Exact asset type and target floor. Count complete collection.</x:v>
      </x:c>
      <x:c r="Q737" s="15" t="n">
        <x:v>2</x:v>
      </x:c>
      <x:c r="R737" s="6" t="str">
        <x:v>items</x:v>
      </x:c>
      <x:c r="S737" s="16"/>
      <x:c r="T737" s="15"/>
      <x:c r="U737" s="6"/>
      <x:c r="V737" s="6"/>
      <x:c r="W737" s="6" t="str">
        <x:v>No dedicated counting tool. search_building exposes matches but returns at most 15 results.</x:v>
      </x:c>
      <x:c r="X737" s="6" t="str">
        <x:v>data/train/swiss-390/questions_basic.jsonl</x:v>
      </x:c>
      <x:c r="Y737" s="14" t="n">
        <x:v>4</x:v>
      </x:c>
      <x:c r="Z737" s="6" t="str">
        <x:v>https://github.com/hagenhaeussler/Industrial-Agents-Hackathon-2026/blob/f41616590b69f3ea0c1cbfb41d6c35edd9ce53df/data/train/swiss-390/questions_basic.jsonl#L4</x:v>
      </x:c>
      <x:c r="AA737" s="6" t="str">
        <x:v>swiss_dwellings</x:v>
      </x:c>
      <x:c r="AB737" s="6" t="str">
        <x:v>CC-BY-4.0</x:v>
      </x:c>
    </x:row>
    <x:row r="738" ht="72" customHeight="1">
      <x:c r="A738" s="14" t="n">
        <x:v>733</x:v>
      </x:c>
      <x:c r="B738" s="6" t="str">
        <x:v>count</x:v>
      </x:c>
      <x:c r="C738" s="6" t="str">
        <x:v>How many sofa items are on the ground floor?</x:v>
      </x:c>
      <x:c r="D738" s="6" t="str">
        <x:v>3 sofa items
Floor level: 0</x:v>
      </x:c>
      <x:c r="E738" s="6" t="str">
        <x:v>Reference supplied</x:v>
      </x:c>
      <x:c r="F738" s="6" t="str">
        <x:v>train</x:v>
      </x:c>
      <x:c r="G738" s="6" t="str">
        <x:v>swiss-401</x:v>
      </x:c>
      <x:c r="H738" s="6" t="str">
        <x:v>swiss-401-Q04</x:v>
      </x:c>
      <x:c r="I738" s="6" t="str">
        <x:v>Find and count assets</x:v>
      </x:c>
      <x:c r="J738" s="6" t="str">
        <x:v>Warm-up</x:v>
      </x:c>
      <x:c r="K738" s="6" t="str">
        <x:v>An exact integer count with the scope stated in prose.</x:v>
      </x:c>
      <x:c r="L738" s="6" t="str">
        <x:v>T02, T03</x:v>
      </x:c>
      <x:c r="M738" s="6" t="str">
        <x:v>Count all items of a requested type on one floor.</x:v>
      </x:c>
      <x:c r="N738" s="6" t="str">
        <x:v>{"count":3,"asset_type":"sofa","floor_level":0}</x:v>
      </x:c>
      <x:c r="O738" s="6"/>
      <x:c r="P738" s="6" t="str">
        <x:v>Exact asset type and target floor. Count complete collection.</x:v>
      </x:c>
      <x:c r="Q738" s="15" t="n">
        <x:v>3</x:v>
      </x:c>
      <x:c r="R738" s="6" t="str">
        <x:v>items</x:v>
      </x:c>
      <x:c r="S738" s="16"/>
      <x:c r="T738" s="15"/>
      <x:c r="U738" s="6"/>
      <x:c r="V738" s="6"/>
      <x:c r="W738" s="6" t="str">
        <x:v>No dedicated counting tool. search_building exposes matches but returns at most 15 results.</x:v>
      </x:c>
      <x:c r="X738" s="6" t="str">
        <x:v>data/train/swiss-401/questions_basic.jsonl</x:v>
      </x:c>
      <x:c r="Y738" s="14" t="n">
        <x:v>4</x:v>
      </x:c>
      <x:c r="Z738" s="6" t="str">
        <x:v>https://github.com/hagenhaeussler/Industrial-Agents-Hackathon-2026/blob/f41616590b69f3ea0c1cbfb41d6c35edd9ce53df/data/train/swiss-401/questions_basic.jsonl#L4</x:v>
      </x:c>
      <x:c r="AA738" s="6" t="str">
        <x:v>swiss_dwellings</x:v>
      </x:c>
      <x:c r="AB738" s="6" t="str">
        <x:v>CC-BY-4.0</x:v>
      </x:c>
    </x:row>
    <x:row r="739" ht="72" customHeight="1">
      <x:c r="A739" s="14" t="n">
        <x:v>734</x:v>
      </x:c>
      <x:c r="B739" s="6" t="str">
        <x:v>count</x:v>
      </x:c>
      <x:c r="C739" s="6" t="str">
        <x:v>How many sink items are on the floor 3?</x:v>
      </x:c>
      <x:c r="D739" s="6" t="str">
        <x:v>2 sink items
Floor level: 3</x:v>
      </x:c>
      <x:c r="E739" s="6" t="str">
        <x:v>Reference supplied</x:v>
      </x:c>
      <x:c r="F739" s="6" t="str">
        <x:v>train</x:v>
      </x:c>
      <x:c r="G739" s="6" t="str">
        <x:v>swiss-430</x:v>
      </x:c>
      <x:c r="H739" s="6" t="str">
        <x:v>swiss-430-Q04</x:v>
      </x:c>
      <x:c r="I739" s="6" t="str">
        <x:v>Find and count assets</x:v>
      </x:c>
      <x:c r="J739" s="6" t="str">
        <x:v>Warm-up</x:v>
      </x:c>
      <x:c r="K739" s="6" t="str">
        <x:v>An exact integer count with the scope stated in prose.</x:v>
      </x:c>
      <x:c r="L739" s="6" t="str">
        <x:v>T02, T03</x:v>
      </x:c>
      <x:c r="M739" s="6" t="str">
        <x:v>Count all items of a requested type on one floor.</x:v>
      </x:c>
      <x:c r="N739" s="6" t="str">
        <x:v>{"count":2,"asset_type":"sink","floor_level":3}</x:v>
      </x:c>
      <x:c r="O739" s="6"/>
      <x:c r="P739" s="6" t="str">
        <x:v>Exact asset type and target floor. Count complete collection.</x:v>
      </x:c>
      <x:c r="Q739" s="15" t="n">
        <x:v>2</x:v>
      </x:c>
      <x:c r="R739" s="6" t="str">
        <x:v>items</x:v>
      </x:c>
      <x:c r="S739" s="16"/>
      <x:c r="T739" s="15"/>
      <x:c r="U739" s="6"/>
      <x:c r="V739" s="6"/>
      <x:c r="W739" s="6" t="str">
        <x:v>No dedicated counting tool. search_building exposes matches but returns at most 15 results.</x:v>
      </x:c>
      <x:c r="X739" s="6" t="str">
        <x:v>data/train/swiss-430/questions_basic.jsonl</x:v>
      </x:c>
      <x:c r="Y739" s="14" t="n">
        <x:v>4</x:v>
      </x:c>
      <x:c r="Z739" s="6" t="str">
        <x:v>https://github.com/hagenhaeussler/Industrial-Agents-Hackathon-2026/blob/f41616590b69f3ea0c1cbfb41d6c35edd9ce53df/data/train/swiss-430/questions_basic.jsonl#L4</x:v>
      </x:c>
      <x:c r="AA739" s="6" t="str">
        <x:v>swiss_dwellings</x:v>
      </x:c>
      <x:c r="AB739" s="6" t="str">
        <x:v>CC-BY-4.0</x:v>
      </x:c>
    </x:row>
    <x:row r="740" ht="72" customHeight="1">
      <x:c r="A740" s="14" t="n">
        <x:v>735</x:v>
      </x:c>
      <x:c r="B740" s="6" t="str">
        <x:v>count</x:v>
      </x:c>
      <x:c r="C740" s="6" t="str">
        <x:v>How many fire extinguisher items are on the floor 3?</x:v>
      </x:c>
      <x:c r="D740" s="6" t="str">
        <x:v>2 fire_extinguisher items
Floor level: 3</x:v>
      </x:c>
      <x:c r="E740" s="6" t="str">
        <x:v>Reference supplied</x:v>
      </x:c>
      <x:c r="F740" s="6" t="str">
        <x:v>train</x:v>
      </x:c>
      <x:c r="G740" s="6" t="str">
        <x:v>swiss-433</x:v>
      </x:c>
      <x:c r="H740" s="6" t="str">
        <x:v>swiss-433-Q01</x:v>
      </x:c>
      <x:c r="I740" s="6" t="str">
        <x:v>Find and count assets</x:v>
      </x:c>
      <x:c r="J740" s="6" t="str">
        <x:v>Warm-up</x:v>
      </x:c>
      <x:c r="K740" s="6" t="str">
        <x:v>An exact integer count with the scope stated in prose.</x:v>
      </x:c>
      <x:c r="L740" s="6" t="str">
        <x:v>T02, T03</x:v>
      </x:c>
      <x:c r="M740" s="6" t="str">
        <x:v>Count all items of a requested type on one floor.</x:v>
      </x:c>
      <x:c r="N740" s="6" t="str">
        <x:v>{"count":2,"asset_type":"fire_extinguisher","floor_level":3}</x:v>
      </x:c>
      <x:c r="O740" s="6"/>
      <x:c r="P740" s="6" t="str">
        <x:v>Exact asset type and target floor. Count complete collection.</x:v>
      </x:c>
      <x:c r="Q740" s="15" t="n">
        <x:v>2</x:v>
      </x:c>
      <x:c r="R740" s="6" t="str">
        <x:v>items</x:v>
      </x:c>
      <x:c r="S740" s="16"/>
      <x:c r="T740" s="15"/>
      <x:c r="U740" s="6"/>
      <x:c r="V740" s="6"/>
      <x:c r="W740" s="6" t="str">
        <x:v>No dedicated counting tool. search_building exposes matches but returns at most 15 results.</x:v>
      </x:c>
      <x:c r="X740" s="6" t="str">
        <x:v>data/train/swiss-433/questions_basic.jsonl</x:v>
      </x:c>
      <x:c r="Y740" s="14" t="n">
        <x:v>1</x:v>
      </x:c>
      <x:c r="Z740" s="6" t="str">
        <x:v>https://github.com/hagenhaeussler/Industrial-Agents-Hackathon-2026/blob/f41616590b69f3ea0c1cbfb41d6c35edd9ce53df/data/train/swiss-433/questions_basic.jsonl#L1</x:v>
      </x:c>
      <x:c r="AA740" s="6" t="str">
        <x:v>swiss_dwellings</x:v>
      </x:c>
      <x:c r="AB740" s="6" t="str">
        <x:v>CC-BY-4.0</x:v>
      </x:c>
    </x:row>
    <x:row r="741" ht="72" customHeight="1">
      <x:c r="A741" s="14" t="n">
        <x:v>736</x:v>
      </x:c>
      <x:c r="B741" s="6" t="str">
        <x:v>count</x:v>
      </x:c>
      <x:c r="C741" s="6" t="str">
        <x:v>How many wardrobe items are on the floor 1?</x:v>
      </x:c>
      <x:c r="D741" s="6" t="str">
        <x:v>10 wardrobe items
Floor level: 1</x:v>
      </x:c>
      <x:c r="E741" s="6" t="str">
        <x:v>Reference supplied</x:v>
      </x:c>
      <x:c r="F741" s="6" t="str">
        <x:v>train</x:v>
      </x:c>
      <x:c r="G741" s="6" t="str">
        <x:v>swiss-437</x:v>
      </x:c>
      <x:c r="H741" s="6" t="str">
        <x:v>swiss-437-Q02</x:v>
      </x:c>
      <x:c r="I741" s="6" t="str">
        <x:v>Find and count assets</x:v>
      </x:c>
      <x:c r="J741" s="6" t="str">
        <x:v>Warm-up</x:v>
      </x:c>
      <x:c r="K741" s="6" t="str">
        <x:v>An exact integer count with the scope stated in prose.</x:v>
      </x:c>
      <x:c r="L741" s="6" t="str">
        <x:v>T02, T03</x:v>
      </x:c>
      <x:c r="M741" s="6" t="str">
        <x:v>Count all items of a requested type on one floor.</x:v>
      </x:c>
      <x:c r="N741" s="6" t="str">
        <x:v>{"count":10,"asset_type":"wardrobe","floor_level":1}</x:v>
      </x:c>
      <x:c r="O741" s="6"/>
      <x:c r="P741" s="6" t="str">
        <x:v>Exact asset type and target floor. Count complete collection.</x:v>
      </x:c>
      <x:c r="Q741" s="15" t="n">
        <x:v>10</x:v>
      </x:c>
      <x:c r="R741" s="6" t="str">
        <x:v>items</x:v>
      </x:c>
      <x:c r="S741" s="16"/>
      <x:c r="T741" s="15"/>
      <x:c r="U741" s="6"/>
      <x:c r="V741" s="6"/>
      <x:c r="W741" s="6" t="str">
        <x:v>No dedicated counting tool. search_building exposes matches but returns at most 15 results.</x:v>
      </x:c>
      <x:c r="X741" s="6" t="str">
        <x:v>data/train/swiss-437/questions_basic.jsonl</x:v>
      </x:c>
      <x:c r="Y741" s="14" t="n">
        <x:v>2</x:v>
      </x:c>
      <x:c r="Z741" s="6" t="str">
        <x:v>https://github.com/hagenhaeussler/Industrial-Agents-Hackathon-2026/blob/f41616590b69f3ea0c1cbfb41d6c35edd9ce53df/data/train/swiss-437/questions_basic.jsonl#L2</x:v>
      </x:c>
      <x:c r="AA741" s="6" t="str">
        <x:v>swiss_dwellings</x:v>
      </x:c>
      <x:c r="AB741" s="6" t="str">
        <x:v>CC-BY-4.0</x:v>
      </x:c>
    </x:row>
    <x:row r="742" ht="72" customHeight="1">
      <x:c r="A742" s="14" t="n">
        <x:v>737</x:v>
      </x:c>
      <x:c r="B742" s="6" t="str">
        <x:v>count</x:v>
      </x:c>
      <x:c r="C742" s="6" t="str">
        <x:v>How many outdoor chair items are on the floor 1?</x:v>
      </x:c>
      <x:c r="D742" s="6" t="str">
        <x:v>7 outdoor_chair items
Floor level: 1</x:v>
      </x:c>
      <x:c r="E742" s="6" t="str">
        <x:v>Reference supplied</x:v>
      </x:c>
      <x:c r="F742" s="6" t="str">
        <x:v>train</x:v>
      </x:c>
      <x:c r="G742" s="6" t="str">
        <x:v>swiss-442</x:v>
      </x:c>
      <x:c r="H742" s="6" t="str">
        <x:v>swiss-442-Q01</x:v>
      </x:c>
      <x:c r="I742" s="6" t="str">
        <x:v>Find and count assets</x:v>
      </x:c>
      <x:c r="J742" s="6" t="str">
        <x:v>Warm-up</x:v>
      </x:c>
      <x:c r="K742" s="6" t="str">
        <x:v>An exact integer count with the scope stated in prose.</x:v>
      </x:c>
      <x:c r="L742" s="6" t="str">
        <x:v>T02, T03</x:v>
      </x:c>
      <x:c r="M742" s="6" t="str">
        <x:v>Count all items of a requested type on one floor.</x:v>
      </x:c>
      <x:c r="N742" s="6" t="str">
        <x:v>{"count":7,"asset_type":"outdoor_chair","floor_level":1}</x:v>
      </x:c>
      <x:c r="O742" s="6"/>
      <x:c r="P742" s="6" t="str">
        <x:v>Exact asset type and target floor. Count complete collection.</x:v>
      </x:c>
      <x:c r="Q742" s="15" t="n">
        <x:v>7</x:v>
      </x:c>
      <x:c r="R742" s="6" t="str">
        <x:v>items</x:v>
      </x:c>
      <x:c r="S742" s="16"/>
      <x:c r="T742" s="15"/>
      <x:c r="U742" s="6"/>
      <x:c r="V742" s="6"/>
      <x:c r="W742" s="6" t="str">
        <x:v>No dedicated counting tool. search_building exposes matches but returns at most 15 results.</x:v>
      </x:c>
      <x:c r="X742" s="6" t="str">
        <x:v>data/train/swiss-442/questions_basic.jsonl</x:v>
      </x:c>
      <x:c r="Y742" s="14" t="n">
        <x:v>1</x:v>
      </x:c>
      <x:c r="Z742" s="6" t="str">
        <x:v>https://github.com/hagenhaeussler/Industrial-Agents-Hackathon-2026/blob/f41616590b69f3ea0c1cbfb41d6c35edd9ce53df/data/train/swiss-442/questions_basic.jsonl#L1</x:v>
      </x:c>
      <x:c r="AA742" s="6" t="str">
        <x:v>swiss_dwellings</x:v>
      </x:c>
      <x:c r="AB742" s="6" t="str">
        <x:v>CC-BY-4.0</x:v>
      </x:c>
    </x:row>
    <x:row r="743" ht="72" customHeight="1">
      <x:c r="A743" s="14" t="n">
        <x:v>738</x:v>
      </x:c>
      <x:c r="B743" s="6" t="str">
        <x:v>count</x:v>
      </x:c>
      <x:c r="C743" s="6" t="str">
        <x:v>How many nightstand items are on the floor 2?</x:v>
      </x:c>
      <x:c r="D743" s="6" t="str">
        <x:v>17 nightstand items
Floor level: 2</x:v>
      </x:c>
      <x:c r="E743" s="6" t="str">
        <x:v>Reference supplied</x:v>
      </x:c>
      <x:c r="F743" s="6" t="str">
        <x:v>train</x:v>
      </x:c>
      <x:c r="G743" s="6" t="str">
        <x:v>swiss-474</x:v>
      </x:c>
      <x:c r="H743" s="6" t="str">
        <x:v>swiss-474-Q01</x:v>
      </x:c>
      <x:c r="I743" s="6" t="str">
        <x:v>Find and count assets</x:v>
      </x:c>
      <x:c r="J743" s="6" t="str">
        <x:v>Warm-up</x:v>
      </x:c>
      <x:c r="K743" s="6" t="str">
        <x:v>An exact integer count with the scope stated in prose.</x:v>
      </x:c>
      <x:c r="L743" s="6" t="str">
        <x:v>T02, T03</x:v>
      </x:c>
      <x:c r="M743" s="6" t="str">
        <x:v>Count all items of a requested type on one floor.</x:v>
      </x:c>
      <x:c r="N743" s="6" t="str">
        <x:v>{"count":17,"asset_type":"nightstand","floor_level":2}</x:v>
      </x:c>
      <x:c r="O743" s="6"/>
      <x:c r="P743" s="6" t="str">
        <x:v>Exact asset type and target floor. Count complete collection.</x:v>
      </x:c>
      <x:c r="Q743" s="15" t="n">
        <x:v>17</x:v>
      </x:c>
      <x:c r="R743" s="6" t="str">
        <x:v>items</x:v>
      </x:c>
      <x:c r="S743" s="16"/>
      <x:c r="T743" s="15"/>
      <x:c r="U743" s="6"/>
      <x:c r="V743" s="6"/>
      <x:c r="W743" s="6" t="str">
        <x:v>No dedicated counting tool. search_building exposes matches but returns at most 15 results.</x:v>
      </x:c>
      <x:c r="X743" s="6" t="str">
        <x:v>data/train/swiss-474/questions_basic.jsonl</x:v>
      </x:c>
      <x:c r="Y743" s="14" t="n">
        <x:v>1</x:v>
      </x:c>
      <x:c r="Z743" s="6" t="str">
        <x:v>https://github.com/hagenhaeussler/Industrial-Agents-Hackathon-2026/blob/f41616590b69f3ea0c1cbfb41d6c35edd9ce53df/data/train/swiss-474/questions_basic.jsonl#L1</x:v>
      </x:c>
      <x:c r="AA743" s="6" t="str">
        <x:v>swiss_dwellings</x:v>
      </x:c>
      <x:c r="AB743" s="6" t="str">
        <x:v>CC-BY-4.0</x:v>
      </x:c>
    </x:row>
    <x:row r="744" ht="72" customHeight="1">
      <x:c r="A744" s="14" t="n">
        <x:v>739</x:v>
      </x:c>
      <x:c r="B744" s="6" t="str">
        <x:v>count</x:v>
      </x:c>
      <x:c r="C744" s="6" t="str">
        <x:v>How many fire extinguisher items are on the floor 4?</x:v>
      </x:c>
      <x:c r="D744" s="6" t="str">
        <x:v>2 fire_extinguisher items
Floor level: 4</x:v>
      </x:c>
      <x:c r="E744" s="6" t="str">
        <x:v>Reference supplied</x:v>
      </x:c>
      <x:c r="F744" s="6" t="str">
        <x:v>train</x:v>
      </x:c>
      <x:c r="G744" s="6" t="str">
        <x:v>swiss-4967</x:v>
      </x:c>
      <x:c r="H744" s="6" t="str">
        <x:v>swiss-4967-Q04</x:v>
      </x:c>
      <x:c r="I744" s="6" t="str">
        <x:v>Find and count assets</x:v>
      </x:c>
      <x:c r="J744" s="6" t="str">
        <x:v>Warm-up</x:v>
      </x:c>
      <x:c r="K744" s="6" t="str">
        <x:v>An exact integer count with the scope stated in prose.</x:v>
      </x:c>
      <x:c r="L744" s="6" t="str">
        <x:v>T02, T03</x:v>
      </x:c>
      <x:c r="M744" s="6" t="str">
        <x:v>Count all items of a requested type on one floor.</x:v>
      </x:c>
      <x:c r="N744" s="6" t="str">
        <x:v>{"count":2,"asset_type":"fire_extinguisher","floor_level":4}</x:v>
      </x:c>
      <x:c r="O744" s="6"/>
      <x:c r="P744" s="6" t="str">
        <x:v>Exact asset type and target floor. Count complete collection.</x:v>
      </x:c>
      <x:c r="Q744" s="15" t="n">
        <x:v>2</x:v>
      </x:c>
      <x:c r="R744" s="6" t="str">
        <x:v>items</x:v>
      </x:c>
      <x:c r="S744" s="16"/>
      <x:c r="T744" s="15"/>
      <x:c r="U744" s="6"/>
      <x:c r="V744" s="6"/>
      <x:c r="W744" s="6" t="str">
        <x:v>No dedicated counting tool. search_building exposes matches but returns at most 15 results.</x:v>
      </x:c>
      <x:c r="X744" s="6" t="str">
        <x:v>data/train/swiss-4967/questions_basic.jsonl</x:v>
      </x:c>
      <x:c r="Y744" s="14" t="n">
        <x:v>4</x:v>
      </x:c>
      <x:c r="Z744" s="6" t="str">
        <x:v>https://github.com/hagenhaeussler/Industrial-Agents-Hackathon-2026/blob/f41616590b69f3ea0c1cbfb41d6c35edd9ce53df/data/train/swiss-4967/questions_basic.jsonl#L4</x:v>
      </x:c>
      <x:c r="AA744" s="6" t="str">
        <x:v>swiss_dwellings</x:v>
      </x:c>
      <x:c r="AB744" s="6" t="str">
        <x:v>CC-BY-4.0</x:v>
      </x:c>
    </x:row>
    <x:row r="745" ht="72" customHeight="1">
      <x:c r="A745" s="14" t="n">
        <x:v>740</x:v>
      </x:c>
      <x:c r="B745" s="6" t="str">
        <x:v>count</x:v>
      </x:c>
      <x:c r="C745" s="6" t="str">
        <x:v>How many outdoor chair items are on the floor 3?</x:v>
      </x:c>
      <x:c r="D745" s="6" t="str">
        <x:v>2 outdoor_chair items
Floor level: 3</x:v>
      </x:c>
      <x:c r="E745" s="6" t="str">
        <x:v>Reference supplied</x:v>
      </x:c>
      <x:c r="F745" s="6" t="str">
        <x:v>train</x:v>
      </x:c>
      <x:c r="G745" s="6" t="str">
        <x:v>swiss-5354</x:v>
      </x:c>
      <x:c r="H745" s="6" t="str">
        <x:v>swiss-5354-Q02</x:v>
      </x:c>
      <x:c r="I745" s="6" t="str">
        <x:v>Find and count assets</x:v>
      </x:c>
      <x:c r="J745" s="6" t="str">
        <x:v>Warm-up</x:v>
      </x:c>
      <x:c r="K745" s="6" t="str">
        <x:v>An exact integer count with the scope stated in prose.</x:v>
      </x:c>
      <x:c r="L745" s="6" t="str">
        <x:v>T02, T03</x:v>
      </x:c>
      <x:c r="M745" s="6" t="str">
        <x:v>Count all items of a requested type on one floor.</x:v>
      </x:c>
      <x:c r="N745" s="6" t="str">
        <x:v>{"count":2,"asset_type":"outdoor_chair","floor_level":3}</x:v>
      </x:c>
      <x:c r="O745" s="6"/>
      <x:c r="P745" s="6" t="str">
        <x:v>Exact asset type and target floor. Count complete collection.</x:v>
      </x:c>
      <x:c r="Q745" s="15" t="n">
        <x:v>2</x:v>
      </x:c>
      <x:c r="R745" s="6" t="str">
        <x:v>items</x:v>
      </x:c>
      <x:c r="S745" s="16"/>
      <x:c r="T745" s="15"/>
      <x:c r="U745" s="6"/>
      <x:c r="V745" s="6"/>
      <x:c r="W745" s="6" t="str">
        <x:v>No dedicated counting tool. search_building exposes matches but returns at most 15 results.</x:v>
      </x:c>
      <x:c r="X745" s="6" t="str">
        <x:v>data/train/swiss-5354/questions_basic.jsonl</x:v>
      </x:c>
      <x:c r="Y745" s="14" t="n">
        <x:v>2</x:v>
      </x:c>
      <x:c r="Z745" s="6" t="str">
        <x:v>https://github.com/hagenhaeussler/Industrial-Agents-Hackathon-2026/blob/f41616590b69f3ea0c1cbfb41d6c35edd9ce53df/data/train/swiss-5354/questions_basic.jsonl#L2</x:v>
      </x:c>
      <x:c r="AA745" s="6" t="str">
        <x:v>swiss_dwellings</x:v>
      </x:c>
      <x:c r="AB745" s="6" t="str">
        <x:v>CC-BY-4.0</x:v>
      </x:c>
    </x:row>
    <x:row r="746" ht="72" customHeight="1">
      <x:c r="A746" s="14" t="n">
        <x:v>741</x:v>
      </x:c>
      <x:c r="B746" s="6" t="str">
        <x:v>count</x:v>
      </x:c>
      <x:c r="C746" s="6" t="str">
        <x:v>How many fire extinguisher items are on the floor 1?</x:v>
      </x:c>
      <x:c r="D746" s="6" t="str">
        <x:v>2 fire_extinguisher items
Floor level: 1</x:v>
      </x:c>
      <x:c r="E746" s="6" t="str">
        <x:v>Reference supplied</x:v>
      </x:c>
      <x:c r="F746" s="6" t="str">
        <x:v>train</x:v>
      </x:c>
      <x:c r="G746" s="6" t="str">
        <x:v>swiss-5422</x:v>
      </x:c>
      <x:c r="H746" s="6" t="str">
        <x:v>swiss-5422-Q04</x:v>
      </x:c>
      <x:c r="I746" s="6" t="str">
        <x:v>Find and count assets</x:v>
      </x:c>
      <x:c r="J746" s="6" t="str">
        <x:v>Warm-up</x:v>
      </x:c>
      <x:c r="K746" s="6" t="str">
        <x:v>An exact integer count with the scope stated in prose.</x:v>
      </x:c>
      <x:c r="L746" s="6" t="str">
        <x:v>T02, T03</x:v>
      </x:c>
      <x:c r="M746" s="6" t="str">
        <x:v>Count all items of a requested type on one floor.</x:v>
      </x:c>
      <x:c r="N746" s="6" t="str">
        <x:v>{"count":2,"asset_type":"fire_extinguisher","floor_level":1}</x:v>
      </x:c>
      <x:c r="O746" s="6"/>
      <x:c r="P746" s="6" t="str">
        <x:v>Exact asset type and target floor. Count complete collection.</x:v>
      </x:c>
      <x:c r="Q746" s="15" t="n">
        <x:v>2</x:v>
      </x:c>
      <x:c r="R746" s="6" t="str">
        <x:v>items</x:v>
      </x:c>
      <x:c r="S746" s="16"/>
      <x:c r="T746" s="15"/>
      <x:c r="U746" s="6"/>
      <x:c r="V746" s="6"/>
      <x:c r="W746" s="6" t="str">
        <x:v>No dedicated counting tool. search_building exposes matches but returns at most 15 results.</x:v>
      </x:c>
      <x:c r="X746" s="6" t="str">
        <x:v>data/train/swiss-5422/questions_basic.jsonl</x:v>
      </x:c>
      <x:c r="Y746" s="14" t="n">
        <x:v>4</x:v>
      </x:c>
      <x:c r="Z746" s="6" t="str">
        <x:v>https://github.com/hagenhaeussler/Industrial-Agents-Hackathon-2026/blob/f41616590b69f3ea0c1cbfb41d6c35edd9ce53df/data/train/swiss-5422/questions_basic.jsonl#L4</x:v>
      </x:c>
      <x:c r="AA746" s="6" t="str">
        <x:v>swiss_dwellings</x:v>
      </x:c>
      <x:c r="AB746" s="6" t="str">
        <x:v>CC-BY-4.0</x:v>
      </x:c>
    </x:row>
    <x:row r="747" ht="72" customHeight="1">
      <x:c r="A747" s="14" t="n">
        <x:v>742</x:v>
      </x:c>
      <x:c r="B747" s="6" t="str">
        <x:v>count</x:v>
      </x:c>
      <x:c r="C747" s="6" t="str">
        <x:v>How many fridge items are on the floor 5?</x:v>
      </x:c>
      <x:c r="D747" s="6" t="str">
        <x:v>2 fridge items
Floor level: 5</x:v>
      </x:c>
      <x:c r="E747" s="6" t="str">
        <x:v>Reference supplied</x:v>
      </x:c>
      <x:c r="F747" s="6" t="str">
        <x:v>train</x:v>
      </x:c>
      <x:c r="G747" s="6" t="str">
        <x:v>swiss-5690</x:v>
      </x:c>
      <x:c r="H747" s="6" t="str">
        <x:v>swiss-5690-Q02</x:v>
      </x:c>
      <x:c r="I747" s="6" t="str">
        <x:v>Find and count assets</x:v>
      </x:c>
      <x:c r="J747" s="6" t="str">
        <x:v>Warm-up</x:v>
      </x:c>
      <x:c r="K747" s="6" t="str">
        <x:v>An exact integer count with the scope stated in prose.</x:v>
      </x:c>
      <x:c r="L747" s="6" t="str">
        <x:v>T02, T03</x:v>
      </x:c>
      <x:c r="M747" s="6" t="str">
        <x:v>Count all items of a requested type on one floor.</x:v>
      </x:c>
      <x:c r="N747" s="6" t="str">
        <x:v>{"count":2,"asset_type":"fridge","floor_level":5}</x:v>
      </x:c>
      <x:c r="O747" s="6"/>
      <x:c r="P747" s="6" t="str">
        <x:v>Exact asset type and target floor. Count complete collection.</x:v>
      </x:c>
      <x:c r="Q747" s="15" t="n">
        <x:v>2</x:v>
      </x:c>
      <x:c r="R747" s="6" t="str">
        <x:v>items</x:v>
      </x:c>
      <x:c r="S747" s="16"/>
      <x:c r="T747" s="15"/>
      <x:c r="U747" s="6"/>
      <x:c r="V747" s="6"/>
      <x:c r="W747" s="6" t="str">
        <x:v>No dedicated counting tool. search_building exposes matches but returns at most 15 results.</x:v>
      </x:c>
      <x:c r="X747" s="6" t="str">
        <x:v>data/train/swiss-5690/questions_basic.jsonl</x:v>
      </x:c>
      <x:c r="Y747" s="14" t="n">
        <x:v>2</x:v>
      </x:c>
      <x:c r="Z747" s="6" t="str">
        <x:v>https://github.com/hagenhaeussler/Industrial-Agents-Hackathon-2026/blob/f41616590b69f3ea0c1cbfb41d6c35edd9ce53df/data/train/swiss-5690/questions_basic.jsonl#L2</x:v>
      </x:c>
      <x:c r="AA747" s="6" t="str">
        <x:v>swiss_dwellings</x:v>
      </x:c>
      <x:c r="AB747" s="6" t="str">
        <x:v>CC-BY-4.0</x:v>
      </x:c>
    </x:row>
    <x:row r="748" ht="72" customHeight="1">
      <x:c r="A748" s="14" t="n">
        <x:v>743</x:v>
      </x:c>
      <x:c r="B748" s="6" t="str">
        <x:v>count</x:v>
      </x:c>
      <x:c r="C748" s="6" t="str">
        <x:v>How many single bed items are on the ground floor?</x:v>
      </x:c>
      <x:c r="D748" s="6" t="str">
        <x:v>3 single_bed items
Floor level: 0</x:v>
      </x:c>
      <x:c r="E748" s="6" t="str">
        <x:v>Reference supplied</x:v>
      </x:c>
      <x:c r="F748" s="6" t="str">
        <x:v>train</x:v>
      </x:c>
      <x:c r="G748" s="6" t="str">
        <x:v>swiss-5779</x:v>
      </x:c>
      <x:c r="H748" s="6" t="str">
        <x:v>swiss-5779-Q04</x:v>
      </x:c>
      <x:c r="I748" s="6" t="str">
        <x:v>Find and count assets</x:v>
      </x:c>
      <x:c r="J748" s="6" t="str">
        <x:v>Warm-up</x:v>
      </x:c>
      <x:c r="K748" s="6" t="str">
        <x:v>An exact integer count with the scope stated in prose.</x:v>
      </x:c>
      <x:c r="L748" s="6" t="str">
        <x:v>T02, T03</x:v>
      </x:c>
      <x:c r="M748" s="6" t="str">
        <x:v>Count all items of a requested type on one floor.</x:v>
      </x:c>
      <x:c r="N748" s="6" t="str">
        <x:v>{"count":3,"asset_type":"single_bed","floor_level":0}</x:v>
      </x:c>
      <x:c r="O748" s="6"/>
      <x:c r="P748" s="6" t="str">
        <x:v>Exact asset type and target floor. Count complete collection.</x:v>
      </x:c>
      <x:c r="Q748" s="15" t="n">
        <x:v>3</x:v>
      </x:c>
      <x:c r="R748" s="6" t="str">
        <x:v>items</x:v>
      </x:c>
      <x:c r="S748" s="16"/>
      <x:c r="T748" s="15"/>
      <x:c r="U748" s="6"/>
      <x:c r="V748" s="6"/>
      <x:c r="W748" s="6" t="str">
        <x:v>No dedicated counting tool. search_building exposes matches but returns at most 15 results.</x:v>
      </x:c>
      <x:c r="X748" s="6" t="str">
        <x:v>data/train/swiss-5779/questions_basic.jsonl</x:v>
      </x:c>
      <x:c r="Y748" s="14" t="n">
        <x:v>4</x:v>
      </x:c>
      <x:c r="Z748" s="6" t="str">
        <x:v>https://github.com/hagenhaeussler/Industrial-Agents-Hackathon-2026/blob/f41616590b69f3ea0c1cbfb41d6c35edd9ce53df/data/train/swiss-5779/questions_basic.jsonl#L4</x:v>
      </x:c>
      <x:c r="AA748" s="6" t="str">
        <x:v>swiss_dwellings</x:v>
      </x:c>
      <x:c r="AB748" s="6" t="str">
        <x:v>CC-BY-4.0</x:v>
      </x:c>
    </x:row>
    <x:row r="749" ht="72" customHeight="1">
      <x:c r="A749" s="14" t="n">
        <x:v>744</x:v>
      </x:c>
      <x:c r="B749" s="6" t="str">
        <x:v>count</x:v>
      </x:c>
      <x:c r="C749" s="6" t="str">
        <x:v>How many plant items are on the floor 1?</x:v>
      </x:c>
      <x:c r="D749" s="6" t="str">
        <x:v>3 plant items
Floor level: 1</x:v>
      </x:c>
      <x:c r="E749" s="6" t="str">
        <x:v>Reference supplied</x:v>
      </x:c>
      <x:c r="F749" s="6" t="str">
        <x:v>train</x:v>
      </x:c>
      <x:c r="G749" s="6" t="str">
        <x:v>swiss-59</x:v>
      </x:c>
      <x:c r="H749" s="6" t="str">
        <x:v>swiss-59-Q02</x:v>
      </x:c>
      <x:c r="I749" s="6" t="str">
        <x:v>Find and count assets</x:v>
      </x:c>
      <x:c r="J749" s="6" t="str">
        <x:v>Warm-up</x:v>
      </x:c>
      <x:c r="K749" s="6" t="str">
        <x:v>An exact integer count with the scope stated in prose.</x:v>
      </x:c>
      <x:c r="L749" s="6" t="str">
        <x:v>T02, T03</x:v>
      </x:c>
      <x:c r="M749" s="6" t="str">
        <x:v>Count all items of a requested type on one floor.</x:v>
      </x:c>
      <x:c r="N749" s="6" t="str">
        <x:v>{"count":3,"asset_type":"plant","floor_level":1}</x:v>
      </x:c>
      <x:c r="O749" s="6"/>
      <x:c r="P749" s="6" t="str">
        <x:v>Exact asset type and target floor. Count complete collection.</x:v>
      </x:c>
      <x:c r="Q749" s="15" t="n">
        <x:v>3</x:v>
      </x:c>
      <x:c r="R749" s="6" t="str">
        <x:v>items</x:v>
      </x:c>
      <x:c r="S749" s="16"/>
      <x:c r="T749" s="15"/>
      <x:c r="U749" s="6"/>
      <x:c r="V749" s="6"/>
      <x:c r="W749" s="6" t="str">
        <x:v>No dedicated counting tool. search_building exposes matches but returns at most 15 results.</x:v>
      </x:c>
      <x:c r="X749" s="6" t="str">
        <x:v>data/train/swiss-59/questions_basic.jsonl</x:v>
      </x:c>
      <x:c r="Y749" s="14" t="n">
        <x:v>2</x:v>
      </x:c>
      <x:c r="Z749" s="6" t="str">
        <x:v>https://github.com/hagenhaeussler/Industrial-Agents-Hackathon-2026/blob/f41616590b69f3ea0c1cbfb41d6c35edd9ce53df/data/train/swiss-59/questions_basic.jsonl#L2</x:v>
      </x:c>
      <x:c r="AA749" s="6" t="str">
        <x:v>swiss_dwellings</x:v>
      </x:c>
      <x:c r="AB749" s="6" t="str">
        <x:v>CC-BY-4.0</x:v>
      </x:c>
    </x:row>
    <x:row r="750" ht="72" customHeight="1">
      <x:c r="A750" s="14" t="n">
        <x:v>745</x:v>
      </x:c>
      <x:c r="B750" s="6" t="str">
        <x:v>count</x:v>
      </x:c>
      <x:c r="C750" s="6" t="str">
        <x:v>How many stove items are on the floor 1?</x:v>
      </x:c>
      <x:c r="D750" s="6" t="str">
        <x:v>3 stove items
Floor level: 1</x:v>
      </x:c>
      <x:c r="E750" s="6" t="str">
        <x:v>Reference supplied</x:v>
      </x:c>
      <x:c r="F750" s="6" t="str">
        <x:v>train</x:v>
      </x:c>
      <x:c r="G750" s="6" t="str">
        <x:v>swiss-6148</x:v>
      </x:c>
      <x:c r="H750" s="6" t="str">
        <x:v>swiss-6148-Q03</x:v>
      </x:c>
      <x:c r="I750" s="6" t="str">
        <x:v>Find and count assets</x:v>
      </x:c>
      <x:c r="J750" s="6" t="str">
        <x:v>Warm-up</x:v>
      </x:c>
      <x:c r="K750" s="6" t="str">
        <x:v>An exact integer count with the scope stated in prose.</x:v>
      </x:c>
      <x:c r="L750" s="6" t="str">
        <x:v>T02, T03</x:v>
      </x:c>
      <x:c r="M750" s="6" t="str">
        <x:v>Count all items of a requested type on one floor.</x:v>
      </x:c>
      <x:c r="N750" s="6" t="str">
        <x:v>{"count":3,"asset_type":"stove","floor_level":1}</x:v>
      </x:c>
      <x:c r="O750" s="6"/>
      <x:c r="P750" s="6" t="str">
        <x:v>Exact asset type and target floor. Count complete collection.</x:v>
      </x:c>
      <x:c r="Q750" s="15" t="n">
        <x:v>3</x:v>
      </x:c>
      <x:c r="R750" s="6" t="str">
        <x:v>items</x:v>
      </x:c>
      <x:c r="S750" s="16"/>
      <x:c r="T750" s="15"/>
      <x:c r="U750" s="6"/>
      <x:c r="V750" s="6"/>
      <x:c r="W750" s="6" t="str">
        <x:v>No dedicated counting tool. search_building exposes matches but returns at most 15 results.</x:v>
      </x:c>
      <x:c r="X750" s="6" t="str">
        <x:v>data/train/swiss-6148/questions_basic.jsonl</x:v>
      </x:c>
      <x:c r="Y750" s="14" t="n">
        <x:v>3</x:v>
      </x:c>
      <x:c r="Z750" s="6" t="str">
        <x:v>https://github.com/hagenhaeussler/Industrial-Agents-Hackathon-2026/blob/f41616590b69f3ea0c1cbfb41d6c35edd9ce53df/data/train/swiss-6148/questions_basic.jsonl#L3</x:v>
      </x:c>
      <x:c r="AA750" s="6" t="str">
        <x:v>swiss_dwellings</x:v>
      </x:c>
      <x:c r="AB750" s="6" t="str">
        <x:v>CC-BY-4.0</x:v>
      </x:c>
    </x:row>
    <x:row r="751" ht="72" customHeight="1">
      <x:c r="A751" s="14" t="n">
        <x:v>746</x:v>
      </x:c>
      <x:c r="B751" s="6" t="str">
        <x:v>count</x:v>
      </x:c>
      <x:c r="C751" s="6" t="str">
        <x:v>How many coffee machine items are on the floor 3?</x:v>
      </x:c>
      <x:c r="D751" s="6" t="str">
        <x:v>2 coffee_machine items
Floor level: 3</x:v>
      </x:c>
      <x:c r="E751" s="6" t="str">
        <x:v>Reference supplied</x:v>
      </x:c>
      <x:c r="F751" s="6" t="str">
        <x:v>train</x:v>
      </x:c>
      <x:c r="G751" s="6" t="str">
        <x:v>swiss-624</x:v>
      </x:c>
      <x:c r="H751" s="6" t="str">
        <x:v>swiss-624-Q03</x:v>
      </x:c>
      <x:c r="I751" s="6" t="str">
        <x:v>Find and count assets</x:v>
      </x:c>
      <x:c r="J751" s="6" t="str">
        <x:v>Warm-up</x:v>
      </x:c>
      <x:c r="K751" s="6" t="str">
        <x:v>An exact integer count with the scope stated in prose.</x:v>
      </x:c>
      <x:c r="L751" s="6" t="str">
        <x:v>T02, T03</x:v>
      </x:c>
      <x:c r="M751" s="6" t="str">
        <x:v>Count all items of a requested type on one floor.</x:v>
      </x:c>
      <x:c r="N751" s="6" t="str">
        <x:v>{"count":2,"asset_type":"coffee_machine","floor_level":3}</x:v>
      </x:c>
      <x:c r="O751" s="6"/>
      <x:c r="P751" s="6" t="str">
        <x:v>Exact asset type and target floor. Count complete collection.</x:v>
      </x:c>
      <x:c r="Q751" s="15" t="n">
        <x:v>2</x:v>
      </x:c>
      <x:c r="R751" s="6" t="str">
        <x:v>items</x:v>
      </x:c>
      <x:c r="S751" s="16"/>
      <x:c r="T751" s="15"/>
      <x:c r="U751" s="6"/>
      <x:c r="V751" s="6"/>
      <x:c r="W751" s="6" t="str">
        <x:v>No dedicated counting tool. search_building exposes matches but returns at most 15 results.</x:v>
      </x:c>
      <x:c r="X751" s="6" t="str">
        <x:v>data/train/swiss-624/questions_basic.jsonl</x:v>
      </x:c>
      <x:c r="Y751" s="14" t="n">
        <x:v>3</x:v>
      </x:c>
      <x:c r="Z751" s="6" t="str">
        <x:v>https://github.com/hagenhaeussler/Industrial-Agents-Hackathon-2026/blob/f41616590b69f3ea0c1cbfb41d6c35edd9ce53df/data/train/swiss-624/questions_basic.jsonl#L3</x:v>
      </x:c>
      <x:c r="AA751" s="6" t="str">
        <x:v>swiss_dwellings</x:v>
      </x:c>
      <x:c r="AB751" s="6" t="str">
        <x:v>CC-BY-4.0</x:v>
      </x:c>
    </x:row>
    <x:row r="752" ht="72" customHeight="1">
      <x:c r="A752" s="14" t="n">
        <x:v>747</x:v>
      </x:c>
      <x:c r="B752" s="6" t="str">
        <x:v>count</x:v>
      </x:c>
      <x:c r="C752" s="6" t="str">
        <x:v>How many kitchen counter items are on the floor 1?</x:v>
      </x:c>
      <x:c r="D752" s="6" t="str">
        <x:v>5 kitchen_counter items
Floor level: 1</x:v>
      </x:c>
      <x:c r="E752" s="6" t="str">
        <x:v>Reference supplied</x:v>
      </x:c>
      <x:c r="F752" s="6" t="str">
        <x:v>train</x:v>
      </x:c>
      <x:c r="G752" s="6" t="str">
        <x:v>swiss-6456</x:v>
      </x:c>
      <x:c r="H752" s="6" t="str">
        <x:v>swiss-6456-Q01</x:v>
      </x:c>
      <x:c r="I752" s="6" t="str">
        <x:v>Find and count assets</x:v>
      </x:c>
      <x:c r="J752" s="6" t="str">
        <x:v>Warm-up</x:v>
      </x:c>
      <x:c r="K752" s="6" t="str">
        <x:v>An exact integer count with the scope stated in prose.</x:v>
      </x:c>
      <x:c r="L752" s="6" t="str">
        <x:v>T02, T03</x:v>
      </x:c>
      <x:c r="M752" s="6" t="str">
        <x:v>Count all items of a requested type on one floor.</x:v>
      </x:c>
      <x:c r="N752" s="6" t="str">
        <x:v>{"count":5,"asset_type":"kitchen_counter","floor_level":1}</x:v>
      </x:c>
      <x:c r="O752" s="6"/>
      <x:c r="P752" s="6" t="str">
        <x:v>Exact asset type and target floor. Count complete collection.</x:v>
      </x:c>
      <x:c r="Q752" s="15" t="n">
        <x:v>5</x:v>
      </x:c>
      <x:c r="R752" s="6" t="str">
        <x:v>items</x:v>
      </x:c>
      <x:c r="S752" s="16"/>
      <x:c r="T752" s="15"/>
      <x:c r="U752" s="6"/>
      <x:c r="V752" s="6"/>
      <x:c r="W752" s="6" t="str">
        <x:v>No dedicated counting tool. search_building exposes matches but returns at most 15 results.</x:v>
      </x:c>
      <x:c r="X752" s="6" t="str">
        <x:v>data/train/swiss-6456/questions_basic.jsonl</x:v>
      </x:c>
      <x:c r="Y752" s="14" t="n">
        <x:v>1</x:v>
      </x:c>
      <x:c r="Z752" s="6" t="str">
        <x:v>https://github.com/hagenhaeussler/Industrial-Agents-Hackathon-2026/blob/f41616590b69f3ea0c1cbfb41d6c35edd9ce53df/data/train/swiss-6456/questions_basic.jsonl#L1</x:v>
      </x:c>
      <x:c r="AA752" s="6" t="str">
        <x:v>swiss_dwellings</x:v>
      </x:c>
      <x:c r="AB752" s="6" t="str">
        <x:v>CC-BY-4.0</x:v>
      </x:c>
    </x:row>
    <x:row r="753" ht="72" customHeight="1">
      <x:c r="A753" s="14" t="n">
        <x:v>748</x:v>
      </x:c>
      <x:c r="B753" s="6" t="str">
        <x:v>count</x:v>
      </x:c>
      <x:c r="C753" s="6" t="str">
        <x:v>How many nightstand items are on the floor 4?</x:v>
      </x:c>
      <x:c r="D753" s="6" t="str">
        <x:v>5 nightstand items
Floor level: 4</x:v>
      </x:c>
      <x:c r="E753" s="6" t="str">
        <x:v>Reference supplied</x:v>
      </x:c>
      <x:c r="F753" s="6" t="str">
        <x:v>train</x:v>
      </x:c>
      <x:c r="G753" s="6" t="str">
        <x:v>swiss-668</x:v>
      </x:c>
      <x:c r="H753" s="6" t="str">
        <x:v>swiss-668-Q02</x:v>
      </x:c>
      <x:c r="I753" s="6" t="str">
        <x:v>Find and count assets</x:v>
      </x:c>
      <x:c r="J753" s="6" t="str">
        <x:v>Warm-up</x:v>
      </x:c>
      <x:c r="K753" s="6" t="str">
        <x:v>An exact integer count with the scope stated in prose.</x:v>
      </x:c>
      <x:c r="L753" s="6" t="str">
        <x:v>T02, T03</x:v>
      </x:c>
      <x:c r="M753" s="6" t="str">
        <x:v>Count all items of a requested type on one floor.</x:v>
      </x:c>
      <x:c r="N753" s="6" t="str">
        <x:v>{"count":5,"asset_type":"nightstand","floor_level":4}</x:v>
      </x:c>
      <x:c r="O753" s="6"/>
      <x:c r="P753" s="6" t="str">
        <x:v>Exact asset type and target floor. Count complete collection.</x:v>
      </x:c>
      <x:c r="Q753" s="15" t="n">
        <x:v>5</x:v>
      </x:c>
      <x:c r="R753" s="6" t="str">
        <x:v>items</x:v>
      </x:c>
      <x:c r="S753" s="16"/>
      <x:c r="T753" s="15"/>
      <x:c r="U753" s="6"/>
      <x:c r="V753" s="6"/>
      <x:c r="W753" s="6" t="str">
        <x:v>No dedicated counting tool. search_building exposes matches but returns at most 15 results.</x:v>
      </x:c>
      <x:c r="X753" s="6" t="str">
        <x:v>data/train/swiss-668/questions_basic.jsonl</x:v>
      </x:c>
      <x:c r="Y753" s="14" t="n">
        <x:v>2</x:v>
      </x:c>
      <x:c r="Z753" s="6" t="str">
        <x:v>https://github.com/hagenhaeussler/Industrial-Agents-Hackathon-2026/blob/f41616590b69f3ea0c1cbfb41d6c35edd9ce53df/data/train/swiss-668/questions_basic.jsonl#L2</x:v>
      </x:c>
      <x:c r="AA753" s="6" t="str">
        <x:v>swiss_dwellings</x:v>
      </x:c>
      <x:c r="AB753" s="6" t="str">
        <x:v>CC-BY-4.0</x:v>
      </x:c>
    </x:row>
    <x:row r="754" ht="72" customHeight="1">
      <x:c r="A754" s="14" t="n">
        <x:v>749</x:v>
      </x:c>
      <x:c r="B754" s="6" t="str">
        <x:v>count</x:v>
      </x:c>
      <x:c r="C754" s="6" t="str">
        <x:v>How many stove items are on the floor 1?</x:v>
      </x:c>
      <x:c r="D754" s="6" t="str">
        <x:v>4 stove items
Floor level: 1</x:v>
      </x:c>
      <x:c r="E754" s="6" t="str">
        <x:v>Reference supplied</x:v>
      </x:c>
      <x:c r="F754" s="6" t="str">
        <x:v>train</x:v>
      </x:c>
      <x:c r="G754" s="6" t="str">
        <x:v>swiss-685</x:v>
      </x:c>
      <x:c r="H754" s="6" t="str">
        <x:v>swiss-685-Q02</x:v>
      </x:c>
      <x:c r="I754" s="6" t="str">
        <x:v>Find and count assets</x:v>
      </x:c>
      <x:c r="J754" s="6" t="str">
        <x:v>Warm-up</x:v>
      </x:c>
      <x:c r="K754" s="6" t="str">
        <x:v>An exact integer count with the scope stated in prose.</x:v>
      </x:c>
      <x:c r="L754" s="6" t="str">
        <x:v>T02, T03</x:v>
      </x:c>
      <x:c r="M754" s="6" t="str">
        <x:v>Count all items of a requested type on one floor.</x:v>
      </x:c>
      <x:c r="N754" s="6" t="str">
        <x:v>{"count":4,"asset_type":"stove","floor_level":1}</x:v>
      </x:c>
      <x:c r="O754" s="6"/>
      <x:c r="P754" s="6" t="str">
        <x:v>Exact asset type and target floor. Count complete collection.</x:v>
      </x:c>
      <x:c r="Q754" s="15" t="n">
        <x:v>4</x:v>
      </x:c>
      <x:c r="R754" s="6" t="str">
        <x:v>items</x:v>
      </x:c>
      <x:c r="S754" s="16"/>
      <x:c r="T754" s="15"/>
      <x:c r="U754" s="6"/>
      <x:c r="V754" s="6"/>
      <x:c r="W754" s="6" t="str">
        <x:v>No dedicated counting tool. search_building exposes matches but returns at most 15 results.</x:v>
      </x:c>
      <x:c r="X754" s="6" t="str">
        <x:v>data/train/swiss-685/questions_basic.jsonl</x:v>
      </x:c>
      <x:c r="Y754" s="14" t="n">
        <x:v>2</x:v>
      </x:c>
      <x:c r="Z754" s="6" t="str">
        <x:v>https://github.com/hagenhaeussler/Industrial-Agents-Hackathon-2026/blob/f41616590b69f3ea0c1cbfb41d6c35edd9ce53df/data/train/swiss-685/questions_basic.jsonl#L2</x:v>
      </x:c>
      <x:c r="AA754" s="6" t="str">
        <x:v>swiss_dwellings</x:v>
      </x:c>
      <x:c r="AB754" s="6" t="str">
        <x:v>CC-BY-4.0</x:v>
      </x:c>
    </x:row>
    <x:row r="755" ht="72" customHeight="1">
      <x:c r="A755" s="14" t="n">
        <x:v>750</x:v>
      </x:c>
      <x:c r="B755" s="6" t="str">
        <x:v>count</x:v>
      </x:c>
      <x:c r="C755" s="6" t="str">
        <x:v>How many dining table items are on the floor 2?</x:v>
      </x:c>
      <x:c r="D755" s="6" t="str">
        <x:v>2 dining_table items
Floor level: 2</x:v>
      </x:c>
      <x:c r="E755" s="6" t="str">
        <x:v>Reference supplied</x:v>
      </x:c>
      <x:c r="F755" s="6" t="str">
        <x:v>train</x:v>
      </x:c>
      <x:c r="G755" s="6" t="str">
        <x:v>swiss-692</x:v>
      </x:c>
      <x:c r="H755" s="6" t="str">
        <x:v>swiss-692-Q01</x:v>
      </x:c>
      <x:c r="I755" s="6" t="str">
        <x:v>Find and count assets</x:v>
      </x:c>
      <x:c r="J755" s="6" t="str">
        <x:v>Warm-up</x:v>
      </x:c>
      <x:c r="K755" s="6" t="str">
        <x:v>An exact integer count with the scope stated in prose.</x:v>
      </x:c>
      <x:c r="L755" s="6" t="str">
        <x:v>T02, T03</x:v>
      </x:c>
      <x:c r="M755" s="6" t="str">
        <x:v>Count all items of a requested type on one floor.</x:v>
      </x:c>
      <x:c r="N755" s="6" t="str">
        <x:v>{"count":2,"asset_type":"dining_table","floor_level":2}</x:v>
      </x:c>
      <x:c r="O755" s="6"/>
      <x:c r="P755" s="6" t="str">
        <x:v>Exact asset type and target floor. Count complete collection.</x:v>
      </x:c>
      <x:c r="Q755" s="15" t="n">
        <x:v>2</x:v>
      </x:c>
      <x:c r="R755" s="6" t="str">
        <x:v>items</x:v>
      </x:c>
      <x:c r="S755" s="16"/>
      <x:c r="T755" s="15"/>
      <x:c r="U755" s="6"/>
      <x:c r="V755" s="6"/>
      <x:c r="W755" s="6" t="str">
        <x:v>No dedicated counting tool. search_building exposes matches but returns at most 15 results.</x:v>
      </x:c>
      <x:c r="X755" s="6" t="str">
        <x:v>data/train/swiss-692/questions_basic.jsonl</x:v>
      </x:c>
      <x:c r="Y755" s="14" t="n">
        <x:v>1</x:v>
      </x:c>
      <x:c r="Z755" s="6" t="str">
        <x:v>https://github.com/hagenhaeussler/Industrial-Agents-Hackathon-2026/blob/f41616590b69f3ea0c1cbfb41d6c35edd9ce53df/data/train/swiss-692/questions_basic.jsonl#L1</x:v>
      </x:c>
      <x:c r="AA755" s="6" t="str">
        <x:v>swiss_dwellings</x:v>
      </x:c>
      <x:c r="AB755" s="6" t="str">
        <x:v>CC-BY-4.0</x:v>
      </x:c>
    </x:row>
    <x:row r="756" ht="72" customHeight="1">
      <x:c r="A756" s="14" t="n">
        <x:v>751</x:v>
      </x:c>
      <x:c r="B756" s="6" t="str">
        <x:v>count</x:v>
      </x:c>
      <x:c r="C756" s="6" t="str">
        <x:v>How many desk items are on the floor 1?</x:v>
      </x:c>
      <x:c r="D756" s="6" t="str">
        <x:v>2 desk items
Floor level: 1</x:v>
      </x:c>
      <x:c r="E756" s="6" t="str">
        <x:v>Reference supplied</x:v>
      </x:c>
      <x:c r="F756" s="6" t="str">
        <x:v>train</x:v>
      </x:c>
      <x:c r="G756" s="6" t="str">
        <x:v>swiss-920</x:v>
      </x:c>
      <x:c r="H756" s="6" t="str">
        <x:v>swiss-920-Q01</x:v>
      </x:c>
      <x:c r="I756" s="6" t="str">
        <x:v>Find and count assets</x:v>
      </x:c>
      <x:c r="J756" s="6" t="str">
        <x:v>Warm-up</x:v>
      </x:c>
      <x:c r="K756" s="6" t="str">
        <x:v>An exact integer count with the scope stated in prose.</x:v>
      </x:c>
      <x:c r="L756" s="6" t="str">
        <x:v>T02, T03</x:v>
      </x:c>
      <x:c r="M756" s="6" t="str">
        <x:v>Count all items of a requested type on one floor.</x:v>
      </x:c>
      <x:c r="N756" s="6" t="str">
        <x:v>{"count":2,"asset_type":"desk","floor_level":1}</x:v>
      </x:c>
      <x:c r="O756" s="6"/>
      <x:c r="P756" s="6" t="str">
        <x:v>Exact asset type and target floor. Count complete collection.</x:v>
      </x:c>
      <x:c r="Q756" s="15" t="n">
        <x:v>2</x:v>
      </x:c>
      <x:c r="R756" s="6" t="str">
        <x:v>items</x:v>
      </x:c>
      <x:c r="S756" s="16"/>
      <x:c r="T756" s="15"/>
      <x:c r="U756" s="6"/>
      <x:c r="V756" s="6"/>
      <x:c r="W756" s="6" t="str">
        <x:v>No dedicated counting tool. search_building exposes matches but returns at most 15 results.</x:v>
      </x:c>
      <x:c r="X756" s="6" t="str">
        <x:v>data/train/swiss-920/questions_basic.jsonl</x:v>
      </x:c>
      <x:c r="Y756" s="14" t="n">
        <x:v>1</x:v>
      </x:c>
      <x:c r="Z756" s="6" t="str">
        <x:v>https://github.com/hagenhaeussler/Industrial-Agents-Hackathon-2026/blob/f41616590b69f3ea0c1cbfb41d6c35edd9ce53df/data/train/swiss-920/questions_basic.jsonl#L1</x:v>
      </x:c>
      <x:c r="AA756" s="6" t="str">
        <x:v>swiss_dwellings</x:v>
      </x:c>
      <x:c r="AB756" s="6" t="str">
        <x:v>CC-BY-4.0</x:v>
      </x:c>
    </x:row>
    <x:row r="757" ht="72" customHeight="1">
      <x:c r="A757" s="14" t="n">
        <x:v>752</x:v>
      </x:c>
      <x:c r="B757" s="6" t="str">
        <x:v>count</x:v>
      </x:c>
      <x:c r="C757" s="6" t="str">
        <x:v>How many coffee table items are on the floor 5?</x:v>
      </x:c>
      <x:c r="D757" s="6" t="str">
        <x:v>4 coffee_table items
Floor level: 5</x:v>
      </x:c>
      <x:c r="E757" s="6" t="str">
        <x:v>Reference supplied</x:v>
      </x:c>
      <x:c r="F757" s="6" t="str">
        <x:v>train</x:v>
      </x:c>
      <x:c r="G757" s="6" t="str">
        <x:v>swiss-921</x:v>
      </x:c>
      <x:c r="H757" s="6" t="str">
        <x:v>swiss-921-Q01</x:v>
      </x:c>
      <x:c r="I757" s="6" t="str">
        <x:v>Find and count assets</x:v>
      </x:c>
      <x:c r="J757" s="6" t="str">
        <x:v>Warm-up</x:v>
      </x:c>
      <x:c r="K757" s="6" t="str">
        <x:v>An exact integer count with the scope stated in prose.</x:v>
      </x:c>
      <x:c r="L757" s="6" t="str">
        <x:v>T02, T03</x:v>
      </x:c>
      <x:c r="M757" s="6" t="str">
        <x:v>Count all items of a requested type on one floor.</x:v>
      </x:c>
      <x:c r="N757" s="6" t="str">
        <x:v>{"count":4,"asset_type":"coffee_table","floor_level":5}</x:v>
      </x:c>
      <x:c r="O757" s="6"/>
      <x:c r="P757" s="6" t="str">
        <x:v>Exact asset type and target floor. Count complete collection.</x:v>
      </x:c>
      <x:c r="Q757" s="15" t="n">
        <x:v>4</x:v>
      </x:c>
      <x:c r="R757" s="6" t="str">
        <x:v>items</x:v>
      </x:c>
      <x:c r="S757" s="16"/>
      <x:c r="T757" s="15"/>
      <x:c r="U757" s="6"/>
      <x:c r="V757" s="6"/>
      <x:c r="W757" s="6" t="str">
        <x:v>No dedicated counting tool. search_building exposes matches but returns at most 15 results.</x:v>
      </x:c>
      <x:c r="X757" s="6" t="str">
        <x:v>data/train/swiss-921/questions_basic.jsonl</x:v>
      </x:c>
      <x:c r="Y757" s="14" t="n">
        <x:v>1</x:v>
      </x:c>
      <x:c r="Z757" s="6" t="str">
        <x:v>https://github.com/hagenhaeussler/Industrial-Agents-Hackathon-2026/blob/f41616590b69f3ea0c1cbfb41d6c35edd9ce53df/data/train/swiss-921/questions_basic.jsonl#L1</x:v>
      </x:c>
      <x:c r="AA757" s="6" t="str">
        <x:v>swiss_dwellings</x:v>
      </x:c>
      <x:c r="AB757" s="6" t="str">
        <x:v>CC-BY-4.0</x:v>
      </x:c>
    </x:row>
    <x:row r="758" ht="72" customHeight="1">
      <x:c r="A758" s="14" t="n">
        <x:v>753</x:v>
      </x:c>
      <x:c r="B758" s="6" t="str">
        <x:v>count</x:v>
      </x:c>
      <x:c r="C758" s="6" t="str">
        <x:v>How many toilet items are on the floor 2?</x:v>
      </x:c>
      <x:c r="D758" s="6" t="str">
        <x:v>3 toilet items
Floor level: 2</x:v>
      </x:c>
      <x:c r="E758" s="6" t="str">
        <x:v>Reference supplied</x:v>
      </x:c>
      <x:c r="F758" s="6" t="str">
        <x:v>dev</x:v>
      </x:c>
      <x:c r="G758" s="6" t="str">
        <x:v>osm-way22744230</x:v>
      </x:c>
      <x:c r="H758" s="6" t="str">
        <x:v>osm-way22744230-Q04</x:v>
      </x:c>
      <x:c r="I758" s="6" t="str">
        <x:v>Find and count assets</x:v>
      </x:c>
      <x:c r="J758" s="6" t="str">
        <x:v>Warm-up</x:v>
      </x:c>
      <x:c r="K758" s="6" t="str">
        <x:v>An exact integer count with the scope stated in prose.</x:v>
      </x:c>
      <x:c r="L758" s="6" t="str">
        <x:v>T02, T03</x:v>
      </x:c>
      <x:c r="M758" s="6" t="str">
        <x:v>Count all items of a requested type on one floor.</x:v>
      </x:c>
      <x:c r="N758" s="6" t="str">
        <x:v>{"count":3,"asset_type":"toilet","floor_level":2}</x:v>
      </x:c>
      <x:c r="O758" s="6"/>
      <x:c r="P758" s="6" t="str">
        <x:v>Exact asset type and target floor. Count complete collection.</x:v>
      </x:c>
      <x:c r="Q758" s="15" t="n">
        <x:v>3</x:v>
      </x:c>
      <x:c r="R758" s="6" t="str">
        <x:v>items</x:v>
      </x:c>
      <x:c r="S758" s="16"/>
      <x:c r="T758" s="15"/>
      <x:c r="U758" s="6"/>
      <x:c r="V758" s="6"/>
      <x:c r="W758" s="6" t="str">
        <x:v>No dedicated counting tool. search_building exposes matches but returns at most 15 results.</x:v>
      </x:c>
      <x:c r="X758" s="6" t="str">
        <x:v>data/dev/osm-way22744230/questions_basic.jsonl</x:v>
      </x:c>
      <x:c r="Y758" s="14" t="n">
        <x:v>4</x:v>
      </x:c>
      <x:c r="Z758" s="6" t="str">
        <x:v>https://github.com/hagenhaeussler/Industrial-Agents-Hackathon-2026/blob/f41616590b69f3ea0c1cbfb41d6c35edd9ce53df/data/dev/osm-way22744230/questions_basic.jsonl#L4</x:v>
      </x:c>
      <x:c r="AA758" s="6" t="str">
        <x:v>osm_indoor</x:v>
      </x:c>
      <x:c r="AB758" s="6" t="str">
        <x:v>ODbL-1.0</x:v>
      </x:c>
    </x:row>
    <x:row r="759" ht="72" customHeight="1">
      <x:c r="A759" s="14" t="n">
        <x:v>754</x:v>
      </x:c>
      <x:c r="B759" s="6" t="str">
        <x:v>count</x:v>
      </x:c>
      <x:c r="C759" s="6" t="str">
        <x:v>How many desk items are on the ground floor?</x:v>
      </x:c>
      <x:c r="D759" s="6" t="str">
        <x:v>13 desk items
Floor level: 0</x:v>
      </x:c>
      <x:c r="E759" s="6" t="str">
        <x:v>Reference supplied</x:v>
      </x:c>
      <x:c r="F759" s="6" t="str">
        <x:v>dev</x:v>
      </x:c>
      <x:c r="G759" s="6" t="str">
        <x:v>osm-way27326387</x:v>
      </x:c>
      <x:c r="H759" s="6" t="str">
        <x:v>osm-way27326387-Q01</x:v>
      </x:c>
      <x:c r="I759" s="6" t="str">
        <x:v>Find and count assets</x:v>
      </x:c>
      <x:c r="J759" s="6" t="str">
        <x:v>Warm-up</x:v>
      </x:c>
      <x:c r="K759" s="6" t="str">
        <x:v>An exact integer count with the scope stated in prose.</x:v>
      </x:c>
      <x:c r="L759" s="6" t="str">
        <x:v>T02, T03</x:v>
      </x:c>
      <x:c r="M759" s="6" t="str">
        <x:v>Count all items of a requested type on one floor.</x:v>
      </x:c>
      <x:c r="N759" s="6" t="str">
        <x:v>{"count":13,"asset_type":"desk","floor_level":0}</x:v>
      </x:c>
      <x:c r="O759" s="6"/>
      <x:c r="P759" s="6" t="str">
        <x:v>Exact asset type and target floor. Count complete collection.</x:v>
      </x:c>
      <x:c r="Q759" s="15" t="n">
        <x:v>13</x:v>
      </x:c>
      <x:c r="R759" s="6" t="str">
        <x:v>items</x:v>
      </x:c>
      <x:c r="S759" s="16"/>
      <x:c r="T759" s="15"/>
      <x:c r="U759" s="6"/>
      <x:c r="V759" s="6"/>
      <x:c r="W759" s="6" t="str">
        <x:v>No dedicated counting tool. search_building exposes matches but returns at most 15 results.</x:v>
      </x:c>
      <x:c r="X759" s="6" t="str">
        <x:v>data/dev/osm-way27326387/questions_basic.jsonl</x:v>
      </x:c>
      <x:c r="Y759" s="14" t="n">
        <x:v>1</x:v>
      </x:c>
      <x:c r="Z759" s="6" t="str">
        <x:v>https://github.com/hagenhaeussler/Industrial-Agents-Hackathon-2026/blob/f41616590b69f3ea0c1cbfb41d6c35edd9ce53df/data/dev/osm-way27326387/questions_basic.jsonl#L1</x:v>
      </x:c>
      <x:c r="AA759" s="6" t="str">
        <x:v>osm_indoor</x:v>
      </x:c>
      <x:c r="AB759" s="6" t="str">
        <x:v>ODbL-1.0</x:v>
      </x:c>
    </x:row>
    <x:row r="760" ht="72" customHeight="1">
      <x:c r="A760" s="14" t="n">
        <x:v>755</x:v>
      </x:c>
      <x:c r="B760" s="6" t="str">
        <x:v>count</x:v>
      </x:c>
      <x:c r="C760" s="6" t="str">
        <x:v>How many toilet items are on the floor 3?</x:v>
      </x:c>
      <x:c r="D760" s="6" t="str">
        <x:v>8 toilet items
Floor level: 3</x:v>
      </x:c>
      <x:c r="E760" s="6" t="str">
        <x:v>Reference supplied</x:v>
      </x:c>
      <x:c r="F760" s="6" t="str">
        <x:v>dev</x:v>
      </x:c>
      <x:c r="G760" s="6" t="str">
        <x:v>osm-way27917482</x:v>
      </x:c>
      <x:c r="H760" s="6" t="str">
        <x:v>osm-way27917482-Q04</x:v>
      </x:c>
      <x:c r="I760" s="6" t="str">
        <x:v>Find and count assets</x:v>
      </x:c>
      <x:c r="J760" s="6" t="str">
        <x:v>Warm-up</x:v>
      </x:c>
      <x:c r="K760" s="6" t="str">
        <x:v>An exact integer count with the scope stated in prose.</x:v>
      </x:c>
      <x:c r="L760" s="6" t="str">
        <x:v>T02, T03</x:v>
      </x:c>
      <x:c r="M760" s="6" t="str">
        <x:v>Count all items of a requested type on one floor.</x:v>
      </x:c>
      <x:c r="N760" s="6" t="str">
        <x:v>{"count":8,"asset_type":"toilet","floor_level":3}</x:v>
      </x:c>
      <x:c r="O760" s="6"/>
      <x:c r="P760" s="6" t="str">
        <x:v>Exact asset type and target floor. Count complete collection.</x:v>
      </x:c>
      <x:c r="Q760" s="15" t="n">
        <x:v>8</x:v>
      </x:c>
      <x:c r="R760" s="6" t="str">
        <x:v>items</x:v>
      </x:c>
      <x:c r="S760" s="16"/>
      <x:c r="T760" s="15"/>
      <x:c r="U760" s="6"/>
      <x:c r="V760" s="6"/>
      <x:c r="W760" s="6" t="str">
        <x:v>No dedicated counting tool. search_building exposes matches but returns at most 15 results.</x:v>
      </x:c>
      <x:c r="X760" s="6" t="str">
        <x:v>data/dev/osm-way27917482/questions_basic.jsonl</x:v>
      </x:c>
      <x:c r="Y760" s="14" t="n">
        <x:v>4</x:v>
      </x:c>
      <x:c r="Z760" s="6" t="str">
        <x:v>https://github.com/hagenhaeussler/Industrial-Agents-Hackathon-2026/blob/f41616590b69f3ea0c1cbfb41d6c35edd9ce53df/data/dev/osm-way27917482/questions_basic.jsonl#L4</x:v>
      </x:c>
      <x:c r="AA760" s="6" t="str">
        <x:v>osm_indoor</x:v>
      </x:c>
      <x:c r="AB760" s="6" t="str">
        <x:v>ODbL-1.0</x:v>
      </x:c>
    </x:row>
    <x:row r="761" ht="72" customHeight="1">
      <x:c r="A761" s="14" t="n">
        <x:v>756</x:v>
      </x:c>
      <x:c r="B761" s="6" t="str">
        <x:v>count</x:v>
      </x:c>
      <x:c r="C761" s="6" t="str">
        <x:v>How many chair items are on the floor 2?</x:v>
      </x:c>
      <x:c r="D761" s="6" t="str">
        <x:v>16 chair items
Floor level: 2</x:v>
      </x:c>
      <x:c r="E761" s="6" t="str">
        <x:v>Reference supplied</x:v>
      </x:c>
      <x:c r="F761" s="6" t="str">
        <x:v>dev</x:v>
      </x:c>
      <x:c r="G761" s="6" t="str">
        <x:v>osm-way360544293</x:v>
      </x:c>
      <x:c r="H761" s="6" t="str">
        <x:v>osm-way360544293-Q04</x:v>
      </x:c>
      <x:c r="I761" s="6" t="str">
        <x:v>Find and count assets</x:v>
      </x:c>
      <x:c r="J761" s="6" t="str">
        <x:v>Warm-up</x:v>
      </x:c>
      <x:c r="K761" s="6" t="str">
        <x:v>An exact integer count with the scope stated in prose.</x:v>
      </x:c>
      <x:c r="L761" s="6" t="str">
        <x:v>T02, T03</x:v>
      </x:c>
      <x:c r="M761" s="6" t="str">
        <x:v>Count all items of a requested type on one floor.</x:v>
      </x:c>
      <x:c r="N761" s="6" t="str">
        <x:v>{"count":16,"asset_type":"chair","floor_level":2}</x:v>
      </x:c>
      <x:c r="O761" s="6"/>
      <x:c r="P761" s="6" t="str">
        <x:v>Exact asset type and target floor. Count complete collection.</x:v>
      </x:c>
      <x:c r="Q761" s="15" t="n">
        <x:v>16</x:v>
      </x:c>
      <x:c r="R761" s="6" t="str">
        <x:v>items</x:v>
      </x:c>
      <x:c r="S761" s="16"/>
      <x:c r="T761" s="15"/>
      <x:c r="U761" s="6"/>
      <x:c r="V761" s="6"/>
      <x:c r="W761" s="6" t="str">
        <x:v>No dedicated counting tool. search_building exposes matches but returns at most 15 results.</x:v>
      </x:c>
      <x:c r="X761" s="6" t="str">
        <x:v>data/dev/osm-way360544293/questions_basic.jsonl</x:v>
      </x:c>
      <x:c r="Y761" s="14" t="n">
        <x:v>4</x:v>
      </x:c>
      <x:c r="Z761" s="6" t="str">
        <x:v>https://github.com/hagenhaeussler/Industrial-Agents-Hackathon-2026/blob/f41616590b69f3ea0c1cbfb41d6c35edd9ce53df/data/dev/osm-way360544293/questions_basic.jsonl#L4</x:v>
      </x:c>
      <x:c r="AA761" s="6" t="str">
        <x:v>osm_indoor</x:v>
      </x:c>
      <x:c r="AB761" s="6" t="str">
        <x:v>ODbL-1.0</x:v>
      </x:c>
    </x:row>
    <x:row r="762" ht="72" customHeight="1">
      <x:c r="A762" s="14" t="n">
        <x:v>757</x:v>
      </x:c>
      <x:c r="B762" s="6" t="str">
        <x:v>count</x:v>
      </x:c>
      <x:c r="C762" s="6" t="str">
        <x:v>How many filing cabinet items are on the floor 4?</x:v>
      </x:c>
      <x:c r="D762" s="6" t="str">
        <x:v>7 filing_cabinet items
Floor level: 4</x:v>
      </x:c>
      <x:c r="E762" s="6" t="str">
        <x:v>Reference supplied</x:v>
      </x:c>
      <x:c r="F762" s="6" t="str">
        <x:v>dev</x:v>
      </x:c>
      <x:c r="G762" s="6" t="str">
        <x:v>proc-campus-dev-000</x:v>
      </x:c>
      <x:c r="H762" s="6" t="str">
        <x:v>proc-campus-dev-000-Q04</x:v>
      </x:c>
      <x:c r="I762" s="6" t="str">
        <x:v>Find and count assets</x:v>
      </x:c>
      <x:c r="J762" s="6" t="str">
        <x:v>Warm-up</x:v>
      </x:c>
      <x:c r="K762" s="6" t="str">
        <x:v>An exact integer count with the scope stated in prose.</x:v>
      </x:c>
      <x:c r="L762" s="6" t="str">
        <x:v>T02, T03</x:v>
      </x:c>
      <x:c r="M762" s="6" t="str">
        <x:v>Count all items of a requested type on one floor.</x:v>
      </x:c>
      <x:c r="N762" s="6" t="str">
        <x:v>{"count":7,"asset_type":"filing_cabinet","floor_level":4}</x:v>
      </x:c>
      <x:c r="O762" s="6"/>
      <x:c r="P762" s="6" t="str">
        <x:v>Exact asset type and target floor. Count complete collection.</x:v>
      </x:c>
      <x:c r="Q762" s="15" t="n">
        <x:v>7</x:v>
      </x:c>
      <x:c r="R762" s="6" t="str">
        <x:v>items</x:v>
      </x:c>
      <x:c r="S762" s="16"/>
      <x:c r="T762" s="15"/>
      <x:c r="U762" s="6"/>
      <x:c r="V762" s="6"/>
      <x:c r="W762" s="6" t="str">
        <x:v>No dedicated counting tool. search_building exposes matches but returns at most 15 results.</x:v>
      </x:c>
      <x:c r="X762" s="6" t="str">
        <x:v>data/dev/proc-campus-dev-000/questions_basic.jsonl</x:v>
      </x:c>
      <x:c r="Y762" s="14" t="n">
        <x:v>4</x:v>
      </x:c>
      <x:c r="Z762" s="6" t="str">
        <x:v>https://github.com/hagenhaeussler/Industrial-Agents-Hackathon-2026/blob/f41616590b69f3ea0c1cbfb41d6c35edd9ce53df/data/dev/proc-campus-dev-000/questions_basic.jsonl#L4</x:v>
      </x:c>
      <x:c r="AA762" s="6" t="str">
        <x:v>procedural</x:v>
      </x:c>
      <x:c r="AB762" s="6" t="str">
        <x:v>CC0-1.0</x:v>
      </x:c>
    </x:row>
    <x:row r="763" ht="72" customHeight="1">
      <x:c r="A763" s="14" t="n">
        <x:v>758</x:v>
      </x:c>
      <x:c r="B763" s="6" t="str">
        <x:v>count</x:v>
      </x:c>
      <x:c r="C763" s="6" t="str">
        <x:v>How many fire extinguisher items are on the floor 1?</x:v>
      </x:c>
      <x:c r="D763" s="6" t="str">
        <x:v>2 fire_extinguisher items
Floor level: 1</x:v>
      </x:c>
      <x:c r="E763" s="6" t="str">
        <x:v>Reference supplied</x:v>
      </x:c>
      <x:c r="F763" s="6" t="str">
        <x:v>dev</x:v>
      </x:c>
      <x:c r="G763" s="6" t="str">
        <x:v>proc-campus-dev-001</x:v>
      </x:c>
      <x:c r="H763" s="6" t="str">
        <x:v>proc-campus-dev-001-Q04</x:v>
      </x:c>
      <x:c r="I763" s="6" t="str">
        <x:v>Find and count assets</x:v>
      </x:c>
      <x:c r="J763" s="6" t="str">
        <x:v>Warm-up</x:v>
      </x:c>
      <x:c r="K763" s="6" t="str">
        <x:v>An exact integer count with the scope stated in prose.</x:v>
      </x:c>
      <x:c r="L763" s="6" t="str">
        <x:v>T02, T03</x:v>
      </x:c>
      <x:c r="M763" s="6" t="str">
        <x:v>Count all items of a requested type on one floor.</x:v>
      </x:c>
      <x:c r="N763" s="6" t="str">
        <x:v>{"count":2,"asset_type":"fire_extinguisher","floor_level":1}</x:v>
      </x:c>
      <x:c r="O763" s="6"/>
      <x:c r="P763" s="6" t="str">
        <x:v>Exact asset type and target floor. Count complete collection.</x:v>
      </x:c>
      <x:c r="Q763" s="15" t="n">
        <x:v>2</x:v>
      </x:c>
      <x:c r="R763" s="6" t="str">
        <x:v>items</x:v>
      </x:c>
      <x:c r="S763" s="16"/>
      <x:c r="T763" s="15"/>
      <x:c r="U763" s="6"/>
      <x:c r="V763" s="6"/>
      <x:c r="W763" s="6" t="str">
        <x:v>No dedicated counting tool. search_building exposes matches but returns at most 15 results.</x:v>
      </x:c>
      <x:c r="X763" s="6" t="str">
        <x:v>data/dev/proc-campus-dev-001/questions_basic.jsonl</x:v>
      </x:c>
      <x:c r="Y763" s="14" t="n">
        <x:v>4</x:v>
      </x:c>
      <x:c r="Z763" s="6" t="str">
        <x:v>https://github.com/hagenhaeussler/Industrial-Agents-Hackathon-2026/blob/f41616590b69f3ea0c1cbfb41d6c35edd9ce53df/data/dev/proc-campus-dev-001/questions_basic.jsonl#L4</x:v>
      </x:c>
      <x:c r="AA763" s="6" t="str">
        <x:v>procedural</x:v>
      </x:c>
      <x:c r="AB763" s="6" t="str">
        <x:v>CC0-1.0</x:v>
      </x:c>
    </x:row>
    <x:row r="764" ht="72" customHeight="1">
      <x:c r="A764" s="14" t="n">
        <x:v>759</x:v>
      </x:c>
      <x:c r="B764" s="6" t="str">
        <x:v>count</x:v>
      </x:c>
      <x:c r="C764" s="6" t="str">
        <x:v>How many fire extinguisher items are on the floor 3?</x:v>
      </x:c>
      <x:c r="D764" s="6" t="str">
        <x:v>2 fire_extinguisher items
Floor level: 3</x:v>
      </x:c>
      <x:c r="E764" s="6" t="str">
        <x:v>Reference supplied</x:v>
      </x:c>
      <x:c r="F764" s="6" t="str">
        <x:v>dev</x:v>
      </x:c>
      <x:c r="G764" s="6" t="str">
        <x:v>proc-campus-dev-002</x:v>
      </x:c>
      <x:c r="H764" s="6" t="str">
        <x:v>proc-campus-dev-002-Q04</x:v>
      </x:c>
      <x:c r="I764" s="6" t="str">
        <x:v>Find and count assets</x:v>
      </x:c>
      <x:c r="J764" s="6" t="str">
        <x:v>Warm-up</x:v>
      </x:c>
      <x:c r="K764" s="6" t="str">
        <x:v>An exact integer count with the scope stated in prose.</x:v>
      </x:c>
      <x:c r="L764" s="6" t="str">
        <x:v>T02, T03</x:v>
      </x:c>
      <x:c r="M764" s="6" t="str">
        <x:v>Count all items of a requested type on one floor.</x:v>
      </x:c>
      <x:c r="N764" s="6" t="str">
        <x:v>{"count":2,"asset_type":"fire_extinguisher","floor_level":3}</x:v>
      </x:c>
      <x:c r="O764" s="6"/>
      <x:c r="P764" s="6" t="str">
        <x:v>Exact asset type and target floor. Count complete collection.</x:v>
      </x:c>
      <x:c r="Q764" s="15" t="n">
        <x:v>2</x:v>
      </x:c>
      <x:c r="R764" s="6" t="str">
        <x:v>items</x:v>
      </x:c>
      <x:c r="S764" s="16"/>
      <x:c r="T764" s="15"/>
      <x:c r="U764" s="6"/>
      <x:c r="V764" s="6"/>
      <x:c r="W764" s="6" t="str">
        <x:v>No dedicated counting tool. search_building exposes matches but returns at most 15 results.</x:v>
      </x:c>
      <x:c r="X764" s="6" t="str">
        <x:v>data/dev/proc-campus-dev-002/questions_basic.jsonl</x:v>
      </x:c>
      <x:c r="Y764" s="14" t="n">
        <x:v>4</x:v>
      </x:c>
      <x:c r="Z764" s="6" t="str">
        <x:v>https://github.com/hagenhaeussler/Industrial-Agents-Hackathon-2026/blob/f41616590b69f3ea0c1cbfb41d6c35edd9ce53df/data/dev/proc-campus-dev-002/questions_basic.jsonl#L4</x:v>
      </x:c>
      <x:c r="AA764" s="6" t="str">
        <x:v>procedural</x:v>
      </x:c>
      <x:c r="AB764" s="6" t="str">
        <x:v>CC0-1.0</x:v>
      </x:c>
    </x:row>
    <x:row r="765" ht="72" customHeight="1">
      <x:c r="A765" s="14" t="n">
        <x:v>760</x:v>
      </x:c>
      <x:c r="B765" s="6" t="str">
        <x:v>count</x:v>
      </x:c>
      <x:c r="C765" s="6" t="str">
        <x:v>How many microscope items are on the floor 2?</x:v>
      </x:c>
      <x:c r="D765" s="6" t="str">
        <x:v>3 microscope items
Floor level: 2</x:v>
      </x:c>
      <x:c r="E765" s="6" t="str">
        <x:v>Reference supplied</x:v>
      </x:c>
      <x:c r="F765" s="6" t="str">
        <x:v>dev</x:v>
      </x:c>
      <x:c r="G765" s="6" t="str">
        <x:v>proc-campus-dev-006</x:v>
      </x:c>
      <x:c r="H765" s="6" t="str">
        <x:v>proc-campus-dev-006-Q04</x:v>
      </x:c>
      <x:c r="I765" s="6" t="str">
        <x:v>Find and count assets</x:v>
      </x:c>
      <x:c r="J765" s="6" t="str">
        <x:v>Warm-up</x:v>
      </x:c>
      <x:c r="K765" s="6" t="str">
        <x:v>An exact integer count with the scope stated in prose.</x:v>
      </x:c>
      <x:c r="L765" s="6" t="str">
        <x:v>T02, T03</x:v>
      </x:c>
      <x:c r="M765" s="6" t="str">
        <x:v>Count all items of a requested type on one floor.</x:v>
      </x:c>
      <x:c r="N765" s="6" t="str">
        <x:v>{"count":3,"asset_type":"microscope","floor_level":2}</x:v>
      </x:c>
      <x:c r="O765" s="6"/>
      <x:c r="P765" s="6" t="str">
        <x:v>Exact asset type and target floor. Count complete collection.</x:v>
      </x:c>
      <x:c r="Q765" s="15" t="n">
        <x:v>3</x:v>
      </x:c>
      <x:c r="R765" s="6" t="str">
        <x:v>items</x:v>
      </x:c>
      <x:c r="S765" s="16"/>
      <x:c r="T765" s="15"/>
      <x:c r="U765" s="6"/>
      <x:c r="V765" s="6"/>
      <x:c r="W765" s="6" t="str">
        <x:v>No dedicated counting tool. search_building exposes matches but returns at most 15 results.</x:v>
      </x:c>
      <x:c r="X765" s="6" t="str">
        <x:v>data/dev/proc-campus-dev-006/questions_basic.jsonl</x:v>
      </x:c>
      <x:c r="Y765" s="14" t="n">
        <x:v>4</x:v>
      </x:c>
      <x:c r="Z765" s="6" t="str">
        <x:v>https://github.com/hagenhaeussler/Industrial-Agents-Hackathon-2026/blob/f41616590b69f3ea0c1cbfb41d6c35edd9ce53df/data/dev/proc-campus-dev-006/questions_basic.jsonl#L4</x:v>
      </x:c>
      <x:c r="AA765" s="6" t="str">
        <x:v>procedural</x:v>
      </x:c>
      <x:c r="AB765" s="6" t="str">
        <x:v>CC0-1.0</x:v>
      </x:c>
    </x:row>
    <x:row r="766" ht="72" customHeight="1">
      <x:c r="A766" s="14" t="n">
        <x:v>761</x:v>
      </x:c>
      <x:c r="B766" s="6" t="str">
        <x:v>count</x:v>
      </x:c>
      <x:c r="C766" s="6" t="str">
        <x:v>How many lab bench items are on the floor 4?</x:v>
      </x:c>
      <x:c r="D766" s="6" t="str">
        <x:v>4 lab_bench items
Floor level: 4</x:v>
      </x:c>
      <x:c r="E766" s="6" t="str">
        <x:v>Reference supplied</x:v>
      </x:c>
      <x:c r="F766" s="6" t="str">
        <x:v>dev</x:v>
      </x:c>
      <x:c r="G766" s="6" t="str">
        <x:v>proc-campus-dev-009</x:v>
      </x:c>
      <x:c r="H766" s="6" t="str">
        <x:v>proc-campus-dev-009-Q04</x:v>
      </x:c>
      <x:c r="I766" s="6" t="str">
        <x:v>Find and count assets</x:v>
      </x:c>
      <x:c r="J766" s="6" t="str">
        <x:v>Warm-up</x:v>
      </x:c>
      <x:c r="K766" s="6" t="str">
        <x:v>An exact integer count with the scope stated in prose.</x:v>
      </x:c>
      <x:c r="L766" s="6" t="str">
        <x:v>T02, T03</x:v>
      </x:c>
      <x:c r="M766" s="6" t="str">
        <x:v>Count all items of a requested type on one floor.</x:v>
      </x:c>
      <x:c r="N766" s="6" t="str">
        <x:v>{"count":4,"asset_type":"lab_bench","floor_level":4}</x:v>
      </x:c>
      <x:c r="O766" s="6"/>
      <x:c r="P766" s="6" t="str">
        <x:v>Exact asset type and target floor. Count complete collection.</x:v>
      </x:c>
      <x:c r="Q766" s="15" t="n">
        <x:v>4</x:v>
      </x:c>
      <x:c r="R766" s="6" t="str">
        <x:v>items</x:v>
      </x:c>
      <x:c r="S766" s="16"/>
      <x:c r="T766" s="15"/>
      <x:c r="U766" s="6"/>
      <x:c r="V766" s="6"/>
      <x:c r="W766" s="6" t="str">
        <x:v>No dedicated counting tool. search_building exposes matches but returns at most 15 results.</x:v>
      </x:c>
      <x:c r="X766" s="6" t="str">
        <x:v>data/dev/proc-campus-dev-009/questions_basic.jsonl</x:v>
      </x:c>
      <x:c r="Y766" s="14" t="n">
        <x:v>4</x:v>
      </x:c>
      <x:c r="Z766" s="6" t="str">
        <x:v>https://github.com/hagenhaeussler/Industrial-Agents-Hackathon-2026/blob/f41616590b69f3ea0c1cbfb41d6c35edd9ce53df/data/dev/proc-campus-dev-009/questions_basic.jsonl#L4</x:v>
      </x:c>
      <x:c r="AA766" s="6" t="str">
        <x:v>procedural</x:v>
      </x:c>
      <x:c r="AB766" s="6" t="str">
        <x:v>CC0-1.0</x:v>
      </x:c>
    </x:row>
    <x:row r="767" ht="72" customHeight="1">
      <x:c r="A767" s="14" t="n">
        <x:v>762</x:v>
      </x:c>
      <x:c r="B767" s="6" t="str">
        <x:v>count</x:v>
      </x:c>
      <x:c r="C767" s="6" t="str">
        <x:v>How many seating row items are on the ground floor?</x:v>
      </x:c>
      <x:c r="D767" s="6" t="str">
        <x:v>8 lecture_seating_row items
Floor level: 0</x:v>
      </x:c>
      <x:c r="E767" s="6" t="str">
        <x:v>Reference supplied</x:v>
      </x:c>
      <x:c r="F767" s="6" t="str">
        <x:v>dev</x:v>
      </x:c>
      <x:c r="G767" s="6" t="str">
        <x:v>proc-campus-dev-013</x:v>
      </x:c>
      <x:c r="H767" s="6" t="str">
        <x:v>proc-campus-dev-013-Q04</x:v>
      </x:c>
      <x:c r="I767" s="6" t="str">
        <x:v>Find and count assets</x:v>
      </x:c>
      <x:c r="J767" s="6" t="str">
        <x:v>Warm-up</x:v>
      </x:c>
      <x:c r="K767" s="6" t="str">
        <x:v>An exact integer count with the scope stated in prose.</x:v>
      </x:c>
      <x:c r="L767" s="6" t="str">
        <x:v>T02, T03</x:v>
      </x:c>
      <x:c r="M767" s="6" t="str">
        <x:v>Count all items of a requested type on one floor.</x:v>
      </x:c>
      <x:c r="N767" s="6" t="str">
        <x:v>{"count":8,"asset_type":"lecture_seating_row","floor_level":0}</x:v>
      </x:c>
      <x:c r="O767" s="6"/>
      <x:c r="P767" s="6" t="str">
        <x:v>Exact asset type and target floor. Count complete collection.</x:v>
      </x:c>
      <x:c r="Q767" s="15" t="n">
        <x:v>8</x:v>
      </x:c>
      <x:c r="R767" s="6" t="str">
        <x:v>items</x:v>
      </x:c>
      <x:c r="S767" s="16"/>
      <x:c r="T767" s="15"/>
      <x:c r="U767" s="6"/>
      <x:c r="V767" s="6"/>
      <x:c r="W767" s="6" t="str">
        <x:v>No dedicated counting tool. search_building exposes matches but returns at most 15 results.</x:v>
      </x:c>
      <x:c r="X767" s="6" t="str">
        <x:v>data/dev/proc-campus-dev-013/questions_basic.jsonl</x:v>
      </x:c>
      <x:c r="Y767" s="14" t="n">
        <x:v>4</x:v>
      </x:c>
      <x:c r="Z767" s="6" t="str">
        <x:v>https://github.com/hagenhaeussler/Industrial-Agents-Hackathon-2026/blob/f41616590b69f3ea0c1cbfb41d6c35edd9ce53df/data/dev/proc-campus-dev-013/questions_basic.jsonl#L4</x:v>
      </x:c>
      <x:c r="AA767" s="6" t="str">
        <x:v>procedural</x:v>
      </x:c>
      <x:c r="AB767" s="6" t="str">
        <x:v>CC0-1.0</x:v>
      </x:c>
    </x:row>
    <x:row r="768" ht="72" customHeight="1">
      <x:c r="A768" s="14" t="n">
        <x:v>763</x:v>
      </x:c>
      <x:c r="B768" s="6" t="str">
        <x:v>count</x:v>
      </x:c>
      <x:c r="C768" s="6" t="str">
        <x:v>How many meeting table items are on the ground floor?</x:v>
      </x:c>
      <x:c r="D768" s="6" t="str">
        <x:v>7 meeting_table items
Floor level: 0</x:v>
      </x:c>
      <x:c r="E768" s="6" t="str">
        <x:v>Reference supplied</x:v>
      </x:c>
      <x:c r="F768" s="6" t="str">
        <x:v>dev</x:v>
      </x:c>
      <x:c r="G768" s="6" t="str">
        <x:v>proc-factory-dev-003</x:v>
      </x:c>
      <x:c r="H768" s="6" t="str">
        <x:v>proc-factory-dev-003-Q04</x:v>
      </x:c>
      <x:c r="I768" s="6" t="str">
        <x:v>Find and count assets</x:v>
      </x:c>
      <x:c r="J768" s="6" t="str">
        <x:v>Warm-up</x:v>
      </x:c>
      <x:c r="K768" s="6" t="str">
        <x:v>An exact integer count with the scope stated in prose.</x:v>
      </x:c>
      <x:c r="L768" s="6" t="str">
        <x:v>T02, T03</x:v>
      </x:c>
      <x:c r="M768" s="6" t="str">
        <x:v>Count all items of a requested type on one floor.</x:v>
      </x:c>
      <x:c r="N768" s="6" t="str">
        <x:v>{"count":7,"asset_type":"meeting_table","floor_level":0}</x:v>
      </x:c>
      <x:c r="O768" s="6"/>
      <x:c r="P768" s="6" t="str">
        <x:v>Exact asset type and target floor. Count complete collection.</x:v>
      </x:c>
      <x:c r="Q768" s="15" t="n">
        <x:v>7</x:v>
      </x:c>
      <x:c r="R768" s="6" t="str">
        <x:v>items</x:v>
      </x:c>
      <x:c r="S768" s="16"/>
      <x:c r="T768" s="15"/>
      <x:c r="U768" s="6"/>
      <x:c r="V768" s="6"/>
      <x:c r="W768" s="6" t="str">
        <x:v>No dedicated counting tool. search_building exposes matches but returns at most 15 results.</x:v>
      </x:c>
      <x:c r="X768" s="6" t="str">
        <x:v>data/dev/proc-factory-dev-003/questions_basic.jsonl</x:v>
      </x:c>
      <x:c r="Y768" s="14" t="n">
        <x:v>4</x:v>
      </x:c>
      <x:c r="Z768" s="6" t="str">
        <x:v>https://github.com/hagenhaeussler/Industrial-Agents-Hackathon-2026/blob/f41616590b69f3ea0c1cbfb41d6c35edd9ce53df/data/dev/proc-factory-dev-003/questions_basic.jsonl#L4</x:v>
      </x:c>
      <x:c r="AA768" s="6" t="str">
        <x:v>procedural</x:v>
      </x:c>
      <x:c r="AB768" s="6" t="str">
        <x:v>CC0-1.0</x:v>
      </x:c>
    </x:row>
    <x:row r="769" ht="72" customHeight="1">
      <x:c r="A769" s="14" t="n">
        <x:v>764</x:v>
      </x:c>
      <x:c r="B769" s="6" t="str">
        <x:v>count</x:v>
      </x:c>
      <x:c r="C769" s="6" t="str">
        <x:v>How many sink items are on the ground floor?</x:v>
      </x:c>
      <x:c r="D769" s="6" t="str">
        <x:v>2 sink items
Floor level: 0</x:v>
      </x:c>
      <x:c r="E769" s="6" t="str">
        <x:v>Reference supplied</x:v>
      </x:c>
      <x:c r="F769" s="6" t="str">
        <x:v>dev</x:v>
      </x:c>
      <x:c r="G769" s="6" t="str">
        <x:v>proc-factory-dev-004</x:v>
      </x:c>
      <x:c r="H769" s="6" t="str">
        <x:v>proc-factory-dev-004-Q04</x:v>
      </x:c>
      <x:c r="I769" s="6" t="str">
        <x:v>Find and count assets</x:v>
      </x:c>
      <x:c r="J769" s="6" t="str">
        <x:v>Warm-up</x:v>
      </x:c>
      <x:c r="K769" s="6" t="str">
        <x:v>An exact integer count with the scope stated in prose.</x:v>
      </x:c>
      <x:c r="L769" s="6" t="str">
        <x:v>T02, T03</x:v>
      </x:c>
      <x:c r="M769" s="6" t="str">
        <x:v>Count all items of a requested type on one floor.</x:v>
      </x:c>
      <x:c r="N769" s="6" t="str">
        <x:v>{"count":2,"asset_type":"sink","floor_level":0}</x:v>
      </x:c>
      <x:c r="O769" s="6"/>
      <x:c r="P769" s="6" t="str">
        <x:v>Exact asset type and target floor. Count complete collection.</x:v>
      </x:c>
      <x:c r="Q769" s="15" t="n">
        <x:v>2</x:v>
      </x:c>
      <x:c r="R769" s="6" t="str">
        <x:v>items</x:v>
      </x:c>
      <x:c r="S769" s="16"/>
      <x:c r="T769" s="15"/>
      <x:c r="U769" s="6"/>
      <x:c r="V769" s="6"/>
      <x:c r="W769" s="6" t="str">
        <x:v>No dedicated counting tool. search_building exposes matches but returns at most 15 results.</x:v>
      </x:c>
      <x:c r="X769" s="6" t="str">
        <x:v>data/dev/proc-factory-dev-004/questions_basic.jsonl</x:v>
      </x:c>
      <x:c r="Y769" s="14" t="n">
        <x:v>4</x:v>
      </x:c>
      <x:c r="Z769" s="6" t="str">
        <x:v>https://github.com/hagenhaeussler/Industrial-Agents-Hackathon-2026/blob/f41616590b69f3ea0c1cbfb41d6c35edd9ce53df/data/dev/proc-factory-dev-004/questions_basic.jsonl#L4</x:v>
      </x:c>
      <x:c r="AA769" s="6" t="str">
        <x:v>procedural</x:v>
      </x:c>
      <x:c r="AB769" s="6" t="str">
        <x:v>CC0-1.0</x:v>
      </x:c>
    </x:row>
    <x:row r="770" ht="72" customHeight="1">
      <x:c r="A770" s="14" t="n">
        <x:v>765</x:v>
      </x:c>
      <x:c r="B770" s="6" t="str">
        <x:v>count</x:v>
      </x:c>
      <x:c r="C770" s="6" t="str">
        <x:v>How many coffee machine items are on the ground floor?</x:v>
      </x:c>
      <x:c r="D770" s="6" t="str">
        <x:v>3 coffee_machine items
Floor level: 0</x:v>
      </x:c>
      <x:c r="E770" s="6" t="str">
        <x:v>Reference supplied</x:v>
      </x:c>
      <x:c r="F770" s="6" t="str">
        <x:v>dev</x:v>
      </x:c>
      <x:c r="G770" s="6" t="str">
        <x:v>proc-factory-dev-005</x:v>
      </x:c>
      <x:c r="H770" s="6" t="str">
        <x:v>proc-factory-dev-005-Q04</x:v>
      </x:c>
      <x:c r="I770" s="6" t="str">
        <x:v>Find and count assets</x:v>
      </x:c>
      <x:c r="J770" s="6" t="str">
        <x:v>Warm-up</x:v>
      </x:c>
      <x:c r="K770" s="6" t="str">
        <x:v>An exact integer count with the scope stated in prose.</x:v>
      </x:c>
      <x:c r="L770" s="6" t="str">
        <x:v>T02, T03</x:v>
      </x:c>
      <x:c r="M770" s="6" t="str">
        <x:v>Count all items of a requested type on one floor.</x:v>
      </x:c>
      <x:c r="N770" s="6" t="str">
        <x:v>{"count":3,"asset_type":"coffee_machine","floor_level":0}</x:v>
      </x:c>
      <x:c r="O770" s="6"/>
      <x:c r="P770" s="6" t="str">
        <x:v>Exact asset type and target floor. Count complete collection.</x:v>
      </x:c>
      <x:c r="Q770" s="15" t="n">
        <x:v>3</x:v>
      </x:c>
      <x:c r="R770" s="6" t="str">
        <x:v>items</x:v>
      </x:c>
      <x:c r="S770" s="16"/>
      <x:c r="T770" s="15"/>
      <x:c r="U770" s="6"/>
      <x:c r="V770" s="6"/>
      <x:c r="W770" s="6" t="str">
        <x:v>No dedicated counting tool. search_building exposes matches but returns at most 15 results.</x:v>
      </x:c>
      <x:c r="X770" s="6" t="str">
        <x:v>data/dev/proc-factory-dev-005/questions_basic.jsonl</x:v>
      </x:c>
      <x:c r="Y770" s="14" t="n">
        <x:v>4</x:v>
      </x:c>
      <x:c r="Z770" s="6" t="str">
        <x:v>https://github.com/hagenhaeussler/Industrial-Agents-Hackathon-2026/blob/f41616590b69f3ea0c1cbfb41d6c35edd9ce53df/data/dev/proc-factory-dev-005/questions_basic.jsonl#L4</x:v>
      </x:c>
      <x:c r="AA770" s="6" t="str">
        <x:v>procedural</x:v>
      </x:c>
      <x:c r="AB770" s="6" t="str">
        <x:v>CC0-1.0</x:v>
      </x:c>
    </x:row>
    <x:row r="771" ht="72" customHeight="1">
      <x:c r="A771" s="14" t="n">
        <x:v>766</x:v>
      </x:c>
      <x:c r="B771" s="6" t="str">
        <x:v>count</x:v>
      </x:c>
      <x:c r="C771" s="6" t="str">
        <x:v>How many meeting table items are on the ground floor?</x:v>
      </x:c>
      <x:c r="D771" s="6" t="str">
        <x:v>2 meeting_table items
Floor level: 0</x:v>
      </x:c>
      <x:c r="E771" s="6" t="str">
        <x:v>Reference supplied</x:v>
      </x:c>
      <x:c r="F771" s="6" t="str">
        <x:v>dev</x:v>
      </x:c>
      <x:c r="G771" s="6" t="str">
        <x:v>proc-factory-dev-007</x:v>
      </x:c>
      <x:c r="H771" s="6" t="str">
        <x:v>proc-factory-dev-007-Q04</x:v>
      </x:c>
      <x:c r="I771" s="6" t="str">
        <x:v>Find and count assets</x:v>
      </x:c>
      <x:c r="J771" s="6" t="str">
        <x:v>Warm-up</x:v>
      </x:c>
      <x:c r="K771" s="6" t="str">
        <x:v>An exact integer count with the scope stated in prose.</x:v>
      </x:c>
      <x:c r="L771" s="6" t="str">
        <x:v>T02, T03</x:v>
      </x:c>
      <x:c r="M771" s="6" t="str">
        <x:v>Count all items of a requested type on one floor.</x:v>
      </x:c>
      <x:c r="N771" s="6" t="str">
        <x:v>{"count":2,"asset_type":"meeting_table","floor_level":0}</x:v>
      </x:c>
      <x:c r="O771" s="6"/>
      <x:c r="P771" s="6" t="str">
        <x:v>Exact asset type and target floor. Count complete collection.</x:v>
      </x:c>
      <x:c r="Q771" s="15" t="n">
        <x:v>2</x:v>
      </x:c>
      <x:c r="R771" s="6" t="str">
        <x:v>items</x:v>
      </x:c>
      <x:c r="S771" s="16"/>
      <x:c r="T771" s="15"/>
      <x:c r="U771" s="6"/>
      <x:c r="V771" s="6"/>
      <x:c r="W771" s="6" t="str">
        <x:v>No dedicated counting tool. search_building exposes matches but returns at most 15 results.</x:v>
      </x:c>
      <x:c r="X771" s="6" t="str">
        <x:v>data/dev/proc-factory-dev-007/questions_basic.jsonl</x:v>
      </x:c>
      <x:c r="Y771" s="14" t="n">
        <x:v>4</x:v>
      </x:c>
      <x:c r="Z771" s="6" t="str">
        <x:v>https://github.com/hagenhaeussler/Industrial-Agents-Hackathon-2026/blob/f41616590b69f3ea0c1cbfb41d6c35edd9ce53df/data/dev/proc-factory-dev-007/questions_basic.jsonl#L4</x:v>
      </x:c>
      <x:c r="AA771" s="6" t="str">
        <x:v>procedural</x:v>
      </x:c>
      <x:c r="AB771" s="6" t="str">
        <x:v>CC0-1.0</x:v>
      </x:c>
    </x:row>
    <x:row r="772" ht="72" customHeight="1">
      <x:c r="A772" s="14" t="n">
        <x:v>767</x:v>
      </x:c>
      <x:c r="B772" s="6" t="str">
        <x:v>count</x:v>
      </x:c>
      <x:c r="C772" s="6" t="str">
        <x:v>How many bookshelf items are on the ground floor?</x:v>
      </x:c>
      <x:c r="D772" s="6" t="str">
        <x:v>7 bookshelf items
Floor level: 0</x:v>
      </x:c>
      <x:c r="E772" s="6" t="str">
        <x:v>Reference supplied</x:v>
      </x:c>
      <x:c r="F772" s="6" t="str">
        <x:v>dev</x:v>
      </x:c>
      <x:c r="G772" s="6" t="str">
        <x:v>proc-factory-dev-008</x:v>
      </x:c>
      <x:c r="H772" s="6" t="str">
        <x:v>proc-factory-dev-008-Q04</x:v>
      </x:c>
      <x:c r="I772" s="6" t="str">
        <x:v>Find and count assets</x:v>
      </x:c>
      <x:c r="J772" s="6" t="str">
        <x:v>Warm-up</x:v>
      </x:c>
      <x:c r="K772" s="6" t="str">
        <x:v>An exact integer count with the scope stated in prose.</x:v>
      </x:c>
      <x:c r="L772" s="6" t="str">
        <x:v>T02, T03</x:v>
      </x:c>
      <x:c r="M772" s="6" t="str">
        <x:v>Count all items of a requested type on one floor.</x:v>
      </x:c>
      <x:c r="N772" s="6" t="str">
        <x:v>{"count":7,"asset_type":"bookshelf","floor_level":0}</x:v>
      </x:c>
      <x:c r="O772" s="6"/>
      <x:c r="P772" s="6" t="str">
        <x:v>Exact asset type and target floor. Count complete collection.</x:v>
      </x:c>
      <x:c r="Q772" s="15" t="n">
        <x:v>7</x:v>
      </x:c>
      <x:c r="R772" s="6" t="str">
        <x:v>items</x:v>
      </x:c>
      <x:c r="S772" s="16"/>
      <x:c r="T772" s="15"/>
      <x:c r="U772" s="6"/>
      <x:c r="V772" s="6"/>
      <x:c r="W772" s="6" t="str">
        <x:v>No dedicated counting tool. search_building exposes matches but returns at most 15 results.</x:v>
      </x:c>
      <x:c r="X772" s="6" t="str">
        <x:v>data/dev/proc-factory-dev-008/questions_basic.jsonl</x:v>
      </x:c>
      <x:c r="Y772" s="14" t="n">
        <x:v>4</x:v>
      </x:c>
      <x:c r="Z772" s="6" t="str">
        <x:v>https://github.com/hagenhaeussler/Industrial-Agents-Hackathon-2026/blob/f41616590b69f3ea0c1cbfb41d6c35edd9ce53df/data/dev/proc-factory-dev-008/questions_basic.jsonl#L4</x:v>
      </x:c>
      <x:c r="AA772" s="6" t="str">
        <x:v>procedural</x:v>
      </x:c>
      <x:c r="AB772" s="6" t="str">
        <x:v>CC0-1.0</x:v>
      </x:c>
    </x:row>
    <x:row r="773" ht="72" customHeight="1">
      <x:c r="A773" s="14" t="n">
        <x:v>768</x:v>
      </x:c>
      <x:c r="B773" s="6" t="str">
        <x:v>count</x:v>
      </x:c>
      <x:c r="C773" s="6" t="str">
        <x:v>How many fire extinguisher items are on the ground floor?</x:v>
      </x:c>
      <x:c r="D773" s="6" t="str">
        <x:v>8 fire_extinguisher items
Floor level: 0</x:v>
      </x:c>
      <x:c r="E773" s="6" t="str">
        <x:v>Reference supplied</x:v>
      </x:c>
      <x:c r="F773" s="6" t="str">
        <x:v>dev</x:v>
      </x:c>
      <x:c r="G773" s="6" t="str">
        <x:v>proc-factory-dev-010</x:v>
      </x:c>
      <x:c r="H773" s="6" t="str">
        <x:v>proc-factory-dev-010-Q04</x:v>
      </x:c>
      <x:c r="I773" s="6" t="str">
        <x:v>Find and count assets</x:v>
      </x:c>
      <x:c r="J773" s="6" t="str">
        <x:v>Warm-up</x:v>
      </x:c>
      <x:c r="K773" s="6" t="str">
        <x:v>An exact integer count with the scope stated in prose.</x:v>
      </x:c>
      <x:c r="L773" s="6" t="str">
        <x:v>T02, T03</x:v>
      </x:c>
      <x:c r="M773" s="6" t="str">
        <x:v>Count all items of a requested type on one floor.</x:v>
      </x:c>
      <x:c r="N773" s="6" t="str">
        <x:v>{"count":8,"asset_type":"fire_extinguisher","floor_level":0}</x:v>
      </x:c>
      <x:c r="O773" s="6"/>
      <x:c r="P773" s="6" t="str">
        <x:v>Exact asset type and target floor. Count complete collection.</x:v>
      </x:c>
      <x:c r="Q773" s="15" t="n">
        <x:v>8</x:v>
      </x:c>
      <x:c r="R773" s="6" t="str">
        <x:v>items</x:v>
      </x:c>
      <x:c r="S773" s="16"/>
      <x:c r="T773" s="15"/>
      <x:c r="U773" s="6"/>
      <x:c r="V773" s="6"/>
      <x:c r="W773" s="6" t="str">
        <x:v>No dedicated counting tool. search_building exposes matches but returns at most 15 results.</x:v>
      </x:c>
      <x:c r="X773" s="6" t="str">
        <x:v>data/dev/proc-factory-dev-010/questions_basic.jsonl</x:v>
      </x:c>
      <x:c r="Y773" s="14" t="n">
        <x:v>4</x:v>
      </x:c>
      <x:c r="Z773" s="6" t="str">
        <x:v>https://github.com/hagenhaeussler/Industrial-Agents-Hackathon-2026/blob/f41616590b69f3ea0c1cbfb41d6c35edd9ce53df/data/dev/proc-factory-dev-010/questions_basic.jsonl#L4</x:v>
      </x:c>
      <x:c r="AA773" s="6" t="str">
        <x:v>procedural</x:v>
      </x:c>
      <x:c r="AB773" s="6" t="str">
        <x:v>CC0-1.0</x:v>
      </x:c>
    </x:row>
    <x:row r="774" ht="72" customHeight="1">
      <x:c r="A774" s="14" t="n">
        <x:v>769</x:v>
      </x:c>
      <x:c r="B774" s="6" t="str">
        <x:v>count</x:v>
      </x:c>
      <x:c r="C774" s="6" t="str">
        <x:v>How many pallet jack items are on the ground floor?</x:v>
      </x:c>
      <x:c r="D774" s="6" t="str">
        <x:v>2 pallet_jack items
Floor level: 0</x:v>
      </x:c>
      <x:c r="E774" s="6" t="str">
        <x:v>Reference supplied</x:v>
      </x:c>
      <x:c r="F774" s="6" t="str">
        <x:v>dev</x:v>
      </x:c>
      <x:c r="G774" s="6" t="str">
        <x:v>proc-factory-dev-011</x:v>
      </x:c>
      <x:c r="H774" s="6" t="str">
        <x:v>proc-factory-dev-011-Q04</x:v>
      </x:c>
      <x:c r="I774" s="6" t="str">
        <x:v>Find and count assets</x:v>
      </x:c>
      <x:c r="J774" s="6" t="str">
        <x:v>Warm-up</x:v>
      </x:c>
      <x:c r="K774" s="6" t="str">
        <x:v>An exact integer count with the scope stated in prose.</x:v>
      </x:c>
      <x:c r="L774" s="6" t="str">
        <x:v>T02, T03</x:v>
      </x:c>
      <x:c r="M774" s="6" t="str">
        <x:v>Count all items of a requested type on one floor.</x:v>
      </x:c>
      <x:c r="N774" s="6" t="str">
        <x:v>{"count":2,"asset_type":"pallet_jack","floor_level":0}</x:v>
      </x:c>
      <x:c r="O774" s="6"/>
      <x:c r="P774" s="6" t="str">
        <x:v>Exact asset type and target floor. Count complete collection.</x:v>
      </x:c>
      <x:c r="Q774" s="15" t="n">
        <x:v>2</x:v>
      </x:c>
      <x:c r="R774" s="6" t="str">
        <x:v>items</x:v>
      </x:c>
      <x:c r="S774" s="16"/>
      <x:c r="T774" s="15"/>
      <x:c r="U774" s="6"/>
      <x:c r="V774" s="6"/>
      <x:c r="W774" s="6" t="str">
        <x:v>No dedicated counting tool. search_building exposes matches but returns at most 15 results.</x:v>
      </x:c>
      <x:c r="X774" s="6" t="str">
        <x:v>data/dev/proc-factory-dev-011/questions_basic.jsonl</x:v>
      </x:c>
      <x:c r="Y774" s="14" t="n">
        <x:v>4</x:v>
      </x:c>
      <x:c r="Z774" s="6" t="str">
        <x:v>https://github.com/hagenhaeussler/Industrial-Agents-Hackathon-2026/blob/f41616590b69f3ea0c1cbfb41d6c35edd9ce53df/data/dev/proc-factory-dev-011/questions_basic.jsonl#L4</x:v>
      </x:c>
      <x:c r="AA774" s="6" t="str">
        <x:v>procedural</x:v>
      </x:c>
      <x:c r="AB774" s="6" t="str">
        <x:v>CC0-1.0</x:v>
      </x:c>
    </x:row>
    <x:row r="775" ht="72" customHeight="1">
      <x:c r="A775" s="14" t="n">
        <x:v>770</x:v>
      </x:c>
      <x:c r="B775" s="6" t="str">
        <x:v>count</x:v>
      </x:c>
      <x:c r="C775" s="6" t="str">
        <x:v>How many fridge items are on the ground floor?</x:v>
      </x:c>
      <x:c r="D775" s="6" t="str">
        <x:v>3 fridge items
Floor level: 0</x:v>
      </x:c>
      <x:c r="E775" s="6" t="str">
        <x:v>Reference supplied</x:v>
      </x:c>
      <x:c r="F775" s="6" t="str">
        <x:v>dev</x:v>
      </x:c>
      <x:c r="G775" s="6" t="str">
        <x:v>proc-factory-dev-012</x:v>
      </x:c>
      <x:c r="H775" s="6" t="str">
        <x:v>proc-factory-dev-012-Q04</x:v>
      </x:c>
      <x:c r="I775" s="6" t="str">
        <x:v>Find and count assets</x:v>
      </x:c>
      <x:c r="J775" s="6" t="str">
        <x:v>Warm-up</x:v>
      </x:c>
      <x:c r="K775" s="6" t="str">
        <x:v>An exact integer count with the scope stated in prose.</x:v>
      </x:c>
      <x:c r="L775" s="6" t="str">
        <x:v>T02, T03</x:v>
      </x:c>
      <x:c r="M775" s="6" t="str">
        <x:v>Count all items of a requested type on one floor.</x:v>
      </x:c>
      <x:c r="N775" s="6" t="str">
        <x:v>{"count":3,"asset_type":"fridge","floor_level":0}</x:v>
      </x:c>
      <x:c r="O775" s="6"/>
      <x:c r="P775" s="6" t="str">
        <x:v>Exact asset type and target floor. Count complete collection.</x:v>
      </x:c>
      <x:c r="Q775" s="15" t="n">
        <x:v>3</x:v>
      </x:c>
      <x:c r="R775" s="6" t="str">
        <x:v>items</x:v>
      </x:c>
      <x:c r="S775" s="16"/>
      <x:c r="T775" s="15"/>
      <x:c r="U775" s="6"/>
      <x:c r="V775" s="6"/>
      <x:c r="W775" s="6" t="str">
        <x:v>No dedicated counting tool. search_building exposes matches but returns at most 15 results.</x:v>
      </x:c>
      <x:c r="X775" s="6" t="str">
        <x:v>data/dev/proc-factory-dev-012/questions_basic.jsonl</x:v>
      </x:c>
      <x:c r="Y775" s="14" t="n">
        <x:v>4</x:v>
      </x:c>
      <x:c r="Z775" s="6" t="str">
        <x:v>https://github.com/hagenhaeussler/Industrial-Agents-Hackathon-2026/blob/f41616590b69f3ea0c1cbfb41d6c35edd9ce53df/data/dev/proc-factory-dev-012/questions_basic.jsonl#L4</x:v>
      </x:c>
      <x:c r="AA775" s="6" t="str">
        <x:v>procedural</x:v>
      </x:c>
      <x:c r="AB775" s="6" t="str">
        <x:v>CC0-1.0</x:v>
      </x:c>
    </x:row>
    <x:row r="776" ht="72" customHeight="1">
      <x:c r="A776" s="14" t="n">
        <x:v>771</x:v>
      </x:c>
      <x:c r="B776" s="6" t="str">
        <x:v>count</x:v>
      </x:c>
      <x:c r="C776" s="6" t="str">
        <x:v>How many dining chair items are on the ground floor?</x:v>
      </x:c>
      <x:c r="D776" s="6" t="str">
        <x:v>3 dining_chair items
Floor level: 0</x:v>
      </x:c>
      <x:c r="E776" s="6" t="str">
        <x:v>Reference supplied</x:v>
      </x:c>
      <x:c r="F776" s="6" t="str">
        <x:v>dev</x:v>
      </x:c>
      <x:c r="G776" s="6" t="str">
        <x:v>resplan-14509</x:v>
      </x:c>
      <x:c r="H776" s="6" t="str">
        <x:v>resplan-14509-Q04</x:v>
      </x:c>
      <x:c r="I776" s="6" t="str">
        <x:v>Find and count assets</x:v>
      </x:c>
      <x:c r="J776" s="6" t="str">
        <x:v>Warm-up</x:v>
      </x:c>
      <x:c r="K776" s="6" t="str">
        <x:v>An exact integer count with the scope stated in prose.</x:v>
      </x:c>
      <x:c r="L776" s="6" t="str">
        <x:v>T02, T03</x:v>
      </x:c>
      <x:c r="M776" s="6" t="str">
        <x:v>Count all items of a requested type on one floor.</x:v>
      </x:c>
      <x:c r="N776" s="6" t="str">
        <x:v>{"count":3,"asset_type":"dining_chair","floor_level":0}</x:v>
      </x:c>
      <x:c r="O776" s="6"/>
      <x:c r="P776" s="6" t="str">
        <x:v>Exact asset type and target floor. Count complete collection.</x:v>
      </x:c>
      <x:c r="Q776" s="15" t="n">
        <x:v>3</x:v>
      </x:c>
      <x:c r="R776" s="6" t="str">
        <x:v>items</x:v>
      </x:c>
      <x:c r="S776" s="16"/>
      <x:c r="T776" s="15"/>
      <x:c r="U776" s="6"/>
      <x:c r="V776" s="6"/>
      <x:c r="W776" s="6" t="str">
        <x:v>No dedicated counting tool. search_building exposes matches but returns at most 15 results.</x:v>
      </x:c>
      <x:c r="X776" s="6" t="str">
        <x:v>data/dev/resplan-14509/questions_basic.jsonl</x:v>
      </x:c>
      <x:c r="Y776" s="14" t="n">
        <x:v>4</x:v>
      </x:c>
      <x:c r="Z776" s="6" t="str">
        <x:v>https://github.com/hagenhaeussler/Industrial-Agents-Hackathon-2026/blob/f41616590b69f3ea0c1cbfb41d6c35edd9ce53df/data/dev/resplan-14509/questions_basic.jsonl#L4</x:v>
      </x:c>
      <x:c r="AA776" s="6" t="str">
        <x:v>resplan</x:v>
      </x:c>
      <x:c r="AB776" s="6" t="str">
        <x:v>CC-BY-4.0</x:v>
      </x:c>
    </x:row>
    <x:row r="777" ht="72" customHeight="1">
      <x:c r="A777" s="14" t="n">
        <x:v>772</x:v>
      </x:c>
      <x:c r="B777" s="6" t="str">
        <x:v>count</x:v>
      </x:c>
      <x:c r="C777" s="6" t="str">
        <x:v>How many outdoor table items are on the ground floor?</x:v>
      </x:c>
      <x:c r="D777" s="6" t="str">
        <x:v>2 outdoor_table items
Floor level: 0</x:v>
      </x:c>
      <x:c r="E777" s="6" t="str">
        <x:v>Reference supplied</x:v>
      </x:c>
      <x:c r="F777" s="6" t="str">
        <x:v>dev</x:v>
      </x:c>
      <x:c r="G777" s="6" t="str">
        <x:v>resplan-1465</x:v>
      </x:c>
      <x:c r="H777" s="6" t="str">
        <x:v>resplan-1465-Q04</x:v>
      </x:c>
      <x:c r="I777" s="6" t="str">
        <x:v>Find and count assets</x:v>
      </x:c>
      <x:c r="J777" s="6" t="str">
        <x:v>Warm-up</x:v>
      </x:c>
      <x:c r="K777" s="6" t="str">
        <x:v>An exact integer count with the scope stated in prose.</x:v>
      </x:c>
      <x:c r="L777" s="6" t="str">
        <x:v>T02, T03</x:v>
      </x:c>
      <x:c r="M777" s="6" t="str">
        <x:v>Count all items of a requested type on one floor.</x:v>
      </x:c>
      <x:c r="N777" s="6" t="str">
        <x:v>{"count":2,"asset_type":"outdoor_table","floor_level":0}</x:v>
      </x:c>
      <x:c r="O777" s="6"/>
      <x:c r="P777" s="6" t="str">
        <x:v>Exact asset type and target floor. Count complete collection.</x:v>
      </x:c>
      <x:c r="Q777" s="15" t="n">
        <x:v>2</x:v>
      </x:c>
      <x:c r="R777" s="6" t="str">
        <x:v>items</x:v>
      </x:c>
      <x:c r="S777" s="16"/>
      <x:c r="T777" s="15"/>
      <x:c r="U777" s="6"/>
      <x:c r="V777" s="6"/>
      <x:c r="W777" s="6" t="str">
        <x:v>No dedicated counting tool. search_building exposes matches but returns at most 15 results.</x:v>
      </x:c>
      <x:c r="X777" s="6" t="str">
        <x:v>data/dev/resplan-1465/questions_basic.jsonl</x:v>
      </x:c>
      <x:c r="Y777" s="14" t="n">
        <x:v>4</x:v>
      </x:c>
      <x:c r="Z777" s="6" t="str">
        <x:v>https://github.com/hagenhaeussler/Industrial-Agents-Hackathon-2026/blob/f41616590b69f3ea0c1cbfb41d6c35edd9ce53df/data/dev/resplan-1465/questions_basic.jsonl#L4</x:v>
      </x:c>
      <x:c r="AA777" s="6" t="str">
        <x:v>resplan</x:v>
      </x:c>
      <x:c r="AB777" s="6" t="str">
        <x:v>CC-BY-4.0</x:v>
      </x:c>
    </x:row>
    <x:row r="778" ht="72" customHeight="1">
      <x:c r="A778" s="14" t="n">
        <x:v>773</x:v>
      </x:c>
      <x:c r="B778" s="6" t="str">
        <x:v>count</x:v>
      </x:c>
      <x:c r="C778" s="6" t="str">
        <x:v>How many nightstand items are on the ground floor?</x:v>
      </x:c>
      <x:c r="D778" s="6" t="str">
        <x:v>2 nightstand items
Floor level: 0</x:v>
      </x:c>
      <x:c r="E778" s="6" t="str">
        <x:v>Reference supplied</x:v>
      </x:c>
      <x:c r="F778" s="6" t="str">
        <x:v>dev</x:v>
      </x:c>
      <x:c r="G778" s="6" t="str">
        <x:v>resplan-15179</x:v>
      </x:c>
      <x:c r="H778" s="6" t="str">
        <x:v>resplan-15179-Q04</x:v>
      </x:c>
      <x:c r="I778" s="6" t="str">
        <x:v>Find and count assets</x:v>
      </x:c>
      <x:c r="J778" s="6" t="str">
        <x:v>Warm-up</x:v>
      </x:c>
      <x:c r="K778" s="6" t="str">
        <x:v>An exact integer count with the scope stated in prose.</x:v>
      </x:c>
      <x:c r="L778" s="6" t="str">
        <x:v>T02, T03</x:v>
      </x:c>
      <x:c r="M778" s="6" t="str">
        <x:v>Count all items of a requested type on one floor.</x:v>
      </x:c>
      <x:c r="N778" s="6" t="str">
        <x:v>{"count":2,"asset_type":"nightstand","floor_level":0}</x:v>
      </x:c>
      <x:c r="O778" s="6"/>
      <x:c r="P778" s="6" t="str">
        <x:v>Exact asset type and target floor. Count complete collection.</x:v>
      </x:c>
      <x:c r="Q778" s="15" t="n">
        <x:v>2</x:v>
      </x:c>
      <x:c r="R778" s="6" t="str">
        <x:v>items</x:v>
      </x:c>
      <x:c r="S778" s="16"/>
      <x:c r="T778" s="15"/>
      <x:c r="U778" s="6"/>
      <x:c r="V778" s="6"/>
      <x:c r="W778" s="6" t="str">
        <x:v>No dedicated counting tool. search_building exposes matches but returns at most 15 results.</x:v>
      </x:c>
      <x:c r="X778" s="6" t="str">
        <x:v>data/dev/resplan-15179/questions_basic.jsonl</x:v>
      </x:c>
      <x:c r="Y778" s="14" t="n">
        <x:v>4</x:v>
      </x:c>
      <x:c r="Z778" s="6" t="str">
        <x:v>https://github.com/hagenhaeussler/Industrial-Agents-Hackathon-2026/blob/f41616590b69f3ea0c1cbfb41d6c35edd9ce53df/data/dev/resplan-15179/questions_basic.jsonl#L4</x:v>
      </x:c>
      <x:c r="AA778" s="6" t="str">
        <x:v>resplan</x:v>
      </x:c>
      <x:c r="AB778" s="6" t="str">
        <x:v>CC-BY-4.0</x:v>
      </x:c>
    </x:row>
    <x:row r="779" ht="72" customHeight="1">
      <x:c r="A779" s="14" t="n">
        <x:v>774</x:v>
      </x:c>
      <x:c r="B779" s="6" t="str">
        <x:v>count</x:v>
      </x:c>
      <x:c r="C779" s="6" t="str">
        <x:v>How many dining chair items are on the ground floor?</x:v>
      </x:c>
      <x:c r="D779" s="6" t="str">
        <x:v>4 dining_chair items
Floor level: 0</x:v>
      </x:c>
      <x:c r="E779" s="6" t="str">
        <x:v>Reference supplied</x:v>
      </x:c>
      <x:c r="F779" s="6" t="str">
        <x:v>dev</x:v>
      </x:c>
      <x:c r="G779" s="6" t="str">
        <x:v>resplan-16154</x:v>
      </x:c>
      <x:c r="H779" s="6" t="str">
        <x:v>resplan-16154-Q04</x:v>
      </x:c>
      <x:c r="I779" s="6" t="str">
        <x:v>Find and count assets</x:v>
      </x:c>
      <x:c r="J779" s="6" t="str">
        <x:v>Warm-up</x:v>
      </x:c>
      <x:c r="K779" s="6" t="str">
        <x:v>An exact integer count with the scope stated in prose.</x:v>
      </x:c>
      <x:c r="L779" s="6" t="str">
        <x:v>T02, T03</x:v>
      </x:c>
      <x:c r="M779" s="6" t="str">
        <x:v>Count all items of a requested type on one floor.</x:v>
      </x:c>
      <x:c r="N779" s="6" t="str">
        <x:v>{"count":4,"asset_type":"dining_chair","floor_level":0}</x:v>
      </x:c>
      <x:c r="O779" s="6"/>
      <x:c r="P779" s="6" t="str">
        <x:v>Exact asset type and target floor. Count complete collection.</x:v>
      </x:c>
      <x:c r="Q779" s="15" t="n">
        <x:v>4</x:v>
      </x:c>
      <x:c r="R779" s="6" t="str">
        <x:v>items</x:v>
      </x:c>
      <x:c r="S779" s="16"/>
      <x:c r="T779" s="15"/>
      <x:c r="U779" s="6"/>
      <x:c r="V779" s="6"/>
      <x:c r="W779" s="6" t="str">
        <x:v>No dedicated counting tool. search_building exposes matches but returns at most 15 results.</x:v>
      </x:c>
      <x:c r="X779" s="6" t="str">
        <x:v>data/dev/resplan-16154/questions_basic.jsonl</x:v>
      </x:c>
      <x:c r="Y779" s="14" t="n">
        <x:v>4</x:v>
      </x:c>
      <x:c r="Z779" s="6" t="str">
        <x:v>https://github.com/hagenhaeussler/Industrial-Agents-Hackathon-2026/blob/f41616590b69f3ea0c1cbfb41d6c35edd9ce53df/data/dev/resplan-16154/questions_basic.jsonl#L4</x:v>
      </x:c>
      <x:c r="AA779" s="6" t="str">
        <x:v>resplan</x:v>
      </x:c>
      <x:c r="AB779" s="6" t="str">
        <x:v>CC-BY-4.0</x:v>
      </x:c>
    </x:row>
    <x:row r="780" ht="72" customHeight="1">
      <x:c r="A780" s="14" t="n">
        <x:v>775</x:v>
      </x:c>
      <x:c r="B780" s="6" t="str">
        <x:v>count</x:v>
      </x:c>
      <x:c r="C780" s="6" t="str">
        <x:v>How many sink items are on the ground floor?</x:v>
      </x:c>
      <x:c r="D780" s="6" t="str">
        <x:v>3 sink items
Floor level: 0</x:v>
      </x:c>
      <x:c r="E780" s="6" t="str">
        <x:v>Reference supplied</x:v>
      </x:c>
      <x:c r="F780" s="6" t="str">
        <x:v>dev</x:v>
      </x:c>
      <x:c r="G780" s="6" t="str">
        <x:v>resplan-1677</x:v>
      </x:c>
      <x:c r="H780" s="6" t="str">
        <x:v>resplan-1677-Q04</x:v>
      </x:c>
      <x:c r="I780" s="6" t="str">
        <x:v>Find and count assets</x:v>
      </x:c>
      <x:c r="J780" s="6" t="str">
        <x:v>Warm-up</x:v>
      </x:c>
      <x:c r="K780" s="6" t="str">
        <x:v>An exact integer count with the scope stated in prose.</x:v>
      </x:c>
      <x:c r="L780" s="6" t="str">
        <x:v>T02, T03</x:v>
      </x:c>
      <x:c r="M780" s="6" t="str">
        <x:v>Count all items of a requested type on one floor.</x:v>
      </x:c>
      <x:c r="N780" s="6" t="str">
        <x:v>{"count":3,"asset_type":"sink","floor_level":0}</x:v>
      </x:c>
      <x:c r="O780" s="6"/>
      <x:c r="P780" s="6" t="str">
        <x:v>Exact asset type and target floor. Count complete collection.</x:v>
      </x:c>
      <x:c r="Q780" s="15" t="n">
        <x:v>3</x:v>
      </x:c>
      <x:c r="R780" s="6" t="str">
        <x:v>items</x:v>
      </x:c>
      <x:c r="S780" s="16"/>
      <x:c r="T780" s="15"/>
      <x:c r="U780" s="6"/>
      <x:c r="V780" s="6"/>
      <x:c r="W780" s="6" t="str">
        <x:v>No dedicated counting tool. search_building exposes matches but returns at most 15 results.</x:v>
      </x:c>
      <x:c r="X780" s="6" t="str">
        <x:v>data/dev/resplan-1677/questions_basic.jsonl</x:v>
      </x:c>
      <x:c r="Y780" s="14" t="n">
        <x:v>4</x:v>
      </x:c>
      <x:c r="Z780" s="6" t="str">
        <x:v>https://github.com/hagenhaeussler/Industrial-Agents-Hackathon-2026/blob/f41616590b69f3ea0c1cbfb41d6c35edd9ce53df/data/dev/resplan-1677/questions_basic.jsonl#L4</x:v>
      </x:c>
      <x:c r="AA780" s="6" t="str">
        <x:v>resplan</x:v>
      </x:c>
      <x:c r="AB780" s="6" t="str">
        <x:v>CC-BY-4.0</x:v>
      </x:c>
    </x:row>
    <x:row r="781" ht="72" customHeight="1">
      <x:c r="A781" s="14" t="n">
        <x:v>776</x:v>
      </x:c>
      <x:c r="B781" s="6" t="str">
        <x:v>count</x:v>
      </x:c>
      <x:c r="C781" s="6" t="str">
        <x:v>How many wardrobe items are on the ground floor?</x:v>
      </x:c>
      <x:c r="D781" s="6" t="str">
        <x:v>2 wardrobe items
Floor level: 0</x:v>
      </x:c>
      <x:c r="E781" s="6" t="str">
        <x:v>Reference supplied</x:v>
      </x:c>
      <x:c r="F781" s="6" t="str">
        <x:v>dev</x:v>
      </x:c>
      <x:c r="G781" s="6" t="str">
        <x:v>resplan-3832</x:v>
      </x:c>
      <x:c r="H781" s="6" t="str">
        <x:v>resplan-3832-Q04</x:v>
      </x:c>
      <x:c r="I781" s="6" t="str">
        <x:v>Find and count assets</x:v>
      </x:c>
      <x:c r="J781" s="6" t="str">
        <x:v>Warm-up</x:v>
      </x:c>
      <x:c r="K781" s="6" t="str">
        <x:v>An exact integer count with the scope stated in prose.</x:v>
      </x:c>
      <x:c r="L781" s="6" t="str">
        <x:v>T02, T03</x:v>
      </x:c>
      <x:c r="M781" s="6" t="str">
        <x:v>Count all items of a requested type on one floor.</x:v>
      </x:c>
      <x:c r="N781" s="6" t="str">
        <x:v>{"count":2,"asset_type":"wardrobe","floor_level":0}</x:v>
      </x:c>
      <x:c r="O781" s="6"/>
      <x:c r="P781" s="6" t="str">
        <x:v>Exact asset type and target floor. Count complete collection.</x:v>
      </x:c>
      <x:c r="Q781" s="15" t="n">
        <x:v>2</x:v>
      </x:c>
      <x:c r="R781" s="6" t="str">
        <x:v>items</x:v>
      </x:c>
      <x:c r="S781" s="16"/>
      <x:c r="T781" s="15"/>
      <x:c r="U781" s="6"/>
      <x:c r="V781" s="6"/>
      <x:c r="W781" s="6" t="str">
        <x:v>No dedicated counting tool. search_building exposes matches but returns at most 15 results.</x:v>
      </x:c>
      <x:c r="X781" s="6" t="str">
        <x:v>data/dev/resplan-3832/questions_basic.jsonl</x:v>
      </x:c>
      <x:c r="Y781" s="14" t="n">
        <x:v>4</x:v>
      </x:c>
      <x:c r="Z781" s="6" t="str">
        <x:v>https://github.com/hagenhaeussler/Industrial-Agents-Hackathon-2026/blob/f41616590b69f3ea0c1cbfb41d6c35edd9ce53df/data/dev/resplan-3832/questions_basic.jsonl#L4</x:v>
      </x:c>
      <x:c r="AA781" s="6" t="str">
        <x:v>resplan</x:v>
      </x:c>
      <x:c r="AB781" s="6" t="str">
        <x:v>CC-BY-4.0</x:v>
      </x:c>
    </x:row>
    <x:row r="782" ht="72" customHeight="1">
      <x:c r="A782" s="14" t="n">
        <x:v>777</x:v>
      </x:c>
      <x:c r="B782" s="6" t="str">
        <x:v>count</x:v>
      </x:c>
      <x:c r="C782" s="6" t="str">
        <x:v>How many dining chair items are on the ground floor?</x:v>
      </x:c>
      <x:c r="D782" s="6" t="str">
        <x:v>3 dining_chair items
Floor level: 0</x:v>
      </x:c>
      <x:c r="E782" s="6" t="str">
        <x:v>Reference supplied</x:v>
      </x:c>
      <x:c r="F782" s="6" t="str">
        <x:v>dev</x:v>
      </x:c>
      <x:c r="G782" s="6" t="str">
        <x:v>resplan-439</x:v>
      </x:c>
      <x:c r="H782" s="6" t="str">
        <x:v>resplan-439-Q04</x:v>
      </x:c>
      <x:c r="I782" s="6" t="str">
        <x:v>Find and count assets</x:v>
      </x:c>
      <x:c r="J782" s="6" t="str">
        <x:v>Warm-up</x:v>
      </x:c>
      <x:c r="K782" s="6" t="str">
        <x:v>An exact integer count with the scope stated in prose.</x:v>
      </x:c>
      <x:c r="L782" s="6" t="str">
        <x:v>T02, T03</x:v>
      </x:c>
      <x:c r="M782" s="6" t="str">
        <x:v>Count all items of a requested type on one floor.</x:v>
      </x:c>
      <x:c r="N782" s="6" t="str">
        <x:v>{"count":3,"asset_type":"dining_chair","floor_level":0}</x:v>
      </x:c>
      <x:c r="O782" s="6"/>
      <x:c r="P782" s="6" t="str">
        <x:v>Exact asset type and target floor. Count complete collection.</x:v>
      </x:c>
      <x:c r="Q782" s="15" t="n">
        <x:v>3</x:v>
      </x:c>
      <x:c r="R782" s="6" t="str">
        <x:v>items</x:v>
      </x:c>
      <x:c r="S782" s="16"/>
      <x:c r="T782" s="15"/>
      <x:c r="U782" s="6"/>
      <x:c r="V782" s="6"/>
      <x:c r="W782" s="6" t="str">
        <x:v>No dedicated counting tool. search_building exposes matches but returns at most 15 results.</x:v>
      </x:c>
      <x:c r="X782" s="6" t="str">
        <x:v>data/dev/resplan-439/questions_basic.jsonl</x:v>
      </x:c>
      <x:c r="Y782" s="14" t="n">
        <x:v>4</x:v>
      </x:c>
      <x:c r="Z782" s="6" t="str">
        <x:v>https://github.com/hagenhaeussler/Industrial-Agents-Hackathon-2026/blob/f41616590b69f3ea0c1cbfb41d6c35edd9ce53df/data/dev/resplan-439/questions_basic.jsonl#L4</x:v>
      </x:c>
      <x:c r="AA782" s="6" t="str">
        <x:v>resplan</x:v>
      </x:c>
      <x:c r="AB782" s="6" t="str">
        <x:v>CC-BY-4.0</x:v>
      </x:c>
    </x:row>
    <x:row r="783" ht="72" customHeight="1">
      <x:c r="A783" s="14" t="n">
        <x:v>778</x:v>
      </x:c>
      <x:c r="B783" s="6" t="str">
        <x:v>count</x:v>
      </x:c>
      <x:c r="C783" s="6" t="str">
        <x:v>How many outdoor chair items are on the ground floor?</x:v>
      </x:c>
      <x:c r="D783" s="6" t="str">
        <x:v>2 outdoor_chair items
Floor level: 0</x:v>
      </x:c>
      <x:c r="E783" s="6" t="str">
        <x:v>Reference supplied</x:v>
      </x:c>
      <x:c r="F783" s="6" t="str">
        <x:v>dev</x:v>
      </x:c>
      <x:c r="G783" s="6" t="str">
        <x:v>resplan-7336</x:v>
      </x:c>
      <x:c r="H783" s="6" t="str">
        <x:v>resplan-7336-Q04</x:v>
      </x:c>
      <x:c r="I783" s="6" t="str">
        <x:v>Find and count assets</x:v>
      </x:c>
      <x:c r="J783" s="6" t="str">
        <x:v>Warm-up</x:v>
      </x:c>
      <x:c r="K783" s="6" t="str">
        <x:v>An exact integer count with the scope stated in prose.</x:v>
      </x:c>
      <x:c r="L783" s="6" t="str">
        <x:v>T02, T03</x:v>
      </x:c>
      <x:c r="M783" s="6" t="str">
        <x:v>Count all items of a requested type on one floor.</x:v>
      </x:c>
      <x:c r="N783" s="6" t="str">
        <x:v>{"count":2,"asset_type":"outdoor_chair","floor_level":0}</x:v>
      </x:c>
      <x:c r="O783" s="6"/>
      <x:c r="P783" s="6" t="str">
        <x:v>Exact asset type and target floor. Count complete collection.</x:v>
      </x:c>
      <x:c r="Q783" s="15" t="n">
        <x:v>2</x:v>
      </x:c>
      <x:c r="R783" s="6" t="str">
        <x:v>items</x:v>
      </x:c>
      <x:c r="S783" s="16"/>
      <x:c r="T783" s="15"/>
      <x:c r="U783" s="6"/>
      <x:c r="V783" s="6"/>
      <x:c r="W783" s="6" t="str">
        <x:v>No dedicated counting tool. search_building exposes matches but returns at most 15 results.</x:v>
      </x:c>
      <x:c r="X783" s="6" t="str">
        <x:v>data/dev/resplan-7336/questions_basic.jsonl</x:v>
      </x:c>
      <x:c r="Y783" s="14" t="n">
        <x:v>4</x:v>
      </x:c>
      <x:c r="Z783" s="6" t="str">
        <x:v>https://github.com/hagenhaeussler/Industrial-Agents-Hackathon-2026/blob/f41616590b69f3ea0c1cbfb41d6c35edd9ce53df/data/dev/resplan-7336/questions_basic.jsonl#L4</x:v>
      </x:c>
      <x:c r="AA783" s="6" t="str">
        <x:v>resplan</x:v>
      </x:c>
      <x:c r="AB783" s="6" t="str">
        <x:v>CC-BY-4.0</x:v>
      </x:c>
    </x:row>
    <x:row r="784" ht="72" customHeight="1">
      <x:c r="A784" s="14" t="n">
        <x:v>779</x:v>
      </x:c>
      <x:c r="B784" s="6" t="str">
        <x:v>count</x:v>
      </x:c>
      <x:c r="C784" s="6" t="str">
        <x:v>How many wardrobe items are on the ground floor?</x:v>
      </x:c>
      <x:c r="D784" s="6" t="str">
        <x:v>2 wardrobe items
Floor level: 0</x:v>
      </x:c>
      <x:c r="E784" s="6" t="str">
        <x:v>Reference supplied</x:v>
      </x:c>
      <x:c r="F784" s="6" t="str">
        <x:v>dev</x:v>
      </x:c>
      <x:c r="G784" s="6" t="str">
        <x:v>resplan-8169</x:v>
      </x:c>
      <x:c r="H784" s="6" t="str">
        <x:v>resplan-8169-Q04</x:v>
      </x:c>
      <x:c r="I784" s="6" t="str">
        <x:v>Find and count assets</x:v>
      </x:c>
      <x:c r="J784" s="6" t="str">
        <x:v>Warm-up</x:v>
      </x:c>
      <x:c r="K784" s="6" t="str">
        <x:v>An exact integer count with the scope stated in prose.</x:v>
      </x:c>
      <x:c r="L784" s="6" t="str">
        <x:v>T02, T03</x:v>
      </x:c>
      <x:c r="M784" s="6" t="str">
        <x:v>Count all items of a requested type on one floor.</x:v>
      </x:c>
      <x:c r="N784" s="6" t="str">
        <x:v>{"count":2,"asset_type":"wardrobe","floor_level":0}</x:v>
      </x:c>
      <x:c r="O784" s="6"/>
      <x:c r="P784" s="6" t="str">
        <x:v>Exact asset type and target floor. Count complete collection.</x:v>
      </x:c>
      <x:c r="Q784" s="15" t="n">
        <x:v>2</x:v>
      </x:c>
      <x:c r="R784" s="6" t="str">
        <x:v>items</x:v>
      </x:c>
      <x:c r="S784" s="16"/>
      <x:c r="T784" s="15"/>
      <x:c r="U784" s="6"/>
      <x:c r="V784" s="6"/>
      <x:c r="W784" s="6" t="str">
        <x:v>No dedicated counting tool. search_building exposes matches but returns at most 15 results.</x:v>
      </x:c>
      <x:c r="X784" s="6" t="str">
        <x:v>data/dev/resplan-8169/questions_basic.jsonl</x:v>
      </x:c>
      <x:c r="Y784" s="14" t="n">
        <x:v>4</x:v>
      </x:c>
      <x:c r="Z784" s="6" t="str">
        <x:v>https://github.com/hagenhaeussler/Industrial-Agents-Hackathon-2026/blob/f41616590b69f3ea0c1cbfb41d6c35edd9ce53df/data/dev/resplan-8169/questions_basic.jsonl#L4</x:v>
      </x:c>
      <x:c r="AA784" s="6" t="str">
        <x:v>resplan</x:v>
      </x:c>
      <x:c r="AB784" s="6" t="str">
        <x:v>CC-BY-4.0</x:v>
      </x:c>
    </x:row>
    <x:row r="785" ht="72" customHeight="1">
      <x:c r="A785" s="14" t="n">
        <x:v>780</x:v>
      </x:c>
      <x:c r="B785" s="6" t="str">
        <x:v>count</x:v>
      </x:c>
      <x:c r="C785" s="6" t="str">
        <x:v>How many sink items are on the ground floor?</x:v>
      </x:c>
      <x:c r="D785" s="6" t="str">
        <x:v>2 sink items
Floor level: 0</x:v>
      </x:c>
      <x:c r="E785" s="6" t="str">
        <x:v>Reference supplied</x:v>
      </x:c>
      <x:c r="F785" s="6" t="str">
        <x:v>dev</x:v>
      </x:c>
      <x:c r="G785" s="6" t="str">
        <x:v>resplan-8269</x:v>
      </x:c>
      <x:c r="H785" s="6" t="str">
        <x:v>resplan-8269-Q04</x:v>
      </x:c>
      <x:c r="I785" s="6" t="str">
        <x:v>Find and count assets</x:v>
      </x:c>
      <x:c r="J785" s="6" t="str">
        <x:v>Warm-up</x:v>
      </x:c>
      <x:c r="K785" s="6" t="str">
        <x:v>An exact integer count with the scope stated in prose.</x:v>
      </x:c>
      <x:c r="L785" s="6" t="str">
        <x:v>T02, T03</x:v>
      </x:c>
      <x:c r="M785" s="6" t="str">
        <x:v>Count all items of a requested type on one floor.</x:v>
      </x:c>
      <x:c r="N785" s="6" t="str">
        <x:v>{"count":2,"asset_type":"sink","floor_level":0}</x:v>
      </x:c>
      <x:c r="O785" s="6"/>
      <x:c r="P785" s="6" t="str">
        <x:v>Exact asset type and target floor. Count complete collection.</x:v>
      </x:c>
      <x:c r="Q785" s="15" t="n">
        <x:v>2</x:v>
      </x:c>
      <x:c r="R785" s="6" t="str">
        <x:v>items</x:v>
      </x:c>
      <x:c r="S785" s="16"/>
      <x:c r="T785" s="15"/>
      <x:c r="U785" s="6"/>
      <x:c r="V785" s="6"/>
      <x:c r="W785" s="6" t="str">
        <x:v>No dedicated counting tool. search_building exposes matches but returns at most 15 results.</x:v>
      </x:c>
      <x:c r="X785" s="6" t="str">
        <x:v>data/dev/resplan-8269/questions_basic.jsonl</x:v>
      </x:c>
      <x:c r="Y785" s="14" t="n">
        <x:v>4</x:v>
      </x:c>
      <x:c r="Z785" s="6" t="str">
        <x:v>https://github.com/hagenhaeussler/Industrial-Agents-Hackathon-2026/blob/f41616590b69f3ea0c1cbfb41d6c35edd9ce53df/data/dev/resplan-8269/questions_basic.jsonl#L4</x:v>
      </x:c>
      <x:c r="AA785" s="6" t="str">
        <x:v>resplan</x:v>
      </x:c>
      <x:c r="AB785" s="6" t="str">
        <x:v>CC-BY-4.0</x:v>
      </x:c>
    </x:row>
    <x:row r="786" ht="72" customHeight="1">
      <x:c r="A786" s="14" t="n">
        <x:v>781</x:v>
      </x:c>
      <x:c r="B786" s="6" t="str">
        <x:v>count</x:v>
      </x:c>
      <x:c r="C786" s="6" t="str">
        <x:v>How many bookshelf items are on the ground floor?</x:v>
      </x:c>
      <x:c r="D786" s="6" t="str">
        <x:v>4 bookshelf items
Floor level: 0</x:v>
      </x:c>
      <x:c r="E786" s="6" t="str">
        <x:v>Reference supplied</x:v>
      </x:c>
      <x:c r="F786" s="6" t="str">
        <x:v>dev</x:v>
      </x:c>
      <x:c r="G786" s="6" t="str">
        <x:v>swiss-1689</x:v>
      </x:c>
      <x:c r="H786" s="6" t="str">
        <x:v>swiss-1689-Q01</x:v>
      </x:c>
      <x:c r="I786" s="6" t="str">
        <x:v>Find and count assets</x:v>
      </x:c>
      <x:c r="J786" s="6" t="str">
        <x:v>Warm-up</x:v>
      </x:c>
      <x:c r="K786" s="6" t="str">
        <x:v>An exact integer count with the scope stated in prose.</x:v>
      </x:c>
      <x:c r="L786" s="6" t="str">
        <x:v>T02, T03</x:v>
      </x:c>
      <x:c r="M786" s="6" t="str">
        <x:v>Count all items of a requested type on one floor.</x:v>
      </x:c>
      <x:c r="N786" s="6" t="str">
        <x:v>{"count":4,"asset_type":"bookshelf","floor_level":0}</x:v>
      </x:c>
      <x:c r="O786" s="6"/>
      <x:c r="P786" s="6" t="str">
        <x:v>Exact asset type and target floor. Count complete collection.</x:v>
      </x:c>
      <x:c r="Q786" s="15" t="n">
        <x:v>4</x:v>
      </x:c>
      <x:c r="R786" s="6" t="str">
        <x:v>items</x:v>
      </x:c>
      <x:c r="S786" s="16"/>
      <x:c r="T786" s="15"/>
      <x:c r="U786" s="6"/>
      <x:c r="V786" s="6"/>
      <x:c r="W786" s="6" t="str">
        <x:v>No dedicated counting tool. search_building exposes matches but returns at most 15 results.</x:v>
      </x:c>
      <x:c r="X786" s="6" t="str">
        <x:v>data/dev/swiss-1689/questions_basic.jsonl</x:v>
      </x:c>
      <x:c r="Y786" s="14" t="n">
        <x:v>1</x:v>
      </x:c>
      <x:c r="Z786" s="6" t="str">
        <x:v>https://github.com/hagenhaeussler/Industrial-Agents-Hackathon-2026/blob/f41616590b69f3ea0c1cbfb41d6c35edd9ce53df/data/dev/swiss-1689/questions_basic.jsonl#L1</x:v>
      </x:c>
      <x:c r="AA786" s="6" t="str">
        <x:v>swiss_dwellings</x:v>
      </x:c>
      <x:c r="AB786" s="6" t="str">
        <x:v>CC-BY-4.0</x:v>
      </x:c>
    </x:row>
    <x:row r="787" ht="72" customHeight="1">
      <x:c r="A787" s="14" t="n">
        <x:v>782</x:v>
      </x:c>
      <x:c r="B787" s="6" t="str">
        <x:v>count</x:v>
      </x:c>
      <x:c r="C787" s="6" t="str">
        <x:v>How many stove items are on the floor 1?</x:v>
      </x:c>
      <x:c r="D787" s="6" t="str">
        <x:v>4 stove items
Floor level: 1</x:v>
      </x:c>
      <x:c r="E787" s="6" t="str">
        <x:v>Reference supplied</x:v>
      </x:c>
      <x:c r="F787" s="6" t="str">
        <x:v>dev</x:v>
      </x:c>
      <x:c r="G787" s="6" t="str">
        <x:v>swiss-1785</x:v>
      </x:c>
      <x:c r="H787" s="6" t="str">
        <x:v>swiss-1785-Q02</x:v>
      </x:c>
      <x:c r="I787" s="6" t="str">
        <x:v>Find and count assets</x:v>
      </x:c>
      <x:c r="J787" s="6" t="str">
        <x:v>Warm-up</x:v>
      </x:c>
      <x:c r="K787" s="6" t="str">
        <x:v>An exact integer count with the scope stated in prose.</x:v>
      </x:c>
      <x:c r="L787" s="6" t="str">
        <x:v>T02, T03</x:v>
      </x:c>
      <x:c r="M787" s="6" t="str">
        <x:v>Count all items of a requested type on one floor.</x:v>
      </x:c>
      <x:c r="N787" s="6" t="str">
        <x:v>{"count":4,"asset_type":"stove","floor_level":1}</x:v>
      </x:c>
      <x:c r="O787" s="6"/>
      <x:c r="P787" s="6" t="str">
        <x:v>Exact asset type and target floor. Count complete collection.</x:v>
      </x:c>
      <x:c r="Q787" s="15" t="n">
        <x:v>4</x:v>
      </x:c>
      <x:c r="R787" s="6" t="str">
        <x:v>items</x:v>
      </x:c>
      <x:c r="S787" s="16"/>
      <x:c r="T787" s="15"/>
      <x:c r="U787" s="6"/>
      <x:c r="V787" s="6"/>
      <x:c r="W787" s="6" t="str">
        <x:v>No dedicated counting tool. search_building exposes matches but returns at most 15 results.</x:v>
      </x:c>
      <x:c r="X787" s="6" t="str">
        <x:v>data/dev/swiss-1785/questions_basic.jsonl</x:v>
      </x:c>
      <x:c r="Y787" s="14" t="n">
        <x:v>2</x:v>
      </x:c>
      <x:c r="Z787" s="6" t="str">
        <x:v>https://github.com/hagenhaeussler/Industrial-Agents-Hackathon-2026/blob/f41616590b69f3ea0c1cbfb41d6c35edd9ce53df/data/dev/swiss-1785/questions_basic.jsonl#L2</x:v>
      </x:c>
      <x:c r="AA787" s="6" t="str">
        <x:v>swiss_dwellings</x:v>
      </x:c>
      <x:c r="AB787" s="6" t="str">
        <x:v>CC-BY-4.0</x:v>
      </x:c>
    </x:row>
    <x:row r="788" ht="72" customHeight="1">
      <x:c r="A788" s="14" t="n">
        <x:v>783</x:v>
      </x:c>
      <x:c r="B788" s="6" t="str">
        <x:v>count</x:v>
      </x:c>
      <x:c r="C788" s="6" t="str">
        <x:v>How many bookshelf items are on the ground floor?</x:v>
      </x:c>
      <x:c r="D788" s="6" t="str">
        <x:v>5 bookshelf items
Floor level: 0</x:v>
      </x:c>
      <x:c r="E788" s="6" t="str">
        <x:v>Reference supplied</x:v>
      </x:c>
      <x:c r="F788" s="6" t="str">
        <x:v>dev</x:v>
      </x:c>
      <x:c r="G788" s="6" t="str">
        <x:v>swiss-203</x:v>
      </x:c>
      <x:c r="H788" s="6" t="str">
        <x:v>swiss-203-Q01</x:v>
      </x:c>
      <x:c r="I788" s="6" t="str">
        <x:v>Find and count assets</x:v>
      </x:c>
      <x:c r="J788" s="6" t="str">
        <x:v>Warm-up</x:v>
      </x:c>
      <x:c r="K788" s="6" t="str">
        <x:v>An exact integer count with the scope stated in prose.</x:v>
      </x:c>
      <x:c r="L788" s="6" t="str">
        <x:v>T02, T03</x:v>
      </x:c>
      <x:c r="M788" s="6" t="str">
        <x:v>Count all items of a requested type on one floor.</x:v>
      </x:c>
      <x:c r="N788" s="6" t="str">
        <x:v>{"count":5,"asset_type":"bookshelf","floor_level":0}</x:v>
      </x:c>
      <x:c r="O788" s="6"/>
      <x:c r="P788" s="6" t="str">
        <x:v>Exact asset type and target floor. Count complete collection.</x:v>
      </x:c>
      <x:c r="Q788" s="15" t="n">
        <x:v>5</x:v>
      </x:c>
      <x:c r="R788" s="6" t="str">
        <x:v>items</x:v>
      </x:c>
      <x:c r="S788" s="16"/>
      <x:c r="T788" s="15"/>
      <x:c r="U788" s="6"/>
      <x:c r="V788" s="6"/>
      <x:c r="W788" s="6" t="str">
        <x:v>No dedicated counting tool. search_building exposes matches but returns at most 15 results.</x:v>
      </x:c>
      <x:c r="X788" s="6" t="str">
        <x:v>data/dev/swiss-203/questions_basic.jsonl</x:v>
      </x:c>
      <x:c r="Y788" s="14" t="n">
        <x:v>1</x:v>
      </x:c>
      <x:c r="Z788" s="6" t="str">
        <x:v>https://github.com/hagenhaeussler/Industrial-Agents-Hackathon-2026/blob/f41616590b69f3ea0c1cbfb41d6c35edd9ce53df/data/dev/swiss-203/questions_basic.jsonl#L1</x:v>
      </x:c>
      <x:c r="AA788" s="6" t="str">
        <x:v>swiss_dwellings</x:v>
      </x:c>
      <x:c r="AB788" s="6" t="str">
        <x:v>CC-BY-4.0</x:v>
      </x:c>
    </x:row>
    <x:row r="789" ht="72" customHeight="1">
      <x:c r="A789" s="14" t="n">
        <x:v>784</x:v>
      </x:c>
      <x:c r="B789" s="6" t="str">
        <x:v>count</x:v>
      </x:c>
      <x:c r="C789" s="6" t="str">
        <x:v>How many desk items are on the floor 1?</x:v>
      </x:c>
      <x:c r="D789" s="6" t="str">
        <x:v>2 desk items
Floor level: 1</x:v>
      </x:c>
      <x:c r="E789" s="6" t="str">
        <x:v>Reference supplied</x:v>
      </x:c>
      <x:c r="F789" s="6" t="str">
        <x:v>dev</x:v>
      </x:c>
      <x:c r="G789" s="6" t="str">
        <x:v>swiss-2074</x:v>
      </x:c>
      <x:c r="H789" s="6" t="str">
        <x:v>swiss-2074-Q03</x:v>
      </x:c>
      <x:c r="I789" s="6" t="str">
        <x:v>Find and count assets</x:v>
      </x:c>
      <x:c r="J789" s="6" t="str">
        <x:v>Warm-up</x:v>
      </x:c>
      <x:c r="K789" s="6" t="str">
        <x:v>An exact integer count with the scope stated in prose.</x:v>
      </x:c>
      <x:c r="L789" s="6" t="str">
        <x:v>T02, T03</x:v>
      </x:c>
      <x:c r="M789" s="6" t="str">
        <x:v>Count all items of a requested type on one floor.</x:v>
      </x:c>
      <x:c r="N789" s="6" t="str">
        <x:v>{"count":2,"asset_type":"desk","floor_level":1}</x:v>
      </x:c>
      <x:c r="O789" s="6"/>
      <x:c r="P789" s="6" t="str">
        <x:v>Exact asset type and target floor. Count complete collection.</x:v>
      </x:c>
      <x:c r="Q789" s="15" t="n">
        <x:v>2</x:v>
      </x:c>
      <x:c r="R789" s="6" t="str">
        <x:v>items</x:v>
      </x:c>
      <x:c r="S789" s="16"/>
      <x:c r="T789" s="15"/>
      <x:c r="U789" s="6"/>
      <x:c r="V789" s="6"/>
      <x:c r="W789" s="6" t="str">
        <x:v>No dedicated counting tool. search_building exposes matches but returns at most 15 results.</x:v>
      </x:c>
      <x:c r="X789" s="6" t="str">
        <x:v>data/dev/swiss-2074/questions_basic.jsonl</x:v>
      </x:c>
      <x:c r="Y789" s="14" t="n">
        <x:v>3</x:v>
      </x:c>
      <x:c r="Z789" s="6" t="str">
        <x:v>https://github.com/hagenhaeussler/Industrial-Agents-Hackathon-2026/blob/f41616590b69f3ea0c1cbfb41d6c35edd9ce53df/data/dev/swiss-2074/questions_basic.jsonl#L3</x:v>
      </x:c>
      <x:c r="AA789" s="6" t="str">
        <x:v>swiss_dwellings</x:v>
      </x:c>
      <x:c r="AB789" s="6" t="str">
        <x:v>CC-BY-4.0</x:v>
      </x:c>
    </x:row>
    <x:row r="790" ht="72" customHeight="1">
      <x:c r="A790" s="14" t="n">
        <x:v>785</x:v>
      </x:c>
      <x:c r="B790" s="6" t="str">
        <x:v>count</x:v>
      </x:c>
      <x:c r="C790" s="6" t="str">
        <x:v>How many coffee machine items are on the ground floor?</x:v>
      </x:c>
      <x:c r="D790" s="6" t="str">
        <x:v>4 coffee_machine items
Floor level: 0</x:v>
      </x:c>
      <x:c r="E790" s="6" t="str">
        <x:v>Reference supplied</x:v>
      </x:c>
      <x:c r="F790" s="6" t="str">
        <x:v>dev</x:v>
      </x:c>
      <x:c r="G790" s="6" t="str">
        <x:v>swiss-2211</x:v>
      </x:c>
      <x:c r="H790" s="6" t="str">
        <x:v>swiss-2211-Q01</x:v>
      </x:c>
      <x:c r="I790" s="6" t="str">
        <x:v>Find and count assets</x:v>
      </x:c>
      <x:c r="J790" s="6" t="str">
        <x:v>Warm-up</x:v>
      </x:c>
      <x:c r="K790" s="6" t="str">
        <x:v>An exact integer count with the scope stated in prose.</x:v>
      </x:c>
      <x:c r="L790" s="6" t="str">
        <x:v>T02, T03</x:v>
      </x:c>
      <x:c r="M790" s="6" t="str">
        <x:v>Count all items of a requested type on one floor.</x:v>
      </x:c>
      <x:c r="N790" s="6" t="str">
        <x:v>{"count":4,"asset_type":"coffee_machine","floor_level":0}</x:v>
      </x:c>
      <x:c r="O790" s="6"/>
      <x:c r="P790" s="6" t="str">
        <x:v>Exact asset type and target floor. Count complete collection.</x:v>
      </x:c>
      <x:c r="Q790" s="15" t="n">
        <x:v>4</x:v>
      </x:c>
      <x:c r="R790" s="6" t="str">
        <x:v>items</x:v>
      </x:c>
      <x:c r="S790" s="16"/>
      <x:c r="T790" s="15"/>
      <x:c r="U790" s="6"/>
      <x:c r="V790" s="6"/>
      <x:c r="W790" s="6" t="str">
        <x:v>No dedicated counting tool. search_building exposes matches but returns at most 15 results.</x:v>
      </x:c>
      <x:c r="X790" s="6" t="str">
        <x:v>data/dev/swiss-2211/questions_basic.jsonl</x:v>
      </x:c>
      <x:c r="Y790" s="14" t="n">
        <x:v>1</x:v>
      </x:c>
      <x:c r="Z790" s="6" t="str">
        <x:v>https://github.com/hagenhaeussler/Industrial-Agents-Hackathon-2026/blob/f41616590b69f3ea0c1cbfb41d6c35edd9ce53df/data/dev/swiss-2211/questions_basic.jsonl#L1</x:v>
      </x:c>
      <x:c r="AA790" s="6" t="str">
        <x:v>swiss_dwellings</x:v>
      </x:c>
      <x:c r="AB790" s="6" t="str">
        <x:v>CC-BY-4.0</x:v>
      </x:c>
    </x:row>
    <x:row r="791" ht="72" customHeight="1">
      <x:c r="A791" s="14" t="n">
        <x:v>786</x:v>
      </x:c>
      <x:c r="B791" s="6" t="str">
        <x:v>count</x:v>
      </x:c>
      <x:c r="C791" s="6" t="str">
        <x:v>How many shoe cabinet items are on the floor 2?</x:v>
      </x:c>
      <x:c r="D791" s="6" t="str">
        <x:v>2 shoe_cabinet items
Floor level: 2</x:v>
      </x:c>
      <x:c r="E791" s="6" t="str">
        <x:v>Reference supplied</x:v>
      </x:c>
      <x:c r="F791" s="6" t="str">
        <x:v>dev</x:v>
      </x:c>
      <x:c r="G791" s="6" t="str">
        <x:v>swiss-2325</x:v>
      </x:c>
      <x:c r="H791" s="6" t="str">
        <x:v>swiss-2325-Q04</x:v>
      </x:c>
      <x:c r="I791" s="6" t="str">
        <x:v>Find and count assets</x:v>
      </x:c>
      <x:c r="J791" s="6" t="str">
        <x:v>Warm-up</x:v>
      </x:c>
      <x:c r="K791" s="6" t="str">
        <x:v>An exact integer count with the scope stated in prose.</x:v>
      </x:c>
      <x:c r="L791" s="6" t="str">
        <x:v>T02, T03</x:v>
      </x:c>
      <x:c r="M791" s="6" t="str">
        <x:v>Count all items of a requested type on one floor.</x:v>
      </x:c>
      <x:c r="N791" s="6" t="str">
        <x:v>{"count":2,"asset_type":"shoe_cabinet","floor_level":2}</x:v>
      </x:c>
      <x:c r="O791" s="6"/>
      <x:c r="P791" s="6" t="str">
        <x:v>Exact asset type and target floor. Count complete collection.</x:v>
      </x:c>
      <x:c r="Q791" s="15" t="n">
        <x:v>2</x:v>
      </x:c>
      <x:c r="R791" s="6" t="str">
        <x:v>items</x:v>
      </x:c>
      <x:c r="S791" s="16"/>
      <x:c r="T791" s="15"/>
      <x:c r="U791" s="6"/>
      <x:c r="V791" s="6"/>
      <x:c r="W791" s="6" t="str">
        <x:v>No dedicated counting tool. search_building exposes matches but returns at most 15 results.</x:v>
      </x:c>
      <x:c r="X791" s="6" t="str">
        <x:v>data/dev/swiss-2325/questions_basic.jsonl</x:v>
      </x:c>
      <x:c r="Y791" s="14" t="n">
        <x:v>4</x:v>
      </x:c>
      <x:c r="Z791" s="6" t="str">
        <x:v>https://github.com/hagenhaeussler/Industrial-Agents-Hackathon-2026/blob/f41616590b69f3ea0c1cbfb41d6c35edd9ce53df/data/dev/swiss-2325/questions_basic.jsonl#L4</x:v>
      </x:c>
      <x:c r="AA791" s="6" t="str">
        <x:v>swiss_dwellings</x:v>
      </x:c>
      <x:c r="AB791" s="6" t="str">
        <x:v>CC-BY-4.0</x:v>
      </x:c>
    </x:row>
    <x:row r="792" ht="72" customHeight="1">
      <x:c r="A792" s="14" t="n">
        <x:v>787</x:v>
      </x:c>
      <x:c r="B792" s="6" t="str">
        <x:v>count</x:v>
      </x:c>
      <x:c r="C792" s="6" t="str">
        <x:v>How many single bed items are on the floor 2?</x:v>
      </x:c>
      <x:c r="D792" s="6" t="str">
        <x:v>7 single_bed items
Floor level: 2</x:v>
      </x:c>
      <x:c r="E792" s="6" t="str">
        <x:v>Reference supplied</x:v>
      </x:c>
      <x:c r="F792" s="6" t="str">
        <x:v>dev</x:v>
      </x:c>
      <x:c r="G792" s="6" t="str">
        <x:v>swiss-31</x:v>
      </x:c>
      <x:c r="H792" s="6" t="str">
        <x:v>swiss-31-Q02</x:v>
      </x:c>
      <x:c r="I792" s="6" t="str">
        <x:v>Find and count assets</x:v>
      </x:c>
      <x:c r="J792" s="6" t="str">
        <x:v>Warm-up</x:v>
      </x:c>
      <x:c r="K792" s="6" t="str">
        <x:v>An exact integer count with the scope stated in prose.</x:v>
      </x:c>
      <x:c r="L792" s="6" t="str">
        <x:v>T02, T03</x:v>
      </x:c>
      <x:c r="M792" s="6" t="str">
        <x:v>Count all items of a requested type on one floor.</x:v>
      </x:c>
      <x:c r="N792" s="6" t="str">
        <x:v>{"count":7,"asset_type":"single_bed","floor_level":2}</x:v>
      </x:c>
      <x:c r="O792" s="6"/>
      <x:c r="P792" s="6" t="str">
        <x:v>Exact asset type and target floor. Count complete collection.</x:v>
      </x:c>
      <x:c r="Q792" s="15" t="n">
        <x:v>7</x:v>
      </x:c>
      <x:c r="R792" s="6" t="str">
        <x:v>items</x:v>
      </x:c>
      <x:c r="S792" s="16"/>
      <x:c r="T792" s="15"/>
      <x:c r="U792" s="6"/>
      <x:c r="V792" s="6"/>
      <x:c r="W792" s="6" t="str">
        <x:v>No dedicated counting tool. search_building exposes matches but returns at most 15 results.</x:v>
      </x:c>
      <x:c r="X792" s="6" t="str">
        <x:v>data/dev/swiss-31/questions_basic.jsonl</x:v>
      </x:c>
      <x:c r="Y792" s="14" t="n">
        <x:v>2</x:v>
      </x:c>
      <x:c r="Z792" s="6" t="str">
        <x:v>https://github.com/hagenhaeussler/Industrial-Agents-Hackathon-2026/blob/f41616590b69f3ea0c1cbfb41d6c35edd9ce53df/data/dev/swiss-31/questions_basic.jsonl#L2</x:v>
      </x:c>
      <x:c r="AA792" s="6" t="str">
        <x:v>swiss_dwellings</x:v>
      </x:c>
      <x:c r="AB792" s="6" t="str">
        <x:v>CC-BY-4.0</x:v>
      </x:c>
    </x:row>
    <x:row r="793" ht="72" customHeight="1">
      <x:c r="A793" s="14" t="n">
        <x:v>788</x:v>
      </x:c>
      <x:c r="B793" s="6" t="str">
        <x:v>count</x:v>
      </x:c>
      <x:c r="C793" s="6" t="str">
        <x:v>How many plant items are on the ground floor?</x:v>
      </x:c>
      <x:c r="D793" s="6" t="str">
        <x:v>7 plant items
Floor level: 0</x:v>
      </x:c>
      <x:c r="E793" s="6" t="str">
        <x:v>Reference supplied</x:v>
      </x:c>
      <x:c r="F793" s="6" t="str">
        <x:v>dev</x:v>
      </x:c>
      <x:c r="G793" s="6" t="str">
        <x:v>swiss-3254</x:v>
      </x:c>
      <x:c r="H793" s="6" t="str">
        <x:v>swiss-3254-Q03</x:v>
      </x:c>
      <x:c r="I793" s="6" t="str">
        <x:v>Find and count assets</x:v>
      </x:c>
      <x:c r="J793" s="6" t="str">
        <x:v>Warm-up</x:v>
      </x:c>
      <x:c r="K793" s="6" t="str">
        <x:v>An exact integer count with the scope stated in prose.</x:v>
      </x:c>
      <x:c r="L793" s="6" t="str">
        <x:v>T02, T03</x:v>
      </x:c>
      <x:c r="M793" s="6" t="str">
        <x:v>Count all items of a requested type on one floor.</x:v>
      </x:c>
      <x:c r="N793" s="6" t="str">
        <x:v>{"count":7,"asset_type":"plant","floor_level":0}</x:v>
      </x:c>
      <x:c r="O793" s="6"/>
      <x:c r="P793" s="6" t="str">
        <x:v>Exact asset type and target floor. Count complete collection.</x:v>
      </x:c>
      <x:c r="Q793" s="15" t="n">
        <x:v>7</x:v>
      </x:c>
      <x:c r="R793" s="6" t="str">
        <x:v>items</x:v>
      </x:c>
      <x:c r="S793" s="16"/>
      <x:c r="T793" s="15"/>
      <x:c r="U793" s="6"/>
      <x:c r="V793" s="6"/>
      <x:c r="W793" s="6" t="str">
        <x:v>No dedicated counting tool. search_building exposes matches but returns at most 15 results.</x:v>
      </x:c>
      <x:c r="X793" s="6" t="str">
        <x:v>data/dev/swiss-3254/questions_basic.jsonl</x:v>
      </x:c>
      <x:c r="Y793" s="14" t="n">
        <x:v>3</x:v>
      </x:c>
      <x:c r="Z793" s="6" t="str">
        <x:v>https://github.com/hagenhaeussler/Industrial-Agents-Hackathon-2026/blob/f41616590b69f3ea0c1cbfb41d6c35edd9ce53df/data/dev/swiss-3254/questions_basic.jsonl#L3</x:v>
      </x:c>
      <x:c r="AA793" s="6" t="str">
        <x:v>swiss_dwellings</x:v>
      </x:c>
      <x:c r="AB793" s="6" t="str">
        <x:v>CC-BY-4.0</x:v>
      </x:c>
    </x:row>
    <x:row r="794" ht="72" customHeight="1">
      <x:c r="A794" s="14" t="n">
        <x:v>789</x:v>
      </x:c>
      <x:c r="B794" s="6" t="str">
        <x:v>count</x:v>
      </x:c>
      <x:c r="C794" s="6" t="str">
        <x:v>How many stove items are on the floor 1?</x:v>
      </x:c>
      <x:c r="D794" s="6" t="str">
        <x:v>2 stove items
Floor level: 1</x:v>
      </x:c>
      <x:c r="E794" s="6" t="str">
        <x:v>Reference supplied</x:v>
      </x:c>
      <x:c r="F794" s="6" t="str">
        <x:v>dev</x:v>
      </x:c>
      <x:c r="G794" s="6" t="str">
        <x:v>swiss-450</x:v>
      </x:c>
      <x:c r="H794" s="6" t="str">
        <x:v>swiss-450-Q04</x:v>
      </x:c>
      <x:c r="I794" s="6" t="str">
        <x:v>Find and count assets</x:v>
      </x:c>
      <x:c r="J794" s="6" t="str">
        <x:v>Warm-up</x:v>
      </x:c>
      <x:c r="K794" s="6" t="str">
        <x:v>An exact integer count with the scope stated in prose.</x:v>
      </x:c>
      <x:c r="L794" s="6" t="str">
        <x:v>T02, T03</x:v>
      </x:c>
      <x:c r="M794" s="6" t="str">
        <x:v>Count all items of a requested type on one floor.</x:v>
      </x:c>
      <x:c r="N794" s="6" t="str">
        <x:v>{"count":2,"asset_type":"stove","floor_level":1}</x:v>
      </x:c>
      <x:c r="O794" s="6"/>
      <x:c r="P794" s="6" t="str">
        <x:v>Exact asset type and target floor. Count complete collection.</x:v>
      </x:c>
      <x:c r="Q794" s="15" t="n">
        <x:v>2</x:v>
      </x:c>
      <x:c r="R794" s="6" t="str">
        <x:v>items</x:v>
      </x:c>
      <x:c r="S794" s="16"/>
      <x:c r="T794" s="15"/>
      <x:c r="U794" s="6"/>
      <x:c r="V794" s="6"/>
      <x:c r="W794" s="6" t="str">
        <x:v>No dedicated counting tool. search_building exposes matches but returns at most 15 results.</x:v>
      </x:c>
      <x:c r="X794" s="6" t="str">
        <x:v>data/dev/swiss-450/questions_basic.jsonl</x:v>
      </x:c>
      <x:c r="Y794" s="14" t="n">
        <x:v>4</x:v>
      </x:c>
      <x:c r="Z794" s="6" t="str">
        <x:v>https://github.com/hagenhaeussler/Industrial-Agents-Hackathon-2026/blob/f41616590b69f3ea0c1cbfb41d6c35edd9ce53df/data/dev/swiss-450/questions_basic.jsonl#L4</x:v>
      </x:c>
      <x:c r="AA794" s="6" t="str">
        <x:v>swiss_dwellings</x:v>
      </x:c>
      <x:c r="AB794" s="6" t="str">
        <x:v>CC-BY-4.0</x:v>
      </x:c>
    </x:row>
    <x:row r="795" ht="72" customHeight="1">
      <x:c r="A795" s="14" t="n">
        <x:v>790</x:v>
      </x:c>
      <x:c r="B795" s="6" t="str">
        <x:v>count</x:v>
      </x:c>
      <x:c r="C795" s="6" t="str">
        <x:v>How many sink items are on the ground floor?</x:v>
      </x:c>
      <x:c r="D795" s="6" t="str">
        <x:v>2 sink items
Floor level: 0</x:v>
      </x:c>
      <x:c r="E795" s="6" t="str">
        <x:v>Reference supplied</x:v>
      </x:c>
      <x:c r="F795" s="6" t="str">
        <x:v>dev</x:v>
      </x:c>
      <x:c r="G795" s="6" t="str">
        <x:v>swiss-460</x:v>
      </x:c>
      <x:c r="H795" s="6" t="str">
        <x:v>swiss-460-Q04</x:v>
      </x:c>
      <x:c r="I795" s="6" t="str">
        <x:v>Find and count assets</x:v>
      </x:c>
      <x:c r="J795" s="6" t="str">
        <x:v>Warm-up</x:v>
      </x:c>
      <x:c r="K795" s="6" t="str">
        <x:v>An exact integer count with the scope stated in prose.</x:v>
      </x:c>
      <x:c r="L795" s="6" t="str">
        <x:v>T02, T03</x:v>
      </x:c>
      <x:c r="M795" s="6" t="str">
        <x:v>Count all items of a requested type on one floor.</x:v>
      </x:c>
      <x:c r="N795" s="6" t="str">
        <x:v>{"count":2,"asset_type":"sink","floor_level":0}</x:v>
      </x:c>
      <x:c r="O795" s="6"/>
      <x:c r="P795" s="6" t="str">
        <x:v>Exact asset type and target floor. Count complete collection.</x:v>
      </x:c>
      <x:c r="Q795" s="15" t="n">
        <x:v>2</x:v>
      </x:c>
      <x:c r="R795" s="6" t="str">
        <x:v>items</x:v>
      </x:c>
      <x:c r="S795" s="16"/>
      <x:c r="T795" s="15"/>
      <x:c r="U795" s="6"/>
      <x:c r="V795" s="6"/>
      <x:c r="W795" s="6" t="str">
        <x:v>No dedicated counting tool. search_building exposes matches but returns at most 15 results.</x:v>
      </x:c>
      <x:c r="X795" s="6" t="str">
        <x:v>data/dev/swiss-460/questions_basic.jsonl</x:v>
      </x:c>
      <x:c r="Y795" s="14" t="n">
        <x:v>4</x:v>
      </x:c>
      <x:c r="Z795" s="6" t="str">
        <x:v>https://github.com/hagenhaeussler/Industrial-Agents-Hackathon-2026/blob/f41616590b69f3ea0c1cbfb41d6c35edd9ce53df/data/dev/swiss-460/questions_basic.jsonl#L4</x:v>
      </x:c>
      <x:c r="AA795" s="6" t="str">
        <x:v>swiss_dwellings</x:v>
      </x:c>
      <x:c r="AB795" s="6" t="str">
        <x:v>CC-BY-4.0</x:v>
      </x:c>
    </x:row>
    <x:row r="796" ht="72" customHeight="1">
      <x:c r="A796" s="14" t="n">
        <x:v>791</x:v>
      </x:c>
      <x:c r="B796" s="6" t="str">
        <x:v>count</x:v>
      </x:c>
      <x:c r="C796" s="6" t="str">
        <x:v>How many wardrobe items are on the floor 1?</x:v>
      </x:c>
      <x:c r="D796" s="6" t="str">
        <x:v>19 wardrobe items
Floor level: 1</x:v>
      </x:c>
      <x:c r="E796" s="6" t="str">
        <x:v>Reference supplied</x:v>
      </x:c>
      <x:c r="F796" s="6" t="str">
        <x:v>dev</x:v>
      </x:c>
      <x:c r="G796" s="6" t="str">
        <x:v>swiss-5097</x:v>
      </x:c>
      <x:c r="H796" s="6" t="str">
        <x:v>swiss-5097-Q02</x:v>
      </x:c>
      <x:c r="I796" s="6" t="str">
        <x:v>Find and count assets</x:v>
      </x:c>
      <x:c r="J796" s="6" t="str">
        <x:v>Warm-up</x:v>
      </x:c>
      <x:c r="K796" s="6" t="str">
        <x:v>An exact integer count with the scope stated in prose.</x:v>
      </x:c>
      <x:c r="L796" s="6" t="str">
        <x:v>T02, T03</x:v>
      </x:c>
      <x:c r="M796" s="6" t="str">
        <x:v>Count all items of a requested type on one floor.</x:v>
      </x:c>
      <x:c r="N796" s="6" t="str">
        <x:v>{"count":19,"asset_type":"wardrobe","floor_level":1}</x:v>
      </x:c>
      <x:c r="O796" s="6"/>
      <x:c r="P796" s="6" t="str">
        <x:v>Exact asset type and target floor. Count complete collection.</x:v>
      </x:c>
      <x:c r="Q796" s="15" t="n">
        <x:v>19</x:v>
      </x:c>
      <x:c r="R796" s="6" t="str">
        <x:v>items</x:v>
      </x:c>
      <x:c r="S796" s="16"/>
      <x:c r="T796" s="15"/>
      <x:c r="U796" s="6"/>
      <x:c r="V796" s="6"/>
      <x:c r="W796" s="6" t="str">
        <x:v>No dedicated counting tool. search_building exposes matches but returns at most 15 results.</x:v>
      </x:c>
      <x:c r="X796" s="6" t="str">
        <x:v>data/dev/swiss-5097/questions_basic.jsonl</x:v>
      </x:c>
      <x:c r="Y796" s="14" t="n">
        <x:v>2</x:v>
      </x:c>
      <x:c r="Z796" s="6" t="str">
        <x:v>https://github.com/hagenhaeussler/Industrial-Agents-Hackathon-2026/blob/f41616590b69f3ea0c1cbfb41d6c35edd9ce53df/data/dev/swiss-5097/questions_basic.jsonl#L2</x:v>
      </x:c>
      <x:c r="AA796" s="6" t="str">
        <x:v>swiss_dwellings</x:v>
      </x:c>
      <x:c r="AB796" s="6" t="str">
        <x:v>CC-BY-4.0</x:v>
      </x:c>
    </x:row>
    <x:row r="797" ht="72" customHeight="1">
      <x:c r="A797" s="14" t="n">
        <x:v>792</x:v>
      </x:c>
      <x:c r="B797" s="6" t="str">
        <x:v>count</x:v>
      </x:c>
      <x:c r="C797" s="6" t="str">
        <x:v>How many fire extinguisher items are on the ground floor?</x:v>
      </x:c>
      <x:c r="D797" s="6" t="str">
        <x:v>2 fire_extinguisher items
Floor level: 0</x:v>
      </x:c>
      <x:c r="E797" s="6" t="str">
        <x:v>Reference supplied</x:v>
      </x:c>
      <x:c r="F797" s="6" t="str">
        <x:v>dev</x:v>
      </x:c>
      <x:c r="G797" s="6" t="str">
        <x:v>swiss-5462</x:v>
      </x:c>
      <x:c r="H797" s="6" t="str">
        <x:v>swiss-5462-Q04</x:v>
      </x:c>
      <x:c r="I797" s="6" t="str">
        <x:v>Find and count assets</x:v>
      </x:c>
      <x:c r="J797" s="6" t="str">
        <x:v>Warm-up</x:v>
      </x:c>
      <x:c r="K797" s="6" t="str">
        <x:v>An exact integer count with the scope stated in prose.</x:v>
      </x:c>
      <x:c r="L797" s="6" t="str">
        <x:v>T02, T03</x:v>
      </x:c>
      <x:c r="M797" s="6" t="str">
        <x:v>Count all items of a requested type on one floor.</x:v>
      </x:c>
      <x:c r="N797" s="6" t="str">
        <x:v>{"count":2,"asset_type":"fire_extinguisher","floor_level":0}</x:v>
      </x:c>
      <x:c r="O797" s="6"/>
      <x:c r="P797" s="6" t="str">
        <x:v>Exact asset type and target floor. Count complete collection.</x:v>
      </x:c>
      <x:c r="Q797" s="15" t="n">
        <x:v>2</x:v>
      </x:c>
      <x:c r="R797" s="6" t="str">
        <x:v>items</x:v>
      </x:c>
      <x:c r="S797" s="16"/>
      <x:c r="T797" s="15"/>
      <x:c r="U797" s="6"/>
      <x:c r="V797" s="6"/>
      <x:c r="W797" s="6" t="str">
        <x:v>No dedicated counting tool. search_building exposes matches but returns at most 15 results.</x:v>
      </x:c>
      <x:c r="X797" s="6" t="str">
        <x:v>data/dev/swiss-5462/questions_basic.jsonl</x:v>
      </x:c>
      <x:c r="Y797" s="14" t="n">
        <x:v>4</x:v>
      </x:c>
      <x:c r="Z797" s="6" t="str">
        <x:v>https://github.com/hagenhaeussler/Industrial-Agents-Hackathon-2026/blob/f41616590b69f3ea0c1cbfb41d6c35edd9ce53df/data/dev/swiss-5462/questions_basic.jsonl#L4</x:v>
      </x:c>
      <x:c r="AA797" s="6" t="str">
        <x:v>swiss_dwellings</x:v>
      </x:c>
      <x:c r="AB797" s="6" t="str">
        <x:v>CC-BY-4.0</x:v>
      </x:c>
    </x:row>
    <x:row r="798" ht="110" customHeight="1">
      <x:c r="A798" s="14" t="n">
        <x:v>793</x:v>
      </x:c>
      <x:c r="B798" s="6" t="str">
        <x:v>route</x:v>
      </x:c>
      <x:c r="C798" s="6" t="str">
        <x:v>How do I get from Toilet 0181A (Ground floor) to Lecture hall 0120 (Ground floor)?</x:v>
      </x:c>
      <x:c r="D798" s="6" t="str">
        <x:v>67.26 m
From: Toilet 0181A
To: Lecture hall 0120
Ordered path (7 spaces): Toilet 0181A → Corridor 0195 → outside → Generic room 0133 → Generic room 0131 → Corridor 0110C → Lecture hall 0120</x:v>
      </x:c>
      <x:c r="E798" s="6" t="str">
        <x:v>Reference supplied</x:v>
      </x:c>
      <x:c r="F798" s="6" t="str">
        <x:v>train</x:v>
      </x:c>
      <x:c r="G798" s="6" t="str">
        <x:v>osm-way10053349</x:v>
      </x:c>
      <x:c r="H798" s="6" t="str">
        <x:v>osm-way10053349-Q04</x:v>
      </x:c>
      <x:c r="I798" s="6" t="str">
        <x:v>Route planning</x:v>
      </x:c>
      <x:c r="J798" s="6" t="str">
        <x:v>Warm-up</x:v>
      </x:c>
      <x:c r="K798" s="6" t="str">
        <x:v>Ordered space path and directions, plus total route-model distance in metres.</x:v>
      </x:c>
      <x:c r="L798" s="6" t="str">
        <x:v>T02, T05, T13</x:v>
      </x:c>
      <x:c r="M798" s="6" t="str">
        <x:v>Find a valid route between two rooms, including across floors.</x:v>
      </x:c>
      <x:c r="N798" s="6" t="str">
        <x:v>{"from_space_id":"osm-way10053349-F0-S026","to_space_id":"osm-way10053349-F0-S051","optimal_length_m":67.26,"space_path":["osm-way10053349-F0-S026","osm-way10053349-F0-S123","outside","osm-way10053349-F0-S131","osm-way10053349-F0-S105","osm-way10053349-F0-S006","osm-way10053349-F0-S051"],"element_path":["osm-way10053349-F0-O0140","osm-way10053349-F0-O0140","osm-way10053349-F0-O0152","osm-way10053349-F0-O0152","osm-way10053349-F0-O0170","osm-way10053349-F0-O0170","osm-way10053349-F0-O0160","osm-way10053349-F0-O0160","osm-way10053349-F0-O0154","osm-way10053349-F0-O0154","osm-way10053349-F0-O0028","osm-way10053349-F0-O0028"]}</x:v>
      </x:c>
      <x:c r="O798" s="6"/>
      <x:c r="P798" s="6" t="str">
        <x:v>README routing profile. Stairs and lifts allowed unless stated otherwise.</x:v>
      </x:c>
      <x:c r="Q798" s="15" t="n">
        <x:v>67.26</x:v>
      </x:c>
      <x:c r="R798" s="6" t="str">
        <x:v>m</x:v>
      </x:c>
      <x:c r="S798" s="16"/>
      <x:c r="T798" s="15"/>
      <x:c r="U798" s="6"/>
      <x:c r="V798" s="6"/>
      <x:c r="W798" s="6" t="str">
        <x:v>Existing find_route and show_route implement the kit routing model.</x:v>
      </x:c>
      <x:c r="X798" s="6" t="str">
        <x:v>data/train/osm-way10053349/questions_basic.jsonl</x:v>
      </x:c>
      <x:c r="Y798" s="14" t="n">
        <x:v>4</x:v>
      </x:c>
      <x:c r="Z798" s="6" t="str">
        <x:v>https://github.com/hagenhaeussler/Industrial-Agents-Hackathon-2026/blob/f41616590b69f3ea0c1cbfb41d6c35edd9ce53df/data/train/osm-way10053349/questions_basic.jsonl#L4</x:v>
      </x:c>
      <x:c r="AA798" s="6" t="str">
        <x:v>osm_indoor</x:v>
      </x:c>
      <x:c r="AB798" s="6" t="str">
        <x:v>ODbL-1.0</x:v>
      </x:c>
    </x:row>
    <x:row r="799" ht="124" customHeight="1">
      <x:c r="A799" s="14" t="n">
        <x:v>794</x:v>
      </x:c>
      <x:c r="B799" s="6" t="str">
        <x:v>route</x:v>
      </x:c>
      <x:c r="C799" s="6" t="str">
        <x:v>How do I get from Generic room 0153A (Ground floor) to Generic room 0180 (Ground floor)?</x:v>
      </x:c>
      <x:c r="D799" s="6" t="str">
        <x:v>75.35 m
From: Generic room 0153A
To: Generic room 0180
Ordered path (7 spaces): Generic room 0153A → Toilet 0153B → Corridor 0150 → Corridor 0191A → Stairwell 0190 → Corridor 0188 → Generic room 0180</x:v>
      </x:c>
      <x:c r="E799" s="6" t="str">
        <x:v>Reference supplied</x:v>
      </x:c>
      <x:c r="F799" s="6" t="str">
        <x:v>train</x:v>
      </x:c>
      <x:c r="G799" s="6" t="str">
        <x:v>osm-way10053349</x:v>
      </x:c>
      <x:c r="H799" s="6" t="str">
        <x:v>osm-way10053349-Q05</x:v>
      </x:c>
      <x:c r="I799" s="6" t="str">
        <x:v>Route planning</x:v>
      </x:c>
      <x:c r="J799" s="6" t="str">
        <x:v>Warm-up</x:v>
      </x:c>
      <x:c r="K799" s="6" t="str">
        <x:v>Ordered space path and directions, plus total route-model distance in metres.</x:v>
      </x:c>
      <x:c r="L799" s="6" t="str">
        <x:v>T02, T05, T13</x:v>
      </x:c>
      <x:c r="M799" s="6" t="str">
        <x:v>Find a valid route between two rooms, including across floors.</x:v>
      </x:c>
      <x:c r="N799" s="6" t="str">
        <x:v>{"from_space_id":"osm-way10053349-F0-S116","to_space_id":"osm-way10053349-F0-S020","optimal_length_m":75.35,"space_path":["osm-way10053349-F0-S116","osm-way10053349-F0-S091","osm-way10053349-F0-S046","osm-way10053349-F0-S109","osm-way10053349-F0-S005","osm-way10053349-F0-S071","osm-way10053349-F0-S020"],"element_path":["osm-way10053349-F0-O0117","osm-way10053349-F0-O0117","osm-way10053349-F0-O0062","osm-way10053349-F0-O0062","osm-way10053349-F0-O0096","osm-way10053349-F0-O0096","osm-way10053349-F0-O0101","osm-way10053349-F0-O0101","osm-way10053349-F0-O0033","osm-way10053349-F0-O0033","osm-way10053349-F0-O0032","osm-way10053349-F0-O0032"]}</x:v>
      </x:c>
      <x:c r="O799" s="6"/>
      <x:c r="P799" s="6" t="str">
        <x:v>README routing profile. Stairs and lifts allowed unless stated otherwise.</x:v>
      </x:c>
      <x:c r="Q799" s="15" t="n">
        <x:v>75.35</x:v>
      </x:c>
      <x:c r="R799" s="6" t="str">
        <x:v>m</x:v>
      </x:c>
      <x:c r="S799" s="16"/>
      <x:c r="T799" s="15"/>
      <x:c r="U799" s="6"/>
      <x:c r="V799" s="6"/>
      <x:c r="W799" s="6" t="str">
        <x:v>Existing find_route and show_route implement the kit routing model.</x:v>
      </x:c>
      <x:c r="X799" s="6" t="str">
        <x:v>data/train/osm-way10053349/questions_basic.jsonl</x:v>
      </x:c>
      <x:c r="Y799" s="14" t="n">
        <x:v>5</x:v>
      </x:c>
      <x:c r="Z799" s="6" t="str">
        <x:v>https://github.com/hagenhaeussler/Industrial-Agents-Hackathon-2026/blob/f41616590b69f3ea0c1cbfb41d6c35edd9ce53df/data/train/osm-way10053349/questions_basic.jsonl#L5</x:v>
      </x:c>
      <x:c r="AA799" s="6" t="str">
        <x:v>osm_indoor</x:v>
      </x:c>
      <x:c r="AB799" s="6" t="str">
        <x:v>ODbL-1.0</x:v>
      </x:c>
    </x:row>
    <x:row r="800" ht="96" customHeight="1">
      <x:c r="A800" s="14" t="n">
        <x:v>795</x:v>
      </x:c>
      <x:c r="B800" s="6" t="str">
        <x:v>route</x:v>
      </x:c>
      <x:c r="C800" s="6" t="str">
        <x:v>How do I get from Generic room 0195A (Ground floor) to Generic room 0144A (Ground floor)?</x:v>
      </x:c>
      <x:c r="D800" s="6" t="str">
        <x:v>46.95 m
From: Generic room 0195A
To: Generic room 0144A
Ordered path (5 spaces): Generic room 0195A → Corridor 0195 → outside → Generic room 0144 → Generic room 0144A</x:v>
      </x:c>
      <x:c r="E800" s="6" t="str">
        <x:v>Reference supplied</x:v>
      </x:c>
      <x:c r="F800" s="6" t="str">
        <x:v>train</x:v>
      </x:c>
      <x:c r="G800" s="6" t="str">
        <x:v>osm-way10053349</x:v>
      </x:c>
      <x:c r="H800" s="6" t="str">
        <x:v>osm-way10053349-Q06</x:v>
      </x:c>
      <x:c r="I800" s="6" t="str">
        <x:v>Route planning</x:v>
      </x:c>
      <x:c r="J800" s="6" t="str">
        <x:v>Warm-up</x:v>
      </x:c>
      <x:c r="K800" s="6" t="str">
        <x:v>Ordered space path and directions, plus total route-model distance in metres.</x:v>
      </x:c>
      <x:c r="L800" s="6" t="str">
        <x:v>T02, T05, T13</x:v>
      </x:c>
      <x:c r="M800" s="6" t="str">
        <x:v>Find a valid route between two rooms, including across floors.</x:v>
      </x:c>
      <x:c r="N800" s="6" t="str">
        <x:v>{"from_space_id":"osm-way10053349-F0-S007","to_space_id":"osm-way10053349-F0-S058","optimal_length_m":46.95,"space_path":["osm-way10053349-F0-S007","osm-way10053349-F0-S123","outside","osm-way10053349-F0-S040","osm-way10053349-F0-S058"],"element_path":["osm-way10053349-F0-O0138","osm-way10053349-F0-O0138","osm-way10053349-F0-O0152","osm-way10053349-F0-O0152","osm-way10053349-F0-O0159","osm-way10053349-F0-O0159","osm-way10053349-F0-O0031","osm-way10053349-F0-O0031"]}</x:v>
      </x:c>
      <x:c r="O800" s="6"/>
      <x:c r="P800" s="6" t="str">
        <x:v>README routing profile. Stairs and lifts allowed unless stated otherwise.</x:v>
      </x:c>
      <x:c r="Q800" s="15" t="n">
        <x:v>46.95</x:v>
      </x:c>
      <x:c r="R800" s="6" t="str">
        <x:v>m</x:v>
      </x:c>
      <x:c r="S800" s="16"/>
      <x:c r="T800" s="15"/>
      <x:c r="U800" s="6"/>
      <x:c r="V800" s="6"/>
      <x:c r="W800" s="6" t="str">
        <x:v>Existing find_route and show_route implement the kit routing model.</x:v>
      </x:c>
      <x:c r="X800" s="6" t="str">
        <x:v>data/train/osm-way10053349/questions_basic.jsonl</x:v>
      </x:c>
      <x:c r="Y800" s="14" t="n">
        <x:v>6</x:v>
      </x:c>
      <x:c r="Z800" s="6" t="str">
        <x:v>https://github.com/hagenhaeussler/Industrial-Agents-Hackathon-2026/blob/f41616590b69f3ea0c1cbfb41d6c35edd9ce53df/data/train/osm-way10053349/questions_basic.jsonl#L6</x:v>
      </x:c>
      <x:c r="AA800" s="6" t="str">
        <x:v>osm_indoor</x:v>
      </x:c>
      <x:c r="AB800" s="6" t="str">
        <x:v>ODbL-1.0</x:v>
      </x:c>
    </x:row>
    <x:row r="801" ht="72" customHeight="1">
      <x:c r="A801" s="14" t="n">
        <x:v>796</x:v>
      </x:c>
      <x:c r="B801" s="6" t="str">
        <x:v>route</x:v>
      </x:c>
      <x:c r="C801" s="6" t="str">
        <x:v>How do I get from Toilet 1.14 (Floor 1) to Garderobe A (Floor 1)?</x:v>
      </x:c>
      <x:c r="D801" s="6" t="str">
        <x:v>32.86 m
From: Toilet 1.14
To: Garderobe A
Ordered path (3 spaces): Toilet 1.14 → Foyer → Garderobe A</x:v>
      </x:c>
      <x:c r="E801" s="6" t="str">
        <x:v>Reference supplied</x:v>
      </x:c>
      <x:c r="F801" s="6" t="str">
        <x:v>train</x:v>
      </x:c>
      <x:c r="G801" s="6" t="str">
        <x:v>osm-way13507441</x:v>
      </x:c>
      <x:c r="H801" s="6" t="str">
        <x:v>osm-way13507441-Q05</x:v>
      </x:c>
      <x:c r="I801" s="6" t="str">
        <x:v>Route planning</x:v>
      </x:c>
      <x:c r="J801" s="6" t="str">
        <x:v>Warm-up</x:v>
      </x:c>
      <x:c r="K801" s="6" t="str">
        <x:v>Ordered space path and directions, plus total route-model distance in metres.</x:v>
      </x:c>
      <x:c r="L801" s="6" t="str">
        <x:v>T02, T05, T13</x:v>
      </x:c>
      <x:c r="M801" s="6" t="str">
        <x:v>Find a valid route between two rooms, including across floors.</x:v>
      </x:c>
      <x:c r="N801" s="6" t="str">
        <x:v>{"from_space_id":"osm-way13507441-F1-S014","to_space_id":"osm-way13507441-F1-S006","optimal_length_m":32.86,"space_path":["osm-way13507441-F1-S014","osm-way13507441-F1-S001","osm-way13507441-F1-S006"],"element_path":["osm-way13507441-F1-O0018","osm-way13507441-F1-O0018","osm-way13507441-F1-O0012","osm-way13507441-F1-O0012"]}</x:v>
      </x:c>
      <x:c r="O801" s="6"/>
      <x:c r="P801" s="6" t="str">
        <x:v>README routing profile. Stairs and lifts allowed unless stated otherwise.</x:v>
      </x:c>
      <x:c r="Q801" s="15" t="n">
        <x:v>32.86</x:v>
      </x:c>
      <x:c r="R801" s="6" t="str">
        <x:v>m</x:v>
      </x:c>
      <x:c r="S801" s="16"/>
      <x:c r="T801" s="15"/>
      <x:c r="U801" s="6"/>
      <x:c r="V801" s="6"/>
      <x:c r="W801" s="6" t="str">
        <x:v>Existing find_route and show_route implement the kit routing model.</x:v>
      </x:c>
      <x:c r="X801" s="6" t="str">
        <x:v>data/train/osm-way13507441/questions_basic.jsonl</x:v>
      </x:c>
      <x:c r="Y801" s="14" t="n">
        <x:v>5</x:v>
      </x:c>
      <x:c r="Z801" s="6" t="str">
        <x:v>https://github.com/hagenhaeussler/Industrial-Agents-Hackathon-2026/blob/f41616590b69f3ea0c1cbfb41d6c35edd9ce53df/data/train/osm-way13507441/questions_basic.jsonl#L5</x:v>
      </x:c>
      <x:c r="AA801" s="6" t="str">
        <x:v>osm_indoor</x:v>
      </x:c>
      <x:c r="AB801" s="6" t="str">
        <x:v>ODbL-1.0</x:v>
      </x:c>
    </x:row>
    <x:row r="802" ht="72" customHeight="1">
      <x:c r="A802" s="14" t="n">
        <x:v>797</x:v>
      </x:c>
      <x:c r="B802" s="6" t="str">
        <x:v>route</x:v>
      </x:c>
      <x:c r="C802" s="6" t="str">
        <x:v>How do I get from Festsaal (Floor 1) to Garderobe A (Floor 1)?</x:v>
      </x:c>
      <x:c r="D802" s="6" t="str">
        <x:v>38.43 m
From: Festsaal
To: Garderobe A
Ordered path (3 spaces): Festsaal → Foyer → Garderobe A</x:v>
      </x:c>
      <x:c r="E802" s="6" t="str">
        <x:v>Reference supplied</x:v>
      </x:c>
      <x:c r="F802" s="6" t="str">
        <x:v>train</x:v>
      </x:c>
      <x:c r="G802" s="6" t="str">
        <x:v>osm-way13507441</x:v>
      </x:c>
      <x:c r="H802" s="6" t="str">
        <x:v>osm-way13507441-Q06</x:v>
      </x:c>
      <x:c r="I802" s="6" t="str">
        <x:v>Route planning</x:v>
      </x:c>
      <x:c r="J802" s="6" t="str">
        <x:v>Warm-up</x:v>
      </x:c>
      <x:c r="K802" s="6" t="str">
        <x:v>Ordered space path and directions, plus total route-model distance in metres.</x:v>
      </x:c>
      <x:c r="L802" s="6" t="str">
        <x:v>T02, T05, T13</x:v>
      </x:c>
      <x:c r="M802" s="6" t="str">
        <x:v>Find a valid route between two rooms, including across floors.</x:v>
      </x:c>
      <x:c r="N802" s="6" t="str">
        <x:v>{"from_space_id":"osm-way13507441-F1-S005","to_space_id":"osm-way13507441-F1-S006","optimal_length_m":38.43,"space_path":["osm-way13507441-F1-S005","osm-way13507441-F1-S001","osm-way13507441-F1-S006"],"element_path":["osm-way13507441-F1-O0002","osm-way13507441-F1-O0002","osm-way13507441-F1-O0012","osm-way13507441-F1-O0012"]}</x:v>
      </x:c>
      <x:c r="O802" s="6"/>
      <x:c r="P802" s="6" t="str">
        <x:v>README routing profile. Stairs and lifts allowed unless stated otherwise.</x:v>
      </x:c>
      <x:c r="Q802" s="15" t="n">
        <x:v>38.43</x:v>
      </x:c>
      <x:c r="R802" s="6" t="str">
        <x:v>m</x:v>
      </x:c>
      <x:c r="S802" s="16"/>
      <x:c r="T802" s="15"/>
      <x:c r="U802" s="6"/>
      <x:c r="V802" s="6"/>
      <x:c r="W802" s="6" t="str">
        <x:v>Existing find_route and show_route implement the kit routing model.</x:v>
      </x:c>
      <x:c r="X802" s="6" t="str">
        <x:v>data/train/osm-way13507441/questions_basic.jsonl</x:v>
      </x:c>
      <x:c r="Y802" s="14" t="n">
        <x:v>6</x:v>
      </x:c>
      <x:c r="Z802" s="6" t="str">
        <x:v>https://github.com/hagenhaeussler/Industrial-Agents-Hackathon-2026/blob/f41616590b69f3ea0c1cbfb41d6c35edd9ce53df/data/train/osm-way13507441/questions_basic.jsonl#L6</x:v>
      </x:c>
      <x:c r="AA802" s="6" t="str">
        <x:v>osm_indoor</x:v>
      </x:c>
      <x:c r="AB802" s="6" t="str">
        <x:v>ODbL-1.0</x:v>
      </x:c>
    </x:row>
    <x:row r="803" ht="96" customHeight="1">
      <x:c r="A803" s="14" t="n">
        <x:v>798</x:v>
      </x:c>
      <x:c r="B803" s="6" t="str">
        <x:v>route</x:v>
      </x:c>
      <x:c r="C803" s="6" t="str">
        <x:v>How do I get from Passage (Ground floor) to Loggia (Floor 1)?</x:v>
      </x:c>
      <x:c r="D803" s="6" t="str">
        <x:v>51.93 m
From: Passage
To: Loggia
Ordered path (5 spaces): Passage → Haupteingang → outside → Foyer → Loggia</x:v>
      </x:c>
      <x:c r="E803" s="6" t="str">
        <x:v>Reference supplied</x:v>
      </x:c>
      <x:c r="F803" s="6" t="str">
        <x:v>train</x:v>
      </x:c>
      <x:c r="G803" s="6" t="str">
        <x:v>osm-way13507441</x:v>
      </x:c>
      <x:c r="H803" s="6" t="str">
        <x:v>osm-way13507441-Q07</x:v>
      </x:c>
      <x:c r="I803" s="6" t="str">
        <x:v>Route planning</x:v>
      </x:c>
      <x:c r="J803" s="6" t="str">
        <x:v>Warm-up</x:v>
      </x:c>
      <x:c r="K803" s="6" t="str">
        <x:v>Ordered space path and directions, plus total route-model distance in metres.</x:v>
      </x:c>
      <x:c r="L803" s="6" t="str">
        <x:v>T02, T05, T13</x:v>
      </x:c>
      <x:c r="M803" s="6" t="str">
        <x:v>Find a valid route between two rooms, including across floors.</x:v>
      </x:c>
      <x:c r="N803" s="6" t="str">
        <x:v>{"from_space_id":"osm-way13507441-F0-S018","to_space_id":"osm-way13507441-F1-S012","optimal_length_m":51.93,"space_path":["osm-way13507441-F0-S018","osm-way13507441-F0-S016","outside","osm-way13507441-F1-S001","osm-way13507441-F1-S012"],"element_path":["osm-way13507441-F0-O0024","osm-way13507441-F0-O0024","osm-way13507441-F0-O0004","osm-way13507441-F0-O0004","osm-way13507441-F1-O0007","osm-way13507441-F1-O0007","osm-way13507441-F1-O0017","osm-way13507441-F1-O0017"]}</x:v>
      </x:c>
      <x:c r="O803" s="6"/>
      <x:c r="P803" s="6" t="str">
        <x:v>README routing profile. Stairs and lifts allowed unless stated otherwise.</x:v>
      </x:c>
      <x:c r="Q803" s="15" t="n">
        <x:v>51.93</x:v>
      </x:c>
      <x:c r="R803" s="6" t="str">
        <x:v>m</x:v>
      </x:c>
      <x:c r="S803" s="16"/>
      <x:c r="T803" s="15"/>
      <x:c r="U803" s="6"/>
      <x:c r="V803" s="6"/>
      <x:c r="W803" s="6" t="str">
        <x:v>Existing find_route and show_route implement the kit routing model.</x:v>
      </x:c>
      <x:c r="X803" s="6" t="str">
        <x:v>data/train/osm-way13507441/questions_basic.jsonl</x:v>
      </x:c>
      <x:c r="Y803" s="14" t="n">
        <x:v>7</x:v>
      </x:c>
      <x:c r="Z803" s="6" t="str">
        <x:v>https://github.com/hagenhaeussler/Industrial-Agents-Hackathon-2026/blob/f41616590b69f3ea0c1cbfb41d6c35edd9ce53df/data/train/osm-way13507441/questions_basic.jsonl#L7</x:v>
      </x:c>
      <x:c r="AA803" s="6" t="str">
        <x:v>osm_indoor</x:v>
      </x:c>
      <x:c r="AB803" s="6" t="str">
        <x:v>ODbL-1.0</x:v>
      </x:c>
    </x:row>
    <x:row r="804" ht="82" customHeight="1">
      <x:c r="A804" s="14" t="n">
        <x:v>799</x:v>
      </x:c>
      <x:c r="B804" s="6" t="str">
        <x:v>route</x:v>
      </x:c>
      <x:c r="C804" s="6" t="str">
        <x:v>How do I get from Generic room 0.58 (Ground floor) to Generic room 0.27 (Ground floor)?</x:v>
      </x:c>
      <x:c r="D804" s="6" t="str">
        <x:v>14.53 m
From: Generic room 0.58
To: Generic room 0.27
Ordered path (4 spaces): Generic room 0.58 → Generic room 0.60 → outside → Generic room 0.27</x:v>
      </x:c>
      <x:c r="E804" s="6" t="str">
        <x:v>Reference supplied</x:v>
      </x:c>
      <x:c r="F804" s="6" t="str">
        <x:v>train</x:v>
      </x:c>
      <x:c r="G804" s="6" t="str">
        <x:v>osm-way19183732</x:v>
      </x:c>
      <x:c r="H804" s="6" t="str">
        <x:v>osm-way19183732-Q05</x:v>
      </x:c>
      <x:c r="I804" s="6" t="str">
        <x:v>Route planning</x:v>
      </x:c>
      <x:c r="J804" s="6" t="str">
        <x:v>Warm-up</x:v>
      </x:c>
      <x:c r="K804" s="6" t="str">
        <x:v>Ordered space path and directions, plus total route-model distance in metres.</x:v>
      </x:c>
      <x:c r="L804" s="6" t="str">
        <x:v>T02, T05, T13</x:v>
      </x:c>
      <x:c r="M804" s="6" t="str">
        <x:v>Find a valid route between two rooms, including across floors.</x:v>
      </x:c>
      <x:c r="N804" s="6" t="str">
        <x:v>{"from_space_id":"osm-way19183732-F0-S058","to_space_id":"osm-way19183732-F0-S027","optimal_length_m":14.53,"space_path":["osm-way19183732-F0-S058","osm-way19183732-F0-S060","outside","osm-way19183732-F0-S027"],"element_path":["osm-way19183732-F0-O0037","osm-way19183732-F0-O0037","osm-way19183732-F0-O0066","osm-way19183732-F0-O0066","osm-way19183732-F0-O0048","osm-way19183732-F0-O0048"]}</x:v>
      </x:c>
      <x:c r="O804" s="6"/>
      <x:c r="P804" s="6" t="str">
        <x:v>README routing profile. Stairs and lifts allowed unless stated otherwise.</x:v>
      </x:c>
      <x:c r="Q804" s="15" t="n">
        <x:v>14.53</x:v>
      </x:c>
      <x:c r="R804" s="6" t="str">
        <x:v>m</x:v>
      </x:c>
      <x:c r="S804" s="16"/>
      <x:c r="T804" s="15"/>
      <x:c r="U804" s="6"/>
      <x:c r="V804" s="6"/>
      <x:c r="W804" s="6" t="str">
        <x:v>Existing find_route and show_route implement the kit routing model.</x:v>
      </x:c>
      <x:c r="X804" s="6" t="str">
        <x:v>data/train/osm-way19183732/questions_basic.jsonl</x:v>
      </x:c>
      <x:c r="Y804" s="14" t="n">
        <x:v>5</x:v>
      </x:c>
      <x:c r="Z804" s="6" t="str">
        <x:v>https://github.com/hagenhaeussler/Industrial-Agents-Hackathon-2026/blob/f41616590b69f3ea0c1cbfb41d6c35edd9ce53df/data/train/osm-way19183732/questions_basic.jsonl#L5</x:v>
      </x:c>
      <x:c r="AA804" s="6" t="str">
        <x:v>osm_indoor</x:v>
      </x:c>
      <x:c r="AB804" s="6" t="str">
        <x:v>ODbL-1.0</x:v>
      </x:c>
    </x:row>
    <x:row r="805" ht="96" customHeight="1">
      <x:c r="A805" s="14" t="n">
        <x:v>800</x:v>
      </x:c>
      <x:c r="B805" s="6" t="str">
        <x:v>route</x:v>
      </x:c>
      <x:c r="C805" s="6" t="str">
        <x:v>How do I get from Generic room 0.04 (Ground floor) to Generic room 0.54 (Ground floor)?</x:v>
      </x:c>
      <x:c r="D805" s="6" t="str">
        <x:v>30.57 m
From: Generic room 0.04
To: Generic room 0.54
Ordered path (5 spaces): Generic room 0.04 → Generic room 0.05 → StuLounge Arcisstraße → outside → Generic room 0.54</x:v>
      </x:c>
      <x:c r="E805" s="6" t="str">
        <x:v>Reference supplied</x:v>
      </x:c>
      <x:c r="F805" s="6" t="str">
        <x:v>train</x:v>
      </x:c>
      <x:c r="G805" s="6" t="str">
        <x:v>osm-way19183732</x:v>
      </x:c>
      <x:c r="H805" s="6" t="str">
        <x:v>osm-way19183732-Q06</x:v>
      </x:c>
      <x:c r="I805" s="6" t="str">
        <x:v>Route planning</x:v>
      </x:c>
      <x:c r="J805" s="6" t="str">
        <x:v>Warm-up</x:v>
      </x:c>
      <x:c r="K805" s="6" t="str">
        <x:v>Ordered space path and directions, plus total route-model distance in metres.</x:v>
      </x:c>
      <x:c r="L805" s="6" t="str">
        <x:v>T02, T05, T13</x:v>
      </x:c>
      <x:c r="M805" s="6" t="str">
        <x:v>Find a valid route between two rooms, including across floors.</x:v>
      </x:c>
      <x:c r="N805" s="6" t="str">
        <x:v>{"from_space_id":"osm-way19183732-F0-S004","to_space_id":"osm-way19183732-F0-S054","optimal_length_m":30.57,"space_path":["osm-way19183732-F0-S004","osm-way19183732-F0-S005","osm-way19183732-F0-S068","outside","osm-way19183732-F0-S054"],"element_path":["osm-way19183732-F0-O0005","osm-way19183732-F0-O0005","osm-way19183732-F0-O0006","osm-way19183732-F0-O0006","osm-way19183732-F0-O0069","osm-way19183732-F0-O0069","osm-way19183732-F0-O0068","osm-way19183732-F0-O0068"]}</x:v>
      </x:c>
      <x:c r="O805" s="6"/>
      <x:c r="P805" s="6" t="str">
        <x:v>README routing profile. Stairs and lifts allowed unless stated otherwise.</x:v>
      </x:c>
      <x:c r="Q805" s="15" t="n">
        <x:v>30.57</x:v>
      </x:c>
      <x:c r="R805" s="6" t="str">
        <x:v>m</x:v>
      </x:c>
      <x:c r="S805" s="16"/>
      <x:c r="T805" s="15"/>
      <x:c r="U805" s="6"/>
      <x:c r="V805" s="6"/>
      <x:c r="W805" s="6" t="str">
        <x:v>Existing find_route and show_route implement the kit routing model.</x:v>
      </x:c>
      <x:c r="X805" s="6" t="str">
        <x:v>data/train/osm-way19183732/questions_basic.jsonl</x:v>
      </x:c>
      <x:c r="Y805" s="14" t="n">
        <x:v>6</x:v>
      </x:c>
      <x:c r="Z805" s="6" t="str">
        <x:v>https://github.com/hagenhaeussler/Industrial-Agents-Hackathon-2026/blob/f41616590b69f3ea0c1cbfb41d6c35edd9ce53df/data/train/osm-way19183732/questions_basic.jsonl#L6</x:v>
      </x:c>
      <x:c r="AA805" s="6" t="str">
        <x:v>osm_indoor</x:v>
      </x:c>
      <x:c r="AB805" s="6" t="str">
        <x:v>ODbL-1.0</x:v>
      </x:c>
    </x:row>
    <x:row r="806" ht="82" customHeight="1">
      <x:c r="A806" s="14" t="n">
        <x:v>801</x:v>
      </x:c>
      <x:c r="B806" s="6" t="str">
        <x:v>route</x:v>
      </x:c>
      <x:c r="C806" s="6" t="str">
        <x:v>How do I get from Generic room 0.26 (Ground floor) to Generic room 0.46 (Ground floor)?</x:v>
      </x:c>
      <x:c r="D806" s="6" t="str">
        <x:v>34.65 m
From: Generic room 0.26
To: Generic room 0.46
Ordered path (3 spaces): Generic room 0.26 → Corridor 0.49 → Generic room 0.46</x:v>
      </x:c>
      <x:c r="E806" s="6" t="str">
        <x:v>Reference supplied</x:v>
      </x:c>
      <x:c r="F806" s="6" t="str">
        <x:v>train</x:v>
      </x:c>
      <x:c r="G806" s="6" t="str">
        <x:v>osm-way19183732</x:v>
      </x:c>
      <x:c r="H806" s="6" t="str">
        <x:v>osm-way19183732-Q07</x:v>
      </x:c>
      <x:c r="I806" s="6" t="str">
        <x:v>Route planning</x:v>
      </x:c>
      <x:c r="J806" s="6" t="str">
        <x:v>Warm-up</x:v>
      </x:c>
      <x:c r="K806" s="6" t="str">
        <x:v>Ordered space path and directions, plus total route-model distance in metres.</x:v>
      </x:c>
      <x:c r="L806" s="6" t="str">
        <x:v>T02, T05, T13</x:v>
      </x:c>
      <x:c r="M806" s="6" t="str">
        <x:v>Find a valid route between two rooms, including across floors.</x:v>
      </x:c>
      <x:c r="N806" s="6" t="str">
        <x:v>{"from_space_id":"osm-way19183732-F0-S026","to_space_id":"osm-way19183732-F0-S046","optimal_length_m":34.65,"space_path":["osm-way19183732-F0-S026","osm-way19183732-F0-S049","osm-way19183732-F0-S046"],"element_path":["osm-way19183732-F0-O0078","osm-way19183732-F0-O0078","osm-way19183732-F0-O0028","osm-way19183732-F0-O0028"]}</x:v>
      </x:c>
      <x:c r="O806" s="6"/>
      <x:c r="P806" s="6" t="str">
        <x:v>README routing profile. Stairs and lifts allowed unless stated otherwise.</x:v>
      </x:c>
      <x:c r="Q806" s="15" t="n">
        <x:v>34.65</x:v>
      </x:c>
      <x:c r="R806" s="6" t="str">
        <x:v>m</x:v>
      </x:c>
      <x:c r="S806" s="16"/>
      <x:c r="T806" s="15"/>
      <x:c r="U806" s="6"/>
      <x:c r="V806" s="6"/>
      <x:c r="W806" s="6" t="str">
        <x:v>Existing find_route and show_route implement the kit routing model.</x:v>
      </x:c>
      <x:c r="X806" s="6" t="str">
        <x:v>data/train/osm-way19183732/questions_basic.jsonl</x:v>
      </x:c>
      <x:c r="Y806" s="14" t="n">
        <x:v>7</x:v>
      </x:c>
      <x:c r="Z806" s="6" t="str">
        <x:v>https://github.com/hagenhaeussler/Industrial-Agents-Hackathon-2026/blob/f41616590b69f3ea0c1cbfb41d6c35edd9ce53df/data/train/osm-way19183732/questions_basic.jsonl#L7</x:v>
      </x:c>
      <x:c r="AA806" s="6" t="str">
        <x:v>osm_indoor</x:v>
      </x:c>
      <x:c r="AB806" s="6" t="str">
        <x:v>ODbL-1.0</x:v>
      </x:c>
    </x:row>
    <x:row r="807" ht="124" customHeight="1">
      <x:c r="A807" s="14" t="n">
        <x:v>802</x:v>
      </x:c>
      <x:c r="B807" s="6" t="str">
        <x:v>route</x:v>
      </x:c>
      <x:c r="C807" s="6" t="str">
        <x:v>How do I get from Kopierraum (Ground floor) to Büro (Floor 1)?</x:v>
      </x:c>
      <x:c r="D807" s="6" t="str">
        <x:v>80.43 m
From: Kopierraum
To: Büro
Ordered path (8 spaces): Kopierraum → Flur → Eingangshalle → Stairwell 0.07 → Stairwell 1.17 → Treppenhaus → Flur → Büro</x:v>
      </x:c>
      <x:c r="E807" s="6" t="str">
        <x:v>Reference supplied</x:v>
      </x:c>
      <x:c r="F807" s="6" t="str">
        <x:v>train</x:v>
      </x:c>
      <x:c r="G807" s="6" t="str">
        <x:v>osm-way37850565</x:v>
      </x:c>
      <x:c r="H807" s="6" t="str">
        <x:v>osm-way37850565-Q05</x:v>
      </x:c>
      <x:c r="I807" s="6" t="str">
        <x:v>Route planning</x:v>
      </x:c>
      <x:c r="J807" s="6" t="str">
        <x:v>Warm-up</x:v>
      </x:c>
      <x:c r="K807" s="6" t="str">
        <x:v>Ordered space path and directions, plus total route-model distance in metres.</x:v>
      </x:c>
      <x:c r="L807" s="6" t="str">
        <x:v>T02, T05, T13</x:v>
      </x:c>
      <x:c r="M807" s="6" t="str">
        <x:v>Find a valid route between two rooms, including across floors.</x:v>
      </x:c>
      <x:c r="N807" s="6" t="str">
        <x:v>{"from_space_id":"osm-way37850565-F0-S003","to_space_id":"osm-way37850565-F1-S002","optimal_length_m":80.43,"space_path":["osm-way37850565-F0-S003","osm-way37850565-F0-S001","osm-way37850565-F0-S002","osm-way37850565-F0-S007","osm-way37850565-F1-S017","osm-way37850565-F1-S016","osm-way37850565-F1-S015","osm-way37850565-F1-S002"],"element_path":["osm-way37850565-F0-O0028","osm-way37850565-F0-O0028","osm-way37850565-F0-O0027","osm-way37850565-F0-O0027","osm-way37850565-F0-O0030","osm-way37850565-F0-O0030","osm-way37850565-V01","osm-way37850565-F1-O0025","osm-way37850565-F1-O0025","osm-way37850565-F1-O0008","osm-way37850565-F1-O0008","osm-way37850565-F1-O0018","osm-way37850565-F1-O0018"]}</x:v>
      </x:c>
      <x:c r="O807" s="6"/>
      <x:c r="P807" s="6" t="str">
        <x:v>README routing profile. Stairs and lifts allowed unless stated otherwise.</x:v>
      </x:c>
      <x:c r="Q807" s="15" t="n">
        <x:v>80.43</x:v>
      </x:c>
      <x:c r="R807" s="6" t="str">
        <x:v>m</x:v>
      </x:c>
      <x:c r="S807" s="16"/>
      <x:c r="T807" s="15"/>
      <x:c r="U807" s="6"/>
      <x:c r="V807" s="6"/>
      <x:c r="W807" s="6" t="str">
        <x:v>Existing find_route and show_route implement the kit routing model.</x:v>
      </x:c>
      <x:c r="X807" s="6" t="str">
        <x:v>data/train/osm-way37850565/questions_basic.jsonl</x:v>
      </x:c>
      <x:c r="Y807" s="14" t="n">
        <x:v>5</x:v>
      </x:c>
      <x:c r="Z807" s="6" t="str">
        <x:v>https://github.com/hagenhaeussler/Industrial-Agents-Hackathon-2026/blob/f41616590b69f3ea0c1cbfb41d6c35edd9ce53df/data/train/osm-way37850565/questions_basic.jsonl#L5</x:v>
      </x:c>
      <x:c r="AA807" s="6" t="str">
        <x:v>osm_indoor</x:v>
      </x:c>
      <x:c r="AB807" s="6" t="str">
        <x:v>ODbL-1.0</x:v>
      </x:c>
    </x:row>
    <x:row r="808" ht="110" customHeight="1">
      <x:c r="A808" s="14" t="n">
        <x:v>803</x:v>
      </x:c>
      <x:c r="B808" s="6" t="str">
        <x:v>route</x:v>
      </x:c>
      <x:c r="C808" s="6" t="str">
        <x:v>How do I get from Kitchen 2.05 (Floor 2) to Büro (Floor 1)?</x:v>
      </x:c>
      <x:c r="D808" s="6" t="str">
        <x:v>67.45 m
From: Kitchen 2.05
To: Büro
Ordered path (7 spaces): Kitchen 2.05 → Treppenhaus → Stairwell 2.06 → Stairwell 1.17 → Treppenhaus → Flur → Büro</x:v>
      </x:c>
      <x:c r="E808" s="6" t="str">
        <x:v>Reference supplied</x:v>
      </x:c>
      <x:c r="F808" s="6" t="str">
        <x:v>train</x:v>
      </x:c>
      <x:c r="G808" s="6" t="str">
        <x:v>osm-way37850565</x:v>
      </x:c>
      <x:c r="H808" s="6" t="str">
        <x:v>osm-way37850565-Q06</x:v>
      </x:c>
      <x:c r="I808" s="6" t="str">
        <x:v>Route planning</x:v>
      </x:c>
      <x:c r="J808" s="6" t="str">
        <x:v>Warm-up</x:v>
      </x:c>
      <x:c r="K808" s="6" t="str">
        <x:v>Ordered space path and directions, plus total route-model distance in metres.</x:v>
      </x:c>
      <x:c r="L808" s="6" t="str">
        <x:v>T02, T05, T13</x:v>
      </x:c>
      <x:c r="M808" s="6" t="str">
        <x:v>Find a valid route between two rooms, including across floors.</x:v>
      </x:c>
      <x:c r="N808" s="6" t="str">
        <x:v>{"from_space_id":"osm-way37850565-F2-S005","to_space_id":"osm-way37850565-F1-S006","optimal_length_m":67.45,"space_path":["osm-way37850565-F2-S005","osm-way37850565-F2-S001","osm-way37850565-F2-S006","osm-way37850565-F1-S017","osm-way37850565-F1-S016","osm-way37850565-F1-S015","osm-way37850565-F1-S006"],"element_path":["osm-way37850565-F2-O0003","osm-way37850565-F2-O0003","osm-way37850565-F2-O0022","osm-way37850565-F2-O0022","osm-way37850565-V01","osm-way37850565-F1-O0025","osm-way37850565-F1-O0025","osm-way37850565-F1-O0008","osm-way37850565-F1-O0008","osm-way37850565-F1-O0010","osm-way37850565-F1-O0010"]}</x:v>
      </x:c>
      <x:c r="O808" s="6"/>
      <x:c r="P808" s="6" t="str">
        <x:v>README routing profile. Stairs and lifts allowed unless stated otherwise.</x:v>
      </x:c>
      <x:c r="Q808" s="15" t="n">
        <x:v>67.45</x:v>
      </x:c>
      <x:c r="R808" s="6" t="str">
        <x:v>m</x:v>
      </x:c>
      <x:c r="S808" s="16"/>
      <x:c r="T808" s="15"/>
      <x:c r="U808" s="6"/>
      <x:c r="V808" s="6"/>
      <x:c r="W808" s="6" t="str">
        <x:v>Existing find_route and show_route implement the kit routing model.</x:v>
      </x:c>
      <x:c r="X808" s="6" t="str">
        <x:v>data/train/osm-way37850565/questions_basic.jsonl</x:v>
      </x:c>
      <x:c r="Y808" s="14" t="n">
        <x:v>6</x:v>
      </x:c>
      <x:c r="Z808" s="6" t="str">
        <x:v>https://github.com/hagenhaeussler/Industrial-Agents-Hackathon-2026/blob/f41616590b69f3ea0c1cbfb41d6c35edd9ce53df/data/train/osm-way37850565/questions_basic.jsonl#L6</x:v>
      </x:c>
      <x:c r="AA808" s="6" t="str">
        <x:v>osm_indoor</x:v>
      </x:c>
      <x:c r="AB808" s="6" t="str">
        <x:v>ODbL-1.0</x:v>
      </x:c>
    </x:row>
    <x:row r="809" ht="138" customHeight="1">
      <x:c r="A809" s="14" t="n">
        <x:v>804</x:v>
      </x:c>
      <x:c r="B809" s="6" t="str">
        <x:v>route</x:v>
      </x:c>
      <x:c r="C809" s="6" t="str">
        <x:v>How do I get from Büro (Ground floor) to Toilet 2.03 (Floor 2)?</x:v>
      </x:c>
      <x:c r="D809" s="6" t="str">
        <x:v>59.16 m
From: Büro
To: Toilet 2.03
Ordered path (9 spaces): Büro → Flur → Eingangshalle → Stairwell 0.07 → Stairwell 1.17 → Stairwell 2.06 → Treppenhaus → Foyer → Toilet 2.03</x:v>
      </x:c>
      <x:c r="E809" s="6" t="str">
        <x:v>Reference supplied</x:v>
      </x:c>
      <x:c r="F809" s="6" t="str">
        <x:v>train</x:v>
      </x:c>
      <x:c r="G809" s="6" t="str">
        <x:v>osm-way37850565</x:v>
      </x:c>
      <x:c r="H809" s="6" t="str">
        <x:v>osm-way37850565-Q07</x:v>
      </x:c>
      <x:c r="I809" s="6" t="str">
        <x:v>Route planning</x:v>
      </x:c>
      <x:c r="J809" s="6" t="str">
        <x:v>Warm-up</x:v>
      </x:c>
      <x:c r="K809" s="6" t="str">
        <x:v>Ordered space path and directions, plus total route-model distance in metres.</x:v>
      </x:c>
      <x:c r="L809" s="6" t="str">
        <x:v>T02, T05, T13</x:v>
      </x:c>
      <x:c r="M809" s="6" t="str">
        <x:v>Find a valid route between two rooms, including across floors.</x:v>
      </x:c>
      <x:c r="N809" s="6" t="str">
        <x:v>{"from_space_id":"osm-way37850565-F0-S011","to_space_id":"osm-way37850565-F2-S003","optimal_length_m":59.16,"space_path":["osm-way37850565-F0-S011","osm-way37850565-F0-S001","osm-way37850565-F0-S002","osm-way37850565-F0-S007","osm-way37850565-F1-S017","osm-way37850565-F2-S006","osm-way37850565-F2-S001","osm-way37850565-F2-S002","osm-way37850565-F2-S003"],"element_path":["osm-way37850565-F0-O0034","osm-way37850565-F0-O0034","osm-way37850565-F0-O0027","osm-way37850565-F0-O0027","osm-way37850565-F0-O0030","osm-way37850565-F0-O0030","osm-way37850565-V01","osm-way37850565-V01","osm-way37850565-F2-O0022","osm-way37850565-F2-O0022","osm-way37850565-F2-O0004","osm-way37850565-F2-O0004","osm-way37850565-F2-O0005","osm-way37850565-F2-O0005"]}</x:v>
      </x:c>
      <x:c r="O809" s="6"/>
      <x:c r="P809" s="6" t="str">
        <x:v>README routing profile. Stairs and lifts allowed unless stated otherwise.</x:v>
      </x:c>
      <x:c r="Q809" s="15" t="n">
        <x:v>59.16</x:v>
      </x:c>
      <x:c r="R809" s="6" t="str">
        <x:v>m</x:v>
      </x:c>
      <x:c r="S809" s="16"/>
      <x:c r="T809" s="15"/>
      <x:c r="U809" s="6"/>
      <x:c r="V809" s="6"/>
      <x:c r="W809" s="6" t="str">
        <x:v>Existing find_route and show_route implement the kit routing model.</x:v>
      </x:c>
      <x:c r="X809" s="6" t="str">
        <x:v>data/train/osm-way37850565/questions_basic.jsonl</x:v>
      </x:c>
      <x:c r="Y809" s="14" t="n">
        <x:v>7</x:v>
      </x:c>
      <x:c r="Z809" s="6" t="str">
        <x:v>https://github.com/hagenhaeussler/Industrial-Agents-Hackathon-2026/blob/f41616590b69f3ea0c1cbfb41d6c35edd9ce53df/data/train/osm-way37850565/questions_basic.jsonl#L7</x:v>
      </x:c>
      <x:c r="AA809" s="6" t="str">
        <x:v>osm_indoor</x:v>
      </x:c>
      <x:c r="AB809" s="6" t="str">
        <x:v>ODbL-1.0</x:v>
      </x:c>
    </x:row>
    <x:row r="810" ht="82" customHeight="1">
      <x:c r="A810" s="14" t="n">
        <x:v>805</x:v>
      </x:c>
      <x:c r="B810" s="6" t="str">
        <x:v>route</x:v>
      </x:c>
      <x:c r="C810" s="6" t="str">
        <x:v>How do I get from Library 1.103 (Floor 2) to Generic room 1.109 (Floor 2)?</x:v>
      </x:c>
      <x:c r="D810" s="6" t="str">
        <x:v>21.12 m
From: Library 1.103
To: Generic room 1.109
Ordered path (3 spaces): Library 1.103 → Corridor 2.16 → Generic room 1.109</x:v>
      </x:c>
      <x:c r="E810" s="6" t="str">
        <x:v>Reference supplied</x:v>
      </x:c>
      <x:c r="F810" s="6" t="str">
        <x:v>train</x:v>
      </x:c>
      <x:c r="G810" s="6" t="str">
        <x:v>osm-way476929995</x:v>
      </x:c>
      <x:c r="H810" s="6" t="str">
        <x:v>osm-way476929995-Q05</x:v>
      </x:c>
      <x:c r="I810" s="6" t="str">
        <x:v>Route planning</x:v>
      </x:c>
      <x:c r="J810" s="6" t="str">
        <x:v>Warm-up</x:v>
      </x:c>
      <x:c r="K810" s="6" t="str">
        <x:v>Ordered space path and directions, plus total route-model distance in metres.</x:v>
      </x:c>
      <x:c r="L810" s="6" t="str">
        <x:v>T02, T05, T13</x:v>
      </x:c>
      <x:c r="M810" s="6" t="str">
        <x:v>Find a valid route between two rooms, including across floors.</x:v>
      </x:c>
      <x:c r="N810" s="6" t="str">
        <x:v>{"from_space_id":"osm-way476929995-F2-S006","to_space_id":"osm-way476929995-F2-S011","optimal_length_m":21.12,"space_path":["osm-way476929995-F2-S006","osm-way476929995-F2-S016","osm-way476929995-F2-S011"],"element_path":["osm-way476929995-F2-O0043","osm-way476929995-F2-O0043","osm-way476929995-F2-O0038","osm-way476929995-F2-O0038"]}</x:v>
      </x:c>
      <x:c r="O810" s="6"/>
      <x:c r="P810" s="6" t="str">
        <x:v>README routing profile. Stairs and lifts allowed unless stated otherwise.</x:v>
      </x:c>
      <x:c r="Q810" s="15" t="n">
        <x:v>21.12</x:v>
      </x:c>
      <x:c r="R810" s="6" t="str">
        <x:v>m</x:v>
      </x:c>
      <x:c r="S810" s="16"/>
      <x:c r="T810" s="15"/>
      <x:c r="U810" s="6"/>
      <x:c r="V810" s="6"/>
      <x:c r="W810" s="6" t="str">
        <x:v>Existing find_route and show_route implement the kit routing model.</x:v>
      </x:c>
      <x:c r="X810" s="6" t="str">
        <x:v>data/train/osm-way476929995/questions_basic.jsonl</x:v>
      </x:c>
      <x:c r="Y810" s="14" t="n">
        <x:v>5</x:v>
      </x:c>
      <x:c r="Z810" s="6" t="str">
        <x:v>https://github.com/hagenhaeussler/Industrial-Agents-Hackathon-2026/blob/f41616590b69f3ea0c1cbfb41d6c35edd9ce53df/data/train/osm-way476929995/questions_basic.jsonl#L5</x:v>
      </x:c>
      <x:c r="AA810" s="6" t="str">
        <x:v>osm_indoor</x:v>
      </x:c>
      <x:c r="AB810" s="6" t="str">
        <x:v>ODbL-1.0</x:v>
      </x:c>
    </x:row>
    <x:row r="811" ht="72" customHeight="1">
      <x:c r="A811" s="14" t="n">
        <x:v>806</x:v>
      </x:c>
      <x:c r="B811" s="6" t="str">
        <x:v>route</x:v>
      </x:c>
      <x:c r="C811" s="6" t="str">
        <x:v>How do I get from Toilet U.010 (Basement 1) to Bathroom U.012 (Basement 1)?</x:v>
      </x:c>
      <x:c r="D811" s="6" t="str">
        <x:v>23.66 m
From: Toilet U.010
To: Bathroom U.012
Ordered path (3 spaces): Toilet U.010 → Corridor -1.07 → Bathroom U.012</x:v>
      </x:c>
      <x:c r="E811" s="6" t="str">
        <x:v>Reference supplied</x:v>
      </x:c>
      <x:c r="F811" s="6" t="str">
        <x:v>train</x:v>
      </x:c>
      <x:c r="G811" s="6" t="str">
        <x:v>osm-way476929995</x:v>
      </x:c>
      <x:c r="H811" s="6" t="str">
        <x:v>osm-way476929995-Q06</x:v>
      </x:c>
      <x:c r="I811" s="6" t="str">
        <x:v>Route planning</x:v>
      </x:c>
      <x:c r="J811" s="6" t="str">
        <x:v>Warm-up</x:v>
      </x:c>
      <x:c r="K811" s="6" t="str">
        <x:v>Ordered space path and directions, plus total route-model distance in metres.</x:v>
      </x:c>
      <x:c r="L811" s="6" t="str">
        <x:v>T02, T05, T13</x:v>
      </x:c>
      <x:c r="M811" s="6" t="str">
        <x:v>Find a valid route between two rooms, including across floors.</x:v>
      </x:c>
      <x:c r="N811" s="6" t="str">
        <x:v>{"from_space_id":"osm-way476929995-F-1-S003","to_space_id":"osm-way476929995-F-1-S004","optimal_length_m":23.66,"space_path":["osm-way476929995-F-1-S003","osm-way476929995-F-1-S007","osm-way476929995-F-1-S004"],"element_path":["osm-way476929995-F-1-O0057","osm-way476929995-F-1-O0057","osm-way476929995-F-1-O0058","osm-way476929995-F-1-O0058"]}</x:v>
      </x:c>
      <x:c r="O811" s="6"/>
      <x:c r="P811" s="6" t="str">
        <x:v>README routing profile. Stairs and lifts allowed unless stated otherwise.</x:v>
      </x:c>
      <x:c r="Q811" s="15" t="n">
        <x:v>23.66</x:v>
      </x:c>
      <x:c r="R811" s="6" t="str">
        <x:v>m</x:v>
      </x:c>
      <x:c r="S811" s="16"/>
      <x:c r="T811" s="15"/>
      <x:c r="U811" s="6"/>
      <x:c r="V811" s="6"/>
      <x:c r="W811" s="6" t="str">
        <x:v>Existing find_route and show_route implement the kit routing model.</x:v>
      </x:c>
      <x:c r="X811" s="6" t="str">
        <x:v>data/train/osm-way476929995/questions_basic.jsonl</x:v>
      </x:c>
      <x:c r="Y811" s="14" t="n">
        <x:v>6</x:v>
      </x:c>
      <x:c r="Z811" s="6" t="str">
        <x:v>https://github.com/hagenhaeussler/Industrial-Agents-Hackathon-2026/blob/f41616590b69f3ea0c1cbfb41d6c35edd9ce53df/data/train/osm-way476929995/questions_basic.jsonl#L6</x:v>
      </x:c>
      <x:c r="AA811" s="6" t="str">
        <x:v>osm_indoor</x:v>
      </x:c>
      <x:c r="AB811" s="6" t="str">
        <x:v>ODbL-1.0</x:v>
      </x:c>
    </x:row>
    <x:row r="812" ht="110" customHeight="1">
      <x:c r="A812" s="14" t="n">
        <x:v>807</x:v>
      </x:c>
      <x:c r="B812" s="6" t="str">
        <x:v>route</x:v>
      </x:c>
      <x:c r="C812" s="6" t="str">
        <x:v>How do I get from Library 1.07 (Floor 1) to Library 1.112 (Floor 2)?</x:v>
      </x:c>
      <x:c r="D812" s="6" t="str">
        <x:v>44.38 m
From: Library 1.07
To: Library 1.112
Ordered path (6 spaces): Library 1.07 → Library 1.06 → outside → Corridor 2.16 → Corridor 2.03 → Library 1.112</x:v>
      </x:c>
      <x:c r="E812" s="6" t="str">
        <x:v>Reference supplied</x:v>
      </x:c>
      <x:c r="F812" s="6" t="str">
        <x:v>train</x:v>
      </x:c>
      <x:c r="G812" s="6" t="str">
        <x:v>osm-way476929995</x:v>
      </x:c>
      <x:c r="H812" s="6" t="str">
        <x:v>osm-way476929995-Q07</x:v>
      </x:c>
      <x:c r="I812" s="6" t="str">
        <x:v>Route planning</x:v>
      </x:c>
      <x:c r="J812" s="6" t="str">
        <x:v>Warm-up</x:v>
      </x:c>
      <x:c r="K812" s="6" t="str">
        <x:v>Ordered space path and directions, plus total route-model distance in metres.</x:v>
      </x:c>
      <x:c r="L812" s="6" t="str">
        <x:v>T02, T05, T13</x:v>
      </x:c>
      <x:c r="M812" s="6" t="str">
        <x:v>Find a valid route between two rooms, including across floors.</x:v>
      </x:c>
      <x:c r="N812" s="6" t="str">
        <x:v>{"from_space_id":"osm-way476929995-F1-S007","to_space_id":"osm-way476929995-F2-S014","optimal_length_m":44.38,"space_path":["osm-way476929995-F1-S007","osm-way476929995-F1-S006","outside","osm-way476929995-F2-S016","osm-way476929995-F2-S003","osm-way476929995-F2-S014"],"element_path":["osm-way476929995-F1-O0010","osm-way476929995-F1-O0010","osm-way476929995-F1-O0066","osm-way476929995-F1-O0066","osm-way476929995-F2-O0026","osm-way476929995-F2-O0026","osm-way476929995-F2-O0017","osm-way476929995-F2-O0017","osm-way476929995-F2-O0033","osm-way476929995-F2-O0033"]}</x:v>
      </x:c>
      <x:c r="O812" s="6"/>
      <x:c r="P812" s="6" t="str">
        <x:v>README routing profile. Stairs and lifts allowed unless stated otherwise.</x:v>
      </x:c>
      <x:c r="Q812" s="15" t="n">
        <x:v>44.38</x:v>
      </x:c>
      <x:c r="R812" s="6" t="str">
        <x:v>m</x:v>
      </x:c>
      <x:c r="S812" s="16"/>
      <x:c r="T812" s="15"/>
      <x:c r="U812" s="6"/>
      <x:c r="V812" s="6"/>
      <x:c r="W812" s="6" t="str">
        <x:v>Existing find_route and show_route implement the kit routing model.</x:v>
      </x:c>
      <x:c r="X812" s="6" t="str">
        <x:v>data/train/osm-way476929995/questions_basic.jsonl</x:v>
      </x:c>
      <x:c r="Y812" s="14" t="n">
        <x:v>7</x:v>
      </x:c>
      <x:c r="Z812" s="6" t="str">
        <x:v>https://github.com/hagenhaeussler/Industrial-Agents-Hackathon-2026/blob/f41616590b69f3ea0c1cbfb41d6c35edd9ce53df/data/train/osm-way476929995/questions_basic.jsonl#L7</x:v>
      </x:c>
      <x:c r="AA812" s="6" t="str">
        <x:v>osm_indoor</x:v>
      </x:c>
      <x:c r="AB812" s="6" t="str">
        <x:v>ODbL-1.0</x:v>
      </x:c>
    </x:row>
    <x:row r="813" ht="96" customHeight="1">
      <x:c r="A813" s="14" t="n">
        <x:v>808</x:v>
      </x:c>
      <x:c r="B813" s="6" t="str">
        <x:v>route</x:v>
      </x:c>
      <x:c r="C813" s="6" t="str">
        <x:v>How do I get from Generic room 3402 (Floor 3) to Generic room 3419 (Floor 3)?</x:v>
      </x:c>
      <x:c r="D813" s="6" t="str">
        <x:v>55.32 m
From: Generic room 3402
To: Generic room 3419
Ordered path (5 spaces): Generic room 3402 → Corridor 3412 → Stairwell 3414 → Corridor 3429 → Generic room 3419</x:v>
      </x:c>
      <x:c r="E813" s="6" t="str">
        <x:v>Reference supplied</x:v>
      </x:c>
      <x:c r="F813" s="6" t="str">
        <x:v>train</x:v>
      </x:c>
      <x:c r="G813" s="6" t="str">
        <x:v>osm-way50299720</x:v>
      </x:c>
      <x:c r="H813" s="6" t="str">
        <x:v>osm-way50299720-Q03</x:v>
      </x:c>
      <x:c r="I813" s="6" t="str">
        <x:v>Route planning</x:v>
      </x:c>
      <x:c r="J813" s="6" t="str">
        <x:v>Warm-up</x:v>
      </x:c>
      <x:c r="K813" s="6" t="str">
        <x:v>Ordered space path and directions, plus total route-model distance in metres.</x:v>
      </x:c>
      <x:c r="L813" s="6" t="str">
        <x:v>T02, T05, T13</x:v>
      </x:c>
      <x:c r="M813" s="6" t="str">
        <x:v>Find a valid route between two rooms, including across floors.</x:v>
      </x:c>
      <x:c r="N813" s="6" t="str">
        <x:v>{"from_space_id":"osm-way50299720-F3-S024","to_space_id":"osm-way50299720-F3-S023","optimal_length_m":55.32,"space_path":["osm-way50299720-F3-S024","osm-way50299720-F3-S007","osm-way50299720-F3-S034","osm-way50299720-F3-S017","osm-way50299720-F3-S023"],"element_path":["osm-way50299720-F3-O0192","osm-way50299720-F3-O0192","osm-way50299720-F3-O0209","osm-way50299720-F3-O0209","osm-way50299720-F3-O0208","osm-way50299720-F3-O0208","osm-way50299720-F3-O0190","osm-way50299720-F3-O0190"]}</x:v>
      </x:c>
      <x:c r="O813" s="6"/>
      <x:c r="P813" s="6" t="str">
        <x:v>README routing profile. Stairs and lifts allowed unless stated otherwise.</x:v>
      </x:c>
      <x:c r="Q813" s="15" t="n">
        <x:v>55.32</x:v>
      </x:c>
      <x:c r="R813" s="6" t="str">
        <x:v>m</x:v>
      </x:c>
      <x:c r="S813" s="16"/>
      <x:c r="T813" s="15"/>
      <x:c r="U813" s="6"/>
      <x:c r="V813" s="6"/>
      <x:c r="W813" s="6" t="str">
        <x:v>Existing find_route and show_route implement the kit routing model.</x:v>
      </x:c>
      <x:c r="X813" s="6" t="str">
        <x:v>data/train/osm-way50299720/questions_basic.jsonl</x:v>
      </x:c>
      <x:c r="Y813" s="14" t="n">
        <x:v>3</x:v>
      </x:c>
      <x:c r="Z813" s="6" t="str">
        <x:v>https://github.com/hagenhaeussler/Industrial-Agents-Hackathon-2026/blob/f41616590b69f3ea0c1cbfb41d6c35edd9ce53df/data/train/osm-way50299720/questions_basic.jsonl#L3</x:v>
      </x:c>
      <x:c r="AA813" s="6" t="str">
        <x:v>osm_indoor</x:v>
      </x:c>
      <x:c r="AB813" s="6" t="str">
        <x:v>ODbL-1.0</x:v>
      </x:c>
    </x:row>
    <x:row r="814" ht="82" customHeight="1">
      <x:c r="A814" s="14" t="n">
        <x:v>809</x:v>
      </x:c>
      <x:c r="B814" s="6" t="str">
        <x:v>route</x:v>
      </x:c>
      <x:c r="C814" s="6" t="str">
        <x:v>How do I get from Generic room 0409 (Ground floor) to Generic room 0415 (Ground floor)?</x:v>
      </x:c>
      <x:c r="D814" s="6" t="str">
        <x:v>16.64 m
From: Generic room 0409
To: Generic room 0415
Ordered path (4 spaces): Generic room 0409 → Corridor 0413 → Generic room 0411 → Generic room 0415</x:v>
      </x:c>
      <x:c r="E814" s="6" t="str">
        <x:v>Reference supplied</x:v>
      </x:c>
      <x:c r="F814" s="6" t="str">
        <x:v>train</x:v>
      </x:c>
      <x:c r="G814" s="6" t="str">
        <x:v>osm-way50299720</x:v>
      </x:c>
      <x:c r="H814" s="6" t="str">
        <x:v>osm-way50299720-Q04</x:v>
      </x:c>
      <x:c r="I814" s="6" t="str">
        <x:v>Route planning</x:v>
      </x:c>
      <x:c r="J814" s="6" t="str">
        <x:v>Warm-up</x:v>
      </x:c>
      <x:c r="K814" s="6" t="str">
        <x:v>Ordered space path and directions, plus total route-model distance in metres.</x:v>
      </x:c>
      <x:c r="L814" s="6" t="str">
        <x:v>T02, T05, T13</x:v>
      </x:c>
      <x:c r="M814" s="6" t="str">
        <x:v>Find a valid route between two rooms, including across floors.</x:v>
      </x:c>
      <x:c r="N814" s="6" t="str">
        <x:v>{"from_space_id":"osm-way50299720-F0-S020","to_space_id":"osm-way50299720-F0-S027","optimal_length_m":16.64,"space_path":["osm-way50299720-F0-S020","osm-way50299720-F0-S001","osm-way50299720-F0-S006","osm-way50299720-F0-S027"],"element_path":["osm-way50299720-F0-O0011","osm-way50299720-F0-O0011","osm-way50299720-F0-O0027","osm-way50299720-F0-O0027","osm-way50299720-F0-O0034","osm-way50299720-F0-O0034"]}</x:v>
      </x:c>
      <x:c r="O814" s="6"/>
      <x:c r="P814" s="6" t="str">
        <x:v>README routing profile. Stairs and lifts allowed unless stated otherwise.</x:v>
      </x:c>
      <x:c r="Q814" s="15" t="n">
        <x:v>16.64</x:v>
      </x:c>
      <x:c r="R814" s="6" t="str">
        <x:v>m</x:v>
      </x:c>
      <x:c r="S814" s="16"/>
      <x:c r="T814" s="15"/>
      <x:c r="U814" s="6"/>
      <x:c r="V814" s="6"/>
      <x:c r="W814" s="6" t="str">
        <x:v>Existing find_route and show_route implement the kit routing model.</x:v>
      </x:c>
      <x:c r="X814" s="6" t="str">
        <x:v>data/train/osm-way50299720/questions_basic.jsonl</x:v>
      </x:c>
      <x:c r="Y814" s="14" t="n">
        <x:v>4</x:v>
      </x:c>
      <x:c r="Z814" s="6" t="str">
        <x:v>https://github.com/hagenhaeussler/Industrial-Agents-Hackathon-2026/blob/f41616590b69f3ea0c1cbfb41d6c35edd9ce53df/data/train/osm-way50299720/questions_basic.jsonl#L4</x:v>
      </x:c>
      <x:c r="AA814" s="6" t="str">
        <x:v>osm_indoor</x:v>
      </x:c>
      <x:c r="AB814" s="6" t="str">
        <x:v>ODbL-1.0</x:v>
      </x:c>
    </x:row>
    <x:row r="815" ht="96" customHeight="1">
      <x:c r="A815" s="14" t="n">
        <x:v>810</x:v>
      </x:c>
      <x:c r="B815" s="6" t="str">
        <x:v>route</x:v>
      </x:c>
      <x:c r="C815" s="6" t="str">
        <x:v>How do I get from Generic room -1423 (Basement 1) to Generic room -1424 (Basement 1)?</x:v>
      </x:c>
      <x:c r="D815" s="6" t="str">
        <x:v>25.79 m
From: Generic room -1423
To: Generic room -1424
Ordered path (5 spaces): Generic room -1423 → Corridor -1431 → Corridor -1426A → Corridor -1424B → Generic room -1424</x:v>
      </x:c>
      <x:c r="E815" s="6" t="str">
        <x:v>Reference supplied</x:v>
      </x:c>
      <x:c r="F815" s="6" t="str">
        <x:v>train</x:v>
      </x:c>
      <x:c r="G815" s="6" t="str">
        <x:v>osm-way50299720</x:v>
      </x:c>
      <x:c r="H815" s="6" t="str">
        <x:v>osm-way50299720-Q05</x:v>
      </x:c>
      <x:c r="I815" s="6" t="str">
        <x:v>Route planning</x:v>
      </x:c>
      <x:c r="J815" s="6" t="str">
        <x:v>Warm-up</x:v>
      </x:c>
      <x:c r="K815" s="6" t="str">
        <x:v>Ordered space path and directions, plus total route-model distance in metres.</x:v>
      </x:c>
      <x:c r="L815" s="6" t="str">
        <x:v>T02, T05, T13</x:v>
      </x:c>
      <x:c r="M815" s="6" t="str">
        <x:v>Find a valid route between two rooms, including across floors.</x:v>
      </x:c>
      <x:c r="N815" s="6" t="str">
        <x:v>{"from_space_id":"osm-way50299720-F-1-S003","to_space_id":"osm-way50299720-F-1-S040","optimal_length_m":25.79,"space_path":["osm-way50299720-F-1-S003","osm-way50299720-F-1-S019","osm-way50299720-F-1-S036","osm-way50299720-F-1-S018","osm-way50299720-F-1-S040"],"element_path":["osm-way50299720-F-1-O0043","osm-way50299720-F-1-O0043","osm-way50299720-F-1-O0069","osm-way50299720-F-1-O0069","osm-way50299720-F-1-O0070","osm-way50299720-F-1-O0070","osm-way50299720-F-1-O0079","osm-way50299720-F-1-O0079"]}</x:v>
      </x:c>
      <x:c r="O815" s="6"/>
      <x:c r="P815" s="6" t="str">
        <x:v>README routing profile. Stairs and lifts allowed unless stated otherwise.</x:v>
      </x:c>
      <x:c r="Q815" s="15" t="n">
        <x:v>25.79</x:v>
      </x:c>
      <x:c r="R815" s="6" t="str">
        <x:v>m</x:v>
      </x:c>
      <x:c r="S815" s="16"/>
      <x:c r="T815" s="15"/>
      <x:c r="U815" s="6"/>
      <x:c r="V815" s="6"/>
      <x:c r="W815" s="6" t="str">
        <x:v>Existing find_route and show_route implement the kit routing model.</x:v>
      </x:c>
      <x:c r="X815" s="6" t="str">
        <x:v>data/train/osm-way50299720/questions_basic.jsonl</x:v>
      </x:c>
      <x:c r="Y815" s="14" t="n">
        <x:v>5</x:v>
      </x:c>
      <x:c r="Z815" s="6" t="str">
        <x:v>https://github.com/hagenhaeussler/Industrial-Agents-Hackathon-2026/blob/f41616590b69f3ea0c1cbfb41d6c35edd9ce53df/data/train/osm-way50299720/questions_basic.jsonl#L5</x:v>
      </x:c>
      <x:c r="AA815" s="6" t="str">
        <x:v>osm_indoor</x:v>
      </x:c>
      <x:c r="AB815" s="6" t="str">
        <x:v>ODbL-1.0</x:v>
      </x:c>
    </x:row>
    <x:row r="816" ht="72" customHeight="1">
      <x:c r="A816" s="14" t="n">
        <x:v>811</x:v>
      </x:c>
      <x:c r="B816" s="6" t="str">
        <x:v>route</x:v>
      </x:c>
      <x:c r="C816" s="6" t="str">
        <x:v>How do I get from Vanny Nails (Floor 1) to eyes and more (Floor 1)?</x:v>
      </x:c>
      <x:c r="D816" s="6" t="str">
        <x:v>9.85 m
From: Vanny Nails
To: eyes and more
Ordered path (3 spaces): Vanny Nails → outside → eyes and more</x:v>
      </x:c>
      <x:c r="E816" s="6" t="str">
        <x:v>Reference supplied</x:v>
      </x:c>
      <x:c r="F816" s="6" t="str">
        <x:v>train</x:v>
      </x:c>
      <x:c r="G816" s="6" t="str">
        <x:v>osm-way52060470</x:v>
      </x:c>
      <x:c r="H816" s="6" t="str">
        <x:v>osm-way52060470-Q04</x:v>
      </x:c>
      <x:c r="I816" s="6" t="str">
        <x:v>Route planning</x:v>
      </x:c>
      <x:c r="J816" s="6" t="str">
        <x:v>Warm-up</x:v>
      </x:c>
      <x:c r="K816" s="6" t="str">
        <x:v>Ordered space path and directions, plus total route-model distance in metres.</x:v>
      </x:c>
      <x:c r="L816" s="6" t="str">
        <x:v>T02, T05, T13</x:v>
      </x:c>
      <x:c r="M816" s="6" t="str">
        <x:v>Find a valid route between two rooms, including across floors.</x:v>
      </x:c>
      <x:c r="N816" s="6" t="str">
        <x:v>{"from_space_id":"osm-way52060470-F1-S033","to_space_id":"osm-way52060470-F1-S044","optimal_length_m":9.85,"space_path":["osm-way52060470-F1-S033","outside","osm-way52060470-F1-S044"],"element_path":["osm-way52060470-F1-O0111","osm-way52060470-F1-O0111","osm-way52060470-F1-O0129","osm-way52060470-F1-O0129"]}</x:v>
      </x:c>
      <x:c r="O816" s="6"/>
      <x:c r="P816" s="6" t="str">
        <x:v>README routing profile. Stairs and lifts allowed unless stated otherwise.</x:v>
      </x:c>
      <x:c r="Q816" s="15" t="n">
        <x:v>9.85</x:v>
      </x:c>
      <x:c r="R816" s="6" t="str">
        <x:v>m</x:v>
      </x:c>
      <x:c r="S816" s="16"/>
      <x:c r="T816" s="15"/>
      <x:c r="U816" s="6"/>
      <x:c r="V816" s="6"/>
      <x:c r="W816" s="6" t="str">
        <x:v>Existing find_route and show_route implement the kit routing model.</x:v>
      </x:c>
      <x:c r="X816" s="6" t="str">
        <x:v>data/train/osm-way52060470/questions_basic.jsonl</x:v>
      </x:c>
      <x:c r="Y816" s="14" t="n">
        <x:v>4</x:v>
      </x:c>
      <x:c r="Z816" s="6" t="str">
        <x:v>https://github.com/hagenhaeussler/Industrial-Agents-Hackathon-2026/blob/f41616590b69f3ea0c1cbfb41d6c35edd9ce53df/data/train/osm-way52060470/questions_basic.jsonl#L4</x:v>
      </x:c>
      <x:c r="AA816" s="6" t="str">
        <x:v>osm_indoor</x:v>
      </x:c>
      <x:c r="AB816" s="6" t="str">
        <x:v>ODbL-1.0</x:v>
      </x:c>
    </x:row>
    <x:row r="817" ht="72" customHeight="1">
      <x:c r="A817" s="14" t="n">
        <x:v>812</x:v>
      </x:c>
      <x:c r="B817" s="6" t="str">
        <x:v>route</x:v>
      </x:c>
      <x:c r="C817" s="6" t="str">
        <x:v>How do I get from Rituals (Ground floor) to Papeterie BATHELT (Basement 1)?</x:v>
      </x:c>
      <x:c r="D817" s="6" t="str">
        <x:v>16.8 m
From: Rituals
To: Papeterie BATHELT
Ordered path (3 spaces): Rituals → outside → Papeterie BATHELT</x:v>
      </x:c>
      <x:c r="E817" s="6" t="str">
        <x:v>Reference supplied</x:v>
      </x:c>
      <x:c r="F817" s="6" t="str">
        <x:v>train</x:v>
      </x:c>
      <x:c r="G817" s="6" t="str">
        <x:v>osm-way52060470</x:v>
      </x:c>
      <x:c r="H817" s="6" t="str">
        <x:v>osm-way52060470-Q05</x:v>
      </x:c>
      <x:c r="I817" s="6" t="str">
        <x:v>Route planning</x:v>
      </x:c>
      <x:c r="J817" s="6" t="str">
        <x:v>Warm-up</x:v>
      </x:c>
      <x:c r="K817" s="6" t="str">
        <x:v>Ordered space path and directions, plus total route-model distance in metres.</x:v>
      </x:c>
      <x:c r="L817" s="6" t="str">
        <x:v>T02, T05, T13</x:v>
      </x:c>
      <x:c r="M817" s="6" t="str">
        <x:v>Find a valid route between two rooms, including across floors.</x:v>
      </x:c>
      <x:c r="N817" s="6" t="str">
        <x:v>{"from_space_id":"osm-way52060470-F0-S022","to_space_id":"osm-way52060470-F-1-S020","optimal_length_m":16.8,"space_path":["osm-way52060470-F0-S022","outside","osm-way52060470-F-1-S020"],"element_path":["osm-way52060470-F0-O0108","osm-way52060470-F0-O0108","osm-way52060470-F-1-O0046","osm-way52060470-F-1-O0046"]}</x:v>
      </x:c>
      <x:c r="O817" s="6"/>
      <x:c r="P817" s="6" t="str">
        <x:v>README routing profile. Stairs and lifts allowed unless stated otherwise.</x:v>
      </x:c>
      <x:c r="Q817" s="15" t="n">
        <x:v>16.8</x:v>
      </x:c>
      <x:c r="R817" s="6" t="str">
        <x:v>m</x:v>
      </x:c>
      <x:c r="S817" s="16"/>
      <x:c r="T817" s="15"/>
      <x:c r="U817" s="6"/>
      <x:c r="V817" s="6"/>
      <x:c r="W817" s="6" t="str">
        <x:v>Existing find_route and show_route implement the kit routing model.</x:v>
      </x:c>
      <x:c r="X817" s="6" t="str">
        <x:v>data/train/osm-way52060470/questions_basic.jsonl</x:v>
      </x:c>
      <x:c r="Y817" s="14" t="n">
        <x:v>5</x:v>
      </x:c>
      <x:c r="Z817" s="6" t="str">
        <x:v>https://github.com/hagenhaeussler/Industrial-Agents-Hackathon-2026/blob/f41616590b69f3ea0c1cbfb41d6c35edd9ce53df/data/train/osm-way52060470/questions_basic.jsonl#L5</x:v>
      </x:c>
      <x:c r="AA817" s="6" t="str">
        <x:v>osm_indoor</x:v>
      </x:c>
      <x:c r="AB817" s="6" t="str">
        <x:v>ODbL-1.0</x:v>
      </x:c>
    </x:row>
    <x:row r="818" ht="72" customHeight="1">
      <x:c r="A818" s="14" t="n">
        <x:v>813</x:v>
      </x:c>
      <x:c r="B818" s="6" t="str">
        <x:v>route</x:v>
      </x:c>
      <x:c r="C818" s="6" t="str">
        <x:v>How do I get from Swarovski (Ground floor) to claire's (Ground floor)?</x:v>
      </x:c>
      <x:c r="D818" s="6" t="str">
        <x:v>9.95 m
From: Swarovski
To: claire's
Ordered path (3 spaces): Swarovski → outside → claire's</x:v>
      </x:c>
      <x:c r="E818" s="6" t="str">
        <x:v>Reference supplied</x:v>
      </x:c>
      <x:c r="F818" s="6" t="str">
        <x:v>train</x:v>
      </x:c>
      <x:c r="G818" s="6" t="str">
        <x:v>osm-way52060470</x:v>
      </x:c>
      <x:c r="H818" s="6" t="str">
        <x:v>osm-way52060470-Q06</x:v>
      </x:c>
      <x:c r="I818" s="6" t="str">
        <x:v>Route planning</x:v>
      </x:c>
      <x:c r="J818" s="6" t="str">
        <x:v>Warm-up</x:v>
      </x:c>
      <x:c r="K818" s="6" t="str">
        <x:v>Ordered space path and directions, plus total route-model distance in metres.</x:v>
      </x:c>
      <x:c r="L818" s="6" t="str">
        <x:v>T02, T05, T13</x:v>
      </x:c>
      <x:c r="M818" s="6" t="str">
        <x:v>Find a valid route between two rooms, including across floors.</x:v>
      </x:c>
      <x:c r="N818" s="6" t="str">
        <x:v>{"from_space_id":"osm-way52060470-F0-S021","to_space_id":"osm-way52060470-F0-S037","optimal_length_m":9.95,"space_path":["osm-way52060470-F0-S021","outside","osm-way52060470-F0-S037"],"element_path":["osm-way52060470-F0-O0096","osm-way52060470-F0-O0096","osm-way52060470-F0-O0068","osm-way52060470-F0-O0068"]}</x:v>
      </x:c>
      <x:c r="O818" s="6"/>
      <x:c r="P818" s="6" t="str">
        <x:v>README routing profile. Stairs and lifts allowed unless stated otherwise.</x:v>
      </x:c>
      <x:c r="Q818" s="15" t="n">
        <x:v>9.95</x:v>
      </x:c>
      <x:c r="R818" s="6" t="str">
        <x:v>m</x:v>
      </x:c>
      <x:c r="S818" s="16"/>
      <x:c r="T818" s="15"/>
      <x:c r="U818" s="6"/>
      <x:c r="V818" s="6"/>
      <x:c r="W818" s="6" t="str">
        <x:v>Existing find_route and show_route implement the kit routing model.</x:v>
      </x:c>
      <x:c r="X818" s="6" t="str">
        <x:v>data/train/osm-way52060470/questions_basic.jsonl</x:v>
      </x:c>
      <x:c r="Y818" s="14" t="n">
        <x:v>6</x:v>
      </x:c>
      <x:c r="Z818" s="6" t="str">
        <x:v>https://github.com/hagenhaeussler/Industrial-Agents-Hackathon-2026/blob/f41616590b69f3ea0c1cbfb41d6c35edd9ce53df/data/train/osm-way52060470/questions_basic.jsonl#L6</x:v>
      </x:c>
      <x:c r="AA818" s="6" t="str">
        <x:v>osm_indoor</x:v>
      </x:c>
      <x:c r="AB818" s="6" t="str">
        <x:v>ODbL-1.0</x:v>
      </x:c>
    </x:row>
    <x:row r="819" ht="194" customHeight="1">
      <x:c r="A819" s="14" t="n">
        <x:v>814</x:v>
      </x:c>
      <x:c r="B819" s="6" t="str">
        <x:v>route</x:v>
      </x:c>
      <x:c r="C819" s="6" t="str">
        <x:v>How do I get from Generic room N2146 (Floor 2) to Generic room N2103 (Floor 2)?</x:v>
      </x:c>
      <x:c r="D819" s="6" t="str">
        <x:v>219.92 m
From: Generic room N2146
To: Generic room N2103
Ordered path (14 spaces): Generic room N2146 → Corridor N2196 → Corridor N2100 → Stairwell N1199C → Stairwell N0110E → Corridor N0110 → outside → Corridor N0110B → Corridor N0110A → Lift 0.87 → Lift N2199M → Corridor N2197 → Corridor N2198 → Generic room N2103</x:v>
      </x:c>
      <x:c r="E819" s="6" t="str">
        <x:v>Reference supplied</x:v>
      </x:c>
      <x:c r="F819" s="6" t="str">
        <x:v>train</x:v>
      </x:c>
      <x:c r="G819" s="6" t="str">
        <x:v>osm-way58216509</x:v>
      </x:c>
      <x:c r="H819" s="6" t="str">
        <x:v>osm-way58216509-Q02</x:v>
      </x:c>
      <x:c r="I819" s="6" t="str">
        <x:v>Route planning</x:v>
      </x:c>
      <x:c r="J819" s="6" t="str">
        <x:v>Warm-up</x:v>
      </x:c>
      <x:c r="K819" s="6" t="str">
        <x:v>Ordered space path and directions, plus total route-model distance in metres.</x:v>
      </x:c>
      <x:c r="L819" s="6" t="str">
        <x:v>T02, T05, T13</x:v>
      </x:c>
      <x:c r="M819" s="6" t="str">
        <x:v>Find a valid route between two rooms, including across floors.</x:v>
      </x:c>
      <x:c r="N819" s="6" t="str">
        <x:v>{"from_space_id":"osm-way58216509-F2-S152","to_space_id":"osm-way58216509-F2-S047","optimal_length_m":219.92,"space_path":["osm-way58216509-F2-S152","osm-way58216509-F2-S093","osm-way58216509-F2-S104","osm-way58216509-F2-S030","osm-way58216509-F0-S071","osm-way58216509-F0-S079","outside","osm-way58216509-F0-S070","osm-way58216509-F0-S013","osm-way58216509-F0-S087","osm-way58216509-F2-S050","osm-way58216509-F2-S007","osm-way58216509-F2-S089","osm-way58216509-F2-S047"],"element_path":["osm-way58216509-F2-O0326","osm-way58216509-F2-O0326","osm-way58216509-F2-O0278","osm-way58216509-F2-O0278","osm-way58216509-F2-O0339","osm-way58216509-F2-O0339","osm-way58216509-V05","osm-way58216509-F0-O0335","osm-way58216509-F0-O0335","osm-way58216509-F0-O0083","osm-way58216509-F0-O0083","osm-way58216509-F0-O0118","osm-way58216509-F0-O0118","osm-way58216509-F0-O0130","osm-way58216509-F0-O0130","osm-way58216509-F0-O0336","osm-way58216509-F0-O0336","osm-way58216509-V08","osm-way58216509-F2-O0148","osm-way58216509-F2-O0148","osm-way58216509-F2-O0204","osm-way58216509-F2-O0204","osm-way58216509-F2-O0207","osm-way58216509-F2-O0207"]}</x:v>
      </x:c>
      <x:c r="O819" s="6"/>
      <x:c r="P819" s="6" t="str">
        <x:v>README routing profile. Stairs and lifts allowed unless stated otherwise.</x:v>
      </x:c>
      <x:c r="Q819" s="15" t="n">
        <x:v>219.92</x:v>
      </x:c>
      <x:c r="R819" s="6" t="str">
        <x:v>m</x:v>
      </x:c>
      <x:c r="S819" s="16"/>
      <x:c r="T819" s="15"/>
      <x:c r="U819" s="6"/>
      <x:c r="V819" s="6"/>
      <x:c r="W819" s="6" t="str">
        <x:v>Existing find_route and show_route implement the kit routing model.</x:v>
      </x:c>
      <x:c r="X819" s="6" t="str">
        <x:v>data/train/osm-way58216509/questions_basic.jsonl</x:v>
      </x:c>
      <x:c r="Y819" s="14" t="n">
        <x:v>2</x:v>
      </x:c>
      <x:c r="Z819" s="6" t="str">
        <x:v>https://github.com/hagenhaeussler/Industrial-Agents-Hackathon-2026/blob/f41616590b69f3ea0c1cbfb41d6c35edd9ce53df/data/train/osm-way58216509/questions_basic.jsonl#L2</x:v>
      </x:c>
      <x:c r="AA819" s="6" t="str">
        <x:v>osm_indoor</x:v>
      </x:c>
      <x:c r="AB819" s="6" t="str">
        <x:v>ODbL-1.0</x:v>
      </x:c>
    </x:row>
    <x:row r="820" ht="82" customHeight="1">
      <x:c r="A820" s="14" t="n">
        <x:v>815</x:v>
      </x:c>
      <x:c r="B820" s="6" t="str">
        <x:v>route</x:v>
      </x:c>
      <x:c r="C820" s="6" t="str">
        <x:v>How do I get from Generic room N2149 (Floor 2) to Generic room N2197I (Floor 2)?</x:v>
      </x:c>
      <x:c r="D820" s="6" t="str">
        <x:v>22.45 m
From: Generic room N2149
To: Generic room N2197I
Ordered path (4 spaces): Generic room N2149 → Generic room N2148A → Corridor N2196 → Generic room N2197I</x:v>
      </x:c>
      <x:c r="E820" s="6" t="str">
        <x:v>Reference supplied</x:v>
      </x:c>
      <x:c r="F820" s="6" t="str">
        <x:v>train</x:v>
      </x:c>
      <x:c r="G820" s="6" t="str">
        <x:v>osm-way58216509</x:v>
      </x:c>
      <x:c r="H820" s="6" t="str">
        <x:v>osm-way58216509-Q03</x:v>
      </x:c>
      <x:c r="I820" s="6" t="str">
        <x:v>Route planning</x:v>
      </x:c>
      <x:c r="J820" s="6" t="str">
        <x:v>Warm-up</x:v>
      </x:c>
      <x:c r="K820" s="6" t="str">
        <x:v>Ordered space path and directions, plus total route-model distance in metres.</x:v>
      </x:c>
      <x:c r="L820" s="6" t="str">
        <x:v>T02, T05, T13</x:v>
      </x:c>
      <x:c r="M820" s="6" t="str">
        <x:v>Find a valid route between two rooms, including across floors.</x:v>
      </x:c>
      <x:c r="N820" s="6" t="str">
        <x:v>{"from_space_id":"osm-way58216509-F2-S146","to_space_id":"osm-way58216509-F2-S149","optimal_length_m":22.45,"space_path":["osm-way58216509-F2-S146","osm-way58216509-F2-S167","osm-way58216509-F2-S093","osm-way58216509-F2-S149"],"element_path":["osm-way58216509-F2-O0285","osm-way58216509-F2-O0285","osm-way58216509-F2-O0286","osm-way58216509-F2-O0286","osm-way58216509-F2-O0248","osm-way58216509-F2-O0248"]}</x:v>
      </x:c>
      <x:c r="O820" s="6"/>
      <x:c r="P820" s="6" t="str">
        <x:v>README routing profile. Stairs and lifts allowed unless stated otherwise.</x:v>
      </x:c>
      <x:c r="Q820" s="15" t="n">
        <x:v>22.45</x:v>
      </x:c>
      <x:c r="R820" s="6" t="str">
        <x:v>m</x:v>
      </x:c>
      <x:c r="S820" s="16"/>
      <x:c r="T820" s="15"/>
      <x:c r="U820" s="6"/>
      <x:c r="V820" s="6"/>
      <x:c r="W820" s="6" t="str">
        <x:v>Existing find_route and show_route implement the kit routing model.</x:v>
      </x:c>
      <x:c r="X820" s="6" t="str">
        <x:v>data/train/osm-way58216509/questions_basic.jsonl</x:v>
      </x:c>
      <x:c r="Y820" s="14" t="n">
        <x:v>3</x:v>
      </x:c>
      <x:c r="Z820" s="6" t="str">
        <x:v>https://github.com/hagenhaeussler/Industrial-Agents-Hackathon-2026/blob/f41616590b69f3ea0c1cbfb41d6c35edd9ce53df/data/train/osm-way58216509/questions_basic.jsonl#L3</x:v>
      </x:c>
      <x:c r="AA820" s="6" t="str">
        <x:v>osm_indoor</x:v>
      </x:c>
      <x:c r="AB820" s="6" t="str">
        <x:v>ODbL-1.0</x:v>
      </x:c>
    </x:row>
    <x:row r="821" ht="82" customHeight="1">
      <x:c r="A821" s="14" t="n">
        <x:v>816</x:v>
      </x:c>
      <x:c r="B821" s="6" t="str">
        <x:v>route</x:v>
      </x:c>
      <x:c r="C821" s="6" t="str">
        <x:v>How do I get from Generic room N0126C (Ground floor) to Generic room N0197D (Ground floor)?</x:v>
      </x:c>
      <x:c r="D821" s="6" t="str">
        <x:v>11.34 m
From: Generic room N0126C
To: Generic room N0197D
Ordered path (3 spaces): Generic room N0126C → Corridor N0171A → Generic room N0197D</x:v>
      </x:c>
      <x:c r="E821" s="6" t="str">
        <x:v>Reference supplied</x:v>
      </x:c>
      <x:c r="F821" s="6" t="str">
        <x:v>train</x:v>
      </x:c>
      <x:c r="G821" s="6" t="str">
        <x:v>osm-way58216509</x:v>
      </x:c>
      <x:c r="H821" s="6" t="str">
        <x:v>osm-way58216509-Q04</x:v>
      </x:c>
      <x:c r="I821" s="6" t="str">
        <x:v>Route planning</x:v>
      </x:c>
      <x:c r="J821" s="6" t="str">
        <x:v>Warm-up</x:v>
      </x:c>
      <x:c r="K821" s="6" t="str">
        <x:v>Ordered space path and directions, plus total route-model distance in metres.</x:v>
      </x:c>
      <x:c r="L821" s="6" t="str">
        <x:v>T02, T05, T13</x:v>
      </x:c>
      <x:c r="M821" s="6" t="str">
        <x:v>Find a valid route between two rooms, including across floors.</x:v>
      </x:c>
      <x:c r="N821" s="6" t="str">
        <x:v>{"from_space_id":"osm-way58216509-F0-S047","to_space_id":"osm-way58216509-F0-S073","optimal_length_m":11.34,"space_path":["osm-way58216509-F0-S047","osm-way58216509-F0-S068","osm-way58216509-F0-S073"],"element_path":["osm-way58216509-F0-O0041","osm-way58216509-F0-O0041","osm-way58216509-F0-O0061","osm-way58216509-F0-O0061"]}</x:v>
      </x:c>
      <x:c r="O821" s="6"/>
      <x:c r="P821" s="6" t="str">
        <x:v>README routing profile. Stairs and lifts allowed unless stated otherwise.</x:v>
      </x:c>
      <x:c r="Q821" s="15" t="n">
        <x:v>11.34</x:v>
      </x:c>
      <x:c r="R821" s="6" t="str">
        <x:v>m</x:v>
      </x:c>
      <x:c r="S821" s="16"/>
      <x:c r="T821" s="15"/>
      <x:c r="U821" s="6"/>
      <x:c r="V821" s="6"/>
      <x:c r="W821" s="6" t="str">
        <x:v>Existing find_route and show_route implement the kit routing model.</x:v>
      </x:c>
      <x:c r="X821" s="6" t="str">
        <x:v>data/train/osm-way58216509/questions_basic.jsonl</x:v>
      </x:c>
      <x:c r="Y821" s="14" t="n">
        <x:v>4</x:v>
      </x:c>
      <x:c r="Z821" s="6" t="str">
        <x:v>https://github.com/hagenhaeussler/Industrial-Agents-Hackathon-2026/blob/f41616590b69f3ea0c1cbfb41d6c35edd9ce53df/data/train/osm-way58216509/questions_basic.jsonl#L4</x:v>
      </x:c>
      <x:c r="AA821" s="6" t="str">
        <x:v>osm_indoor</x:v>
      </x:c>
      <x:c r="AB821" s="6" t="str">
        <x:v>ODbL-1.0</x:v>
      </x:c>
    </x:row>
    <x:row r="822" ht="152" customHeight="1">
      <x:c r="A822" s="14" t="n">
        <x:v>817</x:v>
      </x:c>
      <x:c r="B822" s="6" t="str">
        <x:v>route</x:v>
      </x:c>
      <x:c r="C822" s="6" t="str">
        <x:v>How do I get from Generic room -1331A (Basement 1) to Generic room 1358 (Floor 1)?</x:v>
      </x:c>
      <x:c r="D822" s="6" t="str">
        <x:v>81.09 m
From: Generic room -1331A
To: Generic room 1358
Ordered path (10 spaces): Generic room -1331A → Generic room -1331 → Corridor -1301D → Corridor -1307 → Generic room -1344 → outside → Stairwell 0372 → Stairwell 1374E → Corridor 1375 → Generic room 1358</x:v>
      </x:c>
      <x:c r="E822" s="6" t="str">
        <x:v>Reference supplied</x:v>
      </x:c>
      <x:c r="F822" s="6" t="str">
        <x:v>train</x:v>
      </x:c>
      <x:c r="G822" s="6" t="str">
        <x:v>osm-way61408163</x:v>
      </x:c>
      <x:c r="H822" s="6" t="str">
        <x:v>osm-way61408163-Q04</x:v>
      </x:c>
      <x:c r="I822" s="6" t="str">
        <x:v>Route planning</x:v>
      </x:c>
      <x:c r="J822" s="6" t="str">
        <x:v>Warm-up</x:v>
      </x:c>
      <x:c r="K822" s="6" t="str">
        <x:v>Ordered space path and directions, plus total route-model distance in metres.</x:v>
      </x:c>
      <x:c r="L822" s="6" t="str">
        <x:v>T02, T05, T13</x:v>
      </x:c>
      <x:c r="M822" s="6" t="str">
        <x:v>Find a valid route between two rooms, including across floors.</x:v>
      </x:c>
      <x:c r="N822" s="6" t="str">
        <x:v>{"from_space_id":"osm-way61408163-F-1-S049","to_space_id":"osm-way61408163-F1-S008","optimal_length_m":81.09,"space_path":["osm-way61408163-F-1-S049","osm-way61408163-F-1-S009","osm-way61408163-F-1-S044","osm-way61408163-F-1-S080","osm-way61408163-F-1-S073","outside","osm-way61408163-F0-S004","osm-way61408163-F1-S026","osm-way61408163-F1-S038","osm-way61408163-F1-S008"],"element_path":["osm-way61408163-F-1-O0220","osm-way61408163-F-1-O0220","osm-way61408163-F-1-O0187","osm-way61408163-F-1-O0187","osm-way61408163-F-1-O0245","osm-way61408163-F-1-O0245","osm-way61408163-F-1-O0243","osm-way61408163-F-1-O0243","osm-way61408163-F-1-O0237","osm-way61408163-F-1-O0237","osm-way61408163-F0-O0250","osm-way61408163-F0-O0250","osm-way61408163-V04","osm-way61408163-F1-O0129","osm-way61408163-F1-O0129","osm-way61408163-F1-O0149","osm-way61408163-F1-O0149"]}</x:v>
      </x:c>
      <x:c r="O822" s="6"/>
      <x:c r="P822" s="6" t="str">
        <x:v>README routing profile. Stairs and lifts allowed unless stated otherwise.</x:v>
      </x:c>
      <x:c r="Q822" s="15" t="n">
        <x:v>81.09</x:v>
      </x:c>
      <x:c r="R822" s="6" t="str">
        <x:v>m</x:v>
      </x:c>
      <x:c r="S822" s="16"/>
      <x:c r="T822" s="15"/>
      <x:c r="U822" s="6"/>
      <x:c r="V822" s="6"/>
      <x:c r="W822" s="6" t="str">
        <x:v>Existing find_route and show_route implement the kit routing model.</x:v>
      </x:c>
      <x:c r="X822" s="6" t="str">
        <x:v>data/train/osm-way61408163/questions_basic.jsonl</x:v>
      </x:c>
      <x:c r="Y822" s="14" t="n">
        <x:v>4</x:v>
      </x:c>
      <x:c r="Z822" s="6" t="str">
        <x:v>https://github.com/hagenhaeussler/Industrial-Agents-Hackathon-2026/blob/f41616590b69f3ea0c1cbfb41d6c35edd9ce53df/data/train/osm-way61408163/questions_basic.jsonl#L4</x:v>
      </x:c>
      <x:c r="AA822" s="6" t="str">
        <x:v>osm_indoor</x:v>
      </x:c>
      <x:c r="AB822" s="6" t="str">
        <x:v>ODbL-1.0</x:v>
      </x:c>
    </x:row>
    <x:row r="823" ht="124" customHeight="1">
      <x:c r="A823" s="14" t="n">
        <x:v>818</x:v>
      </x:c>
      <x:c r="B823" s="6" t="str">
        <x:v>route</x:v>
      </x:c>
      <x:c r="C823" s="6" t="str">
        <x:v>How do I get from Toilet 0346A (Ground floor) to Generic room 1334 (Floor 1)?</x:v>
      </x:c>
      <x:c r="D823" s="6" t="str">
        <x:v>68.83 m
From: Toilet 0346A
To: Generic room 1334
Ordered path (8 spaces): Toilet 0346A → Corridor 0319 → Generic room 0344 → outside → Stairwell 0314 → Stairwell 1315 → Corridor 1374 → Generic room 1334</x:v>
      </x:c>
      <x:c r="E823" s="6" t="str">
        <x:v>Reference supplied</x:v>
      </x:c>
      <x:c r="F823" s="6" t="str">
        <x:v>train</x:v>
      </x:c>
      <x:c r="G823" s="6" t="str">
        <x:v>osm-way61408163</x:v>
      </x:c>
      <x:c r="H823" s="6" t="str">
        <x:v>osm-way61408163-Q05</x:v>
      </x:c>
      <x:c r="I823" s="6" t="str">
        <x:v>Route planning</x:v>
      </x:c>
      <x:c r="J823" s="6" t="str">
        <x:v>Warm-up</x:v>
      </x:c>
      <x:c r="K823" s="6" t="str">
        <x:v>Ordered space path and directions, plus total route-model distance in metres.</x:v>
      </x:c>
      <x:c r="L823" s="6" t="str">
        <x:v>T02, T05, T13</x:v>
      </x:c>
      <x:c r="M823" s="6" t="str">
        <x:v>Find a valid route between two rooms, including across floors.</x:v>
      </x:c>
      <x:c r="N823" s="6" t="str">
        <x:v>{"from_space_id":"osm-way61408163-F0-S040","to_space_id":"osm-way61408163-F1-S052","optimal_length_m":68.83,"space_path":["osm-way61408163-F0-S040","osm-way61408163-F0-S027","osm-way61408163-F0-S044","outside","osm-way61408163-F0-S053","osm-way61408163-F1-S043","osm-way61408163-F1-S021","osm-way61408163-F1-S052"],"element_path":["osm-way61408163-F0-O0030","osm-way61408163-F0-O0030","osm-way61408163-F0-O0032","osm-way61408163-F0-O0032","osm-way61408163-F0-O0078","osm-way61408163-F0-O0078","osm-way61408163-F0-O0038","osm-way61408163-F0-O0038","osm-way61408163-V03","osm-way61408163-F1-O0105","osm-way61408163-F1-O0105","osm-way61408163-F1-O0116","osm-way61408163-F1-O0116"]}</x:v>
      </x:c>
      <x:c r="O823" s="6"/>
      <x:c r="P823" s="6" t="str">
        <x:v>README routing profile. Stairs and lifts allowed unless stated otherwise.</x:v>
      </x:c>
      <x:c r="Q823" s="15" t="n">
        <x:v>68.83</x:v>
      </x:c>
      <x:c r="R823" s="6" t="str">
        <x:v>m</x:v>
      </x:c>
      <x:c r="S823" s="16"/>
      <x:c r="T823" s="15"/>
      <x:c r="U823" s="6"/>
      <x:c r="V823" s="6"/>
      <x:c r="W823" s="6" t="str">
        <x:v>Existing find_route and show_route implement the kit routing model.</x:v>
      </x:c>
      <x:c r="X823" s="6" t="str">
        <x:v>data/train/osm-way61408163/questions_basic.jsonl</x:v>
      </x:c>
      <x:c r="Y823" s="14" t="n">
        <x:v>5</x:v>
      </x:c>
      <x:c r="Z823" s="6" t="str">
        <x:v>https://github.com/hagenhaeussler/Industrial-Agents-Hackathon-2026/blob/f41616590b69f3ea0c1cbfb41d6c35edd9ce53df/data/train/osm-way61408163/questions_basic.jsonl#L5</x:v>
      </x:c>
      <x:c r="AA823" s="6" t="str">
        <x:v>osm_indoor</x:v>
      </x:c>
      <x:c r="AB823" s="6" t="str">
        <x:v>ODbL-1.0</x:v>
      </x:c>
    </x:row>
    <x:row r="824" ht="110" customHeight="1">
      <x:c r="A824" s="14" t="n">
        <x:v>819</x:v>
      </x:c>
      <x:c r="B824" s="6" t="str">
        <x:v>route</x:v>
      </x:c>
      <x:c r="C824" s="6" t="str">
        <x:v>How do I get from Generic room 0306 (Ground floor) to Generic room 1336 (Floor 1)?</x:v>
      </x:c>
      <x:c r="D824" s="6" t="str">
        <x:v>81.3 m
From: Generic room 0306
To: Generic room 1336
Ordered path (7 spaces): Generic room 0306 → Corridor 0310 → Stairwell 0315 → Stairwell 0314 → Stairwell 1315 → Corridor 1374 → Generic room 1336</x:v>
      </x:c>
      <x:c r="E824" s="6" t="str">
        <x:v>Reference supplied</x:v>
      </x:c>
      <x:c r="F824" s="6" t="str">
        <x:v>train</x:v>
      </x:c>
      <x:c r="G824" s="6" t="str">
        <x:v>osm-way61408163</x:v>
      </x:c>
      <x:c r="H824" s="6" t="str">
        <x:v>osm-way61408163-Q06</x:v>
      </x:c>
      <x:c r="I824" s="6" t="str">
        <x:v>Route planning</x:v>
      </x:c>
      <x:c r="J824" s="6" t="str">
        <x:v>Warm-up</x:v>
      </x:c>
      <x:c r="K824" s="6" t="str">
        <x:v>Ordered space path and directions, plus total route-model distance in metres.</x:v>
      </x:c>
      <x:c r="L824" s="6" t="str">
        <x:v>T02, T05, T13</x:v>
      </x:c>
      <x:c r="M824" s="6" t="str">
        <x:v>Find a valid route between two rooms, including across floors.</x:v>
      </x:c>
      <x:c r="N824" s="6" t="str">
        <x:v>{"from_space_id":"osm-way61408163-F0-S057","to_space_id":"osm-way61408163-F1-S018","optimal_length_m":81.3,"space_path":["osm-way61408163-F0-S057","osm-way61408163-F0-S038","osm-way61408163-F0-S055","osm-way61408163-F0-S053","osm-way61408163-F1-S043","osm-way61408163-F1-S021","osm-way61408163-F1-S018"],"element_path":["osm-way61408163-F0-O0041","osm-way61408163-F0-O0041","osm-way61408163-F0-O0024","osm-way61408163-F0-O0024","osm-way61408163-F0-O0044","osm-way61408163-F0-O0044","osm-way61408163-V03","osm-way61408163-F1-O0105","osm-way61408163-F1-O0105","osm-way61408163-F1-O0082","osm-way61408163-F1-O0082"]}</x:v>
      </x:c>
      <x:c r="O824" s="6"/>
      <x:c r="P824" s="6" t="str">
        <x:v>README routing profile. Stairs and lifts allowed unless stated otherwise.</x:v>
      </x:c>
      <x:c r="Q824" s="15" t="n">
        <x:v>81.3</x:v>
      </x:c>
      <x:c r="R824" s="6" t="str">
        <x:v>m</x:v>
      </x:c>
      <x:c r="S824" s="16"/>
      <x:c r="T824" s="15"/>
      <x:c r="U824" s="6"/>
      <x:c r="V824" s="6"/>
      <x:c r="W824" s="6" t="str">
        <x:v>Existing find_route and show_route implement the kit routing model.</x:v>
      </x:c>
      <x:c r="X824" s="6" t="str">
        <x:v>data/train/osm-way61408163/questions_basic.jsonl</x:v>
      </x:c>
      <x:c r="Y824" s="14" t="n">
        <x:v>6</x:v>
      </x:c>
      <x:c r="Z824" s="6" t="str">
        <x:v>https://github.com/hagenhaeussler/Industrial-Agents-Hackathon-2026/blob/f41616590b69f3ea0c1cbfb41d6c35edd9ce53df/data/train/osm-way61408163/questions_basic.jsonl#L6</x:v>
      </x:c>
      <x:c r="AA824" s="6" t="str">
        <x:v>osm_indoor</x:v>
      </x:c>
      <x:c r="AB824" s="6" t="str">
        <x:v>ODbL-1.0</x:v>
      </x:c>
    </x:row>
    <x:row r="825" ht="110" customHeight="1">
      <x:c r="A825" s="14" t="n">
        <x:v>820</x:v>
      </x:c>
      <x:c r="B825" s="6" t="str">
        <x:v>route</x:v>
      </x:c>
      <x:c r="C825" s="6" t="str">
        <x:v>How do I get from Office 0.15 (Ground floor) to Office 1.06 (Floor 1)?</x:v>
      </x:c>
      <x:c r="D825" s="6" t="str">
        <x:v>63.83 m
From: Office 0.15
To: Office 1.06
Ordered path (6 spaces): Office 0.15 → Corridor 0.01 → Staircase 2 → Staircase 2 → Corridor 1.01 → Office 1.06</x:v>
      </x:c>
      <x:c r="E825" s="6" t="str">
        <x:v>Reference supplied</x:v>
      </x:c>
      <x:c r="F825" s="6" t="str">
        <x:v>train</x:v>
      </x:c>
      <x:c r="G825" s="6" t="str">
        <x:v>proc-campus-train-000</x:v>
      </x:c>
      <x:c r="H825" s="6" t="str">
        <x:v>proc-campus-train-000-Q05</x:v>
      </x:c>
      <x:c r="I825" s="6" t="str">
        <x:v>Route planning</x:v>
      </x:c>
      <x:c r="J825" s="6" t="str">
        <x:v>Warm-up</x:v>
      </x:c>
      <x:c r="K825" s="6" t="str">
        <x:v>Ordered space path and directions, plus total route-model distance in metres.</x:v>
      </x:c>
      <x:c r="L825" s="6" t="str">
        <x:v>T02, T05, T13</x:v>
      </x:c>
      <x:c r="M825" s="6" t="str">
        <x:v>Find a valid route between two rooms, including across floors.</x:v>
      </x:c>
      <x:c r="N825" s="6" t="str">
        <x:v>{"from_space_id":"proc-campus-train-000-F0-S015","to_space_id":"proc-campus-train-000-F1-S006","optimal_length_m":63.83,"space_path":["proc-campus-train-000-F0-S015","proc-campus-train-000-F0-S001","proc-campus-train-000-F0-S008","proc-campus-train-000-F1-S010","proc-campus-train-000-F1-S001","proc-campus-train-000-F1-S006"],"element_path":["proc-campus-train-000-F0-O0014","proc-campus-train-000-F0-O0014","proc-campus-train-000-F0-O0007","proc-campus-train-000-F0-O0007","proc-campus-train-000-V03","proc-campus-train-000-F1-O0030","proc-campus-train-000-F1-O0030","proc-campus-train-000-F1-O0026","proc-campus-train-000-F1-O0026"]}</x:v>
      </x:c>
      <x:c r="O825" s="6"/>
      <x:c r="P825" s="6" t="str">
        <x:v>README routing profile. Stairs and lifts allowed unless stated otherwise.</x:v>
      </x:c>
      <x:c r="Q825" s="15" t="n">
        <x:v>63.83</x:v>
      </x:c>
      <x:c r="R825" s="6" t="str">
        <x:v>m</x:v>
      </x:c>
      <x:c r="S825" s="16"/>
      <x:c r="T825" s="15"/>
      <x:c r="U825" s="6"/>
      <x:c r="V825" s="6"/>
      <x:c r="W825" s="6" t="str">
        <x:v>Existing find_route and show_route implement the kit routing model.</x:v>
      </x:c>
      <x:c r="X825" s="6" t="str">
        <x:v>data/train/proc-campus-train-000/questions_basic.jsonl</x:v>
      </x:c>
      <x:c r="Y825" s="14" t="n">
        <x:v>5</x:v>
      </x:c>
      <x:c r="Z825" s="6" t="str">
        <x:v>https://github.com/hagenhaeussler/Industrial-Agents-Hackathon-2026/blob/f41616590b69f3ea0c1cbfb41d6c35edd9ce53df/data/train/proc-campus-train-000/questions_basic.jsonl#L5</x:v>
      </x:c>
      <x:c r="AA825" s="6" t="str">
        <x:v>procedural</x:v>
      </x:c>
      <x:c r="AB825" s="6" t="str">
        <x:v>CC0-1.0</x:v>
      </x:c>
    </x:row>
    <x:row r="826" ht="82" customHeight="1">
      <x:c r="A826" s="14" t="n">
        <x:v>821</x:v>
      </x:c>
      <x:c r="B826" s="6" t="str">
        <x:v>route</x:v>
      </x:c>
      <x:c r="C826" s="6" t="str">
        <x:v>How do I get from Office 3.15 (Floor 3) to Office 3.02 (Floor 3)?</x:v>
      </x:c>
      <x:c r="D826" s="6" t="str">
        <x:v>48.46 m
From: Office 3.15
To: Office 3.02
Ordered path (3 spaces): Office 3.15 → Corridor 3.01 → Office 3.02</x:v>
      </x:c>
      <x:c r="E826" s="6" t="str">
        <x:v>Reference supplied</x:v>
      </x:c>
      <x:c r="F826" s="6" t="str">
        <x:v>train</x:v>
      </x:c>
      <x:c r="G826" s="6" t="str">
        <x:v>proc-campus-train-000</x:v>
      </x:c>
      <x:c r="H826" s="6" t="str">
        <x:v>proc-campus-train-000-Q06</x:v>
      </x:c>
      <x:c r="I826" s="6" t="str">
        <x:v>Route planning</x:v>
      </x:c>
      <x:c r="J826" s="6" t="str">
        <x:v>Warm-up</x:v>
      </x:c>
      <x:c r="K826" s="6" t="str">
        <x:v>Ordered space path and directions, plus total route-model distance in metres.</x:v>
      </x:c>
      <x:c r="L826" s="6" t="str">
        <x:v>T02, T05, T13</x:v>
      </x:c>
      <x:c r="M826" s="6" t="str">
        <x:v>Find a valid route between two rooms, including across floors.</x:v>
      </x:c>
      <x:c r="N826" s="6" t="str">
        <x:v>{"from_space_id":"proc-campus-train-000-F3-S015","to_space_id":"proc-campus-train-000-F3-S002","optimal_length_m":48.46,"space_path":["proc-campus-train-000-F3-S015","proc-campus-train-000-F3-S001","proc-campus-train-000-F3-S002"],"element_path":["proc-campus-train-000-F3-O0079","proc-campus-train-000-F3-O0079","proc-campus-train-000-F3-O0066","proc-campus-train-000-F3-O0066"]}</x:v>
      </x:c>
      <x:c r="O826" s="6"/>
      <x:c r="P826" s="6" t="str">
        <x:v>README routing profile. Stairs and lifts allowed unless stated otherwise.</x:v>
      </x:c>
      <x:c r="Q826" s="15" t="n">
        <x:v>48.46</x:v>
      </x:c>
      <x:c r="R826" s="6" t="str">
        <x:v>m</x:v>
      </x:c>
      <x:c r="S826" s="16"/>
      <x:c r="T826" s="15"/>
      <x:c r="U826" s="6"/>
      <x:c r="V826" s="6"/>
      <x:c r="W826" s="6" t="str">
        <x:v>Existing find_route and show_route implement the kit routing model.</x:v>
      </x:c>
      <x:c r="X826" s="6" t="str">
        <x:v>data/train/proc-campus-train-000/questions_basic.jsonl</x:v>
      </x:c>
      <x:c r="Y826" s="14" t="n">
        <x:v>6</x:v>
      </x:c>
      <x:c r="Z826" s="6" t="str">
        <x:v>https://github.com/hagenhaeussler/Industrial-Agents-Hackathon-2026/blob/f41616590b69f3ea0c1cbfb41d6c35edd9ce53df/data/train/proc-campus-train-000/questions_basic.jsonl#L6</x:v>
      </x:c>
      <x:c r="AA826" s="6" t="str">
        <x:v>procedural</x:v>
      </x:c>
      <x:c r="AB826" s="6" t="str">
        <x:v>CC0-1.0</x:v>
      </x:c>
    </x:row>
    <x:row r="827" ht="124" customHeight="1">
      <x:c r="A827" s="14" t="n">
        <x:v>822</x:v>
      </x:c>
      <x:c r="B827" s="6" t="str">
        <x:v>route</x:v>
      </x:c>
      <x:c r="C827" s="6" t="str">
        <x:v>How do I get from Office 0.03 (Ground floor) to Office 2.03 (Floor 2)?</x:v>
      </x:c>
      <x:c r="D827" s="6" t="str">
        <x:v>96.1 m
From: Office 0.03
To: Office 2.03
Ordered path (7 spaces): Office 0.03 → Corridor 0.01 → Staircase 2 → Staircase 2 → Staircase 2 → Corridor 2.01 → Office 2.03</x:v>
      </x:c>
      <x:c r="E827" s="6" t="str">
        <x:v>Reference supplied</x:v>
      </x:c>
      <x:c r="F827" s="6" t="str">
        <x:v>train</x:v>
      </x:c>
      <x:c r="G827" s="6" t="str">
        <x:v>proc-campus-train-000</x:v>
      </x:c>
      <x:c r="H827" s="6" t="str">
        <x:v>proc-campus-train-000-Q07</x:v>
      </x:c>
      <x:c r="I827" s="6" t="str">
        <x:v>Route planning</x:v>
      </x:c>
      <x:c r="J827" s="6" t="str">
        <x:v>Warm-up</x:v>
      </x:c>
      <x:c r="K827" s="6" t="str">
        <x:v>Ordered space path and directions, plus total route-model distance in metres.</x:v>
      </x:c>
      <x:c r="L827" s="6" t="str">
        <x:v>T02, T05, T13</x:v>
      </x:c>
      <x:c r="M827" s="6" t="str">
        <x:v>Find a valid route between two rooms, including across floors.</x:v>
      </x:c>
      <x:c r="N827" s="6" t="str">
        <x:v>{"from_space_id":"proc-campus-train-000-F0-S003","to_space_id":"proc-campus-train-000-F2-S003","optimal_length_m":96.1,"space_path":["proc-campus-train-000-F0-S003","proc-campus-train-000-F0-S001","proc-campus-train-000-F0-S008","proc-campus-train-000-F1-S010","proc-campus-train-000-F2-S010","proc-campus-train-000-F2-S001","proc-campus-train-000-F2-S003"],"element_path":["proc-campus-train-000-F0-O0002","proc-campus-train-000-F0-O0002","proc-campus-train-000-F0-O0007","proc-campus-train-000-F0-O0007","proc-campus-train-000-V03","proc-campus-train-000-V03","proc-campus-train-000-F2-O0052","proc-campus-train-000-F2-O0052","proc-campus-train-000-F2-O0045","proc-campus-train-000-F2-O0045"]}</x:v>
      </x:c>
      <x:c r="O827" s="6"/>
      <x:c r="P827" s="6" t="str">
        <x:v>README routing profile. Stairs and lifts allowed unless stated otherwise.</x:v>
      </x:c>
      <x:c r="Q827" s="15" t="n">
        <x:v>96.1</x:v>
      </x:c>
      <x:c r="R827" s="6" t="str">
        <x:v>m</x:v>
      </x:c>
      <x:c r="S827" s="16"/>
      <x:c r="T827" s="15"/>
      <x:c r="U827" s="6"/>
      <x:c r="V827" s="6"/>
      <x:c r="W827" s="6" t="str">
        <x:v>Existing find_route and show_route implement the kit routing model.</x:v>
      </x:c>
      <x:c r="X827" s="6" t="str">
        <x:v>data/train/proc-campus-train-000/questions_basic.jsonl</x:v>
      </x:c>
      <x:c r="Y827" s="14" t="n">
        <x:v>7</x:v>
      </x:c>
      <x:c r="Z827" s="6" t="str">
        <x:v>https://github.com/hagenhaeussler/Industrial-Agents-Hackathon-2026/blob/f41616590b69f3ea0c1cbfb41d6c35edd9ce53df/data/train/proc-campus-train-000/questions_basic.jsonl#L7</x:v>
      </x:c>
      <x:c r="AA827" s="6" t="str">
        <x:v>procedural</x:v>
      </x:c>
      <x:c r="AB827" s="6" t="str">
        <x:v>CC0-1.0</x:v>
      </x:c>
    </x:row>
    <x:row r="828" ht="110" customHeight="1">
      <x:c r="A828" s="14" t="n">
        <x:v>823</x:v>
      </x:c>
      <x:c r="B828" s="6" t="str">
        <x:v>route</x:v>
      </x:c>
      <x:c r="C828" s="6" t="str">
        <x:v>How do I get from Seminar room 3.20 (Floor 3) to Lab 2.14 (Floor 2)?</x:v>
      </x:c>
      <x:c r="D828" s="6" t="str">
        <x:v>55.56 m
From: Seminar room 3.20
To: Lab 2.14
Ordered path (6 spaces): Seminar room 3.20 → Corridor 3.01 → Staircase 1 → Staircase 1 → Corridor 2.01 → Lab 2.14</x:v>
      </x:c>
      <x:c r="E828" s="6" t="str">
        <x:v>Reference supplied</x:v>
      </x:c>
      <x:c r="F828" s="6" t="str">
        <x:v>train</x:v>
      </x:c>
      <x:c r="G828" s="6" t="str">
        <x:v>proc-campus-train-001</x:v>
      </x:c>
      <x:c r="H828" s="6" t="str">
        <x:v>proc-campus-train-001-Q05</x:v>
      </x:c>
      <x:c r="I828" s="6" t="str">
        <x:v>Route planning</x:v>
      </x:c>
      <x:c r="J828" s="6" t="str">
        <x:v>Warm-up</x:v>
      </x:c>
      <x:c r="K828" s="6" t="str">
        <x:v>Ordered space path and directions, plus total route-model distance in metres.</x:v>
      </x:c>
      <x:c r="L828" s="6" t="str">
        <x:v>T02, T05, T13</x:v>
      </x:c>
      <x:c r="M828" s="6" t="str">
        <x:v>Find a valid route between two rooms, including across floors.</x:v>
      </x:c>
      <x:c r="N828" s="6" t="str">
        <x:v>{"from_space_id":"proc-campus-train-001-F3-S020","to_space_id":"proc-campus-train-001-F2-S014","optimal_length_m":55.56,"space_path":["proc-campus-train-001-F3-S020","proc-campus-train-001-F3-S001","proc-campus-train-001-F3-S006","proc-campus-train-001-F2-S006","proc-campus-train-001-F2-S001","proc-campus-train-001-F2-S014"],"element_path":["proc-campus-train-001-F3-O0078","proc-campus-train-001-F3-O0078","proc-campus-train-001-F3-O0064","proc-campus-train-001-F3-O0064","proc-campus-train-001-V01","proc-campus-train-001-F2-O0044","proc-campus-train-001-F2-O0044","proc-campus-train-001-F2-O0052","proc-campus-train-001-F2-O0052"]}</x:v>
      </x:c>
      <x:c r="O828" s="6"/>
      <x:c r="P828" s="6" t="str">
        <x:v>README routing profile. Stairs and lifts allowed unless stated otherwise.</x:v>
      </x:c>
      <x:c r="Q828" s="15" t="n">
        <x:v>55.56</x:v>
      </x:c>
      <x:c r="R828" s="6" t="str">
        <x:v>m</x:v>
      </x:c>
      <x:c r="S828" s="16"/>
      <x:c r="T828" s="15"/>
      <x:c r="U828" s="6"/>
      <x:c r="V828" s="6"/>
      <x:c r="W828" s="6" t="str">
        <x:v>Existing find_route and show_route implement the kit routing model.</x:v>
      </x:c>
      <x:c r="X828" s="6" t="str">
        <x:v>data/train/proc-campus-train-001/questions_basic.jsonl</x:v>
      </x:c>
      <x:c r="Y828" s="14" t="n">
        <x:v>5</x:v>
      </x:c>
      <x:c r="Z828" s="6" t="str">
        <x:v>https://github.com/hagenhaeussler/Industrial-Agents-Hackathon-2026/blob/f41616590b69f3ea0c1cbfb41d6c35edd9ce53df/data/train/proc-campus-train-001/questions_basic.jsonl#L5</x:v>
      </x:c>
      <x:c r="AA828" s="6" t="str">
        <x:v>procedural</x:v>
      </x:c>
      <x:c r="AB828" s="6" t="str">
        <x:v>CC0-1.0</x:v>
      </x:c>
    </x:row>
    <x:row r="829" ht="124" customHeight="1">
      <x:c r="A829" s="14" t="n">
        <x:v>824</x:v>
      </x:c>
      <x:c r="B829" s="6" t="str">
        <x:v>route</x:v>
      </x:c>
      <x:c r="C829" s="6" t="str">
        <x:v>How do I get from Office 2.05 (Floor 2) to Print room 0.06 (Ground floor)?</x:v>
      </x:c>
      <x:c r="D829" s="6" t="str">
        <x:v>68.07 m
From: Office 2.05
To: Print room 0.06
Ordered path (7 spaces): Office 2.05 → Corridor 2.01 → Staircase 1 → Staircase 1 → Staircase 1 → Corridor 0.01 → Print room 0.06</x:v>
      </x:c>
      <x:c r="E829" s="6" t="str">
        <x:v>Reference supplied</x:v>
      </x:c>
      <x:c r="F829" s="6" t="str">
        <x:v>train</x:v>
      </x:c>
      <x:c r="G829" s="6" t="str">
        <x:v>proc-campus-train-001</x:v>
      </x:c>
      <x:c r="H829" s="6" t="str">
        <x:v>proc-campus-train-001-Q06</x:v>
      </x:c>
      <x:c r="I829" s="6" t="str">
        <x:v>Route planning</x:v>
      </x:c>
      <x:c r="J829" s="6" t="str">
        <x:v>Warm-up</x:v>
      </x:c>
      <x:c r="K829" s="6" t="str">
        <x:v>Ordered space path and directions, plus total route-model distance in metres.</x:v>
      </x:c>
      <x:c r="L829" s="6" t="str">
        <x:v>T02, T05, T13</x:v>
      </x:c>
      <x:c r="M829" s="6" t="str">
        <x:v>Find a valid route between two rooms, including across floors.</x:v>
      </x:c>
      <x:c r="N829" s="6" t="str">
        <x:v>{"from_space_id":"proc-campus-train-001-F2-S005","to_space_id":"proc-campus-train-001-F0-S006","optimal_length_m":68.07,"space_path":["proc-campus-train-001-F2-S005","proc-campus-train-001-F2-S001","proc-campus-train-001-F2-S006","proc-campus-train-001-F1-S006","proc-campus-train-001-F0-S003","proc-campus-train-001-F0-S001","proc-campus-train-001-F0-S006"],"element_path":["proc-campus-train-001-F2-O0043","proc-campus-train-001-F2-O0043","proc-campus-train-001-F2-O0044","proc-campus-train-001-F2-O0044","proc-campus-train-001-V01","proc-campus-train-001-V01","proc-campus-train-001-F0-O0002","proc-campus-train-001-F0-O0002","proc-campus-train-001-F0-O0005","proc-campus-train-001-F0-O0005"]}</x:v>
      </x:c>
      <x:c r="O829" s="6"/>
      <x:c r="P829" s="6" t="str">
        <x:v>README routing profile. Stairs and lifts allowed unless stated otherwise.</x:v>
      </x:c>
      <x:c r="Q829" s="15" t="n">
        <x:v>68.07</x:v>
      </x:c>
      <x:c r="R829" s="6" t="str">
        <x:v>m</x:v>
      </x:c>
      <x:c r="S829" s="16"/>
      <x:c r="T829" s="15"/>
      <x:c r="U829" s="6"/>
      <x:c r="V829" s="6"/>
      <x:c r="W829" s="6" t="str">
        <x:v>Existing find_route and show_route implement the kit routing model.</x:v>
      </x:c>
      <x:c r="X829" s="6" t="str">
        <x:v>data/train/proc-campus-train-001/questions_basic.jsonl</x:v>
      </x:c>
      <x:c r="Y829" s="14" t="n">
        <x:v>6</x:v>
      </x:c>
      <x:c r="Z829" s="6" t="str">
        <x:v>https://github.com/hagenhaeussler/Industrial-Agents-Hackathon-2026/blob/f41616590b69f3ea0c1cbfb41d6c35edd9ce53df/data/train/proc-campus-train-001/questions_basic.jsonl#L6</x:v>
      </x:c>
      <x:c r="AA829" s="6" t="str">
        <x:v>procedural</x:v>
      </x:c>
      <x:c r="AB829" s="6" t="str">
        <x:v>CC0-1.0</x:v>
      </x:c>
    </x:row>
    <x:row r="830" ht="110" customHeight="1">
      <x:c r="A830" s="14" t="n">
        <x:v>825</x:v>
      </x:c>
      <x:c r="B830" s="6" t="str">
        <x:v>route</x:v>
      </x:c>
      <x:c r="C830" s="6" t="str">
        <x:v>How do I get from Kitchen 2.12 (Floor 2) to Lab 3.11 (Floor 3)?</x:v>
      </x:c>
      <x:c r="D830" s="6" t="str">
        <x:v>71.33 m
From: Kitchen 2.12
To: Lab 3.11
Ordered path (6 spaces): Kitchen 2.12 → Corridor 2.01 → Staircase 1 → Staircase 1 → Corridor 3.01 → Lab 3.11</x:v>
      </x:c>
      <x:c r="E830" s="6" t="str">
        <x:v>Reference supplied</x:v>
      </x:c>
      <x:c r="F830" s="6" t="str">
        <x:v>train</x:v>
      </x:c>
      <x:c r="G830" s="6" t="str">
        <x:v>proc-campus-train-001</x:v>
      </x:c>
      <x:c r="H830" s="6" t="str">
        <x:v>proc-campus-train-001-Q07</x:v>
      </x:c>
      <x:c r="I830" s="6" t="str">
        <x:v>Route planning</x:v>
      </x:c>
      <x:c r="J830" s="6" t="str">
        <x:v>Warm-up</x:v>
      </x:c>
      <x:c r="K830" s="6" t="str">
        <x:v>Ordered space path and directions, plus total route-model distance in metres.</x:v>
      </x:c>
      <x:c r="L830" s="6" t="str">
        <x:v>T02, T05, T13</x:v>
      </x:c>
      <x:c r="M830" s="6" t="str">
        <x:v>Find a valid route between two rooms, including across floors.</x:v>
      </x:c>
      <x:c r="N830" s="6" t="str">
        <x:v>{"from_space_id":"proc-campus-train-001-F2-S012","to_space_id":"proc-campus-train-001-F3-S011","optimal_length_m":71.33,"space_path":["proc-campus-train-001-F2-S012","proc-campus-train-001-F2-S001","proc-campus-train-001-F2-S006","proc-campus-train-001-F3-S006","proc-campus-train-001-F3-S001","proc-campus-train-001-F3-S011"],"element_path":["proc-campus-train-001-F2-O0050","proc-campus-train-001-F2-O0050","proc-campus-train-001-F2-O0044","proc-campus-train-001-F2-O0044","proc-campus-train-001-V01","proc-campus-train-001-F3-O0064","proc-campus-train-001-F3-O0064","proc-campus-train-001-F3-O0069","proc-campus-train-001-F3-O0069"]}</x:v>
      </x:c>
      <x:c r="O830" s="6"/>
      <x:c r="P830" s="6" t="str">
        <x:v>README routing profile. Stairs and lifts allowed unless stated otherwise.</x:v>
      </x:c>
      <x:c r="Q830" s="15" t="n">
        <x:v>71.33</x:v>
      </x:c>
      <x:c r="R830" s="6" t="str">
        <x:v>m</x:v>
      </x:c>
      <x:c r="S830" s="16"/>
      <x:c r="T830" s="15"/>
      <x:c r="U830" s="6"/>
      <x:c r="V830" s="6"/>
      <x:c r="W830" s="6" t="str">
        <x:v>Existing find_route and show_route implement the kit routing model.</x:v>
      </x:c>
      <x:c r="X830" s="6" t="str">
        <x:v>data/train/proc-campus-train-001/questions_basic.jsonl</x:v>
      </x:c>
      <x:c r="Y830" s="14" t="n">
        <x:v>7</x:v>
      </x:c>
      <x:c r="Z830" s="6" t="str">
        <x:v>https://github.com/hagenhaeussler/Industrial-Agents-Hackathon-2026/blob/f41616590b69f3ea0c1cbfb41d6c35edd9ce53df/data/train/proc-campus-train-001/questions_basic.jsonl#L7</x:v>
      </x:c>
      <x:c r="AA830" s="6" t="str">
        <x:v>procedural</x:v>
      </x:c>
      <x:c r="AB830" s="6" t="str">
        <x:v>CC0-1.0</x:v>
      </x:c>
    </x:row>
    <x:row r="831" ht="138" customHeight="1">
      <x:c r="A831" s="14" t="n">
        <x:v>826</x:v>
      </x:c>
      <x:c r="B831" s="6" t="str">
        <x:v>route</x:v>
      </x:c>
      <x:c r="C831" s="6" t="str">
        <x:v>How do I get from Seminar room 3.08 (Floor 3) to Lab 0.04 (Ground floor)?</x:v>
      </x:c>
      <x:c r="D831" s="6" t="str">
        <x:v>68.16 m
From: Seminar room 3.08
To: Lab 0.04
Ordered path (8 spaces): Seminar room 3.08 → Corridor 3.01 → Staircase 1 → Staircase 1 → Staircase 1 → Staircase 1 → Corridor 0.01 → Lab 0.04</x:v>
      </x:c>
      <x:c r="E831" s="6" t="str">
        <x:v>Reference supplied</x:v>
      </x:c>
      <x:c r="F831" s="6" t="str">
        <x:v>train</x:v>
      </x:c>
      <x:c r="G831" s="6" t="str">
        <x:v>proc-campus-train-002</x:v>
      </x:c>
      <x:c r="H831" s="6" t="str">
        <x:v>proc-campus-train-002-Q05</x:v>
      </x:c>
      <x:c r="I831" s="6" t="str">
        <x:v>Route planning</x:v>
      </x:c>
      <x:c r="J831" s="6" t="str">
        <x:v>Warm-up</x:v>
      </x:c>
      <x:c r="K831" s="6" t="str">
        <x:v>Ordered space path and directions, plus total route-model distance in metres.</x:v>
      </x:c>
      <x:c r="L831" s="6" t="str">
        <x:v>T02, T05, T13</x:v>
      </x:c>
      <x:c r="M831" s="6" t="str">
        <x:v>Find a valid route between two rooms, including across floors.</x:v>
      </x:c>
      <x:c r="N831" s="6" t="str">
        <x:v>{"from_space_id":"proc-campus-train-002-F3-S008","to_space_id":"proc-campus-train-002-F0-S004","optimal_length_m":68.16,"space_path":["proc-campus-train-002-F3-S008","proc-campus-train-002-F3-S001","proc-campus-train-002-F3-S005","proc-campus-train-002-F2-S005","proc-campus-train-002-F1-S005","proc-campus-train-002-F0-S005","proc-campus-train-002-F0-S001","proc-campus-train-002-F0-S004"],"element_path":["proc-campus-train-002-F3-O0057","proc-campus-train-002-F3-O0057","proc-campus-train-002-F3-O0054","proc-campus-train-002-F3-O0054","proc-campus-train-002-V01","proc-campus-train-002-V01","proc-campus-train-002-V01","proc-campus-train-002-F0-O0004","proc-campus-train-002-F0-O0004","proc-campus-train-002-F0-O0003","proc-campus-train-002-F0-O0003"]}</x:v>
      </x:c>
      <x:c r="O831" s="6"/>
      <x:c r="P831" s="6" t="str">
        <x:v>README routing profile. Stairs and lifts allowed unless stated otherwise.</x:v>
      </x:c>
      <x:c r="Q831" s="15" t="n">
        <x:v>68.16</x:v>
      </x:c>
      <x:c r="R831" s="6" t="str">
        <x:v>m</x:v>
      </x:c>
      <x:c r="S831" s="16"/>
      <x:c r="T831" s="15"/>
      <x:c r="U831" s="6"/>
      <x:c r="V831" s="6"/>
      <x:c r="W831" s="6" t="str">
        <x:v>Existing find_route and show_route implement the kit routing model.</x:v>
      </x:c>
      <x:c r="X831" s="6" t="str">
        <x:v>data/train/proc-campus-train-002/questions_basic.jsonl</x:v>
      </x:c>
      <x:c r="Y831" s="14" t="n">
        <x:v>5</x:v>
      </x:c>
      <x:c r="Z831" s="6" t="str">
        <x:v>https://github.com/hagenhaeussler/Industrial-Agents-Hackathon-2026/blob/f41616590b69f3ea0c1cbfb41d6c35edd9ce53df/data/train/proc-campus-train-002/questions_basic.jsonl#L5</x:v>
      </x:c>
      <x:c r="AA831" s="6" t="str">
        <x:v>procedural</x:v>
      </x:c>
      <x:c r="AB831" s="6" t="str">
        <x:v>CC0-1.0</x:v>
      </x:c>
    </x:row>
    <x:row r="832" ht="124" customHeight="1">
      <x:c r="A832" s="14" t="n">
        <x:v>827</x:v>
      </x:c>
      <x:c r="B832" s="6" t="str">
        <x:v>route</x:v>
      </x:c>
      <x:c r="C832" s="6" t="str">
        <x:v>How do I get from Meeting room 3.17 (Floor 3) to Lab 1.04 (Floor 1)?</x:v>
      </x:c>
      <x:c r="D832" s="6" t="str">
        <x:v>61.32 m
From: Meeting room 3.17
To: Lab 1.04
Ordered path (7 spaces): Meeting room 3.17 → Corridor 3.01 → Staircase 1 → Staircase 1 → Staircase 1 → Corridor 1.01 → Lab 1.04</x:v>
      </x:c>
      <x:c r="E832" s="6" t="str">
        <x:v>Reference supplied</x:v>
      </x:c>
      <x:c r="F832" s="6" t="str">
        <x:v>train</x:v>
      </x:c>
      <x:c r="G832" s="6" t="str">
        <x:v>proc-campus-train-002</x:v>
      </x:c>
      <x:c r="H832" s="6" t="str">
        <x:v>proc-campus-train-002-Q06</x:v>
      </x:c>
      <x:c r="I832" s="6" t="str">
        <x:v>Route planning</x:v>
      </x:c>
      <x:c r="J832" s="6" t="str">
        <x:v>Warm-up</x:v>
      </x:c>
      <x:c r="K832" s="6" t="str">
        <x:v>Ordered space path and directions, plus total route-model distance in metres.</x:v>
      </x:c>
      <x:c r="L832" s="6" t="str">
        <x:v>T02, T05, T13</x:v>
      </x:c>
      <x:c r="M832" s="6" t="str">
        <x:v>Find a valid route between two rooms, including across floors.</x:v>
      </x:c>
      <x:c r="N832" s="6" t="str">
        <x:v>{"from_space_id":"proc-campus-train-002-F3-S017","to_space_id":"proc-campus-train-002-F1-S004","optimal_length_m":61.32,"space_path":["proc-campus-train-002-F3-S017","proc-campus-train-002-F3-S001","proc-campus-train-002-F3-S005","proc-campus-train-002-F2-S005","proc-campus-train-002-F1-S005","proc-campus-train-002-F1-S001","proc-campus-train-002-F1-S004"],"element_path":["proc-campus-train-002-F3-O0066","proc-campus-train-002-F3-O0066","proc-campus-train-002-F3-O0054","proc-campus-train-002-F3-O0054","proc-campus-train-002-V01","proc-campus-train-002-V01","proc-campus-train-002-F1-O0020","proc-campus-train-002-F1-O0020","proc-campus-train-002-F1-O0019","proc-campus-train-002-F1-O0019"]}</x:v>
      </x:c>
      <x:c r="O832" s="6"/>
      <x:c r="P832" s="6" t="str">
        <x:v>README routing profile. Stairs and lifts allowed unless stated otherwise.</x:v>
      </x:c>
      <x:c r="Q832" s="15" t="n">
        <x:v>61.32</x:v>
      </x:c>
      <x:c r="R832" s="6" t="str">
        <x:v>m</x:v>
      </x:c>
      <x:c r="S832" s="16"/>
      <x:c r="T832" s="15"/>
      <x:c r="U832" s="6"/>
      <x:c r="V832" s="6"/>
      <x:c r="W832" s="6" t="str">
        <x:v>Existing find_route and show_route implement the kit routing model.</x:v>
      </x:c>
      <x:c r="X832" s="6" t="str">
        <x:v>data/train/proc-campus-train-002/questions_basic.jsonl</x:v>
      </x:c>
      <x:c r="Y832" s="14" t="n">
        <x:v>6</x:v>
      </x:c>
      <x:c r="Z832" s="6" t="str">
        <x:v>https://github.com/hagenhaeussler/Industrial-Agents-Hackathon-2026/blob/f41616590b69f3ea0c1cbfb41d6c35edd9ce53df/data/train/proc-campus-train-002/questions_basic.jsonl#L6</x:v>
      </x:c>
      <x:c r="AA832" s="6" t="str">
        <x:v>procedural</x:v>
      </x:c>
      <x:c r="AB832" s="6" t="str">
        <x:v>CC0-1.0</x:v>
      </x:c>
    </x:row>
    <x:row r="833" ht="138" customHeight="1">
      <x:c r="A833" s="14" t="n">
        <x:v>828</x:v>
      </x:c>
      <x:c r="B833" s="6" t="str">
        <x:v>route</x:v>
      </x:c>
      <x:c r="C833" s="6" t="str">
        <x:v>How do I get from Meeting room 3.17 (Floor 3) to Lecture hall 0.14 (Ground floor)?</x:v>
      </x:c>
      <x:c r="D833" s="6" t="str">
        <x:v>80.4 m
From: Meeting room 3.17
To: Lecture hall 0.14
Ordered path (8 spaces): Meeting room 3.17 → Corridor 3.01 → Staircase 1 → Staircase 1 → Staircase 1 → Staircase 1 → Corridor 0.01 → Lecture hall 0.14</x:v>
      </x:c>
      <x:c r="E833" s="6" t="str">
        <x:v>Reference supplied</x:v>
      </x:c>
      <x:c r="F833" s="6" t="str">
        <x:v>train</x:v>
      </x:c>
      <x:c r="G833" s="6" t="str">
        <x:v>proc-campus-train-002</x:v>
      </x:c>
      <x:c r="H833" s="6" t="str">
        <x:v>proc-campus-train-002-Q07</x:v>
      </x:c>
      <x:c r="I833" s="6" t="str">
        <x:v>Route planning</x:v>
      </x:c>
      <x:c r="J833" s="6" t="str">
        <x:v>Warm-up</x:v>
      </x:c>
      <x:c r="K833" s="6" t="str">
        <x:v>Ordered space path and directions, plus total route-model distance in metres.</x:v>
      </x:c>
      <x:c r="L833" s="6" t="str">
        <x:v>T02, T05, T13</x:v>
      </x:c>
      <x:c r="M833" s="6" t="str">
        <x:v>Find a valid route between two rooms, including across floors.</x:v>
      </x:c>
      <x:c r="N833" s="6" t="str">
        <x:v>{"from_space_id":"proc-campus-train-002-F3-S017","to_space_id":"proc-campus-train-002-F0-S014","optimal_length_m":80.4,"space_path":["proc-campus-train-002-F3-S017","proc-campus-train-002-F3-S001","proc-campus-train-002-F3-S005","proc-campus-train-002-F2-S005","proc-campus-train-002-F1-S005","proc-campus-train-002-F0-S005","proc-campus-train-002-F0-S001","proc-campus-train-002-F0-S014"],"element_path":["proc-campus-train-002-F3-O0066","proc-campus-train-002-F3-O0066","proc-campus-train-002-F3-O0054","proc-campus-train-002-F3-O0054","proc-campus-train-002-V01","proc-campus-train-002-V01","proc-campus-train-002-V01","proc-campus-train-002-F0-O0004","proc-campus-train-002-F0-O0004","proc-campus-train-002-F0-O0013","proc-campus-train-002-F0-O0013"]}</x:v>
      </x:c>
      <x:c r="O833" s="6"/>
      <x:c r="P833" s="6" t="str">
        <x:v>README routing profile. Stairs and lifts allowed unless stated otherwise.</x:v>
      </x:c>
      <x:c r="Q833" s="15" t="n">
        <x:v>80.4</x:v>
      </x:c>
      <x:c r="R833" s="6" t="str">
        <x:v>m</x:v>
      </x:c>
      <x:c r="S833" s="16"/>
      <x:c r="T833" s="15"/>
      <x:c r="U833" s="6"/>
      <x:c r="V833" s="6"/>
      <x:c r="W833" s="6" t="str">
        <x:v>Existing find_route and show_route implement the kit routing model.</x:v>
      </x:c>
      <x:c r="X833" s="6" t="str">
        <x:v>data/train/proc-campus-train-002/questions_basic.jsonl</x:v>
      </x:c>
      <x:c r="Y833" s="14" t="n">
        <x:v>7</x:v>
      </x:c>
      <x:c r="Z833" s="6" t="str">
        <x:v>https://github.com/hagenhaeussler/Industrial-Agents-Hackathon-2026/blob/f41616590b69f3ea0c1cbfb41d6c35edd9ce53df/data/train/proc-campus-train-002/questions_basic.jsonl#L7</x:v>
      </x:c>
      <x:c r="AA833" s="6" t="str">
        <x:v>procedural</x:v>
      </x:c>
      <x:c r="AB833" s="6" t="str">
        <x:v>CC0-1.0</x:v>
      </x:c>
    </x:row>
    <x:row r="834" ht="110" customHeight="1">
      <x:c r="A834" s="14" t="n">
        <x:v>829</x:v>
      </x:c>
      <x:c r="B834" s="6" t="str">
        <x:v>route</x:v>
      </x:c>
      <x:c r="C834" s="6" t="str">
        <x:v>How do I get from Toilet 1.16 (Floor 1) to Kitchen 0.10 (Ground floor)?</x:v>
      </x:c>
      <x:c r="D834" s="6" t="str">
        <x:v>36.58 m
From: Toilet 1.16
To: Kitchen 0.10
Ordered path (6 spaces): Toilet 1.16 → Corridor 1.01 → Staircase 1 → Staircase 1 → Corridor 0.01 → Kitchen 0.10</x:v>
      </x:c>
      <x:c r="E834" s="6" t="str">
        <x:v>Reference supplied</x:v>
      </x:c>
      <x:c r="F834" s="6" t="str">
        <x:v>train</x:v>
      </x:c>
      <x:c r="G834" s="6" t="str">
        <x:v>proc-campus-train-003</x:v>
      </x:c>
      <x:c r="H834" s="6" t="str">
        <x:v>proc-campus-train-003-Q05</x:v>
      </x:c>
      <x:c r="I834" s="6" t="str">
        <x:v>Route planning</x:v>
      </x:c>
      <x:c r="J834" s="6" t="str">
        <x:v>Warm-up</x:v>
      </x:c>
      <x:c r="K834" s="6" t="str">
        <x:v>Ordered space path and directions, plus total route-model distance in metres.</x:v>
      </x:c>
      <x:c r="L834" s="6" t="str">
        <x:v>T02, T05, T13</x:v>
      </x:c>
      <x:c r="M834" s="6" t="str">
        <x:v>Find a valid route between two rooms, including across floors.</x:v>
      </x:c>
      <x:c r="N834" s="6" t="str">
        <x:v>{"from_space_id":"proc-campus-train-003-F1-S016","to_space_id":"proc-campus-train-003-F0-S010","optimal_length_m":36.58,"space_path":["proc-campus-train-003-F1-S016","proc-campus-train-003-F1-S001","proc-campus-train-003-F1-S006","proc-campus-train-003-F0-S004","proc-campus-train-003-F0-S001","proc-campus-train-003-F0-S010"],"element_path":["proc-campus-train-003-F1-O0033","proc-campus-train-003-F1-O0033","proc-campus-train-003-F1-O0023","proc-campus-train-003-F1-O0023","proc-campus-train-003-V01","proc-campus-train-003-F0-O0003","proc-campus-train-003-F0-O0003","proc-campus-train-003-F0-O0009","proc-campus-train-003-F0-O0009"]}</x:v>
      </x:c>
      <x:c r="O834" s="6"/>
      <x:c r="P834" s="6" t="str">
        <x:v>README routing profile. Stairs and lifts allowed unless stated otherwise.</x:v>
      </x:c>
      <x:c r="Q834" s="15" t="n">
        <x:v>36.58</x:v>
      </x:c>
      <x:c r="R834" s="6" t="str">
        <x:v>m</x:v>
      </x:c>
      <x:c r="S834" s="16"/>
      <x:c r="T834" s="15"/>
      <x:c r="U834" s="6"/>
      <x:c r="V834" s="6"/>
      <x:c r="W834" s="6" t="str">
        <x:v>Existing find_route and show_route implement the kit routing model.</x:v>
      </x:c>
      <x:c r="X834" s="6" t="str">
        <x:v>data/train/proc-campus-train-003/questions_basic.jsonl</x:v>
      </x:c>
      <x:c r="Y834" s="14" t="n">
        <x:v>5</x:v>
      </x:c>
      <x:c r="Z834" s="6" t="str">
        <x:v>https://github.com/hagenhaeussler/Industrial-Agents-Hackathon-2026/blob/f41616590b69f3ea0c1cbfb41d6c35edd9ce53df/data/train/proc-campus-train-003/questions_basic.jsonl#L5</x:v>
      </x:c>
      <x:c r="AA834" s="6" t="str">
        <x:v>procedural</x:v>
      </x:c>
      <x:c r="AB834" s="6" t="str">
        <x:v>CC0-1.0</x:v>
      </x:c>
    </x:row>
    <x:row r="835" ht="82" customHeight="1">
      <x:c r="A835" s="14" t="n">
        <x:v>830</x:v>
      </x:c>
      <x:c r="B835" s="6" t="str">
        <x:v>route</x:v>
      </x:c>
      <x:c r="C835" s="6" t="str">
        <x:v>How do I get from Print room 2.13 (Floor 2) to Toilet 2.16 (Floor 2)?</x:v>
      </x:c>
      <x:c r="D835" s="6" t="str">
        <x:v>24.5 m
From: Print room 2.13
To: Toilet 2.16
Ordered path (3 spaces): Print room 2.13 → Corridor 2.01 → Toilet 2.16</x:v>
      </x:c>
      <x:c r="E835" s="6" t="str">
        <x:v>Reference supplied</x:v>
      </x:c>
      <x:c r="F835" s="6" t="str">
        <x:v>train</x:v>
      </x:c>
      <x:c r="G835" s="6" t="str">
        <x:v>proc-campus-train-003</x:v>
      </x:c>
      <x:c r="H835" s="6" t="str">
        <x:v>proc-campus-train-003-Q06</x:v>
      </x:c>
      <x:c r="I835" s="6" t="str">
        <x:v>Route planning</x:v>
      </x:c>
      <x:c r="J835" s="6" t="str">
        <x:v>Warm-up</x:v>
      </x:c>
      <x:c r="K835" s="6" t="str">
        <x:v>Ordered space path and directions, plus total route-model distance in metres.</x:v>
      </x:c>
      <x:c r="L835" s="6" t="str">
        <x:v>T02, T05, T13</x:v>
      </x:c>
      <x:c r="M835" s="6" t="str">
        <x:v>Find a valid route between two rooms, including across floors.</x:v>
      </x:c>
      <x:c r="N835" s="6" t="str">
        <x:v>{"from_space_id":"proc-campus-train-003-F2-S013","to_space_id":"proc-campus-train-003-F2-S016","optimal_length_m":24.5,"space_path":["proc-campus-train-003-F2-S013","proc-campus-train-003-F2-S001","proc-campus-train-003-F2-S016"],"element_path":["proc-campus-train-003-F2-O0049","proc-campus-train-003-F2-O0049","proc-campus-train-003-F2-O0052","proc-campus-train-003-F2-O0052"]}</x:v>
      </x:c>
      <x:c r="O835" s="6"/>
      <x:c r="P835" s="6" t="str">
        <x:v>README routing profile. Stairs and lifts allowed unless stated otherwise.</x:v>
      </x:c>
      <x:c r="Q835" s="15" t="n">
        <x:v>24.5</x:v>
      </x:c>
      <x:c r="R835" s="6" t="str">
        <x:v>m</x:v>
      </x:c>
      <x:c r="S835" s="16"/>
      <x:c r="T835" s="15"/>
      <x:c r="U835" s="6"/>
      <x:c r="V835" s="6"/>
      <x:c r="W835" s="6" t="str">
        <x:v>Existing find_route and show_route implement the kit routing model.</x:v>
      </x:c>
      <x:c r="X835" s="6" t="str">
        <x:v>data/train/proc-campus-train-003/questions_basic.jsonl</x:v>
      </x:c>
      <x:c r="Y835" s="14" t="n">
        <x:v>6</x:v>
      </x:c>
      <x:c r="Z835" s="6" t="str">
        <x:v>https://github.com/hagenhaeussler/Industrial-Agents-Hackathon-2026/blob/f41616590b69f3ea0c1cbfb41d6c35edd9ce53df/data/train/proc-campus-train-003/questions_basic.jsonl#L6</x:v>
      </x:c>
      <x:c r="AA835" s="6" t="str">
        <x:v>procedural</x:v>
      </x:c>
      <x:c r="AB835" s="6" t="str">
        <x:v>CC0-1.0</x:v>
      </x:c>
    </x:row>
    <x:row r="836" ht="82" customHeight="1">
      <x:c r="A836" s="14" t="n">
        <x:v>831</x:v>
      </x:c>
      <x:c r="B836" s="6" t="str">
        <x:v>route</x:v>
      </x:c>
      <x:c r="C836" s="6" t="str">
        <x:v>How do I get from Lab 1.09 (Floor 1) to Kitchen 1.19 (Floor 1)?</x:v>
      </x:c>
      <x:c r="D836" s="6" t="str">
        <x:v>29.21 m
From: Lab 1.09
To: Kitchen 1.19
Ordered path (3 spaces): Lab 1.09 → Corridor 1.01 → Kitchen 1.19</x:v>
      </x:c>
      <x:c r="E836" s="6" t="str">
        <x:v>Reference supplied</x:v>
      </x:c>
      <x:c r="F836" s="6" t="str">
        <x:v>train</x:v>
      </x:c>
      <x:c r="G836" s="6" t="str">
        <x:v>proc-campus-train-003</x:v>
      </x:c>
      <x:c r="H836" s="6" t="str">
        <x:v>proc-campus-train-003-Q07</x:v>
      </x:c>
      <x:c r="I836" s="6" t="str">
        <x:v>Route planning</x:v>
      </x:c>
      <x:c r="J836" s="6" t="str">
        <x:v>Warm-up</x:v>
      </x:c>
      <x:c r="K836" s="6" t="str">
        <x:v>Ordered space path and directions, plus total route-model distance in metres.</x:v>
      </x:c>
      <x:c r="L836" s="6" t="str">
        <x:v>T02, T05, T13</x:v>
      </x:c>
      <x:c r="M836" s="6" t="str">
        <x:v>Find a valid route between two rooms, including across floors.</x:v>
      </x:c>
      <x:c r="N836" s="6" t="str">
        <x:v>{"from_space_id":"proc-campus-train-003-F1-S009","to_space_id":"proc-campus-train-003-F1-S019","optimal_length_m":29.21,"space_path":["proc-campus-train-003-F1-S009","proc-campus-train-003-F1-S001","proc-campus-train-003-F1-S019"],"element_path":["proc-campus-train-003-F1-O0026","proc-campus-train-003-F1-O0026","proc-campus-train-003-F1-O0036","proc-campus-train-003-F1-O0036"]}</x:v>
      </x:c>
      <x:c r="O836" s="6"/>
      <x:c r="P836" s="6" t="str">
        <x:v>README routing profile. Stairs and lifts allowed unless stated otherwise.</x:v>
      </x:c>
      <x:c r="Q836" s="15" t="n">
        <x:v>29.21</x:v>
      </x:c>
      <x:c r="R836" s="6" t="str">
        <x:v>m</x:v>
      </x:c>
      <x:c r="S836" s="16"/>
      <x:c r="T836" s="15"/>
      <x:c r="U836" s="6"/>
      <x:c r="V836" s="6"/>
      <x:c r="W836" s="6" t="str">
        <x:v>Existing find_route and show_route implement the kit routing model.</x:v>
      </x:c>
      <x:c r="X836" s="6" t="str">
        <x:v>data/train/proc-campus-train-003/questions_basic.jsonl</x:v>
      </x:c>
      <x:c r="Y836" s="14" t="n">
        <x:v>7</x:v>
      </x:c>
      <x:c r="Z836" s="6" t="str">
        <x:v>https://github.com/hagenhaeussler/Industrial-Agents-Hackathon-2026/blob/f41616590b69f3ea0c1cbfb41d6c35edd9ce53df/data/train/proc-campus-train-003/questions_basic.jsonl#L7</x:v>
      </x:c>
      <x:c r="AA836" s="6" t="str">
        <x:v>procedural</x:v>
      </x:c>
      <x:c r="AB836" s="6" t="str">
        <x:v>CC0-1.0</x:v>
      </x:c>
    </x:row>
    <x:row r="837" ht="110" customHeight="1">
      <x:c r="A837" s="14" t="n">
        <x:v>832</x:v>
      </x:c>
      <x:c r="B837" s="6" t="str">
        <x:v>route</x:v>
      </x:c>
      <x:c r="C837" s="6" t="str">
        <x:v>How do I get from Office 0.14 (Ground floor) to Lab 1.14 (Floor 1)?</x:v>
      </x:c>
      <x:c r="D837" s="6" t="str">
        <x:v>60.4 m
From: Office 0.14
To: Lab 1.14
Ordered path (6 spaces): Office 0.14 → Corridor 0.01 → Staircase 1 → Staircase 1 → Corridor 1.01 → Lab 1.14</x:v>
      </x:c>
      <x:c r="E837" s="6" t="str">
        <x:v>Reference supplied</x:v>
      </x:c>
      <x:c r="F837" s="6" t="str">
        <x:v>train</x:v>
      </x:c>
      <x:c r="G837" s="6" t="str">
        <x:v>proc-campus-train-004</x:v>
      </x:c>
      <x:c r="H837" s="6" t="str">
        <x:v>proc-campus-train-004-Q05</x:v>
      </x:c>
      <x:c r="I837" s="6" t="str">
        <x:v>Route planning</x:v>
      </x:c>
      <x:c r="J837" s="6" t="str">
        <x:v>Warm-up</x:v>
      </x:c>
      <x:c r="K837" s="6" t="str">
        <x:v>Ordered space path and directions, plus total route-model distance in metres.</x:v>
      </x:c>
      <x:c r="L837" s="6" t="str">
        <x:v>T02, T05, T13</x:v>
      </x:c>
      <x:c r="M837" s="6" t="str">
        <x:v>Find a valid route between two rooms, including across floors.</x:v>
      </x:c>
      <x:c r="N837" s="6" t="str">
        <x:v>{"from_space_id":"proc-campus-train-004-F0-S014","to_space_id":"proc-campus-train-004-F1-S014","optimal_length_m":60.4,"space_path":["proc-campus-train-004-F0-S014","proc-campus-train-004-F0-S001","proc-campus-train-004-F0-S005","proc-campus-train-004-F1-S008","proc-campus-train-004-F1-S001","proc-campus-train-004-F1-S014"],"element_path":["proc-campus-train-004-F0-O0013","proc-campus-train-004-F0-O0013","proc-campus-train-004-F0-O0004","proc-campus-train-004-F0-O0004","proc-campus-train-004-V01","proc-campus-train-004-F1-O0031","proc-campus-train-004-F1-O0031","proc-campus-train-004-F1-O0037","proc-campus-train-004-F1-O0037"]}</x:v>
      </x:c>
      <x:c r="O837" s="6"/>
      <x:c r="P837" s="6" t="str">
        <x:v>README routing profile. Stairs and lifts allowed unless stated otherwise.</x:v>
      </x:c>
      <x:c r="Q837" s="15" t="n">
        <x:v>60.4</x:v>
      </x:c>
      <x:c r="R837" s="6" t="str">
        <x:v>m</x:v>
      </x:c>
      <x:c r="S837" s="16"/>
      <x:c r="T837" s="15"/>
      <x:c r="U837" s="6"/>
      <x:c r="V837" s="6"/>
      <x:c r="W837" s="6" t="str">
        <x:v>Existing find_route and show_route implement the kit routing model.</x:v>
      </x:c>
      <x:c r="X837" s="6" t="str">
        <x:v>data/train/proc-campus-train-004/questions_basic.jsonl</x:v>
      </x:c>
      <x:c r="Y837" s="14" t="n">
        <x:v>5</x:v>
      </x:c>
      <x:c r="Z837" s="6" t="str">
        <x:v>https://github.com/hagenhaeussler/Industrial-Agents-Hackathon-2026/blob/f41616590b69f3ea0c1cbfb41d6c35edd9ce53df/data/train/proc-campus-train-004/questions_basic.jsonl#L5</x:v>
      </x:c>
      <x:c r="AA837" s="6" t="str">
        <x:v>procedural</x:v>
      </x:c>
      <x:c r="AB837" s="6" t="str">
        <x:v>CC0-1.0</x:v>
      </x:c>
    </x:row>
    <x:row r="838" ht="110" customHeight="1">
      <x:c r="A838" s="14" t="n">
        <x:v>833</x:v>
      </x:c>
      <x:c r="B838" s="6" t="str">
        <x:v>route</x:v>
      </x:c>
      <x:c r="C838" s="6" t="str">
        <x:v>How do I get from Office 1.17 (Floor 1) to Office 0.14 (Ground floor)?</x:v>
      </x:c>
      <x:c r="D838" s="6" t="str">
        <x:v>49.69 m
From: Office 1.17
To: Office 0.14
Ordered path (6 spaces): Office 1.17 → Corridor 1.01 → Staircase 1 → Staircase 1 → Corridor 0.01 → Office 0.14</x:v>
      </x:c>
      <x:c r="E838" s="6" t="str">
        <x:v>Reference supplied</x:v>
      </x:c>
      <x:c r="F838" s="6" t="str">
        <x:v>train</x:v>
      </x:c>
      <x:c r="G838" s="6" t="str">
        <x:v>proc-campus-train-004</x:v>
      </x:c>
      <x:c r="H838" s="6" t="str">
        <x:v>proc-campus-train-004-Q06</x:v>
      </x:c>
      <x:c r="I838" s="6" t="str">
        <x:v>Route planning</x:v>
      </x:c>
      <x:c r="J838" s="6" t="str">
        <x:v>Warm-up</x:v>
      </x:c>
      <x:c r="K838" s="6" t="str">
        <x:v>Ordered space path and directions, plus total route-model distance in metres.</x:v>
      </x:c>
      <x:c r="L838" s="6" t="str">
        <x:v>T02, T05, T13</x:v>
      </x:c>
      <x:c r="M838" s="6" t="str">
        <x:v>Find a valid route between two rooms, including across floors.</x:v>
      </x:c>
      <x:c r="N838" s="6" t="str">
        <x:v>{"from_space_id":"proc-campus-train-004-F1-S017","to_space_id":"proc-campus-train-004-F0-S014","optimal_length_m":49.69,"space_path":["proc-campus-train-004-F1-S017","proc-campus-train-004-F1-S001","proc-campus-train-004-F1-S008","proc-campus-train-004-F0-S005","proc-campus-train-004-F0-S001","proc-campus-train-004-F0-S014"],"element_path":["proc-campus-train-004-F1-O0040","proc-campus-train-004-F1-O0040","proc-campus-train-004-F1-O0031","proc-campus-train-004-F1-O0031","proc-campus-train-004-V01","proc-campus-train-004-F0-O0004","proc-campus-train-004-F0-O0004","proc-campus-train-004-F0-O0013","proc-campus-train-004-F0-O0013"]}</x:v>
      </x:c>
      <x:c r="O838" s="6"/>
      <x:c r="P838" s="6" t="str">
        <x:v>README routing profile. Stairs and lifts allowed unless stated otherwise.</x:v>
      </x:c>
      <x:c r="Q838" s="15" t="n">
        <x:v>49.69</x:v>
      </x:c>
      <x:c r="R838" s="6" t="str">
        <x:v>m</x:v>
      </x:c>
      <x:c r="S838" s="16"/>
      <x:c r="T838" s="15"/>
      <x:c r="U838" s="6"/>
      <x:c r="V838" s="6"/>
      <x:c r="W838" s="6" t="str">
        <x:v>Existing find_route and show_route implement the kit routing model.</x:v>
      </x:c>
      <x:c r="X838" s="6" t="str">
        <x:v>data/train/proc-campus-train-004/questions_basic.jsonl</x:v>
      </x:c>
      <x:c r="Y838" s="14" t="n">
        <x:v>6</x:v>
      </x:c>
      <x:c r="Z838" s="6" t="str">
        <x:v>https://github.com/hagenhaeussler/Industrial-Agents-Hackathon-2026/blob/f41616590b69f3ea0c1cbfb41d6c35edd9ce53df/data/train/proc-campus-train-004/questions_basic.jsonl#L6</x:v>
      </x:c>
      <x:c r="AA838" s="6" t="str">
        <x:v>procedural</x:v>
      </x:c>
      <x:c r="AB838" s="6" t="str">
        <x:v>CC0-1.0</x:v>
      </x:c>
    </x:row>
    <x:row r="839" ht="82" customHeight="1">
      <x:c r="A839" s="14" t="n">
        <x:v>834</x:v>
      </x:c>
      <x:c r="B839" s="6" t="str">
        <x:v>route</x:v>
      </x:c>
      <x:c r="C839" s="6" t="str">
        <x:v>How do I get from Office 2.04 (Floor 2) to Lab 2.03 (Floor 2)?</x:v>
      </x:c>
      <x:c r="D839" s="6" t="str">
        <x:v>46.68 m
From: Office 2.04
To: Lab 2.03
Ordered path (3 spaces): Office 2.04 → Corridor 2.01 → Lab 2.03</x:v>
      </x:c>
      <x:c r="E839" s="6" t="str">
        <x:v>Reference supplied</x:v>
      </x:c>
      <x:c r="F839" s="6" t="str">
        <x:v>train</x:v>
      </x:c>
      <x:c r="G839" s="6" t="str">
        <x:v>proc-campus-train-004</x:v>
      </x:c>
      <x:c r="H839" s="6" t="str">
        <x:v>proc-campus-train-004-Q07</x:v>
      </x:c>
      <x:c r="I839" s="6" t="str">
        <x:v>Route planning</x:v>
      </x:c>
      <x:c r="J839" s="6" t="str">
        <x:v>Warm-up</x:v>
      </x:c>
      <x:c r="K839" s="6" t="str">
        <x:v>Ordered space path and directions, plus total route-model distance in metres.</x:v>
      </x:c>
      <x:c r="L839" s="6" t="str">
        <x:v>T02, T05, T13</x:v>
      </x:c>
      <x:c r="M839" s="6" t="str">
        <x:v>Find a valid route between two rooms, including across floors.</x:v>
      </x:c>
      <x:c r="N839" s="6" t="str">
        <x:v>{"from_space_id":"proc-campus-train-004-F2-S004","to_space_id":"proc-campus-train-004-F2-S003","optimal_length_m":46.68,"space_path":["proc-campus-train-004-F2-S004","proc-campus-train-004-F2-S001","proc-campus-train-004-F2-S003"],"element_path":["proc-campus-train-004-F2-O0052","proc-campus-train-004-F2-O0052","proc-campus-train-004-F2-O0051","proc-campus-train-004-F2-O0051"]}</x:v>
      </x:c>
      <x:c r="O839" s="6"/>
      <x:c r="P839" s="6" t="str">
        <x:v>README routing profile. Stairs and lifts allowed unless stated otherwise.</x:v>
      </x:c>
      <x:c r="Q839" s="15" t="n">
        <x:v>46.68</x:v>
      </x:c>
      <x:c r="R839" s="6" t="str">
        <x:v>m</x:v>
      </x:c>
      <x:c r="S839" s="16"/>
      <x:c r="T839" s="15"/>
      <x:c r="U839" s="6"/>
      <x:c r="V839" s="6"/>
      <x:c r="W839" s="6" t="str">
        <x:v>Existing find_route and show_route implement the kit routing model.</x:v>
      </x:c>
      <x:c r="X839" s="6" t="str">
        <x:v>data/train/proc-campus-train-004/questions_basic.jsonl</x:v>
      </x:c>
      <x:c r="Y839" s="14" t="n">
        <x:v>7</x:v>
      </x:c>
      <x:c r="Z839" s="6" t="str">
        <x:v>https://github.com/hagenhaeussler/Industrial-Agents-Hackathon-2026/blob/f41616590b69f3ea0c1cbfb41d6c35edd9ce53df/data/train/proc-campus-train-004/questions_basic.jsonl#L7</x:v>
      </x:c>
      <x:c r="AA839" s="6" t="str">
        <x:v>procedural</x:v>
      </x:c>
      <x:c r="AB839" s="6" t="str">
        <x:v>CC0-1.0</x:v>
      </x:c>
    </x:row>
    <x:row r="840" ht="124" customHeight="1">
      <x:c r="A840" s="14" t="n">
        <x:v>835</x:v>
      </x:c>
      <x:c r="B840" s="6" t="str">
        <x:v>route</x:v>
      </x:c>
      <x:c r="C840" s="6" t="str">
        <x:v>How do I get from Office 2.15 (Floor 2) to Meeting room 0.06 (Ground floor)?</x:v>
      </x:c>
      <x:c r="D840" s="6" t="str">
        <x:v>65.81 m
From: Office 2.15
To: Meeting room 0.06
Ordered path (7 spaces): Office 2.15 → Corridor 2.01 → Staircase 1 → Staircase 1 → Staircase 1 → Corridor 0.01 → Meeting room 0.06</x:v>
      </x:c>
      <x:c r="E840" s="6" t="str">
        <x:v>Reference supplied</x:v>
      </x:c>
      <x:c r="F840" s="6" t="str">
        <x:v>train</x:v>
      </x:c>
      <x:c r="G840" s="6" t="str">
        <x:v>proc-campus-train-011</x:v>
      </x:c>
      <x:c r="H840" s="6" t="str">
        <x:v>proc-campus-train-011-Q05</x:v>
      </x:c>
      <x:c r="I840" s="6" t="str">
        <x:v>Route planning</x:v>
      </x:c>
      <x:c r="J840" s="6" t="str">
        <x:v>Warm-up</x:v>
      </x:c>
      <x:c r="K840" s="6" t="str">
        <x:v>Ordered space path and directions, plus total route-model distance in metres.</x:v>
      </x:c>
      <x:c r="L840" s="6" t="str">
        <x:v>T02, T05, T13</x:v>
      </x:c>
      <x:c r="M840" s="6" t="str">
        <x:v>Find a valid route between two rooms, including across floors.</x:v>
      </x:c>
      <x:c r="N840" s="6" t="str">
        <x:v>{"from_space_id":"proc-campus-train-011-F2-S015","to_space_id":"proc-campus-train-011-F0-S006","optimal_length_m":65.81,"space_path":["proc-campus-train-011-F2-S015","proc-campus-train-011-F2-S001","proc-campus-train-011-F2-S006","proc-campus-train-011-F1-S006","proc-campus-train-011-F0-S004","proc-campus-train-011-F0-S001","proc-campus-train-011-F0-S006"],"element_path":["proc-campus-train-011-F2-O0055","proc-campus-train-011-F2-O0055","proc-campus-train-011-F2-O0046","proc-campus-train-011-F2-O0046","proc-campus-train-011-V01","proc-campus-train-011-V01","proc-campus-train-011-F0-O0003","proc-campus-train-011-F0-O0003","proc-campus-train-011-F0-O0005","proc-campus-train-011-F0-O0005"]}</x:v>
      </x:c>
      <x:c r="O840" s="6"/>
      <x:c r="P840" s="6" t="str">
        <x:v>README routing profile. Stairs and lifts allowed unless stated otherwise.</x:v>
      </x:c>
      <x:c r="Q840" s="15" t="n">
        <x:v>65.81</x:v>
      </x:c>
      <x:c r="R840" s="6" t="str">
        <x:v>m</x:v>
      </x:c>
      <x:c r="S840" s="16"/>
      <x:c r="T840" s="15"/>
      <x:c r="U840" s="6"/>
      <x:c r="V840" s="6"/>
      <x:c r="W840" s="6" t="str">
        <x:v>Existing find_route and show_route implement the kit routing model.</x:v>
      </x:c>
      <x:c r="X840" s="6" t="str">
        <x:v>data/train/proc-campus-train-011/questions_basic.jsonl</x:v>
      </x:c>
      <x:c r="Y840" s="14" t="n">
        <x:v>5</x:v>
      </x:c>
      <x:c r="Z840" s="6" t="str">
        <x:v>https://github.com/hagenhaeussler/Industrial-Agents-Hackathon-2026/blob/f41616590b69f3ea0c1cbfb41d6c35edd9ce53df/data/train/proc-campus-train-011/questions_basic.jsonl#L5</x:v>
      </x:c>
      <x:c r="AA840" s="6" t="str">
        <x:v>procedural</x:v>
      </x:c>
      <x:c r="AB840" s="6" t="str">
        <x:v>CC0-1.0</x:v>
      </x:c>
    </x:row>
    <x:row r="841" ht="110" customHeight="1">
      <x:c r="A841" s="14" t="n">
        <x:v>836</x:v>
      </x:c>
      <x:c r="B841" s="6" t="str">
        <x:v>route</x:v>
      </x:c>
      <x:c r="C841" s="6" t="str">
        <x:v>How do I get from Lab 0.02 (Ground floor) to Office 1.19 (Floor 1)?</x:v>
      </x:c>
      <x:c r="D841" s="6" t="str">
        <x:v>57.41 m
From: Lab 0.02
To: Office 1.19
Ordered path (6 spaces): Lab 0.02 → Corridor 0.01 → Staircase 1 → Staircase 1 → Corridor 1.01 → Office 1.19</x:v>
      </x:c>
      <x:c r="E841" s="6" t="str">
        <x:v>Reference supplied</x:v>
      </x:c>
      <x:c r="F841" s="6" t="str">
        <x:v>train</x:v>
      </x:c>
      <x:c r="G841" s="6" t="str">
        <x:v>proc-campus-train-011</x:v>
      </x:c>
      <x:c r="H841" s="6" t="str">
        <x:v>proc-campus-train-011-Q06</x:v>
      </x:c>
      <x:c r="I841" s="6" t="str">
        <x:v>Route planning</x:v>
      </x:c>
      <x:c r="J841" s="6" t="str">
        <x:v>Warm-up</x:v>
      </x:c>
      <x:c r="K841" s="6" t="str">
        <x:v>Ordered space path and directions, plus total route-model distance in metres.</x:v>
      </x:c>
      <x:c r="L841" s="6" t="str">
        <x:v>T02, T05, T13</x:v>
      </x:c>
      <x:c r="M841" s="6" t="str">
        <x:v>Find a valid route between two rooms, including across floors.</x:v>
      </x:c>
      <x:c r="N841" s="6" t="str">
        <x:v>{"from_space_id":"proc-campus-train-011-F0-S002","to_space_id":"proc-campus-train-011-F1-S019","optimal_length_m":57.41,"space_path":["proc-campus-train-011-F0-S002","proc-campus-train-011-F0-S001","proc-campus-train-011-F0-S004","proc-campus-train-011-F1-S006","proc-campus-train-011-F1-S001","proc-campus-train-011-F1-S019"],"element_path":["proc-campus-train-011-F0-O0001","proc-campus-train-011-F0-O0001","proc-campus-train-011-F0-O0003","proc-campus-train-011-F0-O0003","proc-campus-train-011-V01","proc-campus-train-011-F1-O0025","proc-campus-train-011-F1-O0025","proc-campus-train-011-F1-O0038","proc-campus-train-011-F1-O0038"]}</x:v>
      </x:c>
      <x:c r="O841" s="6"/>
      <x:c r="P841" s="6" t="str">
        <x:v>README routing profile. Stairs and lifts allowed unless stated otherwise.</x:v>
      </x:c>
      <x:c r="Q841" s="15" t="n">
        <x:v>57.41</x:v>
      </x:c>
      <x:c r="R841" s="6" t="str">
        <x:v>m</x:v>
      </x:c>
      <x:c r="S841" s="16"/>
      <x:c r="T841" s="15"/>
      <x:c r="U841" s="6"/>
      <x:c r="V841" s="6"/>
      <x:c r="W841" s="6" t="str">
        <x:v>Existing find_route and show_route implement the kit routing model.</x:v>
      </x:c>
      <x:c r="X841" s="6" t="str">
        <x:v>data/train/proc-campus-train-011/questions_basic.jsonl</x:v>
      </x:c>
      <x:c r="Y841" s="14" t="n">
        <x:v>6</x:v>
      </x:c>
      <x:c r="Z841" s="6" t="str">
        <x:v>https://github.com/hagenhaeussler/Industrial-Agents-Hackathon-2026/blob/f41616590b69f3ea0c1cbfb41d6c35edd9ce53df/data/train/proc-campus-train-011/questions_basic.jsonl#L6</x:v>
      </x:c>
      <x:c r="AA841" s="6" t="str">
        <x:v>procedural</x:v>
      </x:c>
      <x:c r="AB841" s="6" t="str">
        <x:v>CC0-1.0</x:v>
      </x:c>
    </x:row>
    <x:row r="842" ht="110" customHeight="1">
      <x:c r="A842" s="14" t="n">
        <x:v>837</x:v>
      </x:c>
      <x:c r="B842" s="6" t="str">
        <x:v>route</x:v>
      </x:c>
      <x:c r="C842" s="6" t="str">
        <x:v>How do I get from Toilet 3.16 (Floor 3) to Office 2.19 (Floor 2)?</x:v>
      </x:c>
      <x:c r="D842" s="6" t="str">
        <x:v>38.25 m
From: Toilet 3.16
To: Office 2.19
Ordered path (6 spaces): Toilet 3.16 → Corridor 3.01 → Staircase 1 → Staircase 1 → Corridor 2.01 → Office 2.19</x:v>
      </x:c>
      <x:c r="E842" s="6" t="str">
        <x:v>Reference supplied</x:v>
      </x:c>
      <x:c r="F842" s="6" t="str">
        <x:v>train</x:v>
      </x:c>
      <x:c r="G842" s="6" t="str">
        <x:v>proc-campus-train-011</x:v>
      </x:c>
      <x:c r="H842" s="6" t="str">
        <x:v>proc-campus-train-011-Q07</x:v>
      </x:c>
      <x:c r="I842" s="6" t="str">
        <x:v>Route planning</x:v>
      </x:c>
      <x:c r="J842" s="6" t="str">
        <x:v>Warm-up</x:v>
      </x:c>
      <x:c r="K842" s="6" t="str">
        <x:v>Ordered space path and directions, plus total route-model distance in metres.</x:v>
      </x:c>
      <x:c r="L842" s="6" t="str">
        <x:v>T02, T05, T13</x:v>
      </x:c>
      <x:c r="M842" s="6" t="str">
        <x:v>Find a valid route between two rooms, including across floors.</x:v>
      </x:c>
      <x:c r="N842" s="6" t="str">
        <x:v>{"from_space_id":"proc-campus-train-011-F3-S016","to_space_id":"proc-campus-train-011-F2-S019","optimal_length_m":38.25,"space_path":["proc-campus-train-011-F3-S016","proc-campus-train-011-F3-S001","proc-campus-train-011-F3-S006","proc-campus-train-011-F2-S006","proc-campus-train-011-F2-S001","proc-campus-train-011-F2-S019"],"element_path":["proc-campus-train-011-F3-O0077","proc-campus-train-011-F3-O0077","proc-campus-train-011-F3-O0067","proc-campus-train-011-F3-O0067","proc-campus-train-011-V01","proc-campus-train-011-F2-O0046","proc-campus-train-011-F2-O0046","proc-campus-train-011-F2-O0059","proc-campus-train-011-F2-O0059"]}</x:v>
      </x:c>
      <x:c r="O842" s="6"/>
      <x:c r="P842" s="6" t="str">
        <x:v>README routing profile. Stairs and lifts allowed unless stated otherwise.</x:v>
      </x:c>
      <x:c r="Q842" s="15" t="n">
        <x:v>38.25</x:v>
      </x:c>
      <x:c r="R842" s="6" t="str">
        <x:v>m</x:v>
      </x:c>
      <x:c r="S842" s="16"/>
      <x:c r="T842" s="15"/>
      <x:c r="U842" s="6"/>
      <x:c r="V842" s="6"/>
      <x:c r="W842" s="6" t="str">
        <x:v>Existing find_route and show_route implement the kit routing model.</x:v>
      </x:c>
      <x:c r="X842" s="6" t="str">
        <x:v>data/train/proc-campus-train-011/questions_basic.jsonl</x:v>
      </x:c>
      <x:c r="Y842" s="14" t="n">
        <x:v>7</x:v>
      </x:c>
      <x:c r="Z842" s="6" t="str">
        <x:v>https://github.com/hagenhaeussler/Industrial-Agents-Hackathon-2026/blob/f41616590b69f3ea0c1cbfb41d6c35edd9ce53df/data/train/proc-campus-train-011/questions_basic.jsonl#L7</x:v>
      </x:c>
      <x:c r="AA842" s="6" t="str">
        <x:v>procedural</x:v>
      </x:c>
      <x:c r="AB842" s="6" t="str">
        <x:v>CC0-1.0</x:v>
      </x:c>
    </x:row>
    <x:row r="843" ht="110" customHeight="1">
      <x:c r="A843" s="14" t="n">
        <x:v>838</x:v>
      </x:c>
      <x:c r="B843" s="6" t="str">
        <x:v>route</x:v>
      </x:c>
      <x:c r="C843" s="6" t="str">
        <x:v>How do I get from Storage 0.10 (Ground floor) to Office 1.14 (Floor 1)?</x:v>
      </x:c>
      <x:c r="D843" s="6" t="str">
        <x:v>48.9 m
From: Storage 0.10
To: Office 1.14
Ordered path (6 spaces): Storage 0.10 → Corridor 0.01 → Staircase 1 → Staircase 1 → Corridor 1.01 → Office 1.14</x:v>
      </x:c>
      <x:c r="E843" s="6" t="str">
        <x:v>Reference supplied</x:v>
      </x:c>
      <x:c r="F843" s="6" t="str">
        <x:v>train</x:v>
      </x:c>
      <x:c r="G843" s="6" t="str">
        <x:v>proc-campus-train-012</x:v>
      </x:c>
      <x:c r="H843" s="6" t="str">
        <x:v>proc-campus-train-012-Q05</x:v>
      </x:c>
      <x:c r="I843" s="6" t="str">
        <x:v>Route planning</x:v>
      </x:c>
      <x:c r="J843" s="6" t="str">
        <x:v>Warm-up</x:v>
      </x:c>
      <x:c r="K843" s="6" t="str">
        <x:v>Ordered space path and directions, plus total route-model distance in metres.</x:v>
      </x:c>
      <x:c r="L843" s="6" t="str">
        <x:v>T02, T05, T13</x:v>
      </x:c>
      <x:c r="M843" s="6" t="str">
        <x:v>Find a valid route between two rooms, including across floors.</x:v>
      </x:c>
      <x:c r="N843" s="6" t="str">
        <x:v>{"from_space_id":"proc-campus-train-012-F0-S010","to_space_id":"proc-campus-train-012-F1-S014","optimal_length_m":48.9,"space_path":["proc-campus-train-012-F0-S010","proc-campus-train-012-F0-S001","proc-campus-train-012-F0-S006","proc-campus-train-012-F1-S006","proc-campus-train-012-F1-S001","proc-campus-train-012-F1-S014"],"element_path":["proc-campus-train-012-F0-O0009","proc-campus-train-012-F0-O0009","proc-campus-train-012-F0-O0005","proc-campus-train-012-F0-O0005","proc-campus-train-012-V01","proc-campus-train-012-F1-O0022","proc-campus-train-012-F1-O0022","proc-campus-train-012-F1-O0030","proc-campus-train-012-F1-O0030"]}</x:v>
      </x:c>
      <x:c r="O843" s="6"/>
      <x:c r="P843" s="6" t="str">
        <x:v>README routing profile. Stairs and lifts allowed unless stated otherwise.</x:v>
      </x:c>
      <x:c r="Q843" s="15" t="n">
        <x:v>48.9</x:v>
      </x:c>
      <x:c r="R843" s="6" t="str">
        <x:v>m</x:v>
      </x:c>
      <x:c r="S843" s="16"/>
      <x:c r="T843" s="15"/>
      <x:c r="U843" s="6"/>
      <x:c r="V843" s="6"/>
      <x:c r="W843" s="6" t="str">
        <x:v>Existing find_route and show_route implement the kit routing model.</x:v>
      </x:c>
      <x:c r="X843" s="6" t="str">
        <x:v>data/train/proc-campus-train-012/questions_basic.jsonl</x:v>
      </x:c>
      <x:c r="Y843" s="14" t="n">
        <x:v>5</x:v>
      </x:c>
      <x:c r="Z843" s="6" t="str">
        <x:v>https://github.com/hagenhaeussler/Industrial-Agents-Hackathon-2026/blob/f41616590b69f3ea0c1cbfb41d6c35edd9ce53df/data/train/proc-campus-train-012/questions_basic.jsonl#L5</x:v>
      </x:c>
      <x:c r="AA843" s="6" t="str">
        <x:v>procedural</x:v>
      </x:c>
      <x:c r="AB843" s="6" t="str">
        <x:v>CC0-1.0</x:v>
      </x:c>
    </x:row>
    <x:row r="844" ht="110" customHeight="1">
      <x:c r="A844" s="14" t="n">
        <x:v>839</x:v>
      </x:c>
      <x:c r="B844" s="6" t="str">
        <x:v>route</x:v>
      </x:c>
      <x:c r="C844" s="6" t="str">
        <x:v>How do I get from Kitchen 1.16 (Floor 1) to Seminar room 2.03 (Floor 2)?</x:v>
      </x:c>
      <x:c r="D844" s="6" t="str">
        <x:v>46.96 m
From: Kitchen 1.16
To: Seminar room 2.03
Ordered path (6 spaces): Kitchen 1.16 → Corridor 1.01 → Staircase 1 → Staircase 1 → Corridor 2.01 → Seminar room 2.03</x:v>
      </x:c>
      <x:c r="E844" s="6" t="str">
        <x:v>Reference supplied</x:v>
      </x:c>
      <x:c r="F844" s="6" t="str">
        <x:v>train</x:v>
      </x:c>
      <x:c r="G844" s="6" t="str">
        <x:v>proc-campus-train-012</x:v>
      </x:c>
      <x:c r="H844" s="6" t="str">
        <x:v>proc-campus-train-012-Q06</x:v>
      </x:c>
      <x:c r="I844" s="6" t="str">
        <x:v>Route planning</x:v>
      </x:c>
      <x:c r="J844" s="6" t="str">
        <x:v>Warm-up</x:v>
      </x:c>
      <x:c r="K844" s="6" t="str">
        <x:v>Ordered space path and directions, plus total route-model distance in metres.</x:v>
      </x:c>
      <x:c r="L844" s="6" t="str">
        <x:v>T02, T05, T13</x:v>
      </x:c>
      <x:c r="M844" s="6" t="str">
        <x:v>Find a valid route between two rooms, including across floors.</x:v>
      </x:c>
      <x:c r="N844" s="6" t="str">
        <x:v>{"from_space_id":"proc-campus-train-012-F1-S016","to_space_id":"proc-campus-train-012-F2-S003","optimal_length_m":46.96,"space_path":["proc-campus-train-012-F1-S016","proc-campus-train-012-F1-S001","proc-campus-train-012-F1-S006","proc-campus-train-012-F2-S006","proc-campus-train-012-F2-S001","proc-campus-train-012-F2-S003"],"element_path":["proc-campus-train-012-F1-O0032","proc-campus-train-012-F1-O0032","proc-campus-train-012-F1-O0022","proc-campus-train-012-F1-O0022","proc-campus-train-012-V01","proc-campus-train-012-F2-O0040","proc-campus-train-012-F2-O0040","proc-campus-train-012-F2-O0037","proc-campus-train-012-F2-O0037"]}</x:v>
      </x:c>
      <x:c r="O844" s="6"/>
      <x:c r="P844" s="6" t="str">
        <x:v>README routing profile. Stairs and lifts allowed unless stated otherwise.</x:v>
      </x:c>
      <x:c r="Q844" s="15" t="n">
        <x:v>46.96</x:v>
      </x:c>
      <x:c r="R844" s="6" t="str">
        <x:v>m</x:v>
      </x:c>
      <x:c r="S844" s="16"/>
      <x:c r="T844" s="15"/>
      <x:c r="U844" s="6"/>
      <x:c r="V844" s="6"/>
      <x:c r="W844" s="6" t="str">
        <x:v>Existing find_route and show_route implement the kit routing model.</x:v>
      </x:c>
      <x:c r="X844" s="6" t="str">
        <x:v>data/train/proc-campus-train-012/questions_basic.jsonl</x:v>
      </x:c>
      <x:c r="Y844" s="14" t="n">
        <x:v>6</x:v>
      </x:c>
      <x:c r="Z844" s="6" t="str">
        <x:v>https://github.com/hagenhaeussler/Industrial-Agents-Hackathon-2026/blob/f41616590b69f3ea0c1cbfb41d6c35edd9ce53df/data/train/proc-campus-train-012/questions_basic.jsonl#L6</x:v>
      </x:c>
      <x:c r="AA844" s="6" t="str">
        <x:v>procedural</x:v>
      </x:c>
      <x:c r="AB844" s="6" t="str">
        <x:v>CC0-1.0</x:v>
      </x:c>
    </x:row>
    <x:row r="845" ht="82" customHeight="1">
      <x:c r="A845" s="14" t="n">
        <x:v>840</x:v>
      </x:c>
      <x:c r="B845" s="6" t="str">
        <x:v>route</x:v>
      </x:c>
      <x:c r="C845" s="6" t="str">
        <x:v>How do I get from Seminar room 2.18 (Floor 2) to Toilet 2.15 (Floor 2)?</x:v>
      </x:c>
      <x:c r="D845" s="6" t="str">
        <x:v>23.23 m
From: Seminar room 2.18
To: Toilet 2.15
Ordered path (3 spaces): Seminar room 2.18 → Corridor 2.01 → Toilet 2.15</x:v>
      </x:c>
      <x:c r="E845" s="6" t="str">
        <x:v>Reference supplied</x:v>
      </x:c>
      <x:c r="F845" s="6" t="str">
        <x:v>train</x:v>
      </x:c>
      <x:c r="G845" s="6" t="str">
        <x:v>proc-campus-train-012</x:v>
      </x:c>
      <x:c r="H845" s="6" t="str">
        <x:v>proc-campus-train-012-Q07</x:v>
      </x:c>
      <x:c r="I845" s="6" t="str">
        <x:v>Route planning</x:v>
      </x:c>
      <x:c r="J845" s="6" t="str">
        <x:v>Warm-up</x:v>
      </x:c>
      <x:c r="K845" s="6" t="str">
        <x:v>Ordered space path and directions, plus total route-model distance in metres.</x:v>
      </x:c>
      <x:c r="L845" s="6" t="str">
        <x:v>T02, T05, T13</x:v>
      </x:c>
      <x:c r="M845" s="6" t="str">
        <x:v>Find a valid route between two rooms, including across floors.</x:v>
      </x:c>
      <x:c r="N845" s="6" t="str">
        <x:v>{"from_space_id":"proc-campus-train-012-F2-S018","to_space_id":"proc-campus-train-012-F2-S015","optimal_length_m":23.23,"space_path":["proc-campus-train-012-F2-S018","proc-campus-train-012-F2-S001","proc-campus-train-012-F2-S015"],"element_path":["proc-campus-train-012-F2-O0052","proc-campus-train-012-F2-O0052","proc-campus-train-012-F2-O0049","proc-campus-train-012-F2-O0049"]}</x:v>
      </x:c>
      <x:c r="O845" s="6"/>
      <x:c r="P845" s="6" t="str">
        <x:v>README routing profile. Stairs and lifts allowed unless stated otherwise.</x:v>
      </x:c>
      <x:c r="Q845" s="15" t="n">
        <x:v>23.23</x:v>
      </x:c>
      <x:c r="R845" s="6" t="str">
        <x:v>m</x:v>
      </x:c>
      <x:c r="S845" s="16"/>
      <x:c r="T845" s="15"/>
      <x:c r="U845" s="6"/>
      <x:c r="V845" s="6"/>
      <x:c r="W845" s="6" t="str">
        <x:v>Existing find_route and show_route implement the kit routing model.</x:v>
      </x:c>
      <x:c r="X845" s="6" t="str">
        <x:v>data/train/proc-campus-train-012/questions_basic.jsonl</x:v>
      </x:c>
      <x:c r="Y845" s="14" t="n">
        <x:v>7</x:v>
      </x:c>
      <x:c r="Z845" s="6" t="str">
        <x:v>https://github.com/hagenhaeussler/Industrial-Agents-Hackathon-2026/blob/f41616590b69f3ea0c1cbfb41d6c35edd9ce53df/data/train/proc-campus-train-012/questions_basic.jsonl#L7</x:v>
      </x:c>
      <x:c r="AA845" s="6" t="str">
        <x:v>procedural</x:v>
      </x:c>
      <x:c r="AB845" s="6" t="str">
        <x:v>CC0-1.0</x:v>
      </x:c>
    </x:row>
    <x:row r="846" ht="124" customHeight="1">
      <x:c r="A846" s="14" t="n">
        <x:v>841</x:v>
      </x:c>
      <x:c r="B846" s="6" t="str">
        <x:v>route</x:v>
      </x:c>
      <x:c r="C846" s="6" t="str">
        <x:v>How do I get from Toilet 3.23 (Floor 3) to Library 1.09 (Floor 1)?</x:v>
      </x:c>
      <x:c r="D846" s="6" t="str">
        <x:v>75.58 m
From: Toilet 3.23
To: Library 1.09
Ordered path (7 spaces): Toilet 3.23 → Corridor 3.01 → Staircase 2 → Staircase 2 → Staircase 2 → Corridor 1.01 → Library 1.09</x:v>
      </x:c>
      <x:c r="E846" s="6" t="str">
        <x:v>Reference supplied</x:v>
      </x:c>
      <x:c r="F846" s="6" t="str">
        <x:v>train</x:v>
      </x:c>
      <x:c r="G846" s="6" t="str">
        <x:v>proc-campus-train-013</x:v>
      </x:c>
      <x:c r="H846" s="6" t="str">
        <x:v>proc-campus-train-013-Q05</x:v>
      </x:c>
      <x:c r="I846" s="6" t="str">
        <x:v>Route planning</x:v>
      </x:c>
      <x:c r="J846" s="6" t="str">
        <x:v>Warm-up</x:v>
      </x:c>
      <x:c r="K846" s="6" t="str">
        <x:v>Ordered space path and directions, plus total route-model distance in metres.</x:v>
      </x:c>
      <x:c r="L846" s="6" t="str">
        <x:v>T02, T05, T13</x:v>
      </x:c>
      <x:c r="M846" s="6" t="str">
        <x:v>Find a valid route between two rooms, including across floors.</x:v>
      </x:c>
      <x:c r="N846" s="6" t="str">
        <x:v>{"from_space_id":"proc-campus-train-013-F3-S023","to_space_id":"proc-campus-train-013-F1-S009","optimal_length_m":75.58,"space_path":["proc-campus-train-013-F3-S023","proc-campus-train-013-F3-S001","proc-campus-train-013-F3-S011","proc-campus-train-013-F2-S011","proc-campus-train-013-F1-S011","proc-campus-train-013-F1-S001","proc-campus-train-013-F1-S009"],"element_path":["proc-campus-train-013-F3-O0093","proc-campus-train-013-F3-O0093","proc-campus-train-013-F3-O0081","proc-campus-train-013-F3-O0081","proc-campus-train-013-V03","proc-campus-train-013-V03","proc-campus-train-013-F1-O0033","proc-campus-train-013-F1-O0033","proc-campus-train-013-F1-O0031","proc-campus-train-013-F1-O0031"]}</x:v>
      </x:c>
      <x:c r="O846" s="6"/>
      <x:c r="P846" s="6" t="str">
        <x:v>README routing profile. Stairs and lifts allowed unless stated otherwise.</x:v>
      </x:c>
      <x:c r="Q846" s="15" t="n">
        <x:v>75.58</x:v>
      </x:c>
      <x:c r="R846" s="6" t="str">
        <x:v>m</x:v>
      </x:c>
      <x:c r="S846" s="16"/>
      <x:c r="T846" s="15"/>
      <x:c r="U846" s="6"/>
      <x:c r="V846" s="6"/>
      <x:c r="W846" s="6" t="str">
        <x:v>Existing find_route and show_route implement the kit routing model.</x:v>
      </x:c>
      <x:c r="X846" s="6" t="str">
        <x:v>data/train/proc-campus-train-013/questions_basic.jsonl</x:v>
      </x:c>
      <x:c r="Y846" s="14" t="n">
        <x:v>5</x:v>
      </x:c>
      <x:c r="Z846" s="6" t="str">
        <x:v>https://github.com/hagenhaeussler/Industrial-Agents-Hackathon-2026/blob/f41616590b69f3ea0c1cbfb41d6c35edd9ce53df/data/train/proc-campus-train-013/questions_basic.jsonl#L5</x:v>
      </x:c>
      <x:c r="AA846" s="6" t="str">
        <x:v>procedural</x:v>
      </x:c>
      <x:c r="AB846" s="6" t="str">
        <x:v>CC0-1.0</x:v>
      </x:c>
    </x:row>
    <x:row r="847" ht="110" customHeight="1">
      <x:c r="A847" s="14" t="n">
        <x:v>842</x:v>
      </x:c>
      <x:c r="B847" s="6" t="str">
        <x:v>route</x:v>
      </x:c>
      <x:c r="C847" s="6" t="str">
        <x:v>How do I get from Toilet 1.23 (Floor 1) to Toilet 0.18 (Ground floor)?</x:v>
      </x:c>
      <x:c r="D847" s="6" t="str">
        <x:v>73.82 m
From: Toilet 1.23
To: Toilet 0.18
Ordered path (6 spaces): Toilet 1.23 → Corridor 1.01 → Staircase 2 → Staircase 2 → Corridor 0.01 → Toilet 0.18</x:v>
      </x:c>
      <x:c r="E847" s="6" t="str">
        <x:v>Reference supplied</x:v>
      </x:c>
      <x:c r="F847" s="6" t="str">
        <x:v>train</x:v>
      </x:c>
      <x:c r="G847" s="6" t="str">
        <x:v>proc-campus-train-013</x:v>
      </x:c>
      <x:c r="H847" s="6" t="str">
        <x:v>proc-campus-train-013-Q06</x:v>
      </x:c>
      <x:c r="I847" s="6" t="str">
        <x:v>Route planning</x:v>
      </x:c>
      <x:c r="J847" s="6" t="str">
        <x:v>Warm-up</x:v>
      </x:c>
      <x:c r="K847" s="6" t="str">
        <x:v>Ordered space path and directions, plus total route-model distance in metres.</x:v>
      </x:c>
      <x:c r="L847" s="6" t="str">
        <x:v>T02, T05, T13</x:v>
      </x:c>
      <x:c r="M847" s="6" t="str">
        <x:v>Find a valid route between two rooms, including across floors.</x:v>
      </x:c>
      <x:c r="N847" s="6" t="str">
        <x:v>{"from_space_id":"proc-campus-train-013-F1-S023","to_space_id":"proc-campus-train-013-F0-S018","optimal_length_m":73.82,"space_path":["proc-campus-train-013-F1-S023","proc-campus-train-013-F1-S001","proc-campus-train-013-F1-S011","proc-campus-train-013-F0-S009","proc-campus-train-013-F0-S001","proc-campus-train-013-F0-S018"],"element_path":["proc-campus-train-013-F1-O0045","proc-campus-train-013-F1-O0045","proc-campus-train-013-F1-O0033","proc-campus-train-013-F1-O0033","proc-campus-train-013-V03","proc-campus-train-013-F0-O0008","proc-campus-train-013-F0-O0008","proc-campus-train-013-F0-O0017","proc-campus-train-013-F0-O0017"]}</x:v>
      </x:c>
      <x:c r="O847" s="6"/>
      <x:c r="P847" s="6" t="str">
        <x:v>README routing profile. Stairs and lifts allowed unless stated otherwise.</x:v>
      </x:c>
      <x:c r="Q847" s="15" t="n">
        <x:v>73.82</x:v>
      </x:c>
      <x:c r="R847" s="6" t="str">
        <x:v>m</x:v>
      </x:c>
      <x:c r="S847" s="16"/>
      <x:c r="T847" s="15"/>
      <x:c r="U847" s="6"/>
      <x:c r="V847" s="6"/>
      <x:c r="W847" s="6" t="str">
        <x:v>Existing find_route and show_route implement the kit routing model.</x:v>
      </x:c>
      <x:c r="X847" s="6" t="str">
        <x:v>data/train/proc-campus-train-013/questions_basic.jsonl</x:v>
      </x:c>
      <x:c r="Y847" s="14" t="n">
        <x:v>6</x:v>
      </x:c>
      <x:c r="Z847" s="6" t="str">
        <x:v>https://github.com/hagenhaeussler/Industrial-Agents-Hackathon-2026/blob/f41616590b69f3ea0c1cbfb41d6c35edd9ce53df/data/train/proc-campus-train-013/questions_basic.jsonl#L6</x:v>
      </x:c>
      <x:c r="AA847" s="6" t="str">
        <x:v>procedural</x:v>
      </x:c>
      <x:c r="AB847" s="6" t="str">
        <x:v>CC0-1.0</x:v>
      </x:c>
    </x:row>
    <x:row r="848" ht="110" customHeight="1">
      <x:c r="A848" s="14" t="n">
        <x:v>843</x:v>
      </x:c>
      <x:c r="B848" s="6" t="str">
        <x:v>route</x:v>
      </x:c>
      <x:c r="C848" s="6" t="str">
        <x:v>How do I get from Canteen 0.22 (Ground floor) to Seminar room 1.13 (Floor 1)?</x:v>
      </x:c>
      <x:c r="D848" s="6" t="str">
        <x:v>66.74 m
From: Canteen 0.22
To: Seminar room 1.13
Ordered path (6 spaces): Canteen 0.22 → Corridor 0.01 → Staircase 2 → Staircase 2 → Corridor 1.01 → Seminar room 1.13</x:v>
      </x:c>
      <x:c r="E848" s="6" t="str">
        <x:v>Reference supplied</x:v>
      </x:c>
      <x:c r="F848" s="6" t="str">
        <x:v>train</x:v>
      </x:c>
      <x:c r="G848" s="6" t="str">
        <x:v>proc-campus-train-013</x:v>
      </x:c>
      <x:c r="H848" s="6" t="str">
        <x:v>proc-campus-train-013-Q07</x:v>
      </x:c>
      <x:c r="I848" s="6" t="str">
        <x:v>Route planning</x:v>
      </x:c>
      <x:c r="J848" s="6" t="str">
        <x:v>Warm-up</x:v>
      </x:c>
      <x:c r="K848" s="6" t="str">
        <x:v>Ordered space path and directions, plus total route-model distance in metres.</x:v>
      </x:c>
      <x:c r="L848" s="6" t="str">
        <x:v>T02, T05, T13</x:v>
      </x:c>
      <x:c r="M848" s="6" t="str">
        <x:v>Find a valid route between two rooms, including across floors.</x:v>
      </x:c>
      <x:c r="N848" s="6" t="str">
        <x:v>{"from_space_id":"proc-campus-train-013-F0-S022","to_space_id":"proc-campus-train-013-F1-S013","optimal_length_m":66.74,"space_path":["proc-campus-train-013-F0-S022","proc-campus-train-013-F0-S001","proc-campus-train-013-F0-S009","proc-campus-train-013-F1-S011","proc-campus-train-013-F1-S001","proc-campus-train-013-F1-S013"],"element_path":["proc-campus-train-013-F0-O0021","proc-campus-train-013-F0-O0021","proc-campus-train-013-F0-O0008","proc-campus-train-013-F0-O0008","proc-campus-train-013-V03","proc-campus-train-013-F1-O0033","proc-campus-train-013-F1-O0033","proc-campus-train-013-F1-O0035","proc-campus-train-013-F1-O0035"]}</x:v>
      </x:c>
      <x:c r="O848" s="6"/>
      <x:c r="P848" s="6" t="str">
        <x:v>README routing profile. Stairs and lifts allowed unless stated otherwise.</x:v>
      </x:c>
      <x:c r="Q848" s="15" t="n">
        <x:v>66.74</x:v>
      </x:c>
      <x:c r="R848" s="6" t="str">
        <x:v>m</x:v>
      </x:c>
      <x:c r="S848" s="16"/>
      <x:c r="T848" s="15"/>
      <x:c r="U848" s="6"/>
      <x:c r="V848" s="6"/>
      <x:c r="W848" s="6" t="str">
        <x:v>Existing find_route and show_route implement the kit routing model.</x:v>
      </x:c>
      <x:c r="X848" s="6" t="str">
        <x:v>data/train/proc-campus-train-013/questions_basic.jsonl</x:v>
      </x:c>
      <x:c r="Y848" s="14" t="n">
        <x:v>7</x:v>
      </x:c>
      <x:c r="Z848" s="6" t="str">
        <x:v>https://github.com/hagenhaeussler/Industrial-Agents-Hackathon-2026/blob/f41616590b69f3ea0c1cbfb41d6c35edd9ce53df/data/train/proc-campus-train-013/questions_basic.jsonl#L7</x:v>
      </x:c>
      <x:c r="AA848" s="6" t="str">
        <x:v>procedural</x:v>
      </x:c>
      <x:c r="AB848" s="6" t="str">
        <x:v>CC0-1.0</x:v>
      </x:c>
    </x:row>
    <x:row r="849" ht="110" customHeight="1">
      <x:c r="A849" s="14" t="n">
        <x:v>844</x:v>
      </x:c>
      <x:c r="B849" s="6" t="str">
        <x:v>route</x:v>
      </x:c>
      <x:c r="C849" s="6" t="str">
        <x:v>How do I get from Office 0.03 (Ground floor) to Office 1.07 (Floor 1)?</x:v>
      </x:c>
      <x:c r="D849" s="6" t="str">
        <x:v>55.91 m
From: Office 0.03
To: Office 1.07
Ordered path (6 spaces): Office 0.03 → Corridor 0.01 → Staircase 1 → Staircase 1 → Corridor 1.01 → Office 1.07</x:v>
      </x:c>
      <x:c r="E849" s="6" t="str">
        <x:v>Reference supplied</x:v>
      </x:c>
      <x:c r="F849" s="6" t="str">
        <x:v>train</x:v>
      </x:c>
      <x:c r="G849" s="6" t="str">
        <x:v>proc-campus-train-014</x:v>
      </x:c>
      <x:c r="H849" s="6" t="str">
        <x:v>proc-campus-train-014-Q05</x:v>
      </x:c>
      <x:c r="I849" s="6" t="str">
        <x:v>Route planning</x:v>
      </x:c>
      <x:c r="J849" s="6" t="str">
        <x:v>Warm-up</x:v>
      </x:c>
      <x:c r="K849" s="6" t="str">
        <x:v>Ordered space path and directions, plus total route-model distance in metres.</x:v>
      </x:c>
      <x:c r="L849" s="6" t="str">
        <x:v>T02, T05, T13</x:v>
      </x:c>
      <x:c r="M849" s="6" t="str">
        <x:v>Find a valid route between two rooms, including across floors.</x:v>
      </x:c>
      <x:c r="N849" s="6" t="str">
        <x:v>{"from_space_id":"proc-campus-train-014-F0-S003","to_space_id":"proc-campus-train-014-F1-S007","optimal_length_m":55.91,"space_path":["proc-campus-train-014-F0-S003","proc-campus-train-014-F0-S001","proc-campus-train-014-F0-S005","proc-campus-train-014-F1-S008","proc-campus-train-014-F1-S001","proc-campus-train-014-F1-S007"],"element_path":["proc-campus-train-014-F0-O0002","proc-campus-train-014-F0-O0002","proc-campus-train-014-F0-O0004","proc-campus-train-014-F0-O0004","proc-campus-train-014-V01","proc-campus-train-014-F1-O0031","proc-campus-train-014-F1-O0031","proc-campus-train-014-F1-O0030","proc-campus-train-014-F1-O0030"]}</x:v>
      </x:c>
      <x:c r="O849" s="6"/>
      <x:c r="P849" s="6" t="str">
        <x:v>README routing profile. Stairs and lifts allowed unless stated otherwise.</x:v>
      </x:c>
      <x:c r="Q849" s="15" t="n">
        <x:v>55.91</x:v>
      </x:c>
      <x:c r="R849" s="6" t="str">
        <x:v>m</x:v>
      </x:c>
      <x:c r="S849" s="16"/>
      <x:c r="T849" s="15"/>
      <x:c r="U849" s="6"/>
      <x:c r="V849" s="6"/>
      <x:c r="W849" s="6" t="str">
        <x:v>Existing find_route and show_route implement the kit routing model.</x:v>
      </x:c>
      <x:c r="X849" s="6" t="str">
        <x:v>data/train/proc-campus-train-014/questions_basic.jsonl</x:v>
      </x:c>
      <x:c r="Y849" s="14" t="n">
        <x:v>5</x:v>
      </x:c>
      <x:c r="Z849" s="6" t="str">
        <x:v>https://github.com/hagenhaeussler/Industrial-Agents-Hackathon-2026/blob/f41616590b69f3ea0c1cbfb41d6c35edd9ce53df/data/train/proc-campus-train-014/questions_basic.jsonl#L5</x:v>
      </x:c>
      <x:c r="AA849" s="6" t="str">
        <x:v>procedural</x:v>
      </x:c>
      <x:c r="AB849" s="6" t="str">
        <x:v>CC0-1.0</x:v>
      </x:c>
    </x:row>
    <x:row r="850" ht="110" customHeight="1">
      <x:c r="A850" s="14" t="n">
        <x:v>845</x:v>
      </x:c>
      <x:c r="B850" s="6" t="str">
        <x:v>route</x:v>
      </x:c>
      <x:c r="C850" s="6" t="str">
        <x:v>How do I get from Seminar room 1.14 (Floor 1) to Seminar room 0.07 (Ground floor)?</x:v>
      </x:c>
      <x:c r="D850" s="6" t="str">
        <x:v>55.83 m
From: Seminar room 1.14
To: Seminar room 0.07
Ordered path (6 spaces): Seminar room 1.14 → Corridor 1.01 → Staircase 1 → Staircase 1 → Corridor 0.01 → Seminar room 0.07</x:v>
      </x:c>
      <x:c r="E850" s="6" t="str">
        <x:v>Reference supplied</x:v>
      </x:c>
      <x:c r="F850" s="6" t="str">
        <x:v>train</x:v>
      </x:c>
      <x:c r="G850" s="6" t="str">
        <x:v>proc-campus-train-014</x:v>
      </x:c>
      <x:c r="H850" s="6" t="str">
        <x:v>proc-campus-train-014-Q06</x:v>
      </x:c>
      <x:c r="I850" s="6" t="str">
        <x:v>Route planning</x:v>
      </x:c>
      <x:c r="J850" s="6" t="str">
        <x:v>Warm-up</x:v>
      </x:c>
      <x:c r="K850" s="6" t="str">
        <x:v>Ordered space path and directions, plus total route-model distance in metres.</x:v>
      </x:c>
      <x:c r="L850" s="6" t="str">
        <x:v>T02, T05, T13</x:v>
      </x:c>
      <x:c r="M850" s="6" t="str">
        <x:v>Find a valid route between two rooms, including across floors.</x:v>
      </x:c>
      <x:c r="N850" s="6" t="str">
        <x:v>{"from_space_id":"proc-campus-train-014-F1-S014","to_space_id":"proc-campus-train-014-F0-S007","optimal_length_m":55.83,"space_path":["proc-campus-train-014-F1-S014","proc-campus-train-014-F1-S001","proc-campus-train-014-F1-S008","proc-campus-train-014-F0-S005","proc-campus-train-014-F0-S001","proc-campus-train-014-F0-S007"],"element_path":["proc-campus-train-014-F1-O0037","proc-campus-train-014-F1-O0037","proc-campus-train-014-F1-O0031","proc-campus-train-014-F1-O0031","proc-campus-train-014-V01","proc-campus-train-014-F0-O0004","proc-campus-train-014-F0-O0004","proc-campus-train-014-F0-O0006","proc-campus-train-014-F0-O0006"]}</x:v>
      </x:c>
      <x:c r="O850" s="6"/>
      <x:c r="P850" s="6" t="str">
        <x:v>README routing profile. Stairs and lifts allowed unless stated otherwise.</x:v>
      </x:c>
      <x:c r="Q850" s="15" t="n">
        <x:v>55.83</x:v>
      </x:c>
      <x:c r="R850" s="6" t="str">
        <x:v>m</x:v>
      </x:c>
      <x:c r="S850" s="16"/>
      <x:c r="T850" s="15"/>
      <x:c r="U850" s="6"/>
      <x:c r="V850" s="6"/>
      <x:c r="W850" s="6" t="str">
        <x:v>Existing find_route and show_route implement the kit routing model.</x:v>
      </x:c>
      <x:c r="X850" s="6" t="str">
        <x:v>data/train/proc-campus-train-014/questions_basic.jsonl</x:v>
      </x:c>
      <x:c r="Y850" s="14" t="n">
        <x:v>6</x:v>
      </x:c>
      <x:c r="Z850" s="6" t="str">
        <x:v>https://github.com/hagenhaeussler/Industrial-Agents-Hackathon-2026/blob/f41616590b69f3ea0c1cbfb41d6c35edd9ce53df/data/train/proc-campus-train-014/questions_basic.jsonl#L6</x:v>
      </x:c>
      <x:c r="AA850" s="6" t="str">
        <x:v>procedural</x:v>
      </x:c>
      <x:c r="AB850" s="6" t="str">
        <x:v>CC0-1.0</x:v>
      </x:c>
    </x:row>
    <x:row r="851" ht="110" customHeight="1">
      <x:c r="A851" s="14" t="n">
        <x:v>846</x:v>
      </x:c>
      <x:c r="B851" s="6" t="str">
        <x:v>route</x:v>
      </x:c>
      <x:c r="C851" s="6" t="str">
        <x:v>How do I get from Office 0.17 (Ground floor) to Office 1.26 (Floor 1)?</x:v>
      </x:c>
      <x:c r="D851" s="6" t="str">
        <x:v>60.89 m
From: Office 0.17
To: Office 1.26
Ordered path (6 spaces): Office 0.17 → Corridor 0.01 → Staircase 1 → Staircase 1 → Corridor 1.01 → Office 1.26</x:v>
      </x:c>
      <x:c r="E851" s="6" t="str">
        <x:v>Reference supplied</x:v>
      </x:c>
      <x:c r="F851" s="6" t="str">
        <x:v>train</x:v>
      </x:c>
      <x:c r="G851" s="6" t="str">
        <x:v>proc-campus-train-014</x:v>
      </x:c>
      <x:c r="H851" s="6" t="str">
        <x:v>proc-campus-train-014-Q07</x:v>
      </x:c>
      <x:c r="I851" s="6" t="str">
        <x:v>Route planning</x:v>
      </x:c>
      <x:c r="J851" s="6" t="str">
        <x:v>Warm-up</x:v>
      </x:c>
      <x:c r="K851" s="6" t="str">
        <x:v>Ordered space path and directions, plus total route-model distance in metres.</x:v>
      </x:c>
      <x:c r="L851" s="6" t="str">
        <x:v>T02, T05, T13</x:v>
      </x:c>
      <x:c r="M851" s="6" t="str">
        <x:v>Find a valid route between two rooms, including across floors.</x:v>
      </x:c>
      <x:c r="N851" s="6" t="str">
        <x:v>{"from_space_id":"proc-campus-train-014-F0-S017","to_space_id":"proc-campus-train-014-F1-S026","optimal_length_m":60.89,"space_path":["proc-campus-train-014-F0-S017","proc-campus-train-014-F0-S001","proc-campus-train-014-F0-S005","proc-campus-train-014-F1-S008","proc-campus-train-014-F1-S001","proc-campus-train-014-F1-S026"],"element_path":["proc-campus-train-014-F0-O0016","proc-campus-train-014-F0-O0016","proc-campus-train-014-F0-O0004","proc-campus-train-014-F0-O0004","proc-campus-train-014-V01","proc-campus-train-014-F1-O0031","proc-campus-train-014-F1-O0031","proc-campus-train-014-F1-O0049","proc-campus-train-014-F1-O0049"]}</x:v>
      </x:c>
      <x:c r="O851" s="6"/>
      <x:c r="P851" s="6" t="str">
        <x:v>README routing profile. Stairs and lifts allowed unless stated otherwise.</x:v>
      </x:c>
      <x:c r="Q851" s="15" t="n">
        <x:v>60.89</x:v>
      </x:c>
      <x:c r="R851" s="6" t="str">
        <x:v>m</x:v>
      </x:c>
      <x:c r="S851" s="16"/>
      <x:c r="T851" s="15"/>
      <x:c r="U851" s="6"/>
      <x:c r="V851" s="6"/>
      <x:c r="W851" s="6" t="str">
        <x:v>Existing find_route and show_route implement the kit routing model.</x:v>
      </x:c>
      <x:c r="X851" s="6" t="str">
        <x:v>data/train/proc-campus-train-014/questions_basic.jsonl</x:v>
      </x:c>
      <x:c r="Y851" s="14" t="n">
        <x:v>7</x:v>
      </x:c>
      <x:c r="Z851" s="6" t="str">
        <x:v>https://github.com/hagenhaeussler/Industrial-Agents-Hackathon-2026/blob/f41616590b69f3ea0c1cbfb41d6c35edd9ce53df/data/train/proc-campus-train-014/questions_basic.jsonl#L7</x:v>
      </x:c>
      <x:c r="AA851" s="6" t="str">
        <x:v>procedural</x:v>
      </x:c>
      <x:c r="AB851" s="6" t="str">
        <x:v>CC0-1.0</x:v>
      </x:c>
    </x:row>
    <x:row r="852" ht="82" customHeight="1">
      <x:c r="A852" s="14" t="n">
        <x:v>847</x:v>
      </x:c>
      <x:c r="B852" s="6" t="str">
        <x:v>route</x:v>
      </x:c>
      <x:c r="C852" s="6" t="str">
        <x:v>How do I get from Seminar room 2.21 (Floor 2) to Lab 2.25 (Floor 2)?</x:v>
      </x:c>
      <x:c r="D852" s="6" t="str">
        <x:v>35.66 m
From: Seminar room 2.21
To: Lab 2.25
Ordered path (3 spaces): Seminar room 2.21 → Corridor 2.01 → Lab 2.25</x:v>
      </x:c>
      <x:c r="E852" s="6" t="str">
        <x:v>Reference supplied</x:v>
      </x:c>
      <x:c r="F852" s="6" t="str">
        <x:v>train</x:v>
      </x:c>
      <x:c r="G852" s="6" t="str">
        <x:v>proc-campus-train-016</x:v>
      </x:c>
      <x:c r="H852" s="6" t="str">
        <x:v>proc-campus-train-016-Q05</x:v>
      </x:c>
      <x:c r="I852" s="6" t="str">
        <x:v>Route planning</x:v>
      </x:c>
      <x:c r="J852" s="6" t="str">
        <x:v>Warm-up</x:v>
      </x:c>
      <x:c r="K852" s="6" t="str">
        <x:v>Ordered space path and directions, plus total route-model distance in metres.</x:v>
      </x:c>
      <x:c r="L852" s="6" t="str">
        <x:v>T02, T05, T13</x:v>
      </x:c>
      <x:c r="M852" s="6" t="str">
        <x:v>Find a valid route between two rooms, including across floors.</x:v>
      </x:c>
      <x:c r="N852" s="6" t="str">
        <x:v>{"from_space_id":"proc-campus-train-016-F2-S021","to_space_id":"proc-campus-train-016-F2-S025","optimal_length_m":35.66,"space_path":["proc-campus-train-016-F2-S021","proc-campus-train-016-F2-S001","proc-campus-train-016-F2-S025"],"element_path":["proc-campus-train-016-F2-O0067","proc-campus-train-016-F2-O0067","proc-campus-train-016-F2-O0071","proc-campus-train-016-F2-O0071"]}</x:v>
      </x:c>
      <x:c r="O852" s="6"/>
      <x:c r="P852" s="6" t="str">
        <x:v>README routing profile. Stairs and lifts allowed unless stated otherwise.</x:v>
      </x:c>
      <x:c r="Q852" s="15" t="n">
        <x:v>35.66</x:v>
      </x:c>
      <x:c r="R852" s="6" t="str">
        <x:v>m</x:v>
      </x:c>
      <x:c r="S852" s="16"/>
      <x:c r="T852" s="15"/>
      <x:c r="U852" s="6"/>
      <x:c r="V852" s="6"/>
      <x:c r="W852" s="6" t="str">
        <x:v>Existing find_route and show_route implement the kit routing model.</x:v>
      </x:c>
      <x:c r="X852" s="6" t="str">
        <x:v>data/train/proc-campus-train-016/questions_basic.jsonl</x:v>
      </x:c>
      <x:c r="Y852" s="14" t="n">
        <x:v>5</x:v>
      </x:c>
      <x:c r="Z852" s="6" t="str">
        <x:v>https://github.com/hagenhaeussler/Industrial-Agents-Hackathon-2026/blob/f41616590b69f3ea0c1cbfb41d6c35edd9ce53df/data/train/proc-campus-train-016/questions_basic.jsonl#L5</x:v>
      </x:c>
      <x:c r="AA852" s="6" t="str">
        <x:v>procedural</x:v>
      </x:c>
      <x:c r="AB852" s="6" t="str">
        <x:v>CC0-1.0</x:v>
      </x:c>
    </x:row>
    <x:row r="853" ht="124" customHeight="1">
      <x:c r="A853" s="14" t="n">
        <x:v>848</x:v>
      </x:c>
      <x:c r="B853" s="6" t="str">
        <x:v>route</x:v>
      </x:c>
      <x:c r="C853" s="6" t="str">
        <x:v>How do I get from Canteen 0.22 (Ground floor) to Storage 2.20 (Floor 2)?</x:v>
      </x:c>
      <x:c r="D853" s="6" t="str">
        <x:v>67.63 m
From: Canteen 0.22
To: Storage 2.20
Ordered path (7 spaces): Canteen 0.22 → Corridor 0.01 → Staircase 2 → Staircase 2 → Staircase 2 → Corridor 2.01 → Storage 2.20</x:v>
      </x:c>
      <x:c r="E853" s="6" t="str">
        <x:v>Reference supplied</x:v>
      </x:c>
      <x:c r="F853" s="6" t="str">
        <x:v>train</x:v>
      </x:c>
      <x:c r="G853" s="6" t="str">
        <x:v>proc-campus-train-016</x:v>
      </x:c>
      <x:c r="H853" s="6" t="str">
        <x:v>proc-campus-train-016-Q06</x:v>
      </x:c>
      <x:c r="I853" s="6" t="str">
        <x:v>Route planning</x:v>
      </x:c>
      <x:c r="J853" s="6" t="str">
        <x:v>Warm-up</x:v>
      </x:c>
      <x:c r="K853" s="6" t="str">
        <x:v>Ordered space path and directions, plus total route-model distance in metres.</x:v>
      </x:c>
      <x:c r="L853" s="6" t="str">
        <x:v>T02, T05, T13</x:v>
      </x:c>
      <x:c r="M853" s="6" t="str">
        <x:v>Find a valid route between two rooms, including across floors.</x:v>
      </x:c>
      <x:c r="N853" s="6" t="str">
        <x:v>{"from_space_id":"proc-campus-train-016-F0-S022","to_space_id":"proc-campus-train-016-F2-S020","optimal_length_m":67.63,"space_path":["proc-campus-train-016-F0-S022","proc-campus-train-016-F0-S001","proc-campus-train-016-F0-S009","proc-campus-train-016-F1-S011","proc-campus-train-016-F2-S011","proc-campus-train-016-F2-S001","proc-campus-train-016-F2-S020"],"element_path":["proc-campus-train-016-F0-O0021","proc-campus-train-016-F0-O0021","proc-campus-train-016-F0-O0008","proc-campus-train-016-F0-O0008","proc-campus-train-016-V03","proc-campus-train-016-V03","proc-campus-train-016-F2-O0057","proc-campus-train-016-F2-O0057","proc-campus-train-016-F2-O0066","proc-campus-train-016-F2-O0066"]}</x:v>
      </x:c>
      <x:c r="O853" s="6"/>
      <x:c r="P853" s="6" t="str">
        <x:v>README routing profile. Stairs and lifts allowed unless stated otherwise.</x:v>
      </x:c>
      <x:c r="Q853" s="15" t="n">
        <x:v>67.63</x:v>
      </x:c>
      <x:c r="R853" s="6" t="str">
        <x:v>m</x:v>
      </x:c>
      <x:c r="S853" s="16"/>
      <x:c r="T853" s="15"/>
      <x:c r="U853" s="6"/>
      <x:c r="V853" s="6"/>
      <x:c r="W853" s="6" t="str">
        <x:v>Existing find_route and show_route implement the kit routing model.</x:v>
      </x:c>
      <x:c r="X853" s="6" t="str">
        <x:v>data/train/proc-campus-train-016/questions_basic.jsonl</x:v>
      </x:c>
      <x:c r="Y853" s="14" t="n">
        <x:v>6</x:v>
      </x:c>
      <x:c r="Z853" s="6" t="str">
        <x:v>https://github.com/hagenhaeussler/Industrial-Agents-Hackathon-2026/blob/f41616590b69f3ea0c1cbfb41d6c35edd9ce53df/data/train/proc-campus-train-016/questions_basic.jsonl#L6</x:v>
      </x:c>
      <x:c r="AA853" s="6" t="str">
        <x:v>procedural</x:v>
      </x:c>
      <x:c r="AB853" s="6" t="str">
        <x:v>CC0-1.0</x:v>
      </x:c>
    </x:row>
    <x:row r="854" ht="110" customHeight="1">
      <x:c r="A854" s="14" t="n">
        <x:v>849</x:v>
      </x:c>
      <x:c r="B854" s="6" t="str">
        <x:v>route</x:v>
      </x:c>
      <x:c r="C854" s="6" t="str">
        <x:v>How do I get from Seminar room 1.09 (Floor 1) to Seminar room 2.06 (Floor 2)?</x:v>
      </x:c>
      <x:c r="D854" s="6" t="str">
        <x:v>63.42 m
From: Seminar room 1.09
To: Seminar room 2.06
Ordered path (6 spaces): Seminar room 1.09 → Corridor 1.01 → Staircase 2 → Staircase 2 → Corridor 2.01 → Seminar room 2.06</x:v>
      </x:c>
      <x:c r="E854" s="6" t="str">
        <x:v>Reference supplied</x:v>
      </x:c>
      <x:c r="F854" s="6" t="str">
        <x:v>train</x:v>
      </x:c>
      <x:c r="G854" s="6" t="str">
        <x:v>proc-campus-train-016</x:v>
      </x:c>
      <x:c r="H854" s="6" t="str">
        <x:v>proc-campus-train-016-Q07</x:v>
      </x:c>
      <x:c r="I854" s="6" t="str">
        <x:v>Route planning</x:v>
      </x:c>
      <x:c r="J854" s="6" t="str">
        <x:v>Warm-up</x:v>
      </x:c>
      <x:c r="K854" s="6" t="str">
        <x:v>Ordered space path and directions, plus total route-model distance in metres.</x:v>
      </x:c>
      <x:c r="L854" s="6" t="str">
        <x:v>T02, T05, T13</x:v>
      </x:c>
      <x:c r="M854" s="6" t="str">
        <x:v>Find a valid route between two rooms, including across floors.</x:v>
      </x:c>
      <x:c r="N854" s="6" t="str">
        <x:v>{"from_space_id":"proc-campus-train-016-F1-S009","to_space_id":"proc-campus-train-016-F2-S006","optimal_length_m":63.42,"space_path":["proc-campus-train-016-F1-S009","proc-campus-train-016-F1-S001","proc-campus-train-016-F1-S011","proc-campus-train-016-F2-S011","proc-campus-train-016-F2-S001","proc-campus-train-016-F2-S006"],"element_path":["proc-campus-train-016-F1-O0031","proc-campus-train-016-F1-O0031","proc-campus-train-016-F1-O0033","proc-campus-train-016-F1-O0033","proc-campus-train-016-V03","proc-campus-train-016-F2-O0057","proc-campus-train-016-F2-O0057","proc-campus-train-016-F2-O0052","proc-campus-train-016-F2-O0052"]}</x:v>
      </x:c>
      <x:c r="O854" s="6"/>
      <x:c r="P854" s="6" t="str">
        <x:v>README routing profile. Stairs and lifts allowed unless stated otherwise.</x:v>
      </x:c>
      <x:c r="Q854" s="15" t="n">
        <x:v>63.42</x:v>
      </x:c>
      <x:c r="R854" s="6" t="str">
        <x:v>m</x:v>
      </x:c>
      <x:c r="S854" s="16"/>
      <x:c r="T854" s="15"/>
      <x:c r="U854" s="6"/>
      <x:c r="V854" s="6"/>
      <x:c r="W854" s="6" t="str">
        <x:v>Existing find_route and show_route implement the kit routing model.</x:v>
      </x:c>
      <x:c r="X854" s="6" t="str">
        <x:v>data/train/proc-campus-train-016/questions_basic.jsonl</x:v>
      </x:c>
      <x:c r="Y854" s="14" t="n">
        <x:v>7</x:v>
      </x:c>
      <x:c r="Z854" s="6" t="str">
        <x:v>https://github.com/hagenhaeussler/Industrial-Agents-Hackathon-2026/blob/f41616590b69f3ea0c1cbfb41d6c35edd9ce53df/data/train/proc-campus-train-016/questions_basic.jsonl#L7</x:v>
      </x:c>
      <x:c r="AA854" s="6" t="str">
        <x:v>procedural</x:v>
      </x:c>
      <x:c r="AB854" s="6" t="str">
        <x:v>CC0-1.0</x:v>
      </x:c>
    </x:row>
    <x:row r="855" ht="110" customHeight="1">
      <x:c r="A855" s="14" t="n">
        <x:v>850</x:v>
      </x:c>
      <x:c r="B855" s="6" t="str">
        <x:v>route</x:v>
      </x:c>
      <x:c r="C855" s="6" t="str">
        <x:v>How do I get from Office 1.03 (Floor 1) to Office 2.16 (Floor 2)?</x:v>
      </x:c>
      <x:c r="D855" s="6" t="str">
        <x:v>55.36 m
From: Office 1.03
To: Office 2.16
Ordered path (6 spaces): Office 1.03 → Corridor 1.01 → Staircase 1 → Staircase 1 → Corridor 2.01 → Office 2.16</x:v>
      </x:c>
      <x:c r="E855" s="6" t="str">
        <x:v>Reference supplied</x:v>
      </x:c>
      <x:c r="F855" s="6" t="str">
        <x:v>train</x:v>
      </x:c>
      <x:c r="G855" s="6" t="str">
        <x:v>proc-campus-train-019</x:v>
      </x:c>
      <x:c r="H855" s="6" t="str">
        <x:v>proc-campus-train-019-Q05</x:v>
      </x:c>
      <x:c r="I855" s="6" t="str">
        <x:v>Route planning</x:v>
      </x:c>
      <x:c r="J855" s="6" t="str">
        <x:v>Warm-up</x:v>
      </x:c>
      <x:c r="K855" s="6" t="str">
        <x:v>Ordered space path and directions, plus total route-model distance in metres.</x:v>
      </x:c>
      <x:c r="L855" s="6" t="str">
        <x:v>T02, T05, T13</x:v>
      </x:c>
      <x:c r="M855" s="6" t="str">
        <x:v>Find a valid route between two rooms, including across floors.</x:v>
      </x:c>
      <x:c r="N855" s="6" t="str">
        <x:v>{"from_space_id":"proc-campus-train-019-F1-S003","to_space_id":"proc-campus-train-019-F2-S016","optimal_length_m":55.36,"space_path":["proc-campus-train-019-F1-S003","proc-campus-train-019-F1-S001","proc-campus-train-019-F1-S006","proc-campus-train-019-F2-S006","proc-campus-train-019-F2-S001","proc-campus-train-019-F2-S016"],"element_path":["proc-campus-train-019-F1-O0022","proc-campus-train-019-F1-O0022","proc-campus-train-019-F1-O0025","proc-campus-train-019-F1-O0025","proc-campus-train-019-V01","proc-campus-train-019-F2-O0046","proc-campus-train-019-F2-O0046","proc-campus-train-019-F2-O0056","proc-campus-train-019-F2-O0056"]}</x:v>
      </x:c>
      <x:c r="O855" s="6"/>
      <x:c r="P855" s="6" t="str">
        <x:v>README routing profile. Stairs and lifts allowed unless stated otherwise.</x:v>
      </x:c>
      <x:c r="Q855" s="15" t="n">
        <x:v>55.36</x:v>
      </x:c>
      <x:c r="R855" s="6" t="str">
        <x:v>m</x:v>
      </x:c>
      <x:c r="S855" s="16"/>
      <x:c r="T855" s="15"/>
      <x:c r="U855" s="6"/>
      <x:c r="V855" s="6"/>
      <x:c r="W855" s="6" t="str">
        <x:v>Existing find_route and show_route implement the kit routing model.</x:v>
      </x:c>
      <x:c r="X855" s="6" t="str">
        <x:v>data/train/proc-campus-train-019/questions_basic.jsonl</x:v>
      </x:c>
      <x:c r="Y855" s="14" t="n">
        <x:v>5</x:v>
      </x:c>
      <x:c r="Z855" s="6" t="str">
        <x:v>https://github.com/hagenhaeussler/Industrial-Agents-Hackathon-2026/blob/f41616590b69f3ea0c1cbfb41d6c35edd9ce53df/data/train/proc-campus-train-019/questions_basic.jsonl#L5</x:v>
      </x:c>
      <x:c r="AA855" s="6" t="str">
        <x:v>procedural</x:v>
      </x:c>
      <x:c r="AB855" s="6" t="str">
        <x:v>CC0-1.0</x:v>
      </x:c>
    </x:row>
    <x:row r="856" ht="82" customHeight="1">
      <x:c r="A856" s="14" t="n">
        <x:v>851</x:v>
      </x:c>
      <x:c r="B856" s="6" t="str">
        <x:v>route</x:v>
      </x:c>
      <x:c r="C856" s="6" t="str">
        <x:v>How do I get from Seminar room 1.20 (Floor 1) to Lab 1.10 (Floor 1)?</x:v>
      </x:c>
      <x:c r="D856" s="6" t="str">
        <x:v>35.65 m
From: Seminar room 1.20
To: Lab 1.10
Ordered path (3 spaces): Seminar room 1.20 → Corridor 1.01 → Lab 1.10</x:v>
      </x:c>
      <x:c r="E856" s="6" t="str">
        <x:v>Reference supplied</x:v>
      </x:c>
      <x:c r="F856" s="6" t="str">
        <x:v>train</x:v>
      </x:c>
      <x:c r="G856" s="6" t="str">
        <x:v>proc-campus-train-019</x:v>
      </x:c>
      <x:c r="H856" s="6" t="str">
        <x:v>proc-campus-train-019-Q06</x:v>
      </x:c>
      <x:c r="I856" s="6" t="str">
        <x:v>Route planning</x:v>
      </x:c>
      <x:c r="J856" s="6" t="str">
        <x:v>Warm-up</x:v>
      </x:c>
      <x:c r="K856" s="6" t="str">
        <x:v>Ordered space path and directions, plus total route-model distance in metres.</x:v>
      </x:c>
      <x:c r="L856" s="6" t="str">
        <x:v>T02, T05, T13</x:v>
      </x:c>
      <x:c r="M856" s="6" t="str">
        <x:v>Find a valid route between two rooms, including across floors.</x:v>
      </x:c>
      <x:c r="N856" s="6" t="str">
        <x:v>{"from_space_id":"proc-campus-train-019-F1-S020","to_space_id":"proc-campus-train-019-F1-S010","optimal_length_m":35.65,"space_path":["proc-campus-train-019-F1-S020","proc-campus-train-019-F1-S001","proc-campus-train-019-F1-S010"],"element_path":["proc-campus-train-019-F1-O0039","proc-campus-train-019-F1-O0039","proc-campus-train-019-F1-O0029","proc-campus-train-019-F1-O0029"]}</x:v>
      </x:c>
      <x:c r="O856" s="6"/>
      <x:c r="P856" s="6" t="str">
        <x:v>README routing profile. Stairs and lifts allowed unless stated otherwise.</x:v>
      </x:c>
      <x:c r="Q856" s="15" t="n">
        <x:v>35.65</x:v>
      </x:c>
      <x:c r="R856" s="6" t="str">
        <x:v>m</x:v>
      </x:c>
      <x:c r="S856" s="16"/>
      <x:c r="T856" s="15"/>
      <x:c r="U856" s="6"/>
      <x:c r="V856" s="6"/>
      <x:c r="W856" s="6" t="str">
        <x:v>Existing find_route and show_route implement the kit routing model.</x:v>
      </x:c>
      <x:c r="X856" s="6" t="str">
        <x:v>data/train/proc-campus-train-019/questions_basic.jsonl</x:v>
      </x:c>
      <x:c r="Y856" s="14" t="n">
        <x:v>6</x:v>
      </x:c>
      <x:c r="Z856" s="6" t="str">
        <x:v>https://github.com/hagenhaeussler/Industrial-Agents-Hackathon-2026/blob/f41616590b69f3ea0c1cbfb41d6c35edd9ce53df/data/train/proc-campus-train-019/questions_basic.jsonl#L6</x:v>
      </x:c>
      <x:c r="AA856" s="6" t="str">
        <x:v>procedural</x:v>
      </x:c>
      <x:c r="AB856" s="6" t="str">
        <x:v>CC0-1.0</x:v>
      </x:c>
    </x:row>
    <x:row r="857" ht="110" customHeight="1">
      <x:c r="A857" s="14" t="n">
        <x:v>852</x:v>
      </x:c>
      <x:c r="B857" s="6" t="str">
        <x:v>route</x:v>
      </x:c>
      <x:c r="C857" s="6" t="str">
        <x:v>How do I get from Toilet 2.18 (Floor 2) to Office 1.02 (Floor 1)?</x:v>
      </x:c>
      <x:c r="D857" s="6" t="str">
        <x:v>53.2 m
From: Toilet 2.18
To: Office 1.02
Ordered path (6 spaces): Toilet 2.18 → Corridor 2.01 → Staircase 1 → Staircase 1 → Corridor 1.01 → Office 1.02</x:v>
      </x:c>
      <x:c r="E857" s="6" t="str">
        <x:v>Reference supplied</x:v>
      </x:c>
      <x:c r="F857" s="6" t="str">
        <x:v>train</x:v>
      </x:c>
      <x:c r="G857" s="6" t="str">
        <x:v>proc-campus-train-019</x:v>
      </x:c>
      <x:c r="H857" s="6" t="str">
        <x:v>proc-campus-train-019-Q07</x:v>
      </x:c>
      <x:c r="I857" s="6" t="str">
        <x:v>Route planning</x:v>
      </x:c>
      <x:c r="J857" s="6" t="str">
        <x:v>Warm-up</x:v>
      </x:c>
      <x:c r="K857" s="6" t="str">
        <x:v>Ordered space path and directions, plus total route-model distance in metres.</x:v>
      </x:c>
      <x:c r="L857" s="6" t="str">
        <x:v>T02, T05, T13</x:v>
      </x:c>
      <x:c r="M857" s="6" t="str">
        <x:v>Find a valid route between two rooms, including across floors.</x:v>
      </x:c>
      <x:c r="N857" s="6" t="str">
        <x:v>{"from_space_id":"proc-campus-train-019-F2-S018","to_space_id":"proc-campus-train-019-F1-S002","optimal_length_m":53.2,"space_path":["proc-campus-train-019-F2-S018","proc-campus-train-019-F2-S001","proc-campus-train-019-F2-S006","proc-campus-train-019-F1-S006","proc-campus-train-019-F1-S001","proc-campus-train-019-F1-S002"],"element_path":["proc-campus-train-019-F2-O0058","proc-campus-train-019-F2-O0058","proc-campus-train-019-F2-O0046","proc-campus-train-019-F2-O0046","proc-campus-train-019-V01","proc-campus-train-019-F1-O0025","proc-campus-train-019-F1-O0025","proc-campus-train-019-F1-O0021","proc-campus-train-019-F1-O0021"]}</x:v>
      </x:c>
      <x:c r="O857" s="6"/>
      <x:c r="P857" s="6" t="str">
        <x:v>README routing profile. Stairs and lifts allowed unless stated otherwise.</x:v>
      </x:c>
      <x:c r="Q857" s="15" t="n">
        <x:v>53.2</x:v>
      </x:c>
      <x:c r="R857" s="6" t="str">
        <x:v>m</x:v>
      </x:c>
      <x:c r="S857" s="16"/>
      <x:c r="T857" s="15"/>
      <x:c r="U857" s="6"/>
      <x:c r="V857" s="6"/>
      <x:c r="W857" s="6" t="str">
        <x:v>Existing find_route and show_route implement the kit routing model.</x:v>
      </x:c>
      <x:c r="X857" s="6" t="str">
        <x:v>data/train/proc-campus-train-019/questions_basic.jsonl</x:v>
      </x:c>
      <x:c r="Y857" s="14" t="n">
        <x:v>7</x:v>
      </x:c>
      <x:c r="Z857" s="6" t="str">
        <x:v>https://github.com/hagenhaeussler/Industrial-Agents-Hackathon-2026/blob/f41616590b69f3ea0c1cbfb41d6c35edd9ce53df/data/train/proc-campus-train-019/questions_basic.jsonl#L7</x:v>
      </x:c>
      <x:c r="AA857" s="6" t="str">
        <x:v>procedural</x:v>
      </x:c>
      <x:c r="AB857" s="6" t="str">
        <x:v>CC0-1.0</x:v>
      </x:c>
    </x:row>
    <x:row r="858" ht="82" customHeight="1">
      <x:c r="A858" s="14" t="n">
        <x:v>853</x:v>
      </x:c>
      <x:c r="B858" s="6" t="str">
        <x:v>route</x:v>
      </x:c>
      <x:c r="C858" s="6" t="str">
        <x:v>How do I get from Kitchen 0.23 (Ground floor) to Meeting room 0.29 (Ground floor)?</x:v>
      </x:c>
      <x:c r="D858" s="6" t="str">
        <x:v>20.72 m
From: Kitchen 0.23
To: Meeting room 0.29
Ordered path (3 spaces): Kitchen 0.23 → Office corridor 0.13 → Meeting room 0.29</x:v>
      </x:c>
      <x:c r="E858" s="6" t="str">
        <x:v>Reference supplied</x:v>
      </x:c>
      <x:c r="F858" s="6" t="str">
        <x:v>train</x:v>
      </x:c>
      <x:c r="G858" s="6" t="str">
        <x:v>proc-factory-train-005</x:v>
      </x:c>
      <x:c r="H858" s="6" t="str">
        <x:v>proc-factory-train-005-Q05</x:v>
      </x:c>
      <x:c r="I858" s="6" t="str">
        <x:v>Route planning</x:v>
      </x:c>
      <x:c r="J858" s="6" t="str">
        <x:v>Warm-up</x:v>
      </x:c>
      <x:c r="K858" s="6" t="str">
        <x:v>Ordered space path and directions, plus total route-model distance in metres.</x:v>
      </x:c>
      <x:c r="L858" s="6" t="str">
        <x:v>T02, T05, T13</x:v>
      </x:c>
      <x:c r="M858" s="6" t="str">
        <x:v>Find a valid route between two rooms, including across floors.</x:v>
      </x:c>
      <x:c r="N858" s="6" t="str">
        <x:v>{"from_space_id":"proc-factory-train-005-F0-S023","to_space_id":"proc-factory-train-005-F0-S029","optimal_length_m":20.72,"space_path":["proc-factory-train-005-F0-S023","proc-factory-train-005-F0-S013","proc-factory-train-005-F0-S029"],"element_path":["proc-factory-train-005-F0-O0024","proc-factory-train-005-F0-O0024","proc-factory-train-005-F0-O0031","proc-factory-train-005-F0-O0031"]}</x:v>
      </x:c>
      <x:c r="O858" s="6"/>
      <x:c r="P858" s="6" t="str">
        <x:v>README routing profile. Stairs and lifts allowed unless stated otherwise.</x:v>
      </x:c>
      <x:c r="Q858" s="15" t="n">
        <x:v>20.72</x:v>
      </x:c>
      <x:c r="R858" s="6" t="str">
        <x:v>m</x:v>
      </x:c>
      <x:c r="S858" s="16"/>
      <x:c r="T858" s="15"/>
      <x:c r="U858" s="6"/>
      <x:c r="V858" s="6"/>
      <x:c r="W858" s="6" t="str">
        <x:v>Existing find_route and show_route implement the kit routing model.</x:v>
      </x:c>
      <x:c r="X858" s="6" t="str">
        <x:v>data/train/proc-factory-train-005/questions_basic.jsonl</x:v>
      </x:c>
      <x:c r="Y858" s="14" t="n">
        <x:v>5</x:v>
      </x:c>
      <x:c r="Z858" s="6" t="str">
        <x:v>https://github.com/hagenhaeussler/Industrial-Agents-Hackathon-2026/blob/f41616590b69f3ea0c1cbfb41d6c35edd9ce53df/data/train/proc-factory-train-005/questions_basic.jsonl#L5</x:v>
      </x:c>
      <x:c r="AA858" s="6" t="str">
        <x:v>procedural</x:v>
      </x:c>
      <x:c r="AB858" s="6" t="str">
        <x:v>CC0-1.0</x:v>
      </x:c>
    </x:row>
    <x:row r="859" ht="82" customHeight="1">
      <x:c r="A859" s="14" t="n">
        <x:v>854</x:v>
      </x:c>
      <x:c r="B859" s="6" t="str">
        <x:v>route</x:v>
      </x:c>
      <x:c r="C859" s="6" t="str">
        <x:v>How do I get from Locker room 0.18 (Ground floor) to Server room 0.30 (Ground floor)?</x:v>
      </x:c>
      <x:c r="D859" s="6" t="str">
        <x:v>18.87 m
From: Locker room 0.18
To: Server room 0.30
Ordered path (3 spaces): Locker room 0.18 → Office corridor 0.13 → Server room 0.30</x:v>
      </x:c>
      <x:c r="E859" s="6" t="str">
        <x:v>Reference supplied</x:v>
      </x:c>
      <x:c r="F859" s="6" t="str">
        <x:v>train</x:v>
      </x:c>
      <x:c r="G859" s="6" t="str">
        <x:v>proc-factory-train-005</x:v>
      </x:c>
      <x:c r="H859" s="6" t="str">
        <x:v>proc-factory-train-005-Q06</x:v>
      </x:c>
      <x:c r="I859" s="6" t="str">
        <x:v>Route planning</x:v>
      </x:c>
      <x:c r="J859" s="6" t="str">
        <x:v>Warm-up</x:v>
      </x:c>
      <x:c r="K859" s="6" t="str">
        <x:v>Ordered space path and directions, plus total route-model distance in metres.</x:v>
      </x:c>
      <x:c r="L859" s="6" t="str">
        <x:v>T02, T05, T13</x:v>
      </x:c>
      <x:c r="M859" s="6" t="str">
        <x:v>Find a valid route between two rooms, including across floors.</x:v>
      </x:c>
      <x:c r="N859" s="6" t="str">
        <x:v>{"from_space_id":"proc-factory-train-005-F0-S018","to_space_id":"proc-factory-train-005-F0-S030","optimal_length_m":18.87,"space_path":["proc-factory-train-005-F0-S018","proc-factory-train-005-F0-S013","proc-factory-train-005-F0-S030"],"element_path":["proc-factory-train-005-F0-O0019","proc-factory-train-005-F0-O0019","proc-factory-train-005-F0-O0032","proc-factory-train-005-F0-O0032"]}</x:v>
      </x:c>
      <x:c r="O859" s="6"/>
      <x:c r="P859" s="6" t="str">
        <x:v>README routing profile. Stairs and lifts allowed unless stated otherwise.</x:v>
      </x:c>
      <x:c r="Q859" s="15" t="n">
        <x:v>18.87</x:v>
      </x:c>
      <x:c r="R859" s="6" t="str">
        <x:v>m</x:v>
      </x:c>
      <x:c r="S859" s="16"/>
      <x:c r="T859" s="15"/>
      <x:c r="U859" s="6"/>
      <x:c r="V859" s="6"/>
      <x:c r="W859" s="6" t="str">
        <x:v>Existing find_route and show_route implement the kit routing model.</x:v>
      </x:c>
      <x:c r="X859" s="6" t="str">
        <x:v>data/train/proc-factory-train-005/questions_basic.jsonl</x:v>
      </x:c>
      <x:c r="Y859" s="14" t="n">
        <x:v>6</x:v>
      </x:c>
      <x:c r="Z859" s="6" t="str">
        <x:v>https://github.com/hagenhaeussler/Industrial-Agents-Hackathon-2026/blob/f41616590b69f3ea0c1cbfb41d6c35edd9ce53df/data/train/proc-factory-train-005/questions_basic.jsonl#L6</x:v>
      </x:c>
      <x:c r="AA859" s="6" t="str">
        <x:v>procedural</x:v>
      </x:c>
      <x:c r="AB859" s="6" t="str">
        <x:v>CC0-1.0</x:v>
      </x:c>
    </x:row>
    <x:row r="860" ht="82" customHeight="1">
      <x:c r="A860" s="14" t="n">
        <x:v>855</x:v>
      </x:c>
      <x:c r="B860" s="6" t="str">
        <x:v>route</x:v>
      </x:c>
      <x:c r="C860" s="6" t="str">
        <x:v>How do I get from Office 1.07 (Floor 1) to Meeting room 1.14 (Floor 1)?</x:v>
      </x:c>
      <x:c r="D860" s="6" t="str">
        <x:v>15.98 m
From: Office 1.07
To: Meeting room 1.14
Ordered path (3 spaces): Office 1.07 → Office corridor 1.01 → Meeting room 1.14</x:v>
      </x:c>
      <x:c r="E860" s="6" t="str">
        <x:v>Reference supplied</x:v>
      </x:c>
      <x:c r="F860" s="6" t="str">
        <x:v>train</x:v>
      </x:c>
      <x:c r="G860" s="6" t="str">
        <x:v>proc-factory-train-005</x:v>
      </x:c>
      <x:c r="H860" s="6" t="str">
        <x:v>proc-factory-train-005-Q07</x:v>
      </x:c>
      <x:c r="I860" s="6" t="str">
        <x:v>Route planning</x:v>
      </x:c>
      <x:c r="J860" s="6" t="str">
        <x:v>Warm-up</x:v>
      </x:c>
      <x:c r="K860" s="6" t="str">
        <x:v>Ordered space path and directions, plus total route-model distance in metres.</x:v>
      </x:c>
      <x:c r="L860" s="6" t="str">
        <x:v>T02, T05, T13</x:v>
      </x:c>
      <x:c r="M860" s="6" t="str">
        <x:v>Find a valid route between two rooms, including across floors.</x:v>
      </x:c>
      <x:c r="N860" s="6" t="str">
        <x:v>{"from_space_id":"proc-factory-train-005-F1-S007","to_space_id":"proc-factory-train-005-F1-S014","optimal_length_m":15.98,"space_path":["proc-factory-train-005-F1-S007","proc-factory-train-005-F1-S001","proc-factory-train-005-F1-S014"],"element_path":["proc-factory-train-005-F1-O0042","proc-factory-train-005-F1-O0042","proc-factory-train-005-F1-O0049","proc-factory-train-005-F1-O0049"]}</x:v>
      </x:c>
      <x:c r="O860" s="6"/>
      <x:c r="P860" s="6" t="str">
        <x:v>README routing profile. Stairs and lifts allowed unless stated otherwise.</x:v>
      </x:c>
      <x:c r="Q860" s="15" t="n">
        <x:v>15.98</x:v>
      </x:c>
      <x:c r="R860" s="6" t="str">
        <x:v>m</x:v>
      </x:c>
      <x:c r="S860" s="16"/>
      <x:c r="T860" s="15"/>
      <x:c r="U860" s="6"/>
      <x:c r="V860" s="6"/>
      <x:c r="W860" s="6" t="str">
        <x:v>Existing find_route and show_route implement the kit routing model.</x:v>
      </x:c>
      <x:c r="X860" s="6" t="str">
        <x:v>data/train/proc-factory-train-005/questions_basic.jsonl</x:v>
      </x:c>
      <x:c r="Y860" s="14" t="n">
        <x:v>7</x:v>
      </x:c>
      <x:c r="Z860" s="6" t="str">
        <x:v>https://github.com/hagenhaeussler/Industrial-Agents-Hackathon-2026/blob/f41616590b69f3ea0c1cbfb41d6c35edd9ce53df/data/train/proc-factory-train-005/questions_basic.jsonl#L7</x:v>
      </x:c>
      <x:c r="AA860" s="6" t="str">
        <x:v>procedural</x:v>
      </x:c>
      <x:c r="AB860" s="6" t="str">
        <x:v>CC0-1.0</x:v>
      </x:c>
    </x:row>
    <x:row r="861" ht="82" customHeight="1">
      <x:c r="A861" s="14" t="n">
        <x:v>856</x:v>
      </x:c>
      <x:c r="B861" s="6" t="str">
        <x:v>route</x:v>
      </x:c>
      <x:c r="C861" s="6" t="str">
        <x:v>How do I get from Server room 1.12 (Floor 1) to Office 1.14 (Floor 1)?</x:v>
      </x:c>
      <x:c r="D861" s="6" t="str">
        <x:v>15.08 m
From: Server room 1.12
To: Office 1.14
Ordered path (3 spaces): Server room 1.12 → Office corridor 1.01 → Office 1.14</x:v>
      </x:c>
      <x:c r="E861" s="6" t="str">
        <x:v>Reference supplied</x:v>
      </x:c>
      <x:c r="F861" s="6" t="str">
        <x:v>train</x:v>
      </x:c>
      <x:c r="G861" s="6" t="str">
        <x:v>proc-factory-train-006</x:v>
      </x:c>
      <x:c r="H861" s="6" t="str">
        <x:v>proc-factory-train-006-Q05</x:v>
      </x:c>
      <x:c r="I861" s="6" t="str">
        <x:v>Route planning</x:v>
      </x:c>
      <x:c r="J861" s="6" t="str">
        <x:v>Warm-up</x:v>
      </x:c>
      <x:c r="K861" s="6" t="str">
        <x:v>Ordered space path and directions, plus total route-model distance in metres.</x:v>
      </x:c>
      <x:c r="L861" s="6" t="str">
        <x:v>T02, T05, T13</x:v>
      </x:c>
      <x:c r="M861" s="6" t="str">
        <x:v>Find a valid route between two rooms, including across floors.</x:v>
      </x:c>
      <x:c r="N861" s="6" t="str">
        <x:v>{"from_space_id":"proc-factory-train-006-F1-S012","to_space_id":"proc-factory-train-006-F1-S014","optimal_length_m":15.08,"space_path":["proc-factory-train-006-F1-S012","proc-factory-train-006-F1-S001","proc-factory-train-006-F1-S014"],"element_path":["proc-factory-train-006-F1-O0041","proc-factory-train-006-F1-O0041","proc-factory-train-006-F1-O0043","proc-factory-train-006-F1-O0043"]}</x:v>
      </x:c>
      <x:c r="O861" s="6"/>
      <x:c r="P861" s="6" t="str">
        <x:v>README routing profile. Stairs and lifts allowed unless stated otherwise.</x:v>
      </x:c>
      <x:c r="Q861" s="15" t="n">
        <x:v>15.08</x:v>
      </x:c>
      <x:c r="R861" s="6" t="str">
        <x:v>m</x:v>
      </x:c>
      <x:c r="S861" s="16"/>
      <x:c r="T861" s="15"/>
      <x:c r="U861" s="6"/>
      <x:c r="V861" s="6"/>
      <x:c r="W861" s="6" t="str">
        <x:v>Existing find_route and show_route implement the kit routing model.</x:v>
      </x:c>
      <x:c r="X861" s="6" t="str">
        <x:v>data/train/proc-factory-train-006/questions_basic.jsonl</x:v>
      </x:c>
      <x:c r="Y861" s="14" t="n">
        <x:v>5</x:v>
      </x:c>
      <x:c r="Z861" s="6" t="str">
        <x:v>https://github.com/hagenhaeussler/Industrial-Agents-Hackathon-2026/blob/f41616590b69f3ea0c1cbfb41d6c35edd9ce53df/data/train/proc-factory-train-006/questions_basic.jsonl#L5</x:v>
      </x:c>
      <x:c r="AA861" s="6" t="str">
        <x:v>procedural</x:v>
      </x:c>
      <x:c r="AB861" s="6" t="str">
        <x:v>CC0-1.0</x:v>
      </x:c>
    </x:row>
    <x:row r="862" ht="124" customHeight="1">
      <x:c r="A862" s="14" t="n">
        <x:v>857</x:v>
      </x:c>
      <x:c r="B862" s="6" t="str">
        <x:v>route</x:v>
      </x:c>
      <x:c r="C862" s="6" t="str">
        <x:v>How do I get from Office 0.17 (Ground floor) to Office 1.13 (Floor 1)?</x:v>
      </x:c>
      <x:c r="D862" s="6" t="str">
        <x:v>58.32 m
From: Office 0.17
To: Office 1.13
Ordered path (6 spaces): Office 0.17 → Office corridor 0.10 → Staircase 0.11 → Staircase 1.02 → Office corridor 1.01 → Office 1.13</x:v>
      </x:c>
      <x:c r="E862" s="6" t="str">
        <x:v>Reference supplied</x:v>
      </x:c>
      <x:c r="F862" s="6" t="str">
        <x:v>train</x:v>
      </x:c>
      <x:c r="G862" s="6" t="str">
        <x:v>proc-factory-train-006</x:v>
      </x:c>
      <x:c r="H862" s="6" t="str">
        <x:v>proc-factory-train-006-Q06</x:v>
      </x:c>
      <x:c r="I862" s="6" t="str">
        <x:v>Route planning</x:v>
      </x:c>
      <x:c r="J862" s="6" t="str">
        <x:v>Warm-up</x:v>
      </x:c>
      <x:c r="K862" s="6" t="str">
        <x:v>Ordered space path and directions, plus total route-model distance in metres.</x:v>
      </x:c>
      <x:c r="L862" s="6" t="str">
        <x:v>T02, T05, T13</x:v>
      </x:c>
      <x:c r="M862" s="6" t="str">
        <x:v>Find a valid route between two rooms, including across floors.</x:v>
      </x:c>
      <x:c r="N862" s="6" t="str">
        <x:v>{"from_space_id":"proc-factory-train-006-F0-S017","to_space_id":"proc-factory-train-006-F1-S013","optimal_length_m":58.32,"space_path":["proc-factory-train-006-F0-S017","proc-factory-train-006-F0-S010","proc-factory-train-006-F0-S011","proc-factory-train-006-F1-S002","proc-factory-train-006-F1-S001","proc-factory-train-006-F1-S013"],"element_path":["proc-factory-train-006-F0-O0021","proc-factory-train-006-F0-O0021","proc-factory-train-006-F0-O0014","proc-factory-train-006-F0-O0014","proc-factory-train-006-V01","proc-factory-train-006-F1-O0031","proc-factory-train-006-F1-O0031","proc-factory-train-006-F1-O0042","proc-factory-train-006-F1-O0042"]}</x:v>
      </x:c>
      <x:c r="O862" s="6"/>
      <x:c r="P862" s="6" t="str">
        <x:v>README routing profile. Stairs and lifts allowed unless stated otherwise.</x:v>
      </x:c>
      <x:c r="Q862" s="15" t="n">
        <x:v>58.32</x:v>
      </x:c>
      <x:c r="R862" s="6" t="str">
        <x:v>m</x:v>
      </x:c>
      <x:c r="S862" s="16"/>
      <x:c r="T862" s="15"/>
      <x:c r="U862" s="6"/>
      <x:c r="V862" s="6"/>
      <x:c r="W862" s="6" t="str">
        <x:v>Existing find_route and show_route implement the kit routing model.</x:v>
      </x:c>
      <x:c r="X862" s="6" t="str">
        <x:v>data/train/proc-factory-train-006/questions_basic.jsonl</x:v>
      </x:c>
      <x:c r="Y862" s="14" t="n">
        <x:v>6</x:v>
      </x:c>
      <x:c r="Z862" s="6" t="str">
        <x:v>https://github.com/hagenhaeussler/Industrial-Agents-Hackathon-2026/blob/f41616590b69f3ea0c1cbfb41d6c35edd9ce53df/data/train/proc-factory-train-006/questions_basic.jsonl#L6</x:v>
      </x:c>
      <x:c r="AA862" s="6" t="str">
        <x:v>procedural</x:v>
      </x:c>
      <x:c r="AB862" s="6" t="str">
        <x:v>CC0-1.0</x:v>
      </x:c>
    </x:row>
    <x:row r="863" ht="124" customHeight="1">
      <x:c r="A863" s="14" t="n">
        <x:v>858</x:v>
      </x:c>
      <x:c r="B863" s="6" t="str">
        <x:v>route</x:v>
      </x:c>
      <x:c r="C863" s="6" t="str">
        <x:v>How do I get from Server room 0.18 (Ground floor) to Office 1.14 (Floor 1)?</x:v>
      </x:c>
      <x:c r="D863" s="6" t="str">
        <x:v>66.66 m
From: Server room 0.18
To: Office 1.14
Ordered path (6 spaces): Server room 0.18 → Office corridor 0.10 → Staircase 0.11 → Staircase 1.02 → Office corridor 1.01 → Office 1.14</x:v>
      </x:c>
      <x:c r="E863" s="6" t="str">
        <x:v>Reference supplied</x:v>
      </x:c>
      <x:c r="F863" s="6" t="str">
        <x:v>train</x:v>
      </x:c>
      <x:c r="G863" s="6" t="str">
        <x:v>proc-factory-train-006</x:v>
      </x:c>
      <x:c r="H863" s="6" t="str">
        <x:v>proc-factory-train-006-Q07</x:v>
      </x:c>
      <x:c r="I863" s="6" t="str">
        <x:v>Route planning</x:v>
      </x:c>
      <x:c r="J863" s="6" t="str">
        <x:v>Warm-up</x:v>
      </x:c>
      <x:c r="K863" s="6" t="str">
        <x:v>Ordered space path and directions, plus total route-model distance in metres.</x:v>
      </x:c>
      <x:c r="L863" s="6" t="str">
        <x:v>T02, T05, T13</x:v>
      </x:c>
      <x:c r="M863" s="6" t="str">
        <x:v>Find a valid route between two rooms, including across floors.</x:v>
      </x:c>
      <x:c r="N863" s="6" t="str">
        <x:v>{"from_space_id":"proc-factory-train-006-F0-S018","to_space_id":"proc-factory-train-006-F1-S014","optimal_length_m":66.66,"space_path":["proc-factory-train-006-F0-S018","proc-factory-train-006-F0-S010","proc-factory-train-006-F0-S011","proc-factory-train-006-F1-S002","proc-factory-train-006-F1-S001","proc-factory-train-006-F1-S014"],"element_path":["proc-factory-train-006-F0-O0022","proc-factory-train-006-F0-O0022","proc-factory-train-006-F0-O0014","proc-factory-train-006-F0-O0014","proc-factory-train-006-V01","proc-factory-train-006-F1-O0031","proc-factory-train-006-F1-O0031","proc-factory-train-006-F1-O0043","proc-factory-train-006-F1-O0043"]}</x:v>
      </x:c>
      <x:c r="O863" s="6"/>
      <x:c r="P863" s="6" t="str">
        <x:v>README routing profile. Stairs and lifts allowed unless stated otherwise.</x:v>
      </x:c>
      <x:c r="Q863" s="15" t="n">
        <x:v>66.66</x:v>
      </x:c>
      <x:c r="R863" s="6" t="str">
        <x:v>m</x:v>
      </x:c>
      <x:c r="S863" s="16"/>
      <x:c r="T863" s="15"/>
      <x:c r="U863" s="6"/>
      <x:c r="V863" s="6"/>
      <x:c r="W863" s="6" t="str">
        <x:v>Existing find_route and show_route implement the kit routing model.</x:v>
      </x:c>
      <x:c r="X863" s="6" t="str">
        <x:v>data/train/proc-factory-train-006/questions_basic.jsonl</x:v>
      </x:c>
      <x:c r="Y863" s="14" t="n">
        <x:v>7</x:v>
      </x:c>
      <x:c r="Z863" s="6" t="str">
        <x:v>https://github.com/hagenhaeussler/Industrial-Agents-Hackathon-2026/blob/f41616590b69f3ea0c1cbfb41d6c35edd9ce53df/data/train/proc-factory-train-006/questions_basic.jsonl#L7</x:v>
      </x:c>
      <x:c r="AA863" s="6" t="str">
        <x:v>procedural</x:v>
      </x:c>
      <x:c r="AB863" s="6" t="str">
        <x:v>CC0-1.0</x:v>
      </x:c>
    </x:row>
    <x:row r="864" ht="82" customHeight="1">
      <x:c r="A864" s="14" t="n">
        <x:v>859</x:v>
      </x:c>
      <x:c r="B864" s="6" t="str">
        <x:v>route</x:v>
      </x:c>
      <x:c r="C864" s="6" t="str">
        <x:v>How do I get from Meeting room 0.24 (Ground floor) to Quality lab 0.22 (Ground floor)?</x:v>
      </x:c>
      <x:c r="D864" s="6" t="str">
        <x:v>29.71 m
From: Meeting room 0.24
To: Quality lab 0.22
Ordered path (3 spaces): Meeting room 0.24 → Office corridor 0.13 → Quality lab 0.22</x:v>
      </x:c>
      <x:c r="E864" s="6" t="str">
        <x:v>Reference supplied</x:v>
      </x:c>
      <x:c r="F864" s="6" t="str">
        <x:v>train</x:v>
      </x:c>
      <x:c r="G864" s="6" t="str">
        <x:v>proc-factory-train-007</x:v>
      </x:c>
      <x:c r="H864" s="6" t="str">
        <x:v>proc-factory-train-007-Q05</x:v>
      </x:c>
      <x:c r="I864" s="6" t="str">
        <x:v>Route planning</x:v>
      </x:c>
      <x:c r="J864" s="6" t="str">
        <x:v>Warm-up</x:v>
      </x:c>
      <x:c r="K864" s="6" t="str">
        <x:v>Ordered space path and directions, plus total route-model distance in metres.</x:v>
      </x:c>
      <x:c r="L864" s="6" t="str">
        <x:v>T02, T05, T13</x:v>
      </x:c>
      <x:c r="M864" s="6" t="str">
        <x:v>Find a valid route between two rooms, including across floors.</x:v>
      </x:c>
      <x:c r="N864" s="6" t="str">
        <x:v>{"from_space_id":"proc-factory-train-007-F0-S024","to_space_id":"proc-factory-train-007-F0-S022","optimal_length_m":29.71,"space_path":["proc-factory-train-007-F0-S024","proc-factory-train-007-F0-S013","proc-factory-train-007-F0-S022"],"element_path":["proc-factory-train-007-F0-O0028","proc-factory-train-007-F0-O0028","proc-factory-train-007-F0-O0026","proc-factory-train-007-F0-O0026"]}</x:v>
      </x:c>
      <x:c r="O864" s="6"/>
      <x:c r="P864" s="6" t="str">
        <x:v>README routing profile. Stairs and lifts allowed unless stated otherwise.</x:v>
      </x:c>
      <x:c r="Q864" s="15" t="n">
        <x:v>29.71</x:v>
      </x:c>
      <x:c r="R864" s="6" t="str">
        <x:v>m</x:v>
      </x:c>
      <x:c r="S864" s="16"/>
      <x:c r="T864" s="15"/>
      <x:c r="U864" s="6"/>
      <x:c r="V864" s="6"/>
      <x:c r="W864" s="6" t="str">
        <x:v>Existing find_route and show_route implement the kit routing model.</x:v>
      </x:c>
      <x:c r="X864" s="6" t="str">
        <x:v>data/train/proc-factory-train-007/questions_basic.jsonl</x:v>
      </x:c>
      <x:c r="Y864" s="14" t="n">
        <x:v>5</x:v>
      </x:c>
      <x:c r="Z864" s="6" t="str">
        <x:v>https://github.com/hagenhaeussler/Industrial-Agents-Hackathon-2026/blob/f41616590b69f3ea0c1cbfb41d6c35edd9ce53df/data/train/proc-factory-train-007/questions_basic.jsonl#L5</x:v>
      </x:c>
      <x:c r="AA864" s="6" t="str">
        <x:v>procedural</x:v>
      </x:c>
      <x:c r="AB864" s="6" t="str">
        <x:v>CC0-1.0</x:v>
      </x:c>
    </x:row>
    <x:row r="865" ht="124" customHeight="1">
      <x:c r="A865" s="14" t="n">
        <x:v>860</x:v>
      </x:c>
      <x:c r="B865" s="6" t="str">
        <x:v>route</x:v>
      </x:c>
      <x:c r="C865" s="6" t="str">
        <x:v>How do I get from Toilet 0.31 (Ground floor) to Office 1.11 (Floor 1)?</x:v>
      </x:c>
      <x:c r="D865" s="6" t="str">
        <x:v>82.37 m
From: Toilet 0.31
To: Office 1.11
Ordered path (6 spaces): Toilet 0.31 → Office corridor 0.13 → Staircase 0.14 → Staircase 1.02 → Office corridor 1.01 → Office 1.11</x:v>
      </x:c>
      <x:c r="E865" s="6" t="str">
        <x:v>Reference supplied</x:v>
      </x:c>
      <x:c r="F865" s="6" t="str">
        <x:v>train</x:v>
      </x:c>
      <x:c r="G865" s="6" t="str">
        <x:v>proc-factory-train-007</x:v>
      </x:c>
      <x:c r="H865" s="6" t="str">
        <x:v>proc-factory-train-007-Q06</x:v>
      </x:c>
      <x:c r="I865" s="6" t="str">
        <x:v>Route planning</x:v>
      </x:c>
      <x:c r="J865" s="6" t="str">
        <x:v>Warm-up</x:v>
      </x:c>
      <x:c r="K865" s="6" t="str">
        <x:v>Ordered space path and directions, plus total route-model distance in metres.</x:v>
      </x:c>
      <x:c r="L865" s="6" t="str">
        <x:v>T02, T05, T13</x:v>
      </x:c>
      <x:c r="M865" s="6" t="str">
        <x:v>Find a valid route between two rooms, including across floors.</x:v>
      </x:c>
      <x:c r="N865" s="6" t="str">
        <x:v>{"from_space_id":"proc-factory-train-007-F0-S031","to_space_id":"proc-factory-train-007-F1-S011","optimal_length_m":82.37,"space_path":["proc-factory-train-007-F0-S031","proc-factory-train-007-F0-S013","proc-factory-train-007-F0-S014","proc-factory-train-007-F1-S002","proc-factory-train-007-F1-S001","proc-factory-train-007-F1-S011"],"element_path":["proc-factory-train-007-F0-O0036","proc-factory-train-007-F0-O0036","proc-factory-train-007-F0-O0017","proc-factory-train-007-F0-O0017","proc-factory-train-007-V01","proc-factory-train-007-F1-O0040","proc-factory-train-007-F1-O0040","proc-factory-train-007-F1-O0049","proc-factory-train-007-F1-O0049"]}</x:v>
      </x:c>
      <x:c r="O865" s="6"/>
      <x:c r="P865" s="6" t="str">
        <x:v>README routing profile. Stairs and lifts allowed unless stated otherwise.</x:v>
      </x:c>
      <x:c r="Q865" s="15" t="n">
        <x:v>82.37</x:v>
      </x:c>
      <x:c r="R865" s="6" t="str">
        <x:v>m</x:v>
      </x:c>
      <x:c r="S865" s="16"/>
      <x:c r="T865" s="15"/>
      <x:c r="U865" s="6"/>
      <x:c r="V865" s="6"/>
      <x:c r="W865" s="6" t="str">
        <x:v>Existing find_route and show_route implement the kit routing model.</x:v>
      </x:c>
      <x:c r="X865" s="6" t="str">
        <x:v>data/train/proc-factory-train-007/questions_basic.jsonl</x:v>
      </x:c>
      <x:c r="Y865" s="14" t="n">
        <x:v>6</x:v>
      </x:c>
      <x:c r="Z865" s="6" t="str">
        <x:v>https://github.com/hagenhaeussler/Industrial-Agents-Hackathon-2026/blob/f41616590b69f3ea0c1cbfb41d6c35edd9ce53df/data/train/proc-factory-train-007/questions_basic.jsonl#L6</x:v>
      </x:c>
      <x:c r="AA865" s="6" t="str">
        <x:v>procedural</x:v>
      </x:c>
      <x:c r="AB865" s="6" t="str">
        <x:v>CC0-1.0</x:v>
      </x:c>
    </x:row>
    <x:row r="866" ht="124" customHeight="1">
      <x:c r="A866" s="14" t="n">
        <x:v>861</x:v>
      </x:c>
      <x:c r="B866" s="6" t="str">
        <x:v>route</x:v>
      </x:c>
      <x:c r="C866" s="6" t="str">
        <x:v>How do I get from Office 1.12 (Floor 1) to Meeting room 0.19 (Ground floor)?</x:v>
      </x:c>
      <x:c r="D866" s="6" t="str">
        <x:v>81.05 m
From: Office 1.12
To: Meeting room 0.19
Ordered path (6 spaces): Office 1.12 → Office corridor 1.01 → Staircase 1.02 → Staircase 0.14 → Office corridor 0.13 → Meeting room 0.19</x:v>
      </x:c>
      <x:c r="E866" s="6" t="str">
        <x:v>Reference supplied</x:v>
      </x:c>
      <x:c r="F866" s="6" t="str">
        <x:v>train</x:v>
      </x:c>
      <x:c r="G866" s="6" t="str">
        <x:v>proc-factory-train-007</x:v>
      </x:c>
      <x:c r="H866" s="6" t="str">
        <x:v>proc-factory-train-007-Q07</x:v>
      </x:c>
      <x:c r="I866" s="6" t="str">
        <x:v>Route planning</x:v>
      </x:c>
      <x:c r="J866" s="6" t="str">
        <x:v>Warm-up</x:v>
      </x:c>
      <x:c r="K866" s="6" t="str">
        <x:v>Ordered space path and directions, plus total route-model distance in metres.</x:v>
      </x:c>
      <x:c r="L866" s="6" t="str">
        <x:v>T02, T05, T13</x:v>
      </x:c>
      <x:c r="M866" s="6" t="str">
        <x:v>Find a valid route between two rooms, including across floors.</x:v>
      </x:c>
      <x:c r="N866" s="6" t="str">
        <x:v>{"from_space_id":"proc-factory-train-007-F1-S012","to_space_id":"proc-factory-train-007-F0-S019","optimal_length_m":81.05,"space_path":["proc-factory-train-007-F1-S012","proc-factory-train-007-F1-S001","proc-factory-train-007-F1-S002","proc-factory-train-007-F0-S014","proc-factory-train-007-F0-S013","proc-factory-train-007-F0-S019"],"element_path":["proc-factory-train-007-F1-O0050","proc-factory-train-007-F1-O0050","proc-factory-train-007-F1-O0040","proc-factory-train-007-F1-O0040","proc-factory-train-007-V01","proc-factory-train-007-F0-O0017","proc-factory-train-007-F0-O0017","proc-factory-train-007-F0-O0023","proc-factory-train-007-F0-O0023"]}</x:v>
      </x:c>
      <x:c r="O866" s="6"/>
      <x:c r="P866" s="6" t="str">
        <x:v>README routing profile. Stairs and lifts allowed unless stated otherwise.</x:v>
      </x:c>
      <x:c r="Q866" s="15" t="n">
        <x:v>81.05</x:v>
      </x:c>
      <x:c r="R866" s="6" t="str">
        <x:v>m</x:v>
      </x:c>
      <x:c r="S866" s="16"/>
      <x:c r="T866" s="15"/>
      <x:c r="U866" s="6"/>
      <x:c r="V866" s="6"/>
      <x:c r="W866" s="6" t="str">
        <x:v>Existing find_route and show_route implement the kit routing model.</x:v>
      </x:c>
      <x:c r="X866" s="6" t="str">
        <x:v>data/train/proc-factory-train-007/questions_basic.jsonl</x:v>
      </x:c>
      <x:c r="Y866" s="14" t="n">
        <x:v>7</x:v>
      </x:c>
      <x:c r="Z866" s="6" t="str">
        <x:v>https://github.com/hagenhaeussler/Industrial-Agents-Hackathon-2026/blob/f41616590b69f3ea0c1cbfb41d6c35edd9ce53df/data/train/proc-factory-train-007/questions_basic.jsonl#L7</x:v>
      </x:c>
      <x:c r="AA866" s="6" t="str">
        <x:v>procedural</x:v>
      </x:c>
      <x:c r="AB866" s="6" t="str">
        <x:v>CC0-1.0</x:v>
      </x:c>
    </x:row>
    <x:row r="867" ht="82" customHeight="1">
      <x:c r="A867" s="14" t="n">
        <x:v>862</x:v>
      </x:c>
      <x:c r="B867" s="6" t="str">
        <x:v>route</x:v>
      </x:c>
      <x:c r="C867" s="6" t="str">
        <x:v>How do I get from Office 0.16 (Ground floor) to Office 0.21 (Ground floor)?</x:v>
      </x:c>
      <x:c r="D867" s="6" t="str">
        <x:v>9.66 m
From: Office 0.16
To: Office 0.21
Ordered path (3 spaces): Office 0.16 → Office corridor 0.10 → Office 0.21</x:v>
      </x:c>
      <x:c r="E867" s="6" t="str">
        <x:v>Reference supplied</x:v>
      </x:c>
      <x:c r="F867" s="6" t="str">
        <x:v>train</x:v>
      </x:c>
      <x:c r="G867" s="6" t="str">
        <x:v>proc-factory-train-008</x:v>
      </x:c>
      <x:c r="H867" s="6" t="str">
        <x:v>proc-factory-train-008-Q05</x:v>
      </x:c>
      <x:c r="I867" s="6" t="str">
        <x:v>Route planning</x:v>
      </x:c>
      <x:c r="J867" s="6" t="str">
        <x:v>Warm-up</x:v>
      </x:c>
      <x:c r="K867" s="6" t="str">
        <x:v>Ordered space path and directions, plus total route-model distance in metres.</x:v>
      </x:c>
      <x:c r="L867" s="6" t="str">
        <x:v>T02, T05, T13</x:v>
      </x:c>
      <x:c r="M867" s="6" t="str">
        <x:v>Find a valid route between two rooms, including across floors.</x:v>
      </x:c>
      <x:c r="N867" s="6" t="str">
        <x:v>{"from_space_id":"proc-factory-train-008-F0-S016","to_space_id":"proc-factory-train-008-F0-S021","optimal_length_m":9.66,"space_path":["proc-factory-train-008-F0-S016","proc-factory-train-008-F0-S010","proc-factory-train-008-F0-S021"],"element_path":["proc-factory-train-008-F0-O0020","proc-factory-train-008-F0-O0020","proc-factory-train-008-F0-O0026","proc-factory-train-008-F0-O0026"]}</x:v>
      </x:c>
      <x:c r="O867" s="6"/>
      <x:c r="P867" s="6" t="str">
        <x:v>README routing profile. Stairs and lifts allowed unless stated otherwise.</x:v>
      </x:c>
      <x:c r="Q867" s="15" t="n">
        <x:v>9.66</x:v>
      </x:c>
      <x:c r="R867" s="6" t="str">
        <x:v>m</x:v>
      </x:c>
      <x:c r="S867" s="16"/>
      <x:c r="T867" s="15"/>
      <x:c r="U867" s="6"/>
      <x:c r="V867" s="6"/>
      <x:c r="W867" s="6" t="str">
        <x:v>Existing find_route and show_route implement the kit routing model.</x:v>
      </x:c>
      <x:c r="X867" s="6" t="str">
        <x:v>data/train/proc-factory-train-008/questions_basic.jsonl</x:v>
      </x:c>
      <x:c r="Y867" s="14" t="n">
        <x:v>5</x:v>
      </x:c>
      <x:c r="Z867" s="6" t="str">
        <x:v>https://github.com/hagenhaeussler/Industrial-Agents-Hackathon-2026/blob/f41616590b69f3ea0c1cbfb41d6c35edd9ce53df/data/train/proc-factory-train-008/questions_basic.jsonl#L5</x:v>
      </x:c>
      <x:c r="AA867" s="6" t="str">
        <x:v>procedural</x:v>
      </x:c>
      <x:c r="AB867" s="6" t="str">
        <x:v>CC0-1.0</x:v>
      </x:c>
    </x:row>
    <x:row r="868" ht="124" customHeight="1">
      <x:c r="A868" s="14" t="n">
        <x:v>863</x:v>
      </x:c>
      <x:c r="B868" s="6" t="str">
        <x:v>route</x:v>
      </x:c>
      <x:c r="C868" s="6" t="str">
        <x:v>How do I get from Office 0.15 (Ground floor) to Office 1.12 (Floor 1)?</x:v>
      </x:c>
      <x:c r="D868" s="6" t="str">
        <x:v>55.51 m
From: Office 0.15
To: Office 1.12
Ordered path (6 spaces): Office 0.15 → Office corridor 0.10 → Staircase 0.11 → Staircase 1.02 → Office corridor 1.01 → Office 1.12</x:v>
      </x:c>
      <x:c r="E868" s="6" t="str">
        <x:v>Reference supplied</x:v>
      </x:c>
      <x:c r="F868" s="6" t="str">
        <x:v>train</x:v>
      </x:c>
      <x:c r="G868" s="6" t="str">
        <x:v>proc-factory-train-008</x:v>
      </x:c>
      <x:c r="H868" s="6" t="str">
        <x:v>proc-factory-train-008-Q06</x:v>
      </x:c>
      <x:c r="I868" s="6" t="str">
        <x:v>Route planning</x:v>
      </x:c>
      <x:c r="J868" s="6" t="str">
        <x:v>Warm-up</x:v>
      </x:c>
      <x:c r="K868" s="6" t="str">
        <x:v>Ordered space path and directions, plus total route-model distance in metres.</x:v>
      </x:c>
      <x:c r="L868" s="6" t="str">
        <x:v>T02, T05, T13</x:v>
      </x:c>
      <x:c r="M868" s="6" t="str">
        <x:v>Find a valid route between two rooms, including across floors.</x:v>
      </x:c>
      <x:c r="N868" s="6" t="str">
        <x:v>{"from_space_id":"proc-factory-train-008-F0-S015","to_space_id":"proc-factory-train-008-F1-S012","optimal_length_m":55.51,"space_path":["proc-factory-train-008-F0-S015","proc-factory-train-008-F0-S010","proc-factory-train-008-F0-S011","proc-factory-train-008-F1-S002","proc-factory-train-008-F1-S001","proc-factory-train-008-F1-S012"],"element_path":["proc-factory-train-008-F0-O0019","proc-factory-train-008-F0-O0019","proc-factory-train-008-F0-O0014","proc-factory-train-008-F0-O0014","proc-factory-train-008-V01","proc-factory-train-008-F1-O0031","proc-factory-train-008-F1-O0031","proc-factory-train-008-F1-O0041","proc-factory-train-008-F1-O0041"]}</x:v>
      </x:c>
      <x:c r="O868" s="6"/>
      <x:c r="P868" s="6" t="str">
        <x:v>README routing profile. Stairs and lifts allowed unless stated otherwise.</x:v>
      </x:c>
      <x:c r="Q868" s="15" t="n">
        <x:v>55.51</x:v>
      </x:c>
      <x:c r="R868" s="6" t="str">
        <x:v>m</x:v>
      </x:c>
      <x:c r="S868" s="16"/>
      <x:c r="T868" s="15"/>
      <x:c r="U868" s="6"/>
      <x:c r="V868" s="6"/>
      <x:c r="W868" s="6" t="str">
        <x:v>Existing find_route and show_route implement the kit routing model.</x:v>
      </x:c>
      <x:c r="X868" s="6" t="str">
        <x:v>data/train/proc-factory-train-008/questions_basic.jsonl</x:v>
      </x:c>
      <x:c r="Y868" s="14" t="n">
        <x:v>6</x:v>
      </x:c>
      <x:c r="Z868" s="6" t="str">
        <x:v>https://github.com/hagenhaeussler/Industrial-Agents-Hackathon-2026/blob/f41616590b69f3ea0c1cbfb41d6c35edd9ce53df/data/train/proc-factory-train-008/questions_basic.jsonl#L6</x:v>
      </x:c>
      <x:c r="AA868" s="6" t="str">
        <x:v>procedural</x:v>
      </x:c>
      <x:c r="AB868" s="6" t="str">
        <x:v>CC0-1.0</x:v>
      </x:c>
    </x:row>
    <x:row r="869" ht="82" customHeight="1">
      <x:c r="A869" s="14" t="n">
        <x:v>864</x:v>
      </x:c>
      <x:c r="B869" s="6" t="str">
        <x:v>route</x:v>
      </x:c>
      <x:c r="C869" s="6" t="str">
        <x:v>How do I get from Server room 1.13 (Floor 1) to Meeting room 1.15 (Floor 1)?</x:v>
      </x:c>
      <x:c r="D869" s="6" t="str">
        <x:v>20.53 m
From: Server room 1.13
To: Meeting room 1.15
Ordered path (3 spaces): Server room 1.13 → Office corridor 1.01 → Meeting room 1.15</x:v>
      </x:c>
      <x:c r="E869" s="6" t="str">
        <x:v>Reference supplied</x:v>
      </x:c>
      <x:c r="F869" s="6" t="str">
        <x:v>train</x:v>
      </x:c>
      <x:c r="G869" s="6" t="str">
        <x:v>proc-factory-train-008</x:v>
      </x:c>
      <x:c r="H869" s="6" t="str">
        <x:v>proc-factory-train-008-Q07</x:v>
      </x:c>
      <x:c r="I869" s="6" t="str">
        <x:v>Route planning</x:v>
      </x:c>
      <x:c r="J869" s="6" t="str">
        <x:v>Warm-up</x:v>
      </x:c>
      <x:c r="K869" s="6" t="str">
        <x:v>Ordered space path and directions, plus total route-model distance in metres.</x:v>
      </x:c>
      <x:c r="L869" s="6" t="str">
        <x:v>T02, T05, T13</x:v>
      </x:c>
      <x:c r="M869" s="6" t="str">
        <x:v>Find a valid route between two rooms, including across floors.</x:v>
      </x:c>
      <x:c r="N869" s="6" t="str">
        <x:v>{"from_space_id":"proc-factory-train-008-F1-S013","to_space_id":"proc-factory-train-008-F1-S015","optimal_length_m":20.53,"space_path":["proc-factory-train-008-F1-S013","proc-factory-train-008-F1-S001","proc-factory-train-008-F1-S015"],"element_path":["proc-factory-train-008-F1-O0042","proc-factory-train-008-F1-O0042","proc-factory-train-008-F1-O0044","proc-factory-train-008-F1-O0044"]}</x:v>
      </x:c>
      <x:c r="O869" s="6"/>
      <x:c r="P869" s="6" t="str">
        <x:v>README routing profile. Stairs and lifts allowed unless stated otherwise.</x:v>
      </x:c>
      <x:c r="Q869" s="15" t="n">
        <x:v>20.53</x:v>
      </x:c>
      <x:c r="R869" s="6" t="str">
        <x:v>m</x:v>
      </x:c>
      <x:c r="S869" s="16"/>
      <x:c r="T869" s="15"/>
      <x:c r="U869" s="6"/>
      <x:c r="V869" s="6"/>
      <x:c r="W869" s="6" t="str">
        <x:v>Existing find_route and show_route implement the kit routing model.</x:v>
      </x:c>
      <x:c r="X869" s="6" t="str">
        <x:v>data/train/proc-factory-train-008/questions_basic.jsonl</x:v>
      </x:c>
      <x:c r="Y869" s="14" t="n">
        <x:v>7</x:v>
      </x:c>
      <x:c r="Z869" s="6" t="str">
        <x:v>https://github.com/hagenhaeussler/Industrial-Agents-Hackathon-2026/blob/f41616590b69f3ea0c1cbfb41d6c35edd9ce53df/data/train/proc-factory-train-008/questions_basic.jsonl#L7</x:v>
      </x:c>
      <x:c r="AA869" s="6" t="str">
        <x:v>procedural</x:v>
      </x:c>
      <x:c r="AB869" s="6" t="str">
        <x:v>CC0-1.0</x:v>
      </x:c>
    </x:row>
    <x:row r="870" ht="82" customHeight="1">
      <x:c r="A870" s="14" t="n">
        <x:v>865</x:v>
      </x:c>
      <x:c r="B870" s="6" t="str">
        <x:v>route</x:v>
      </x:c>
      <x:c r="C870" s="6" t="str">
        <x:v>How do I get from Office 0.20 (Ground floor) to Office 0.18 (Ground floor)?</x:v>
      </x:c>
      <x:c r="D870" s="6" t="str">
        <x:v>23.97 m
From: Office 0.20
To: Office 0.18
Ordered path (3 spaces): Office 0.20 → Office corridor 0.13 → Office 0.18</x:v>
      </x:c>
      <x:c r="E870" s="6" t="str">
        <x:v>Reference supplied</x:v>
      </x:c>
      <x:c r="F870" s="6" t="str">
        <x:v>train</x:v>
      </x:c>
      <x:c r="G870" s="6" t="str">
        <x:v>proc-factory-train-009</x:v>
      </x:c>
      <x:c r="H870" s="6" t="str">
        <x:v>proc-factory-train-009-Q05</x:v>
      </x:c>
      <x:c r="I870" s="6" t="str">
        <x:v>Route planning</x:v>
      </x:c>
      <x:c r="J870" s="6" t="str">
        <x:v>Warm-up</x:v>
      </x:c>
      <x:c r="K870" s="6" t="str">
        <x:v>Ordered space path and directions, plus total route-model distance in metres.</x:v>
      </x:c>
      <x:c r="L870" s="6" t="str">
        <x:v>T02, T05, T13</x:v>
      </x:c>
      <x:c r="M870" s="6" t="str">
        <x:v>Find a valid route between two rooms, including across floors.</x:v>
      </x:c>
      <x:c r="N870" s="6" t="str">
        <x:v>{"from_space_id":"proc-factory-train-009-F0-S020","to_space_id":"proc-factory-train-009-F0-S018","optimal_length_m":23.97,"space_path":["proc-factory-train-009-F0-S020","proc-factory-train-009-F0-S013","proc-factory-train-009-F0-S018"],"element_path":["proc-factory-train-009-F0-O0024","proc-factory-train-009-F0-O0024","proc-factory-train-009-F0-O0022","proc-factory-train-009-F0-O0022"]}</x:v>
      </x:c>
      <x:c r="O870" s="6"/>
      <x:c r="P870" s="6" t="str">
        <x:v>README routing profile. Stairs and lifts allowed unless stated otherwise.</x:v>
      </x:c>
      <x:c r="Q870" s="15" t="n">
        <x:v>23.97</x:v>
      </x:c>
      <x:c r="R870" s="6" t="str">
        <x:v>m</x:v>
      </x:c>
      <x:c r="S870" s="16"/>
      <x:c r="T870" s="15"/>
      <x:c r="U870" s="6"/>
      <x:c r="V870" s="6"/>
      <x:c r="W870" s="6" t="str">
        <x:v>Existing find_route and show_route implement the kit routing model.</x:v>
      </x:c>
      <x:c r="X870" s="6" t="str">
        <x:v>data/train/proc-factory-train-009/questions_basic.jsonl</x:v>
      </x:c>
      <x:c r="Y870" s="14" t="n">
        <x:v>5</x:v>
      </x:c>
      <x:c r="Z870" s="6" t="str">
        <x:v>https://github.com/hagenhaeussler/Industrial-Agents-Hackathon-2026/blob/f41616590b69f3ea0c1cbfb41d6c35edd9ce53df/data/train/proc-factory-train-009/questions_basic.jsonl#L5</x:v>
      </x:c>
      <x:c r="AA870" s="6" t="str">
        <x:v>procedural</x:v>
      </x:c>
      <x:c r="AB870" s="6" t="str">
        <x:v>CC0-1.0</x:v>
      </x:c>
    </x:row>
    <x:row r="871" ht="124" customHeight="1">
      <x:c r="A871" s="14" t="n">
        <x:v>866</x:v>
      </x:c>
      <x:c r="B871" s="6" t="str">
        <x:v>route</x:v>
      </x:c>
      <x:c r="C871" s="6" t="str">
        <x:v>How do I get from Office 1.10 (Floor 1) to Locker room 0.28 (Ground floor)?</x:v>
      </x:c>
      <x:c r="D871" s="6" t="str">
        <x:v>85.78 m
From: Office 1.10
To: Locker room 0.28
Ordered path (6 spaces): Office 1.10 → Office corridor 1.01 → Staircase 1.02 → Staircase 0.14 → Office corridor 0.13 → Locker room 0.28</x:v>
      </x:c>
      <x:c r="E871" s="6" t="str">
        <x:v>Reference supplied</x:v>
      </x:c>
      <x:c r="F871" s="6" t="str">
        <x:v>train</x:v>
      </x:c>
      <x:c r="G871" s="6" t="str">
        <x:v>proc-factory-train-009</x:v>
      </x:c>
      <x:c r="H871" s="6" t="str">
        <x:v>proc-factory-train-009-Q06</x:v>
      </x:c>
      <x:c r="I871" s="6" t="str">
        <x:v>Route planning</x:v>
      </x:c>
      <x:c r="J871" s="6" t="str">
        <x:v>Warm-up</x:v>
      </x:c>
      <x:c r="K871" s="6" t="str">
        <x:v>Ordered space path and directions, plus total route-model distance in metres.</x:v>
      </x:c>
      <x:c r="L871" s="6" t="str">
        <x:v>T02, T05, T13</x:v>
      </x:c>
      <x:c r="M871" s="6" t="str">
        <x:v>Find a valid route between two rooms, including across floors.</x:v>
      </x:c>
      <x:c r="N871" s="6" t="str">
        <x:v>{"from_space_id":"proc-factory-train-009-F1-S010","to_space_id":"proc-factory-train-009-F0-S028","optimal_length_m":85.78,"space_path":["proc-factory-train-009-F1-S010","proc-factory-train-009-F1-S001","proc-factory-train-009-F1-S002","proc-factory-train-009-F0-S014","proc-factory-train-009-F0-S013","proc-factory-train-009-F0-S028"],"element_path":["proc-factory-train-009-F1-O0051","proc-factory-train-009-F1-O0051","proc-factory-train-009-F1-O0043","proc-factory-train-009-F1-O0043","proc-factory-train-009-V01","proc-factory-train-009-F0-O0017","proc-factory-train-009-F0-O0017","proc-factory-train-009-F0-O0033","proc-factory-train-009-F0-O0033"]}</x:v>
      </x:c>
      <x:c r="O871" s="6"/>
      <x:c r="P871" s="6" t="str">
        <x:v>README routing profile. Stairs and lifts allowed unless stated otherwise.</x:v>
      </x:c>
      <x:c r="Q871" s="15" t="n">
        <x:v>85.78</x:v>
      </x:c>
      <x:c r="R871" s="6" t="str">
        <x:v>m</x:v>
      </x:c>
      <x:c r="S871" s="16"/>
      <x:c r="T871" s="15"/>
      <x:c r="U871" s="6"/>
      <x:c r="V871" s="6"/>
      <x:c r="W871" s="6" t="str">
        <x:v>Existing find_route and show_route implement the kit routing model.</x:v>
      </x:c>
      <x:c r="X871" s="6" t="str">
        <x:v>data/train/proc-factory-train-009/questions_basic.jsonl</x:v>
      </x:c>
      <x:c r="Y871" s="14" t="n">
        <x:v>6</x:v>
      </x:c>
      <x:c r="Z871" s="6" t="str">
        <x:v>https://github.com/hagenhaeussler/Industrial-Agents-Hackathon-2026/blob/f41616590b69f3ea0c1cbfb41d6c35edd9ce53df/data/train/proc-factory-train-009/questions_basic.jsonl#L6</x:v>
      </x:c>
      <x:c r="AA871" s="6" t="str">
        <x:v>procedural</x:v>
      </x:c>
      <x:c r="AB871" s="6" t="str">
        <x:v>CC0-1.0</x:v>
      </x:c>
    </x:row>
    <x:row r="872" ht="82" customHeight="1">
      <x:c r="A872" s="14" t="n">
        <x:v>867</x:v>
      </x:c>
      <x:c r="B872" s="6" t="str">
        <x:v>route</x:v>
      </x:c>
      <x:c r="C872" s="6" t="str">
        <x:v>How do I get from Office 1.14 (Floor 1) to Toilet 1.21 (Floor 1)?</x:v>
      </x:c>
      <x:c r="D872" s="6" t="str">
        <x:v>36.29 m
From: Office 1.14
To: Toilet 1.21
Ordered path (3 spaces): Office 1.14 → Office corridor 1.01 → Toilet 1.21</x:v>
      </x:c>
      <x:c r="E872" s="6" t="str">
        <x:v>Reference supplied</x:v>
      </x:c>
      <x:c r="F872" s="6" t="str">
        <x:v>train</x:v>
      </x:c>
      <x:c r="G872" s="6" t="str">
        <x:v>proc-factory-train-009</x:v>
      </x:c>
      <x:c r="H872" s="6" t="str">
        <x:v>proc-factory-train-009-Q07</x:v>
      </x:c>
      <x:c r="I872" s="6" t="str">
        <x:v>Route planning</x:v>
      </x:c>
      <x:c r="J872" s="6" t="str">
        <x:v>Warm-up</x:v>
      </x:c>
      <x:c r="K872" s="6" t="str">
        <x:v>Ordered space path and directions, plus total route-model distance in metres.</x:v>
      </x:c>
      <x:c r="L872" s="6" t="str">
        <x:v>T02, T05, T13</x:v>
      </x:c>
      <x:c r="M872" s="6" t="str">
        <x:v>Find a valid route between two rooms, including across floors.</x:v>
      </x:c>
      <x:c r="N872" s="6" t="str">
        <x:v>{"from_space_id":"proc-factory-train-009-F1-S014","to_space_id":"proc-factory-train-009-F1-S021","optimal_length_m":36.29,"space_path":["proc-factory-train-009-F1-S014","proc-factory-train-009-F1-S001","proc-factory-train-009-F1-S021"],"element_path":["proc-factory-train-009-F1-O0055","proc-factory-train-009-F1-O0055","proc-factory-train-009-F1-O0062","proc-factory-train-009-F1-O0062"]}</x:v>
      </x:c>
      <x:c r="O872" s="6"/>
      <x:c r="P872" s="6" t="str">
        <x:v>README routing profile. Stairs and lifts allowed unless stated otherwise.</x:v>
      </x:c>
      <x:c r="Q872" s="15" t="n">
        <x:v>36.29</x:v>
      </x:c>
      <x:c r="R872" s="6" t="str">
        <x:v>m</x:v>
      </x:c>
      <x:c r="S872" s="16"/>
      <x:c r="T872" s="15"/>
      <x:c r="U872" s="6"/>
      <x:c r="V872" s="6"/>
      <x:c r="W872" s="6" t="str">
        <x:v>Existing find_route and show_route implement the kit routing model.</x:v>
      </x:c>
      <x:c r="X872" s="6" t="str">
        <x:v>data/train/proc-factory-train-009/questions_basic.jsonl</x:v>
      </x:c>
      <x:c r="Y872" s="14" t="n">
        <x:v>7</x:v>
      </x:c>
      <x:c r="Z872" s="6" t="str">
        <x:v>https://github.com/hagenhaeussler/Industrial-Agents-Hackathon-2026/blob/f41616590b69f3ea0c1cbfb41d6c35edd9ce53df/data/train/proc-factory-train-009/questions_basic.jsonl#L7</x:v>
      </x:c>
      <x:c r="AA872" s="6" t="str">
        <x:v>procedural</x:v>
      </x:c>
      <x:c r="AB872" s="6" t="str">
        <x:v>CC0-1.0</x:v>
      </x:c>
    </x:row>
    <x:row r="873" ht="82" customHeight="1">
      <x:c r="A873" s="14" t="n">
        <x:v>868</x:v>
      </x:c>
      <x:c r="B873" s="6" t="str">
        <x:v>route</x:v>
      </x:c>
      <x:c r="C873" s="6" t="str">
        <x:v>How do I get from Server room 1.19 (Floor 1) to Office 1.05 (Floor 1)?</x:v>
      </x:c>
      <x:c r="D873" s="6" t="str">
        <x:v>33.56 m
From: Server room 1.19
To: Office 1.05
Ordered path (3 spaces): Server room 1.19 → Office corridor 1.01 → Office 1.05</x:v>
      </x:c>
      <x:c r="E873" s="6" t="str">
        <x:v>Reference supplied</x:v>
      </x:c>
      <x:c r="F873" s="6" t="str">
        <x:v>train</x:v>
      </x:c>
      <x:c r="G873" s="6" t="str">
        <x:v>proc-factory-train-010</x:v>
      </x:c>
      <x:c r="H873" s="6" t="str">
        <x:v>proc-factory-train-010-Q05</x:v>
      </x:c>
      <x:c r="I873" s="6" t="str">
        <x:v>Route planning</x:v>
      </x:c>
      <x:c r="J873" s="6" t="str">
        <x:v>Warm-up</x:v>
      </x:c>
      <x:c r="K873" s="6" t="str">
        <x:v>Ordered space path and directions, plus total route-model distance in metres.</x:v>
      </x:c>
      <x:c r="L873" s="6" t="str">
        <x:v>T02, T05, T13</x:v>
      </x:c>
      <x:c r="M873" s="6" t="str">
        <x:v>Find a valid route between two rooms, including across floors.</x:v>
      </x:c>
      <x:c r="N873" s="6" t="str">
        <x:v>{"from_space_id":"proc-factory-train-010-F1-S019","to_space_id":"proc-factory-train-010-F1-S005","optimal_length_m":33.56,"space_path":["proc-factory-train-010-F1-S019","proc-factory-train-010-F1-S001","proc-factory-train-010-F1-S005"],"element_path":["proc-factory-train-010-F1-O0050","proc-factory-train-010-F1-O0050","proc-factory-train-010-F1-O0036","proc-factory-train-010-F1-O0036"]}</x:v>
      </x:c>
      <x:c r="O873" s="6"/>
      <x:c r="P873" s="6" t="str">
        <x:v>README routing profile. Stairs and lifts allowed unless stated otherwise.</x:v>
      </x:c>
      <x:c r="Q873" s="15" t="n">
        <x:v>33.56</x:v>
      </x:c>
      <x:c r="R873" s="6" t="str">
        <x:v>m</x:v>
      </x:c>
      <x:c r="S873" s="16"/>
      <x:c r="T873" s="15"/>
      <x:c r="U873" s="6"/>
      <x:c r="V873" s="6"/>
      <x:c r="W873" s="6" t="str">
        <x:v>Existing find_route and show_route implement the kit routing model.</x:v>
      </x:c>
      <x:c r="X873" s="6" t="str">
        <x:v>data/train/proc-factory-train-010/questions_basic.jsonl</x:v>
      </x:c>
      <x:c r="Y873" s="14" t="n">
        <x:v>5</x:v>
      </x:c>
      <x:c r="Z873" s="6" t="str">
        <x:v>https://github.com/hagenhaeussler/Industrial-Agents-Hackathon-2026/blob/f41616590b69f3ea0c1cbfb41d6c35edd9ce53df/data/train/proc-factory-train-010/questions_basic.jsonl#L5</x:v>
      </x:c>
      <x:c r="AA873" s="6" t="str">
        <x:v>procedural</x:v>
      </x:c>
      <x:c r="AB873" s="6" t="str">
        <x:v>CC0-1.0</x:v>
      </x:c>
    </x:row>
    <x:row r="874" ht="82" customHeight="1">
      <x:c r="A874" s="14" t="n">
        <x:v>869</x:v>
      </x:c>
      <x:c r="B874" s="6" t="str">
        <x:v>route</x:v>
      </x:c>
      <x:c r="C874" s="6" t="str">
        <x:v>How do I get from Meeting room 0.22 (Ground floor) to Locker room 0.15 (Ground floor)?</x:v>
      </x:c>
      <x:c r="D874" s="6" t="str">
        <x:v>24.04 m
From: Meeting room 0.22
To: Locker room 0.15
Ordered path (3 spaces): Meeting room 0.22 → Office corridor 0.10 → Locker room 0.15</x:v>
      </x:c>
      <x:c r="E874" s="6" t="str">
        <x:v>Reference supplied</x:v>
      </x:c>
      <x:c r="F874" s="6" t="str">
        <x:v>train</x:v>
      </x:c>
      <x:c r="G874" s="6" t="str">
        <x:v>proc-factory-train-010</x:v>
      </x:c>
      <x:c r="H874" s="6" t="str">
        <x:v>proc-factory-train-010-Q06</x:v>
      </x:c>
      <x:c r="I874" s="6" t="str">
        <x:v>Route planning</x:v>
      </x:c>
      <x:c r="J874" s="6" t="str">
        <x:v>Warm-up</x:v>
      </x:c>
      <x:c r="K874" s="6" t="str">
        <x:v>Ordered space path and directions, plus total route-model distance in metres.</x:v>
      </x:c>
      <x:c r="L874" s="6" t="str">
        <x:v>T02, T05, T13</x:v>
      </x:c>
      <x:c r="M874" s="6" t="str">
        <x:v>Find a valid route between two rooms, including across floors.</x:v>
      </x:c>
      <x:c r="N874" s="6" t="str">
        <x:v>{"from_space_id":"proc-factory-train-010-F0-S022","to_space_id":"proc-factory-train-010-F0-S015","optimal_length_m":24.04,"space_path":["proc-factory-train-010-F0-S022","proc-factory-train-010-F0-S010","proc-factory-train-010-F0-S015"],"element_path":["proc-factory-train-010-F0-O0025","proc-factory-train-010-F0-O0025","proc-factory-train-010-F0-O0017","proc-factory-train-010-F0-O0017"]}</x:v>
      </x:c>
      <x:c r="O874" s="6"/>
      <x:c r="P874" s="6" t="str">
        <x:v>README routing profile. Stairs and lifts allowed unless stated otherwise.</x:v>
      </x:c>
      <x:c r="Q874" s="15" t="n">
        <x:v>24.04</x:v>
      </x:c>
      <x:c r="R874" s="6" t="str">
        <x:v>m</x:v>
      </x:c>
      <x:c r="S874" s="16"/>
      <x:c r="T874" s="15"/>
      <x:c r="U874" s="6"/>
      <x:c r="V874" s="6"/>
      <x:c r="W874" s="6" t="str">
        <x:v>Existing find_route and show_route implement the kit routing model.</x:v>
      </x:c>
      <x:c r="X874" s="6" t="str">
        <x:v>data/train/proc-factory-train-010/questions_basic.jsonl</x:v>
      </x:c>
      <x:c r="Y874" s="14" t="n">
        <x:v>6</x:v>
      </x:c>
      <x:c r="Z874" s="6" t="str">
        <x:v>https://github.com/hagenhaeussler/Industrial-Agents-Hackathon-2026/blob/f41616590b69f3ea0c1cbfb41d6c35edd9ce53df/data/train/proc-factory-train-010/questions_basic.jsonl#L6</x:v>
      </x:c>
      <x:c r="AA874" s="6" t="str">
        <x:v>procedural</x:v>
      </x:c>
      <x:c r="AB874" s="6" t="str">
        <x:v>CC0-1.0</x:v>
      </x:c>
    </x:row>
    <x:row r="875" ht="124" customHeight="1">
      <x:c r="A875" s="14" t="n">
        <x:v>870</x:v>
      </x:c>
      <x:c r="B875" s="6" t="str">
        <x:v>route</x:v>
      </x:c>
      <x:c r="C875" s="6" t="str">
        <x:v>How do I get from Toilet 1.10 (Floor 1) to Server room 0.20 (Ground floor)?</x:v>
      </x:c>
      <x:c r="D875" s="6" t="str">
        <x:v>78.78 m
From: Toilet 1.10
To: Server room 0.20
Ordered path (6 spaces): Toilet 1.10 → Office corridor 1.01 → Staircase 1.02 → Staircase 0.11 → Office corridor 0.10 → Server room 0.20</x:v>
      </x:c>
      <x:c r="E875" s="6" t="str">
        <x:v>Reference supplied</x:v>
      </x:c>
      <x:c r="F875" s="6" t="str">
        <x:v>train</x:v>
      </x:c>
      <x:c r="G875" s="6" t="str">
        <x:v>proc-factory-train-010</x:v>
      </x:c>
      <x:c r="H875" s="6" t="str">
        <x:v>proc-factory-train-010-Q07</x:v>
      </x:c>
      <x:c r="I875" s="6" t="str">
        <x:v>Route planning</x:v>
      </x:c>
      <x:c r="J875" s="6" t="str">
        <x:v>Warm-up</x:v>
      </x:c>
      <x:c r="K875" s="6" t="str">
        <x:v>Ordered space path and directions, plus total route-model distance in metres.</x:v>
      </x:c>
      <x:c r="L875" s="6" t="str">
        <x:v>T02, T05, T13</x:v>
      </x:c>
      <x:c r="M875" s="6" t="str">
        <x:v>Find a valid route between two rooms, including across floors.</x:v>
      </x:c>
      <x:c r="N875" s="6" t="str">
        <x:v>{"from_space_id":"proc-factory-train-010-F1-S010","to_space_id":"proc-factory-train-010-F0-S020","optimal_length_m":78.78,"space_path":["proc-factory-train-010-F1-S010","proc-factory-train-010-F1-S001","proc-factory-train-010-F1-S002","proc-factory-train-010-F0-S011","proc-factory-train-010-F0-S010","proc-factory-train-010-F0-S020"],"element_path":["proc-factory-train-010-F1-O0041","proc-factory-train-010-F1-O0041","proc-factory-train-010-F1-O0033","proc-factory-train-010-F1-O0033","proc-factory-train-010-V01","proc-factory-train-010-F0-O0012","proc-factory-train-010-F0-O0012","proc-factory-train-010-F0-O0022","proc-factory-train-010-F0-O0022"]}</x:v>
      </x:c>
      <x:c r="O875" s="6"/>
      <x:c r="P875" s="6" t="str">
        <x:v>README routing profile. Stairs and lifts allowed unless stated otherwise.</x:v>
      </x:c>
      <x:c r="Q875" s="15" t="n">
        <x:v>78.78</x:v>
      </x:c>
      <x:c r="R875" s="6" t="str">
        <x:v>m</x:v>
      </x:c>
      <x:c r="S875" s="16"/>
      <x:c r="T875" s="15"/>
      <x:c r="U875" s="6"/>
      <x:c r="V875" s="6"/>
      <x:c r="W875" s="6" t="str">
        <x:v>Existing find_route and show_route implement the kit routing model.</x:v>
      </x:c>
      <x:c r="X875" s="6" t="str">
        <x:v>data/train/proc-factory-train-010/questions_basic.jsonl</x:v>
      </x:c>
      <x:c r="Y875" s="14" t="n">
        <x:v>7</x:v>
      </x:c>
      <x:c r="Z875" s="6" t="str">
        <x:v>https://github.com/hagenhaeussler/Industrial-Agents-Hackathon-2026/blob/f41616590b69f3ea0c1cbfb41d6c35edd9ce53df/data/train/proc-factory-train-010/questions_basic.jsonl#L7</x:v>
      </x:c>
      <x:c r="AA875" s="6" t="str">
        <x:v>procedural</x:v>
      </x:c>
      <x:c r="AB875" s="6" t="str">
        <x:v>CC0-1.0</x:v>
      </x:c>
    </x:row>
    <x:row r="876" ht="124" customHeight="1">
      <x:c r="A876" s="14" t="n">
        <x:v>871</x:v>
      </x:c>
      <x:c r="B876" s="6" t="str">
        <x:v>route</x:v>
      </x:c>
      <x:c r="C876" s="6" t="str">
        <x:v>How do I get from Server room 1.08 (Floor 1) to Office 0.19 (Ground floor)?</x:v>
      </x:c>
      <x:c r="D876" s="6" t="str">
        <x:v>71.33 m
From: Server room 1.08
To: Office 0.19
Ordered path (6 spaces): Server room 1.08 → Office corridor 1.01 → Staircase 1.02 → Staircase 0.11 → Office corridor 0.10 → Office 0.19</x:v>
      </x:c>
      <x:c r="E876" s="6" t="str">
        <x:v>Reference supplied</x:v>
      </x:c>
      <x:c r="F876" s="6" t="str">
        <x:v>train</x:v>
      </x:c>
      <x:c r="G876" s="6" t="str">
        <x:v>proc-factory-train-015</x:v>
      </x:c>
      <x:c r="H876" s="6" t="str">
        <x:v>proc-factory-train-015-Q05</x:v>
      </x:c>
      <x:c r="I876" s="6" t="str">
        <x:v>Route planning</x:v>
      </x:c>
      <x:c r="J876" s="6" t="str">
        <x:v>Warm-up</x:v>
      </x:c>
      <x:c r="K876" s="6" t="str">
        <x:v>Ordered space path and directions, plus total route-model distance in metres.</x:v>
      </x:c>
      <x:c r="L876" s="6" t="str">
        <x:v>T02, T05, T13</x:v>
      </x:c>
      <x:c r="M876" s="6" t="str">
        <x:v>Find a valid route between two rooms, including across floors.</x:v>
      </x:c>
      <x:c r="N876" s="6" t="str">
        <x:v>{"from_space_id":"proc-factory-train-015-F1-S008","to_space_id":"proc-factory-train-015-F0-S019","optimal_length_m":71.33,"space_path":["proc-factory-train-015-F1-S008","proc-factory-train-015-F1-S001","proc-factory-train-015-F1-S002","proc-factory-train-015-F0-S011","proc-factory-train-015-F0-S010","proc-factory-train-015-F0-S019"],"element_path":["proc-factory-train-015-F1-O0040","proc-factory-train-015-F1-O0040","proc-factory-train-015-F1-O0034","proc-factory-train-015-F1-O0034","proc-factory-train-015-V01","proc-factory-train-015-F0-O0012","proc-factory-train-015-F0-O0012","proc-factory-train-015-F0-O0021","proc-factory-train-015-F0-O0021"]}</x:v>
      </x:c>
      <x:c r="O876" s="6"/>
      <x:c r="P876" s="6" t="str">
        <x:v>README routing profile. Stairs and lifts allowed unless stated otherwise.</x:v>
      </x:c>
      <x:c r="Q876" s="15" t="n">
        <x:v>71.33</x:v>
      </x:c>
      <x:c r="R876" s="6" t="str">
        <x:v>m</x:v>
      </x:c>
      <x:c r="S876" s="16"/>
      <x:c r="T876" s="15"/>
      <x:c r="U876" s="6"/>
      <x:c r="V876" s="6"/>
      <x:c r="W876" s="6" t="str">
        <x:v>Existing find_route and show_route implement the kit routing model.</x:v>
      </x:c>
      <x:c r="X876" s="6" t="str">
        <x:v>data/train/proc-factory-train-015/questions_basic.jsonl</x:v>
      </x:c>
      <x:c r="Y876" s="14" t="n">
        <x:v>5</x:v>
      </x:c>
      <x:c r="Z876" s="6" t="str">
        <x:v>https://github.com/hagenhaeussler/Industrial-Agents-Hackathon-2026/blob/f41616590b69f3ea0c1cbfb41d6c35edd9ce53df/data/train/proc-factory-train-015/questions_basic.jsonl#L5</x:v>
      </x:c>
      <x:c r="AA876" s="6" t="str">
        <x:v>procedural</x:v>
      </x:c>
      <x:c r="AB876" s="6" t="str">
        <x:v>CC0-1.0</x:v>
      </x:c>
    </x:row>
    <x:row r="877" ht="124" customHeight="1">
      <x:c r="A877" s="14" t="n">
        <x:v>872</x:v>
      </x:c>
      <x:c r="B877" s="6" t="str">
        <x:v>route</x:v>
      </x:c>
      <x:c r="C877" s="6" t="str">
        <x:v>How do I get from Meeting room 0.14 (Ground floor) to Server room 1.13 (Floor 1)?</x:v>
      </x:c>
      <x:c r="D877" s="6" t="str">
        <x:v>87.66 m
From: Meeting room 0.14
To: Server room 1.13
Ordered path (6 spaces): Meeting room 0.14 → Office corridor 0.10 → Staircase 0.11 → Staircase 1.02 → Office corridor 1.01 → Server room 1.13</x:v>
      </x:c>
      <x:c r="E877" s="6" t="str">
        <x:v>Reference supplied</x:v>
      </x:c>
      <x:c r="F877" s="6" t="str">
        <x:v>train</x:v>
      </x:c>
      <x:c r="G877" s="6" t="str">
        <x:v>proc-factory-train-015</x:v>
      </x:c>
      <x:c r="H877" s="6" t="str">
        <x:v>proc-factory-train-015-Q06</x:v>
      </x:c>
      <x:c r="I877" s="6" t="str">
        <x:v>Route planning</x:v>
      </x:c>
      <x:c r="J877" s="6" t="str">
        <x:v>Warm-up</x:v>
      </x:c>
      <x:c r="K877" s="6" t="str">
        <x:v>Ordered space path and directions, plus total route-model distance in metres.</x:v>
      </x:c>
      <x:c r="L877" s="6" t="str">
        <x:v>T02, T05, T13</x:v>
      </x:c>
      <x:c r="M877" s="6" t="str">
        <x:v>Find a valid route between two rooms, including across floors.</x:v>
      </x:c>
      <x:c r="N877" s="6" t="str">
        <x:v>{"from_space_id":"proc-factory-train-015-F0-S014","to_space_id":"proc-factory-train-015-F1-S013","optimal_length_m":87.66,"space_path":["proc-factory-train-015-F0-S014","proc-factory-train-015-F0-S010","proc-factory-train-015-F0-S011","proc-factory-train-015-F1-S002","proc-factory-train-015-F1-S001","proc-factory-train-015-F1-S013"],"element_path":["proc-factory-train-015-F0-O0016","proc-factory-train-015-F0-O0016","proc-factory-train-015-F0-O0012","proc-factory-train-015-F0-O0012","proc-factory-train-015-V01","proc-factory-train-015-F1-O0034","proc-factory-train-015-F1-O0034","proc-factory-train-015-F1-O0045","proc-factory-train-015-F1-O0045"]}</x:v>
      </x:c>
      <x:c r="O877" s="6"/>
      <x:c r="P877" s="6" t="str">
        <x:v>README routing profile. Stairs and lifts allowed unless stated otherwise.</x:v>
      </x:c>
      <x:c r="Q877" s="15" t="n">
        <x:v>87.66</x:v>
      </x:c>
      <x:c r="R877" s="6" t="str">
        <x:v>m</x:v>
      </x:c>
      <x:c r="S877" s="16"/>
      <x:c r="T877" s="15"/>
      <x:c r="U877" s="6"/>
      <x:c r="V877" s="6"/>
      <x:c r="W877" s="6" t="str">
        <x:v>Existing find_route and show_route implement the kit routing model.</x:v>
      </x:c>
      <x:c r="X877" s="6" t="str">
        <x:v>data/train/proc-factory-train-015/questions_basic.jsonl</x:v>
      </x:c>
      <x:c r="Y877" s="14" t="n">
        <x:v>6</x:v>
      </x:c>
      <x:c r="Z877" s="6" t="str">
        <x:v>https://github.com/hagenhaeussler/Industrial-Agents-Hackathon-2026/blob/f41616590b69f3ea0c1cbfb41d6c35edd9ce53df/data/train/proc-factory-train-015/questions_basic.jsonl#L6</x:v>
      </x:c>
      <x:c r="AA877" s="6" t="str">
        <x:v>procedural</x:v>
      </x:c>
      <x:c r="AB877" s="6" t="str">
        <x:v>CC0-1.0</x:v>
      </x:c>
    </x:row>
    <x:row r="878" ht="82" customHeight="1">
      <x:c r="A878" s="14" t="n">
        <x:v>873</x:v>
      </x:c>
      <x:c r="B878" s="6" t="str">
        <x:v>route</x:v>
      </x:c>
      <x:c r="C878" s="6" t="str">
        <x:v>How do I get from Meeting room 0.14 (Ground floor) to Office 0.15 (Ground floor)?</x:v>
      </x:c>
      <x:c r="D878" s="6" t="str">
        <x:v>28.62 m
From: Meeting room 0.14
To: Office 0.15
Ordered path (3 spaces): Meeting room 0.14 → Office corridor 0.10 → Office 0.15</x:v>
      </x:c>
      <x:c r="E878" s="6" t="str">
        <x:v>Reference supplied</x:v>
      </x:c>
      <x:c r="F878" s="6" t="str">
        <x:v>train</x:v>
      </x:c>
      <x:c r="G878" s="6" t="str">
        <x:v>proc-factory-train-015</x:v>
      </x:c>
      <x:c r="H878" s="6" t="str">
        <x:v>proc-factory-train-015-Q07</x:v>
      </x:c>
      <x:c r="I878" s="6" t="str">
        <x:v>Route planning</x:v>
      </x:c>
      <x:c r="J878" s="6" t="str">
        <x:v>Warm-up</x:v>
      </x:c>
      <x:c r="K878" s="6" t="str">
        <x:v>Ordered space path and directions, plus total route-model distance in metres.</x:v>
      </x:c>
      <x:c r="L878" s="6" t="str">
        <x:v>T02, T05, T13</x:v>
      </x:c>
      <x:c r="M878" s="6" t="str">
        <x:v>Find a valid route between two rooms, including across floors.</x:v>
      </x:c>
      <x:c r="N878" s="6" t="str">
        <x:v>{"from_space_id":"proc-factory-train-015-F0-S014","to_space_id":"proc-factory-train-015-F0-S015","optimal_length_m":28.62,"space_path":["proc-factory-train-015-F0-S014","proc-factory-train-015-F0-S010","proc-factory-train-015-F0-S015"],"element_path":["proc-factory-train-015-F0-O0016","proc-factory-train-015-F0-O0016","proc-factory-train-015-F0-O0017","proc-factory-train-015-F0-O0017"]}</x:v>
      </x:c>
      <x:c r="O878" s="6"/>
      <x:c r="P878" s="6" t="str">
        <x:v>README routing profile. Stairs and lifts allowed unless stated otherwise.</x:v>
      </x:c>
      <x:c r="Q878" s="15" t="n">
        <x:v>28.62</x:v>
      </x:c>
      <x:c r="R878" s="6" t="str">
        <x:v>m</x:v>
      </x:c>
      <x:c r="S878" s="16"/>
      <x:c r="T878" s="15"/>
      <x:c r="U878" s="6"/>
      <x:c r="V878" s="6"/>
      <x:c r="W878" s="6" t="str">
        <x:v>Existing find_route and show_route implement the kit routing model.</x:v>
      </x:c>
      <x:c r="X878" s="6" t="str">
        <x:v>data/train/proc-factory-train-015/questions_basic.jsonl</x:v>
      </x:c>
      <x:c r="Y878" s="14" t="n">
        <x:v>7</x:v>
      </x:c>
      <x:c r="Z878" s="6" t="str">
        <x:v>https://github.com/hagenhaeussler/Industrial-Agents-Hackathon-2026/blob/f41616590b69f3ea0c1cbfb41d6c35edd9ce53df/data/train/proc-factory-train-015/questions_basic.jsonl#L7</x:v>
      </x:c>
      <x:c r="AA878" s="6" t="str">
        <x:v>procedural</x:v>
      </x:c>
      <x:c r="AB878" s="6" t="str">
        <x:v>CC0-1.0</x:v>
      </x:c>
    </x:row>
    <x:row r="879" ht="124" customHeight="1">
      <x:c r="A879" s="14" t="n">
        <x:v>874</x:v>
      </x:c>
      <x:c r="B879" s="6" t="str">
        <x:v>route</x:v>
      </x:c>
      <x:c r="C879" s="6" t="str">
        <x:v>How do I get from Kitchen 1.10 (Floor 1) to Office 0.20 (Ground floor)?</x:v>
      </x:c>
      <x:c r="D879" s="6" t="str">
        <x:v>50.37 m
From: Kitchen 1.10
To: Office 0.20
Ordered path (6 spaces): Kitchen 1.10 → Office corridor 1.01 → Staircase 1.02 → Staircase 0.11 → Office corridor 0.10 → Office 0.20</x:v>
      </x:c>
      <x:c r="E879" s="6" t="str">
        <x:v>Reference supplied</x:v>
      </x:c>
      <x:c r="F879" s="6" t="str">
        <x:v>train</x:v>
      </x:c>
      <x:c r="G879" s="6" t="str">
        <x:v>proc-factory-train-017</x:v>
      </x:c>
      <x:c r="H879" s="6" t="str">
        <x:v>proc-factory-train-017-Q05</x:v>
      </x:c>
      <x:c r="I879" s="6" t="str">
        <x:v>Route planning</x:v>
      </x:c>
      <x:c r="J879" s="6" t="str">
        <x:v>Warm-up</x:v>
      </x:c>
      <x:c r="K879" s="6" t="str">
        <x:v>Ordered space path and directions, plus total route-model distance in metres.</x:v>
      </x:c>
      <x:c r="L879" s="6" t="str">
        <x:v>T02, T05, T13</x:v>
      </x:c>
      <x:c r="M879" s="6" t="str">
        <x:v>Find a valid route between two rooms, including across floors.</x:v>
      </x:c>
      <x:c r="N879" s="6" t="str">
        <x:v>{"from_space_id":"proc-factory-train-017-F1-S010","to_space_id":"proc-factory-train-017-F0-S020","optimal_length_m":50.37,"space_path":["proc-factory-train-017-F1-S010","proc-factory-train-017-F1-S001","proc-factory-train-017-F1-S002","proc-factory-train-017-F0-S011","proc-factory-train-017-F0-S010","proc-factory-train-017-F0-S020"],"element_path":["proc-factory-train-017-F1-O0036","proc-factory-train-017-F1-O0036","proc-factory-train-017-F1-O0028","proc-factory-train-017-F1-O0028","proc-factory-train-017-V01","proc-factory-train-017-F0-O0014","proc-factory-train-017-F0-O0014","proc-factory-train-017-F0-O0025","proc-factory-train-017-F0-O0025"]}</x:v>
      </x:c>
      <x:c r="O879" s="6"/>
      <x:c r="P879" s="6" t="str">
        <x:v>README routing profile. Stairs and lifts allowed unless stated otherwise.</x:v>
      </x:c>
      <x:c r="Q879" s="15" t="n">
        <x:v>50.37</x:v>
      </x:c>
      <x:c r="R879" s="6" t="str">
        <x:v>m</x:v>
      </x:c>
      <x:c r="S879" s="16"/>
      <x:c r="T879" s="15"/>
      <x:c r="U879" s="6"/>
      <x:c r="V879" s="6"/>
      <x:c r="W879" s="6" t="str">
        <x:v>Existing find_route and show_route implement the kit routing model.</x:v>
      </x:c>
      <x:c r="X879" s="6" t="str">
        <x:v>data/train/proc-factory-train-017/questions_basic.jsonl</x:v>
      </x:c>
      <x:c r="Y879" s="14" t="n">
        <x:v>5</x:v>
      </x:c>
      <x:c r="Z879" s="6" t="str">
        <x:v>https://github.com/hagenhaeussler/Industrial-Agents-Hackathon-2026/blob/f41616590b69f3ea0c1cbfb41d6c35edd9ce53df/data/train/proc-factory-train-017/questions_basic.jsonl#L5</x:v>
      </x:c>
      <x:c r="AA879" s="6" t="str">
        <x:v>procedural</x:v>
      </x:c>
      <x:c r="AB879" s="6" t="str">
        <x:v>CC0-1.0</x:v>
      </x:c>
    </x:row>
    <x:row r="880" ht="82" customHeight="1">
      <x:c r="A880" s="14" t="n">
        <x:v>875</x:v>
      </x:c>
      <x:c r="B880" s="6" t="str">
        <x:v>route</x:v>
      </x:c>
      <x:c r="C880" s="6" t="str">
        <x:v>How do I get from Office 0.18 (Ground floor) to Meeting room 0.14 (Ground floor)?</x:v>
      </x:c>
      <x:c r="D880" s="6" t="str">
        <x:v>12.44 m
From: Office 0.18
To: Meeting room 0.14
Ordered path (3 spaces): Office 0.18 → Office corridor 0.10 → Meeting room 0.14</x:v>
      </x:c>
      <x:c r="E880" s="6" t="str">
        <x:v>Reference supplied</x:v>
      </x:c>
      <x:c r="F880" s="6" t="str">
        <x:v>train</x:v>
      </x:c>
      <x:c r="G880" s="6" t="str">
        <x:v>proc-factory-train-017</x:v>
      </x:c>
      <x:c r="H880" s="6" t="str">
        <x:v>proc-factory-train-017-Q06</x:v>
      </x:c>
      <x:c r="I880" s="6" t="str">
        <x:v>Route planning</x:v>
      </x:c>
      <x:c r="J880" s="6" t="str">
        <x:v>Warm-up</x:v>
      </x:c>
      <x:c r="K880" s="6" t="str">
        <x:v>Ordered space path and directions, plus total route-model distance in metres.</x:v>
      </x:c>
      <x:c r="L880" s="6" t="str">
        <x:v>T02, T05, T13</x:v>
      </x:c>
      <x:c r="M880" s="6" t="str">
        <x:v>Find a valid route between two rooms, including across floors.</x:v>
      </x:c>
      <x:c r="N880" s="6" t="str">
        <x:v>{"from_space_id":"proc-factory-train-017-F0-S018","to_space_id":"proc-factory-train-017-F0-S014","optimal_length_m":12.44,"space_path":["proc-factory-train-017-F0-S018","proc-factory-train-017-F0-S010","proc-factory-train-017-F0-S014"],"element_path":["proc-factory-train-017-F0-O0023","proc-factory-train-017-F0-O0023","proc-factory-train-017-F0-O0018","proc-factory-train-017-F0-O0018"]}</x:v>
      </x:c>
      <x:c r="O880" s="6"/>
      <x:c r="P880" s="6" t="str">
        <x:v>README routing profile. Stairs and lifts allowed unless stated otherwise.</x:v>
      </x:c>
      <x:c r="Q880" s="15" t="n">
        <x:v>12.44</x:v>
      </x:c>
      <x:c r="R880" s="6" t="str">
        <x:v>m</x:v>
      </x:c>
      <x:c r="S880" s="16"/>
      <x:c r="T880" s="15"/>
      <x:c r="U880" s="6"/>
      <x:c r="V880" s="6"/>
      <x:c r="W880" s="6" t="str">
        <x:v>Existing find_route and show_route implement the kit routing model.</x:v>
      </x:c>
      <x:c r="X880" s="6" t="str">
        <x:v>data/train/proc-factory-train-017/questions_basic.jsonl</x:v>
      </x:c>
      <x:c r="Y880" s="14" t="n">
        <x:v>6</x:v>
      </x:c>
      <x:c r="Z880" s="6" t="str">
        <x:v>https://github.com/hagenhaeussler/Industrial-Agents-Hackathon-2026/blob/f41616590b69f3ea0c1cbfb41d6c35edd9ce53df/data/train/proc-factory-train-017/questions_basic.jsonl#L6</x:v>
      </x:c>
      <x:c r="AA880" s="6" t="str">
        <x:v>procedural</x:v>
      </x:c>
      <x:c r="AB880" s="6" t="str">
        <x:v>CC0-1.0</x:v>
      </x:c>
    </x:row>
    <x:row r="881" ht="124" customHeight="1">
      <x:c r="A881" s="14" t="n">
        <x:v>876</x:v>
      </x:c>
      <x:c r="B881" s="6" t="str">
        <x:v>route</x:v>
      </x:c>
      <x:c r="C881" s="6" t="str">
        <x:v>How do I get from Toilet 0.19 (Ground floor) to Office 1.09 (Floor 1)?</x:v>
      </x:c>
      <x:c r="D881" s="6" t="str">
        <x:v>48.19 m
From: Toilet 0.19
To: Office 1.09
Ordered path (6 spaces): Toilet 0.19 → Office corridor 0.10 → Staircase 0.11 → Staircase 1.02 → Office corridor 1.01 → Office 1.09</x:v>
      </x:c>
      <x:c r="E881" s="6" t="str">
        <x:v>Reference supplied</x:v>
      </x:c>
      <x:c r="F881" s="6" t="str">
        <x:v>train</x:v>
      </x:c>
      <x:c r="G881" s="6" t="str">
        <x:v>proc-factory-train-017</x:v>
      </x:c>
      <x:c r="H881" s="6" t="str">
        <x:v>proc-factory-train-017-Q07</x:v>
      </x:c>
      <x:c r="I881" s="6" t="str">
        <x:v>Route planning</x:v>
      </x:c>
      <x:c r="J881" s="6" t="str">
        <x:v>Warm-up</x:v>
      </x:c>
      <x:c r="K881" s="6" t="str">
        <x:v>Ordered space path and directions, plus total route-model distance in metres.</x:v>
      </x:c>
      <x:c r="L881" s="6" t="str">
        <x:v>T02, T05, T13</x:v>
      </x:c>
      <x:c r="M881" s="6" t="str">
        <x:v>Find a valid route between two rooms, including across floors.</x:v>
      </x:c>
      <x:c r="N881" s="6" t="str">
        <x:v>{"from_space_id":"proc-factory-train-017-F0-S019","to_space_id":"proc-factory-train-017-F1-S009","optimal_length_m":48.19,"space_path":["proc-factory-train-017-F0-S019","proc-factory-train-017-F0-S010","proc-factory-train-017-F0-S011","proc-factory-train-017-F1-S002","proc-factory-train-017-F1-S001","proc-factory-train-017-F1-S009"],"element_path":["proc-factory-train-017-F0-O0024","proc-factory-train-017-F0-O0024","proc-factory-train-017-F0-O0014","proc-factory-train-017-F0-O0014","proc-factory-train-017-V01","proc-factory-train-017-F1-O0028","proc-factory-train-017-F1-O0028","proc-factory-train-017-F1-O0035","proc-factory-train-017-F1-O0035"]}</x:v>
      </x:c>
      <x:c r="O881" s="6"/>
      <x:c r="P881" s="6" t="str">
        <x:v>README routing profile. Stairs and lifts allowed unless stated otherwise.</x:v>
      </x:c>
      <x:c r="Q881" s="15" t="n">
        <x:v>48.19</x:v>
      </x:c>
      <x:c r="R881" s="6" t="str">
        <x:v>m</x:v>
      </x:c>
      <x:c r="S881" s="16"/>
      <x:c r="T881" s="15"/>
      <x:c r="U881" s="6"/>
      <x:c r="V881" s="6"/>
      <x:c r="W881" s="6" t="str">
        <x:v>Existing find_route and show_route implement the kit routing model.</x:v>
      </x:c>
      <x:c r="X881" s="6" t="str">
        <x:v>data/train/proc-factory-train-017/questions_basic.jsonl</x:v>
      </x:c>
      <x:c r="Y881" s="14" t="n">
        <x:v>7</x:v>
      </x:c>
      <x:c r="Z881" s="6" t="str">
        <x:v>https://github.com/hagenhaeussler/Industrial-Agents-Hackathon-2026/blob/f41616590b69f3ea0c1cbfb41d6c35edd9ce53df/data/train/proc-factory-train-017/questions_basic.jsonl#L7</x:v>
      </x:c>
      <x:c r="AA881" s="6" t="str">
        <x:v>procedural</x:v>
      </x:c>
      <x:c r="AB881" s="6" t="str">
        <x:v>CC0-1.0</x:v>
      </x:c>
    </x:row>
    <x:row r="882" ht="82" customHeight="1">
      <x:c r="A882" s="14" t="n">
        <x:v>877</x:v>
      </x:c>
      <x:c r="B882" s="6" t="str">
        <x:v>route</x:v>
      </x:c>
      <x:c r="C882" s="6" t="str">
        <x:v>How do I get from Office 0.26 (Ground floor) to Server room 0.22 (Ground floor)?</x:v>
      </x:c>
      <x:c r="D882" s="6" t="str">
        <x:v>21.15 m
From: Office 0.26
To: Server room 0.22
Ordered path (3 spaces): Office 0.26 → Office corridor 0.10 → Server room 0.22</x:v>
      </x:c>
      <x:c r="E882" s="6" t="str">
        <x:v>Reference supplied</x:v>
      </x:c>
      <x:c r="F882" s="6" t="str">
        <x:v>train</x:v>
      </x:c>
      <x:c r="G882" s="6" t="str">
        <x:v>proc-factory-train-018</x:v>
      </x:c>
      <x:c r="H882" s="6" t="str">
        <x:v>proc-factory-train-018-Q05</x:v>
      </x:c>
      <x:c r="I882" s="6" t="str">
        <x:v>Route planning</x:v>
      </x:c>
      <x:c r="J882" s="6" t="str">
        <x:v>Warm-up</x:v>
      </x:c>
      <x:c r="K882" s="6" t="str">
        <x:v>Ordered space path and directions, plus total route-model distance in metres.</x:v>
      </x:c>
      <x:c r="L882" s="6" t="str">
        <x:v>T02, T05, T13</x:v>
      </x:c>
      <x:c r="M882" s="6" t="str">
        <x:v>Find a valid route between two rooms, including across floors.</x:v>
      </x:c>
      <x:c r="N882" s="6" t="str">
        <x:v>{"from_space_id":"proc-factory-train-018-F0-S026","to_space_id":"proc-factory-train-018-F0-S022","optimal_length_m":21.15,"space_path":["proc-factory-train-018-F0-S026","proc-factory-train-018-F0-S010","proc-factory-train-018-F0-S022"],"element_path":["proc-factory-train-018-F0-O0031","proc-factory-train-018-F0-O0031","proc-factory-train-018-F0-O0027","proc-factory-train-018-F0-O0027"]}</x:v>
      </x:c>
      <x:c r="O882" s="6"/>
      <x:c r="P882" s="6" t="str">
        <x:v>README routing profile. Stairs and lifts allowed unless stated otherwise.</x:v>
      </x:c>
      <x:c r="Q882" s="15" t="n">
        <x:v>21.15</x:v>
      </x:c>
      <x:c r="R882" s="6" t="str">
        <x:v>m</x:v>
      </x:c>
      <x:c r="S882" s="16"/>
      <x:c r="T882" s="15"/>
      <x:c r="U882" s="6"/>
      <x:c r="V882" s="6"/>
      <x:c r="W882" s="6" t="str">
        <x:v>Existing find_route and show_route implement the kit routing model.</x:v>
      </x:c>
      <x:c r="X882" s="6" t="str">
        <x:v>data/train/proc-factory-train-018/questions_basic.jsonl</x:v>
      </x:c>
      <x:c r="Y882" s="14" t="n">
        <x:v>5</x:v>
      </x:c>
      <x:c r="Z882" s="6" t="str">
        <x:v>https://github.com/hagenhaeussler/Industrial-Agents-Hackathon-2026/blob/f41616590b69f3ea0c1cbfb41d6c35edd9ce53df/data/train/proc-factory-train-018/questions_basic.jsonl#L5</x:v>
      </x:c>
      <x:c r="AA882" s="6" t="str">
        <x:v>procedural</x:v>
      </x:c>
      <x:c r="AB882" s="6" t="str">
        <x:v>CC0-1.0</x:v>
      </x:c>
    </x:row>
    <x:row r="883" ht="82" customHeight="1">
      <x:c r="A883" s="14" t="n">
        <x:v>878</x:v>
      </x:c>
      <x:c r="B883" s="6" t="str">
        <x:v>route</x:v>
      </x:c>
      <x:c r="C883" s="6" t="str">
        <x:v>How do I get from Office 0.17 (Ground floor) to Server room 0.19 (Ground floor)?</x:v>
      </x:c>
      <x:c r="D883" s="6" t="str">
        <x:v>20.51 m
From: Office 0.17
To: Server room 0.19
Ordered path (3 spaces): Office 0.17 → Office corridor 0.10 → Server room 0.19</x:v>
      </x:c>
      <x:c r="E883" s="6" t="str">
        <x:v>Reference supplied</x:v>
      </x:c>
      <x:c r="F883" s="6" t="str">
        <x:v>train</x:v>
      </x:c>
      <x:c r="G883" s="6" t="str">
        <x:v>proc-factory-train-018</x:v>
      </x:c>
      <x:c r="H883" s="6" t="str">
        <x:v>proc-factory-train-018-Q06</x:v>
      </x:c>
      <x:c r="I883" s="6" t="str">
        <x:v>Route planning</x:v>
      </x:c>
      <x:c r="J883" s="6" t="str">
        <x:v>Warm-up</x:v>
      </x:c>
      <x:c r="K883" s="6" t="str">
        <x:v>Ordered space path and directions, plus total route-model distance in metres.</x:v>
      </x:c>
      <x:c r="L883" s="6" t="str">
        <x:v>T02, T05, T13</x:v>
      </x:c>
      <x:c r="M883" s="6" t="str">
        <x:v>Find a valid route between two rooms, including across floors.</x:v>
      </x:c>
      <x:c r="N883" s="6" t="str">
        <x:v>{"from_space_id":"proc-factory-train-018-F0-S017","to_space_id":"proc-factory-train-018-F0-S019","optimal_length_m":20.51,"space_path":["proc-factory-train-018-F0-S017","proc-factory-train-018-F0-S010","proc-factory-train-018-F0-S019"],"element_path":["proc-factory-train-018-F0-O0021","proc-factory-train-018-F0-O0021","proc-factory-train-018-F0-O0023","proc-factory-train-018-F0-O0023"]}</x:v>
      </x:c>
      <x:c r="O883" s="6"/>
      <x:c r="P883" s="6" t="str">
        <x:v>README routing profile. Stairs and lifts allowed unless stated otherwise.</x:v>
      </x:c>
      <x:c r="Q883" s="15" t="n">
        <x:v>20.51</x:v>
      </x:c>
      <x:c r="R883" s="6" t="str">
        <x:v>m</x:v>
      </x:c>
      <x:c r="S883" s="16"/>
      <x:c r="T883" s="15"/>
      <x:c r="U883" s="6"/>
      <x:c r="V883" s="6"/>
      <x:c r="W883" s="6" t="str">
        <x:v>Existing find_route and show_route implement the kit routing model.</x:v>
      </x:c>
      <x:c r="X883" s="6" t="str">
        <x:v>data/train/proc-factory-train-018/questions_basic.jsonl</x:v>
      </x:c>
      <x:c r="Y883" s="14" t="n">
        <x:v>6</x:v>
      </x:c>
      <x:c r="Z883" s="6" t="str">
        <x:v>https://github.com/hagenhaeussler/Industrial-Agents-Hackathon-2026/blob/f41616590b69f3ea0c1cbfb41d6c35edd9ce53df/data/train/proc-factory-train-018/questions_basic.jsonl#L6</x:v>
      </x:c>
      <x:c r="AA883" s="6" t="str">
        <x:v>procedural</x:v>
      </x:c>
      <x:c r="AB883" s="6" t="str">
        <x:v>CC0-1.0</x:v>
      </x:c>
    </x:row>
    <x:row r="884" ht="82" customHeight="1">
      <x:c r="A884" s="14" t="n">
        <x:v>879</x:v>
      </x:c>
      <x:c r="B884" s="6" t="str">
        <x:v>route</x:v>
      </x:c>
      <x:c r="C884" s="6" t="str">
        <x:v>How do I get from Office 1.08 (Floor 1) to Kitchen 1.09 (Floor 1)?</x:v>
      </x:c>
      <x:c r="D884" s="6" t="str">
        <x:v>17.3 m
From: Office 1.08
To: Kitchen 1.09
Ordered path (3 spaces): Office 1.08 → Office corridor 1.01 → Kitchen 1.09</x:v>
      </x:c>
      <x:c r="E884" s="6" t="str">
        <x:v>Reference supplied</x:v>
      </x:c>
      <x:c r="F884" s="6" t="str">
        <x:v>train</x:v>
      </x:c>
      <x:c r="G884" s="6" t="str">
        <x:v>proc-factory-train-018</x:v>
      </x:c>
      <x:c r="H884" s="6" t="str">
        <x:v>proc-factory-train-018-Q07</x:v>
      </x:c>
      <x:c r="I884" s="6" t="str">
        <x:v>Route planning</x:v>
      </x:c>
      <x:c r="J884" s="6" t="str">
        <x:v>Warm-up</x:v>
      </x:c>
      <x:c r="K884" s="6" t="str">
        <x:v>Ordered space path and directions, plus total route-model distance in metres.</x:v>
      </x:c>
      <x:c r="L884" s="6" t="str">
        <x:v>T02, T05, T13</x:v>
      </x:c>
      <x:c r="M884" s="6" t="str">
        <x:v>Find a valid route between two rooms, including across floors.</x:v>
      </x:c>
      <x:c r="N884" s="6" t="str">
        <x:v>{"from_space_id":"proc-factory-train-018-F1-S008","to_space_id":"proc-factory-train-018-F1-S009","optimal_length_m":17.3,"space_path":["proc-factory-train-018-F1-S008","proc-factory-train-018-F1-S001","proc-factory-train-018-F1-S009"],"element_path":["proc-factory-train-018-F1-O0039","proc-factory-train-018-F1-O0039","proc-factory-train-018-F1-O0040","proc-factory-train-018-F1-O0040"]}</x:v>
      </x:c>
      <x:c r="O884" s="6"/>
      <x:c r="P884" s="6" t="str">
        <x:v>README routing profile. Stairs and lifts allowed unless stated otherwise.</x:v>
      </x:c>
      <x:c r="Q884" s="15" t="n">
        <x:v>17.3</x:v>
      </x:c>
      <x:c r="R884" s="6" t="str">
        <x:v>m</x:v>
      </x:c>
      <x:c r="S884" s="16"/>
      <x:c r="T884" s="15"/>
      <x:c r="U884" s="6"/>
      <x:c r="V884" s="6"/>
      <x:c r="W884" s="6" t="str">
        <x:v>Existing find_route and show_route implement the kit routing model.</x:v>
      </x:c>
      <x:c r="X884" s="6" t="str">
        <x:v>data/train/proc-factory-train-018/questions_basic.jsonl</x:v>
      </x:c>
      <x:c r="Y884" s="14" t="n">
        <x:v>7</x:v>
      </x:c>
      <x:c r="Z884" s="6" t="str">
        <x:v>https://github.com/hagenhaeussler/Industrial-Agents-Hackathon-2026/blob/f41616590b69f3ea0c1cbfb41d6c35edd9ce53df/data/train/proc-factory-train-018/questions_basic.jsonl#L7</x:v>
      </x:c>
      <x:c r="AA884" s="6" t="str">
        <x:v>procedural</x:v>
      </x:c>
      <x:c r="AB884" s="6" t="str">
        <x:v>CC0-1.0</x:v>
      </x:c>
    </x:row>
    <x:row r="885" ht="124" customHeight="1">
      <x:c r="A885" s="14" t="n">
        <x:v>880</x:v>
      </x:c>
      <x:c r="B885" s="6" t="str">
        <x:v>route</x:v>
      </x:c>
      <x:c r="C885" s="6" t="str">
        <x:v>How do I get from Quality lab 0.18 (Ground floor) to Office 1.05 (Floor 1)?</x:v>
      </x:c>
      <x:c r="D885" s="6" t="str">
        <x:v>74.35 m
From: Quality lab 0.18
To: Office 1.05
Ordered path (6 spaces): Quality lab 0.18 → Office corridor 0.10 → Staircase 0.11 → Staircase 1.02 → Office corridor 1.01 → Office 1.05</x:v>
      </x:c>
      <x:c r="E885" s="6" t="str">
        <x:v>Reference supplied</x:v>
      </x:c>
      <x:c r="F885" s="6" t="str">
        <x:v>train</x:v>
      </x:c>
      <x:c r="G885" s="6" t="str">
        <x:v>proc-factory-train-020</x:v>
      </x:c>
      <x:c r="H885" s="6" t="str">
        <x:v>proc-factory-train-020-Q05</x:v>
      </x:c>
      <x:c r="I885" s="6" t="str">
        <x:v>Route planning</x:v>
      </x:c>
      <x:c r="J885" s="6" t="str">
        <x:v>Warm-up</x:v>
      </x:c>
      <x:c r="K885" s="6" t="str">
        <x:v>Ordered space path and directions, plus total route-model distance in metres.</x:v>
      </x:c>
      <x:c r="L885" s="6" t="str">
        <x:v>T02, T05, T13</x:v>
      </x:c>
      <x:c r="M885" s="6" t="str">
        <x:v>Find a valid route between two rooms, including across floors.</x:v>
      </x:c>
      <x:c r="N885" s="6" t="str">
        <x:v>{"from_space_id":"proc-factory-train-020-F0-S018","to_space_id":"proc-factory-train-020-F1-S005","optimal_length_m":74.35,"space_path":["proc-factory-train-020-F0-S018","proc-factory-train-020-F0-S010","proc-factory-train-020-F0-S011","proc-factory-train-020-F1-S002","proc-factory-train-020-F1-S001","proc-factory-train-020-F1-S005"],"element_path":["proc-factory-train-020-F0-O0023","proc-factory-train-020-F0-O0023","proc-factory-train-020-F0-O0015","proc-factory-train-020-F0-O0015","proc-factory-train-020-V01","proc-factory-train-020-F1-O0033","proc-factory-train-020-F1-O0033","proc-factory-train-020-F1-O0036","proc-factory-train-020-F1-O0036"]}</x:v>
      </x:c>
      <x:c r="O885" s="6"/>
      <x:c r="P885" s="6" t="str">
        <x:v>README routing profile. Stairs and lifts allowed unless stated otherwise.</x:v>
      </x:c>
      <x:c r="Q885" s="15" t="n">
        <x:v>74.35</x:v>
      </x:c>
      <x:c r="R885" s="6" t="str">
        <x:v>m</x:v>
      </x:c>
      <x:c r="S885" s="16"/>
      <x:c r="T885" s="15"/>
      <x:c r="U885" s="6"/>
      <x:c r="V885" s="6"/>
      <x:c r="W885" s="6" t="str">
        <x:v>Existing find_route and show_route implement the kit routing model.</x:v>
      </x:c>
      <x:c r="X885" s="6" t="str">
        <x:v>data/train/proc-factory-train-020/questions_basic.jsonl</x:v>
      </x:c>
      <x:c r="Y885" s="14" t="n">
        <x:v>5</x:v>
      </x:c>
      <x:c r="Z885" s="6" t="str">
        <x:v>https://github.com/hagenhaeussler/Industrial-Agents-Hackathon-2026/blob/f41616590b69f3ea0c1cbfb41d6c35edd9ce53df/data/train/proc-factory-train-020/questions_basic.jsonl#L5</x:v>
      </x:c>
      <x:c r="AA885" s="6" t="str">
        <x:v>procedural</x:v>
      </x:c>
      <x:c r="AB885" s="6" t="str">
        <x:v>CC0-1.0</x:v>
      </x:c>
    </x:row>
    <x:row r="886" ht="82" customHeight="1">
      <x:c r="A886" s="14" t="n">
        <x:v>881</x:v>
      </x:c>
      <x:c r="B886" s="6" t="str">
        <x:v>route</x:v>
      </x:c>
      <x:c r="C886" s="6" t="str">
        <x:v>How do I get from Meeting room 1.04 (Floor 1) to Office 1.07 (Floor 1)?</x:v>
      </x:c>
      <x:c r="D886" s="6" t="str">
        <x:v>21.68 m
From: Meeting room 1.04
To: Office 1.07
Ordered path (3 spaces): Meeting room 1.04 → Office corridor 1.01 → Office 1.07</x:v>
      </x:c>
      <x:c r="E886" s="6" t="str">
        <x:v>Reference supplied</x:v>
      </x:c>
      <x:c r="F886" s="6" t="str">
        <x:v>train</x:v>
      </x:c>
      <x:c r="G886" s="6" t="str">
        <x:v>proc-factory-train-020</x:v>
      </x:c>
      <x:c r="H886" s="6" t="str">
        <x:v>proc-factory-train-020-Q06</x:v>
      </x:c>
      <x:c r="I886" s="6" t="str">
        <x:v>Route planning</x:v>
      </x:c>
      <x:c r="J886" s="6" t="str">
        <x:v>Warm-up</x:v>
      </x:c>
      <x:c r="K886" s="6" t="str">
        <x:v>Ordered space path and directions, plus total route-model distance in metres.</x:v>
      </x:c>
      <x:c r="L886" s="6" t="str">
        <x:v>T02, T05, T13</x:v>
      </x:c>
      <x:c r="M886" s="6" t="str">
        <x:v>Find a valid route between two rooms, including across floors.</x:v>
      </x:c>
      <x:c r="N886" s="6" t="str">
        <x:v>{"from_space_id":"proc-factory-train-020-F1-S004","to_space_id":"proc-factory-train-020-F1-S007","optimal_length_m":21.68,"space_path":["proc-factory-train-020-F1-S004","proc-factory-train-020-F1-S001","proc-factory-train-020-F1-S007"],"element_path":["proc-factory-train-020-F1-O0035","proc-factory-train-020-F1-O0035","proc-factory-train-020-F1-O0038","proc-factory-train-020-F1-O0038"]}</x:v>
      </x:c>
      <x:c r="O886" s="6"/>
      <x:c r="P886" s="6" t="str">
        <x:v>README routing profile. Stairs and lifts allowed unless stated otherwise.</x:v>
      </x:c>
      <x:c r="Q886" s="15" t="n">
        <x:v>21.68</x:v>
      </x:c>
      <x:c r="R886" s="6" t="str">
        <x:v>m</x:v>
      </x:c>
      <x:c r="S886" s="16"/>
      <x:c r="T886" s="15"/>
      <x:c r="U886" s="6"/>
      <x:c r="V886" s="6"/>
      <x:c r="W886" s="6" t="str">
        <x:v>Existing find_route and show_route implement the kit routing model.</x:v>
      </x:c>
      <x:c r="X886" s="6" t="str">
        <x:v>data/train/proc-factory-train-020/questions_basic.jsonl</x:v>
      </x:c>
      <x:c r="Y886" s="14" t="n">
        <x:v>6</x:v>
      </x:c>
      <x:c r="Z886" s="6" t="str">
        <x:v>https://github.com/hagenhaeussler/Industrial-Agents-Hackathon-2026/blob/f41616590b69f3ea0c1cbfb41d6c35edd9ce53df/data/train/proc-factory-train-020/questions_basic.jsonl#L6</x:v>
      </x:c>
      <x:c r="AA886" s="6" t="str">
        <x:v>procedural</x:v>
      </x:c>
      <x:c r="AB886" s="6" t="str">
        <x:v>CC0-1.0</x:v>
      </x:c>
    </x:row>
    <x:row r="887" ht="124" customHeight="1">
      <x:c r="A887" s="14" t="n">
        <x:v>882</x:v>
      </x:c>
      <x:c r="B887" s="6" t="str">
        <x:v>route</x:v>
      </x:c>
      <x:c r="C887" s="6" t="str">
        <x:v>How do I get from Toilet 1.10 (Floor 1) to Locker room 0.14 (Ground floor)?</x:v>
      </x:c>
      <x:c r="D887" s="6" t="str">
        <x:v>79.68 m
From: Toilet 1.10
To: Locker room 0.14
Ordered path (6 spaces): Toilet 1.10 → Office corridor 1.01 → Staircase 1.02 → Staircase 0.11 → Office corridor 0.10 → Locker room 0.14</x:v>
      </x:c>
      <x:c r="E887" s="6" t="str">
        <x:v>Reference supplied</x:v>
      </x:c>
      <x:c r="F887" s="6" t="str">
        <x:v>train</x:v>
      </x:c>
      <x:c r="G887" s="6" t="str">
        <x:v>proc-factory-train-020</x:v>
      </x:c>
      <x:c r="H887" s="6" t="str">
        <x:v>proc-factory-train-020-Q07</x:v>
      </x:c>
      <x:c r="I887" s="6" t="str">
        <x:v>Route planning</x:v>
      </x:c>
      <x:c r="J887" s="6" t="str">
        <x:v>Warm-up</x:v>
      </x:c>
      <x:c r="K887" s="6" t="str">
        <x:v>Ordered space path and directions, plus total route-model distance in metres.</x:v>
      </x:c>
      <x:c r="L887" s="6" t="str">
        <x:v>T02, T05, T13</x:v>
      </x:c>
      <x:c r="M887" s="6" t="str">
        <x:v>Find a valid route between two rooms, including across floors.</x:v>
      </x:c>
      <x:c r="N887" s="6" t="str">
        <x:v>{"from_space_id":"proc-factory-train-020-F1-S010","to_space_id":"proc-factory-train-020-F0-S014","optimal_length_m":79.68,"space_path":["proc-factory-train-020-F1-S010","proc-factory-train-020-F1-S001","proc-factory-train-020-F1-S002","proc-factory-train-020-F0-S011","proc-factory-train-020-F0-S010","proc-factory-train-020-F0-S014"],"element_path":["proc-factory-train-020-F1-O0041","proc-factory-train-020-F1-O0041","proc-factory-train-020-F1-O0033","proc-factory-train-020-F1-O0033","proc-factory-train-020-V01","proc-factory-train-020-F0-O0015","proc-factory-train-020-F0-O0015","proc-factory-train-020-F0-O0019","proc-factory-train-020-F0-O0019"]}</x:v>
      </x:c>
      <x:c r="O887" s="6"/>
      <x:c r="P887" s="6" t="str">
        <x:v>README routing profile. Stairs and lifts allowed unless stated otherwise.</x:v>
      </x:c>
      <x:c r="Q887" s="15" t="n">
        <x:v>79.68</x:v>
      </x:c>
      <x:c r="R887" s="6" t="str">
        <x:v>m</x:v>
      </x:c>
      <x:c r="S887" s="16"/>
      <x:c r="T887" s="15"/>
      <x:c r="U887" s="6"/>
      <x:c r="V887" s="6"/>
      <x:c r="W887" s="6" t="str">
        <x:v>Existing find_route and show_route implement the kit routing model.</x:v>
      </x:c>
      <x:c r="X887" s="6" t="str">
        <x:v>data/train/proc-factory-train-020/questions_basic.jsonl</x:v>
      </x:c>
      <x:c r="Y887" s="14" t="n">
        <x:v>7</x:v>
      </x:c>
      <x:c r="Z887" s="6" t="str">
        <x:v>https://github.com/hagenhaeussler/Industrial-Agents-Hackathon-2026/blob/f41616590b69f3ea0c1cbfb41d6c35edd9ce53df/data/train/proc-factory-train-020/questions_basic.jsonl#L7</x:v>
      </x:c>
      <x:c r="AA887" s="6" t="str">
        <x:v>procedural</x:v>
      </x:c>
      <x:c r="AB887" s="6" t="str">
        <x:v>CC0-1.0</x:v>
      </x:c>
    </x:row>
    <x:row r="888" ht="82" customHeight="1">
      <x:c r="A888" s="14" t="n">
        <x:v>883</x:v>
      </x:c>
      <x:c r="B888" s="6" t="str">
        <x:v>route</x:v>
      </x:c>
      <x:c r="C888" s="6" t="str">
        <x:v>How do I get from Bedroom 0.03 (Ground floor) to Bathroom 0.04 (Ground floor)?</x:v>
      </x:c>
      <x:c r="D888" s="6" t="str">
        <x:v>14.9 m
From: Bedroom 0.03
To: Bathroom 0.04
Ordered path (3 spaces): Bedroom 0.03 → Living room 0.01 → Bathroom 0.04</x:v>
      </x:c>
      <x:c r="E888" s="6" t="str">
        <x:v>Reference supplied</x:v>
      </x:c>
      <x:c r="F888" s="6" t="str">
        <x:v>train</x:v>
      </x:c>
      <x:c r="G888" s="6" t="str">
        <x:v>resplan-10002</x:v>
      </x:c>
      <x:c r="H888" s="6" t="str">
        <x:v>resplan-10002-Q05</x:v>
      </x:c>
      <x:c r="I888" s="6" t="str">
        <x:v>Route planning</x:v>
      </x:c>
      <x:c r="J888" s="6" t="str">
        <x:v>Warm-up</x:v>
      </x:c>
      <x:c r="K888" s="6" t="str">
        <x:v>Ordered space path and directions, plus total route-model distance in metres.</x:v>
      </x:c>
      <x:c r="L888" s="6" t="str">
        <x:v>T02, T05, T13</x:v>
      </x:c>
      <x:c r="M888" s="6" t="str">
        <x:v>Find a valid route between two rooms, including across floors.</x:v>
      </x:c>
      <x:c r="N888" s="6" t="str">
        <x:v>{"from_space_id":"resplan-10002-F0-S003","to_space_id":"resplan-10002-F0-S004","optimal_length_m":14.9,"space_path":["resplan-10002-F0-S003","resplan-10002-F0-S001","resplan-10002-F0-S004"],"element_path":["resplan-10002-F0-O0002","resplan-10002-F0-O0002","resplan-10002-F0-O0005","resplan-10002-F0-O0005"]}</x:v>
      </x:c>
      <x:c r="O888" s="6"/>
      <x:c r="P888" s="6" t="str">
        <x:v>README routing profile. Stairs and lifts allowed unless stated otherwise.</x:v>
      </x:c>
      <x:c r="Q888" s="15" t="n">
        <x:v>14.9</x:v>
      </x:c>
      <x:c r="R888" s="6" t="str">
        <x:v>m</x:v>
      </x:c>
      <x:c r="S888" s="16"/>
      <x:c r="T888" s="15"/>
      <x:c r="U888" s="6"/>
      <x:c r="V888" s="6"/>
      <x:c r="W888" s="6" t="str">
        <x:v>Existing find_route and show_route implement the kit routing model.</x:v>
      </x:c>
      <x:c r="X888" s="6" t="str">
        <x:v>data/train/resplan-10002/questions_basic.jsonl</x:v>
      </x:c>
      <x:c r="Y888" s="14" t="n">
        <x:v>5</x:v>
      </x:c>
      <x:c r="Z888" s="6" t="str">
        <x:v>https://github.com/hagenhaeussler/Industrial-Agents-Hackathon-2026/blob/f41616590b69f3ea0c1cbfb41d6c35edd9ce53df/data/train/resplan-10002/questions_basic.jsonl#L5</x:v>
      </x:c>
      <x:c r="AA888" s="6" t="str">
        <x:v>resplan</x:v>
      </x:c>
      <x:c r="AB888" s="6" t="str">
        <x:v>CC-BY-4.0</x:v>
      </x:c>
    </x:row>
    <x:row r="889" ht="82" customHeight="1">
      <x:c r="A889" s="14" t="n">
        <x:v>884</x:v>
      </x:c>
      <x:c r="B889" s="6" t="str">
        <x:v>route</x:v>
      </x:c>
      <x:c r="C889" s="6" t="str">
        <x:v>How do I get from Bathroom 0.05 (Ground floor) to Living room 0.01 (Ground floor)?</x:v>
      </x:c>
      <x:c r="D889" s="6" t="str">
        <x:v>12.76 m
From: Bathroom 0.05
To: Living room 0.01
Ordered path (3 spaces): Bathroom 0.05 → Bedroom 0.03 → Living room 0.01</x:v>
      </x:c>
      <x:c r="E889" s="6" t="str">
        <x:v>Reference supplied</x:v>
      </x:c>
      <x:c r="F889" s="6" t="str">
        <x:v>train</x:v>
      </x:c>
      <x:c r="G889" s="6" t="str">
        <x:v>resplan-10002</x:v>
      </x:c>
      <x:c r="H889" s="6" t="str">
        <x:v>resplan-10002-Q06</x:v>
      </x:c>
      <x:c r="I889" s="6" t="str">
        <x:v>Route planning</x:v>
      </x:c>
      <x:c r="J889" s="6" t="str">
        <x:v>Warm-up</x:v>
      </x:c>
      <x:c r="K889" s="6" t="str">
        <x:v>Ordered space path and directions, plus total route-model distance in metres.</x:v>
      </x:c>
      <x:c r="L889" s="6" t="str">
        <x:v>T02, T05, T13</x:v>
      </x:c>
      <x:c r="M889" s="6" t="str">
        <x:v>Find a valid route between two rooms, including across floors.</x:v>
      </x:c>
      <x:c r="N889" s="6" t="str">
        <x:v>{"from_space_id":"resplan-10002-F0-S005","to_space_id":"resplan-10002-F0-S001","optimal_length_m":12.76,"space_path":["resplan-10002-F0-S005","resplan-10002-F0-S003","resplan-10002-F0-S001"],"element_path":["resplan-10002-F0-O0001","resplan-10002-F0-O0001","resplan-10002-F0-O0002","resplan-10002-F0-O0002"]}</x:v>
      </x:c>
      <x:c r="O889" s="6"/>
      <x:c r="P889" s="6" t="str">
        <x:v>README routing profile. Stairs and lifts allowed unless stated otherwise.</x:v>
      </x:c>
      <x:c r="Q889" s="15" t="n">
        <x:v>12.76</x:v>
      </x:c>
      <x:c r="R889" s="6" t="str">
        <x:v>m</x:v>
      </x:c>
      <x:c r="S889" s="16"/>
      <x:c r="T889" s="15"/>
      <x:c r="U889" s="6"/>
      <x:c r="V889" s="6"/>
      <x:c r="W889" s="6" t="str">
        <x:v>Existing find_route and show_route implement the kit routing model.</x:v>
      </x:c>
      <x:c r="X889" s="6" t="str">
        <x:v>data/train/resplan-10002/questions_basic.jsonl</x:v>
      </x:c>
      <x:c r="Y889" s="14" t="n">
        <x:v>6</x:v>
      </x:c>
      <x:c r="Z889" s="6" t="str">
        <x:v>https://github.com/hagenhaeussler/Industrial-Agents-Hackathon-2026/blob/f41616590b69f3ea0c1cbfb41d6c35edd9ce53df/data/train/resplan-10002/questions_basic.jsonl#L6</x:v>
      </x:c>
      <x:c r="AA889" s="6" t="str">
        <x:v>resplan</x:v>
      </x:c>
      <x:c r="AB889" s="6" t="str">
        <x:v>CC-BY-4.0</x:v>
      </x:c>
    </x:row>
    <x:row r="890" ht="72" customHeight="1">
      <x:c r="A890" s="14" t="n">
        <x:v>885</x:v>
      </x:c>
      <x:c r="B890" s="6" t="str">
        <x:v>route</x:v>
      </x:c>
      <x:c r="C890" s="6" t="str">
        <x:v>How do I get from Living room 0.01 (Ground floor) to Bedroom 0.03 (Ground floor)?</x:v>
      </x:c>
      <x:c r="D890" s="6" t="str">
        <x:v>7.2 m
From: Living room 0.01
To: Bedroom 0.03
Ordered path (2 spaces): Living room 0.01 → Bedroom 0.03</x:v>
      </x:c>
      <x:c r="E890" s="6" t="str">
        <x:v>Reference supplied</x:v>
      </x:c>
      <x:c r="F890" s="6" t="str">
        <x:v>train</x:v>
      </x:c>
      <x:c r="G890" s="6" t="str">
        <x:v>resplan-10002</x:v>
      </x:c>
      <x:c r="H890" s="6" t="str">
        <x:v>resplan-10002-Q07</x:v>
      </x:c>
      <x:c r="I890" s="6" t="str">
        <x:v>Route planning</x:v>
      </x:c>
      <x:c r="J890" s="6" t="str">
        <x:v>Warm-up</x:v>
      </x:c>
      <x:c r="K890" s="6" t="str">
        <x:v>Ordered space path and directions, plus total route-model distance in metres.</x:v>
      </x:c>
      <x:c r="L890" s="6" t="str">
        <x:v>T02, T05, T13</x:v>
      </x:c>
      <x:c r="M890" s="6" t="str">
        <x:v>Find a valid route between two rooms, including across floors.</x:v>
      </x:c>
      <x:c r="N890" s="6" t="str">
        <x:v>{"from_space_id":"resplan-10002-F0-S001","to_space_id":"resplan-10002-F0-S003","optimal_length_m":7.2,"space_path":["resplan-10002-F0-S001","resplan-10002-F0-S003"],"element_path":["resplan-10002-F0-O0002","resplan-10002-F0-O0002"]}</x:v>
      </x:c>
      <x:c r="O890" s="6"/>
      <x:c r="P890" s="6" t="str">
        <x:v>README routing profile. Stairs and lifts allowed unless stated otherwise.</x:v>
      </x:c>
      <x:c r="Q890" s="15" t="n">
        <x:v>7.2</x:v>
      </x:c>
      <x:c r="R890" s="6" t="str">
        <x:v>m</x:v>
      </x:c>
      <x:c r="S890" s="16"/>
      <x:c r="T890" s="15"/>
      <x:c r="U890" s="6"/>
      <x:c r="V890" s="6"/>
      <x:c r="W890" s="6" t="str">
        <x:v>Existing find_route and show_route implement the kit routing model.</x:v>
      </x:c>
      <x:c r="X890" s="6" t="str">
        <x:v>data/train/resplan-10002/questions_basic.jsonl</x:v>
      </x:c>
      <x:c r="Y890" s="14" t="n">
        <x:v>7</x:v>
      </x:c>
      <x:c r="Z890" s="6" t="str">
        <x:v>https://github.com/hagenhaeussler/Industrial-Agents-Hackathon-2026/blob/f41616590b69f3ea0c1cbfb41d6c35edd9ce53df/data/train/resplan-10002/questions_basic.jsonl#L7</x:v>
      </x:c>
      <x:c r="AA890" s="6" t="str">
        <x:v>resplan</x:v>
      </x:c>
      <x:c r="AB890" s="6" t="str">
        <x:v>CC-BY-4.0</x:v>
      </x:c>
    </x:row>
    <x:row r="891" ht="72" customHeight="1">
      <x:c r="A891" s="14" t="n">
        <x:v>886</x:v>
      </x:c>
      <x:c r="B891" s="6" t="str">
        <x:v>route</x:v>
      </x:c>
      <x:c r="C891" s="6" t="str">
        <x:v>How do I get from Kitchen 0.05 (Ground floor) to Living room 0.01 (Ground floor)?</x:v>
      </x:c>
      <x:c r="D891" s="6" t="str">
        <x:v>6.22 m
From: Kitchen 0.05
To: Living room 0.01
Ordered path (2 spaces): Kitchen 0.05 → Living room 0.01</x:v>
      </x:c>
      <x:c r="E891" s="6" t="str">
        <x:v>Reference supplied</x:v>
      </x:c>
      <x:c r="F891" s="6" t="str">
        <x:v>train</x:v>
      </x:c>
      <x:c r="G891" s="6" t="str">
        <x:v>resplan-10192</x:v>
      </x:c>
      <x:c r="H891" s="6" t="str">
        <x:v>resplan-10192-Q05</x:v>
      </x:c>
      <x:c r="I891" s="6" t="str">
        <x:v>Route planning</x:v>
      </x:c>
      <x:c r="J891" s="6" t="str">
        <x:v>Warm-up</x:v>
      </x:c>
      <x:c r="K891" s="6" t="str">
        <x:v>Ordered space path and directions, plus total route-model distance in metres.</x:v>
      </x:c>
      <x:c r="L891" s="6" t="str">
        <x:v>T02, T05, T13</x:v>
      </x:c>
      <x:c r="M891" s="6" t="str">
        <x:v>Find a valid route between two rooms, including across floors.</x:v>
      </x:c>
      <x:c r="N891" s="6" t="str">
        <x:v>{"from_space_id":"resplan-10192-F0-S005","to_space_id":"resplan-10192-F0-S001","optimal_length_m":6.22,"space_path":["resplan-10192-F0-S005","resplan-10192-F0-S001"],"element_path":["resplan-10192-F0-O0004","resplan-10192-F0-O0004"]}</x:v>
      </x:c>
      <x:c r="O891" s="6"/>
      <x:c r="P891" s="6" t="str">
        <x:v>README routing profile. Stairs and lifts allowed unless stated otherwise.</x:v>
      </x:c>
      <x:c r="Q891" s="15" t="n">
        <x:v>6.22</x:v>
      </x:c>
      <x:c r="R891" s="6" t="str">
        <x:v>m</x:v>
      </x:c>
      <x:c r="S891" s="16"/>
      <x:c r="T891" s="15"/>
      <x:c r="U891" s="6"/>
      <x:c r="V891" s="6"/>
      <x:c r="W891" s="6" t="str">
        <x:v>Existing find_route and show_route implement the kit routing model.</x:v>
      </x:c>
      <x:c r="X891" s="6" t="str">
        <x:v>data/train/resplan-10192/questions_basic.jsonl</x:v>
      </x:c>
      <x:c r="Y891" s="14" t="n">
        <x:v>5</x:v>
      </x:c>
      <x:c r="Z891" s="6" t="str">
        <x:v>https://github.com/hagenhaeussler/Industrial-Agents-Hackathon-2026/blob/f41616590b69f3ea0c1cbfb41d6c35edd9ce53df/data/train/resplan-10192/questions_basic.jsonl#L5</x:v>
      </x:c>
      <x:c r="AA891" s="6" t="str">
        <x:v>resplan</x:v>
      </x:c>
      <x:c r="AB891" s="6" t="str">
        <x:v>CC-BY-4.0</x:v>
      </x:c>
    </x:row>
    <x:row r="892" ht="72" customHeight="1">
      <x:c r="A892" s="14" t="n">
        <x:v>887</x:v>
      </x:c>
      <x:c r="B892" s="6" t="str">
        <x:v>route</x:v>
      </x:c>
      <x:c r="C892" s="6" t="str">
        <x:v>How do I get from Bedroom 0.02 (Ground floor) to Living room 0.01 (Ground floor)?</x:v>
      </x:c>
      <x:c r="D892" s="6" t="str">
        <x:v>5.21 m
From: Bedroom 0.02
To: Living room 0.01
Ordered path (2 spaces): Bedroom 0.02 → Living room 0.01</x:v>
      </x:c>
      <x:c r="E892" s="6" t="str">
        <x:v>Reference supplied</x:v>
      </x:c>
      <x:c r="F892" s="6" t="str">
        <x:v>train</x:v>
      </x:c>
      <x:c r="G892" s="6" t="str">
        <x:v>resplan-10192</x:v>
      </x:c>
      <x:c r="H892" s="6" t="str">
        <x:v>resplan-10192-Q06</x:v>
      </x:c>
      <x:c r="I892" s="6" t="str">
        <x:v>Route planning</x:v>
      </x:c>
      <x:c r="J892" s="6" t="str">
        <x:v>Warm-up</x:v>
      </x:c>
      <x:c r="K892" s="6" t="str">
        <x:v>Ordered space path and directions, plus total route-model distance in metres.</x:v>
      </x:c>
      <x:c r="L892" s="6" t="str">
        <x:v>T02, T05, T13</x:v>
      </x:c>
      <x:c r="M892" s="6" t="str">
        <x:v>Find a valid route between two rooms, including across floors.</x:v>
      </x:c>
      <x:c r="N892" s="6" t="str">
        <x:v>{"from_space_id":"resplan-10192-F0-S002","to_space_id":"resplan-10192-F0-S001","optimal_length_m":5.21,"space_path":["resplan-10192-F0-S002","resplan-10192-F0-S001"],"element_path":["resplan-10192-F0-O0001","resplan-10192-F0-O0001"]}</x:v>
      </x:c>
      <x:c r="O892" s="6"/>
      <x:c r="P892" s="6" t="str">
        <x:v>README routing profile. Stairs and lifts allowed unless stated otherwise.</x:v>
      </x:c>
      <x:c r="Q892" s="15" t="n">
        <x:v>5.21</x:v>
      </x:c>
      <x:c r="R892" s="6" t="str">
        <x:v>m</x:v>
      </x:c>
      <x:c r="S892" s="16"/>
      <x:c r="T892" s="15"/>
      <x:c r="U892" s="6"/>
      <x:c r="V892" s="6"/>
      <x:c r="W892" s="6" t="str">
        <x:v>Existing find_route and show_route implement the kit routing model.</x:v>
      </x:c>
      <x:c r="X892" s="6" t="str">
        <x:v>data/train/resplan-10192/questions_basic.jsonl</x:v>
      </x:c>
      <x:c r="Y892" s="14" t="n">
        <x:v>6</x:v>
      </x:c>
      <x:c r="Z892" s="6" t="str">
        <x:v>https://github.com/hagenhaeussler/Industrial-Agents-Hackathon-2026/blob/f41616590b69f3ea0c1cbfb41d6c35edd9ce53df/data/train/resplan-10192/questions_basic.jsonl#L6</x:v>
      </x:c>
      <x:c r="AA892" s="6" t="str">
        <x:v>resplan</x:v>
      </x:c>
      <x:c r="AB892" s="6" t="str">
        <x:v>CC-BY-4.0</x:v>
      </x:c>
    </x:row>
    <x:row r="893" ht="72" customHeight="1">
      <x:c r="A893" s="14" t="n">
        <x:v>888</x:v>
      </x:c>
      <x:c r="B893" s="6" t="str">
        <x:v>route</x:v>
      </x:c>
      <x:c r="C893" s="6" t="str">
        <x:v>How do I get from Living room 0.01 (Ground floor) to Bathroom 0.04 (Ground floor)?</x:v>
      </x:c>
      <x:c r="D893" s="6" t="str">
        <x:v>3.82 m
From: Living room 0.01
To: Bathroom 0.04
Ordered path (2 spaces): Living room 0.01 → Bathroom 0.04</x:v>
      </x:c>
      <x:c r="E893" s="6" t="str">
        <x:v>Reference supplied</x:v>
      </x:c>
      <x:c r="F893" s="6" t="str">
        <x:v>train</x:v>
      </x:c>
      <x:c r="G893" s="6" t="str">
        <x:v>resplan-10192</x:v>
      </x:c>
      <x:c r="H893" s="6" t="str">
        <x:v>resplan-10192-Q07</x:v>
      </x:c>
      <x:c r="I893" s="6" t="str">
        <x:v>Route planning</x:v>
      </x:c>
      <x:c r="J893" s="6" t="str">
        <x:v>Warm-up</x:v>
      </x:c>
      <x:c r="K893" s="6" t="str">
        <x:v>Ordered space path and directions, plus total route-model distance in metres.</x:v>
      </x:c>
      <x:c r="L893" s="6" t="str">
        <x:v>T02, T05, T13</x:v>
      </x:c>
      <x:c r="M893" s="6" t="str">
        <x:v>Find a valid route between two rooms, including across floors.</x:v>
      </x:c>
      <x:c r="N893" s="6" t="str">
        <x:v>{"from_space_id":"resplan-10192-F0-S001","to_space_id":"resplan-10192-F0-S004","optimal_length_m":3.82,"space_path":["resplan-10192-F0-S001","resplan-10192-F0-S004"],"element_path":["resplan-10192-F0-O0003","resplan-10192-F0-O0003"]}</x:v>
      </x:c>
      <x:c r="O893" s="6"/>
      <x:c r="P893" s="6" t="str">
        <x:v>README routing profile. Stairs and lifts allowed unless stated otherwise.</x:v>
      </x:c>
      <x:c r="Q893" s="15" t="n">
        <x:v>3.82</x:v>
      </x:c>
      <x:c r="R893" s="6" t="str">
        <x:v>m</x:v>
      </x:c>
      <x:c r="S893" s="16"/>
      <x:c r="T893" s="15"/>
      <x:c r="U893" s="6"/>
      <x:c r="V893" s="6"/>
      <x:c r="W893" s="6" t="str">
        <x:v>Existing find_route and show_route implement the kit routing model.</x:v>
      </x:c>
      <x:c r="X893" s="6" t="str">
        <x:v>data/train/resplan-10192/questions_basic.jsonl</x:v>
      </x:c>
      <x:c r="Y893" s="14" t="n">
        <x:v>7</x:v>
      </x:c>
      <x:c r="Z893" s="6" t="str">
        <x:v>https://github.com/hagenhaeussler/Industrial-Agents-Hackathon-2026/blob/f41616590b69f3ea0c1cbfb41d6c35edd9ce53df/data/train/resplan-10192/questions_basic.jsonl#L7</x:v>
      </x:c>
      <x:c r="AA893" s="6" t="str">
        <x:v>resplan</x:v>
      </x:c>
      <x:c r="AB893" s="6" t="str">
        <x:v>CC-BY-4.0</x:v>
      </x:c>
    </x:row>
    <x:row r="894" ht="72" customHeight="1">
      <x:c r="A894" s="14" t="n">
        <x:v>889</x:v>
      </x:c>
      <x:c r="B894" s="6" t="str">
        <x:v>route</x:v>
      </x:c>
      <x:c r="C894" s="6" t="str">
        <x:v>How do I get from Bathroom 0.04 (Ground floor) to Living room 0.01 (Ground floor)?</x:v>
      </x:c>
      <x:c r="D894" s="6" t="str">
        <x:v>3.59 m
From: Bathroom 0.04
To: Living room 0.01
Ordered path (2 spaces): Bathroom 0.04 → Living room 0.01</x:v>
      </x:c>
      <x:c r="E894" s="6" t="str">
        <x:v>Reference supplied</x:v>
      </x:c>
      <x:c r="F894" s="6" t="str">
        <x:v>train</x:v>
      </x:c>
      <x:c r="G894" s="6" t="str">
        <x:v>resplan-10428</x:v>
      </x:c>
      <x:c r="H894" s="6" t="str">
        <x:v>resplan-10428-Q05</x:v>
      </x:c>
      <x:c r="I894" s="6" t="str">
        <x:v>Route planning</x:v>
      </x:c>
      <x:c r="J894" s="6" t="str">
        <x:v>Warm-up</x:v>
      </x:c>
      <x:c r="K894" s="6" t="str">
        <x:v>Ordered space path and directions, plus total route-model distance in metres.</x:v>
      </x:c>
      <x:c r="L894" s="6" t="str">
        <x:v>T02, T05, T13</x:v>
      </x:c>
      <x:c r="M894" s="6" t="str">
        <x:v>Find a valid route between two rooms, including across floors.</x:v>
      </x:c>
      <x:c r="N894" s="6" t="str">
        <x:v>{"from_space_id":"resplan-10428-F0-S004","to_space_id":"resplan-10428-F0-S001","optimal_length_m":3.59,"space_path":["resplan-10428-F0-S004","resplan-10428-F0-S001"],"element_path":["resplan-10428-F0-O0004","resplan-10428-F0-O0004"]}</x:v>
      </x:c>
      <x:c r="O894" s="6"/>
      <x:c r="P894" s="6" t="str">
        <x:v>README routing profile. Stairs and lifts allowed unless stated otherwise.</x:v>
      </x:c>
      <x:c r="Q894" s="15" t="n">
        <x:v>3.59</x:v>
      </x:c>
      <x:c r="R894" s="6" t="str">
        <x:v>m</x:v>
      </x:c>
      <x:c r="S894" s="16"/>
      <x:c r="T894" s="15"/>
      <x:c r="U894" s="6"/>
      <x:c r="V894" s="6"/>
      <x:c r="W894" s="6" t="str">
        <x:v>Existing find_route and show_route implement the kit routing model.</x:v>
      </x:c>
      <x:c r="X894" s="6" t="str">
        <x:v>data/train/resplan-10428/questions_basic.jsonl</x:v>
      </x:c>
      <x:c r="Y894" s="14" t="n">
        <x:v>5</x:v>
      </x:c>
      <x:c r="Z894" s="6" t="str">
        <x:v>https://github.com/hagenhaeussler/Industrial-Agents-Hackathon-2026/blob/f41616590b69f3ea0c1cbfb41d6c35edd9ce53df/data/train/resplan-10428/questions_basic.jsonl#L5</x:v>
      </x:c>
      <x:c r="AA894" s="6" t="str">
        <x:v>resplan</x:v>
      </x:c>
      <x:c r="AB894" s="6" t="str">
        <x:v>CC-BY-4.0</x:v>
      </x:c>
    </x:row>
    <x:row r="895" ht="82" customHeight="1">
      <x:c r="A895" s="14" t="n">
        <x:v>890</x:v>
      </x:c>
      <x:c r="B895" s="6" t="str">
        <x:v>route</x:v>
      </x:c>
      <x:c r="C895" s="6" t="str">
        <x:v>How do I get from Bathroom 0.04 (Ground floor) to Bedroom 0.03 (Ground floor)?</x:v>
      </x:c>
      <x:c r="D895" s="6" t="str">
        <x:v>11.57 m
From: Bathroom 0.04
To: Bedroom 0.03
Ordered path (3 spaces): Bathroom 0.04 → Living room 0.01 → Bedroom 0.03</x:v>
      </x:c>
      <x:c r="E895" s="6" t="str">
        <x:v>Reference supplied</x:v>
      </x:c>
      <x:c r="F895" s="6" t="str">
        <x:v>train</x:v>
      </x:c>
      <x:c r="G895" s="6" t="str">
        <x:v>resplan-10428</x:v>
      </x:c>
      <x:c r="H895" s="6" t="str">
        <x:v>resplan-10428-Q06</x:v>
      </x:c>
      <x:c r="I895" s="6" t="str">
        <x:v>Route planning</x:v>
      </x:c>
      <x:c r="J895" s="6" t="str">
        <x:v>Warm-up</x:v>
      </x:c>
      <x:c r="K895" s="6" t="str">
        <x:v>Ordered space path and directions, plus total route-model distance in metres.</x:v>
      </x:c>
      <x:c r="L895" s="6" t="str">
        <x:v>T02, T05, T13</x:v>
      </x:c>
      <x:c r="M895" s="6" t="str">
        <x:v>Find a valid route between two rooms, including across floors.</x:v>
      </x:c>
      <x:c r="N895" s="6" t="str">
        <x:v>{"from_space_id":"resplan-10428-F0-S004","to_space_id":"resplan-10428-F0-S003","optimal_length_m":11.57,"space_path":["resplan-10428-F0-S004","resplan-10428-F0-S001","resplan-10428-F0-S003"],"element_path":["resplan-10428-F0-O0004","resplan-10428-F0-O0004","resplan-10428-F0-O0002","resplan-10428-F0-O0002"]}</x:v>
      </x:c>
      <x:c r="O895" s="6"/>
      <x:c r="P895" s="6" t="str">
        <x:v>README routing profile. Stairs and lifts allowed unless stated otherwise.</x:v>
      </x:c>
      <x:c r="Q895" s="15" t="n">
        <x:v>11.57</x:v>
      </x:c>
      <x:c r="R895" s="6" t="str">
        <x:v>m</x:v>
      </x:c>
      <x:c r="S895" s="16"/>
      <x:c r="T895" s="15"/>
      <x:c r="U895" s="6"/>
      <x:c r="V895" s="6"/>
      <x:c r="W895" s="6" t="str">
        <x:v>Existing find_route and show_route implement the kit routing model.</x:v>
      </x:c>
      <x:c r="X895" s="6" t="str">
        <x:v>data/train/resplan-10428/questions_basic.jsonl</x:v>
      </x:c>
      <x:c r="Y895" s="14" t="n">
        <x:v>6</x:v>
      </x:c>
      <x:c r="Z895" s="6" t="str">
        <x:v>https://github.com/hagenhaeussler/Industrial-Agents-Hackathon-2026/blob/f41616590b69f3ea0c1cbfb41d6c35edd9ce53df/data/train/resplan-10428/questions_basic.jsonl#L6</x:v>
      </x:c>
      <x:c r="AA895" s="6" t="str">
        <x:v>resplan</x:v>
      </x:c>
      <x:c r="AB895" s="6" t="str">
        <x:v>CC-BY-4.0</x:v>
      </x:c>
    </x:row>
    <x:row r="896" ht="72" customHeight="1">
      <x:c r="A896" s="14" t="n">
        <x:v>891</x:v>
      </x:c>
      <x:c r="B896" s="6" t="str">
        <x:v>route</x:v>
      </x:c>
      <x:c r="C896" s="6" t="str">
        <x:v>How do I get from Living room 0.01 (Ground floor) to Bedroom 0.02 (Ground floor)?</x:v>
      </x:c>
      <x:c r="D896" s="6" t="str">
        <x:v>7.96 m
From: Living room 0.01
To: Bedroom 0.02
Ordered path (2 spaces): Living room 0.01 → Bedroom 0.02</x:v>
      </x:c>
      <x:c r="E896" s="6" t="str">
        <x:v>Reference supplied</x:v>
      </x:c>
      <x:c r="F896" s="6" t="str">
        <x:v>train</x:v>
      </x:c>
      <x:c r="G896" s="6" t="str">
        <x:v>resplan-10428</x:v>
      </x:c>
      <x:c r="H896" s="6" t="str">
        <x:v>resplan-10428-Q07</x:v>
      </x:c>
      <x:c r="I896" s="6" t="str">
        <x:v>Route planning</x:v>
      </x:c>
      <x:c r="J896" s="6" t="str">
        <x:v>Warm-up</x:v>
      </x:c>
      <x:c r="K896" s="6" t="str">
        <x:v>Ordered space path and directions, plus total route-model distance in metres.</x:v>
      </x:c>
      <x:c r="L896" s="6" t="str">
        <x:v>T02, T05, T13</x:v>
      </x:c>
      <x:c r="M896" s="6" t="str">
        <x:v>Find a valid route between two rooms, including across floors.</x:v>
      </x:c>
      <x:c r="N896" s="6" t="str">
        <x:v>{"from_space_id":"resplan-10428-F0-S001","to_space_id":"resplan-10428-F0-S002","optimal_length_m":7.96,"space_path":["resplan-10428-F0-S001","resplan-10428-F0-S002"],"element_path":["resplan-10428-F0-O0001","resplan-10428-F0-O0001"]}</x:v>
      </x:c>
      <x:c r="O896" s="6"/>
      <x:c r="P896" s="6" t="str">
        <x:v>README routing profile. Stairs and lifts allowed unless stated otherwise.</x:v>
      </x:c>
      <x:c r="Q896" s="15" t="n">
        <x:v>7.96</x:v>
      </x:c>
      <x:c r="R896" s="6" t="str">
        <x:v>m</x:v>
      </x:c>
      <x:c r="S896" s="16"/>
      <x:c r="T896" s="15"/>
      <x:c r="U896" s="6"/>
      <x:c r="V896" s="6"/>
      <x:c r="W896" s="6" t="str">
        <x:v>Existing find_route and show_route implement the kit routing model.</x:v>
      </x:c>
      <x:c r="X896" s="6" t="str">
        <x:v>data/train/resplan-10428/questions_basic.jsonl</x:v>
      </x:c>
      <x:c r="Y896" s="14" t="n">
        <x:v>7</x:v>
      </x:c>
      <x:c r="Z896" s="6" t="str">
        <x:v>https://github.com/hagenhaeussler/Industrial-Agents-Hackathon-2026/blob/f41616590b69f3ea0c1cbfb41d6c35edd9ce53df/data/train/resplan-10428/questions_basic.jsonl#L7</x:v>
      </x:c>
      <x:c r="AA896" s="6" t="str">
        <x:v>resplan</x:v>
      </x:c>
      <x:c r="AB896" s="6" t="str">
        <x:v>CC-BY-4.0</x:v>
      </x:c>
    </x:row>
    <x:row r="897" ht="82" customHeight="1">
      <x:c r="A897" s="14" t="n">
        <x:v>892</x:v>
      </x:c>
      <x:c r="B897" s="6" t="str">
        <x:v>route</x:v>
      </x:c>
      <x:c r="C897" s="6" t="str">
        <x:v>How do I get from Bathroom 0.05 (Ground floor) to Bedroom 0.04 (Ground floor)?</x:v>
      </x:c>
      <x:c r="D897" s="6" t="str">
        <x:v>13.02 m
From: Bathroom 0.05
To: Bedroom 0.04
Ordered path (3 spaces): Bathroom 0.05 → Living room 0.01 → Bedroom 0.04</x:v>
      </x:c>
      <x:c r="E897" s="6" t="str">
        <x:v>Reference supplied</x:v>
      </x:c>
      <x:c r="F897" s="6" t="str">
        <x:v>train</x:v>
      </x:c>
      <x:c r="G897" s="6" t="str">
        <x:v>resplan-10504</x:v>
      </x:c>
      <x:c r="H897" s="6" t="str">
        <x:v>resplan-10504-Q05</x:v>
      </x:c>
      <x:c r="I897" s="6" t="str">
        <x:v>Route planning</x:v>
      </x:c>
      <x:c r="J897" s="6" t="str">
        <x:v>Warm-up</x:v>
      </x:c>
      <x:c r="K897" s="6" t="str">
        <x:v>Ordered space path and directions, plus total route-model distance in metres.</x:v>
      </x:c>
      <x:c r="L897" s="6" t="str">
        <x:v>T02, T05, T13</x:v>
      </x:c>
      <x:c r="M897" s="6" t="str">
        <x:v>Find a valid route between two rooms, including across floors.</x:v>
      </x:c>
      <x:c r="N897" s="6" t="str">
        <x:v>{"from_space_id":"resplan-10504-F0-S005","to_space_id":"resplan-10504-F0-S004","optimal_length_m":13.02,"space_path":["resplan-10504-F0-S005","resplan-10504-F0-S001","resplan-10504-F0-S004"],"element_path":["resplan-10504-F0-O0003","resplan-10504-F0-O0003","resplan-10504-F0-O0009","resplan-10504-F0-O0009"]}</x:v>
      </x:c>
      <x:c r="O897" s="6"/>
      <x:c r="P897" s="6" t="str">
        <x:v>README routing profile. Stairs and lifts allowed unless stated otherwise.</x:v>
      </x:c>
      <x:c r="Q897" s="15" t="n">
        <x:v>13.02</x:v>
      </x:c>
      <x:c r="R897" s="6" t="str">
        <x:v>m</x:v>
      </x:c>
      <x:c r="S897" s="16"/>
      <x:c r="T897" s="15"/>
      <x:c r="U897" s="6"/>
      <x:c r="V897" s="6"/>
      <x:c r="W897" s="6" t="str">
        <x:v>Existing find_route and show_route implement the kit routing model.</x:v>
      </x:c>
      <x:c r="X897" s="6" t="str">
        <x:v>data/train/resplan-10504/questions_basic.jsonl</x:v>
      </x:c>
      <x:c r="Y897" s="14" t="n">
        <x:v>5</x:v>
      </x:c>
      <x:c r="Z897" s="6" t="str">
        <x:v>https://github.com/hagenhaeussler/Industrial-Agents-Hackathon-2026/blob/f41616590b69f3ea0c1cbfb41d6c35edd9ce53df/data/train/resplan-10504/questions_basic.jsonl#L5</x:v>
      </x:c>
      <x:c r="AA897" s="6" t="str">
        <x:v>resplan</x:v>
      </x:c>
      <x:c r="AB897" s="6" t="str">
        <x:v>CC-BY-4.0</x:v>
      </x:c>
    </x:row>
    <x:row r="898" ht="72" customHeight="1">
      <x:c r="A898" s="14" t="n">
        <x:v>893</x:v>
      </x:c>
      <x:c r="B898" s="6" t="str">
        <x:v>route</x:v>
      </x:c>
      <x:c r="C898" s="6" t="str">
        <x:v>How do I get from Kitchen 0.07 (Ground floor) to Bedroom 0.03 (Ground floor)?</x:v>
      </x:c>
      <x:c r="D898" s="6" t="str">
        <x:v>10.57 m
From: Kitchen 0.07
To: Bedroom 0.03
Ordered path (3 spaces): Kitchen 0.07 → Living room 0.01 → Bedroom 0.03</x:v>
      </x:c>
      <x:c r="E898" s="6" t="str">
        <x:v>Reference supplied</x:v>
      </x:c>
      <x:c r="F898" s="6" t="str">
        <x:v>train</x:v>
      </x:c>
      <x:c r="G898" s="6" t="str">
        <x:v>resplan-10504</x:v>
      </x:c>
      <x:c r="H898" s="6" t="str">
        <x:v>resplan-10504-Q06</x:v>
      </x:c>
      <x:c r="I898" s="6" t="str">
        <x:v>Route planning</x:v>
      </x:c>
      <x:c r="J898" s="6" t="str">
        <x:v>Warm-up</x:v>
      </x:c>
      <x:c r="K898" s="6" t="str">
        <x:v>Ordered space path and directions, plus total route-model distance in metres.</x:v>
      </x:c>
      <x:c r="L898" s="6" t="str">
        <x:v>T02, T05, T13</x:v>
      </x:c>
      <x:c r="M898" s="6" t="str">
        <x:v>Find a valid route between two rooms, including across floors.</x:v>
      </x:c>
      <x:c r="N898" s="6" t="str">
        <x:v>{"from_space_id":"resplan-10504-F0-S007","to_space_id":"resplan-10504-F0-S003","optimal_length_m":10.57,"space_path":["resplan-10504-F0-S007","resplan-10504-F0-S001","resplan-10504-F0-S003"],"element_path":["resplan-10504-F0-O0005","resplan-10504-F0-O0005","resplan-10504-F0-O0004","resplan-10504-F0-O0004"]}</x:v>
      </x:c>
      <x:c r="O898" s="6"/>
      <x:c r="P898" s="6" t="str">
        <x:v>README routing profile. Stairs and lifts allowed unless stated otherwise.</x:v>
      </x:c>
      <x:c r="Q898" s="15" t="n">
        <x:v>10.57</x:v>
      </x:c>
      <x:c r="R898" s="6" t="str">
        <x:v>m</x:v>
      </x:c>
      <x:c r="S898" s="16"/>
      <x:c r="T898" s="15"/>
      <x:c r="U898" s="6"/>
      <x:c r="V898" s="6"/>
      <x:c r="W898" s="6" t="str">
        <x:v>Existing find_route and show_route implement the kit routing model.</x:v>
      </x:c>
      <x:c r="X898" s="6" t="str">
        <x:v>data/train/resplan-10504/questions_basic.jsonl</x:v>
      </x:c>
      <x:c r="Y898" s="14" t="n">
        <x:v>6</x:v>
      </x:c>
      <x:c r="Z898" s="6" t="str">
        <x:v>https://github.com/hagenhaeussler/Industrial-Agents-Hackathon-2026/blob/f41616590b69f3ea0c1cbfb41d6c35edd9ce53df/data/train/resplan-10504/questions_basic.jsonl#L6</x:v>
      </x:c>
      <x:c r="AA898" s="6" t="str">
        <x:v>resplan</x:v>
      </x:c>
      <x:c r="AB898" s="6" t="str">
        <x:v>CC-BY-4.0</x:v>
      </x:c>
    </x:row>
    <x:row r="899" ht="72" customHeight="1">
      <x:c r="A899" s="14" t="n">
        <x:v>894</x:v>
      </x:c>
      <x:c r="B899" s="6" t="str">
        <x:v>route</x:v>
      </x:c>
      <x:c r="C899" s="6" t="str">
        <x:v>How do I get from Living room 0.01 (Ground floor) to Bedroom 0.03 (Ground floor)?</x:v>
      </x:c>
      <x:c r="D899" s="6" t="str">
        <x:v>7.86 m
From: Living room 0.01
To: Bedroom 0.03
Ordered path (2 spaces): Living room 0.01 → Bedroom 0.03</x:v>
      </x:c>
      <x:c r="E899" s="6" t="str">
        <x:v>Reference supplied</x:v>
      </x:c>
      <x:c r="F899" s="6" t="str">
        <x:v>train</x:v>
      </x:c>
      <x:c r="G899" s="6" t="str">
        <x:v>resplan-10504</x:v>
      </x:c>
      <x:c r="H899" s="6" t="str">
        <x:v>resplan-10504-Q07</x:v>
      </x:c>
      <x:c r="I899" s="6" t="str">
        <x:v>Route planning</x:v>
      </x:c>
      <x:c r="J899" s="6" t="str">
        <x:v>Warm-up</x:v>
      </x:c>
      <x:c r="K899" s="6" t="str">
        <x:v>Ordered space path and directions, plus total route-model distance in metres.</x:v>
      </x:c>
      <x:c r="L899" s="6" t="str">
        <x:v>T02, T05, T13</x:v>
      </x:c>
      <x:c r="M899" s="6" t="str">
        <x:v>Find a valid route between two rooms, including across floors.</x:v>
      </x:c>
      <x:c r="N899" s="6" t="str">
        <x:v>{"from_space_id":"resplan-10504-F0-S001","to_space_id":"resplan-10504-F0-S003","optimal_length_m":7.86,"space_path":["resplan-10504-F0-S001","resplan-10504-F0-S003"],"element_path":["resplan-10504-F0-O0004","resplan-10504-F0-O0004"]}</x:v>
      </x:c>
      <x:c r="O899" s="6"/>
      <x:c r="P899" s="6" t="str">
        <x:v>README routing profile. Stairs and lifts allowed unless stated otherwise.</x:v>
      </x:c>
      <x:c r="Q899" s="15" t="n">
        <x:v>7.86</x:v>
      </x:c>
      <x:c r="R899" s="6" t="str">
        <x:v>m</x:v>
      </x:c>
      <x:c r="S899" s="16"/>
      <x:c r="T899" s="15"/>
      <x:c r="U899" s="6"/>
      <x:c r="V899" s="6"/>
      <x:c r="W899" s="6" t="str">
        <x:v>Existing find_route and show_route implement the kit routing model.</x:v>
      </x:c>
      <x:c r="X899" s="6" t="str">
        <x:v>data/train/resplan-10504/questions_basic.jsonl</x:v>
      </x:c>
      <x:c r="Y899" s="14" t="n">
        <x:v>7</x:v>
      </x:c>
      <x:c r="Z899" s="6" t="str">
        <x:v>https://github.com/hagenhaeussler/Industrial-Agents-Hackathon-2026/blob/f41616590b69f3ea0c1cbfb41d6c35edd9ce53df/data/train/resplan-10504/questions_basic.jsonl#L7</x:v>
      </x:c>
      <x:c r="AA899" s="6" t="str">
        <x:v>resplan</x:v>
      </x:c>
      <x:c r="AB899" s="6" t="str">
        <x:v>CC-BY-4.0</x:v>
      </x:c>
    </x:row>
    <x:row r="900" ht="72" customHeight="1">
      <x:c r="A900" s="14" t="n">
        <x:v>895</x:v>
      </x:c>
      <x:c r="B900" s="6" t="str">
        <x:v>route</x:v>
      </x:c>
      <x:c r="C900" s="6" t="str">
        <x:v>How do I get from Bedroom 0.03 (Ground floor) to Kitchen 0.06 (Ground floor)?</x:v>
      </x:c>
      <x:c r="D900" s="6" t="str">
        <x:v>16.12 m
From: Bedroom 0.03
To: Kitchen 0.06
Ordered path (3 spaces): Bedroom 0.03 → Living room 0.01 → Kitchen 0.06</x:v>
      </x:c>
      <x:c r="E900" s="6" t="str">
        <x:v>Reference supplied</x:v>
      </x:c>
      <x:c r="F900" s="6" t="str">
        <x:v>train</x:v>
      </x:c>
      <x:c r="G900" s="6" t="str">
        <x:v>resplan-10650</x:v>
      </x:c>
      <x:c r="H900" s="6" t="str">
        <x:v>resplan-10650-Q05</x:v>
      </x:c>
      <x:c r="I900" s="6" t="str">
        <x:v>Route planning</x:v>
      </x:c>
      <x:c r="J900" s="6" t="str">
        <x:v>Warm-up</x:v>
      </x:c>
      <x:c r="K900" s="6" t="str">
        <x:v>Ordered space path and directions, plus total route-model distance in metres.</x:v>
      </x:c>
      <x:c r="L900" s="6" t="str">
        <x:v>T02, T05, T13</x:v>
      </x:c>
      <x:c r="M900" s="6" t="str">
        <x:v>Find a valid route between two rooms, including across floors.</x:v>
      </x:c>
      <x:c r="N900" s="6" t="str">
        <x:v>{"from_space_id":"resplan-10650-F0-S003","to_space_id":"resplan-10650-F0-S006","optimal_length_m":16.12,"space_path":["resplan-10650-F0-S003","resplan-10650-F0-S001","resplan-10650-F0-S006"],"element_path":["resplan-10650-F0-O0004","resplan-10650-F0-O0004","resplan-10650-F0-O0006","resplan-10650-F0-O0006"]}</x:v>
      </x:c>
      <x:c r="O900" s="6"/>
      <x:c r="P900" s="6" t="str">
        <x:v>README routing profile. Stairs and lifts allowed unless stated otherwise.</x:v>
      </x:c>
      <x:c r="Q900" s="15" t="n">
        <x:v>16.12</x:v>
      </x:c>
      <x:c r="R900" s="6" t="str">
        <x:v>m</x:v>
      </x:c>
      <x:c r="S900" s="16"/>
      <x:c r="T900" s="15"/>
      <x:c r="U900" s="6"/>
      <x:c r="V900" s="6"/>
      <x:c r="W900" s="6" t="str">
        <x:v>Existing find_route and show_route implement the kit routing model.</x:v>
      </x:c>
      <x:c r="X900" s="6" t="str">
        <x:v>data/train/resplan-10650/questions_basic.jsonl</x:v>
      </x:c>
      <x:c r="Y900" s="14" t="n">
        <x:v>5</x:v>
      </x:c>
      <x:c r="Z900" s="6" t="str">
        <x:v>https://github.com/hagenhaeussler/Industrial-Agents-Hackathon-2026/blob/f41616590b69f3ea0c1cbfb41d6c35edd9ce53df/data/train/resplan-10650/questions_basic.jsonl#L5</x:v>
      </x:c>
      <x:c r="AA900" s="6" t="str">
        <x:v>resplan</x:v>
      </x:c>
      <x:c r="AB900" s="6" t="str">
        <x:v>CC-BY-4.0</x:v>
      </x:c>
    </x:row>
    <x:row r="901" ht="72" customHeight="1">
      <x:c r="A901" s="14" t="n">
        <x:v>896</x:v>
      </x:c>
      <x:c r="B901" s="6" t="str">
        <x:v>route</x:v>
      </x:c>
      <x:c r="C901" s="6" t="str">
        <x:v>How do I get from Bedroom 0.03 (Ground floor) to Bedroom 0.02 (Ground floor)?</x:v>
      </x:c>
      <x:c r="D901" s="6" t="str">
        <x:v>15.69 m
From: Bedroom 0.03
To: Bedroom 0.02
Ordered path (3 spaces): Bedroom 0.03 → Living room 0.01 → Bedroom 0.02</x:v>
      </x:c>
      <x:c r="E901" s="6" t="str">
        <x:v>Reference supplied</x:v>
      </x:c>
      <x:c r="F901" s="6" t="str">
        <x:v>train</x:v>
      </x:c>
      <x:c r="G901" s="6" t="str">
        <x:v>resplan-10650</x:v>
      </x:c>
      <x:c r="H901" s="6" t="str">
        <x:v>resplan-10650-Q06</x:v>
      </x:c>
      <x:c r="I901" s="6" t="str">
        <x:v>Route planning</x:v>
      </x:c>
      <x:c r="J901" s="6" t="str">
        <x:v>Warm-up</x:v>
      </x:c>
      <x:c r="K901" s="6" t="str">
        <x:v>Ordered space path and directions, plus total route-model distance in metres.</x:v>
      </x:c>
      <x:c r="L901" s="6" t="str">
        <x:v>T02, T05, T13</x:v>
      </x:c>
      <x:c r="M901" s="6" t="str">
        <x:v>Find a valid route between two rooms, including across floors.</x:v>
      </x:c>
      <x:c r="N901" s="6" t="str">
        <x:v>{"from_space_id":"resplan-10650-F0-S003","to_space_id":"resplan-10650-F0-S002","optimal_length_m":15.69,"space_path":["resplan-10650-F0-S003","resplan-10650-F0-S001","resplan-10650-F0-S002"],"element_path":["resplan-10650-F0-O0004","resplan-10650-F0-O0004","resplan-10650-F0-O0002","resplan-10650-F0-O0002"]}</x:v>
      </x:c>
      <x:c r="O901" s="6"/>
      <x:c r="P901" s="6" t="str">
        <x:v>README routing profile. Stairs and lifts allowed unless stated otherwise.</x:v>
      </x:c>
      <x:c r="Q901" s="15" t="n">
        <x:v>15.69</x:v>
      </x:c>
      <x:c r="R901" s="6" t="str">
        <x:v>m</x:v>
      </x:c>
      <x:c r="S901" s="16"/>
      <x:c r="T901" s="15"/>
      <x:c r="U901" s="6"/>
      <x:c r="V901" s="6"/>
      <x:c r="W901" s="6" t="str">
        <x:v>Existing find_route and show_route implement the kit routing model.</x:v>
      </x:c>
      <x:c r="X901" s="6" t="str">
        <x:v>data/train/resplan-10650/questions_basic.jsonl</x:v>
      </x:c>
      <x:c r="Y901" s="14" t="n">
        <x:v>6</x:v>
      </x:c>
      <x:c r="Z901" s="6" t="str">
        <x:v>https://github.com/hagenhaeussler/Industrial-Agents-Hackathon-2026/blob/f41616590b69f3ea0c1cbfb41d6c35edd9ce53df/data/train/resplan-10650/questions_basic.jsonl#L6</x:v>
      </x:c>
      <x:c r="AA901" s="6" t="str">
        <x:v>resplan</x:v>
      </x:c>
      <x:c r="AB901" s="6" t="str">
        <x:v>CC-BY-4.0</x:v>
      </x:c>
    </x:row>
    <x:row r="902" ht="72" customHeight="1">
      <x:c r="A902" s="14" t="n">
        <x:v>897</x:v>
      </x:c>
      <x:c r="B902" s="6" t="str">
        <x:v>route</x:v>
      </x:c>
      <x:c r="C902" s="6" t="str">
        <x:v>How do I get from Living room 0.01 (Ground floor) to Bedroom 0.03 (Ground floor)?</x:v>
      </x:c>
      <x:c r="D902" s="6" t="str">
        <x:v>5.79 m
From: Living room 0.01
To: Bedroom 0.03
Ordered path (2 spaces): Living room 0.01 → Bedroom 0.03</x:v>
      </x:c>
      <x:c r="E902" s="6" t="str">
        <x:v>Reference supplied</x:v>
      </x:c>
      <x:c r="F902" s="6" t="str">
        <x:v>train</x:v>
      </x:c>
      <x:c r="G902" s="6" t="str">
        <x:v>resplan-10650</x:v>
      </x:c>
      <x:c r="H902" s="6" t="str">
        <x:v>resplan-10650-Q07</x:v>
      </x:c>
      <x:c r="I902" s="6" t="str">
        <x:v>Route planning</x:v>
      </x:c>
      <x:c r="J902" s="6" t="str">
        <x:v>Warm-up</x:v>
      </x:c>
      <x:c r="K902" s="6" t="str">
        <x:v>Ordered space path and directions, plus total route-model distance in metres.</x:v>
      </x:c>
      <x:c r="L902" s="6" t="str">
        <x:v>T02, T05, T13</x:v>
      </x:c>
      <x:c r="M902" s="6" t="str">
        <x:v>Find a valid route between two rooms, including across floors.</x:v>
      </x:c>
      <x:c r="N902" s="6" t="str">
        <x:v>{"from_space_id":"resplan-10650-F0-S001","to_space_id":"resplan-10650-F0-S003","optimal_length_m":5.79,"space_path":["resplan-10650-F0-S001","resplan-10650-F0-S003"],"element_path":["resplan-10650-F0-O0004","resplan-10650-F0-O0004"]}</x:v>
      </x:c>
      <x:c r="O902" s="6"/>
      <x:c r="P902" s="6" t="str">
        <x:v>README routing profile. Stairs and lifts allowed unless stated otherwise.</x:v>
      </x:c>
      <x:c r="Q902" s="15" t="n">
        <x:v>5.79</x:v>
      </x:c>
      <x:c r="R902" s="6" t="str">
        <x:v>m</x:v>
      </x:c>
      <x:c r="S902" s="16"/>
      <x:c r="T902" s="15"/>
      <x:c r="U902" s="6"/>
      <x:c r="V902" s="6"/>
      <x:c r="W902" s="6" t="str">
        <x:v>Existing find_route and show_route implement the kit routing model.</x:v>
      </x:c>
      <x:c r="X902" s="6" t="str">
        <x:v>data/train/resplan-10650/questions_basic.jsonl</x:v>
      </x:c>
      <x:c r="Y902" s="14" t="n">
        <x:v>7</x:v>
      </x:c>
      <x:c r="Z902" s="6" t="str">
        <x:v>https://github.com/hagenhaeussler/Industrial-Agents-Hackathon-2026/blob/f41616590b69f3ea0c1cbfb41d6c35edd9ce53df/data/train/resplan-10650/questions_basic.jsonl#L7</x:v>
      </x:c>
      <x:c r="AA902" s="6" t="str">
        <x:v>resplan</x:v>
      </x:c>
      <x:c r="AB902" s="6" t="str">
        <x:v>CC-BY-4.0</x:v>
      </x:c>
    </x:row>
    <x:row r="903" ht="72" customHeight="1">
      <x:c r="A903" s="14" t="n">
        <x:v>898</x:v>
      </x:c>
      <x:c r="B903" s="6" t="str">
        <x:v>route</x:v>
      </x:c>
      <x:c r="C903" s="6" t="str">
        <x:v>How do I get from Bathroom 0.05 (Ground floor) to Living room 0.01 (Ground floor)?</x:v>
      </x:c>
      <x:c r="D903" s="6" t="str">
        <x:v>7.29 m
From: Bathroom 0.05
To: Living room 0.01
Ordered path (2 spaces): Bathroom 0.05 → Living room 0.01</x:v>
      </x:c>
      <x:c r="E903" s="6" t="str">
        <x:v>Reference supplied</x:v>
      </x:c>
      <x:c r="F903" s="6" t="str">
        <x:v>train</x:v>
      </x:c>
      <x:c r="G903" s="6" t="str">
        <x:v>resplan-10882</x:v>
      </x:c>
      <x:c r="H903" s="6" t="str">
        <x:v>resplan-10882-Q05</x:v>
      </x:c>
      <x:c r="I903" s="6" t="str">
        <x:v>Route planning</x:v>
      </x:c>
      <x:c r="J903" s="6" t="str">
        <x:v>Warm-up</x:v>
      </x:c>
      <x:c r="K903" s="6" t="str">
        <x:v>Ordered space path and directions, plus total route-model distance in metres.</x:v>
      </x:c>
      <x:c r="L903" s="6" t="str">
        <x:v>T02, T05, T13</x:v>
      </x:c>
      <x:c r="M903" s="6" t="str">
        <x:v>Find a valid route between two rooms, including across floors.</x:v>
      </x:c>
      <x:c r="N903" s="6" t="str">
        <x:v>{"from_space_id":"resplan-10882-F0-S005","to_space_id":"resplan-10882-F0-S001","optimal_length_m":7.29,"space_path":["resplan-10882-F0-S005","resplan-10882-F0-S001"],"element_path":["resplan-10882-F0-O0003","resplan-10882-F0-O0003"]}</x:v>
      </x:c>
      <x:c r="O903" s="6"/>
      <x:c r="P903" s="6" t="str">
        <x:v>README routing profile. Stairs and lifts allowed unless stated otherwise.</x:v>
      </x:c>
      <x:c r="Q903" s="15" t="n">
        <x:v>7.29</x:v>
      </x:c>
      <x:c r="R903" s="6" t="str">
        <x:v>m</x:v>
      </x:c>
      <x:c r="S903" s="16"/>
      <x:c r="T903" s="15"/>
      <x:c r="U903" s="6"/>
      <x:c r="V903" s="6"/>
      <x:c r="W903" s="6" t="str">
        <x:v>Existing find_route and show_route implement the kit routing model.</x:v>
      </x:c>
      <x:c r="X903" s="6" t="str">
        <x:v>data/train/resplan-10882/questions_basic.jsonl</x:v>
      </x:c>
      <x:c r="Y903" s="14" t="n">
        <x:v>5</x:v>
      </x:c>
      <x:c r="Z903" s="6" t="str">
        <x:v>https://github.com/hagenhaeussler/Industrial-Agents-Hackathon-2026/blob/f41616590b69f3ea0c1cbfb41d6c35edd9ce53df/data/train/resplan-10882/questions_basic.jsonl#L5</x:v>
      </x:c>
      <x:c r="AA903" s="6" t="str">
        <x:v>resplan</x:v>
      </x:c>
      <x:c r="AB903" s="6" t="str">
        <x:v>CC-BY-4.0</x:v>
      </x:c>
    </x:row>
    <x:row r="904" ht="72" customHeight="1">
      <x:c r="A904" s="14" t="n">
        <x:v>899</x:v>
      </x:c>
      <x:c r="B904" s="6" t="str">
        <x:v>route</x:v>
      </x:c>
      <x:c r="C904" s="6" t="str">
        <x:v>How do I get from Living room 0.01 (Ground floor) to Bedroom 0.04 (Ground floor)?</x:v>
      </x:c>
      <x:c r="D904" s="6" t="str">
        <x:v>6.38 m
From: Living room 0.01
To: Bedroom 0.04
Ordered path (2 spaces): Living room 0.01 → Bedroom 0.04</x:v>
      </x:c>
      <x:c r="E904" s="6" t="str">
        <x:v>Reference supplied</x:v>
      </x:c>
      <x:c r="F904" s="6" t="str">
        <x:v>train</x:v>
      </x:c>
      <x:c r="G904" s="6" t="str">
        <x:v>resplan-10882</x:v>
      </x:c>
      <x:c r="H904" s="6" t="str">
        <x:v>resplan-10882-Q06</x:v>
      </x:c>
      <x:c r="I904" s="6" t="str">
        <x:v>Route planning</x:v>
      </x:c>
      <x:c r="J904" s="6" t="str">
        <x:v>Warm-up</x:v>
      </x:c>
      <x:c r="K904" s="6" t="str">
        <x:v>Ordered space path and directions, plus total route-model distance in metres.</x:v>
      </x:c>
      <x:c r="L904" s="6" t="str">
        <x:v>T02, T05, T13</x:v>
      </x:c>
      <x:c r="M904" s="6" t="str">
        <x:v>Find a valid route between two rooms, including across floors.</x:v>
      </x:c>
      <x:c r="N904" s="6" t="str">
        <x:v>{"from_space_id":"resplan-10882-F0-S001","to_space_id":"resplan-10882-F0-S004","optimal_length_m":6.38,"space_path":["resplan-10882-F0-S001","resplan-10882-F0-S004"],"element_path":["resplan-10882-F0-O0006","resplan-10882-F0-O0006"]}</x:v>
      </x:c>
      <x:c r="O904" s="6"/>
      <x:c r="P904" s="6" t="str">
        <x:v>README routing profile. Stairs and lifts allowed unless stated otherwise.</x:v>
      </x:c>
      <x:c r="Q904" s="15" t="n">
        <x:v>6.38</x:v>
      </x:c>
      <x:c r="R904" s="6" t="str">
        <x:v>m</x:v>
      </x:c>
      <x:c r="S904" s="16"/>
      <x:c r="T904" s="15"/>
      <x:c r="U904" s="6"/>
      <x:c r="V904" s="6"/>
      <x:c r="W904" s="6" t="str">
        <x:v>Existing find_route and show_route implement the kit routing model.</x:v>
      </x:c>
      <x:c r="X904" s="6" t="str">
        <x:v>data/train/resplan-10882/questions_basic.jsonl</x:v>
      </x:c>
      <x:c r="Y904" s="14" t="n">
        <x:v>6</x:v>
      </x:c>
      <x:c r="Z904" s="6" t="str">
        <x:v>https://github.com/hagenhaeussler/Industrial-Agents-Hackathon-2026/blob/f41616590b69f3ea0c1cbfb41d6c35edd9ce53df/data/train/resplan-10882/questions_basic.jsonl#L6</x:v>
      </x:c>
      <x:c r="AA904" s="6" t="str">
        <x:v>resplan</x:v>
      </x:c>
      <x:c r="AB904" s="6" t="str">
        <x:v>CC-BY-4.0</x:v>
      </x:c>
    </x:row>
    <x:row r="905" ht="72" customHeight="1">
      <x:c r="A905" s="14" t="n">
        <x:v>900</x:v>
      </x:c>
      <x:c r="B905" s="6" t="str">
        <x:v>route</x:v>
      </x:c>
      <x:c r="C905" s="6" t="str">
        <x:v>How do I get from Bedroom 0.03 (Ground floor) to Kitchen 0.08 (Ground floor)?</x:v>
      </x:c>
      <x:c r="D905" s="6" t="str">
        <x:v>9.9 m
From: Bedroom 0.03
To: Kitchen 0.08
Ordered path (3 spaces): Bedroom 0.03 → Living room 0.01 → Kitchen 0.08</x:v>
      </x:c>
      <x:c r="E905" s="6" t="str">
        <x:v>Reference supplied</x:v>
      </x:c>
      <x:c r="F905" s="6" t="str">
        <x:v>train</x:v>
      </x:c>
      <x:c r="G905" s="6" t="str">
        <x:v>resplan-10882</x:v>
      </x:c>
      <x:c r="H905" s="6" t="str">
        <x:v>resplan-10882-Q07</x:v>
      </x:c>
      <x:c r="I905" s="6" t="str">
        <x:v>Route planning</x:v>
      </x:c>
      <x:c r="J905" s="6" t="str">
        <x:v>Warm-up</x:v>
      </x:c>
      <x:c r="K905" s="6" t="str">
        <x:v>Ordered space path and directions, plus total route-model distance in metres.</x:v>
      </x:c>
      <x:c r="L905" s="6" t="str">
        <x:v>T02, T05, T13</x:v>
      </x:c>
      <x:c r="M905" s="6" t="str">
        <x:v>Find a valid route between two rooms, including across floors.</x:v>
      </x:c>
      <x:c r="N905" s="6" t="str">
        <x:v>{"from_space_id":"resplan-10882-F0-S003","to_space_id":"resplan-10882-F0-S008","optimal_length_m":9.9,"space_path":["resplan-10882-F0-S003","resplan-10882-F0-S001","resplan-10882-F0-S008"],"element_path":["resplan-10882-F0-O0005","resplan-10882-F0-O0005","resplan-10882-F0-O0007","resplan-10882-F0-O0007"]}</x:v>
      </x:c>
      <x:c r="O905" s="6"/>
      <x:c r="P905" s="6" t="str">
        <x:v>README routing profile. Stairs and lifts allowed unless stated otherwise.</x:v>
      </x:c>
      <x:c r="Q905" s="15" t="n">
        <x:v>9.9</x:v>
      </x:c>
      <x:c r="R905" s="6" t="str">
        <x:v>m</x:v>
      </x:c>
      <x:c r="S905" s="16"/>
      <x:c r="T905" s="15"/>
      <x:c r="U905" s="6"/>
      <x:c r="V905" s="6"/>
      <x:c r="W905" s="6" t="str">
        <x:v>Existing find_route and show_route implement the kit routing model.</x:v>
      </x:c>
      <x:c r="X905" s="6" t="str">
        <x:v>data/train/resplan-10882/questions_basic.jsonl</x:v>
      </x:c>
      <x:c r="Y905" s="14" t="n">
        <x:v>7</x:v>
      </x:c>
      <x:c r="Z905" s="6" t="str">
        <x:v>https://github.com/hagenhaeussler/Industrial-Agents-Hackathon-2026/blob/f41616590b69f3ea0c1cbfb41d6c35edd9ce53df/data/train/resplan-10882/questions_basic.jsonl#L7</x:v>
      </x:c>
      <x:c r="AA905" s="6" t="str">
        <x:v>resplan</x:v>
      </x:c>
      <x:c r="AB905" s="6" t="str">
        <x:v>CC-BY-4.0</x:v>
      </x:c>
    </x:row>
    <x:row r="906" ht="72" customHeight="1">
      <x:c r="A906" s="14" t="n">
        <x:v>901</x:v>
      </x:c>
      <x:c r="B906" s="6" t="str">
        <x:v>route</x:v>
      </x:c>
      <x:c r="C906" s="6" t="str">
        <x:v>How do I get from Bedroom 0.02 (Ground floor) to Bathroom 0.06 (Ground floor)?</x:v>
      </x:c>
      <x:c r="D906" s="6" t="str">
        <x:v>5.96 m
From: Bedroom 0.02
To: Bathroom 0.06
Ordered path (2 spaces): Bedroom 0.02 → Bathroom 0.06</x:v>
      </x:c>
      <x:c r="E906" s="6" t="str">
        <x:v>Reference supplied</x:v>
      </x:c>
      <x:c r="F906" s="6" t="str">
        <x:v>train</x:v>
      </x:c>
      <x:c r="G906" s="6" t="str">
        <x:v>resplan-1095</x:v>
      </x:c>
      <x:c r="H906" s="6" t="str">
        <x:v>resplan-1095-Q05</x:v>
      </x:c>
      <x:c r="I906" s="6" t="str">
        <x:v>Route planning</x:v>
      </x:c>
      <x:c r="J906" s="6" t="str">
        <x:v>Warm-up</x:v>
      </x:c>
      <x:c r="K906" s="6" t="str">
        <x:v>Ordered space path and directions, plus total route-model distance in metres.</x:v>
      </x:c>
      <x:c r="L906" s="6" t="str">
        <x:v>T02, T05, T13</x:v>
      </x:c>
      <x:c r="M906" s="6" t="str">
        <x:v>Find a valid route between two rooms, including across floors.</x:v>
      </x:c>
      <x:c r="N906" s="6" t="str">
        <x:v>{"from_space_id":"resplan-1095-F0-S002","to_space_id":"resplan-1095-F0-S006","optimal_length_m":5.96,"space_path":["resplan-1095-F0-S002","resplan-1095-F0-S006"],"element_path":["resplan-1095-F0-O0002","resplan-1095-F0-O0002"]}</x:v>
      </x:c>
      <x:c r="O906" s="6"/>
      <x:c r="P906" s="6" t="str">
        <x:v>README routing profile. Stairs and lifts allowed unless stated otherwise.</x:v>
      </x:c>
      <x:c r="Q906" s="15" t="n">
        <x:v>5.96</x:v>
      </x:c>
      <x:c r="R906" s="6" t="str">
        <x:v>m</x:v>
      </x:c>
      <x:c r="S906" s="16"/>
      <x:c r="T906" s="15"/>
      <x:c r="U906" s="6"/>
      <x:c r="V906" s="6"/>
      <x:c r="W906" s="6" t="str">
        <x:v>Existing find_route and show_route implement the kit routing model.</x:v>
      </x:c>
      <x:c r="X906" s="6" t="str">
        <x:v>data/train/resplan-1095/questions_basic.jsonl</x:v>
      </x:c>
      <x:c r="Y906" s="14" t="n">
        <x:v>5</x:v>
      </x:c>
      <x:c r="Z906" s="6" t="str">
        <x:v>https://github.com/hagenhaeussler/Industrial-Agents-Hackathon-2026/blob/f41616590b69f3ea0c1cbfb41d6c35edd9ce53df/data/train/resplan-1095/questions_basic.jsonl#L5</x:v>
      </x:c>
      <x:c r="AA906" s="6" t="str">
        <x:v>resplan</x:v>
      </x:c>
      <x:c r="AB906" s="6" t="str">
        <x:v>CC-BY-4.0</x:v>
      </x:c>
    </x:row>
    <x:row r="907" ht="72" customHeight="1">
      <x:c r="A907" s="14" t="n">
        <x:v>902</x:v>
      </x:c>
      <x:c r="B907" s="6" t="str">
        <x:v>route</x:v>
      </x:c>
      <x:c r="C907" s="6" t="str">
        <x:v>How do I get from Kitchen 0.08 (Ground floor) to Bedroom 0.02 (Ground floor)?</x:v>
      </x:c>
      <x:c r="D907" s="6" t="str">
        <x:v>15.52 m
From: Kitchen 0.08
To: Bedroom 0.02
Ordered path (3 spaces): Kitchen 0.08 → Living room 0.01 → Bedroom 0.02</x:v>
      </x:c>
      <x:c r="E907" s="6" t="str">
        <x:v>Reference supplied</x:v>
      </x:c>
      <x:c r="F907" s="6" t="str">
        <x:v>train</x:v>
      </x:c>
      <x:c r="G907" s="6" t="str">
        <x:v>resplan-1095</x:v>
      </x:c>
      <x:c r="H907" s="6" t="str">
        <x:v>resplan-1095-Q06</x:v>
      </x:c>
      <x:c r="I907" s="6" t="str">
        <x:v>Route planning</x:v>
      </x:c>
      <x:c r="J907" s="6" t="str">
        <x:v>Warm-up</x:v>
      </x:c>
      <x:c r="K907" s="6" t="str">
        <x:v>Ordered space path and directions, plus total route-model distance in metres.</x:v>
      </x:c>
      <x:c r="L907" s="6" t="str">
        <x:v>T02, T05, T13</x:v>
      </x:c>
      <x:c r="M907" s="6" t="str">
        <x:v>Find a valid route between two rooms, including across floors.</x:v>
      </x:c>
      <x:c r="N907" s="6" t="str">
        <x:v>{"from_space_id":"resplan-1095-F0-S008","to_space_id":"resplan-1095-F0-S002","optimal_length_m":15.52,"space_path":["resplan-1095-F0-S008","resplan-1095-F0-S001","resplan-1095-F0-S002"],"element_path":["resplan-1095-F0-O0010","resplan-1095-F0-O0010","resplan-1095-F0-O0004","resplan-1095-F0-O0004"]}</x:v>
      </x:c>
      <x:c r="O907" s="6"/>
      <x:c r="P907" s="6" t="str">
        <x:v>README routing profile. Stairs and lifts allowed unless stated otherwise.</x:v>
      </x:c>
      <x:c r="Q907" s="15" t="n">
        <x:v>15.52</x:v>
      </x:c>
      <x:c r="R907" s="6" t="str">
        <x:v>m</x:v>
      </x:c>
      <x:c r="S907" s="16"/>
      <x:c r="T907" s="15"/>
      <x:c r="U907" s="6"/>
      <x:c r="V907" s="6"/>
      <x:c r="W907" s="6" t="str">
        <x:v>Existing find_route and show_route implement the kit routing model.</x:v>
      </x:c>
      <x:c r="X907" s="6" t="str">
        <x:v>data/train/resplan-1095/questions_basic.jsonl</x:v>
      </x:c>
      <x:c r="Y907" s="14" t="n">
        <x:v>6</x:v>
      </x:c>
      <x:c r="Z907" s="6" t="str">
        <x:v>https://github.com/hagenhaeussler/Industrial-Agents-Hackathon-2026/blob/f41616590b69f3ea0c1cbfb41d6c35edd9ce53df/data/train/resplan-1095/questions_basic.jsonl#L6</x:v>
      </x:c>
      <x:c r="AA907" s="6" t="str">
        <x:v>resplan</x:v>
      </x:c>
      <x:c r="AB907" s="6" t="str">
        <x:v>CC-BY-4.0</x:v>
      </x:c>
    </x:row>
    <x:row r="908" ht="82" customHeight="1">
      <x:c r="A908" s="14" t="n">
        <x:v>903</x:v>
      </x:c>
      <x:c r="B908" s="6" t="str">
        <x:v>route</x:v>
      </x:c>
      <x:c r="C908" s="6" t="str">
        <x:v>How do I get from Bathroom 0.05 (Ground floor) to Kitchen 0.08 (Ground floor)?</x:v>
      </x:c>
      <x:c r="D908" s="6" t="str">
        <x:v>11.72 m
From: Bathroom 0.05
To: Kitchen 0.08
Ordered path (3 spaces): Bathroom 0.05 → Living room 0.01 → Kitchen 0.08</x:v>
      </x:c>
      <x:c r="E908" s="6" t="str">
        <x:v>Reference supplied</x:v>
      </x:c>
      <x:c r="F908" s="6" t="str">
        <x:v>train</x:v>
      </x:c>
      <x:c r="G908" s="6" t="str">
        <x:v>resplan-1095</x:v>
      </x:c>
      <x:c r="H908" s="6" t="str">
        <x:v>resplan-1095-Q07</x:v>
      </x:c>
      <x:c r="I908" s="6" t="str">
        <x:v>Route planning</x:v>
      </x:c>
      <x:c r="J908" s="6" t="str">
        <x:v>Warm-up</x:v>
      </x:c>
      <x:c r="K908" s="6" t="str">
        <x:v>Ordered space path and directions, plus total route-model distance in metres.</x:v>
      </x:c>
      <x:c r="L908" s="6" t="str">
        <x:v>T02, T05, T13</x:v>
      </x:c>
      <x:c r="M908" s="6" t="str">
        <x:v>Find a valid route between two rooms, including across floors.</x:v>
      </x:c>
      <x:c r="N908" s="6" t="str">
        <x:v>{"from_space_id":"resplan-1095-F0-S005","to_space_id":"resplan-1095-F0-S008","optimal_length_m":11.72,"space_path":["resplan-1095-F0-S005","resplan-1095-F0-S001","resplan-1095-F0-S008"],"element_path":["resplan-1095-F0-O0007","resplan-1095-F0-O0007","resplan-1095-F0-O0010","resplan-1095-F0-O0010"]}</x:v>
      </x:c>
      <x:c r="O908" s="6"/>
      <x:c r="P908" s="6" t="str">
        <x:v>README routing profile. Stairs and lifts allowed unless stated otherwise.</x:v>
      </x:c>
      <x:c r="Q908" s="15" t="n">
        <x:v>11.72</x:v>
      </x:c>
      <x:c r="R908" s="6" t="str">
        <x:v>m</x:v>
      </x:c>
      <x:c r="S908" s="16"/>
      <x:c r="T908" s="15"/>
      <x:c r="U908" s="6"/>
      <x:c r="V908" s="6"/>
      <x:c r="W908" s="6" t="str">
        <x:v>Existing find_route and show_route implement the kit routing model.</x:v>
      </x:c>
      <x:c r="X908" s="6" t="str">
        <x:v>data/train/resplan-1095/questions_basic.jsonl</x:v>
      </x:c>
      <x:c r="Y908" s="14" t="n">
        <x:v>7</x:v>
      </x:c>
      <x:c r="Z908" s="6" t="str">
        <x:v>https://github.com/hagenhaeussler/Industrial-Agents-Hackathon-2026/blob/f41616590b69f3ea0c1cbfb41d6c35edd9ce53df/data/train/resplan-1095/questions_basic.jsonl#L7</x:v>
      </x:c>
      <x:c r="AA908" s="6" t="str">
        <x:v>resplan</x:v>
      </x:c>
      <x:c r="AB908" s="6" t="str">
        <x:v>CC-BY-4.0</x:v>
      </x:c>
    </x:row>
    <x:row r="909" ht="72" customHeight="1">
      <x:c r="A909" s="14" t="n">
        <x:v>904</x:v>
      </x:c>
      <x:c r="B909" s="6" t="str">
        <x:v>route</x:v>
      </x:c>
      <x:c r="C909" s="6" t="str">
        <x:v>How do I get from Living room 0.01 (Ground floor) to Kitchen 0.07 (Ground floor)?</x:v>
      </x:c>
      <x:c r="D909" s="6" t="str">
        <x:v>1.65 m
From: Living room 0.01
To: Kitchen 0.07
Ordered path (2 spaces): Living room 0.01 → Kitchen 0.07</x:v>
      </x:c>
      <x:c r="E909" s="6" t="str">
        <x:v>Reference supplied</x:v>
      </x:c>
      <x:c r="F909" s="6" t="str">
        <x:v>train</x:v>
      </x:c>
      <x:c r="G909" s="6" t="str">
        <x:v>resplan-11076</x:v>
      </x:c>
      <x:c r="H909" s="6" t="str">
        <x:v>resplan-11076-Q05</x:v>
      </x:c>
      <x:c r="I909" s="6" t="str">
        <x:v>Route planning</x:v>
      </x:c>
      <x:c r="J909" s="6" t="str">
        <x:v>Warm-up</x:v>
      </x:c>
      <x:c r="K909" s="6" t="str">
        <x:v>Ordered space path and directions, plus total route-model distance in metres.</x:v>
      </x:c>
      <x:c r="L909" s="6" t="str">
        <x:v>T02, T05, T13</x:v>
      </x:c>
      <x:c r="M909" s="6" t="str">
        <x:v>Find a valid route between two rooms, including across floors.</x:v>
      </x:c>
      <x:c r="N909" s="6" t="str">
        <x:v>{"from_space_id":"resplan-11076-F0-S001","to_space_id":"resplan-11076-F0-S007","optimal_length_m":1.65,"space_path":["resplan-11076-F0-S001","resplan-11076-F0-S007"],"element_path":["resplan-11076-F0-O0007","resplan-11076-F0-O0007"]}</x:v>
      </x:c>
      <x:c r="O909" s="6"/>
      <x:c r="P909" s="6" t="str">
        <x:v>README routing profile. Stairs and lifts allowed unless stated otherwise.</x:v>
      </x:c>
      <x:c r="Q909" s="15" t="n">
        <x:v>1.65</x:v>
      </x:c>
      <x:c r="R909" s="6" t="str">
        <x:v>m</x:v>
      </x:c>
      <x:c r="S909" s="16"/>
      <x:c r="T909" s="15"/>
      <x:c r="U909" s="6"/>
      <x:c r="V909" s="6"/>
      <x:c r="W909" s="6" t="str">
        <x:v>Existing find_route and show_route implement the kit routing model.</x:v>
      </x:c>
      <x:c r="X909" s="6" t="str">
        <x:v>data/train/resplan-11076/questions_basic.jsonl</x:v>
      </x:c>
      <x:c r="Y909" s="14" t="n">
        <x:v>5</x:v>
      </x:c>
      <x:c r="Z909" s="6" t="str">
        <x:v>https://github.com/hagenhaeussler/Industrial-Agents-Hackathon-2026/blob/f41616590b69f3ea0c1cbfb41d6c35edd9ce53df/data/train/resplan-11076/questions_basic.jsonl#L5</x:v>
      </x:c>
      <x:c r="AA909" s="6" t="str">
        <x:v>resplan</x:v>
      </x:c>
      <x:c r="AB909" s="6" t="str">
        <x:v>CC-BY-4.0</x:v>
      </x:c>
    </x:row>
    <x:row r="910" ht="72" customHeight="1">
      <x:c r="A910" s="14" t="n">
        <x:v>905</x:v>
      </x:c>
      <x:c r="B910" s="6" t="str">
        <x:v>route</x:v>
      </x:c>
      <x:c r="C910" s="6" t="str">
        <x:v>How do I get from Bedroom 0.03 (Ground floor) to Kitchen 0.07 (Ground floor)?</x:v>
      </x:c>
      <x:c r="D910" s="6" t="str">
        <x:v>8.66 m
From: Bedroom 0.03
To: Kitchen 0.07
Ordered path (3 spaces): Bedroom 0.03 → Living room 0.02 → Kitchen 0.07</x:v>
      </x:c>
      <x:c r="E910" s="6" t="str">
        <x:v>Reference supplied</x:v>
      </x:c>
      <x:c r="F910" s="6" t="str">
        <x:v>train</x:v>
      </x:c>
      <x:c r="G910" s="6" t="str">
        <x:v>resplan-11076</x:v>
      </x:c>
      <x:c r="H910" s="6" t="str">
        <x:v>resplan-11076-Q06</x:v>
      </x:c>
      <x:c r="I910" s="6" t="str">
        <x:v>Route planning</x:v>
      </x:c>
      <x:c r="J910" s="6" t="str">
        <x:v>Warm-up</x:v>
      </x:c>
      <x:c r="K910" s="6" t="str">
        <x:v>Ordered space path and directions, plus total route-model distance in metres.</x:v>
      </x:c>
      <x:c r="L910" s="6" t="str">
        <x:v>T02, T05, T13</x:v>
      </x:c>
      <x:c r="M910" s="6" t="str">
        <x:v>Find a valid route between two rooms, including across floors.</x:v>
      </x:c>
      <x:c r="N910" s="6" t="str">
        <x:v>{"from_space_id":"resplan-11076-F0-S003","to_space_id":"resplan-11076-F0-S007","optimal_length_m":8.66,"space_path":["resplan-11076-F0-S003","resplan-11076-F0-S002","resplan-11076-F0-S007"],"element_path":["resplan-11076-F0-O0002","resplan-11076-F0-O0002","resplan-11076-F0-O0001","resplan-11076-F0-O0001"]}</x:v>
      </x:c>
      <x:c r="O910" s="6"/>
      <x:c r="P910" s="6" t="str">
        <x:v>README routing profile. Stairs and lifts allowed unless stated otherwise.</x:v>
      </x:c>
      <x:c r="Q910" s="15" t="n">
        <x:v>8.66</x:v>
      </x:c>
      <x:c r="R910" s="6" t="str">
        <x:v>m</x:v>
      </x:c>
      <x:c r="S910" s="16"/>
      <x:c r="T910" s="15"/>
      <x:c r="U910" s="6"/>
      <x:c r="V910" s="6"/>
      <x:c r="W910" s="6" t="str">
        <x:v>Existing find_route and show_route implement the kit routing model.</x:v>
      </x:c>
      <x:c r="X910" s="6" t="str">
        <x:v>data/train/resplan-11076/questions_basic.jsonl</x:v>
      </x:c>
      <x:c r="Y910" s="14" t="n">
        <x:v>6</x:v>
      </x:c>
      <x:c r="Z910" s="6" t="str">
        <x:v>https://github.com/hagenhaeussler/Industrial-Agents-Hackathon-2026/blob/f41616590b69f3ea0c1cbfb41d6c35edd9ce53df/data/train/resplan-11076/questions_basic.jsonl#L6</x:v>
      </x:c>
      <x:c r="AA910" s="6" t="str">
        <x:v>resplan</x:v>
      </x:c>
      <x:c r="AB910" s="6" t="str">
        <x:v>CC-BY-4.0</x:v>
      </x:c>
    </x:row>
    <x:row r="911" ht="82" customHeight="1">
      <x:c r="A911" s="14" t="n">
        <x:v>906</x:v>
      </x:c>
      <x:c r="B911" s="6" t="str">
        <x:v>route</x:v>
      </x:c>
      <x:c r="C911" s="6" t="str">
        <x:v>How do I get from Bedroom 0.03 (Ground floor) to Living room 0.01 (Ground floor)?</x:v>
      </x:c>
      <x:c r="D911" s="6" t="str">
        <x:v>10.31 m
From: Bedroom 0.03
To: Living room 0.01
Ordered path (4 spaces): Bedroom 0.03 → Living room 0.02 → Kitchen 0.07 → Living room 0.01</x:v>
      </x:c>
      <x:c r="E911" s="6" t="str">
        <x:v>Reference supplied</x:v>
      </x:c>
      <x:c r="F911" s="6" t="str">
        <x:v>train</x:v>
      </x:c>
      <x:c r="G911" s="6" t="str">
        <x:v>resplan-11076</x:v>
      </x:c>
      <x:c r="H911" s="6" t="str">
        <x:v>resplan-11076-Q07</x:v>
      </x:c>
      <x:c r="I911" s="6" t="str">
        <x:v>Route planning</x:v>
      </x:c>
      <x:c r="J911" s="6" t="str">
        <x:v>Warm-up</x:v>
      </x:c>
      <x:c r="K911" s="6" t="str">
        <x:v>Ordered space path and directions, plus total route-model distance in metres.</x:v>
      </x:c>
      <x:c r="L911" s="6" t="str">
        <x:v>T02, T05, T13</x:v>
      </x:c>
      <x:c r="M911" s="6" t="str">
        <x:v>Find a valid route between two rooms, including across floors.</x:v>
      </x:c>
      <x:c r="N911" s="6" t="str">
        <x:v>{"from_space_id":"resplan-11076-F0-S003","to_space_id":"resplan-11076-F0-S001","optimal_length_m":10.31,"space_path":["resplan-11076-F0-S003","resplan-11076-F0-S002","resplan-11076-F0-S007","resplan-11076-F0-S001"],"element_path":["resplan-11076-F0-O0002","resplan-11076-F0-O0002","resplan-11076-F0-O0001","resplan-11076-F0-O0001","resplan-11076-F0-O0007","resplan-11076-F0-O0007"]}</x:v>
      </x:c>
      <x:c r="O911" s="6"/>
      <x:c r="P911" s="6" t="str">
        <x:v>README routing profile. Stairs and lifts allowed unless stated otherwise.</x:v>
      </x:c>
      <x:c r="Q911" s="15" t="n">
        <x:v>10.31</x:v>
      </x:c>
      <x:c r="R911" s="6" t="str">
        <x:v>m</x:v>
      </x:c>
      <x:c r="S911" s="16"/>
      <x:c r="T911" s="15"/>
      <x:c r="U911" s="6"/>
      <x:c r="V911" s="6"/>
      <x:c r="W911" s="6" t="str">
        <x:v>Existing find_route and show_route implement the kit routing model.</x:v>
      </x:c>
      <x:c r="X911" s="6" t="str">
        <x:v>data/train/resplan-11076/questions_basic.jsonl</x:v>
      </x:c>
      <x:c r="Y911" s="14" t="n">
        <x:v>7</x:v>
      </x:c>
      <x:c r="Z911" s="6" t="str">
        <x:v>https://github.com/hagenhaeussler/Industrial-Agents-Hackathon-2026/blob/f41616590b69f3ea0c1cbfb41d6c35edd9ce53df/data/train/resplan-11076/questions_basic.jsonl#L7</x:v>
      </x:c>
      <x:c r="AA911" s="6" t="str">
        <x:v>resplan</x:v>
      </x:c>
      <x:c r="AB911" s="6" t="str">
        <x:v>CC-BY-4.0</x:v>
      </x:c>
    </x:row>
    <x:row r="912" ht="82" customHeight="1">
      <x:c r="A912" s="14" t="n">
        <x:v>907</x:v>
      </x:c>
      <x:c r="B912" s="6" t="str">
        <x:v>route</x:v>
      </x:c>
      <x:c r="C912" s="6" t="str">
        <x:v>How do I get from Bathroom 0.04 (Ground floor) to Bedroom 0.02 (Ground floor)?</x:v>
      </x:c>
      <x:c r="D912" s="6" t="str">
        <x:v>16.62 m
From: Bathroom 0.04
To: Bedroom 0.02
Ordered path (3 spaces): Bathroom 0.04 → Living room 0.01 → Bedroom 0.02</x:v>
      </x:c>
      <x:c r="E912" s="6" t="str">
        <x:v>Reference supplied</x:v>
      </x:c>
      <x:c r="F912" s="6" t="str">
        <x:v>train</x:v>
      </x:c>
      <x:c r="G912" s="6" t="str">
        <x:v>resplan-11706</x:v>
      </x:c>
      <x:c r="H912" s="6" t="str">
        <x:v>resplan-11706-Q05</x:v>
      </x:c>
      <x:c r="I912" s="6" t="str">
        <x:v>Route planning</x:v>
      </x:c>
      <x:c r="J912" s="6" t="str">
        <x:v>Warm-up</x:v>
      </x:c>
      <x:c r="K912" s="6" t="str">
        <x:v>Ordered space path and directions, plus total route-model distance in metres.</x:v>
      </x:c>
      <x:c r="L912" s="6" t="str">
        <x:v>T02, T05, T13</x:v>
      </x:c>
      <x:c r="M912" s="6" t="str">
        <x:v>Find a valid route between two rooms, including across floors.</x:v>
      </x:c>
      <x:c r="N912" s="6" t="str">
        <x:v>{"from_space_id":"resplan-11706-F0-S004","to_space_id":"resplan-11706-F0-S002","optimal_length_m":16.62,"space_path":["resplan-11706-F0-S004","resplan-11706-F0-S001","resplan-11706-F0-S002"],"element_path":["resplan-11706-F0-O0005","resplan-11706-F0-O0005","resplan-11706-F0-O0003","resplan-11706-F0-O0003"]}</x:v>
      </x:c>
      <x:c r="O912" s="6"/>
      <x:c r="P912" s="6" t="str">
        <x:v>README routing profile. Stairs and lifts allowed unless stated otherwise.</x:v>
      </x:c>
      <x:c r="Q912" s="15" t="n">
        <x:v>16.62</x:v>
      </x:c>
      <x:c r="R912" s="6" t="str">
        <x:v>m</x:v>
      </x:c>
      <x:c r="S912" s="16"/>
      <x:c r="T912" s="15"/>
      <x:c r="U912" s="6"/>
      <x:c r="V912" s="6"/>
      <x:c r="W912" s="6" t="str">
        <x:v>Existing find_route and show_route implement the kit routing model.</x:v>
      </x:c>
      <x:c r="X912" s="6" t="str">
        <x:v>data/train/resplan-11706/questions_basic.jsonl</x:v>
      </x:c>
      <x:c r="Y912" s="14" t="n">
        <x:v>5</x:v>
      </x:c>
      <x:c r="Z912" s="6" t="str">
        <x:v>https://github.com/hagenhaeussler/Industrial-Agents-Hackathon-2026/blob/f41616590b69f3ea0c1cbfb41d6c35edd9ce53df/data/train/resplan-11706/questions_basic.jsonl#L5</x:v>
      </x:c>
      <x:c r="AA912" s="6" t="str">
        <x:v>resplan</x:v>
      </x:c>
      <x:c r="AB912" s="6" t="str">
        <x:v>CC-BY-4.0</x:v>
      </x:c>
    </x:row>
    <x:row r="913" ht="82" customHeight="1">
      <x:c r="A913" s="14" t="n">
        <x:v>908</x:v>
      </x:c>
      <x:c r="B913" s="6" t="str">
        <x:v>route</x:v>
      </x:c>
      <x:c r="C913" s="6" t="str">
        <x:v>How do I get from Bathroom 0.04 (Ground floor) to Bedroom 0.03 (Ground floor)?</x:v>
      </x:c>
      <x:c r="D913" s="6" t="str">
        <x:v>17.79 m
From: Bathroom 0.04
To: Bedroom 0.03
Ordered path (3 spaces): Bathroom 0.04 → Living room 0.01 → Bedroom 0.03</x:v>
      </x:c>
      <x:c r="E913" s="6" t="str">
        <x:v>Reference supplied</x:v>
      </x:c>
      <x:c r="F913" s="6" t="str">
        <x:v>train</x:v>
      </x:c>
      <x:c r="G913" s="6" t="str">
        <x:v>resplan-11706</x:v>
      </x:c>
      <x:c r="H913" s="6" t="str">
        <x:v>resplan-11706-Q06</x:v>
      </x:c>
      <x:c r="I913" s="6" t="str">
        <x:v>Route planning</x:v>
      </x:c>
      <x:c r="J913" s="6" t="str">
        <x:v>Warm-up</x:v>
      </x:c>
      <x:c r="K913" s="6" t="str">
        <x:v>Ordered space path and directions, plus total route-model distance in metres.</x:v>
      </x:c>
      <x:c r="L913" s="6" t="str">
        <x:v>T02, T05, T13</x:v>
      </x:c>
      <x:c r="M913" s="6" t="str">
        <x:v>Find a valid route between two rooms, including across floors.</x:v>
      </x:c>
      <x:c r="N913" s="6" t="str">
        <x:v>{"from_space_id":"resplan-11706-F0-S004","to_space_id":"resplan-11706-F0-S003","optimal_length_m":17.79,"space_path":["resplan-11706-F0-S004","resplan-11706-F0-S001","resplan-11706-F0-S003"],"element_path":["resplan-11706-F0-O0005","resplan-11706-F0-O0005","resplan-11706-F0-O0004","resplan-11706-F0-O0004"]}</x:v>
      </x:c>
      <x:c r="O913" s="6"/>
      <x:c r="P913" s="6" t="str">
        <x:v>README routing profile. Stairs and lifts allowed unless stated otherwise.</x:v>
      </x:c>
      <x:c r="Q913" s="15" t="n">
        <x:v>17.79</x:v>
      </x:c>
      <x:c r="R913" s="6" t="str">
        <x:v>m</x:v>
      </x:c>
      <x:c r="S913" s="16"/>
      <x:c r="T913" s="15"/>
      <x:c r="U913" s="6"/>
      <x:c r="V913" s="6"/>
      <x:c r="W913" s="6" t="str">
        <x:v>Existing find_route and show_route implement the kit routing model.</x:v>
      </x:c>
      <x:c r="X913" s="6" t="str">
        <x:v>data/train/resplan-11706/questions_basic.jsonl</x:v>
      </x:c>
      <x:c r="Y913" s="14" t="n">
        <x:v>6</x:v>
      </x:c>
      <x:c r="Z913" s="6" t="str">
        <x:v>https://github.com/hagenhaeussler/Industrial-Agents-Hackathon-2026/blob/f41616590b69f3ea0c1cbfb41d6c35edd9ce53df/data/train/resplan-11706/questions_basic.jsonl#L6</x:v>
      </x:c>
      <x:c r="AA913" s="6" t="str">
        <x:v>resplan</x:v>
      </x:c>
      <x:c r="AB913" s="6" t="str">
        <x:v>CC-BY-4.0</x:v>
      </x:c>
    </x:row>
    <x:row r="914" ht="82" customHeight="1">
      <x:c r="A914" s="14" t="n">
        <x:v>909</x:v>
      </x:c>
      <x:c r="B914" s="6" t="str">
        <x:v>route</x:v>
      </x:c>
      <x:c r="C914" s="6" t="str">
        <x:v>How do I get from Bathroom 0.04 (Ground floor) to Bedroom 0.02 (Ground floor)?</x:v>
      </x:c>
      <x:c r="D914" s="6" t="str">
        <x:v>16.62 m
From: Bathroom 0.04
To: Bedroom 0.02
Ordered path (3 spaces): Bathroom 0.04 → Living room 0.01 → Bedroom 0.02</x:v>
      </x:c>
      <x:c r="E914" s="6" t="str">
        <x:v>Reference supplied</x:v>
      </x:c>
      <x:c r="F914" s="6" t="str">
        <x:v>train</x:v>
      </x:c>
      <x:c r="G914" s="6" t="str">
        <x:v>resplan-11706</x:v>
      </x:c>
      <x:c r="H914" s="6" t="str">
        <x:v>resplan-11706-Q07</x:v>
      </x:c>
      <x:c r="I914" s="6" t="str">
        <x:v>Route planning</x:v>
      </x:c>
      <x:c r="J914" s="6" t="str">
        <x:v>Warm-up</x:v>
      </x:c>
      <x:c r="K914" s="6" t="str">
        <x:v>Ordered space path and directions, plus total route-model distance in metres.</x:v>
      </x:c>
      <x:c r="L914" s="6" t="str">
        <x:v>T02, T05, T13</x:v>
      </x:c>
      <x:c r="M914" s="6" t="str">
        <x:v>Find a valid route between two rooms, including across floors.</x:v>
      </x:c>
      <x:c r="N914" s="6" t="str">
        <x:v>{"from_space_id":"resplan-11706-F0-S004","to_space_id":"resplan-11706-F0-S002","optimal_length_m":16.62,"space_path":["resplan-11706-F0-S004","resplan-11706-F0-S001","resplan-11706-F0-S002"],"element_path":["resplan-11706-F0-O0005","resplan-11706-F0-O0005","resplan-11706-F0-O0003","resplan-11706-F0-O0003"]}</x:v>
      </x:c>
      <x:c r="O914" s="6"/>
      <x:c r="P914" s="6" t="str">
        <x:v>README routing profile. Stairs and lifts allowed unless stated otherwise.</x:v>
      </x:c>
      <x:c r="Q914" s="15" t="n">
        <x:v>16.62</x:v>
      </x:c>
      <x:c r="R914" s="6" t="str">
        <x:v>m</x:v>
      </x:c>
      <x:c r="S914" s="16"/>
      <x:c r="T914" s="15"/>
      <x:c r="U914" s="6"/>
      <x:c r="V914" s="6"/>
      <x:c r="W914" s="6" t="str">
        <x:v>Existing find_route and show_route implement the kit routing model.</x:v>
      </x:c>
      <x:c r="X914" s="6" t="str">
        <x:v>data/train/resplan-11706/questions_basic.jsonl</x:v>
      </x:c>
      <x:c r="Y914" s="14" t="n">
        <x:v>7</x:v>
      </x:c>
      <x:c r="Z914" s="6" t="str">
        <x:v>https://github.com/hagenhaeussler/Industrial-Agents-Hackathon-2026/blob/f41616590b69f3ea0c1cbfb41d6c35edd9ce53df/data/train/resplan-11706/questions_basic.jsonl#L7</x:v>
      </x:c>
      <x:c r="AA914" s="6" t="str">
        <x:v>resplan</x:v>
      </x:c>
      <x:c r="AB914" s="6" t="str">
        <x:v>CC-BY-4.0</x:v>
      </x:c>
    </x:row>
    <x:row r="915" ht="72" customHeight="1">
      <x:c r="A915" s="14" t="n">
        <x:v>910</x:v>
      </x:c>
      <x:c r="B915" s="6" t="str">
        <x:v>route</x:v>
      </x:c>
      <x:c r="C915" s="6" t="str">
        <x:v>How do I get from Bedroom 0.03 (Ground floor) to Kitchen 0.06 (Ground floor)?</x:v>
      </x:c>
      <x:c r="D915" s="6" t="str">
        <x:v>12.07 m
From: Bedroom 0.03
To: Kitchen 0.06
Ordered path (3 spaces): Bedroom 0.03 → Living room 0.01 → Kitchen 0.06</x:v>
      </x:c>
      <x:c r="E915" s="6" t="str">
        <x:v>Reference supplied</x:v>
      </x:c>
      <x:c r="F915" s="6" t="str">
        <x:v>train</x:v>
      </x:c>
      <x:c r="G915" s="6" t="str">
        <x:v>resplan-11816</x:v>
      </x:c>
      <x:c r="H915" s="6" t="str">
        <x:v>resplan-11816-Q05</x:v>
      </x:c>
      <x:c r="I915" s="6" t="str">
        <x:v>Route planning</x:v>
      </x:c>
      <x:c r="J915" s="6" t="str">
        <x:v>Warm-up</x:v>
      </x:c>
      <x:c r="K915" s="6" t="str">
        <x:v>Ordered space path and directions, plus total route-model distance in metres.</x:v>
      </x:c>
      <x:c r="L915" s="6" t="str">
        <x:v>T02, T05, T13</x:v>
      </x:c>
      <x:c r="M915" s="6" t="str">
        <x:v>Find a valid route between two rooms, including across floors.</x:v>
      </x:c>
      <x:c r="N915" s="6" t="str">
        <x:v>{"from_space_id":"resplan-11816-F0-S003","to_space_id":"resplan-11816-F0-S006","optimal_length_m":12.07,"space_path":["resplan-11816-F0-S003","resplan-11816-F0-S001","resplan-11816-F0-S006"],"element_path":["resplan-11816-F0-O0003","resplan-11816-F0-O0003","resplan-11816-F0-O0005","resplan-11816-F0-O0005"]}</x:v>
      </x:c>
      <x:c r="O915" s="6"/>
      <x:c r="P915" s="6" t="str">
        <x:v>README routing profile. Stairs and lifts allowed unless stated otherwise.</x:v>
      </x:c>
      <x:c r="Q915" s="15" t="n">
        <x:v>12.07</x:v>
      </x:c>
      <x:c r="R915" s="6" t="str">
        <x:v>m</x:v>
      </x:c>
      <x:c r="S915" s="16"/>
      <x:c r="T915" s="15"/>
      <x:c r="U915" s="6"/>
      <x:c r="V915" s="6"/>
      <x:c r="W915" s="6" t="str">
        <x:v>Existing find_route and show_route implement the kit routing model.</x:v>
      </x:c>
      <x:c r="X915" s="6" t="str">
        <x:v>data/train/resplan-11816/questions_basic.jsonl</x:v>
      </x:c>
      <x:c r="Y915" s="14" t="n">
        <x:v>5</x:v>
      </x:c>
      <x:c r="Z915" s="6" t="str">
        <x:v>https://github.com/hagenhaeussler/Industrial-Agents-Hackathon-2026/blob/f41616590b69f3ea0c1cbfb41d6c35edd9ce53df/data/train/resplan-11816/questions_basic.jsonl#L5</x:v>
      </x:c>
      <x:c r="AA915" s="6" t="str">
        <x:v>resplan</x:v>
      </x:c>
      <x:c r="AB915" s="6" t="str">
        <x:v>CC-BY-4.0</x:v>
      </x:c>
    </x:row>
    <x:row r="916" ht="72" customHeight="1">
      <x:c r="A916" s="14" t="n">
        <x:v>911</x:v>
      </x:c>
      <x:c r="B916" s="6" t="str">
        <x:v>route</x:v>
      </x:c>
      <x:c r="C916" s="6" t="str">
        <x:v>How do I get from Living room 0.01 (Ground floor) to Bedroom 0.03 (Ground floor)?</x:v>
      </x:c>
      <x:c r="D916" s="6" t="str">
        <x:v>6.3 m
From: Living room 0.01
To: Bedroom 0.03
Ordered path (2 spaces): Living room 0.01 → Bedroom 0.03</x:v>
      </x:c>
      <x:c r="E916" s="6" t="str">
        <x:v>Reference supplied</x:v>
      </x:c>
      <x:c r="F916" s="6" t="str">
        <x:v>train</x:v>
      </x:c>
      <x:c r="G916" s="6" t="str">
        <x:v>resplan-11816</x:v>
      </x:c>
      <x:c r="H916" s="6" t="str">
        <x:v>resplan-11816-Q06</x:v>
      </x:c>
      <x:c r="I916" s="6" t="str">
        <x:v>Route planning</x:v>
      </x:c>
      <x:c r="J916" s="6" t="str">
        <x:v>Warm-up</x:v>
      </x:c>
      <x:c r="K916" s="6" t="str">
        <x:v>Ordered space path and directions, plus total route-model distance in metres.</x:v>
      </x:c>
      <x:c r="L916" s="6" t="str">
        <x:v>T02, T05, T13</x:v>
      </x:c>
      <x:c r="M916" s="6" t="str">
        <x:v>Find a valid route between two rooms, including across floors.</x:v>
      </x:c>
      <x:c r="N916" s="6" t="str">
        <x:v>{"from_space_id":"resplan-11816-F0-S001","to_space_id":"resplan-11816-F0-S003","optimal_length_m":6.3,"space_path":["resplan-11816-F0-S001","resplan-11816-F0-S003"],"element_path":["resplan-11816-F0-O0003","resplan-11816-F0-O0003"]}</x:v>
      </x:c>
      <x:c r="O916" s="6"/>
      <x:c r="P916" s="6" t="str">
        <x:v>README routing profile. Stairs and lifts allowed unless stated otherwise.</x:v>
      </x:c>
      <x:c r="Q916" s="15" t="n">
        <x:v>6.3</x:v>
      </x:c>
      <x:c r="R916" s="6" t="str">
        <x:v>m</x:v>
      </x:c>
      <x:c r="S916" s="16"/>
      <x:c r="T916" s="15"/>
      <x:c r="U916" s="6"/>
      <x:c r="V916" s="6"/>
      <x:c r="W916" s="6" t="str">
        <x:v>Existing find_route and show_route implement the kit routing model.</x:v>
      </x:c>
      <x:c r="X916" s="6" t="str">
        <x:v>data/train/resplan-11816/questions_basic.jsonl</x:v>
      </x:c>
      <x:c r="Y916" s="14" t="n">
        <x:v>6</x:v>
      </x:c>
      <x:c r="Z916" s="6" t="str">
        <x:v>https://github.com/hagenhaeussler/Industrial-Agents-Hackathon-2026/blob/f41616590b69f3ea0c1cbfb41d6c35edd9ce53df/data/train/resplan-11816/questions_basic.jsonl#L6</x:v>
      </x:c>
      <x:c r="AA916" s="6" t="str">
        <x:v>resplan</x:v>
      </x:c>
      <x:c r="AB916" s="6" t="str">
        <x:v>CC-BY-4.0</x:v>
      </x:c>
    </x:row>
    <x:row r="917" ht="72" customHeight="1">
      <x:c r="A917" s="14" t="n">
        <x:v>912</x:v>
      </x:c>
      <x:c r="B917" s="6" t="str">
        <x:v>route</x:v>
      </x:c>
      <x:c r="C917" s="6" t="str">
        <x:v>How do I get from Living room 0.01 (Ground floor) to Kitchen 0.06 (Ground floor)?</x:v>
      </x:c>
      <x:c r="D917" s="6" t="str">
        <x:v>5.77 m
From: Living room 0.01
To: Kitchen 0.06
Ordered path (2 spaces): Living room 0.01 → Kitchen 0.06</x:v>
      </x:c>
      <x:c r="E917" s="6" t="str">
        <x:v>Reference supplied</x:v>
      </x:c>
      <x:c r="F917" s="6" t="str">
        <x:v>train</x:v>
      </x:c>
      <x:c r="G917" s="6" t="str">
        <x:v>resplan-11816</x:v>
      </x:c>
      <x:c r="H917" s="6" t="str">
        <x:v>resplan-11816-Q07</x:v>
      </x:c>
      <x:c r="I917" s="6" t="str">
        <x:v>Route planning</x:v>
      </x:c>
      <x:c r="J917" s="6" t="str">
        <x:v>Warm-up</x:v>
      </x:c>
      <x:c r="K917" s="6" t="str">
        <x:v>Ordered space path and directions, plus total route-model distance in metres.</x:v>
      </x:c>
      <x:c r="L917" s="6" t="str">
        <x:v>T02, T05, T13</x:v>
      </x:c>
      <x:c r="M917" s="6" t="str">
        <x:v>Find a valid route between two rooms, including across floors.</x:v>
      </x:c>
      <x:c r="N917" s="6" t="str">
        <x:v>{"from_space_id":"resplan-11816-F0-S001","to_space_id":"resplan-11816-F0-S006","optimal_length_m":5.77,"space_path":["resplan-11816-F0-S001","resplan-11816-F0-S006"],"element_path":["resplan-11816-F0-O0005","resplan-11816-F0-O0005"]}</x:v>
      </x:c>
      <x:c r="O917" s="6"/>
      <x:c r="P917" s="6" t="str">
        <x:v>README routing profile. Stairs and lifts allowed unless stated otherwise.</x:v>
      </x:c>
      <x:c r="Q917" s="15" t="n">
        <x:v>5.77</x:v>
      </x:c>
      <x:c r="R917" s="6" t="str">
        <x:v>m</x:v>
      </x:c>
      <x:c r="S917" s="16"/>
      <x:c r="T917" s="15"/>
      <x:c r="U917" s="6"/>
      <x:c r="V917" s="6"/>
      <x:c r="W917" s="6" t="str">
        <x:v>Existing find_route and show_route implement the kit routing model.</x:v>
      </x:c>
      <x:c r="X917" s="6" t="str">
        <x:v>data/train/resplan-11816/questions_basic.jsonl</x:v>
      </x:c>
      <x:c r="Y917" s="14" t="n">
        <x:v>7</x:v>
      </x:c>
      <x:c r="Z917" s="6" t="str">
        <x:v>https://github.com/hagenhaeussler/Industrial-Agents-Hackathon-2026/blob/f41616590b69f3ea0c1cbfb41d6c35edd9ce53df/data/train/resplan-11816/questions_basic.jsonl#L7</x:v>
      </x:c>
      <x:c r="AA917" s="6" t="str">
        <x:v>resplan</x:v>
      </x:c>
      <x:c r="AB917" s="6" t="str">
        <x:v>CC-BY-4.0</x:v>
      </x:c>
    </x:row>
    <x:row r="918" ht="72" customHeight="1">
      <x:c r="A918" s="14" t="n">
        <x:v>913</x:v>
      </x:c>
      <x:c r="B918" s="6" t="str">
        <x:v>route</x:v>
      </x:c>
      <x:c r="C918" s="6" t="str">
        <x:v>How do I get from Bedroom 0.02 (Ground floor) to Living room 0.01 (Ground floor)?</x:v>
      </x:c>
      <x:c r="D918" s="6" t="str">
        <x:v>5.76 m
From: Bedroom 0.02
To: Living room 0.01
Ordered path (2 spaces): Bedroom 0.02 → Living room 0.01</x:v>
      </x:c>
      <x:c r="E918" s="6" t="str">
        <x:v>Reference supplied</x:v>
      </x:c>
      <x:c r="F918" s="6" t="str">
        <x:v>train</x:v>
      </x:c>
      <x:c r="G918" s="6" t="str">
        <x:v>resplan-120</x:v>
      </x:c>
      <x:c r="H918" s="6" t="str">
        <x:v>resplan-120-Q05</x:v>
      </x:c>
      <x:c r="I918" s="6" t="str">
        <x:v>Route planning</x:v>
      </x:c>
      <x:c r="J918" s="6" t="str">
        <x:v>Warm-up</x:v>
      </x:c>
      <x:c r="K918" s="6" t="str">
        <x:v>Ordered space path and directions, plus total route-model distance in metres.</x:v>
      </x:c>
      <x:c r="L918" s="6" t="str">
        <x:v>T02, T05, T13</x:v>
      </x:c>
      <x:c r="M918" s="6" t="str">
        <x:v>Find a valid route between two rooms, including across floors.</x:v>
      </x:c>
      <x:c r="N918" s="6" t="str">
        <x:v>{"from_space_id":"resplan-120-F0-S002","to_space_id":"resplan-120-F0-S001","optimal_length_m":5.76,"space_path":["resplan-120-F0-S002","resplan-120-F0-S001"],"element_path":["resplan-120-F0-O0003","resplan-120-F0-O0003"]}</x:v>
      </x:c>
      <x:c r="O918" s="6"/>
      <x:c r="P918" s="6" t="str">
        <x:v>README routing profile. Stairs and lifts allowed unless stated otherwise.</x:v>
      </x:c>
      <x:c r="Q918" s="15" t="n">
        <x:v>5.76</x:v>
      </x:c>
      <x:c r="R918" s="6" t="str">
        <x:v>m</x:v>
      </x:c>
      <x:c r="S918" s="16"/>
      <x:c r="T918" s="15"/>
      <x:c r="U918" s="6"/>
      <x:c r="V918" s="6"/>
      <x:c r="W918" s="6" t="str">
        <x:v>Existing find_route and show_route implement the kit routing model.</x:v>
      </x:c>
      <x:c r="X918" s="6" t="str">
        <x:v>data/train/resplan-120/questions_basic.jsonl</x:v>
      </x:c>
      <x:c r="Y918" s="14" t="n">
        <x:v>5</x:v>
      </x:c>
      <x:c r="Z918" s="6" t="str">
        <x:v>https://github.com/hagenhaeussler/Industrial-Agents-Hackathon-2026/blob/f41616590b69f3ea0c1cbfb41d6c35edd9ce53df/data/train/resplan-120/questions_basic.jsonl#L5</x:v>
      </x:c>
      <x:c r="AA918" s="6" t="str">
        <x:v>resplan</x:v>
      </x:c>
      <x:c r="AB918" s="6" t="str">
        <x:v>CC-BY-4.0</x:v>
      </x:c>
    </x:row>
    <x:row r="919" ht="72" customHeight="1">
      <x:c r="A919" s="14" t="n">
        <x:v>914</x:v>
      </x:c>
      <x:c r="B919" s="6" t="str">
        <x:v>route</x:v>
      </x:c>
      <x:c r="C919" s="6" t="str">
        <x:v>How do I get from Bathroom 0.05 (Ground floor) to Living room 0.01 (Ground floor)?</x:v>
      </x:c>
      <x:c r="D919" s="6" t="str">
        <x:v>5.19 m
From: Bathroom 0.05
To: Living room 0.01
Ordered path (2 spaces): Bathroom 0.05 → Living room 0.01</x:v>
      </x:c>
      <x:c r="E919" s="6" t="str">
        <x:v>Reference supplied</x:v>
      </x:c>
      <x:c r="F919" s="6" t="str">
        <x:v>train</x:v>
      </x:c>
      <x:c r="G919" s="6" t="str">
        <x:v>resplan-120</x:v>
      </x:c>
      <x:c r="H919" s="6" t="str">
        <x:v>resplan-120-Q06</x:v>
      </x:c>
      <x:c r="I919" s="6" t="str">
        <x:v>Route planning</x:v>
      </x:c>
      <x:c r="J919" s="6" t="str">
        <x:v>Warm-up</x:v>
      </x:c>
      <x:c r="K919" s="6" t="str">
        <x:v>Ordered space path and directions, plus total route-model distance in metres.</x:v>
      </x:c>
      <x:c r="L919" s="6" t="str">
        <x:v>T02, T05, T13</x:v>
      </x:c>
      <x:c r="M919" s="6" t="str">
        <x:v>Find a valid route between two rooms, including across floors.</x:v>
      </x:c>
      <x:c r="N919" s="6" t="str">
        <x:v>{"from_space_id":"resplan-120-F0-S005","to_space_id":"resplan-120-F0-S001","optimal_length_m":5.19,"space_path":["resplan-120-F0-S005","resplan-120-F0-S001"],"element_path":["resplan-120-F0-O0002","resplan-120-F0-O0002"]}</x:v>
      </x:c>
      <x:c r="O919" s="6"/>
      <x:c r="P919" s="6" t="str">
        <x:v>README routing profile. Stairs and lifts allowed unless stated otherwise.</x:v>
      </x:c>
      <x:c r="Q919" s="15" t="n">
        <x:v>5.19</x:v>
      </x:c>
      <x:c r="R919" s="6" t="str">
        <x:v>m</x:v>
      </x:c>
      <x:c r="S919" s="16"/>
      <x:c r="T919" s="15"/>
      <x:c r="U919" s="6"/>
      <x:c r="V919" s="6"/>
      <x:c r="W919" s="6" t="str">
        <x:v>Existing find_route and show_route implement the kit routing model.</x:v>
      </x:c>
      <x:c r="X919" s="6" t="str">
        <x:v>data/train/resplan-120/questions_basic.jsonl</x:v>
      </x:c>
      <x:c r="Y919" s="14" t="n">
        <x:v>6</x:v>
      </x:c>
      <x:c r="Z919" s="6" t="str">
        <x:v>https://github.com/hagenhaeussler/Industrial-Agents-Hackathon-2026/blob/f41616590b69f3ea0c1cbfb41d6c35edd9ce53df/data/train/resplan-120/questions_basic.jsonl#L6</x:v>
      </x:c>
      <x:c r="AA919" s="6" t="str">
        <x:v>resplan</x:v>
      </x:c>
      <x:c r="AB919" s="6" t="str">
        <x:v>CC-BY-4.0</x:v>
      </x:c>
    </x:row>
    <x:row r="920" ht="72" customHeight="1">
      <x:c r="A920" s="14" t="n">
        <x:v>915</x:v>
      </x:c>
      <x:c r="B920" s="6" t="str">
        <x:v>route</x:v>
      </x:c>
      <x:c r="C920" s="6" t="str">
        <x:v>How do I get from Bathroom 0.05 (Ground floor) to Living room 0.01 (Ground floor)?</x:v>
      </x:c>
      <x:c r="D920" s="6" t="str">
        <x:v>5.19 m
From: Bathroom 0.05
To: Living room 0.01
Ordered path (2 spaces): Bathroom 0.05 → Living room 0.01</x:v>
      </x:c>
      <x:c r="E920" s="6" t="str">
        <x:v>Reference supplied</x:v>
      </x:c>
      <x:c r="F920" s="6" t="str">
        <x:v>train</x:v>
      </x:c>
      <x:c r="G920" s="6" t="str">
        <x:v>resplan-120</x:v>
      </x:c>
      <x:c r="H920" s="6" t="str">
        <x:v>resplan-120-Q07</x:v>
      </x:c>
      <x:c r="I920" s="6" t="str">
        <x:v>Route planning</x:v>
      </x:c>
      <x:c r="J920" s="6" t="str">
        <x:v>Warm-up</x:v>
      </x:c>
      <x:c r="K920" s="6" t="str">
        <x:v>Ordered space path and directions, plus total route-model distance in metres.</x:v>
      </x:c>
      <x:c r="L920" s="6" t="str">
        <x:v>T02, T05, T13</x:v>
      </x:c>
      <x:c r="M920" s="6" t="str">
        <x:v>Find a valid route between two rooms, including across floors.</x:v>
      </x:c>
      <x:c r="N920" s="6" t="str">
        <x:v>{"from_space_id":"resplan-120-F0-S005","to_space_id":"resplan-120-F0-S001","optimal_length_m":5.19,"space_path":["resplan-120-F0-S005","resplan-120-F0-S001"],"element_path":["resplan-120-F0-O0002","resplan-120-F0-O0002"]}</x:v>
      </x:c>
      <x:c r="O920" s="6"/>
      <x:c r="P920" s="6" t="str">
        <x:v>README routing profile. Stairs and lifts allowed unless stated otherwise.</x:v>
      </x:c>
      <x:c r="Q920" s="15" t="n">
        <x:v>5.19</x:v>
      </x:c>
      <x:c r="R920" s="6" t="str">
        <x:v>m</x:v>
      </x:c>
      <x:c r="S920" s="16"/>
      <x:c r="T920" s="15"/>
      <x:c r="U920" s="6"/>
      <x:c r="V920" s="6"/>
      <x:c r="W920" s="6" t="str">
        <x:v>Existing find_route and show_route implement the kit routing model.</x:v>
      </x:c>
      <x:c r="X920" s="6" t="str">
        <x:v>data/train/resplan-120/questions_basic.jsonl</x:v>
      </x:c>
      <x:c r="Y920" s="14" t="n">
        <x:v>7</x:v>
      </x:c>
      <x:c r="Z920" s="6" t="str">
        <x:v>https://github.com/hagenhaeussler/Industrial-Agents-Hackathon-2026/blob/f41616590b69f3ea0c1cbfb41d6c35edd9ce53df/data/train/resplan-120/questions_basic.jsonl#L7</x:v>
      </x:c>
      <x:c r="AA920" s="6" t="str">
        <x:v>resplan</x:v>
      </x:c>
      <x:c r="AB920" s="6" t="str">
        <x:v>CC-BY-4.0</x:v>
      </x:c>
    </x:row>
    <x:row r="921" ht="72" customHeight="1">
      <x:c r="A921" s="14" t="n">
        <x:v>916</x:v>
      </x:c>
      <x:c r="B921" s="6" t="str">
        <x:v>route</x:v>
      </x:c>
      <x:c r="C921" s="6" t="str">
        <x:v>How do I get from Bedroom 0.03 (Ground floor) to Bedroom 0.02 (Ground floor)?</x:v>
      </x:c>
      <x:c r="D921" s="6" t="str">
        <x:v>11.02 m
From: Bedroom 0.03
To: Bedroom 0.02
Ordered path (3 spaces): Bedroom 0.03 → Living room 0.01 → Bedroom 0.02</x:v>
      </x:c>
      <x:c r="E921" s="6" t="str">
        <x:v>Reference supplied</x:v>
      </x:c>
      <x:c r="F921" s="6" t="str">
        <x:v>train</x:v>
      </x:c>
      <x:c r="G921" s="6" t="str">
        <x:v>resplan-12034</x:v>
      </x:c>
      <x:c r="H921" s="6" t="str">
        <x:v>resplan-12034-Q05</x:v>
      </x:c>
      <x:c r="I921" s="6" t="str">
        <x:v>Route planning</x:v>
      </x:c>
      <x:c r="J921" s="6" t="str">
        <x:v>Warm-up</x:v>
      </x:c>
      <x:c r="K921" s="6" t="str">
        <x:v>Ordered space path and directions, plus total route-model distance in metres.</x:v>
      </x:c>
      <x:c r="L921" s="6" t="str">
        <x:v>T02, T05, T13</x:v>
      </x:c>
      <x:c r="M921" s="6" t="str">
        <x:v>Find a valid route between two rooms, including across floors.</x:v>
      </x:c>
      <x:c r="N921" s="6" t="str">
        <x:v>{"from_space_id":"resplan-12034-F0-S003","to_space_id":"resplan-12034-F0-S002","optimal_length_m":11.02,"space_path":["resplan-12034-F0-S003","resplan-12034-F0-S001","resplan-12034-F0-S002"],"element_path":["resplan-12034-F0-O0007","resplan-12034-F0-O0007","resplan-12034-F0-O0002","resplan-12034-F0-O0002"]}</x:v>
      </x:c>
      <x:c r="O921" s="6"/>
      <x:c r="P921" s="6" t="str">
        <x:v>README routing profile. Stairs and lifts allowed unless stated otherwise.</x:v>
      </x:c>
      <x:c r="Q921" s="15" t="n">
        <x:v>11.02</x:v>
      </x:c>
      <x:c r="R921" s="6" t="str">
        <x:v>m</x:v>
      </x:c>
      <x:c r="S921" s="16"/>
      <x:c r="T921" s="15"/>
      <x:c r="U921" s="6"/>
      <x:c r="V921" s="6"/>
      <x:c r="W921" s="6" t="str">
        <x:v>Existing find_route and show_route implement the kit routing model.</x:v>
      </x:c>
      <x:c r="X921" s="6" t="str">
        <x:v>data/train/resplan-12034/questions_basic.jsonl</x:v>
      </x:c>
      <x:c r="Y921" s="14" t="n">
        <x:v>5</x:v>
      </x:c>
      <x:c r="Z921" s="6" t="str">
        <x:v>https://github.com/hagenhaeussler/Industrial-Agents-Hackathon-2026/blob/f41616590b69f3ea0c1cbfb41d6c35edd9ce53df/data/train/resplan-12034/questions_basic.jsonl#L5</x:v>
      </x:c>
      <x:c r="AA921" s="6" t="str">
        <x:v>resplan</x:v>
      </x:c>
      <x:c r="AB921" s="6" t="str">
        <x:v>CC-BY-4.0</x:v>
      </x:c>
    </x:row>
    <x:row r="922" ht="72" customHeight="1">
      <x:c r="A922" s="14" t="n">
        <x:v>917</x:v>
      </x:c>
      <x:c r="B922" s="6" t="str">
        <x:v>route</x:v>
      </x:c>
      <x:c r="C922" s="6" t="str">
        <x:v>How do I get from Bedroom 0.03 (Ground floor) to Living room 0.01 (Ground floor)?</x:v>
      </x:c>
      <x:c r="D922" s="6" t="str">
        <x:v>5.86 m
From: Bedroom 0.03
To: Living room 0.01
Ordered path (2 spaces): Bedroom 0.03 → Living room 0.01</x:v>
      </x:c>
      <x:c r="E922" s="6" t="str">
        <x:v>Reference supplied</x:v>
      </x:c>
      <x:c r="F922" s="6" t="str">
        <x:v>train</x:v>
      </x:c>
      <x:c r="G922" s="6" t="str">
        <x:v>resplan-12034</x:v>
      </x:c>
      <x:c r="H922" s="6" t="str">
        <x:v>resplan-12034-Q06</x:v>
      </x:c>
      <x:c r="I922" s="6" t="str">
        <x:v>Route planning</x:v>
      </x:c>
      <x:c r="J922" s="6" t="str">
        <x:v>Warm-up</x:v>
      </x:c>
      <x:c r="K922" s="6" t="str">
        <x:v>Ordered space path and directions, plus total route-model distance in metres.</x:v>
      </x:c>
      <x:c r="L922" s="6" t="str">
        <x:v>T02, T05, T13</x:v>
      </x:c>
      <x:c r="M922" s="6" t="str">
        <x:v>Find a valid route between two rooms, including across floors.</x:v>
      </x:c>
      <x:c r="N922" s="6" t="str">
        <x:v>{"from_space_id":"resplan-12034-F0-S003","to_space_id":"resplan-12034-F0-S001","optimal_length_m":5.86,"space_path":["resplan-12034-F0-S003","resplan-12034-F0-S001"],"element_path":["resplan-12034-F0-O0007","resplan-12034-F0-O0007"]}</x:v>
      </x:c>
      <x:c r="O922" s="6"/>
      <x:c r="P922" s="6" t="str">
        <x:v>README routing profile. Stairs and lifts allowed unless stated otherwise.</x:v>
      </x:c>
      <x:c r="Q922" s="15" t="n">
        <x:v>5.86</x:v>
      </x:c>
      <x:c r="R922" s="6" t="str">
        <x:v>m</x:v>
      </x:c>
      <x:c r="S922" s="16"/>
      <x:c r="T922" s="15"/>
      <x:c r="U922" s="6"/>
      <x:c r="V922" s="6"/>
      <x:c r="W922" s="6" t="str">
        <x:v>Existing find_route and show_route implement the kit routing model.</x:v>
      </x:c>
      <x:c r="X922" s="6" t="str">
        <x:v>data/train/resplan-12034/questions_basic.jsonl</x:v>
      </x:c>
      <x:c r="Y922" s="14" t="n">
        <x:v>6</x:v>
      </x:c>
      <x:c r="Z922" s="6" t="str">
        <x:v>https://github.com/hagenhaeussler/Industrial-Agents-Hackathon-2026/blob/f41616590b69f3ea0c1cbfb41d6c35edd9ce53df/data/train/resplan-12034/questions_basic.jsonl#L6</x:v>
      </x:c>
      <x:c r="AA922" s="6" t="str">
        <x:v>resplan</x:v>
      </x:c>
      <x:c r="AB922" s="6" t="str">
        <x:v>CC-BY-4.0</x:v>
      </x:c>
    </x:row>
    <x:row r="923" ht="82" customHeight="1">
      <x:c r="A923" s="14" t="n">
        <x:v>918</x:v>
      </x:c>
      <x:c r="B923" s="6" t="str">
        <x:v>route</x:v>
      </x:c>
      <x:c r="C923" s="6" t="str">
        <x:v>How do I get from Living room 0.01 (Ground floor) to Bathroom 0.04 (Ground floor)?</x:v>
      </x:c>
      <x:c r="D923" s="6" t="str">
        <x:v>9.51 m
From: Living room 0.01
To: Bathroom 0.04
Ordered path (3 spaces): Living room 0.01 → Bedroom 0.03 → Bathroom 0.04</x:v>
      </x:c>
      <x:c r="E923" s="6" t="str">
        <x:v>Reference supplied</x:v>
      </x:c>
      <x:c r="F923" s="6" t="str">
        <x:v>train</x:v>
      </x:c>
      <x:c r="G923" s="6" t="str">
        <x:v>resplan-12034</x:v>
      </x:c>
      <x:c r="H923" s="6" t="str">
        <x:v>resplan-12034-Q07</x:v>
      </x:c>
      <x:c r="I923" s="6" t="str">
        <x:v>Route planning</x:v>
      </x:c>
      <x:c r="J923" s="6" t="str">
        <x:v>Warm-up</x:v>
      </x:c>
      <x:c r="K923" s="6" t="str">
        <x:v>Ordered space path and directions, plus total route-model distance in metres.</x:v>
      </x:c>
      <x:c r="L923" s="6" t="str">
        <x:v>T02, T05, T13</x:v>
      </x:c>
      <x:c r="M923" s="6" t="str">
        <x:v>Find a valid route between two rooms, including across floors.</x:v>
      </x:c>
      <x:c r="N923" s="6" t="str">
        <x:v>{"from_space_id":"resplan-12034-F0-S001","to_space_id":"resplan-12034-F0-S004","optimal_length_m":9.51,"space_path":["resplan-12034-F0-S001","resplan-12034-F0-S003","resplan-12034-F0-S004"],"element_path":["resplan-12034-F0-O0007","resplan-12034-F0-O0007","resplan-12034-F0-O0005","resplan-12034-F0-O0005"]}</x:v>
      </x:c>
      <x:c r="O923" s="6"/>
      <x:c r="P923" s="6" t="str">
        <x:v>README routing profile. Stairs and lifts allowed unless stated otherwise.</x:v>
      </x:c>
      <x:c r="Q923" s="15" t="n">
        <x:v>9.51</x:v>
      </x:c>
      <x:c r="R923" s="6" t="str">
        <x:v>m</x:v>
      </x:c>
      <x:c r="S923" s="16"/>
      <x:c r="T923" s="15"/>
      <x:c r="U923" s="6"/>
      <x:c r="V923" s="6"/>
      <x:c r="W923" s="6" t="str">
        <x:v>Existing find_route and show_route implement the kit routing model.</x:v>
      </x:c>
      <x:c r="X923" s="6" t="str">
        <x:v>data/train/resplan-12034/questions_basic.jsonl</x:v>
      </x:c>
      <x:c r="Y923" s="14" t="n">
        <x:v>7</x:v>
      </x:c>
      <x:c r="Z923" s="6" t="str">
        <x:v>https://github.com/hagenhaeussler/Industrial-Agents-Hackathon-2026/blob/f41616590b69f3ea0c1cbfb41d6c35edd9ce53df/data/train/resplan-12034/questions_basic.jsonl#L7</x:v>
      </x:c>
      <x:c r="AA923" s="6" t="str">
        <x:v>resplan</x:v>
      </x:c>
      <x:c r="AB923" s="6" t="str">
        <x:v>CC-BY-4.0</x:v>
      </x:c>
    </x:row>
    <x:row r="924" ht="82" customHeight="1">
      <x:c r="A924" s="14" t="n">
        <x:v>919</x:v>
      </x:c>
      <x:c r="B924" s="6" t="str">
        <x:v>route</x:v>
      </x:c>
      <x:c r="C924" s="6" t="str">
        <x:v>How do I get from Bathroom 0.05 (Ground floor) to Bathroom 0.04 (Ground floor)?</x:v>
      </x:c>
      <x:c r="D924" s="6" t="str">
        <x:v>14.53 m
From: Bathroom 0.05
To: Bathroom 0.04
Ordered path (4 spaces): Bathroom 0.05 → Bedroom 0.02 → Living room 0.01 → Bathroom 0.04</x:v>
      </x:c>
      <x:c r="E924" s="6" t="str">
        <x:v>Reference supplied</x:v>
      </x:c>
      <x:c r="F924" s="6" t="str">
        <x:v>train</x:v>
      </x:c>
      <x:c r="G924" s="6" t="str">
        <x:v>resplan-1224</x:v>
      </x:c>
      <x:c r="H924" s="6" t="str">
        <x:v>resplan-1224-Q05</x:v>
      </x:c>
      <x:c r="I924" s="6" t="str">
        <x:v>Route planning</x:v>
      </x:c>
      <x:c r="J924" s="6" t="str">
        <x:v>Warm-up</x:v>
      </x:c>
      <x:c r="K924" s="6" t="str">
        <x:v>Ordered space path and directions, plus total route-model distance in metres.</x:v>
      </x:c>
      <x:c r="L924" s="6" t="str">
        <x:v>T02, T05, T13</x:v>
      </x:c>
      <x:c r="M924" s="6" t="str">
        <x:v>Find a valid route between two rooms, including across floors.</x:v>
      </x:c>
      <x:c r="N924" s="6" t="str">
        <x:v>{"from_space_id":"resplan-1224-F0-S005","to_space_id":"resplan-1224-F0-S004","optimal_length_m":14.53,"space_path":["resplan-1224-F0-S005","resplan-1224-F0-S002","resplan-1224-F0-S001","resplan-1224-F0-S004"],"element_path":["resplan-1224-F0-O0005","resplan-1224-F0-O0005","resplan-1224-F0-O0002","resplan-1224-F0-O0002","resplan-1224-F0-O0003","resplan-1224-F0-O0003"]}</x:v>
      </x:c>
      <x:c r="O924" s="6"/>
      <x:c r="P924" s="6" t="str">
        <x:v>README routing profile. Stairs and lifts allowed unless stated otherwise.</x:v>
      </x:c>
      <x:c r="Q924" s="15" t="n">
        <x:v>14.53</x:v>
      </x:c>
      <x:c r="R924" s="6" t="str">
        <x:v>m</x:v>
      </x:c>
      <x:c r="S924" s="16"/>
      <x:c r="T924" s="15"/>
      <x:c r="U924" s="6"/>
      <x:c r="V924" s="6"/>
      <x:c r="W924" s="6" t="str">
        <x:v>Existing find_route and show_route implement the kit routing model.</x:v>
      </x:c>
      <x:c r="X924" s="6" t="str">
        <x:v>data/train/resplan-1224/questions_basic.jsonl</x:v>
      </x:c>
      <x:c r="Y924" s="14" t="n">
        <x:v>5</x:v>
      </x:c>
      <x:c r="Z924" s="6" t="str">
        <x:v>https://github.com/hagenhaeussler/Industrial-Agents-Hackathon-2026/blob/f41616590b69f3ea0c1cbfb41d6c35edd9ce53df/data/train/resplan-1224/questions_basic.jsonl#L5</x:v>
      </x:c>
      <x:c r="AA924" s="6" t="str">
        <x:v>resplan</x:v>
      </x:c>
      <x:c r="AB924" s="6" t="str">
        <x:v>CC-BY-4.0</x:v>
      </x:c>
    </x:row>
    <x:row r="925" ht="72" customHeight="1">
      <x:c r="A925" s="14" t="n">
        <x:v>920</x:v>
      </x:c>
      <x:c r="B925" s="6" t="str">
        <x:v>route</x:v>
      </x:c>
      <x:c r="C925" s="6" t="str">
        <x:v>How do I get from Bedroom 0.03 (Ground floor) to Bedroom 0.02 (Ground floor)?</x:v>
      </x:c>
      <x:c r="D925" s="6" t="str">
        <x:v>12.58 m
From: Bedroom 0.03
To: Bedroom 0.02
Ordered path (3 spaces): Bedroom 0.03 → Living room 0.01 → Bedroom 0.02</x:v>
      </x:c>
      <x:c r="E925" s="6" t="str">
        <x:v>Reference supplied</x:v>
      </x:c>
      <x:c r="F925" s="6" t="str">
        <x:v>train</x:v>
      </x:c>
      <x:c r="G925" s="6" t="str">
        <x:v>resplan-1224</x:v>
      </x:c>
      <x:c r="H925" s="6" t="str">
        <x:v>resplan-1224-Q06</x:v>
      </x:c>
      <x:c r="I925" s="6" t="str">
        <x:v>Route planning</x:v>
      </x:c>
      <x:c r="J925" s="6" t="str">
        <x:v>Warm-up</x:v>
      </x:c>
      <x:c r="K925" s="6" t="str">
        <x:v>Ordered space path and directions, plus total route-model distance in metres.</x:v>
      </x:c>
      <x:c r="L925" s="6" t="str">
        <x:v>T02, T05, T13</x:v>
      </x:c>
      <x:c r="M925" s="6" t="str">
        <x:v>Find a valid route between two rooms, including across floors.</x:v>
      </x:c>
      <x:c r="N925" s="6" t="str">
        <x:v>{"from_space_id":"resplan-1224-F0-S003","to_space_id":"resplan-1224-F0-S002","optimal_length_m":12.58,"space_path":["resplan-1224-F0-S003","resplan-1224-F0-S001","resplan-1224-F0-S002"],"element_path":["resplan-1224-F0-O0001","resplan-1224-F0-O0001","resplan-1224-F0-O0002","resplan-1224-F0-O0002"]}</x:v>
      </x:c>
      <x:c r="O925" s="6"/>
      <x:c r="P925" s="6" t="str">
        <x:v>README routing profile. Stairs and lifts allowed unless stated otherwise.</x:v>
      </x:c>
      <x:c r="Q925" s="15" t="n">
        <x:v>12.58</x:v>
      </x:c>
      <x:c r="R925" s="6" t="str">
        <x:v>m</x:v>
      </x:c>
      <x:c r="S925" s="16"/>
      <x:c r="T925" s="15"/>
      <x:c r="U925" s="6"/>
      <x:c r="V925" s="6"/>
      <x:c r="W925" s="6" t="str">
        <x:v>Existing find_route and show_route implement the kit routing model.</x:v>
      </x:c>
      <x:c r="X925" s="6" t="str">
        <x:v>data/train/resplan-1224/questions_basic.jsonl</x:v>
      </x:c>
      <x:c r="Y925" s="14" t="n">
        <x:v>6</x:v>
      </x:c>
      <x:c r="Z925" s="6" t="str">
        <x:v>https://github.com/hagenhaeussler/Industrial-Agents-Hackathon-2026/blob/f41616590b69f3ea0c1cbfb41d6c35edd9ce53df/data/train/resplan-1224/questions_basic.jsonl#L6</x:v>
      </x:c>
      <x:c r="AA925" s="6" t="str">
        <x:v>resplan</x:v>
      </x:c>
      <x:c r="AB925" s="6" t="str">
        <x:v>CC-BY-4.0</x:v>
      </x:c>
    </x:row>
    <x:row r="926" ht="82" customHeight="1">
      <x:c r="A926" s="14" t="n">
        <x:v>921</x:v>
      </x:c>
      <x:c r="B926" s="6" t="str">
        <x:v>route</x:v>
      </x:c>
      <x:c r="C926" s="6" t="str">
        <x:v>How do I get from Bedroom 0.03 (Ground floor) to Bathroom 0.04 (Ground floor)?</x:v>
      </x:c>
      <x:c r="D926" s="6" t="str">
        <x:v>10.22 m
From: Bedroom 0.03
To: Bathroom 0.04
Ordered path (3 spaces): Bedroom 0.03 → Living room 0.01 → Bathroom 0.04</x:v>
      </x:c>
      <x:c r="E926" s="6" t="str">
        <x:v>Reference supplied</x:v>
      </x:c>
      <x:c r="F926" s="6" t="str">
        <x:v>train</x:v>
      </x:c>
      <x:c r="G926" s="6" t="str">
        <x:v>resplan-1224</x:v>
      </x:c>
      <x:c r="H926" s="6" t="str">
        <x:v>resplan-1224-Q07</x:v>
      </x:c>
      <x:c r="I926" s="6" t="str">
        <x:v>Route planning</x:v>
      </x:c>
      <x:c r="J926" s="6" t="str">
        <x:v>Warm-up</x:v>
      </x:c>
      <x:c r="K926" s="6" t="str">
        <x:v>Ordered space path and directions, plus total route-model distance in metres.</x:v>
      </x:c>
      <x:c r="L926" s="6" t="str">
        <x:v>T02, T05, T13</x:v>
      </x:c>
      <x:c r="M926" s="6" t="str">
        <x:v>Find a valid route between two rooms, including across floors.</x:v>
      </x:c>
      <x:c r="N926" s="6" t="str">
        <x:v>{"from_space_id":"resplan-1224-F0-S003","to_space_id":"resplan-1224-F0-S004","optimal_length_m":10.22,"space_path":["resplan-1224-F0-S003","resplan-1224-F0-S001","resplan-1224-F0-S004"],"element_path":["resplan-1224-F0-O0001","resplan-1224-F0-O0001","resplan-1224-F0-O0003","resplan-1224-F0-O0003"]}</x:v>
      </x:c>
      <x:c r="O926" s="6"/>
      <x:c r="P926" s="6" t="str">
        <x:v>README routing profile. Stairs and lifts allowed unless stated otherwise.</x:v>
      </x:c>
      <x:c r="Q926" s="15" t="n">
        <x:v>10.22</x:v>
      </x:c>
      <x:c r="R926" s="6" t="str">
        <x:v>m</x:v>
      </x:c>
      <x:c r="S926" s="16"/>
      <x:c r="T926" s="15"/>
      <x:c r="U926" s="6"/>
      <x:c r="V926" s="6"/>
      <x:c r="W926" s="6" t="str">
        <x:v>Existing find_route and show_route implement the kit routing model.</x:v>
      </x:c>
      <x:c r="X926" s="6" t="str">
        <x:v>data/train/resplan-1224/questions_basic.jsonl</x:v>
      </x:c>
      <x:c r="Y926" s="14" t="n">
        <x:v>7</x:v>
      </x:c>
      <x:c r="Z926" s="6" t="str">
        <x:v>https://github.com/hagenhaeussler/Industrial-Agents-Hackathon-2026/blob/f41616590b69f3ea0c1cbfb41d6c35edd9ce53df/data/train/resplan-1224/questions_basic.jsonl#L7</x:v>
      </x:c>
      <x:c r="AA926" s="6" t="str">
        <x:v>resplan</x:v>
      </x:c>
      <x:c r="AB926" s="6" t="str">
        <x:v>CC-BY-4.0</x:v>
      </x:c>
    </x:row>
    <x:row r="927" ht="72" customHeight="1">
      <x:c r="A927" s="14" t="n">
        <x:v>922</x:v>
      </x:c>
      <x:c r="B927" s="6" t="str">
        <x:v>route</x:v>
      </x:c>
      <x:c r="C927" s="6" t="str">
        <x:v>How do I get from Living room 0.01 (Ground floor) to Bathroom 0.03 (Ground floor)?</x:v>
      </x:c>
      <x:c r="D927" s="6" t="str">
        <x:v>3.93 m
From: Living room 0.01
To: Bathroom 0.03
Ordered path (2 spaces): Living room 0.01 → Bathroom 0.03</x:v>
      </x:c>
      <x:c r="E927" s="6" t="str">
        <x:v>Reference supplied</x:v>
      </x:c>
      <x:c r="F927" s="6" t="str">
        <x:v>train</x:v>
      </x:c>
      <x:c r="G927" s="6" t="str">
        <x:v>resplan-12304</x:v>
      </x:c>
      <x:c r="H927" s="6" t="str">
        <x:v>resplan-12304-Q05</x:v>
      </x:c>
      <x:c r="I927" s="6" t="str">
        <x:v>Route planning</x:v>
      </x:c>
      <x:c r="J927" s="6" t="str">
        <x:v>Warm-up</x:v>
      </x:c>
      <x:c r="K927" s="6" t="str">
        <x:v>Ordered space path and directions, plus total route-model distance in metres.</x:v>
      </x:c>
      <x:c r="L927" s="6" t="str">
        <x:v>T02, T05, T13</x:v>
      </x:c>
      <x:c r="M927" s="6" t="str">
        <x:v>Find a valid route between two rooms, including across floors.</x:v>
      </x:c>
      <x:c r="N927" s="6" t="str">
        <x:v>{"from_space_id":"resplan-12304-F0-S001","to_space_id":"resplan-12304-F0-S003","optimal_length_m":3.93,"space_path":["resplan-12304-F0-S001","resplan-12304-F0-S003"],"element_path":["resplan-12304-F0-O0003","resplan-12304-F0-O0003"]}</x:v>
      </x:c>
      <x:c r="O927" s="6"/>
      <x:c r="P927" s="6" t="str">
        <x:v>README routing profile. Stairs and lifts allowed unless stated otherwise.</x:v>
      </x:c>
      <x:c r="Q927" s="15" t="n">
        <x:v>3.93</x:v>
      </x:c>
      <x:c r="R927" s="6" t="str">
        <x:v>m</x:v>
      </x:c>
      <x:c r="S927" s="16"/>
      <x:c r="T927" s="15"/>
      <x:c r="U927" s="6"/>
      <x:c r="V927" s="6"/>
      <x:c r="W927" s="6" t="str">
        <x:v>Existing find_route and show_route implement the kit routing model.</x:v>
      </x:c>
      <x:c r="X927" s="6" t="str">
        <x:v>data/train/resplan-12304/questions_basic.jsonl</x:v>
      </x:c>
      <x:c r="Y927" s="14" t="n">
        <x:v>5</x:v>
      </x:c>
      <x:c r="Z927" s="6" t="str">
        <x:v>https://github.com/hagenhaeussler/Industrial-Agents-Hackathon-2026/blob/f41616590b69f3ea0c1cbfb41d6c35edd9ce53df/data/train/resplan-12304/questions_basic.jsonl#L5</x:v>
      </x:c>
      <x:c r="AA927" s="6" t="str">
        <x:v>resplan</x:v>
      </x:c>
      <x:c r="AB927" s="6" t="str">
        <x:v>CC-BY-4.0</x:v>
      </x:c>
    </x:row>
    <x:row r="928" ht="72" customHeight="1">
      <x:c r="A928" s="14" t="n">
        <x:v>923</x:v>
      </x:c>
      <x:c r="B928" s="6" t="str">
        <x:v>route</x:v>
      </x:c>
      <x:c r="C928" s="6" t="str">
        <x:v>How do I get from Bedroom 0.02 (Ground floor) to Kitchen 0.05 (Ground floor)?</x:v>
      </x:c>
      <x:c r="D928" s="6" t="str">
        <x:v>9.74 m
From: Bedroom 0.02
To: Kitchen 0.05
Ordered path (3 spaces): Bedroom 0.02 → Living room 0.01 → Kitchen 0.05</x:v>
      </x:c>
      <x:c r="E928" s="6" t="str">
        <x:v>Reference supplied</x:v>
      </x:c>
      <x:c r="F928" s="6" t="str">
        <x:v>train</x:v>
      </x:c>
      <x:c r="G928" s="6" t="str">
        <x:v>resplan-12304</x:v>
      </x:c>
      <x:c r="H928" s="6" t="str">
        <x:v>resplan-12304-Q06</x:v>
      </x:c>
      <x:c r="I928" s="6" t="str">
        <x:v>Route planning</x:v>
      </x:c>
      <x:c r="J928" s="6" t="str">
        <x:v>Warm-up</x:v>
      </x:c>
      <x:c r="K928" s="6" t="str">
        <x:v>Ordered space path and directions, plus total route-model distance in metres.</x:v>
      </x:c>
      <x:c r="L928" s="6" t="str">
        <x:v>T02, T05, T13</x:v>
      </x:c>
      <x:c r="M928" s="6" t="str">
        <x:v>Find a valid route between two rooms, including across floors.</x:v>
      </x:c>
      <x:c r="N928" s="6" t="str">
        <x:v>{"from_space_id":"resplan-12304-F0-S002","to_space_id":"resplan-12304-F0-S005","optimal_length_m":9.74,"space_path":["resplan-12304-F0-S002","resplan-12304-F0-S001","resplan-12304-F0-S005"],"element_path":["resplan-12304-F0-O0002","resplan-12304-F0-O0002","resplan-12304-F0-O0004","resplan-12304-F0-O0004"]}</x:v>
      </x:c>
      <x:c r="O928" s="6"/>
      <x:c r="P928" s="6" t="str">
        <x:v>README routing profile. Stairs and lifts allowed unless stated otherwise.</x:v>
      </x:c>
      <x:c r="Q928" s="15" t="n">
        <x:v>9.74</x:v>
      </x:c>
      <x:c r="R928" s="6" t="str">
        <x:v>m</x:v>
      </x:c>
      <x:c r="S928" s="16"/>
      <x:c r="T928" s="15"/>
      <x:c r="U928" s="6"/>
      <x:c r="V928" s="6"/>
      <x:c r="W928" s="6" t="str">
        <x:v>Existing find_route and show_route implement the kit routing model.</x:v>
      </x:c>
      <x:c r="X928" s="6" t="str">
        <x:v>data/train/resplan-12304/questions_basic.jsonl</x:v>
      </x:c>
      <x:c r="Y928" s="14" t="n">
        <x:v>6</x:v>
      </x:c>
      <x:c r="Z928" s="6" t="str">
        <x:v>https://github.com/hagenhaeussler/Industrial-Agents-Hackathon-2026/blob/f41616590b69f3ea0c1cbfb41d6c35edd9ce53df/data/train/resplan-12304/questions_basic.jsonl#L6</x:v>
      </x:c>
      <x:c r="AA928" s="6" t="str">
        <x:v>resplan</x:v>
      </x:c>
      <x:c r="AB928" s="6" t="str">
        <x:v>CC-BY-4.0</x:v>
      </x:c>
    </x:row>
    <x:row r="929" ht="82" customHeight="1">
      <x:c r="A929" s="14" t="n">
        <x:v>924</x:v>
      </x:c>
      <x:c r="B929" s="6" t="str">
        <x:v>route</x:v>
      </x:c>
      <x:c r="C929" s="6" t="str">
        <x:v>How do I get from Bathroom 0.03 (Ground floor) to Kitchen 0.05 (Ground floor)?</x:v>
      </x:c>
      <x:c r="D929" s="6" t="str">
        <x:v>7.72 m
From: Bathroom 0.03
To: Kitchen 0.05
Ordered path (3 spaces): Bathroom 0.03 → Living room 0.01 → Kitchen 0.05</x:v>
      </x:c>
      <x:c r="E929" s="6" t="str">
        <x:v>Reference supplied</x:v>
      </x:c>
      <x:c r="F929" s="6" t="str">
        <x:v>train</x:v>
      </x:c>
      <x:c r="G929" s="6" t="str">
        <x:v>resplan-12304</x:v>
      </x:c>
      <x:c r="H929" s="6" t="str">
        <x:v>resplan-12304-Q07</x:v>
      </x:c>
      <x:c r="I929" s="6" t="str">
        <x:v>Route planning</x:v>
      </x:c>
      <x:c r="J929" s="6" t="str">
        <x:v>Warm-up</x:v>
      </x:c>
      <x:c r="K929" s="6" t="str">
        <x:v>Ordered space path and directions, plus total route-model distance in metres.</x:v>
      </x:c>
      <x:c r="L929" s="6" t="str">
        <x:v>T02, T05, T13</x:v>
      </x:c>
      <x:c r="M929" s="6" t="str">
        <x:v>Find a valid route between two rooms, including across floors.</x:v>
      </x:c>
      <x:c r="N929" s="6" t="str">
        <x:v>{"from_space_id":"resplan-12304-F0-S003","to_space_id":"resplan-12304-F0-S005","optimal_length_m":7.72,"space_path":["resplan-12304-F0-S003","resplan-12304-F0-S001","resplan-12304-F0-S005"],"element_path":["resplan-12304-F0-O0003","resplan-12304-F0-O0003","resplan-12304-F0-O0004","resplan-12304-F0-O0004"]}</x:v>
      </x:c>
      <x:c r="O929" s="6"/>
      <x:c r="P929" s="6" t="str">
        <x:v>README routing profile. Stairs and lifts allowed unless stated otherwise.</x:v>
      </x:c>
      <x:c r="Q929" s="15" t="n">
        <x:v>7.72</x:v>
      </x:c>
      <x:c r="R929" s="6" t="str">
        <x:v>m</x:v>
      </x:c>
      <x:c r="S929" s="16"/>
      <x:c r="T929" s="15"/>
      <x:c r="U929" s="6"/>
      <x:c r="V929" s="6"/>
      <x:c r="W929" s="6" t="str">
        <x:v>Existing find_route and show_route implement the kit routing model.</x:v>
      </x:c>
      <x:c r="X929" s="6" t="str">
        <x:v>data/train/resplan-12304/questions_basic.jsonl</x:v>
      </x:c>
      <x:c r="Y929" s="14" t="n">
        <x:v>7</x:v>
      </x:c>
      <x:c r="Z929" s="6" t="str">
        <x:v>https://github.com/hagenhaeussler/Industrial-Agents-Hackathon-2026/blob/f41616590b69f3ea0c1cbfb41d6c35edd9ce53df/data/train/resplan-12304/questions_basic.jsonl#L7</x:v>
      </x:c>
      <x:c r="AA929" s="6" t="str">
        <x:v>resplan</x:v>
      </x:c>
      <x:c r="AB929" s="6" t="str">
        <x:v>CC-BY-4.0</x:v>
      </x:c>
    </x:row>
    <x:row r="930" ht="72" customHeight="1">
      <x:c r="A930" s="14" t="n">
        <x:v>925</x:v>
      </x:c>
      <x:c r="B930" s="6" t="str">
        <x:v>route</x:v>
      </x:c>
      <x:c r="C930" s="6" t="str">
        <x:v>How do I get from Storage 0.07 (Ground floor) to Bedroom 0.02 (Ground floor)?</x:v>
      </x:c>
      <x:c r="D930" s="6" t="str">
        <x:v>9.7 m
From: Storage 0.07
To: Bedroom 0.02
Ordered path (3 spaces): Storage 0.07 → Living room 0.01 → Bedroom 0.02</x:v>
      </x:c>
      <x:c r="E930" s="6" t="str">
        <x:v>Reference supplied</x:v>
      </x:c>
      <x:c r="F930" s="6" t="str">
        <x:v>train</x:v>
      </x:c>
      <x:c r="G930" s="6" t="str">
        <x:v>resplan-12336</x:v>
      </x:c>
      <x:c r="H930" s="6" t="str">
        <x:v>resplan-12336-Q05</x:v>
      </x:c>
      <x:c r="I930" s="6" t="str">
        <x:v>Route planning</x:v>
      </x:c>
      <x:c r="J930" s="6" t="str">
        <x:v>Warm-up</x:v>
      </x:c>
      <x:c r="K930" s="6" t="str">
        <x:v>Ordered space path and directions, plus total route-model distance in metres.</x:v>
      </x:c>
      <x:c r="L930" s="6" t="str">
        <x:v>T02, T05, T13</x:v>
      </x:c>
      <x:c r="M930" s="6" t="str">
        <x:v>Find a valid route between two rooms, including across floors.</x:v>
      </x:c>
      <x:c r="N930" s="6" t="str">
        <x:v>{"from_space_id":"resplan-12336-F0-S007","to_space_id":"resplan-12336-F0-S002","optimal_length_m":9.7,"space_path":["resplan-12336-F0-S007","resplan-12336-F0-S001","resplan-12336-F0-S002"],"element_path":["resplan-12336-F0-O0007","resplan-12336-F0-O0007","resplan-12336-F0-O0001","resplan-12336-F0-O0001"]}</x:v>
      </x:c>
      <x:c r="O930" s="6"/>
      <x:c r="P930" s="6" t="str">
        <x:v>README routing profile. Stairs and lifts allowed unless stated otherwise.</x:v>
      </x:c>
      <x:c r="Q930" s="15" t="n">
        <x:v>9.7</x:v>
      </x:c>
      <x:c r="R930" s="6" t="str">
        <x:v>m</x:v>
      </x:c>
      <x:c r="S930" s="16"/>
      <x:c r="T930" s="15"/>
      <x:c r="U930" s="6"/>
      <x:c r="V930" s="6"/>
      <x:c r="W930" s="6" t="str">
        <x:v>Existing find_route and show_route implement the kit routing model.</x:v>
      </x:c>
      <x:c r="X930" s="6" t="str">
        <x:v>data/train/resplan-12336/questions_basic.jsonl</x:v>
      </x:c>
      <x:c r="Y930" s="14" t="n">
        <x:v>5</x:v>
      </x:c>
      <x:c r="Z930" s="6" t="str">
        <x:v>https://github.com/hagenhaeussler/Industrial-Agents-Hackathon-2026/blob/f41616590b69f3ea0c1cbfb41d6c35edd9ce53df/data/train/resplan-12336/questions_basic.jsonl#L5</x:v>
      </x:c>
      <x:c r="AA930" s="6" t="str">
        <x:v>resplan</x:v>
      </x:c>
      <x:c r="AB930" s="6" t="str">
        <x:v>CC-BY-4.0</x:v>
      </x:c>
    </x:row>
    <x:row r="931" ht="72" customHeight="1">
      <x:c r="A931" s="14" t="n">
        <x:v>926</x:v>
      </x:c>
      <x:c r="B931" s="6" t="str">
        <x:v>route</x:v>
      </x:c>
      <x:c r="C931" s="6" t="str">
        <x:v>How do I get from Living room 0.01 (Ground floor) to Kitchen 0.06 (Ground floor)?</x:v>
      </x:c>
      <x:c r="D931" s="6" t="str">
        <x:v>5.52 m
From: Living room 0.01
To: Kitchen 0.06
Ordered path (2 spaces): Living room 0.01 → Kitchen 0.06</x:v>
      </x:c>
      <x:c r="E931" s="6" t="str">
        <x:v>Reference supplied</x:v>
      </x:c>
      <x:c r="F931" s="6" t="str">
        <x:v>train</x:v>
      </x:c>
      <x:c r="G931" s="6" t="str">
        <x:v>resplan-12336</x:v>
      </x:c>
      <x:c r="H931" s="6" t="str">
        <x:v>resplan-12336-Q06</x:v>
      </x:c>
      <x:c r="I931" s="6" t="str">
        <x:v>Route planning</x:v>
      </x:c>
      <x:c r="J931" s="6" t="str">
        <x:v>Warm-up</x:v>
      </x:c>
      <x:c r="K931" s="6" t="str">
        <x:v>Ordered space path and directions, plus total route-model distance in metres.</x:v>
      </x:c>
      <x:c r="L931" s="6" t="str">
        <x:v>T02, T05, T13</x:v>
      </x:c>
      <x:c r="M931" s="6" t="str">
        <x:v>Find a valid route between two rooms, including across floors.</x:v>
      </x:c>
      <x:c r="N931" s="6" t="str">
        <x:v>{"from_space_id":"resplan-12336-F0-S001","to_space_id":"resplan-12336-F0-S006","optimal_length_m":5.52,"space_path":["resplan-12336-F0-S001","resplan-12336-F0-S006"],"element_path":["resplan-12336-F0-O0004","resplan-12336-F0-O0004"]}</x:v>
      </x:c>
      <x:c r="O931" s="6"/>
      <x:c r="P931" s="6" t="str">
        <x:v>README routing profile. Stairs and lifts allowed unless stated otherwise.</x:v>
      </x:c>
      <x:c r="Q931" s="15" t="n">
        <x:v>5.52</x:v>
      </x:c>
      <x:c r="R931" s="6" t="str">
        <x:v>m</x:v>
      </x:c>
      <x:c r="S931" s="16"/>
      <x:c r="T931" s="15"/>
      <x:c r="U931" s="6"/>
      <x:c r="V931" s="6"/>
      <x:c r="W931" s="6" t="str">
        <x:v>Existing find_route and show_route implement the kit routing model.</x:v>
      </x:c>
      <x:c r="X931" s="6" t="str">
        <x:v>data/train/resplan-12336/questions_basic.jsonl</x:v>
      </x:c>
      <x:c r="Y931" s="14" t="n">
        <x:v>6</x:v>
      </x:c>
      <x:c r="Z931" s="6" t="str">
        <x:v>https://github.com/hagenhaeussler/Industrial-Agents-Hackathon-2026/blob/f41616590b69f3ea0c1cbfb41d6c35edd9ce53df/data/train/resplan-12336/questions_basic.jsonl#L6</x:v>
      </x:c>
      <x:c r="AA931" s="6" t="str">
        <x:v>resplan</x:v>
      </x:c>
      <x:c r="AB931" s="6" t="str">
        <x:v>CC-BY-4.0</x:v>
      </x:c>
    </x:row>
    <x:row r="932" ht="72" customHeight="1">
      <x:c r="A932" s="14" t="n">
        <x:v>927</x:v>
      </x:c>
      <x:c r="B932" s="6" t="str">
        <x:v>route</x:v>
      </x:c>
      <x:c r="C932" s="6" t="str">
        <x:v>How do I get from Bedroom 0.03 (Ground floor) to Storage 0.07 (Ground floor)?</x:v>
      </x:c>
      <x:c r="D932" s="6" t="str">
        <x:v>11.15 m
From: Bedroom 0.03
To: Storage 0.07
Ordered path (3 spaces): Bedroom 0.03 → Living room 0.01 → Storage 0.07</x:v>
      </x:c>
      <x:c r="E932" s="6" t="str">
        <x:v>Reference supplied</x:v>
      </x:c>
      <x:c r="F932" s="6" t="str">
        <x:v>train</x:v>
      </x:c>
      <x:c r="G932" s="6" t="str">
        <x:v>resplan-12336</x:v>
      </x:c>
      <x:c r="H932" s="6" t="str">
        <x:v>resplan-12336-Q07</x:v>
      </x:c>
      <x:c r="I932" s="6" t="str">
        <x:v>Route planning</x:v>
      </x:c>
      <x:c r="J932" s="6" t="str">
        <x:v>Warm-up</x:v>
      </x:c>
      <x:c r="K932" s="6" t="str">
        <x:v>Ordered space path and directions, plus total route-model distance in metres.</x:v>
      </x:c>
      <x:c r="L932" s="6" t="str">
        <x:v>T02, T05, T13</x:v>
      </x:c>
      <x:c r="M932" s="6" t="str">
        <x:v>Find a valid route between two rooms, including across floors.</x:v>
      </x:c>
      <x:c r="N932" s="6" t="str">
        <x:v>{"from_space_id":"resplan-12336-F0-S003","to_space_id":"resplan-12336-F0-S007","optimal_length_m":11.15,"space_path":["resplan-12336-F0-S003","resplan-12336-F0-S001","resplan-12336-F0-S007"],"element_path":["resplan-12336-F0-O0003","resplan-12336-F0-O0003","resplan-12336-F0-O0007","resplan-12336-F0-O0007"]}</x:v>
      </x:c>
      <x:c r="O932" s="6"/>
      <x:c r="P932" s="6" t="str">
        <x:v>README routing profile. Stairs and lifts allowed unless stated otherwise.</x:v>
      </x:c>
      <x:c r="Q932" s="15" t="n">
        <x:v>11.15</x:v>
      </x:c>
      <x:c r="R932" s="6" t="str">
        <x:v>m</x:v>
      </x:c>
      <x:c r="S932" s="16"/>
      <x:c r="T932" s="15"/>
      <x:c r="U932" s="6"/>
      <x:c r="V932" s="6"/>
      <x:c r="W932" s="6" t="str">
        <x:v>Existing find_route and show_route implement the kit routing model.</x:v>
      </x:c>
      <x:c r="X932" s="6" t="str">
        <x:v>data/train/resplan-12336/questions_basic.jsonl</x:v>
      </x:c>
      <x:c r="Y932" s="14" t="n">
        <x:v>7</x:v>
      </x:c>
      <x:c r="Z932" s="6" t="str">
        <x:v>https://github.com/hagenhaeussler/Industrial-Agents-Hackathon-2026/blob/f41616590b69f3ea0c1cbfb41d6c35edd9ce53df/data/train/resplan-12336/questions_basic.jsonl#L7</x:v>
      </x:c>
      <x:c r="AA932" s="6" t="str">
        <x:v>resplan</x:v>
      </x:c>
      <x:c r="AB932" s="6" t="str">
        <x:v>CC-BY-4.0</x:v>
      </x:c>
    </x:row>
    <x:row r="933" ht="72" customHeight="1">
      <x:c r="A933" s="14" t="n">
        <x:v>928</x:v>
      </x:c>
      <x:c r="B933" s="6" t="str">
        <x:v>route</x:v>
      </x:c>
      <x:c r="C933" s="6" t="str">
        <x:v>How do I get from Living room 0.01 (Ground floor) to Bathroom 0.06 (Ground floor)?</x:v>
      </x:c>
      <x:c r="D933" s="6" t="str">
        <x:v>12.21 m
From: Living room 0.01
To: Bathroom 0.06
Ordered path (2 spaces): Living room 0.01 → Bathroom 0.06</x:v>
      </x:c>
      <x:c r="E933" s="6" t="str">
        <x:v>Reference supplied</x:v>
      </x:c>
      <x:c r="F933" s="6" t="str">
        <x:v>train</x:v>
      </x:c>
      <x:c r="G933" s="6" t="str">
        <x:v>resplan-12462</x:v>
      </x:c>
      <x:c r="H933" s="6" t="str">
        <x:v>resplan-12462-Q05</x:v>
      </x:c>
      <x:c r="I933" s="6" t="str">
        <x:v>Route planning</x:v>
      </x:c>
      <x:c r="J933" s="6" t="str">
        <x:v>Warm-up</x:v>
      </x:c>
      <x:c r="K933" s="6" t="str">
        <x:v>Ordered space path and directions, plus total route-model distance in metres.</x:v>
      </x:c>
      <x:c r="L933" s="6" t="str">
        <x:v>T02, T05, T13</x:v>
      </x:c>
      <x:c r="M933" s="6" t="str">
        <x:v>Find a valid route between two rooms, including across floors.</x:v>
      </x:c>
      <x:c r="N933" s="6" t="str">
        <x:v>{"from_space_id":"resplan-12462-F0-S001","to_space_id":"resplan-12462-F0-S006","optimal_length_m":12.21,"space_path":["resplan-12462-F0-S001","resplan-12462-F0-S006"],"element_path":["resplan-12462-F0-O0003","resplan-12462-F0-O0003"]}</x:v>
      </x:c>
      <x:c r="O933" s="6"/>
      <x:c r="P933" s="6" t="str">
        <x:v>README routing profile. Stairs and lifts allowed unless stated otherwise.</x:v>
      </x:c>
      <x:c r="Q933" s="15" t="n">
        <x:v>12.21</x:v>
      </x:c>
      <x:c r="R933" s="6" t="str">
        <x:v>m</x:v>
      </x:c>
      <x:c r="S933" s="16"/>
      <x:c r="T933" s="15"/>
      <x:c r="U933" s="6"/>
      <x:c r="V933" s="6"/>
      <x:c r="W933" s="6" t="str">
        <x:v>Existing find_route and show_route implement the kit routing model.</x:v>
      </x:c>
      <x:c r="X933" s="6" t="str">
        <x:v>data/train/resplan-12462/questions_basic.jsonl</x:v>
      </x:c>
      <x:c r="Y933" s="14" t="n">
        <x:v>5</x:v>
      </x:c>
      <x:c r="Z933" s="6" t="str">
        <x:v>https://github.com/hagenhaeussler/Industrial-Agents-Hackathon-2026/blob/f41616590b69f3ea0c1cbfb41d6c35edd9ce53df/data/train/resplan-12462/questions_basic.jsonl#L5</x:v>
      </x:c>
      <x:c r="AA933" s="6" t="str">
        <x:v>resplan</x:v>
      </x:c>
      <x:c r="AB933" s="6" t="str">
        <x:v>CC-BY-4.0</x:v>
      </x:c>
    </x:row>
    <x:row r="934" ht="82" customHeight="1">
      <x:c r="A934" s="14" t="n">
        <x:v>929</x:v>
      </x:c>
      <x:c r="B934" s="6" t="str">
        <x:v>route</x:v>
      </x:c>
      <x:c r="C934" s="6" t="str">
        <x:v>How do I get from Bedroom 0.02 (Ground floor) to Bathroom 0.05 (Ground floor)?</x:v>
      </x:c>
      <x:c r="D934" s="6" t="str">
        <x:v>29.34 m
From: Bedroom 0.02
To: Bathroom 0.05
Ordered path (4 spaces): Bedroom 0.02 → Living room 0.01 → Bedroom 0.03 → Bathroom 0.05</x:v>
      </x:c>
      <x:c r="E934" s="6" t="str">
        <x:v>Reference supplied</x:v>
      </x:c>
      <x:c r="F934" s="6" t="str">
        <x:v>train</x:v>
      </x:c>
      <x:c r="G934" s="6" t="str">
        <x:v>resplan-12462</x:v>
      </x:c>
      <x:c r="H934" s="6" t="str">
        <x:v>resplan-12462-Q06</x:v>
      </x:c>
      <x:c r="I934" s="6" t="str">
        <x:v>Route planning</x:v>
      </x:c>
      <x:c r="J934" s="6" t="str">
        <x:v>Warm-up</x:v>
      </x:c>
      <x:c r="K934" s="6" t="str">
        <x:v>Ordered space path and directions, plus total route-model distance in metres.</x:v>
      </x:c>
      <x:c r="L934" s="6" t="str">
        <x:v>T02, T05, T13</x:v>
      </x:c>
      <x:c r="M934" s="6" t="str">
        <x:v>Find a valid route between two rooms, including across floors.</x:v>
      </x:c>
      <x:c r="N934" s="6" t="str">
        <x:v>{"from_space_id":"resplan-12462-F0-S002","to_space_id":"resplan-12462-F0-S005","optimal_length_m":29.34,"space_path":["resplan-12462-F0-S002","resplan-12462-F0-S001","resplan-12462-F0-S003","resplan-12462-F0-S005"],"element_path":["resplan-12462-F0-O0001","resplan-12462-F0-O0001","resplan-12462-F0-O0004","resplan-12462-F0-O0004","resplan-12462-F0-O0002","resplan-12462-F0-O0002"]}</x:v>
      </x:c>
      <x:c r="O934" s="6"/>
      <x:c r="P934" s="6" t="str">
        <x:v>README routing profile. Stairs and lifts allowed unless stated otherwise.</x:v>
      </x:c>
      <x:c r="Q934" s="15" t="n">
        <x:v>29.34</x:v>
      </x:c>
      <x:c r="R934" s="6" t="str">
        <x:v>m</x:v>
      </x:c>
      <x:c r="S934" s="16"/>
      <x:c r="T934" s="15"/>
      <x:c r="U934" s="6"/>
      <x:c r="V934" s="6"/>
      <x:c r="W934" s="6" t="str">
        <x:v>Existing find_route and show_route implement the kit routing model.</x:v>
      </x:c>
      <x:c r="X934" s="6" t="str">
        <x:v>data/train/resplan-12462/questions_basic.jsonl</x:v>
      </x:c>
      <x:c r="Y934" s="14" t="n">
        <x:v>6</x:v>
      </x:c>
      <x:c r="Z934" s="6" t="str">
        <x:v>https://github.com/hagenhaeussler/Industrial-Agents-Hackathon-2026/blob/f41616590b69f3ea0c1cbfb41d6c35edd9ce53df/data/train/resplan-12462/questions_basic.jsonl#L6</x:v>
      </x:c>
      <x:c r="AA934" s="6" t="str">
        <x:v>resplan</x:v>
      </x:c>
      <x:c r="AB934" s="6" t="str">
        <x:v>CC-BY-4.0</x:v>
      </x:c>
    </x:row>
    <x:row r="935" ht="82" customHeight="1">
      <x:c r="A935" s="14" t="n">
        <x:v>930</x:v>
      </x:c>
      <x:c r="B935" s="6" t="str">
        <x:v>route</x:v>
      </x:c>
      <x:c r="C935" s="6" t="str">
        <x:v>How do I get from Bathroom 0.07 (Ground floor) to Bathroom 0.05 (Ground floor)?</x:v>
      </x:c>
      <x:c r="D935" s="6" t="str">
        <x:v>36.54 m
From: Bathroom 0.07
To: Bathroom 0.05
Ordered path (5 spaces): Bathroom 0.07 → Bedroom 0.04 → Living room 0.01 → Bedroom 0.03 → Bathroom 0.05</x:v>
      </x:c>
      <x:c r="E935" s="6" t="str">
        <x:v>Reference supplied</x:v>
      </x:c>
      <x:c r="F935" s="6" t="str">
        <x:v>train</x:v>
      </x:c>
      <x:c r="G935" s="6" t="str">
        <x:v>resplan-12462</x:v>
      </x:c>
      <x:c r="H935" s="6" t="str">
        <x:v>resplan-12462-Q07</x:v>
      </x:c>
      <x:c r="I935" s="6" t="str">
        <x:v>Route planning</x:v>
      </x:c>
      <x:c r="J935" s="6" t="str">
        <x:v>Warm-up</x:v>
      </x:c>
      <x:c r="K935" s="6" t="str">
        <x:v>Ordered space path and directions, plus total route-model distance in metres.</x:v>
      </x:c>
      <x:c r="L935" s="6" t="str">
        <x:v>T02, T05, T13</x:v>
      </x:c>
      <x:c r="M935" s="6" t="str">
        <x:v>Find a valid route between two rooms, including across floors.</x:v>
      </x:c>
      <x:c r="N935" s="6" t="str">
        <x:v>{"from_space_id":"resplan-12462-F0-S007","to_space_id":"resplan-12462-F0-S005","optimal_length_m":36.54,"space_path":["resplan-12462-F0-S007","resplan-12462-F0-S004","resplan-12462-F0-S001","resplan-12462-F0-S003","resplan-12462-F0-S005"],"element_path":["resplan-12462-F0-O0006","resplan-12462-F0-O0006","resplan-12462-F0-O0005","resplan-12462-F0-O0005","resplan-12462-F0-O0004","resplan-12462-F0-O0004","resplan-12462-F0-O0002","resplan-12462-F0-O0002"]}</x:v>
      </x:c>
      <x:c r="O935" s="6"/>
      <x:c r="P935" s="6" t="str">
        <x:v>README routing profile. Stairs and lifts allowed unless stated otherwise.</x:v>
      </x:c>
      <x:c r="Q935" s="15" t="n">
        <x:v>36.54</x:v>
      </x:c>
      <x:c r="R935" s="6" t="str">
        <x:v>m</x:v>
      </x:c>
      <x:c r="S935" s="16"/>
      <x:c r="T935" s="15"/>
      <x:c r="U935" s="6"/>
      <x:c r="V935" s="6"/>
      <x:c r="W935" s="6" t="str">
        <x:v>Existing find_route and show_route implement the kit routing model.</x:v>
      </x:c>
      <x:c r="X935" s="6" t="str">
        <x:v>data/train/resplan-12462/questions_basic.jsonl</x:v>
      </x:c>
      <x:c r="Y935" s="14" t="n">
        <x:v>7</x:v>
      </x:c>
      <x:c r="Z935" s="6" t="str">
        <x:v>https://github.com/hagenhaeussler/Industrial-Agents-Hackathon-2026/blob/f41616590b69f3ea0c1cbfb41d6c35edd9ce53df/data/train/resplan-12462/questions_basic.jsonl#L7</x:v>
      </x:c>
      <x:c r="AA935" s="6" t="str">
        <x:v>resplan</x:v>
      </x:c>
      <x:c r="AB935" s="6" t="str">
        <x:v>CC-BY-4.0</x:v>
      </x:c>
    </x:row>
    <x:row r="936" ht="82" customHeight="1">
      <x:c r="A936" s="14" t="n">
        <x:v>931</x:v>
      </x:c>
      <x:c r="B936" s="6" t="str">
        <x:v>route</x:v>
      </x:c>
      <x:c r="C936" s="6" t="str">
        <x:v>How do I get from Bathroom 0.03 (Ground floor) to Bedroom 0.02 (Ground floor)?</x:v>
      </x:c>
      <x:c r="D936" s="6" t="str">
        <x:v>9.71 m
From: Bathroom 0.03
To: Bedroom 0.02
Ordered path (3 spaces): Bathroom 0.03 → Living room 0.01 → Bedroom 0.02</x:v>
      </x:c>
      <x:c r="E936" s="6" t="str">
        <x:v>Reference supplied</x:v>
      </x:c>
      <x:c r="F936" s="6" t="str">
        <x:v>train</x:v>
      </x:c>
      <x:c r="G936" s="6" t="str">
        <x:v>resplan-12750</x:v>
      </x:c>
      <x:c r="H936" s="6" t="str">
        <x:v>resplan-12750-Q05</x:v>
      </x:c>
      <x:c r="I936" s="6" t="str">
        <x:v>Route planning</x:v>
      </x:c>
      <x:c r="J936" s="6" t="str">
        <x:v>Warm-up</x:v>
      </x:c>
      <x:c r="K936" s="6" t="str">
        <x:v>Ordered space path and directions, plus total route-model distance in metres.</x:v>
      </x:c>
      <x:c r="L936" s="6" t="str">
        <x:v>T02, T05, T13</x:v>
      </x:c>
      <x:c r="M936" s="6" t="str">
        <x:v>Find a valid route between two rooms, including across floors.</x:v>
      </x:c>
      <x:c r="N936" s="6" t="str">
        <x:v>{"from_space_id":"resplan-12750-F0-S003","to_space_id":"resplan-12750-F0-S002","optimal_length_m":9.71,"space_path":["resplan-12750-F0-S003","resplan-12750-F0-S001","resplan-12750-F0-S002"],"element_path":["resplan-12750-F0-O0001","resplan-12750-F0-O0001","resplan-12750-F0-O0003","resplan-12750-F0-O0003"]}</x:v>
      </x:c>
      <x:c r="O936" s="6"/>
      <x:c r="P936" s="6" t="str">
        <x:v>README routing profile. Stairs and lifts allowed unless stated otherwise.</x:v>
      </x:c>
      <x:c r="Q936" s="15" t="n">
        <x:v>9.71</x:v>
      </x:c>
      <x:c r="R936" s="6" t="str">
        <x:v>m</x:v>
      </x:c>
      <x:c r="S936" s="16"/>
      <x:c r="T936" s="15"/>
      <x:c r="U936" s="6"/>
      <x:c r="V936" s="6"/>
      <x:c r="W936" s="6" t="str">
        <x:v>Existing find_route and show_route implement the kit routing model.</x:v>
      </x:c>
      <x:c r="X936" s="6" t="str">
        <x:v>data/train/resplan-12750/questions_basic.jsonl</x:v>
      </x:c>
      <x:c r="Y936" s="14" t="n">
        <x:v>5</x:v>
      </x:c>
      <x:c r="Z936" s="6" t="str">
        <x:v>https://github.com/hagenhaeussler/Industrial-Agents-Hackathon-2026/blob/f41616590b69f3ea0c1cbfb41d6c35edd9ce53df/data/train/resplan-12750/questions_basic.jsonl#L5</x:v>
      </x:c>
      <x:c r="AA936" s="6" t="str">
        <x:v>resplan</x:v>
      </x:c>
      <x:c r="AB936" s="6" t="str">
        <x:v>CC-BY-4.0</x:v>
      </x:c>
    </x:row>
    <x:row r="937" ht="82" customHeight="1">
      <x:c r="A937" s="14" t="n">
        <x:v>932</x:v>
      </x:c>
      <x:c r="B937" s="6" t="str">
        <x:v>route</x:v>
      </x:c>
      <x:c r="C937" s="6" t="str">
        <x:v>How do I get from Bathroom 0.03 (Ground floor) to Kitchen 0.05 (Ground floor)?</x:v>
      </x:c>
      <x:c r="D937" s="6" t="str">
        <x:v>7.68 m
From: Bathroom 0.03
To: Kitchen 0.05
Ordered path (3 spaces): Bathroom 0.03 → Living room 0.01 → Kitchen 0.05</x:v>
      </x:c>
      <x:c r="E937" s="6" t="str">
        <x:v>Reference supplied</x:v>
      </x:c>
      <x:c r="F937" s="6" t="str">
        <x:v>train</x:v>
      </x:c>
      <x:c r="G937" s="6" t="str">
        <x:v>resplan-12750</x:v>
      </x:c>
      <x:c r="H937" s="6" t="str">
        <x:v>resplan-12750-Q06</x:v>
      </x:c>
      <x:c r="I937" s="6" t="str">
        <x:v>Route planning</x:v>
      </x:c>
      <x:c r="J937" s="6" t="str">
        <x:v>Warm-up</x:v>
      </x:c>
      <x:c r="K937" s="6" t="str">
        <x:v>Ordered space path and directions, plus total route-model distance in metres.</x:v>
      </x:c>
      <x:c r="L937" s="6" t="str">
        <x:v>T02, T05, T13</x:v>
      </x:c>
      <x:c r="M937" s="6" t="str">
        <x:v>Find a valid route between two rooms, including across floors.</x:v>
      </x:c>
      <x:c r="N937" s="6" t="str">
        <x:v>{"from_space_id":"resplan-12750-F0-S003","to_space_id":"resplan-12750-F0-S005","optimal_length_m":7.68,"space_path":["resplan-12750-F0-S003","resplan-12750-F0-S001","resplan-12750-F0-S005"],"element_path":["resplan-12750-F0-O0001","resplan-12750-F0-O0001","resplan-12750-F0-O0004","resplan-12750-F0-O0004"]}</x:v>
      </x:c>
      <x:c r="O937" s="6"/>
      <x:c r="P937" s="6" t="str">
        <x:v>README routing profile. Stairs and lifts allowed unless stated otherwise.</x:v>
      </x:c>
      <x:c r="Q937" s="15" t="n">
        <x:v>7.68</x:v>
      </x:c>
      <x:c r="R937" s="6" t="str">
        <x:v>m</x:v>
      </x:c>
      <x:c r="S937" s="16"/>
      <x:c r="T937" s="15"/>
      <x:c r="U937" s="6"/>
      <x:c r="V937" s="6"/>
      <x:c r="W937" s="6" t="str">
        <x:v>Existing find_route and show_route implement the kit routing model.</x:v>
      </x:c>
      <x:c r="X937" s="6" t="str">
        <x:v>data/train/resplan-12750/questions_basic.jsonl</x:v>
      </x:c>
      <x:c r="Y937" s="14" t="n">
        <x:v>6</x:v>
      </x:c>
      <x:c r="Z937" s="6" t="str">
        <x:v>https://github.com/hagenhaeussler/Industrial-Agents-Hackathon-2026/blob/f41616590b69f3ea0c1cbfb41d6c35edd9ce53df/data/train/resplan-12750/questions_basic.jsonl#L6</x:v>
      </x:c>
      <x:c r="AA937" s="6" t="str">
        <x:v>resplan</x:v>
      </x:c>
      <x:c r="AB937" s="6" t="str">
        <x:v>CC-BY-4.0</x:v>
      </x:c>
    </x:row>
    <x:row r="938" ht="82" customHeight="1">
      <x:c r="A938" s="14" t="n">
        <x:v>933</x:v>
      </x:c>
      <x:c r="B938" s="6" t="str">
        <x:v>route</x:v>
      </x:c>
      <x:c r="C938" s="6" t="str">
        <x:v>How do I get from Bathroom 0.04 (Ground floor) to Bathroom 0.03 (Ground floor)?</x:v>
      </x:c>
      <x:c r="D938" s="6" t="str">
        <x:v>7.61 m
From: Bathroom 0.04
To: Bathroom 0.03
Ordered path (3 spaces): Bathroom 0.04 → Living room 0.01 → Bathroom 0.03</x:v>
      </x:c>
      <x:c r="E938" s="6" t="str">
        <x:v>Reference supplied</x:v>
      </x:c>
      <x:c r="F938" s="6" t="str">
        <x:v>train</x:v>
      </x:c>
      <x:c r="G938" s="6" t="str">
        <x:v>resplan-12750</x:v>
      </x:c>
      <x:c r="H938" s="6" t="str">
        <x:v>resplan-12750-Q07</x:v>
      </x:c>
      <x:c r="I938" s="6" t="str">
        <x:v>Route planning</x:v>
      </x:c>
      <x:c r="J938" s="6" t="str">
        <x:v>Warm-up</x:v>
      </x:c>
      <x:c r="K938" s="6" t="str">
        <x:v>Ordered space path and directions, plus total route-model distance in metres.</x:v>
      </x:c>
      <x:c r="L938" s="6" t="str">
        <x:v>T02, T05, T13</x:v>
      </x:c>
      <x:c r="M938" s="6" t="str">
        <x:v>Find a valid route between two rooms, including across floors.</x:v>
      </x:c>
      <x:c r="N938" s="6" t="str">
        <x:v>{"from_space_id":"resplan-12750-F0-S004","to_space_id":"resplan-12750-F0-S003","optimal_length_m":7.61,"space_path":["resplan-12750-F0-S004","resplan-12750-F0-S001","resplan-12750-F0-S003"],"element_path":["resplan-12750-F0-O0002","resplan-12750-F0-O0002","resplan-12750-F0-O0001","resplan-12750-F0-O0001"]}</x:v>
      </x:c>
      <x:c r="O938" s="6"/>
      <x:c r="P938" s="6" t="str">
        <x:v>README routing profile. Stairs and lifts allowed unless stated otherwise.</x:v>
      </x:c>
      <x:c r="Q938" s="15" t="n">
        <x:v>7.61</x:v>
      </x:c>
      <x:c r="R938" s="6" t="str">
        <x:v>m</x:v>
      </x:c>
      <x:c r="S938" s="16"/>
      <x:c r="T938" s="15"/>
      <x:c r="U938" s="6"/>
      <x:c r="V938" s="6"/>
      <x:c r="W938" s="6" t="str">
        <x:v>Existing find_route and show_route implement the kit routing model.</x:v>
      </x:c>
      <x:c r="X938" s="6" t="str">
        <x:v>data/train/resplan-12750/questions_basic.jsonl</x:v>
      </x:c>
      <x:c r="Y938" s="14" t="n">
        <x:v>7</x:v>
      </x:c>
      <x:c r="Z938" s="6" t="str">
        <x:v>https://github.com/hagenhaeussler/Industrial-Agents-Hackathon-2026/blob/f41616590b69f3ea0c1cbfb41d6c35edd9ce53df/data/train/resplan-12750/questions_basic.jsonl#L7</x:v>
      </x:c>
      <x:c r="AA938" s="6" t="str">
        <x:v>resplan</x:v>
      </x:c>
      <x:c r="AB938" s="6" t="str">
        <x:v>CC-BY-4.0</x:v>
      </x:c>
    </x:row>
    <x:row r="939" ht="72" customHeight="1">
      <x:c r="A939" s="14" t="n">
        <x:v>934</x:v>
      </x:c>
      <x:c r="B939" s="6" t="str">
        <x:v>route</x:v>
      </x:c>
      <x:c r="C939" s="6" t="str">
        <x:v>How do I get from Bedroom 0.02 (Ground floor) to Living room 0.01 (Ground floor)?</x:v>
      </x:c>
      <x:c r="D939" s="6" t="str">
        <x:v>6.09 m
From: Bedroom 0.02
To: Living room 0.01
Ordered path (2 spaces): Bedroom 0.02 → Living room 0.01</x:v>
      </x:c>
      <x:c r="E939" s="6" t="str">
        <x:v>Reference supplied</x:v>
      </x:c>
      <x:c r="F939" s="6" t="str">
        <x:v>train</x:v>
      </x:c>
      <x:c r="G939" s="6" t="str">
        <x:v>resplan-12844</x:v>
      </x:c>
      <x:c r="H939" s="6" t="str">
        <x:v>resplan-12844-Q05</x:v>
      </x:c>
      <x:c r="I939" s="6" t="str">
        <x:v>Route planning</x:v>
      </x:c>
      <x:c r="J939" s="6" t="str">
        <x:v>Warm-up</x:v>
      </x:c>
      <x:c r="K939" s="6" t="str">
        <x:v>Ordered space path and directions, plus total route-model distance in metres.</x:v>
      </x:c>
      <x:c r="L939" s="6" t="str">
        <x:v>T02, T05, T13</x:v>
      </x:c>
      <x:c r="M939" s="6" t="str">
        <x:v>Find a valid route between two rooms, including across floors.</x:v>
      </x:c>
      <x:c r="N939" s="6" t="str">
        <x:v>{"from_space_id":"resplan-12844-F0-S002","to_space_id":"resplan-12844-F0-S001","optimal_length_m":6.09,"space_path":["resplan-12844-F0-S002","resplan-12844-F0-S001"],"element_path":["resplan-12844-F0-O0001","resplan-12844-F0-O0001"]}</x:v>
      </x:c>
      <x:c r="O939" s="6"/>
      <x:c r="P939" s="6" t="str">
        <x:v>README routing profile. Stairs and lifts allowed unless stated otherwise.</x:v>
      </x:c>
      <x:c r="Q939" s="15" t="n">
        <x:v>6.09</x:v>
      </x:c>
      <x:c r="R939" s="6" t="str">
        <x:v>m</x:v>
      </x:c>
      <x:c r="S939" s="16"/>
      <x:c r="T939" s="15"/>
      <x:c r="U939" s="6"/>
      <x:c r="V939" s="6"/>
      <x:c r="W939" s="6" t="str">
        <x:v>Existing find_route and show_route implement the kit routing model.</x:v>
      </x:c>
      <x:c r="X939" s="6" t="str">
        <x:v>data/train/resplan-12844/questions_basic.jsonl</x:v>
      </x:c>
      <x:c r="Y939" s="14" t="n">
        <x:v>5</x:v>
      </x:c>
      <x:c r="Z939" s="6" t="str">
        <x:v>https://github.com/hagenhaeussler/Industrial-Agents-Hackathon-2026/blob/f41616590b69f3ea0c1cbfb41d6c35edd9ce53df/data/train/resplan-12844/questions_basic.jsonl#L5</x:v>
      </x:c>
      <x:c r="AA939" s="6" t="str">
        <x:v>resplan</x:v>
      </x:c>
      <x:c r="AB939" s="6" t="str">
        <x:v>CC-BY-4.0</x:v>
      </x:c>
    </x:row>
    <x:row r="940" ht="72" customHeight="1">
      <x:c r="A940" s="14" t="n">
        <x:v>935</x:v>
      </x:c>
      <x:c r="B940" s="6" t="str">
        <x:v>route</x:v>
      </x:c>
      <x:c r="C940" s="6" t="str">
        <x:v>How do I get from Bedroom 0.04 (Ground floor) to Bedroom 0.02 (Ground floor)?</x:v>
      </x:c>
      <x:c r="D940" s="6" t="str">
        <x:v>14.57 m
From: Bedroom 0.04
To: Bedroom 0.02
Ordered path (3 spaces): Bedroom 0.04 → Living room 0.01 → Bedroom 0.02</x:v>
      </x:c>
      <x:c r="E940" s="6" t="str">
        <x:v>Reference supplied</x:v>
      </x:c>
      <x:c r="F940" s="6" t="str">
        <x:v>train</x:v>
      </x:c>
      <x:c r="G940" s="6" t="str">
        <x:v>resplan-12844</x:v>
      </x:c>
      <x:c r="H940" s="6" t="str">
        <x:v>resplan-12844-Q06</x:v>
      </x:c>
      <x:c r="I940" s="6" t="str">
        <x:v>Route planning</x:v>
      </x:c>
      <x:c r="J940" s="6" t="str">
        <x:v>Warm-up</x:v>
      </x:c>
      <x:c r="K940" s="6" t="str">
        <x:v>Ordered space path and directions, plus total route-model distance in metres.</x:v>
      </x:c>
      <x:c r="L940" s="6" t="str">
        <x:v>T02, T05, T13</x:v>
      </x:c>
      <x:c r="M940" s="6" t="str">
        <x:v>Find a valid route between two rooms, including across floors.</x:v>
      </x:c>
      <x:c r="N940" s="6" t="str">
        <x:v>{"from_space_id":"resplan-12844-F0-S004","to_space_id":"resplan-12844-F0-S002","optimal_length_m":14.57,"space_path":["resplan-12844-F0-S004","resplan-12844-F0-S001","resplan-12844-F0-S002"],"element_path":["resplan-12844-F0-O0004","resplan-12844-F0-O0004","resplan-12844-F0-O0001","resplan-12844-F0-O0001"]}</x:v>
      </x:c>
      <x:c r="O940" s="6"/>
      <x:c r="P940" s="6" t="str">
        <x:v>README routing profile. Stairs and lifts allowed unless stated otherwise.</x:v>
      </x:c>
      <x:c r="Q940" s="15" t="n">
        <x:v>14.57</x:v>
      </x:c>
      <x:c r="R940" s="6" t="str">
        <x:v>m</x:v>
      </x:c>
      <x:c r="S940" s="16"/>
      <x:c r="T940" s="15"/>
      <x:c r="U940" s="6"/>
      <x:c r="V940" s="6"/>
      <x:c r="W940" s="6" t="str">
        <x:v>Existing find_route and show_route implement the kit routing model.</x:v>
      </x:c>
      <x:c r="X940" s="6" t="str">
        <x:v>data/train/resplan-12844/questions_basic.jsonl</x:v>
      </x:c>
      <x:c r="Y940" s="14" t="n">
        <x:v>6</x:v>
      </x:c>
      <x:c r="Z940" s="6" t="str">
        <x:v>https://github.com/hagenhaeussler/Industrial-Agents-Hackathon-2026/blob/f41616590b69f3ea0c1cbfb41d6c35edd9ce53df/data/train/resplan-12844/questions_basic.jsonl#L6</x:v>
      </x:c>
      <x:c r="AA940" s="6" t="str">
        <x:v>resplan</x:v>
      </x:c>
      <x:c r="AB940" s="6" t="str">
        <x:v>CC-BY-4.0</x:v>
      </x:c>
    </x:row>
    <x:row r="941" ht="82" customHeight="1">
      <x:c r="A941" s="14" t="n">
        <x:v>936</x:v>
      </x:c>
      <x:c r="B941" s="6" t="str">
        <x:v>route</x:v>
      </x:c>
      <x:c r="C941" s="6" t="str">
        <x:v>How do I get from Bathroom 0.06 (Ground floor) to Living room 0.01 (Ground floor)?</x:v>
      </x:c>
      <x:c r="D941" s="6" t="str">
        <x:v>12.9 m
From: Bathroom 0.06
To: Living room 0.01
Ordered path (3 spaces): Bathroom 0.06 → Bedroom 0.04 → Living room 0.01</x:v>
      </x:c>
      <x:c r="E941" s="6" t="str">
        <x:v>Reference supplied</x:v>
      </x:c>
      <x:c r="F941" s="6" t="str">
        <x:v>train</x:v>
      </x:c>
      <x:c r="G941" s="6" t="str">
        <x:v>resplan-12844</x:v>
      </x:c>
      <x:c r="H941" s="6" t="str">
        <x:v>resplan-12844-Q07</x:v>
      </x:c>
      <x:c r="I941" s="6" t="str">
        <x:v>Route planning</x:v>
      </x:c>
      <x:c r="J941" s="6" t="str">
        <x:v>Warm-up</x:v>
      </x:c>
      <x:c r="K941" s="6" t="str">
        <x:v>Ordered space path and directions, plus total route-model distance in metres.</x:v>
      </x:c>
      <x:c r="L941" s="6" t="str">
        <x:v>T02, T05, T13</x:v>
      </x:c>
      <x:c r="M941" s="6" t="str">
        <x:v>Find a valid route between two rooms, including across floors.</x:v>
      </x:c>
      <x:c r="N941" s="6" t="str">
        <x:v>{"from_space_id":"resplan-12844-F0-S006","to_space_id":"resplan-12844-F0-S001","optimal_length_m":12.9,"space_path":["resplan-12844-F0-S006","resplan-12844-F0-S004","resplan-12844-F0-S001"],"element_path":["resplan-12844-F0-O0005","resplan-12844-F0-O0005","resplan-12844-F0-O0004","resplan-12844-F0-O0004"]}</x:v>
      </x:c>
      <x:c r="O941" s="6"/>
      <x:c r="P941" s="6" t="str">
        <x:v>README routing profile. Stairs and lifts allowed unless stated otherwise.</x:v>
      </x:c>
      <x:c r="Q941" s="15" t="n">
        <x:v>12.9</x:v>
      </x:c>
      <x:c r="R941" s="6" t="str">
        <x:v>m</x:v>
      </x:c>
      <x:c r="S941" s="16"/>
      <x:c r="T941" s="15"/>
      <x:c r="U941" s="6"/>
      <x:c r="V941" s="6"/>
      <x:c r="W941" s="6" t="str">
        <x:v>Existing find_route and show_route implement the kit routing model.</x:v>
      </x:c>
      <x:c r="X941" s="6" t="str">
        <x:v>data/train/resplan-12844/questions_basic.jsonl</x:v>
      </x:c>
      <x:c r="Y941" s="14" t="n">
        <x:v>7</x:v>
      </x:c>
      <x:c r="Z941" s="6" t="str">
        <x:v>https://github.com/hagenhaeussler/Industrial-Agents-Hackathon-2026/blob/f41616590b69f3ea0c1cbfb41d6c35edd9ce53df/data/train/resplan-12844/questions_basic.jsonl#L7</x:v>
      </x:c>
      <x:c r="AA941" s="6" t="str">
        <x:v>resplan</x:v>
      </x:c>
      <x:c r="AB941" s="6" t="str">
        <x:v>CC-BY-4.0</x:v>
      </x:c>
    </x:row>
    <x:row r="942" ht="72" customHeight="1">
      <x:c r="A942" s="14" t="n">
        <x:v>937</x:v>
      </x:c>
      <x:c r="B942" s="6" t="str">
        <x:v>route</x:v>
      </x:c>
      <x:c r="C942" s="6" t="str">
        <x:v>How do I get from Bedroom 0.04 (Ground floor) to Bedroom 0.02 (Ground floor)?</x:v>
      </x:c>
      <x:c r="D942" s="6" t="str">
        <x:v>16.71 m
From: Bedroom 0.04
To: Bedroom 0.02
Ordered path (3 spaces): Bedroom 0.04 → Living room 0.01 → Bedroom 0.02</x:v>
      </x:c>
      <x:c r="E942" s="6" t="str">
        <x:v>Reference supplied</x:v>
      </x:c>
      <x:c r="F942" s="6" t="str">
        <x:v>train</x:v>
      </x:c>
      <x:c r="G942" s="6" t="str">
        <x:v>resplan-12867</x:v>
      </x:c>
      <x:c r="H942" s="6" t="str">
        <x:v>resplan-12867-Q05</x:v>
      </x:c>
      <x:c r="I942" s="6" t="str">
        <x:v>Route planning</x:v>
      </x:c>
      <x:c r="J942" s="6" t="str">
        <x:v>Warm-up</x:v>
      </x:c>
      <x:c r="K942" s="6" t="str">
        <x:v>Ordered space path and directions, plus total route-model distance in metres.</x:v>
      </x:c>
      <x:c r="L942" s="6" t="str">
        <x:v>T02, T05, T13</x:v>
      </x:c>
      <x:c r="M942" s="6" t="str">
        <x:v>Find a valid route between two rooms, including across floors.</x:v>
      </x:c>
      <x:c r="N942" s="6" t="str">
        <x:v>{"from_space_id":"resplan-12867-F0-S004","to_space_id":"resplan-12867-F0-S002","optimal_length_m":16.71,"space_path":["resplan-12867-F0-S004","resplan-12867-F0-S001","resplan-12867-F0-S002"],"element_path":["resplan-12867-F0-O0003","resplan-12867-F0-O0003","resplan-12867-F0-O0001","resplan-12867-F0-O0001"]}</x:v>
      </x:c>
      <x:c r="O942" s="6"/>
      <x:c r="P942" s="6" t="str">
        <x:v>README routing profile. Stairs and lifts allowed unless stated otherwise.</x:v>
      </x:c>
      <x:c r="Q942" s="15" t="n">
        <x:v>16.71</x:v>
      </x:c>
      <x:c r="R942" s="6" t="str">
        <x:v>m</x:v>
      </x:c>
      <x:c r="S942" s="16"/>
      <x:c r="T942" s="15"/>
      <x:c r="U942" s="6"/>
      <x:c r="V942" s="6"/>
      <x:c r="W942" s="6" t="str">
        <x:v>Existing find_route and show_route implement the kit routing model.</x:v>
      </x:c>
      <x:c r="X942" s="6" t="str">
        <x:v>data/train/resplan-12867/questions_basic.jsonl</x:v>
      </x:c>
      <x:c r="Y942" s="14" t="n">
        <x:v>5</x:v>
      </x:c>
      <x:c r="Z942" s="6" t="str">
        <x:v>https://github.com/hagenhaeussler/Industrial-Agents-Hackathon-2026/blob/f41616590b69f3ea0c1cbfb41d6c35edd9ce53df/data/train/resplan-12867/questions_basic.jsonl#L5</x:v>
      </x:c>
      <x:c r="AA942" s="6" t="str">
        <x:v>resplan</x:v>
      </x:c>
      <x:c r="AB942" s="6" t="str">
        <x:v>CC-BY-4.0</x:v>
      </x:c>
    </x:row>
    <x:row r="943" ht="72" customHeight="1">
      <x:c r="A943" s="14" t="n">
        <x:v>938</x:v>
      </x:c>
      <x:c r="B943" s="6" t="str">
        <x:v>route</x:v>
      </x:c>
      <x:c r="C943" s="6" t="str">
        <x:v>How do I get from Bedroom 0.02 (Ground floor) to Living room 0.01 (Ground floor)?</x:v>
      </x:c>
      <x:c r="D943" s="6" t="str">
        <x:v>8.11 m
From: Bedroom 0.02
To: Living room 0.01
Ordered path (2 spaces): Bedroom 0.02 → Living room 0.01</x:v>
      </x:c>
      <x:c r="E943" s="6" t="str">
        <x:v>Reference supplied</x:v>
      </x:c>
      <x:c r="F943" s="6" t="str">
        <x:v>train</x:v>
      </x:c>
      <x:c r="G943" s="6" t="str">
        <x:v>resplan-12867</x:v>
      </x:c>
      <x:c r="H943" s="6" t="str">
        <x:v>resplan-12867-Q06</x:v>
      </x:c>
      <x:c r="I943" s="6" t="str">
        <x:v>Route planning</x:v>
      </x:c>
      <x:c r="J943" s="6" t="str">
        <x:v>Warm-up</x:v>
      </x:c>
      <x:c r="K943" s="6" t="str">
        <x:v>Ordered space path and directions, plus total route-model distance in metres.</x:v>
      </x:c>
      <x:c r="L943" s="6" t="str">
        <x:v>T02, T05, T13</x:v>
      </x:c>
      <x:c r="M943" s="6" t="str">
        <x:v>Find a valid route between two rooms, including across floors.</x:v>
      </x:c>
      <x:c r="N943" s="6" t="str">
        <x:v>{"from_space_id":"resplan-12867-F0-S002","to_space_id":"resplan-12867-F0-S001","optimal_length_m":8.11,"space_path":["resplan-12867-F0-S002","resplan-12867-F0-S001"],"element_path":["resplan-12867-F0-O0001","resplan-12867-F0-O0001"]}</x:v>
      </x:c>
      <x:c r="O943" s="6"/>
      <x:c r="P943" s="6" t="str">
        <x:v>README routing profile. Stairs and lifts allowed unless stated otherwise.</x:v>
      </x:c>
      <x:c r="Q943" s="15" t="n">
        <x:v>8.11</x:v>
      </x:c>
      <x:c r="R943" s="6" t="str">
        <x:v>m</x:v>
      </x:c>
      <x:c r="S943" s="16"/>
      <x:c r="T943" s="15"/>
      <x:c r="U943" s="6"/>
      <x:c r="V943" s="6"/>
      <x:c r="W943" s="6" t="str">
        <x:v>Existing find_route and show_route implement the kit routing model.</x:v>
      </x:c>
      <x:c r="X943" s="6" t="str">
        <x:v>data/train/resplan-12867/questions_basic.jsonl</x:v>
      </x:c>
      <x:c r="Y943" s="14" t="n">
        <x:v>6</x:v>
      </x:c>
      <x:c r="Z943" s="6" t="str">
        <x:v>https://github.com/hagenhaeussler/Industrial-Agents-Hackathon-2026/blob/f41616590b69f3ea0c1cbfb41d6c35edd9ce53df/data/train/resplan-12867/questions_basic.jsonl#L6</x:v>
      </x:c>
      <x:c r="AA943" s="6" t="str">
        <x:v>resplan</x:v>
      </x:c>
      <x:c r="AB943" s="6" t="str">
        <x:v>CC-BY-4.0</x:v>
      </x:c>
    </x:row>
    <x:row r="944" ht="72" customHeight="1">
      <x:c r="A944" s="14" t="n">
        <x:v>939</x:v>
      </x:c>
      <x:c r="B944" s="6" t="str">
        <x:v>route</x:v>
      </x:c>
      <x:c r="C944" s="6" t="str">
        <x:v>How do I get from Kitchen 0.08 (Ground floor) to Bedroom 0.03 (Ground floor)?</x:v>
      </x:c>
      <x:c r="D944" s="6" t="str">
        <x:v>14.4 m
From: Kitchen 0.08
To: Bedroom 0.03
Ordered path (3 spaces): Kitchen 0.08 → Living room 0.01 → Bedroom 0.03</x:v>
      </x:c>
      <x:c r="E944" s="6" t="str">
        <x:v>Reference supplied</x:v>
      </x:c>
      <x:c r="F944" s="6" t="str">
        <x:v>train</x:v>
      </x:c>
      <x:c r="G944" s="6" t="str">
        <x:v>resplan-12867</x:v>
      </x:c>
      <x:c r="H944" s="6" t="str">
        <x:v>resplan-12867-Q07</x:v>
      </x:c>
      <x:c r="I944" s="6" t="str">
        <x:v>Route planning</x:v>
      </x:c>
      <x:c r="J944" s="6" t="str">
        <x:v>Warm-up</x:v>
      </x:c>
      <x:c r="K944" s="6" t="str">
        <x:v>Ordered space path and directions, plus total route-model distance in metres.</x:v>
      </x:c>
      <x:c r="L944" s="6" t="str">
        <x:v>T02, T05, T13</x:v>
      </x:c>
      <x:c r="M944" s="6" t="str">
        <x:v>Find a valid route between two rooms, including across floors.</x:v>
      </x:c>
      <x:c r="N944" s="6" t="str">
        <x:v>{"from_space_id":"resplan-12867-F0-S008","to_space_id":"resplan-12867-F0-S003","optimal_length_m":14.4,"space_path":["resplan-12867-F0-S008","resplan-12867-F0-S001","resplan-12867-F0-S003"],"element_path":["resplan-12867-F0-O0009","resplan-12867-F0-O0009","resplan-12867-F0-O0002","resplan-12867-F0-O0002"]}</x:v>
      </x:c>
      <x:c r="O944" s="6"/>
      <x:c r="P944" s="6" t="str">
        <x:v>README routing profile. Stairs and lifts allowed unless stated otherwise.</x:v>
      </x:c>
      <x:c r="Q944" s="15" t="n">
        <x:v>14.4</x:v>
      </x:c>
      <x:c r="R944" s="6" t="str">
        <x:v>m</x:v>
      </x:c>
      <x:c r="S944" s="16"/>
      <x:c r="T944" s="15"/>
      <x:c r="U944" s="6"/>
      <x:c r="V944" s="6"/>
      <x:c r="W944" s="6" t="str">
        <x:v>Existing find_route and show_route implement the kit routing model.</x:v>
      </x:c>
      <x:c r="X944" s="6" t="str">
        <x:v>data/train/resplan-12867/questions_basic.jsonl</x:v>
      </x:c>
      <x:c r="Y944" s="14" t="n">
        <x:v>7</x:v>
      </x:c>
      <x:c r="Z944" s="6" t="str">
        <x:v>https://github.com/hagenhaeussler/Industrial-Agents-Hackathon-2026/blob/f41616590b69f3ea0c1cbfb41d6c35edd9ce53df/data/train/resplan-12867/questions_basic.jsonl#L7</x:v>
      </x:c>
      <x:c r="AA944" s="6" t="str">
        <x:v>resplan</x:v>
      </x:c>
      <x:c r="AB944" s="6" t="str">
        <x:v>CC-BY-4.0</x:v>
      </x:c>
    </x:row>
    <x:row r="945" ht="82" customHeight="1">
      <x:c r="A945" s="14" t="n">
        <x:v>940</x:v>
      </x:c>
      <x:c r="B945" s="6" t="str">
        <x:v>route</x:v>
      </x:c>
      <x:c r="C945" s="6" t="str">
        <x:v>How do I get from Kitchen 0.06 (Ground floor) to Bathroom 0.04 (Ground floor)?</x:v>
      </x:c>
      <x:c r="D945" s="6" t="str">
        <x:v>18.57 m
From: Kitchen 0.06
To: Bathroom 0.04
Ordered path (4 spaces): Kitchen 0.06 → Living room 0.01 → Bedroom 0.02 → Bathroom 0.04</x:v>
      </x:c>
      <x:c r="E945" s="6" t="str">
        <x:v>Reference supplied</x:v>
      </x:c>
      <x:c r="F945" s="6" t="str">
        <x:v>train</x:v>
      </x:c>
      <x:c r="G945" s="6" t="str">
        <x:v>resplan-12878</x:v>
      </x:c>
      <x:c r="H945" s="6" t="str">
        <x:v>resplan-12878-Q05</x:v>
      </x:c>
      <x:c r="I945" s="6" t="str">
        <x:v>Route planning</x:v>
      </x:c>
      <x:c r="J945" s="6" t="str">
        <x:v>Warm-up</x:v>
      </x:c>
      <x:c r="K945" s="6" t="str">
        <x:v>Ordered space path and directions, plus total route-model distance in metres.</x:v>
      </x:c>
      <x:c r="L945" s="6" t="str">
        <x:v>T02, T05, T13</x:v>
      </x:c>
      <x:c r="M945" s="6" t="str">
        <x:v>Find a valid route between two rooms, including across floors.</x:v>
      </x:c>
      <x:c r="N945" s="6" t="str">
        <x:v>{"from_space_id":"resplan-12878-F0-S006","to_space_id":"resplan-12878-F0-S004","optimal_length_m":18.57,"space_path":["resplan-12878-F0-S006","resplan-12878-F0-S001","resplan-12878-F0-S002","resplan-12878-F0-S004"],"element_path":["resplan-12878-F0-O0006","resplan-12878-F0-O0006","resplan-12878-F0-O0002","resplan-12878-F0-O0002","resplan-12878-F0-O0001","resplan-12878-F0-O0001"]}</x:v>
      </x:c>
      <x:c r="O945" s="6"/>
      <x:c r="P945" s="6" t="str">
        <x:v>README routing profile. Stairs and lifts allowed unless stated otherwise.</x:v>
      </x:c>
      <x:c r="Q945" s="15" t="n">
        <x:v>18.57</x:v>
      </x:c>
      <x:c r="R945" s="6" t="str">
        <x:v>m</x:v>
      </x:c>
      <x:c r="S945" s="16"/>
      <x:c r="T945" s="15"/>
      <x:c r="U945" s="6"/>
      <x:c r="V945" s="6"/>
      <x:c r="W945" s="6" t="str">
        <x:v>Existing find_route and show_route implement the kit routing model.</x:v>
      </x:c>
      <x:c r="X945" s="6" t="str">
        <x:v>data/train/resplan-12878/questions_basic.jsonl</x:v>
      </x:c>
      <x:c r="Y945" s="14" t="n">
        <x:v>5</x:v>
      </x:c>
      <x:c r="Z945" s="6" t="str">
        <x:v>https://github.com/hagenhaeussler/Industrial-Agents-Hackathon-2026/blob/f41616590b69f3ea0c1cbfb41d6c35edd9ce53df/data/train/resplan-12878/questions_basic.jsonl#L5</x:v>
      </x:c>
      <x:c r="AA945" s="6" t="str">
        <x:v>resplan</x:v>
      </x:c>
      <x:c r="AB945" s="6" t="str">
        <x:v>CC-BY-4.0</x:v>
      </x:c>
    </x:row>
    <x:row r="946" ht="72" customHeight="1">
      <x:c r="A946" s="14" t="n">
        <x:v>941</x:v>
      </x:c>
      <x:c r="B946" s="6" t="str">
        <x:v>route</x:v>
      </x:c>
      <x:c r="C946" s="6" t="str">
        <x:v>How do I get from Bedroom 0.03 (Ground floor) to Living room 0.01 (Ground floor)?</x:v>
      </x:c>
      <x:c r="D946" s="6" t="str">
        <x:v>8.69 m
From: Bedroom 0.03
To: Living room 0.01
Ordered path (2 spaces): Bedroom 0.03 → Living room 0.01</x:v>
      </x:c>
      <x:c r="E946" s="6" t="str">
        <x:v>Reference supplied</x:v>
      </x:c>
      <x:c r="F946" s="6" t="str">
        <x:v>train</x:v>
      </x:c>
      <x:c r="G946" s="6" t="str">
        <x:v>resplan-12878</x:v>
      </x:c>
      <x:c r="H946" s="6" t="str">
        <x:v>resplan-12878-Q06</x:v>
      </x:c>
      <x:c r="I946" s="6" t="str">
        <x:v>Route planning</x:v>
      </x:c>
      <x:c r="J946" s="6" t="str">
        <x:v>Warm-up</x:v>
      </x:c>
      <x:c r="K946" s="6" t="str">
        <x:v>Ordered space path and directions, plus total route-model distance in metres.</x:v>
      </x:c>
      <x:c r="L946" s="6" t="str">
        <x:v>T02, T05, T13</x:v>
      </x:c>
      <x:c r="M946" s="6" t="str">
        <x:v>Find a valid route between two rooms, including across floors.</x:v>
      </x:c>
      <x:c r="N946" s="6" t="str">
        <x:v>{"from_space_id":"resplan-12878-F0-S003","to_space_id":"resplan-12878-F0-S001","optimal_length_m":8.69,"space_path":["resplan-12878-F0-S003","resplan-12878-F0-S001"],"element_path":["resplan-12878-F0-O0003","resplan-12878-F0-O0003"]}</x:v>
      </x:c>
      <x:c r="O946" s="6"/>
      <x:c r="P946" s="6" t="str">
        <x:v>README routing profile. Stairs and lifts allowed unless stated otherwise.</x:v>
      </x:c>
      <x:c r="Q946" s="15" t="n">
        <x:v>8.69</x:v>
      </x:c>
      <x:c r="R946" s="6" t="str">
        <x:v>m</x:v>
      </x:c>
      <x:c r="S946" s="16"/>
      <x:c r="T946" s="15"/>
      <x:c r="U946" s="6"/>
      <x:c r="V946" s="6"/>
      <x:c r="W946" s="6" t="str">
        <x:v>Existing find_route and show_route implement the kit routing model.</x:v>
      </x:c>
      <x:c r="X946" s="6" t="str">
        <x:v>data/train/resplan-12878/questions_basic.jsonl</x:v>
      </x:c>
      <x:c r="Y946" s="14" t="n">
        <x:v>6</x:v>
      </x:c>
      <x:c r="Z946" s="6" t="str">
        <x:v>https://github.com/hagenhaeussler/Industrial-Agents-Hackathon-2026/blob/f41616590b69f3ea0c1cbfb41d6c35edd9ce53df/data/train/resplan-12878/questions_basic.jsonl#L6</x:v>
      </x:c>
      <x:c r="AA946" s="6" t="str">
        <x:v>resplan</x:v>
      </x:c>
      <x:c r="AB946" s="6" t="str">
        <x:v>CC-BY-4.0</x:v>
      </x:c>
    </x:row>
    <x:row r="947" ht="82" customHeight="1">
      <x:c r="A947" s="14" t="n">
        <x:v>942</x:v>
      </x:c>
      <x:c r="B947" s="6" t="str">
        <x:v>route</x:v>
      </x:c>
      <x:c r="C947" s="6" t="str">
        <x:v>How do I get from Bathroom 0.04 (Ground floor) to Bathroom 0.05 (Ground floor)?</x:v>
      </x:c>
      <x:c r="D947" s="6" t="str">
        <x:v>17.2 m
From: Bathroom 0.04
To: Bathroom 0.05
Ordered path (4 spaces): Bathroom 0.04 → Bedroom 0.02 → Living room 0.01 → Bathroom 0.05</x:v>
      </x:c>
      <x:c r="E947" s="6" t="str">
        <x:v>Reference supplied</x:v>
      </x:c>
      <x:c r="F947" s="6" t="str">
        <x:v>train</x:v>
      </x:c>
      <x:c r="G947" s="6" t="str">
        <x:v>resplan-12878</x:v>
      </x:c>
      <x:c r="H947" s="6" t="str">
        <x:v>resplan-12878-Q07</x:v>
      </x:c>
      <x:c r="I947" s="6" t="str">
        <x:v>Route planning</x:v>
      </x:c>
      <x:c r="J947" s="6" t="str">
        <x:v>Warm-up</x:v>
      </x:c>
      <x:c r="K947" s="6" t="str">
        <x:v>Ordered space path and directions, plus total route-model distance in metres.</x:v>
      </x:c>
      <x:c r="L947" s="6" t="str">
        <x:v>T02, T05, T13</x:v>
      </x:c>
      <x:c r="M947" s="6" t="str">
        <x:v>Find a valid route between two rooms, including across floors.</x:v>
      </x:c>
      <x:c r="N947" s="6" t="str">
        <x:v>{"from_space_id":"resplan-12878-F0-S004","to_space_id":"resplan-12878-F0-S005","optimal_length_m":17.2,"space_path":["resplan-12878-F0-S004","resplan-12878-F0-S002","resplan-12878-F0-S001","resplan-12878-F0-S005"],"element_path":["resplan-12878-F0-O0001","resplan-12878-F0-O0001","resplan-12878-F0-O0002","resplan-12878-F0-O0002","resplan-12878-F0-O0004","resplan-12878-F0-O0004"]}</x:v>
      </x:c>
      <x:c r="O947" s="6"/>
      <x:c r="P947" s="6" t="str">
        <x:v>README routing profile. Stairs and lifts allowed unless stated otherwise.</x:v>
      </x:c>
      <x:c r="Q947" s="15" t="n">
        <x:v>17.2</x:v>
      </x:c>
      <x:c r="R947" s="6" t="str">
        <x:v>m</x:v>
      </x:c>
      <x:c r="S947" s="16"/>
      <x:c r="T947" s="15"/>
      <x:c r="U947" s="6"/>
      <x:c r="V947" s="6"/>
      <x:c r="W947" s="6" t="str">
        <x:v>Existing find_route and show_route implement the kit routing model.</x:v>
      </x:c>
      <x:c r="X947" s="6" t="str">
        <x:v>data/train/resplan-12878/questions_basic.jsonl</x:v>
      </x:c>
      <x:c r="Y947" s="14" t="n">
        <x:v>7</x:v>
      </x:c>
      <x:c r="Z947" s="6" t="str">
        <x:v>https://github.com/hagenhaeussler/Industrial-Agents-Hackathon-2026/blob/f41616590b69f3ea0c1cbfb41d6c35edd9ce53df/data/train/resplan-12878/questions_basic.jsonl#L7</x:v>
      </x:c>
      <x:c r="AA947" s="6" t="str">
        <x:v>resplan</x:v>
      </x:c>
      <x:c r="AB947" s="6" t="str">
        <x:v>CC-BY-4.0</x:v>
      </x:c>
    </x:row>
    <x:row r="948" ht="72" customHeight="1">
      <x:c r="A948" s="14" t="n">
        <x:v>943</x:v>
      </x:c>
      <x:c r="B948" s="6" t="str">
        <x:v>route</x:v>
      </x:c>
      <x:c r="C948" s="6" t="str">
        <x:v>How do I get from Kitchen 0.06 (Ground floor) to Living room 0.01 (Ground floor)?</x:v>
      </x:c>
      <x:c r="D948" s="6" t="str">
        <x:v>2.07 m
From: Kitchen 0.06
To: Living room 0.01
Ordered path (2 spaces): Kitchen 0.06 → Living room 0.01</x:v>
      </x:c>
      <x:c r="E948" s="6" t="str">
        <x:v>Reference supplied</x:v>
      </x:c>
      <x:c r="F948" s="6" t="str">
        <x:v>train</x:v>
      </x:c>
      <x:c r="G948" s="6" t="str">
        <x:v>resplan-12897</x:v>
      </x:c>
      <x:c r="H948" s="6" t="str">
        <x:v>resplan-12897-Q05</x:v>
      </x:c>
      <x:c r="I948" s="6" t="str">
        <x:v>Route planning</x:v>
      </x:c>
      <x:c r="J948" s="6" t="str">
        <x:v>Warm-up</x:v>
      </x:c>
      <x:c r="K948" s="6" t="str">
        <x:v>Ordered space path and directions, plus total route-model distance in metres.</x:v>
      </x:c>
      <x:c r="L948" s="6" t="str">
        <x:v>T02, T05, T13</x:v>
      </x:c>
      <x:c r="M948" s="6" t="str">
        <x:v>Find a valid route between two rooms, including across floors.</x:v>
      </x:c>
      <x:c r="N948" s="6" t="str">
        <x:v>{"from_space_id":"resplan-12897-F0-S006","to_space_id":"resplan-12897-F0-S001","optimal_length_m":2.07,"space_path":["resplan-12897-F0-S006","resplan-12897-F0-S001"],"element_path":["resplan-12897-F0-O0006","resplan-12897-F0-O0006"]}</x:v>
      </x:c>
      <x:c r="O948" s="6"/>
      <x:c r="P948" s="6" t="str">
        <x:v>README routing profile. Stairs and lifts allowed unless stated otherwise.</x:v>
      </x:c>
      <x:c r="Q948" s="15" t="n">
        <x:v>2.07</x:v>
      </x:c>
      <x:c r="R948" s="6" t="str">
        <x:v>m</x:v>
      </x:c>
      <x:c r="S948" s="16"/>
      <x:c r="T948" s="15"/>
      <x:c r="U948" s="6"/>
      <x:c r="V948" s="6"/>
      <x:c r="W948" s="6" t="str">
        <x:v>Existing find_route and show_route implement the kit routing model.</x:v>
      </x:c>
      <x:c r="X948" s="6" t="str">
        <x:v>data/train/resplan-12897/questions_basic.jsonl</x:v>
      </x:c>
      <x:c r="Y948" s="14" t="n">
        <x:v>5</x:v>
      </x:c>
      <x:c r="Z948" s="6" t="str">
        <x:v>https://github.com/hagenhaeussler/Industrial-Agents-Hackathon-2026/blob/f41616590b69f3ea0c1cbfb41d6c35edd9ce53df/data/train/resplan-12897/questions_basic.jsonl#L5</x:v>
      </x:c>
      <x:c r="AA948" s="6" t="str">
        <x:v>resplan</x:v>
      </x:c>
      <x:c r="AB948" s="6" t="str">
        <x:v>CC-BY-4.0</x:v>
      </x:c>
    </x:row>
    <x:row r="949" ht="82" customHeight="1">
      <x:c r="A949" s="14" t="n">
        <x:v>944</x:v>
      </x:c>
      <x:c r="B949" s="6" t="str">
        <x:v>route</x:v>
      </x:c>
      <x:c r="C949" s="6" t="str">
        <x:v>How do I get from Bathroom 0.04 (Ground floor) to Kitchen 0.06 (Ground floor)?</x:v>
      </x:c>
      <x:c r="D949" s="6" t="str">
        <x:v>3.99 m
From: Bathroom 0.04
To: Kitchen 0.06
Ordered path (3 spaces): Bathroom 0.04 → Living room 0.01 → Kitchen 0.06</x:v>
      </x:c>
      <x:c r="E949" s="6" t="str">
        <x:v>Reference supplied</x:v>
      </x:c>
      <x:c r="F949" s="6" t="str">
        <x:v>train</x:v>
      </x:c>
      <x:c r="G949" s="6" t="str">
        <x:v>resplan-12897</x:v>
      </x:c>
      <x:c r="H949" s="6" t="str">
        <x:v>resplan-12897-Q06</x:v>
      </x:c>
      <x:c r="I949" s="6" t="str">
        <x:v>Route planning</x:v>
      </x:c>
      <x:c r="J949" s="6" t="str">
        <x:v>Warm-up</x:v>
      </x:c>
      <x:c r="K949" s="6" t="str">
        <x:v>Ordered space path and directions, plus total route-model distance in metres.</x:v>
      </x:c>
      <x:c r="L949" s="6" t="str">
        <x:v>T02, T05, T13</x:v>
      </x:c>
      <x:c r="M949" s="6" t="str">
        <x:v>Find a valid route between two rooms, including across floors.</x:v>
      </x:c>
      <x:c r="N949" s="6" t="str">
        <x:v>{"from_space_id":"resplan-12897-F0-S004","to_space_id":"resplan-12897-F0-S006","optimal_length_m":3.99,"space_path":["resplan-12897-F0-S004","resplan-12897-F0-S001","resplan-12897-F0-S006"],"element_path":["resplan-12897-F0-O0004","resplan-12897-F0-O0004","resplan-12897-F0-O0006","resplan-12897-F0-O0006"]}</x:v>
      </x:c>
      <x:c r="O949" s="6"/>
      <x:c r="P949" s="6" t="str">
        <x:v>README routing profile. Stairs and lifts allowed unless stated otherwise.</x:v>
      </x:c>
      <x:c r="Q949" s="15" t="n">
        <x:v>3.99</x:v>
      </x:c>
      <x:c r="R949" s="6" t="str">
        <x:v>m</x:v>
      </x:c>
      <x:c r="S949" s="16"/>
      <x:c r="T949" s="15"/>
      <x:c r="U949" s="6"/>
      <x:c r="V949" s="6"/>
      <x:c r="W949" s="6" t="str">
        <x:v>Existing find_route and show_route implement the kit routing model.</x:v>
      </x:c>
      <x:c r="X949" s="6" t="str">
        <x:v>data/train/resplan-12897/questions_basic.jsonl</x:v>
      </x:c>
      <x:c r="Y949" s="14" t="n">
        <x:v>6</x:v>
      </x:c>
      <x:c r="Z949" s="6" t="str">
        <x:v>https://github.com/hagenhaeussler/Industrial-Agents-Hackathon-2026/blob/f41616590b69f3ea0c1cbfb41d6c35edd9ce53df/data/train/resplan-12897/questions_basic.jsonl#L6</x:v>
      </x:c>
      <x:c r="AA949" s="6" t="str">
        <x:v>resplan</x:v>
      </x:c>
      <x:c r="AB949" s="6" t="str">
        <x:v>CC-BY-4.0</x:v>
      </x:c>
    </x:row>
    <x:row r="950" ht="82" customHeight="1">
      <x:c r="A950" s="14" t="n">
        <x:v>945</x:v>
      </x:c>
      <x:c r="B950" s="6" t="str">
        <x:v>route</x:v>
      </x:c>
      <x:c r="C950" s="6" t="str">
        <x:v>How do I get from Bathroom 0.04 (Ground floor) to Bathroom 0.05 (Ground floor)?</x:v>
      </x:c>
      <x:c r="D950" s="6" t="str">
        <x:v>4.21 m
From: Bathroom 0.04
To: Bathroom 0.05
Ordered path (3 spaces): Bathroom 0.04 → Living room 0.01 → Bathroom 0.05</x:v>
      </x:c>
      <x:c r="E950" s="6" t="str">
        <x:v>Reference supplied</x:v>
      </x:c>
      <x:c r="F950" s="6" t="str">
        <x:v>train</x:v>
      </x:c>
      <x:c r="G950" s="6" t="str">
        <x:v>resplan-12897</x:v>
      </x:c>
      <x:c r="H950" s="6" t="str">
        <x:v>resplan-12897-Q07</x:v>
      </x:c>
      <x:c r="I950" s="6" t="str">
        <x:v>Route planning</x:v>
      </x:c>
      <x:c r="J950" s="6" t="str">
        <x:v>Warm-up</x:v>
      </x:c>
      <x:c r="K950" s="6" t="str">
        <x:v>Ordered space path and directions, plus total route-model distance in metres.</x:v>
      </x:c>
      <x:c r="L950" s="6" t="str">
        <x:v>T02, T05, T13</x:v>
      </x:c>
      <x:c r="M950" s="6" t="str">
        <x:v>Find a valid route between two rooms, including across floors.</x:v>
      </x:c>
      <x:c r="N950" s="6" t="str">
        <x:v>{"from_space_id":"resplan-12897-F0-S004","to_space_id":"resplan-12897-F0-S005","optimal_length_m":4.21,"space_path":["resplan-12897-F0-S004","resplan-12897-F0-S001","resplan-12897-F0-S005"],"element_path":["resplan-12897-F0-O0004","resplan-12897-F0-O0004","resplan-12897-F0-O0003","resplan-12897-F0-O0003"]}</x:v>
      </x:c>
      <x:c r="O950" s="6"/>
      <x:c r="P950" s="6" t="str">
        <x:v>README routing profile. Stairs and lifts allowed unless stated otherwise.</x:v>
      </x:c>
      <x:c r="Q950" s="15" t="n">
        <x:v>4.21</x:v>
      </x:c>
      <x:c r="R950" s="6" t="str">
        <x:v>m</x:v>
      </x:c>
      <x:c r="S950" s="16"/>
      <x:c r="T950" s="15"/>
      <x:c r="U950" s="6"/>
      <x:c r="V950" s="6"/>
      <x:c r="W950" s="6" t="str">
        <x:v>Existing find_route and show_route implement the kit routing model.</x:v>
      </x:c>
      <x:c r="X950" s="6" t="str">
        <x:v>data/train/resplan-12897/questions_basic.jsonl</x:v>
      </x:c>
      <x:c r="Y950" s="14" t="n">
        <x:v>7</x:v>
      </x:c>
      <x:c r="Z950" s="6" t="str">
        <x:v>https://github.com/hagenhaeussler/Industrial-Agents-Hackathon-2026/blob/f41616590b69f3ea0c1cbfb41d6c35edd9ce53df/data/train/resplan-12897/questions_basic.jsonl#L7</x:v>
      </x:c>
      <x:c r="AA950" s="6" t="str">
        <x:v>resplan</x:v>
      </x:c>
      <x:c r="AB950" s="6" t="str">
        <x:v>CC-BY-4.0</x:v>
      </x:c>
    </x:row>
    <x:row r="951" ht="82" customHeight="1">
      <x:c r="A951" s="14" t="n">
        <x:v>946</x:v>
      </x:c>
      <x:c r="B951" s="6" t="str">
        <x:v>route</x:v>
      </x:c>
      <x:c r="C951" s="6" t="str">
        <x:v>How do I get from Bedroom 0.04 (Ground floor) to Bathroom 0.08 (Ground floor)?</x:v>
      </x:c>
      <x:c r="D951" s="6" t="str">
        <x:v>18.1 m
From: Bedroom 0.04
To: Bathroom 0.08
Ordered path (4 spaces): Bedroom 0.04 → Living room 0.01 → Bedroom 0.05 → Bathroom 0.08</x:v>
      </x:c>
      <x:c r="E951" s="6" t="str">
        <x:v>Reference supplied</x:v>
      </x:c>
      <x:c r="F951" s="6" t="str">
        <x:v>train</x:v>
      </x:c>
      <x:c r="G951" s="6" t="str">
        <x:v>resplan-12985</x:v>
      </x:c>
      <x:c r="H951" s="6" t="str">
        <x:v>resplan-12985-Q05</x:v>
      </x:c>
      <x:c r="I951" s="6" t="str">
        <x:v>Route planning</x:v>
      </x:c>
      <x:c r="J951" s="6" t="str">
        <x:v>Warm-up</x:v>
      </x:c>
      <x:c r="K951" s="6" t="str">
        <x:v>Ordered space path and directions, plus total route-model distance in metres.</x:v>
      </x:c>
      <x:c r="L951" s="6" t="str">
        <x:v>T02, T05, T13</x:v>
      </x:c>
      <x:c r="M951" s="6" t="str">
        <x:v>Find a valid route between two rooms, including across floors.</x:v>
      </x:c>
      <x:c r="N951" s="6" t="str">
        <x:v>{"from_space_id":"resplan-12985-F0-S004","to_space_id":"resplan-12985-F0-S008","optimal_length_m":18.1,"space_path":["resplan-12985-F0-S004","resplan-12985-F0-S001","resplan-12985-F0-S005","resplan-12985-F0-S008"],"element_path":["resplan-12985-F0-O0004","resplan-12985-F0-O0004","resplan-12985-F0-O0012","resplan-12985-F0-O0012","resplan-12985-F0-O0011","resplan-12985-F0-O0011"]}</x:v>
      </x:c>
      <x:c r="O951" s="6"/>
      <x:c r="P951" s="6" t="str">
        <x:v>README routing profile. Stairs and lifts allowed unless stated otherwise.</x:v>
      </x:c>
      <x:c r="Q951" s="15" t="n">
        <x:v>18.1</x:v>
      </x:c>
      <x:c r="R951" s="6" t="str">
        <x:v>m</x:v>
      </x:c>
      <x:c r="S951" s="16"/>
      <x:c r="T951" s="15"/>
      <x:c r="U951" s="6"/>
      <x:c r="V951" s="6"/>
      <x:c r="W951" s="6" t="str">
        <x:v>Existing find_route and show_route implement the kit routing model.</x:v>
      </x:c>
      <x:c r="X951" s="6" t="str">
        <x:v>data/train/resplan-12985/questions_basic.jsonl</x:v>
      </x:c>
      <x:c r="Y951" s="14" t="n">
        <x:v>5</x:v>
      </x:c>
      <x:c r="Z951" s="6" t="str">
        <x:v>https://github.com/hagenhaeussler/Industrial-Agents-Hackathon-2026/blob/f41616590b69f3ea0c1cbfb41d6c35edd9ce53df/data/train/resplan-12985/questions_basic.jsonl#L5</x:v>
      </x:c>
      <x:c r="AA951" s="6" t="str">
        <x:v>resplan</x:v>
      </x:c>
      <x:c r="AB951" s="6" t="str">
        <x:v>CC-BY-4.0</x:v>
      </x:c>
    </x:row>
    <x:row r="952" ht="82" customHeight="1">
      <x:c r="A952" s="14" t="n">
        <x:v>947</x:v>
      </x:c>
      <x:c r="B952" s="6" t="str">
        <x:v>route</x:v>
      </x:c>
      <x:c r="C952" s="6" t="str">
        <x:v>How do I get from Bathroom 0.09 (Ground floor) to Bedroom 0.02 (Ground floor)?</x:v>
      </x:c>
      <x:c r="D952" s="6" t="str">
        <x:v>17.05 m
From: Bathroom 0.09
To: Bedroom 0.02
Ordered path (4 spaces): Bathroom 0.09 → Bedroom 0.03 → Living room 0.01 → Bedroom 0.02</x:v>
      </x:c>
      <x:c r="E952" s="6" t="str">
        <x:v>Reference supplied</x:v>
      </x:c>
      <x:c r="F952" s="6" t="str">
        <x:v>train</x:v>
      </x:c>
      <x:c r="G952" s="6" t="str">
        <x:v>resplan-12985</x:v>
      </x:c>
      <x:c r="H952" s="6" t="str">
        <x:v>resplan-12985-Q06</x:v>
      </x:c>
      <x:c r="I952" s="6" t="str">
        <x:v>Route planning</x:v>
      </x:c>
      <x:c r="J952" s="6" t="str">
        <x:v>Warm-up</x:v>
      </x:c>
      <x:c r="K952" s="6" t="str">
        <x:v>Ordered space path and directions, plus total route-model distance in metres.</x:v>
      </x:c>
      <x:c r="L952" s="6" t="str">
        <x:v>T02, T05, T13</x:v>
      </x:c>
      <x:c r="M952" s="6" t="str">
        <x:v>Find a valid route between two rooms, including across floors.</x:v>
      </x:c>
      <x:c r="N952" s="6" t="str">
        <x:v>{"from_space_id":"resplan-12985-F0-S009","to_space_id":"resplan-12985-F0-S002","optimal_length_m":17.05,"space_path":["resplan-12985-F0-S009","resplan-12985-F0-S003","resplan-12985-F0-S001","resplan-12985-F0-S002"],"element_path":["resplan-12985-F0-O0001","resplan-12985-F0-O0001","resplan-12985-F0-O0005","resplan-12985-F0-O0005","resplan-12985-F0-O0003","resplan-12985-F0-O0003"]}</x:v>
      </x:c>
      <x:c r="O952" s="6"/>
      <x:c r="P952" s="6" t="str">
        <x:v>README routing profile. Stairs and lifts allowed unless stated otherwise.</x:v>
      </x:c>
      <x:c r="Q952" s="15" t="n">
        <x:v>17.05</x:v>
      </x:c>
      <x:c r="R952" s="6" t="str">
        <x:v>m</x:v>
      </x:c>
      <x:c r="S952" s="16"/>
      <x:c r="T952" s="15"/>
      <x:c r="U952" s="6"/>
      <x:c r="V952" s="6"/>
      <x:c r="W952" s="6" t="str">
        <x:v>Existing find_route and show_route implement the kit routing model.</x:v>
      </x:c>
      <x:c r="X952" s="6" t="str">
        <x:v>data/train/resplan-12985/questions_basic.jsonl</x:v>
      </x:c>
      <x:c r="Y952" s="14" t="n">
        <x:v>6</x:v>
      </x:c>
      <x:c r="Z952" s="6" t="str">
        <x:v>https://github.com/hagenhaeussler/Industrial-Agents-Hackathon-2026/blob/f41616590b69f3ea0c1cbfb41d6c35edd9ce53df/data/train/resplan-12985/questions_basic.jsonl#L6</x:v>
      </x:c>
      <x:c r="AA952" s="6" t="str">
        <x:v>resplan</x:v>
      </x:c>
      <x:c r="AB952" s="6" t="str">
        <x:v>CC-BY-4.0</x:v>
      </x:c>
    </x:row>
    <x:row r="953" ht="82" customHeight="1">
      <x:c r="A953" s="14" t="n">
        <x:v>948</x:v>
      </x:c>
      <x:c r="B953" s="6" t="str">
        <x:v>route</x:v>
      </x:c>
      <x:c r="C953" s="6" t="str">
        <x:v>How do I get from Bathroom 0.06 (Ground floor) to Bedroom 0.05 (Ground floor)?</x:v>
      </x:c>
      <x:c r="D953" s="6" t="str">
        <x:v>18.34 m
From: Bathroom 0.06
To: Bedroom 0.05
Ordered path (4 spaces): Bathroom 0.06 → Bedroom 0.02 → Living room 0.01 → Bedroom 0.05</x:v>
      </x:c>
      <x:c r="E953" s="6" t="str">
        <x:v>Reference supplied</x:v>
      </x:c>
      <x:c r="F953" s="6" t="str">
        <x:v>train</x:v>
      </x:c>
      <x:c r="G953" s="6" t="str">
        <x:v>resplan-12985</x:v>
      </x:c>
      <x:c r="H953" s="6" t="str">
        <x:v>resplan-12985-Q07</x:v>
      </x:c>
      <x:c r="I953" s="6" t="str">
        <x:v>Route planning</x:v>
      </x:c>
      <x:c r="J953" s="6" t="str">
        <x:v>Warm-up</x:v>
      </x:c>
      <x:c r="K953" s="6" t="str">
        <x:v>Ordered space path and directions, plus total route-model distance in metres.</x:v>
      </x:c>
      <x:c r="L953" s="6" t="str">
        <x:v>T02, T05, T13</x:v>
      </x:c>
      <x:c r="M953" s="6" t="str">
        <x:v>Find a valid route between two rooms, including across floors.</x:v>
      </x:c>
      <x:c r="N953" s="6" t="str">
        <x:v>{"from_space_id":"resplan-12985-F0-S006","to_space_id":"resplan-12985-F0-S005","optimal_length_m":18.34,"space_path":["resplan-12985-F0-S006","resplan-12985-F0-S002","resplan-12985-F0-S001","resplan-12985-F0-S005"],"element_path":["resplan-12985-F0-O0002","resplan-12985-F0-O0002","resplan-12985-F0-O0003","resplan-12985-F0-O0003","resplan-12985-F0-O0012","resplan-12985-F0-O0012"]}</x:v>
      </x:c>
      <x:c r="O953" s="6"/>
      <x:c r="P953" s="6" t="str">
        <x:v>README routing profile. Stairs and lifts allowed unless stated otherwise.</x:v>
      </x:c>
      <x:c r="Q953" s="15" t="n">
        <x:v>18.34</x:v>
      </x:c>
      <x:c r="R953" s="6" t="str">
        <x:v>m</x:v>
      </x:c>
      <x:c r="S953" s="16"/>
      <x:c r="T953" s="15"/>
      <x:c r="U953" s="6"/>
      <x:c r="V953" s="6"/>
      <x:c r="W953" s="6" t="str">
        <x:v>Existing find_route and show_route implement the kit routing model.</x:v>
      </x:c>
      <x:c r="X953" s="6" t="str">
        <x:v>data/train/resplan-12985/questions_basic.jsonl</x:v>
      </x:c>
      <x:c r="Y953" s="14" t="n">
        <x:v>7</x:v>
      </x:c>
      <x:c r="Z953" s="6" t="str">
        <x:v>https://github.com/hagenhaeussler/Industrial-Agents-Hackathon-2026/blob/f41616590b69f3ea0c1cbfb41d6c35edd9ce53df/data/train/resplan-12985/questions_basic.jsonl#L7</x:v>
      </x:c>
      <x:c r="AA953" s="6" t="str">
        <x:v>resplan</x:v>
      </x:c>
      <x:c r="AB953" s="6" t="str">
        <x:v>CC-BY-4.0</x:v>
      </x:c>
    </x:row>
    <x:row r="954" ht="72" customHeight="1">
      <x:c r="A954" s="14" t="n">
        <x:v>949</x:v>
      </x:c>
      <x:c r="B954" s="6" t="str">
        <x:v>route</x:v>
      </x:c>
      <x:c r="C954" s="6" t="str">
        <x:v>How do I get from Living room 0.01 (Ground floor) to Kitchen 0.07 (Ground floor)?</x:v>
      </x:c>
      <x:c r="D954" s="6" t="str">
        <x:v>6.49 m
From: Living room 0.01
To: Kitchen 0.07
Ordered path (2 spaces): Living room 0.01 → Kitchen 0.07</x:v>
      </x:c>
      <x:c r="E954" s="6" t="str">
        <x:v>Reference supplied</x:v>
      </x:c>
      <x:c r="F954" s="6" t="str">
        <x:v>train</x:v>
      </x:c>
      <x:c r="G954" s="6" t="str">
        <x:v>resplan-13024</x:v>
      </x:c>
      <x:c r="H954" s="6" t="str">
        <x:v>resplan-13024-Q05</x:v>
      </x:c>
      <x:c r="I954" s="6" t="str">
        <x:v>Route planning</x:v>
      </x:c>
      <x:c r="J954" s="6" t="str">
        <x:v>Warm-up</x:v>
      </x:c>
      <x:c r="K954" s="6" t="str">
        <x:v>Ordered space path and directions, plus total route-model distance in metres.</x:v>
      </x:c>
      <x:c r="L954" s="6" t="str">
        <x:v>T02, T05, T13</x:v>
      </x:c>
      <x:c r="M954" s="6" t="str">
        <x:v>Find a valid route between two rooms, including across floors.</x:v>
      </x:c>
      <x:c r="N954" s="6" t="str">
        <x:v>{"from_space_id":"resplan-13024-F0-S001","to_space_id":"resplan-13024-F0-S007","optimal_length_m":6.49,"space_path":["resplan-13024-F0-S001","resplan-13024-F0-S007"],"element_path":["resplan-13024-F0-O0007","resplan-13024-F0-O0007"]}</x:v>
      </x:c>
      <x:c r="O954" s="6"/>
      <x:c r="P954" s="6" t="str">
        <x:v>README routing profile. Stairs and lifts allowed unless stated otherwise.</x:v>
      </x:c>
      <x:c r="Q954" s="15" t="n">
        <x:v>6.49</x:v>
      </x:c>
      <x:c r="R954" s="6" t="str">
        <x:v>m</x:v>
      </x:c>
      <x:c r="S954" s="16"/>
      <x:c r="T954" s="15"/>
      <x:c r="U954" s="6"/>
      <x:c r="V954" s="6"/>
      <x:c r="W954" s="6" t="str">
        <x:v>Existing find_route and show_route implement the kit routing model.</x:v>
      </x:c>
      <x:c r="X954" s="6" t="str">
        <x:v>data/train/resplan-13024/questions_basic.jsonl</x:v>
      </x:c>
      <x:c r="Y954" s="14" t="n">
        <x:v>5</x:v>
      </x:c>
      <x:c r="Z954" s="6" t="str">
        <x:v>https://github.com/hagenhaeussler/Industrial-Agents-Hackathon-2026/blob/f41616590b69f3ea0c1cbfb41d6c35edd9ce53df/data/train/resplan-13024/questions_basic.jsonl#L5</x:v>
      </x:c>
      <x:c r="AA954" s="6" t="str">
        <x:v>resplan</x:v>
      </x:c>
      <x:c r="AB954" s="6" t="str">
        <x:v>CC-BY-4.0</x:v>
      </x:c>
    </x:row>
    <x:row r="955" ht="72" customHeight="1">
      <x:c r="A955" s="14" t="n">
        <x:v>950</x:v>
      </x:c>
      <x:c r="B955" s="6" t="str">
        <x:v>route</x:v>
      </x:c>
      <x:c r="C955" s="6" t="str">
        <x:v>How do I get from Bedroom 0.02 (Ground floor) to Bathroom 0.06 (Ground floor)?</x:v>
      </x:c>
      <x:c r="D955" s="6" t="str">
        <x:v>3.94 m
From: Bedroom 0.02
To: Bathroom 0.06
Ordered path (2 spaces): Bedroom 0.02 → Bathroom 0.06</x:v>
      </x:c>
      <x:c r="E955" s="6" t="str">
        <x:v>Reference supplied</x:v>
      </x:c>
      <x:c r="F955" s="6" t="str">
        <x:v>train</x:v>
      </x:c>
      <x:c r="G955" s="6" t="str">
        <x:v>resplan-13024</x:v>
      </x:c>
      <x:c r="H955" s="6" t="str">
        <x:v>resplan-13024-Q06</x:v>
      </x:c>
      <x:c r="I955" s="6" t="str">
        <x:v>Route planning</x:v>
      </x:c>
      <x:c r="J955" s="6" t="str">
        <x:v>Warm-up</x:v>
      </x:c>
      <x:c r="K955" s="6" t="str">
        <x:v>Ordered space path and directions, plus total route-model distance in metres.</x:v>
      </x:c>
      <x:c r="L955" s="6" t="str">
        <x:v>T02, T05, T13</x:v>
      </x:c>
      <x:c r="M955" s="6" t="str">
        <x:v>Find a valid route between two rooms, including across floors.</x:v>
      </x:c>
      <x:c r="N955" s="6" t="str">
        <x:v>{"from_space_id":"resplan-13024-F0-S002","to_space_id":"resplan-13024-F0-S006","optimal_length_m":3.94,"space_path":["resplan-13024-F0-S002","resplan-13024-F0-S006"],"element_path":["resplan-13024-F0-O0001","resplan-13024-F0-O0001"]}</x:v>
      </x:c>
      <x:c r="O955" s="6"/>
      <x:c r="P955" s="6" t="str">
        <x:v>README routing profile. Stairs and lifts allowed unless stated otherwise.</x:v>
      </x:c>
      <x:c r="Q955" s="15" t="n">
        <x:v>3.94</x:v>
      </x:c>
      <x:c r="R955" s="6" t="str">
        <x:v>m</x:v>
      </x:c>
      <x:c r="S955" s="16"/>
      <x:c r="T955" s="15"/>
      <x:c r="U955" s="6"/>
      <x:c r="V955" s="6"/>
      <x:c r="W955" s="6" t="str">
        <x:v>Existing find_route and show_route implement the kit routing model.</x:v>
      </x:c>
      <x:c r="X955" s="6" t="str">
        <x:v>data/train/resplan-13024/questions_basic.jsonl</x:v>
      </x:c>
      <x:c r="Y955" s="14" t="n">
        <x:v>6</x:v>
      </x:c>
      <x:c r="Z955" s="6" t="str">
        <x:v>https://github.com/hagenhaeussler/Industrial-Agents-Hackathon-2026/blob/f41616590b69f3ea0c1cbfb41d6c35edd9ce53df/data/train/resplan-13024/questions_basic.jsonl#L6</x:v>
      </x:c>
      <x:c r="AA955" s="6" t="str">
        <x:v>resplan</x:v>
      </x:c>
      <x:c r="AB955" s="6" t="str">
        <x:v>CC-BY-4.0</x:v>
      </x:c>
    </x:row>
    <x:row r="956" ht="72" customHeight="1">
      <x:c r="A956" s="14" t="n">
        <x:v>951</x:v>
      </x:c>
      <x:c r="B956" s="6" t="str">
        <x:v>route</x:v>
      </x:c>
      <x:c r="C956" s="6" t="str">
        <x:v>How do I get from Bedroom 0.02 (Ground floor) to Bedroom 0.03 (Ground floor)?</x:v>
      </x:c>
      <x:c r="D956" s="6" t="str">
        <x:v>13.81 m
From: Bedroom 0.02
To: Bedroom 0.03
Ordered path (3 spaces): Bedroom 0.02 → Living room 0.01 → Bedroom 0.03</x:v>
      </x:c>
      <x:c r="E956" s="6" t="str">
        <x:v>Reference supplied</x:v>
      </x:c>
      <x:c r="F956" s="6" t="str">
        <x:v>train</x:v>
      </x:c>
      <x:c r="G956" s="6" t="str">
        <x:v>resplan-13024</x:v>
      </x:c>
      <x:c r="H956" s="6" t="str">
        <x:v>resplan-13024-Q07</x:v>
      </x:c>
      <x:c r="I956" s="6" t="str">
        <x:v>Route planning</x:v>
      </x:c>
      <x:c r="J956" s="6" t="str">
        <x:v>Warm-up</x:v>
      </x:c>
      <x:c r="K956" s="6" t="str">
        <x:v>Ordered space path and directions, plus total route-model distance in metres.</x:v>
      </x:c>
      <x:c r="L956" s="6" t="str">
        <x:v>T02, T05, T13</x:v>
      </x:c>
      <x:c r="M956" s="6" t="str">
        <x:v>Find a valid route between two rooms, including across floors.</x:v>
      </x:c>
      <x:c r="N956" s="6" t="str">
        <x:v>{"from_space_id":"resplan-13024-F0-S002","to_space_id":"resplan-13024-F0-S003","optimal_length_m":13.81,"space_path":["resplan-13024-F0-S002","resplan-13024-F0-S001","resplan-13024-F0-S003"],"element_path":["resplan-13024-F0-O0003","resplan-13024-F0-O0003","resplan-13024-F0-O0004","resplan-13024-F0-O0004"]}</x:v>
      </x:c>
      <x:c r="O956" s="6"/>
      <x:c r="P956" s="6" t="str">
        <x:v>README routing profile. Stairs and lifts allowed unless stated otherwise.</x:v>
      </x:c>
      <x:c r="Q956" s="15" t="n">
        <x:v>13.81</x:v>
      </x:c>
      <x:c r="R956" s="6" t="str">
        <x:v>m</x:v>
      </x:c>
      <x:c r="S956" s="16"/>
      <x:c r="T956" s="15"/>
      <x:c r="U956" s="6"/>
      <x:c r="V956" s="6"/>
      <x:c r="W956" s="6" t="str">
        <x:v>Existing find_route and show_route implement the kit routing model.</x:v>
      </x:c>
      <x:c r="X956" s="6" t="str">
        <x:v>data/train/resplan-13024/questions_basic.jsonl</x:v>
      </x:c>
      <x:c r="Y956" s="14" t="n">
        <x:v>7</x:v>
      </x:c>
      <x:c r="Z956" s="6" t="str">
        <x:v>https://github.com/hagenhaeussler/Industrial-Agents-Hackathon-2026/blob/f41616590b69f3ea0c1cbfb41d6c35edd9ce53df/data/train/resplan-13024/questions_basic.jsonl#L7</x:v>
      </x:c>
      <x:c r="AA956" s="6" t="str">
        <x:v>resplan</x:v>
      </x:c>
      <x:c r="AB956" s="6" t="str">
        <x:v>CC-BY-4.0</x:v>
      </x:c>
    </x:row>
    <x:row r="957" ht="82" customHeight="1">
      <x:c r="A957" s="14" t="n">
        <x:v>952</x:v>
      </x:c>
      <x:c r="B957" s="6" t="str">
        <x:v>route</x:v>
      </x:c>
      <x:c r="C957" s="6" t="str">
        <x:v>How do I get from Bathroom 0.07 (Ground floor) to Bathroom 0.06 (Ground floor)?</x:v>
      </x:c>
      <x:c r="D957" s="6" t="str">
        <x:v>15.11 m
From: Bathroom 0.07
To: Bathroom 0.06
Ordered path (4 spaces): Bathroom 0.07 → Bedroom 0.04 → Living room 0.01 → Bathroom 0.06</x:v>
      </x:c>
      <x:c r="E957" s="6" t="str">
        <x:v>Reference supplied</x:v>
      </x:c>
      <x:c r="F957" s="6" t="str">
        <x:v>train</x:v>
      </x:c>
      <x:c r="G957" s="6" t="str">
        <x:v>resplan-13846</x:v>
      </x:c>
      <x:c r="H957" s="6" t="str">
        <x:v>resplan-13846-Q05</x:v>
      </x:c>
      <x:c r="I957" s="6" t="str">
        <x:v>Route planning</x:v>
      </x:c>
      <x:c r="J957" s="6" t="str">
        <x:v>Warm-up</x:v>
      </x:c>
      <x:c r="K957" s="6" t="str">
        <x:v>Ordered space path and directions, plus total route-model distance in metres.</x:v>
      </x:c>
      <x:c r="L957" s="6" t="str">
        <x:v>T02, T05, T13</x:v>
      </x:c>
      <x:c r="M957" s="6" t="str">
        <x:v>Find a valid route between two rooms, including across floors.</x:v>
      </x:c>
      <x:c r="N957" s="6" t="str">
        <x:v>{"from_space_id":"resplan-13846-F0-S007","to_space_id":"resplan-13846-F0-S006","optimal_length_m":15.11,"space_path":["resplan-13846-F0-S007","resplan-13846-F0-S004","resplan-13846-F0-S001","resplan-13846-F0-S006"],"element_path":["resplan-13846-F0-O0006","resplan-13846-F0-O0006","resplan-13846-F0-O0004","resplan-13846-F0-O0004","resplan-13846-F0-O0002","resplan-13846-F0-O0002"]}</x:v>
      </x:c>
      <x:c r="O957" s="6"/>
      <x:c r="P957" s="6" t="str">
        <x:v>README routing profile. Stairs and lifts allowed unless stated otherwise.</x:v>
      </x:c>
      <x:c r="Q957" s="15" t="n">
        <x:v>15.11</x:v>
      </x:c>
      <x:c r="R957" s="6" t="str">
        <x:v>m</x:v>
      </x:c>
      <x:c r="S957" s="16"/>
      <x:c r="T957" s="15"/>
      <x:c r="U957" s="6"/>
      <x:c r="V957" s="6"/>
      <x:c r="W957" s="6" t="str">
        <x:v>Existing find_route and show_route implement the kit routing model.</x:v>
      </x:c>
      <x:c r="X957" s="6" t="str">
        <x:v>data/train/resplan-13846/questions_basic.jsonl</x:v>
      </x:c>
      <x:c r="Y957" s="14" t="n">
        <x:v>5</x:v>
      </x:c>
      <x:c r="Z957" s="6" t="str">
        <x:v>https://github.com/hagenhaeussler/Industrial-Agents-Hackathon-2026/blob/f41616590b69f3ea0c1cbfb41d6c35edd9ce53df/data/train/resplan-13846/questions_basic.jsonl#L5</x:v>
      </x:c>
      <x:c r="AA957" s="6" t="str">
        <x:v>resplan</x:v>
      </x:c>
      <x:c r="AB957" s="6" t="str">
        <x:v>CC-BY-4.0</x:v>
      </x:c>
    </x:row>
    <x:row r="958" ht="72" customHeight="1">
      <x:c r="A958" s="14" t="n">
        <x:v>953</x:v>
      </x:c>
      <x:c r="B958" s="6" t="str">
        <x:v>route</x:v>
      </x:c>
      <x:c r="C958" s="6" t="str">
        <x:v>How do I get from Living room 0.01 (Ground floor) to Kitchen 0.08 (Ground floor)?</x:v>
      </x:c>
      <x:c r="D958" s="6" t="str">
        <x:v>4.1 m
From: Living room 0.01
To: Kitchen 0.08
Ordered path (2 spaces): Living room 0.01 → Kitchen 0.08</x:v>
      </x:c>
      <x:c r="E958" s="6" t="str">
        <x:v>Reference supplied</x:v>
      </x:c>
      <x:c r="F958" s="6" t="str">
        <x:v>train</x:v>
      </x:c>
      <x:c r="G958" s="6" t="str">
        <x:v>resplan-13846</x:v>
      </x:c>
      <x:c r="H958" s="6" t="str">
        <x:v>resplan-13846-Q06</x:v>
      </x:c>
      <x:c r="I958" s="6" t="str">
        <x:v>Route planning</x:v>
      </x:c>
      <x:c r="J958" s="6" t="str">
        <x:v>Warm-up</x:v>
      </x:c>
      <x:c r="K958" s="6" t="str">
        <x:v>Ordered space path and directions, plus total route-model distance in metres.</x:v>
      </x:c>
      <x:c r="L958" s="6" t="str">
        <x:v>T02, T05, T13</x:v>
      </x:c>
      <x:c r="M958" s="6" t="str">
        <x:v>Find a valid route between two rooms, including across floors.</x:v>
      </x:c>
      <x:c r="N958" s="6" t="str">
        <x:v>{"from_space_id":"resplan-13846-F0-S001","to_space_id":"resplan-13846-F0-S008","optimal_length_m":4.1,"space_path":["resplan-13846-F0-S001","resplan-13846-F0-S008"],"element_path":["resplan-13846-F0-O0010","resplan-13846-F0-O0010"]}</x:v>
      </x:c>
      <x:c r="O958" s="6"/>
      <x:c r="P958" s="6" t="str">
        <x:v>README routing profile. Stairs and lifts allowed unless stated otherwise.</x:v>
      </x:c>
      <x:c r="Q958" s="15" t="n">
        <x:v>4.1</x:v>
      </x:c>
      <x:c r="R958" s="6" t="str">
        <x:v>m</x:v>
      </x:c>
      <x:c r="S958" s="16"/>
      <x:c r="T958" s="15"/>
      <x:c r="U958" s="6"/>
      <x:c r="V958" s="6"/>
      <x:c r="W958" s="6" t="str">
        <x:v>Existing find_route and show_route implement the kit routing model.</x:v>
      </x:c>
      <x:c r="X958" s="6" t="str">
        <x:v>data/train/resplan-13846/questions_basic.jsonl</x:v>
      </x:c>
      <x:c r="Y958" s="14" t="n">
        <x:v>6</x:v>
      </x:c>
      <x:c r="Z958" s="6" t="str">
        <x:v>https://github.com/hagenhaeussler/Industrial-Agents-Hackathon-2026/blob/f41616590b69f3ea0c1cbfb41d6c35edd9ce53df/data/train/resplan-13846/questions_basic.jsonl#L6</x:v>
      </x:c>
      <x:c r="AA958" s="6" t="str">
        <x:v>resplan</x:v>
      </x:c>
      <x:c r="AB958" s="6" t="str">
        <x:v>CC-BY-4.0</x:v>
      </x:c>
    </x:row>
    <x:row r="959" ht="72" customHeight="1">
      <x:c r="A959" s="14" t="n">
        <x:v>954</x:v>
      </x:c>
      <x:c r="B959" s="6" t="str">
        <x:v>route</x:v>
      </x:c>
      <x:c r="C959" s="6" t="str">
        <x:v>How do I get from Bedroom 0.02 (Ground floor) to Bedroom 0.03 (Ground floor)?</x:v>
      </x:c>
      <x:c r="D959" s="6" t="str">
        <x:v>12.11 m
From: Bedroom 0.02
To: Bedroom 0.03
Ordered path (3 spaces): Bedroom 0.02 → Living room 0.01 → Bedroom 0.03</x:v>
      </x:c>
      <x:c r="E959" s="6" t="str">
        <x:v>Reference supplied</x:v>
      </x:c>
      <x:c r="F959" s="6" t="str">
        <x:v>train</x:v>
      </x:c>
      <x:c r="G959" s="6" t="str">
        <x:v>resplan-13846</x:v>
      </x:c>
      <x:c r="H959" s="6" t="str">
        <x:v>resplan-13846-Q07</x:v>
      </x:c>
      <x:c r="I959" s="6" t="str">
        <x:v>Route planning</x:v>
      </x:c>
      <x:c r="J959" s="6" t="str">
        <x:v>Warm-up</x:v>
      </x:c>
      <x:c r="K959" s="6" t="str">
        <x:v>Ordered space path and directions, plus total route-model distance in metres.</x:v>
      </x:c>
      <x:c r="L959" s="6" t="str">
        <x:v>T02, T05, T13</x:v>
      </x:c>
      <x:c r="M959" s="6" t="str">
        <x:v>Find a valid route between two rooms, including across floors.</x:v>
      </x:c>
      <x:c r="N959" s="6" t="str">
        <x:v>{"from_space_id":"resplan-13846-F0-S002","to_space_id":"resplan-13846-F0-S003","optimal_length_m":12.11,"space_path":["resplan-13846-F0-S002","resplan-13846-F0-S001","resplan-13846-F0-S003"],"element_path":["resplan-13846-F0-O0001","resplan-13846-F0-O0001","resplan-13846-F0-O0005","resplan-13846-F0-O0005"]}</x:v>
      </x:c>
      <x:c r="O959" s="6"/>
      <x:c r="P959" s="6" t="str">
        <x:v>README routing profile. Stairs and lifts allowed unless stated otherwise.</x:v>
      </x:c>
      <x:c r="Q959" s="15" t="n">
        <x:v>12.11</x:v>
      </x:c>
      <x:c r="R959" s="6" t="str">
        <x:v>m</x:v>
      </x:c>
      <x:c r="S959" s="16"/>
      <x:c r="T959" s="15"/>
      <x:c r="U959" s="6"/>
      <x:c r="V959" s="6"/>
      <x:c r="W959" s="6" t="str">
        <x:v>Existing find_route and show_route implement the kit routing model.</x:v>
      </x:c>
      <x:c r="X959" s="6" t="str">
        <x:v>data/train/resplan-13846/questions_basic.jsonl</x:v>
      </x:c>
      <x:c r="Y959" s="14" t="n">
        <x:v>7</x:v>
      </x:c>
      <x:c r="Z959" s="6" t="str">
        <x:v>https://github.com/hagenhaeussler/Industrial-Agents-Hackathon-2026/blob/f41616590b69f3ea0c1cbfb41d6c35edd9ce53df/data/train/resplan-13846/questions_basic.jsonl#L7</x:v>
      </x:c>
      <x:c r="AA959" s="6" t="str">
        <x:v>resplan</x:v>
      </x:c>
      <x:c r="AB959" s="6" t="str">
        <x:v>CC-BY-4.0</x:v>
      </x:c>
    </x:row>
    <x:row r="960" ht="82" customHeight="1">
      <x:c r="A960" s="14" t="n">
        <x:v>955</x:v>
      </x:c>
      <x:c r="B960" s="6" t="str">
        <x:v>route</x:v>
      </x:c>
      <x:c r="C960" s="6" t="str">
        <x:v>How do I get from Kitchen 0.05 (Ground floor) to Bathroom 0.03 (Ground floor)?</x:v>
      </x:c>
      <x:c r="D960" s="6" t="str">
        <x:v>10.6 m
From: Kitchen 0.05
To: Bathroom 0.03
Ordered path (3 spaces): Kitchen 0.05 → Living room 0.01 → Bathroom 0.03</x:v>
      </x:c>
      <x:c r="E960" s="6" t="str">
        <x:v>Reference supplied</x:v>
      </x:c>
      <x:c r="F960" s="6" t="str">
        <x:v>train</x:v>
      </x:c>
      <x:c r="G960" s="6" t="str">
        <x:v>resplan-14012</x:v>
      </x:c>
      <x:c r="H960" s="6" t="str">
        <x:v>resplan-14012-Q05</x:v>
      </x:c>
      <x:c r="I960" s="6" t="str">
        <x:v>Route planning</x:v>
      </x:c>
      <x:c r="J960" s="6" t="str">
        <x:v>Warm-up</x:v>
      </x:c>
      <x:c r="K960" s="6" t="str">
        <x:v>Ordered space path and directions, plus total route-model distance in metres.</x:v>
      </x:c>
      <x:c r="L960" s="6" t="str">
        <x:v>T02, T05, T13</x:v>
      </x:c>
      <x:c r="M960" s="6" t="str">
        <x:v>Find a valid route between two rooms, including across floors.</x:v>
      </x:c>
      <x:c r="N960" s="6" t="str">
        <x:v>{"from_space_id":"resplan-14012-F0-S005","to_space_id":"resplan-14012-F0-S003","optimal_length_m":10.6,"space_path":["resplan-14012-F0-S005","resplan-14012-F0-S001","resplan-14012-F0-S003"],"element_path":["resplan-14012-F0-O0004","resplan-14012-F0-O0004","resplan-14012-F0-O0002","resplan-14012-F0-O0002"]}</x:v>
      </x:c>
      <x:c r="O960" s="6"/>
      <x:c r="P960" s="6" t="str">
        <x:v>README routing profile. Stairs and lifts allowed unless stated otherwise.</x:v>
      </x:c>
      <x:c r="Q960" s="15" t="n">
        <x:v>10.6</x:v>
      </x:c>
      <x:c r="R960" s="6" t="str">
        <x:v>m</x:v>
      </x:c>
      <x:c r="S960" s="16"/>
      <x:c r="T960" s="15"/>
      <x:c r="U960" s="6"/>
      <x:c r="V960" s="6"/>
      <x:c r="W960" s="6" t="str">
        <x:v>Existing find_route and show_route implement the kit routing model.</x:v>
      </x:c>
      <x:c r="X960" s="6" t="str">
        <x:v>data/train/resplan-14012/questions_basic.jsonl</x:v>
      </x:c>
      <x:c r="Y960" s="14" t="n">
        <x:v>5</x:v>
      </x:c>
      <x:c r="Z960" s="6" t="str">
        <x:v>https://github.com/hagenhaeussler/Industrial-Agents-Hackathon-2026/blob/f41616590b69f3ea0c1cbfb41d6c35edd9ce53df/data/train/resplan-14012/questions_basic.jsonl#L5</x:v>
      </x:c>
      <x:c r="AA960" s="6" t="str">
        <x:v>resplan</x:v>
      </x:c>
      <x:c r="AB960" s="6" t="str">
        <x:v>CC-BY-4.0</x:v>
      </x:c>
    </x:row>
    <x:row r="961" ht="82" customHeight="1">
      <x:c r="A961" s="14" t="n">
        <x:v>956</x:v>
      </x:c>
      <x:c r="B961" s="6" t="str">
        <x:v>route</x:v>
      </x:c>
      <x:c r="C961" s="6" t="str">
        <x:v>How do I get from Bathroom 0.03 (Ground floor) to Kitchen 0.05 (Ground floor)?</x:v>
      </x:c>
      <x:c r="D961" s="6" t="str">
        <x:v>10.6 m
From: Bathroom 0.03
To: Kitchen 0.05
Ordered path (3 spaces): Bathroom 0.03 → Living room 0.01 → Kitchen 0.05</x:v>
      </x:c>
      <x:c r="E961" s="6" t="str">
        <x:v>Reference supplied</x:v>
      </x:c>
      <x:c r="F961" s="6" t="str">
        <x:v>train</x:v>
      </x:c>
      <x:c r="G961" s="6" t="str">
        <x:v>resplan-14012</x:v>
      </x:c>
      <x:c r="H961" s="6" t="str">
        <x:v>resplan-14012-Q06</x:v>
      </x:c>
      <x:c r="I961" s="6" t="str">
        <x:v>Route planning</x:v>
      </x:c>
      <x:c r="J961" s="6" t="str">
        <x:v>Warm-up</x:v>
      </x:c>
      <x:c r="K961" s="6" t="str">
        <x:v>Ordered space path and directions, plus total route-model distance in metres.</x:v>
      </x:c>
      <x:c r="L961" s="6" t="str">
        <x:v>T02, T05, T13</x:v>
      </x:c>
      <x:c r="M961" s="6" t="str">
        <x:v>Find a valid route between two rooms, including across floors.</x:v>
      </x:c>
      <x:c r="N961" s="6" t="str">
        <x:v>{"from_space_id":"resplan-14012-F0-S003","to_space_id":"resplan-14012-F0-S005","optimal_length_m":10.6,"space_path":["resplan-14012-F0-S003","resplan-14012-F0-S001","resplan-14012-F0-S005"],"element_path":["resplan-14012-F0-O0002","resplan-14012-F0-O0002","resplan-14012-F0-O0004","resplan-14012-F0-O0004"]}</x:v>
      </x:c>
      <x:c r="O961" s="6"/>
      <x:c r="P961" s="6" t="str">
        <x:v>README routing profile. Stairs and lifts allowed unless stated otherwise.</x:v>
      </x:c>
      <x:c r="Q961" s="15" t="n">
        <x:v>10.6</x:v>
      </x:c>
      <x:c r="R961" s="6" t="str">
        <x:v>m</x:v>
      </x:c>
      <x:c r="S961" s="16"/>
      <x:c r="T961" s="15"/>
      <x:c r="U961" s="6"/>
      <x:c r="V961" s="6"/>
      <x:c r="W961" s="6" t="str">
        <x:v>Existing find_route and show_route implement the kit routing model.</x:v>
      </x:c>
      <x:c r="X961" s="6" t="str">
        <x:v>data/train/resplan-14012/questions_basic.jsonl</x:v>
      </x:c>
      <x:c r="Y961" s="14" t="n">
        <x:v>6</x:v>
      </x:c>
      <x:c r="Z961" s="6" t="str">
        <x:v>https://github.com/hagenhaeussler/Industrial-Agents-Hackathon-2026/blob/f41616590b69f3ea0c1cbfb41d6c35edd9ce53df/data/train/resplan-14012/questions_basic.jsonl#L6</x:v>
      </x:c>
      <x:c r="AA961" s="6" t="str">
        <x:v>resplan</x:v>
      </x:c>
      <x:c r="AB961" s="6" t="str">
        <x:v>CC-BY-4.0</x:v>
      </x:c>
    </x:row>
    <x:row r="962" ht="72" customHeight="1">
      <x:c r="A962" s="14" t="n">
        <x:v>957</x:v>
      </x:c>
      <x:c r="B962" s="6" t="str">
        <x:v>route</x:v>
      </x:c>
      <x:c r="C962" s="6" t="str">
        <x:v>How do I get from Bathroom 0.04 (Ground floor) to Living room 0.01 (Ground floor)?</x:v>
      </x:c>
      <x:c r="D962" s="6" t="str">
        <x:v>5.12 m
From: Bathroom 0.04
To: Living room 0.01
Ordered path (2 spaces): Bathroom 0.04 → Living room 0.01</x:v>
      </x:c>
      <x:c r="E962" s="6" t="str">
        <x:v>Reference supplied</x:v>
      </x:c>
      <x:c r="F962" s="6" t="str">
        <x:v>train</x:v>
      </x:c>
      <x:c r="G962" s="6" t="str">
        <x:v>resplan-14012</x:v>
      </x:c>
      <x:c r="H962" s="6" t="str">
        <x:v>resplan-14012-Q07</x:v>
      </x:c>
      <x:c r="I962" s="6" t="str">
        <x:v>Route planning</x:v>
      </x:c>
      <x:c r="J962" s="6" t="str">
        <x:v>Warm-up</x:v>
      </x:c>
      <x:c r="K962" s="6" t="str">
        <x:v>Ordered space path and directions, plus total route-model distance in metres.</x:v>
      </x:c>
      <x:c r="L962" s="6" t="str">
        <x:v>T02, T05, T13</x:v>
      </x:c>
      <x:c r="M962" s="6" t="str">
        <x:v>Find a valid route between two rooms, including across floors.</x:v>
      </x:c>
      <x:c r="N962" s="6" t="str">
        <x:v>{"from_space_id":"resplan-14012-F0-S004","to_space_id":"resplan-14012-F0-S001","optimal_length_m":5.12,"space_path":["resplan-14012-F0-S004","resplan-14012-F0-S001"],"element_path":["resplan-14012-F0-O0001","resplan-14012-F0-O0001"]}</x:v>
      </x:c>
      <x:c r="O962" s="6"/>
      <x:c r="P962" s="6" t="str">
        <x:v>README routing profile. Stairs and lifts allowed unless stated otherwise.</x:v>
      </x:c>
      <x:c r="Q962" s="15" t="n">
        <x:v>5.12</x:v>
      </x:c>
      <x:c r="R962" s="6" t="str">
        <x:v>m</x:v>
      </x:c>
      <x:c r="S962" s="16"/>
      <x:c r="T962" s="15"/>
      <x:c r="U962" s="6"/>
      <x:c r="V962" s="6"/>
      <x:c r="W962" s="6" t="str">
        <x:v>Existing find_route and show_route implement the kit routing model.</x:v>
      </x:c>
      <x:c r="X962" s="6" t="str">
        <x:v>data/train/resplan-14012/questions_basic.jsonl</x:v>
      </x:c>
      <x:c r="Y962" s="14" t="n">
        <x:v>7</x:v>
      </x:c>
      <x:c r="Z962" s="6" t="str">
        <x:v>https://github.com/hagenhaeussler/Industrial-Agents-Hackathon-2026/blob/f41616590b69f3ea0c1cbfb41d6c35edd9ce53df/data/train/resplan-14012/questions_basic.jsonl#L7</x:v>
      </x:c>
      <x:c r="AA962" s="6" t="str">
        <x:v>resplan</x:v>
      </x:c>
      <x:c r="AB962" s="6" t="str">
        <x:v>CC-BY-4.0</x:v>
      </x:c>
    </x:row>
    <x:row r="963" ht="72" customHeight="1">
      <x:c r="A963" s="14" t="n">
        <x:v>958</x:v>
      </x:c>
      <x:c r="B963" s="6" t="str">
        <x:v>route</x:v>
      </x:c>
      <x:c r="C963" s="6" t="str">
        <x:v>How do I get from Bedroom 0.02 (Ground floor) to Living room 0.01 (Ground floor)?</x:v>
      </x:c>
      <x:c r="D963" s="6" t="str">
        <x:v>5.52 m
From: Bedroom 0.02
To: Living room 0.01
Ordered path (2 spaces): Bedroom 0.02 → Living room 0.01</x:v>
      </x:c>
      <x:c r="E963" s="6" t="str">
        <x:v>Reference supplied</x:v>
      </x:c>
      <x:c r="F963" s="6" t="str">
        <x:v>train</x:v>
      </x:c>
      <x:c r="G963" s="6" t="str">
        <x:v>resplan-14211</x:v>
      </x:c>
      <x:c r="H963" s="6" t="str">
        <x:v>resplan-14211-Q05</x:v>
      </x:c>
      <x:c r="I963" s="6" t="str">
        <x:v>Route planning</x:v>
      </x:c>
      <x:c r="J963" s="6" t="str">
        <x:v>Warm-up</x:v>
      </x:c>
      <x:c r="K963" s="6" t="str">
        <x:v>Ordered space path and directions, plus total route-model distance in metres.</x:v>
      </x:c>
      <x:c r="L963" s="6" t="str">
        <x:v>T02, T05, T13</x:v>
      </x:c>
      <x:c r="M963" s="6" t="str">
        <x:v>Find a valid route between two rooms, including across floors.</x:v>
      </x:c>
      <x:c r="N963" s="6" t="str">
        <x:v>{"from_space_id":"resplan-14211-F0-S002","to_space_id":"resplan-14211-F0-S001","optimal_length_m":5.52,"space_path":["resplan-14211-F0-S002","resplan-14211-F0-S001"],"element_path":["resplan-14211-F0-O0002","resplan-14211-F0-O0002"]}</x:v>
      </x:c>
      <x:c r="O963" s="6"/>
      <x:c r="P963" s="6" t="str">
        <x:v>README routing profile. Stairs and lifts allowed unless stated otherwise.</x:v>
      </x:c>
      <x:c r="Q963" s="15" t="n">
        <x:v>5.52</x:v>
      </x:c>
      <x:c r="R963" s="6" t="str">
        <x:v>m</x:v>
      </x:c>
      <x:c r="S963" s="16"/>
      <x:c r="T963" s="15"/>
      <x:c r="U963" s="6"/>
      <x:c r="V963" s="6"/>
      <x:c r="W963" s="6" t="str">
        <x:v>Existing find_route and show_route implement the kit routing model.</x:v>
      </x:c>
      <x:c r="X963" s="6" t="str">
        <x:v>data/train/resplan-14211/questions_basic.jsonl</x:v>
      </x:c>
      <x:c r="Y963" s="14" t="n">
        <x:v>5</x:v>
      </x:c>
      <x:c r="Z963" s="6" t="str">
        <x:v>https://github.com/hagenhaeussler/Industrial-Agents-Hackathon-2026/blob/f41616590b69f3ea0c1cbfb41d6c35edd9ce53df/data/train/resplan-14211/questions_basic.jsonl#L5</x:v>
      </x:c>
      <x:c r="AA963" s="6" t="str">
        <x:v>resplan</x:v>
      </x:c>
      <x:c r="AB963" s="6" t="str">
        <x:v>CC-BY-4.0</x:v>
      </x:c>
    </x:row>
    <x:row r="964" ht="82" customHeight="1">
      <x:c r="A964" s="14" t="n">
        <x:v>959</x:v>
      </x:c>
      <x:c r="B964" s="6" t="str">
        <x:v>route</x:v>
      </x:c>
      <x:c r="C964" s="6" t="str">
        <x:v>How do I get from Bathroom 0.04 (Ground floor) to Bathroom 0.05 (Ground floor)?</x:v>
      </x:c>
      <x:c r="D964" s="6" t="str">
        <x:v>18.74 m
From: Bathroom 0.04
To: Bathroom 0.05
Ordered path (5 spaces): Bathroom 0.04 → Bedroom 0.03 → Living room 0.01 → Bedroom 0.02 → Bathroom 0.05</x:v>
      </x:c>
      <x:c r="E964" s="6" t="str">
        <x:v>Reference supplied</x:v>
      </x:c>
      <x:c r="F964" s="6" t="str">
        <x:v>train</x:v>
      </x:c>
      <x:c r="G964" s="6" t="str">
        <x:v>resplan-14211</x:v>
      </x:c>
      <x:c r="H964" s="6" t="str">
        <x:v>resplan-14211-Q06</x:v>
      </x:c>
      <x:c r="I964" s="6" t="str">
        <x:v>Route planning</x:v>
      </x:c>
      <x:c r="J964" s="6" t="str">
        <x:v>Warm-up</x:v>
      </x:c>
      <x:c r="K964" s="6" t="str">
        <x:v>Ordered space path and directions, plus total route-model distance in metres.</x:v>
      </x:c>
      <x:c r="L964" s="6" t="str">
        <x:v>T02, T05, T13</x:v>
      </x:c>
      <x:c r="M964" s="6" t="str">
        <x:v>Find a valid route between two rooms, including across floors.</x:v>
      </x:c>
      <x:c r="N964" s="6" t="str">
        <x:v>{"from_space_id":"resplan-14211-F0-S004","to_space_id":"resplan-14211-F0-S005","optimal_length_m":18.74,"space_path":["resplan-14211-F0-S004","resplan-14211-F0-S003","resplan-14211-F0-S001","resplan-14211-F0-S002","resplan-14211-F0-S005"],"element_path":["resplan-14211-F0-O0004","resplan-14211-F0-O0004","resplan-14211-F0-O0003","resplan-14211-F0-O0003","resplan-14211-F0-O0002","resplan-14211-F0-O0002","resplan-14211-F0-O0001","resplan-14211-F0-O0001"]}</x:v>
      </x:c>
      <x:c r="O964" s="6"/>
      <x:c r="P964" s="6" t="str">
        <x:v>README routing profile. Stairs and lifts allowed unless stated otherwise.</x:v>
      </x:c>
      <x:c r="Q964" s="15" t="n">
        <x:v>18.74</x:v>
      </x:c>
      <x:c r="R964" s="6" t="str">
        <x:v>m</x:v>
      </x:c>
      <x:c r="S964" s="16"/>
      <x:c r="T964" s="15"/>
      <x:c r="U964" s="6"/>
      <x:c r="V964" s="6"/>
      <x:c r="W964" s="6" t="str">
        <x:v>Existing find_route and show_route implement the kit routing model.</x:v>
      </x:c>
      <x:c r="X964" s="6" t="str">
        <x:v>data/train/resplan-14211/questions_basic.jsonl</x:v>
      </x:c>
      <x:c r="Y964" s="14" t="n">
        <x:v>6</x:v>
      </x:c>
      <x:c r="Z964" s="6" t="str">
        <x:v>https://github.com/hagenhaeussler/Industrial-Agents-Hackathon-2026/blob/f41616590b69f3ea0c1cbfb41d6c35edd9ce53df/data/train/resplan-14211/questions_basic.jsonl#L6</x:v>
      </x:c>
      <x:c r="AA964" s="6" t="str">
        <x:v>resplan</x:v>
      </x:c>
      <x:c r="AB964" s="6" t="str">
        <x:v>CC-BY-4.0</x:v>
      </x:c>
    </x:row>
    <x:row r="965" ht="82" customHeight="1">
      <x:c r="A965" s="14" t="n">
        <x:v>960</x:v>
      </x:c>
      <x:c r="B965" s="6" t="str">
        <x:v>route</x:v>
      </x:c>
      <x:c r="C965" s="6" t="str">
        <x:v>How do I get from Kitchen 0.06 (Ground floor) to Bathroom 0.05 (Ground floor)?</x:v>
      </x:c>
      <x:c r="D965" s="6" t="str">
        <x:v>14.47 m
From: Kitchen 0.06
To: Bathroom 0.05
Ordered path (4 spaces): Kitchen 0.06 → Living room 0.01 → Bedroom 0.02 → Bathroom 0.05</x:v>
      </x:c>
      <x:c r="E965" s="6" t="str">
        <x:v>Reference supplied</x:v>
      </x:c>
      <x:c r="F965" s="6" t="str">
        <x:v>train</x:v>
      </x:c>
      <x:c r="G965" s="6" t="str">
        <x:v>resplan-14211</x:v>
      </x:c>
      <x:c r="H965" s="6" t="str">
        <x:v>resplan-14211-Q07</x:v>
      </x:c>
      <x:c r="I965" s="6" t="str">
        <x:v>Route planning</x:v>
      </x:c>
      <x:c r="J965" s="6" t="str">
        <x:v>Warm-up</x:v>
      </x:c>
      <x:c r="K965" s="6" t="str">
        <x:v>Ordered space path and directions, plus total route-model distance in metres.</x:v>
      </x:c>
      <x:c r="L965" s="6" t="str">
        <x:v>T02, T05, T13</x:v>
      </x:c>
      <x:c r="M965" s="6" t="str">
        <x:v>Find a valid route between two rooms, including across floors.</x:v>
      </x:c>
      <x:c r="N965" s="6" t="str">
        <x:v>{"from_space_id":"resplan-14211-F0-S006","to_space_id":"resplan-14211-F0-S005","optimal_length_m":14.47,"space_path":["resplan-14211-F0-S006","resplan-14211-F0-S001","resplan-14211-F0-S002","resplan-14211-F0-S005"],"element_path":["resplan-14211-F0-O0006","resplan-14211-F0-O0006","resplan-14211-F0-O0002","resplan-14211-F0-O0002","resplan-14211-F0-O0001","resplan-14211-F0-O0001"]}</x:v>
      </x:c>
      <x:c r="O965" s="6"/>
      <x:c r="P965" s="6" t="str">
        <x:v>README routing profile. Stairs and lifts allowed unless stated otherwise.</x:v>
      </x:c>
      <x:c r="Q965" s="15" t="n">
        <x:v>14.47</x:v>
      </x:c>
      <x:c r="R965" s="6" t="str">
        <x:v>m</x:v>
      </x:c>
      <x:c r="S965" s="16"/>
      <x:c r="T965" s="15"/>
      <x:c r="U965" s="6"/>
      <x:c r="V965" s="6"/>
      <x:c r="W965" s="6" t="str">
        <x:v>Existing find_route and show_route implement the kit routing model.</x:v>
      </x:c>
      <x:c r="X965" s="6" t="str">
        <x:v>data/train/resplan-14211/questions_basic.jsonl</x:v>
      </x:c>
      <x:c r="Y965" s="14" t="n">
        <x:v>7</x:v>
      </x:c>
      <x:c r="Z965" s="6" t="str">
        <x:v>https://github.com/hagenhaeussler/Industrial-Agents-Hackathon-2026/blob/f41616590b69f3ea0c1cbfb41d6c35edd9ce53df/data/train/resplan-14211/questions_basic.jsonl#L7</x:v>
      </x:c>
      <x:c r="AA965" s="6" t="str">
        <x:v>resplan</x:v>
      </x:c>
      <x:c r="AB965" s="6" t="str">
        <x:v>CC-BY-4.0</x:v>
      </x:c>
    </x:row>
    <x:row r="966" ht="72" customHeight="1">
      <x:c r="A966" s="14" t="n">
        <x:v>961</x:v>
      </x:c>
      <x:c r="B966" s="6" t="str">
        <x:v>route</x:v>
      </x:c>
      <x:c r="C966" s="6" t="str">
        <x:v>How do I get from Bedroom 0.02 (Ground floor) to Bathroom 0.06 (Ground floor)?</x:v>
      </x:c>
      <x:c r="D966" s="6" t="str">
        <x:v>5.55 m
From: Bedroom 0.02
To: Bathroom 0.06
Ordered path (2 spaces): Bedroom 0.02 → Bathroom 0.06</x:v>
      </x:c>
      <x:c r="E966" s="6" t="str">
        <x:v>Reference supplied</x:v>
      </x:c>
      <x:c r="F966" s="6" t="str">
        <x:v>train</x:v>
      </x:c>
      <x:c r="G966" s="6" t="str">
        <x:v>resplan-14407</x:v>
      </x:c>
      <x:c r="H966" s="6" t="str">
        <x:v>resplan-14407-Q05</x:v>
      </x:c>
      <x:c r="I966" s="6" t="str">
        <x:v>Route planning</x:v>
      </x:c>
      <x:c r="J966" s="6" t="str">
        <x:v>Warm-up</x:v>
      </x:c>
      <x:c r="K966" s="6" t="str">
        <x:v>Ordered space path and directions, plus total route-model distance in metres.</x:v>
      </x:c>
      <x:c r="L966" s="6" t="str">
        <x:v>T02, T05, T13</x:v>
      </x:c>
      <x:c r="M966" s="6" t="str">
        <x:v>Find a valid route between two rooms, including across floors.</x:v>
      </x:c>
      <x:c r="N966" s="6" t="str">
        <x:v>{"from_space_id":"resplan-14407-F0-S002","to_space_id":"resplan-14407-F0-S006","optimal_length_m":5.55,"space_path":["resplan-14407-F0-S002","resplan-14407-F0-S006"],"element_path":["resplan-14407-F0-O0001","resplan-14407-F0-O0001"]}</x:v>
      </x:c>
      <x:c r="O966" s="6"/>
      <x:c r="P966" s="6" t="str">
        <x:v>README routing profile. Stairs and lifts allowed unless stated otherwise.</x:v>
      </x:c>
      <x:c r="Q966" s="15" t="n">
        <x:v>5.55</x:v>
      </x:c>
      <x:c r="R966" s="6" t="str">
        <x:v>m</x:v>
      </x:c>
      <x:c r="S966" s="16"/>
      <x:c r="T966" s="15"/>
      <x:c r="U966" s="6"/>
      <x:c r="V966" s="6"/>
      <x:c r="W966" s="6" t="str">
        <x:v>Existing find_route and show_route implement the kit routing model.</x:v>
      </x:c>
      <x:c r="X966" s="6" t="str">
        <x:v>data/train/resplan-14407/questions_basic.jsonl</x:v>
      </x:c>
      <x:c r="Y966" s="14" t="n">
        <x:v>5</x:v>
      </x:c>
      <x:c r="Z966" s="6" t="str">
        <x:v>https://github.com/hagenhaeussler/Industrial-Agents-Hackathon-2026/blob/f41616590b69f3ea0c1cbfb41d6c35edd9ce53df/data/train/resplan-14407/questions_basic.jsonl#L5</x:v>
      </x:c>
      <x:c r="AA966" s="6" t="str">
        <x:v>resplan</x:v>
      </x:c>
      <x:c r="AB966" s="6" t="str">
        <x:v>CC-BY-4.0</x:v>
      </x:c>
    </x:row>
    <x:row r="967" ht="82" customHeight="1">
      <x:c r="A967" s="14" t="n">
        <x:v>962</x:v>
      </x:c>
      <x:c r="B967" s="6" t="str">
        <x:v>route</x:v>
      </x:c>
      <x:c r="C967" s="6" t="str">
        <x:v>How do I get from Bathroom 0.05 (Ground floor) to Bedroom 0.04 (Ground floor)?</x:v>
      </x:c>
      <x:c r="D967" s="6" t="str">
        <x:v>14.37 m
From: Bathroom 0.05
To: Bedroom 0.04
Ordered path (3 spaces): Bathroom 0.05 → Living room 0.01 → Bedroom 0.04</x:v>
      </x:c>
      <x:c r="E967" s="6" t="str">
        <x:v>Reference supplied</x:v>
      </x:c>
      <x:c r="F967" s="6" t="str">
        <x:v>train</x:v>
      </x:c>
      <x:c r="G967" s="6" t="str">
        <x:v>resplan-14407</x:v>
      </x:c>
      <x:c r="H967" s="6" t="str">
        <x:v>resplan-14407-Q06</x:v>
      </x:c>
      <x:c r="I967" s="6" t="str">
        <x:v>Route planning</x:v>
      </x:c>
      <x:c r="J967" s="6" t="str">
        <x:v>Warm-up</x:v>
      </x:c>
      <x:c r="K967" s="6" t="str">
        <x:v>Ordered space path and directions, plus total route-model distance in metres.</x:v>
      </x:c>
      <x:c r="L967" s="6" t="str">
        <x:v>T02, T05, T13</x:v>
      </x:c>
      <x:c r="M967" s="6" t="str">
        <x:v>Find a valid route between two rooms, including across floors.</x:v>
      </x:c>
      <x:c r="N967" s="6" t="str">
        <x:v>{"from_space_id":"resplan-14407-F0-S005","to_space_id":"resplan-14407-F0-S004","optimal_length_m":14.37,"space_path":["resplan-14407-F0-S005","resplan-14407-F0-S001","resplan-14407-F0-S004"],"element_path":["resplan-14407-F0-O0004","resplan-14407-F0-O0004","resplan-14407-F0-O0005","resplan-14407-F0-O0005"]}</x:v>
      </x:c>
      <x:c r="O967" s="6"/>
      <x:c r="P967" s="6" t="str">
        <x:v>README routing profile. Stairs and lifts allowed unless stated otherwise.</x:v>
      </x:c>
      <x:c r="Q967" s="15" t="n">
        <x:v>14.37</x:v>
      </x:c>
      <x:c r="R967" s="6" t="str">
        <x:v>m</x:v>
      </x:c>
      <x:c r="S967" s="16"/>
      <x:c r="T967" s="15"/>
      <x:c r="U967" s="6"/>
      <x:c r="V967" s="6"/>
      <x:c r="W967" s="6" t="str">
        <x:v>Existing find_route and show_route implement the kit routing model.</x:v>
      </x:c>
      <x:c r="X967" s="6" t="str">
        <x:v>data/train/resplan-14407/questions_basic.jsonl</x:v>
      </x:c>
      <x:c r="Y967" s="14" t="n">
        <x:v>6</x:v>
      </x:c>
      <x:c r="Z967" s="6" t="str">
        <x:v>https://github.com/hagenhaeussler/Industrial-Agents-Hackathon-2026/blob/f41616590b69f3ea0c1cbfb41d6c35edd9ce53df/data/train/resplan-14407/questions_basic.jsonl#L6</x:v>
      </x:c>
      <x:c r="AA967" s="6" t="str">
        <x:v>resplan</x:v>
      </x:c>
      <x:c r="AB967" s="6" t="str">
        <x:v>CC-BY-4.0</x:v>
      </x:c>
    </x:row>
    <x:row r="968" ht="72" customHeight="1">
      <x:c r="A968" s="14" t="n">
        <x:v>963</x:v>
      </x:c>
      <x:c r="B968" s="6" t="str">
        <x:v>route</x:v>
      </x:c>
      <x:c r="C968" s="6" t="str">
        <x:v>How do I get from Bedroom 0.03 (Ground floor) to Living room 0.01 (Ground floor)?</x:v>
      </x:c>
      <x:c r="D968" s="6" t="str">
        <x:v>7.42 m
From: Bedroom 0.03
To: Living room 0.01
Ordered path (2 spaces): Bedroom 0.03 → Living room 0.01</x:v>
      </x:c>
      <x:c r="E968" s="6" t="str">
        <x:v>Reference supplied</x:v>
      </x:c>
      <x:c r="F968" s="6" t="str">
        <x:v>train</x:v>
      </x:c>
      <x:c r="G968" s="6" t="str">
        <x:v>resplan-14407</x:v>
      </x:c>
      <x:c r="H968" s="6" t="str">
        <x:v>resplan-14407-Q07</x:v>
      </x:c>
      <x:c r="I968" s="6" t="str">
        <x:v>Route planning</x:v>
      </x:c>
      <x:c r="J968" s="6" t="str">
        <x:v>Warm-up</x:v>
      </x:c>
      <x:c r="K968" s="6" t="str">
        <x:v>Ordered space path and directions, plus total route-model distance in metres.</x:v>
      </x:c>
      <x:c r="L968" s="6" t="str">
        <x:v>T02, T05, T13</x:v>
      </x:c>
      <x:c r="M968" s="6" t="str">
        <x:v>Find a valid route between two rooms, including across floors.</x:v>
      </x:c>
      <x:c r="N968" s="6" t="str">
        <x:v>{"from_space_id":"resplan-14407-F0-S003","to_space_id":"resplan-14407-F0-S001","optimal_length_m":7.42,"space_path":["resplan-14407-F0-S003","resplan-14407-F0-S001"],"element_path":["resplan-14407-F0-O0003","resplan-14407-F0-O0003"]}</x:v>
      </x:c>
      <x:c r="O968" s="6"/>
      <x:c r="P968" s="6" t="str">
        <x:v>README routing profile. Stairs and lifts allowed unless stated otherwise.</x:v>
      </x:c>
      <x:c r="Q968" s="15" t="n">
        <x:v>7.42</x:v>
      </x:c>
      <x:c r="R968" s="6" t="str">
        <x:v>m</x:v>
      </x:c>
      <x:c r="S968" s="16"/>
      <x:c r="T968" s="15"/>
      <x:c r="U968" s="6"/>
      <x:c r="V968" s="6"/>
      <x:c r="W968" s="6" t="str">
        <x:v>Existing find_route and show_route implement the kit routing model.</x:v>
      </x:c>
      <x:c r="X968" s="6" t="str">
        <x:v>data/train/resplan-14407/questions_basic.jsonl</x:v>
      </x:c>
      <x:c r="Y968" s="14" t="n">
        <x:v>7</x:v>
      </x:c>
      <x:c r="Z968" s="6" t="str">
        <x:v>https://github.com/hagenhaeussler/Industrial-Agents-Hackathon-2026/blob/f41616590b69f3ea0c1cbfb41d6c35edd9ce53df/data/train/resplan-14407/questions_basic.jsonl#L7</x:v>
      </x:c>
      <x:c r="AA968" s="6" t="str">
        <x:v>resplan</x:v>
      </x:c>
      <x:c r="AB968" s="6" t="str">
        <x:v>CC-BY-4.0</x:v>
      </x:c>
    </x:row>
    <x:row r="969" ht="82" customHeight="1">
      <x:c r="A969" s="14" t="n">
        <x:v>964</x:v>
      </x:c>
      <x:c r="B969" s="6" t="str">
        <x:v>route</x:v>
      </x:c>
      <x:c r="C969" s="6" t="str">
        <x:v>How do I get from Bathroom 0.06 (Ground floor) to Bedroom 0.03 (Ground floor)?</x:v>
      </x:c>
      <x:c r="D969" s="6" t="str">
        <x:v>24.77 m
From: Bathroom 0.06
To: Bedroom 0.03
Ordered path (4 spaces): Bathroom 0.06 → Bedroom 0.02 → Living room 0.01 → Bedroom 0.03</x:v>
      </x:c>
      <x:c r="E969" s="6" t="str">
        <x:v>Reference supplied</x:v>
      </x:c>
      <x:c r="F969" s="6" t="str">
        <x:v>train</x:v>
      </x:c>
      <x:c r="G969" s="6" t="str">
        <x:v>resplan-14602</x:v>
      </x:c>
      <x:c r="H969" s="6" t="str">
        <x:v>resplan-14602-Q05</x:v>
      </x:c>
      <x:c r="I969" s="6" t="str">
        <x:v>Route planning</x:v>
      </x:c>
      <x:c r="J969" s="6" t="str">
        <x:v>Warm-up</x:v>
      </x:c>
      <x:c r="K969" s="6" t="str">
        <x:v>Ordered space path and directions, plus total route-model distance in metres.</x:v>
      </x:c>
      <x:c r="L969" s="6" t="str">
        <x:v>T02, T05, T13</x:v>
      </x:c>
      <x:c r="M969" s="6" t="str">
        <x:v>Find a valid route between two rooms, including across floors.</x:v>
      </x:c>
      <x:c r="N969" s="6" t="str">
        <x:v>{"from_space_id":"resplan-14602-F0-S006","to_space_id":"resplan-14602-F0-S003","optimal_length_m":24.77,"space_path":["resplan-14602-F0-S006","resplan-14602-F0-S002","resplan-14602-F0-S001","resplan-14602-F0-S003"],"element_path":["resplan-14602-F0-O0001","resplan-14602-F0-O0001","resplan-14602-F0-O0002","resplan-14602-F0-O0002","resplan-14602-F0-O0003","resplan-14602-F0-O0003"]}</x:v>
      </x:c>
      <x:c r="O969" s="6"/>
      <x:c r="P969" s="6" t="str">
        <x:v>README routing profile. Stairs and lifts allowed unless stated otherwise.</x:v>
      </x:c>
      <x:c r="Q969" s="15" t="n">
        <x:v>24.77</x:v>
      </x:c>
      <x:c r="R969" s="6" t="str">
        <x:v>m</x:v>
      </x:c>
      <x:c r="S969" s="16"/>
      <x:c r="T969" s="15"/>
      <x:c r="U969" s="6"/>
      <x:c r="V969" s="6"/>
      <x:c r="W969" s="6" t="str">
        <x:v>Existing find_route and show_route implement the kit routing model.</x:v>
      </x:c>
      <x:c r="X969" s="6" t="str">
        <x:v>data/train/resplan-14602/questions_basic.jsonl</x:v>
      </x:c>
      <x:c r="Y969" s="14" t="n">
        <x:v>5</x:v>
      </x:c>
      <x:c r="Z969" s="6" t="str">
        <x:v>https://github.com/hagenhaeussler/Industrial-Agents-Hackathon-2026/blob/f41616590b69f3ea0c1cbfb41d6c35edd9ce53df/data/train/resplan-14602/questions_basic.jsonl#L5</x:v>
      </x:c>
      <x:c r="AA969" s="6" t="str">
        <x:v>resplan</x:v>
      </x:c>
      <x:c r="AB969" s="6" t="str">
        <x:v>CC-BY-4.0</x:v>
      </x:c>
    </x:row>
    <x:row r="970" ht="72" customHeight="1">
      <x:c r="A970" s="14" t="n">
        <x:v>965</x:v>
      </x:c>
      <x:c r="B970" s="6" t="str">
        <x:v>route</x:v>
      </x:c>
      <x:c r="C970" s="6" t="str">
        <x:v>How do I get from Bedroom 0.03 (Ground floor) to Living room 0.01 (Ground floor)?</x:v>
      </x:c>
      <x:c r="D970" s="6" t="str">
        <x:v>9.91 m
From: Bedroom 0.03
To: Living room 0.01
Ordered path (2 spaces): Bedroom 0.03 → Living room 0.01</x:v>
      </x:c>
      <x:c r="E970" s="6" t="str">
        <x:v>Reference supplied</x:v>
      </x:c>
      <x:c r="F970" s="6" t="str">
        <x:v>train</x:v>
      </x:c>
      <x:c r="G970" s="6" t="str">
        <x:v>resplan-14602</x:v>
      </x:c>
      <x:c r="H970" s="6" t="str">
        <x:v>resplan-14602-Q06</x:v>
      </x:c>
      <x:c r="I970" s="6" t="str">
        <x:v>Route planning</x:v>
      </x:c>
      <x:c r="J970" s="6" t="str">
        <x:v>Warm-up</x:v>
      </x:c>
      <x:c r="K970" s="6" t="str">
        <x:v>Ordered space path and directions, plus total route-model distance in metres.</x:v>
      </x:c>
      <x:c r="L970" s="6" t="str">
        <x:v>T02, T05, T13</x:v>
      </x:c>
      <x:c r="M970" s="6" t="str">
        <x:v>Find a valid route between two rooms, including across floors.</x:v>
      </x:c>
      <x:c r="N970" s="6" t="str">
        <x:v>{"from_space_id":"resplan-14602-F0-S003","to_space_id":"resplan-14602-F0-S001","optimal_length_m":9.91,"space_path":["resplan-14602-F0-S003","resplan-14602-F0-S001"],"element_path":["resplan-14602-F0-O0003","resplan-14602-F0-O0003"]}</x:v>
      </x:c>
      <x:c r="O970" s="6"/>
      <x:c r="P970" s="6" t="str">
        <x:v>README routing profile. Stairs and lifts allowed unless stated otherwise.</x:v>
      </x:c>
      <x:c r="Q970" s="15" t="n">
        <x:v>9.91</x:v>
      </x:c>
      <x:c r="R970" s="6" t="str">
        <x:v>m</x:v>
      </x:c>
      <x:c r="S970" s="16"/>
      <x:c r="T970" s="15"/>
      <x:c r="U970" s="6"/>
      <x:c r="V970" s="6"/>
      <x:c r="W970" s="6" t="str">
        <x:v>Existing find_route and show_route implement the kit routing model.</x:v>
      </x:c>
      <x:c r="X970" s="6" t="str">
        <x:v>data/train/resplan-14602/questions_basic.jsonl</x:v>
      </x:c>
      <x:c r="Y970" s="14" t="n">
        <x:v>6</x:v>
      </x:c>
      <x:c r="Z970" s="6" t="str">
        <x:v>https://github.com/hagenhaeussler/Industrial-Agents-Hackathon-2026/blob/f41616590b69f3ea0c1cbfb41d6c35edd9ce53df/data/train/resplan-14602/questions_basic.jsonl#L6</x:v>
      </x:c>
      <x:c r="AA970" s="6" t="str">
        <x:v>resplan</x:v>
      </x:c>
      <x:c r="AB970" s="6" t="str">
        <x:v>CC-BY-4.0</x:v>
      </x:c>
    </x:row>
    <x:row r="971" ht="72" customHeight="1">
      <x:c r="A971" s="14" t="n">
        <x:v>966</x:v>
      </x:c>
      <x:c r="B971" s="6" t="str">
        <x:v>route</x:v>
      </x:c>
      <x:c r="C971" s="6" t="str">
        <x:v>How do I get from Living room 0.01 (Ground floor) to Kitchen 0.07 (Ground floor)?</x:v>
      </x:c>
      <x:c r="D971" s="6" t="str">
        <x:v>3.64 m
From: Living room 0.01
To: Kitchen 0.07
Ordered path (2 spaces): Living room 0.01 → Kitchen 0.07</x:v>
      </x:c>
      <x:c r="E971" s="6" t="str">
        <x:v>Reference supplied</x:v>
      </x:c>
      <x:c r="F971" s="6" t="str">
        <x:v>train</x:v>
      </x:c>
      <x:c r="G971" s="6" t="str">
        <x:v>resplan-14602</x:v>
      </x:c>
      <x:c r="H971" s="6" t="str">
        <x:v>resplan-14602-Q07</x:v>
      </x:c>
      <x:c r="I971" s="6" t="str">
        <x:v>Route planning</x:v>
      </x:c>
      <x:c r="J971" s="6" t="str">
        <x:v>Warm-up</x:v>
      </x:c>
      <x:c r="K971" s="6" t="str">
        <x:v>Ordered space path and directions, plus total route-model distance in metres.</x:v>
      </x:c>
      <x:c r="L971" s="6" t="str">
        <x:v>T02, T05, T13</x:v>
      </x:c>
      <x:c r="M971" s="6" t="str">
        <x:v>Find a valid route between two rooms, including across floors.</x:v>
      </x:c>
      <x:c r="N971" s="6" t="str">
        <x:v>{"from_space_id":"resplan-14602-F0-S001","to_space_id":"resplan-14602-F0-S007","optimal_length_m":3.64,"space_path":["resplan-14602-F0-S001","resplan-14602-F0-S007"],"element_path":["resplan-14602-F0-O0008","resplan-14602-F0-O0008"]}</x:v>
      </x:c>
      <x:c r="O971" s="6"/>
      <x:c r="P971" s="6" t="str">
        <x:v>README routing profile. Stairs and lifts allowed unless stated otherwise.</x:v>
      </x:c>
      <x:c r="Q971" s="15" t="n">
        <x:v>3.64</x:v>
      </x:c>
      <x:c r="R971" s="6" t="str">
        <x:v>m</x:v>
      </x:c>
      <x:c r="S971" s="16"/>
      <x:c r="T971" s="15"/>
      <x:c r="U971" s="6"/>
      <x:c r="V971" s="6"/>
      <x:c r="W971" s="6" t="str">
        <x:v>Existing find_route and show_route implement the kit routing model.</x:v>
      </x:c>
      <x:c r="X971" s="6" t="str">
        <x:v>data/train/resplan-14602/questions_basic.jsonl</x:v>
      </x:c>
      <x:c r="Y971" s="14" t="n">
        <x:v>7</x:v>
      </x:c>
      <x:c r="Z971" s="6" t="str">
        <x:v>https://github.com/hagenhaeussler/Industrial-Agents-Hackathon-2026/blob/f41616590b69f3ea0c1cbfb41d6c35edd9ce53df/data/train/resplan-14602/questions_basic.jsonl#L7</x:v>
      </x:c>
      <x:c r="AA971" s="6" t="str">
        <x:v>resplan</x:v>
      </x:c>
      <x:c r="AB971" s="6" t="str">
        <x:v>CC-BY-4.0</x:v>
      </x:c>
    </x:row>
    <x:row r="972" ht="72" customHeight="1">
      <x:c r="A972" s="14" t="n">
        <x:v>967</x:v>
      </x:c>
      <x:c r="B972" s="6" t="str">
        <x:v>route</x:v>
      </x:c>
      <x:c r="C972" s="6" t="str">
        <x:v>How do I get from Bedroom 0.03 (Ground floor) to Bedroom 0.02 (Ground floor)?</x:v>
      </x:c>
      <x:c r="D972" s="6" t="str">
        <x:v>13.43 m
From: Bedroom 0.03
To: Bedroom 0.02
Ordered path (3 spaces): Bedroom 0.03 → Living room 0.01 → Bedroom 0.02</x:v>
      </x:c>
      <x:c r="E972" s="6" t="str">
        <x:v>Reference supplied</x:v>
      </x:c>
      <x:c r="F972" s="6" t="str">
        <x:v>train</x:v>
      </x:c>
      <x:c r="G972" s="6" t="str">
        <x:v>resplan-15074</x:v>
      </x:c>
      <x:c r="H972" s="6" t="str">
        <x:v>resplan-15074-Q05</x:v>
      </x:c>
      <x:c r="I972" s="6" t="str">
        <x:v>Route planning</x:v>
      </x:c>
      <x:c r="J972" s="6" t="str">
        <x:v>Warm-up</x:v>
      </x:c>
      <x:c r="K972" s="6" t="str">
        <x:v>Ordered space path and directions, plus total route-model distance in metres.</x:v>
      </x:c>
      <x:c r="L972" s="6" t="str">
        <x:v>T02, T05, T13</x:v>
      </x:c>
      <x:c r="M972" s="6" t="str">
        <x:v>Find a valid route between two rooms, including across floors.</x:v>
      </x:c>
      <x:c r="N972" s="6" t="str">
        <x:v>{"from_space_id":"resplan-15074-F0-S003","to_space_id":"resplan-15074-F0-S002","optimal_length_m":13.43,"space_path":["resplan-15074-F0-S003","resplan-15074-F0-S001","resplan-15074-F0-S002"],"element_path":["resplan-15074-F0-O0003","resplan-15074-F0-O0003","resplan-15074-F0-O0002","resplan-15074-F0-O0002"]}</x:v>
      </x:c>
      <x:c r="O972" s="6"/>
      <x:c r="P972" s="6" t="str">
        <x:v>README routing profile. Stairs and lifts allowed unless stated otherwise.</x:v>
      </x:c>
      <x:c r="Q972" s="15" t="n">
        <x:v>13.43</x:v>
      </x:c>
      <x:c r="R972" s="6" t="str">
        <x:v>m</x:v>
      </x:c>
      <x:c r="S972" s="16"/>
      <x:c r="T972" s="15"/>
      <x:c r="U972" s="6"/>
      <x:c r="V972" s="6"/>
      <x:c r="W972" s="6" t="str">
        <x:v>Existing find_route and show_route implement the kit routing model.</x:v>
      </x:c>
      <x:c r="X972" s="6" t="str">
        <x:v>data/train/resplan-15074/questions_basic.jsonl</x:v>
      </x:c>
      <x:c r="Y972" s="14" t="n">
        <x:v>5</x:v>
      </x:c>
      <x:c r="Z972" s="6" t="str">
        <x:v>https://github.com/hagenhaeussler/Industrial-Agents-Hackathon-2026/blob/f41616590b69f3ea0c1cbfb41d6c35edd9ce53df/data/train/resplan-15074/questions_basic.jsonl#L5</x:v>
      </x:c>
      <x:c r="AA972" s="6" t="str">
        <x:v>resplan</x:v>
      </x:c>
      <x:c r="AB972" s="6" t="str">
        <x:v>CC-BY-4.0</x:v>
      </x:c>
    </x:row>
    <x:row r="973" ht="72" customHeight="1">
      <x:c r="A973" s="14" t="n">
        <x:v>968</x:v>
      </x:c>
      <x:c r="B973" s="6" t="str">
        <x:v>route</x:v>
      </x:c>
      <x:c r="C973" s="6" t="str">
        <x:v>How do I get from Kitchen 0.07 (Ground floor) to Bedroom 0.02 (Ground floor)?</x:v>
      </x:c>
      <x:c r="D973" s="6" t="str">
        <x:v>15.16 m
From: Kitchen 0.07
To: Bedroom 0.02
Ordered path (3 spaces): Kitchen 0.07 → Living room 0.01 → Bedroom 0.02</x:v>
      </x:c>
      <x:c r="E973" s="6" t="str">
        <x:v>Reference supplied</x:v>
      </x:c>
      <x:c r="F973" s="6" t="str">
        <x:v>train</x:v>
      </x:c>
      <x:c r="G973" s="6" t="str">
        <x:v>resplan-15074</x:v>
      </x:c>
      <x:c r="H973" s="6" t="str">
        <x:v>resplan-15074-Q06</x:v>
      </x:c>
      <x:c r="I973" s="6" t="str">
        <x:v>Route planning</x:v>
      </x:c>
      <x:c r="J973" s="6" t="str">
        <x:v>Warm-up</x:v>
      </x:c>
      <x:c r="K973" s="6" t="str">
        <x:v>Ordered space path and directions, plus total route-model distance in metres.</x:v>
      </x:c>
      <x:c r="L973" s="6" t="str">
        <x:v>T02, T05, T13</x:v>
      </x:c>
      <x:c r="M973" s="6" t="str">
        <x:v>Find a valid route between two rooms, including across floors.</x:v>
      </x:c>
      <x:c r="N973" s="6" t="str">
        <x:v>{"from_space_id":"resplan-15074-F0-S007","to_space_id":"resplan-15074-F0-S002","optimal_length_m":15.16,"space_path":["resplan-15074-F0-S007","resplan-15074-F0-S001","resplan-15074-F0-S002"],"element_path":["resplan-15074-F0-O0007","resplan-15074-F0-O0007","resplan-15074-F0-O0002","resplan-15074-F0-O0002"]}</x:v>
      </x:c>
      <x:c r="O973" s="6"/>
      <x:c r="P973" s="6" t="str">
        <x:v>README routing profile. Stairs and lifts allowed unless stated otherwise.</x:v>
      </x:c>
      <x:c r="Q973" s="15" t="n">
        <x:v>15.16</x:v>
      </x:c>
      <x:c r="R973" s="6" t="str">
        <x:v>m</x:v>
      </x:c>
      <x:c r="S973" s="16"/>
      <x:c r="T973" s="15"/>
      <x:c r="U973" s="6"/>
      <x:c r="V973" s="6"/>
      <x:c r="W973" s="6" t="str">
        <x:v>Existing find_route and show_route implement the kit routing model.</x:v>
      </x:c>
      <x:c r="X973" s="6" t="str">
        <x:v>data/train/resplan-15074/questions_basic.jsonl</x:v>
      </x:c>
      <x:c r="Y973" s="14" t="n">
        <x:v>6</x:v>
      </x:c>
      <x:c r="Z973" s="6" t="str">
        <x:v>https://github.com/hagenhaeussler/Industrial-Agents-Hackathon-2026/blob/f41616590b69f3ea0c1cbfb41d6c35edd9ce53df/data/train/resplan-15074/questions_basic.jsonl#L6</x:v>
      </x:c>
      <x:c r="AA973" s="6" t="str">
        <x:v>resplan</x:v>
      </x:c>
      <x:c r="AB973" s="6" t="str">
        <x:v>CC-BY-4.0</x:v>
      </x:c>
    </x:row>
    <x:row r="974" ht="82" customHeight="1">
      <x:c r="A974" s="14" t="n">
        <x:v>969</x:v>
      </x:c>
      <x:c r="B974" s="6" t="str">
        <x:v>route</x:v>
      </x:c>
      <x:c r="C974" s="6" t="str">
        <x:v>How do I get from Bathroom 0.05 (Ground floor) to Bedroom 0.04 (Ground floor)?</x:v>
      </x:c>
      <x:c r="D974" s="6" t="str">
        <x:v>9.7 m
From: Bathroom 0.05
To: Bedroom 0.04
Ordered path (3 spaces): Bathroom 0.05 → Living room 0.01 → Bedroom 0.04</x:v>
      </x:c>
      <x:c r="E974" s="6" t="str">
        <x:v>Reference supplied</x:v>
      </x:c>
      <x:c r="F974" s="6" t="str">
        <x:v>train</x:v>
      </x:c>
      <x:c r="G974" s="6" t="str">
        <x:v>resplan-15074</x:v>
      </x:c>
      <x:c r="H974" s="6" t="str">
        <x:v>resplan-15074-Q07</x:v>
      </x:c>
      <x:c r="I974" s="6" t="str">
        <x:v>Route planning</x:v>
      </x:c>
      <x:c r="J974" s="6" t="str">
        <x:v>Warm-up</x:v>
      </x:c>
      <x:c r="K974" s="6" t="str">
        <x:v>Ordered space path and directions, plus total route-model distance in metres.</x:v>
      </x:c>
      <x:c r="L974" s="6" t="str">
        <x:v>T02, T05, T13</x:v>
      </x:c>
      <x:c r="M974" s="6" t="str">
        <x:v>Find a valid route between two rooms, including across floors.</x:v>
      </x:c>
      <x:c r="N974" s="6" t="str">
        <x:v>{"from_space_id":"resplan-15074-F0-S005","to_space_id":"resplan-15074-F0-S004","optimal_length_m":9.7,"space_path":["resplan-15074-F0-S005","resplan-15074-F0-S001","resplan-15074-F0-S004"],"element_path":["resplan-15074-F0-O0004","resplan-15074-F0-O0004","resplan-15074-F0-O0005","resplan-15074-F0-O0005"]}</x:v>
      </x:c>
      <x:c r="O974" s="6"/>
      <x:c r="P974" s="6" t="str">
        <x:v>README routing profile. Stairs and lifts allowed unless stated otherwise.</x:v>
      </x:c>
      <x:c r="Q974" s="15" t="n">
        <x:v>9.7</x:v>
      </x:c>
      <x:c r="R974" s="6" t="str">
        <x:v>m</x:v>
      </x:c>
      <x:c r="S974" s="16"/>
      <x:c r="T974" s="15"/>
      <x:c r="U974" s="6"/>
      <x:c r="V974" s="6"/>
      <x:c r="W974" s="6" t="str">
        <x:v>Existing find_route and show_route implement the kit routing model.</x:v>
      </x:c>
      <x:c r="X974" s="6" t="str">
        <x:v>data/train/resplan-15074/questions_basic.jsonl</x:v>
      </x:c>
      <x:c r="Y974" s="14" t="n">
        <x:v>7</x:v>
      </x:c>
      <x:c r="Z974" s="6" t="str">
        <x:v>https://github.com/hagenhaeussler/Industrial-Agents-Hackathon-2026/blob/f41616590b69f3ea0c1cbfb41d6c35edd9ce53df/data/train/resplan-15074/questions_basic.jsonl#L7</x:v>
      </x:c>
      <x:c r="AA974" s="6" t="str">
        <x:v>resplan</x:v>
      </x:c>
      <x:c r="AB974" s="6" t="str">
        <x:v>CC-BY-4.0</x:v>
      </x:c>
    </x:row>
    <x:row r="975" ht="72" customHeight="1">
      <x:c r="A975" s="14" t="n">
        <x:v>970</x:v>
      </x:c>
      <x:c r="B975" s="6" t="str">
        <x:v>route</x:v>
      </x:c>
      <x:c r="C975" s="6" t="str">
        <x:v>How do I get from Bedroom 0.03 (Ground floor) to Kitchen 0.06 (Ground floor)?</x:v>
      </x:c>
      <x:c r="D975" s="6" t="str">
        <x:v>10.08 m
From: Bedroom 0.03
To: Kitchen 0.06
Ordered path (3 spaces): Bedroom 0.03 → Living room 0.01 → Kitchen 0.06</x:v>
      </x:c>
      <x:c r="E975" s="6" t="str">
        <x:v>Reference supplied</x:v>
      </x:c>
      <x:c r="F975" s="6" t="str">
        <x:v>train</x:v>
      </x:c>
      <x:c r="G975" s="6" t="str">
        <x:v>resplan-15183</x:v>
      </x:c>
      <x:c r="H975" s="6" t="str">
        <x:v>resplan-15183-Q05</x:v>
      </x:c>
      <x:c r="I975" s="6" t="str">
        <x:v>Route planning</x:v>
      </x:c>
      <x:c r="J975" s="6" t="str">
        <x:v>Warm-up</x:v>
      </x:c>
      <x:c r="K975" s="6" t="str">
        <x:v>Ordered space path and directions, plus total route-model distance in metres.</x:v>
      </x:c>
      <x:c r="L975" s="6" t="str">
        <x:v>T02, T05, T13</x:v>
      </x:c>
      <x:c r="M975" s="6" t="str">
        <x:v>Find a valid route between two rooms, including across floors.</x:v>
      </x:c>
      <x:c r="N975" s="6" t="str">
        <x:v>{"from_space_id":"resplan-15183-F0-S003","to_space_id":"resplan-15183-F0-S006","optimal_length_m":10.08,"space_path":["resplan-15183-F0-S003","resplan-15183-F0-S001","resplan-15183-F0-S006"],"element_path":["resplan-15183-F0-O0005","resplan-15183-F0-O0005","resplan-15183-F0-O0006","resplan-15183-F0-O0006"]}</x:v>
      </x:c>
      <x:c r="O975" s="6"/>
      <x:c r="P975" s="6" t="str">
        <x:v>README routing profile. Stairs and lifts allowed unless stated otherwise.</x:v>
      </x:c>
      <x:c r="Q975" s="15" t="n">
        <x:v>10.08</x:v>
      </x:c>
      <x:c r="R975" s="6" t="str">
        <x:v>m</x:v>
      </x:c>
      <x:c r="S975" s="16"/>
      <x:c r="T975" s="15"/>
      <x:c r="U975" s="6"/>
      <x:c r="V975" s="6"/>
      <x:c r="W975" s="6" t="str">
        <x:v>Existing find_route and show_route implement the kit routing model.</x:v>
      </x:c>
      <x:c r="X975" s="6" t="str">
        <x:v>data/train/resplan-15183/questions_basic.jsonl</x:v>
      </x:c>
      <x:c r="Y975" s="14" t="n">
        <x:v>5</x:v>
      </x:c>
      <x:c r="Z975" s="6" t="str">
        <x:v>https://github.com/hagenhaeussler/Industrial-Agents-Hackathon-2026/blob/f41616590b69f3ea0c1cbfb41d6c35edd9ce53df/data/train/resplan-15183/questions_basic.jsonl#L5</x:v>
      </x:c>
      <x:c r="AA975" s="6" t="str">
        <x:v>resplan</x:v>
      </x:c>
      <x:c r="AB975" s="6" t="str">
        <x:v>CC-BY-4.0</x:v>
      </x:c>
    </x:row>
    <x:row r="976" ht="72" customHeight="1">
      <x:c r="A976" s="14" t="n">
        <x:v>971</x:v>
      </x:c>
      <x:c r="B976" s="6" t="str">
        <x:v>route</x:v>
      </x:c>
      <x:c r="C976" s="6" t="str">
        <x:v>How do I get from Bedroom 0.03 (Ground floor) to Living room 0.01 (Ground floor)?</x:v>
      </x:c>
      <x:c r="D976" s="6" t="str">
        <x:v>5.09 m
From: Bedroom 0.03
To: Living room 0.01
Ordered path (2 spaces): Bedroom 0.03 → Living room 0.01</x:v>
      </x:c>
      <x:c r="E976" s="6" t="str">
        <x:v>Reference supplied</x:v>
      </x:c>
      <x:c r="F976" s="6" t="str">
        <x:v>train</x:v>
      </x:c>
      <x:c r="G976" s="6" t="str">
        <x:v>resplan-15183</x:v>
      </x:c>
      <x:c r="H976" s="6" t="str">
        <x:v>resplan-15183-Q06</x:v>
      </x:c>
      <x:c r="I976" s="6" t="str">
        <x:v>Route planning</x:v>
      </x:c>
      <x:c r="J976" s="6" t="str">
        <x:v>Warm-up</x:v>
      </x:c>
      <x:c r="K976" s="6" t="str">
        <x:v>Ordered space path and directions, plus total route-model distance in metres.</x:v>
      </x:c>
      <x:c r="L976" s="6" t="str">
        <x:v>T02, T05, T13</x:v>
      </x:c>
      <x:c r="M976" s="6" t="str">
        <x:v>Find a valid route between two rooms, including across floors.</x:v>
      </x:c>
      <x:c r="N976" s="6" t="str">
        <x:v>{"from_space_id":"resplan-15183-F0-S003","to_space_id":"resplan-15183-F0-S001","optimal_length_m":5.09,"space_path":["resplan-15183-F0-S003","resplan-15183-F0-S001"],"element_path":["resplan-15183-F0-O0005","resplan-15183-F0-O0005"]}</x:v>
      </x:c>
      <x:c r="O976" s="6"/>
      <x:c r="P976" s="6" t="str">
        <x:v>README routing profile. Stairs and lifts allowed unless stated otherwise.</x:v>
      </x:c>
      <x:c r="Q976" s="15" t="n">
        <x:v>5.09</x:v>
      </x:c>
      <x:c r="R976" s="6" t="str">
        <x:v>m</x:v>
      </x:c>
      <x:c r="S976" s="16"/>
      <x:c r="T976" s="15"/>
      <x:c r="U976" s="6"/>
      <x:c r="V976" s="6"/>
      <x:c r="W976" s="6" t="str">
        <x:v>Existing find_route and show_route implement the kit routing model.</x:v>
      </x:c>
      <x:c r="X976" s="6" t="str">
        <x:v>data/train/resplan-15183/questions_basic.jsonl</x:v>
      </x:c>
      <x:c r="Y976" s="14" t="n">
        <x:v>6</x:v>
      </x:c>
      <x:c r="Z976" s="6" t="str">
        <x:v>https://github.com/hagenhaeussler/Industrial-Agents-Hackathon-2026/blob/f41616590b69f3ea0c1cbfb41d6c35edd9ce53df/data/train/resplan-15183/questions_basic.jsonl#L6</x:v>
      </x:c>
      <x:c r="AA976" s="6" t="str">
        <x:v>resplan</x:v>
      </x:c>
      <x:c r="AB976" s="6" t="str">
        <x:v>CC-BY-4.0</x:v>
      </x:c>
    </x:row>
    <x:row r="977" ht="72" customHeight="1">
      <x:c r="A977" s="14" t="n">
        <x:v>972</x:v>
      </x:c>
      <x:c r="B977" s="6" t="str">
        <x:v>route</x:v>
      </x:c>
      <x:c r="C977" s="6" t="str">
        <x:v>How do I get from Bedroom 0.02 (Ground floor) to Living room 0.01 (Ground floor)?</x:v>
      </x:c>
      <x:c r="D977" s="6" t="str">
        <x:v>5.33 m
From: Bedroom 0.02
To: Living room 0.01
Ordered path (2 spaces): Bedroom 0.02 → Living room 0.01</x:v>
      </x:c>
      <x:c r="E977" s="6" t="str">
        <x:v>Reference supplied</x:v>
      </x:c>
      <x:c r="F977" s="6" t="str">
        <x:v>train</x:v>
      </x:c>
      <x:c r="G977" s="6" t="str">
        <x:v>resplan-15183</x:v>
      </x:c>
      <x:c r="H977" s="6" t="str">
        <x:v>resplan-15183-Q07</x:v>
      </x:c>
      <x:c r="I977" s="6" t="str">
        <x:v>Route planning</x:v>
      </x:c>
      <x:c r="J977" s="6" t="str">
        <x:v>Warm-up</x:v>
      </x:c>
      <x:c r="K977" s="6" t="str">
        <x:v>Ordered space path and directions, plus total route-model distance in metres.</x:v>
      </x:c>
      <x:c r="L977" s="6" t="str">
        <x:v>T02, T05, T13</x:v>
      </x:c>
      <x:c r="M977" s="6" t="str">
        <x:v>Find a valid route between two rooms, including across floors.</x:v>
      </x:c>
      <x:c r="N977" s="6" t="str">
        <x:v>{"from_space_id":"resplan-15183-F0-S002","to_space_id":"resplan-15183-F0-S001","optimal_length_m":5.33,"space_path":["resplan-15183-F0-S002","resplan-15183-F0-S001"],"element_path":["resplan-15183-F0-O0003","resplan-15183-F0-O0003"]}</x:v>
      </x:c>
      <x:c r="O977" s="6"/>
      <x:c r="P977" s="6" t="str">
        <x:v>README routing profile. Stairs and lifts allowed unless stated otherwise.</x:v>
      </x:c>
      <x:c r="Q977" s="15" t="n">
        <x:v>5.33</x:v>
      </x:c>
      <x:c r="R977" s="6" t="str">
        <x:v>m</x:v>
      </x:c>
      <x:c r="S977" s="16"/>
      <x:c r="T977" s="15"/>
      <x:c r="U977" s="6"/>
      <x:c r="V977" s="6"/>
      <x:c r="W977" s="6" t="str">
        <x:v>Existing find_route and show_route implement the kit routing model.</x:v>
      </x:c>
      <x:c r="X977" s="6" t="str">
        <x:v>data/train/resplan-15183/questions_basic.jsonl</x:v>
      </x:c>
      <x:c r="Y977" s="14" t="n">
        <x:v>7</x:v>
      </x:c>
      <x:c r="Z977" s="6" t="str">
        <x:v>https://github.com/hagenhaeussler/Industrial-Agents-Hackathon-2026/blob/f41616590b69f3ea0c1cbfb41d6c35edd9ce53df/data/train/resplan-15183/questions_basic.jsonl#L7</x:v>
      </x:c>
      <x:c r="AA977" s="6" t="str">
        <x:v>resplan</x:v>
      </x:c>
      <x:c r="AB977" s="6" t="str">
        <x:v>CC-BY-4.0</x:v>
      </x:c>
    </x:row>
    <x:row r="978" ht="82" customHeight="1">
      <x:c r="A978" s="14" t="n">
        <x:v>973</x:v>
      </x:c>
      <x:c r="B978" s="6" t="str">
        <x:v>route</x:v>
      </x:c>
      <x:c r="C978" s="6" t="str">
        <x:v>How do I get from Bathroom 0.05 (Ground floor) to Bedroom 0.03 (Ground floor)?</x:v>
      </x:c>
      <x:c r="D978" s="6" t="str">
        <x:v>14.35 m
From: Bathroom 0.05
To: Bedroom 0.03
Ordered path (4 spaces): Bathroom 0.05 → Bedroom 0.02 → Living room 0.01 → Bedroom 0.03</x:v>
      </x:c>
      <x:c r="E978" s="6" t="str">
        <x:v>Reference supplied</x:v>
      </x:c>
      <x:c r="F978" s="6" t="str">
        <x:v>train</x:v>
      </x:c>
      <x:c r="G978" s="6" t="str">
        <x:v>resplan-15550</x:v>
      </x:c>
      <x:c r="H978" s="6" t="str">
        <x:v>resplan-15550-Q05</x:v>
      </x:c>
      <x:c r="I978" s="6" t="str">
        <x:v>Route planning</x:v>
      </x:c>
      <x:c r="J978" s="6" t="str">
        <x:v>Warm-up</x:v>
      </x:c>
      <x:c r="K978" s="6" t="str">
        <x:v>Ordered space path and directions, plus total route-model distance in metres.</x:v>
      </x:c>
      <x:c r="L978" s="6" t="str">
        <x:v>T02, T05, T13</x:v>
      </x:c>
      <x:c r="M978" s="6" t="str">
        <x:v>Find a valid route between two rooms, including across floors.</x:v>
      </x:c>
      <x:c r="N978" s="6" t="str">
        <x:v>{"from_space_id":"resplan-15550-F0-S005","to_space_id":"resplan-15550-F0-S003","optimal_length_m":14.35,"space_path":["resplan-15550-F0-S005","resplan-15550-F0-S002","resplan-15550-F0-S001","resplan-15550-F0-S003"],"element_path":["resplan-15550-F0-O0001","resplan-15550-F0-O0001","resplan-15550-F0-O0002","resplan-15550-F0-O0002","resplan-15550-F0-O0004","resplan-15550-F0-O0004"]}</x:v>
      </x:c>
      <x:c r="O978" s="6"/>
      <x:c r="P978" s="6" t="str">
        <x:v>README routing profile. Stairs and lifts allowed unless stated otherwise.</x:v>
      </x:c>
      <x:c r="Q978" s="15" t="n">
        <x:v>14.35</x:v>
      </x:c>
      <x:c r="R978" s="6" t="str">
        <x:v>m</x:v>
      </x:c>
      <x:c r="S978" s="16"/>
      <x:c r="T978" s="15"/>
      <x:c r="U978" s="6"/>
      <x:c r="V978" s="6"/>
      <x:c r="W978" s="6" t="str">
        <x:v>Existing find_route and show_route implement the kit routing model.</x:v>
      </x:c>
      <x:c r="X978" s="6" t="str">
        <x:v>data/train/resplan-15550/questions_basic.jsonl</x:v>
      </x:c>
      <x:c r="Y978" s="14" t="n">
        <x:v>5</x:v>
      </x:c>
      <x:c r="Z978" s="6" t="str">
        <x:v>https://github.com/hagenhaeussler/Industrial-Agents-Hackathon-2026/blob/f41616590b69f3ea0c1cbfb41d6c35edd9ce53df/data/train/resplan-15550/questions_basic.jsonl#L5</x:v>
      </x:c>
      <x:c r="AA978" s="6" t="str">
        <x:v>resplan</x:v>
      </x:c>
      <x:c r="AB978" s="6" t="str">
        <x:v>CC-BY-4.0</x:v>
      </x:c>
    </x:row>
    <x:row r="979" ht="72" customHeight="1">
      <x:c r="A979" s="14" t="n">
        <x:v>974</x:v>
      </x:c>
      <x:c r="B979" s="6" t="str">
        <x:v>route</x:v>
      </x:c>
      <x:c r="C979" s="6" t="str">
        <x:v>How do I get from Bedroom 0.03 (Ground floor) to Kitchen 0.06 (Ground floor)?</x:v>
      </x:c>
      <x:c r="D979" s="6" t="str">
        <x:v>12.51 m
From: Bedroom 0.03
To: Kitchen 0.06
Ordered path (3 spaces): Bedroom 0.03 → Living room 0.01 → Kitchen 0.06</x:v>
      </x:c>
      <x:c r="E979" s="6" t="str">
        <x:v>Reference supplied</x:v>
      </x:c>
      <x:c r="F979" s="6" t="str">
        <x:v>train</x:v>
      </x:c>
      <x:c r="G979" s="6" t="str">
        <x:v>resplan-15550</x:v>
      </x:c>
      <x:c r="H979" s="6" t="str">
        <x:v>resplan-15550-Q06</x:v>
      </x:c>
      <x:c r="I979" s="6" t="str">
        <x:v>Route planning</x:v>
      </x:c>
      <x:c r="J979" s="6" t="str">
        <x:v>Warm-up</x:v>
      </x:c>
      <x:c r="K979" s="6" t="str">
        <x:v>Ordered space path and directions, plus total route-model distance in metres.</x:v>
      </x:c>
      <x:c r="L979" s="6" t="str">
        <x:v>T02, T05, T13</x:v>
      </x:c>
      <x:c r="M979" s="6" t="str">
        <x:v>Find a valid route between two rooms, including across floors.</x:v>
      </x:c>
      <x:c r="N979" s="6" t="str">
        <x:v>{"from_space_id":"resplan-15550-F0-S003","to_space_id":"resplan-15550-F0-S006","optimal_length_m":12.51,"space_path":["resplan-15550-F0-S003","resplan-15550-F0-S001","resplan-15550-F0-S006"],"element_path":["resplan-15550-F0-O0004","resplan-15550-F0-O0004","resplan-15550-F0-O0006","resplan-15550-F0-O0006"]}</x:v>
      </x:c>
      <x:c r="O979" s="6"/>
      <x:c r="P979" s="6" t="str">
        <x:v>README routing profile. Stairs and lifts allowed unless stated otherwise.</x:v>
      </x:c>
      <x:c r="Q979" s="15" t="n">
        <x:v>12.51</x:v>
      </x:c>
      <x:c r="R979" s="6" t="str">
        <x:v>m</x:v>
      </x:c>
      <x:c r="S979" s="16"/>
      <x:c r="T979" s="15"/>
      <x:c r="U979" s="6"/>
      <x:c r="V979" s="6"/>
      <x:c r="W979" s="6" t="str">
        <x:v>Existing find_route and show_route implement the kit routing model.</x:v>
      </x:c>
      <x:c r="X979" s="6" t="str">
        <x:v>data/train/resplan-15550/questions_basic.jsonl</x:v>
      </x:c>
      <x:c r="Y979" s="14" t="n">
        <x:v>6</x:v>
      </x:c>
      <x:c r="Z979" s="6" t="str">
        <x:v>https://github.com/hagenhaeussler/Industrial-Agents-Hackathon-2026/blob/f41616590b69f3ea0c1cbfb41d6c35edd9ce53df/data/train/resplan-15550/questions_basic.jsonl#L6</x:v>
      </x:c>
      <x:c r="AA979" s="6" t="str">
        <x:v>resplan</x:v>
      </x:c>
      <x:c r="AB979" s="6" t="str">
        <x:v>CC-BY-4.0</x:v>
      </x:c>
    </x:row>
    <x:row r="980" ht="72" customHeight="1">
      <x:c r="A980" s="14" t="n">
        <x:v>975</x:v>
      </x:c>
      <x:c r="B980" s="6" t="str">
        <x:v>route</x:v>
      </x:c>
      <x:c r="C980" s="6" t="str">
        <x:v>How do I get from Kitchen 0.06 (Ground floor) to Bedroom 0.03 (Ground floor)?</x:v>
      </x:c>
      <x:c r="D980" s="6" t="str">
        <x:v>12.51 m
From: Kitchen 0.06
To: Bedroom 0.03
Ordered path (3 spaces): Kitchen 0.06 → Living room 0.01 → Bedroom 0.03</x:v>
      </x:c>
      <x:c r="E980" s="6" t="str">
        <x:v>Reference supplied</x:v>
      </x:c>
      <x:c r="F980" s="6" t="str">
        <x:v>train</x:v>
      </x:c>
      <x:c r="G980" s="6" t="str">
        <x:v>resplan-15550</x:v>
      </x:c>
      <x:c r="H980" s="6" t="str">
        <x:v>resplan-15550-Q07</x:v>
      </x:c>
      <x:c r="I980" s="6" t="str">
        <x:v>Route planning</x:v>
      </x:c>
      <x:c r="J980" s="6" t="str">
        <x:v>Warm-up</x:v>
      </x:c>
      <x:c r="K980" s="6" t="str">
        <x:v>Ordered space path and directions, plus total route-model distance in metres.</x:v>
      </x:c>
      <x:c r="L980" s="6" t="str">
        <x:v>T02, T05, T13</x:v>
      </x:c>
      <x:c r="M980" s="6" t="str">
        <x:v>Find a valid route between two rooms, including across floors.</x:v>
      </x:c>
      <x:c r="N980" s="6" t="str">
        <x:v>{"from_space_id":"resplan-15550-F0-S006","to_space_id":"resplan-15550-F0-S003","optimal_length_m":12.51,"space_path":["resplan-15550-F0-S006","resplan-15550-F0-S001","resplan-15550-F0-S003"],"element_path":["resplan-15550-F0-O0006","resplan-15550-F0-O0006","resplan-15550-F0-O0004","resplan-15550-F0-O0004"]}</x:v>
      </x:c>
      <x:c r="O980" s="6"/>
      <x:c r="P980" s="6" t="str">
        <x:v>README routing profile. Stairs and lifts allowed unless stated otherwise.</x:v>
      </x:c>
      <x:c r="Q980" s="15" t="n">
        <x:v>12.51</x:v>
      </x:c>
      <x:c r="R980" s="6" t="str">
        <x:v>m</x:v>
      </x:c>
      <x:c r="S980" s="16"/>
      <x:c r="T980" s="15"/>
      <x:c r="U980" s="6"/>
      <x:c r="V980" s="6"/>
      <x:c r="W980" s="6" t="str">
        <x:v>Existing find_route and show_route implement the kit routing model.</x:v>
      </x:c>
      <x:c r="X980" s="6" t="str">
        <x:v>data/train/resplan-15550/questions_basic.jsonl</x:v>
      </x:c>
      <x:c r="Y980" s="14" t="n">
        <x:v>7</x:v>
      </x:c>
      <x:c r="Z980" s="6" t="str">
        <x:v>https://github.com/hagenhaeussler/Industrial-Agents-Hackathon-2026/blob/f41616590b69f3ea0c1cbfb41d6c35edd9ce53df/data/train/resplan-15550/questions_basic.jsonl#L7</x:v>
      </x:c>
      <x:c r="AA980" s="6" t="str">
        <x:v>resplan</x:v>
      </x:c>
      <x:c r="AB980" s="6" t="str">
        <x:v>CC-BY-4.0</x:v>
      </x:c>
    </x:row>
    <x:row r="981" ht="72" customHeight="1">
      <x:c r="A981" s="14" t="n">
        <x:v>976</x:v>
      </x:c>
      <x:c r="B981" s="6" t="str">
        <x:v>route</x:v>
      </x:c>
      <x:c r="C981" s="6" t="str">
        <x:v>How do I get from Bathroom 0.05 (Ground floor) to Bedroom 0.02 (Ground floor)?</x:v>
      </x:c>
      <x:c r="D981" s="6" t="str">
        <x:v>4.4 m
From: Bathroom 0.05
To: Bedroom 0.02
Ordered path (2 spaces): Bathroom 0.05 → Bedroom 0.02</x:v>
      </x:c>
      <x:c r="E981" s="6" t="str">
        <x:v>Reference supplied</x:v>
      </x:c>
      <x:c r="F981" s="6" t="str">
        <x:v>train</x:v>
      </x:c>
      <x:c r="G981" s="6" t="str">
        <x:v>resplan-15793</x:v>
      </x:c>
      <x:c r="H981" s="6" t="str">
        <x:v>resplan-15793-Q05</x:v>
      </x:c>
      <x:c r="I981" s="6" t="str">
        <x:v>Route planning</x:v>
      </x:c>
      <x:c r="J981" s="6" t="str">
        <x:v>Warm-up</x:v>
      </x:c>
      <x:c r="K981" s="6" t="str">
        <x:v>Ordered space path and directions, plus total route-model distance in metres.</x:v>
      </x:c>
      <x:c r="L981" s="6" t="str">
        <x:v>T02, T05, T13</x:v>
      </x:c>
      <x:c r="M981" s="6" t="str">
        <x:v>Find a valid route between two rooms, including across floors.</x:v>
      </x:c>
      <x:c r="N981" s="6" t="str">
        <x:v>{"from_space_id":"resplan-15793-F0-S005","to_space_id":"resplan-15793-F0-S002","optimal_length_m":4.4,"space_path":["resplan-15793-F0-S005","resplan-15793-F0-S002"],"element_path":["resplan-15793-F0-O0002","resplan-15793-F0-O0002"]}</x:v>
      </x:c>
      <x:c r="O981" s="6"/>
      <x:c r="P981" s="6" t="str">
        <x:v>README routing profile. Stairs and lifts allowed unless stated otherwise.</x:v>
      </x:c>
      <x:c r="Q981" s="15" t="n">
        <x:v>4.4</x:v>
      </x:c>
      <x:c r="R981" s="6" t="str">
        <x:v>m</x:v>
      </x:c>
      <x:c r="S981" s="16"/>
      <x:c r="T981" s="15"/>
      <x:c r="U981" s="6"/>
      <x:c r="V981" s="6"/>
      <x:c r="W981" s="6" t="str">
        <x:v>Existing find_route and show_route implement the kit routing model.</x:v>
      </x:c>
      <x:c r="X981" s="6" t="str">
        <x:v>data/train/resplan-15793/questions_basic.jsonl</x:v>
      </x:c>
      <x:c r="Y981" s="14" t="n">
        <x:v>5</x:v>
      </x:c>
      <x:c r="Z981" s="6" t="str">
        <x:v>https://github.com/hagenhaeussler/Industrial-Agents-Hackathon-2026/blob/f41616590b69f3ea0c1cbfb41d6c35edd9ce53df/data/train/resplan-15793/questions_basic.jsonl#L5</x:v>
      </x:c>
      <x:c r="AA981" s="6" t="str">
        <x:v>resplan</x:v>
      </x:c>
      <x:c r="AB981" s="6" t="str">
        <x:v>CC-BY-4.0</x:v>
      </x:c>
    </x:row>
    <x:row r="982" ht="72" customHeight="1">
      <x:c r="A982" s="14" t="n">
        <x:v>977</x:v>
      </x:c>
      <x:c r="B982" s="6" t="str">
        <x:v>route</x:v>
      </x:c>
      <x:c r="C982" s="6" t="str">
        <x:v>How do I get from Living room 0.01 (Ground floor) to Bedroom 0.03 (Ground floor)?</x:v>
      </x:c>
      <x:c r="D982" s="6" t="str">
        <x:v>5.71 m
From: Living room 0.01
To: Bedroom 0.03
Ordered path (2 spaces): Living room 0.01 → Bedroom 0.03</x:v>
      </x:c>
      <x:c r="E982" s="6" t="str">
        <x:v>Reference supplied</x:v>
      </x:c>
      <x:c r="F982" s="6" t="str">
        <x:v>train</x:v>
      </x:c>
      <x:c r="G982" s="6" t="str">
        <x:v>resplan-15793</x:v>
      </x:c>
      <x:c r="H982" s="6" t="str">
        <x:v>resplan-15793-Q06</x:v>
      </x:c>
      <x:c r="I982" s="6" t="str">
        <x:v>Route planning</x:v>
      </x:c>
      <x:c r="J982" s="6" t="str">
        <x:v>Warm-up</x:v>
      </x:c>
      <x:c r="K982" s="6" t="str">
        <x:v>Ordered space path and directions, plus total route-model distance in metres.</x:v>
      </x:c>
      <x:c r="L982" s="6" t="str">
        <x:v>T02, T05, T13</x:v>
      </x:c>
      <x:c r="M982" s="6" t="str">
        <x:v>Find a valid route between two rooms, including across floors.</x:v>
      </x:c>
      <x:c r="N982" s="6" t="str">
        <x:v>{"from_space_id":"resplan-15793-F0-S001","to_space_id":"resplan-15793-F0-S003","optimal_length_m":5.71,"space_path":["resplan-15793-F0-S001","resplan-15793-F0-S003"],"element_path":["resplan-15793-F0-O0005","resplan-15793-F0-O0005"]}</x:v>
      </x:c>
      <x:c r="O982" s="6"/>
      <x:c r="P982" s="6" t="str">
        <x:v>README routing profile. Stairs and lifts allowed unless stated otherwise.</x:v>
      </x:c>
      <x:c r="Q982" s="15" t="n">
        <x:v>5.71</x:v>
      </x:c>
      <x:c r="R982" s="6" t="str">
        <x:v>m</x:v>
      </x:c>
      <x:c r="S982" s="16"/>
      <x:c r="T982" s="15"/>
      <x:c r="U982" s="6"/>
      <x:c r="V982" s="6"/>
      <x:c r="W982" s="6" t="str">
        <x:v>Existing find_route and show_route implement the kit routing model.</x:v>
      </x:c>
      <x:c r="X982" s="6" t="str">
        <x:v>data/train/resplan-15793/questions_basic.jsonl</x:v>
      </x:c>
      <x:c r="Y982" s="14" t="n">
        <x:v>6</x:v>
      </x:c>
      <x:c r="Z982" s="6" t="str">
        <x:v>https://github.com/hagenhaeussler/Industrial-Agents-Hackathon-2026/blob/f41616590b69f3ea0c1cbfb41d6c35edd9ce53df/data/train/resplan-15793/questions_basic.jsonl#L6</x:v>
      </x:c>
      <x:c r="AA982" s="6" t="str">
        <x:v>resplan</x:v>
      </x:c>
      <x:c r="AB982" s="6" t="str">
        <x:v>CC-BY-4.0</x:v>
      </x:c>
    </x:row>
    <x:row r="983" ht="82" customHeight="1">
      <x:c r="A983" s="14" t="n">
        <x:v>978</x:v>
      </x:c>
      <x:c r="B983" s="6" t="str">
        <x:v>route</x:v>
      </x:c>
      <x:c r="C983" s="6" t="str">
        <x:v>How do I get from Bathroom 0.05 (Ground floor) to Kitchen 0.06 (Ground floor)?</x:v>
      </x:c>
      <x:c r="D983" s="6" t="str">
        <x:v>16.37 m
From: Bathroom 0.05
To: Kitchen 0.06
Ordered path (4 spaces): Bathroom 0.05 → Bedroom 0.02 → Living room 0.01 → Kitchen 0.06</x:v>
      </x:c>
      <x:c r="E983" s="6" t="str">
        <x:v>Reference supplied</x:v>
      </x:c>
      <x:c r="F983" s="6" t="str">
        <x:v>train</x:v>
      </x:c>
      <x:c r="G983" s="6" t="str">
        <x:v>resplan-15793</x:v>
      </x:c>
      <x:c r="H983" s="6" t="str">
        <x:v>resplan-15793-Q07</x:v>
      </x:c>
      <x:c r="I983" s="6" t="str">
        <x:v>Route planning</x:v>
      </x:c>
      <x:c r="J983" s="6" t="str">
        <x:v>Warm-up</x:v>
      </x:c>
      <x:c r="K983" s="6" t="str">
        <x:v>Ordered space path and directions, plus total route-model distance in metres.</x:v>
      </x:c>
      <x:c r="L983" s="6" t="str">
        <x:v>T02, T05, T13</x:v>
      </x:c>
      <x:c r="M983" s="6" t="str">
        <x:v>Find a valid route between two rooms, including across floors.</x:v>
      </x:c>
      <x:c r="N983" s="6" t="str">
        <x:v>{"from_space_id":"resplan-15793-F0-S005","to_space_id":"resplan-15793-F0-S006","optimal_length_m":16.37,"space_path":["resplan-15793-F0-S005","resplan-15793-F0-S002","resplan-15793-F0-S001","resplan-15793-F0-S006"],"element_path":["resplan-15793-F0-O0002","resplan-15793-F0-O0002","resplan-15793-F0-O0003","resplan-15793-F0-O0003","resplan-15793-F0-O0006","resplan-15793-F0-O0006"]}</x:v>
      </x:c>
      <x:c r="O983" s="6"/>
      <x:c r="P983" s="6" t="str">
        <x:v>README routing profile. Stairs and lifts allowed unless stated otherwise.</x:v>
      </x:c>
      <x:c r="Q983" s="15" t="n">
        <x:v>16.37</x:v>
      </x:c>
      <x:c r="R983" s="6" t="str">
        <x:v>m</x:v>
      </x:c>
      <x:c r="S983" s="16"/>
      <x:c r="T983" s="15"/>
      <x:c r="U983" s="6"/>
      <x:c r="V983" s="6"/>
      <x:c r="W983" s="6" t="str">
        <x:v>Existing find_route and show_route implement the kit routing model.</x:v>
      </x:c>
      <x:c r="X983" s="6" t="str">
        <x:v>data/train/resplan-15793/questions_basic.jsonl</x:v>
      </x:c>
      <x:c r="Y983" s="14" t="n">
        <x:v>7</x:v>
      </x:c>
      <x:c r="Z983" s="6" t="str">
        <x:v>https://github.com/hagenhaeussler/Industrial-Agents-Hackathon-2026/blob/f41616590b69f3ea0c1cbfb41d6c35edd9ce53df/data/train/resplan-15793/questions_basic.jsonl#L7</x:v>
      </x:c>
      <x:c r="AA983" s="6" t="str">
        <x:v>resplan</x:v>
      </x:c>
      <x:c r="AB983" s="6" t="str">
        <x:v>CC-BY-4.0</x:v>
      </x:c>
    </x:row>
    <x:row r="984" ht="72" customHeight="1">
      <x:c r="A984" s="14" t="n">
        <x:v>979</x:v>
      </x:c>
      <x:c r="B984" s="6" t="str">
        <x:v>route</x:v>
      </x:c>
      <x:c r="C984" s="6" t="str">
        <x:v>How do I get from Kitchen 0.05 (Ground floor) to Bedroom 0.02 (Ground floor)?</x:v>
      </x:c>
      <x:c r="D984" s="6" t="str">
        <x:v>10.11 m
From: Kitchen 0.05
To: Bedroom 0.02
Ordered path (3 spaces): Kitchen 0.05 → Living room 0.01 → Bedroom 0.02</x:v>
      </x:c>
      <x:c r="E984" s="6" t="str">
        <x:v>Reference supplied</x:v>
      </x:c>
      <x:c r="F984" s="6" t="str">
        <x:v>train</x:v>
      </x:c>
      <x:c r="G984" s="6" t="str">
        <x:v>resplan-16021</x:v>
      </x:c>
      <x:c r="H984" s="6" t="str">
        <x:v>resplan-16021-Q05</x:v>
      </x:c>
      <x:c r="I984" s="6" t="str">
        <x:v>Route planning</x:v>
      </x:c>
      <x:c r="J984" s="6" t="str">
        <x:v>Warm-up</x:v>
      </x:c>
      <x:c r="K984" s="6" t="str">
        <x:v>Ordered space path and directions, plus total route-model distance in metres.</x:v>
      </x:c>
      <x:c r="L984" s="6" t="str">
        <x:v>T02, T05, T13</x:v>
      </x:c>
      <x:c r="M984" s="6" t="str">
        <x:v>Find a valid route between two rooms, including across floors.</x:v>
      </x:c>
      <x:c r="N984" s="6" t="str">
        <x:v>{"from_space_id":"resplan-16021-F0-S005","to_space_id":"resplan-16021-F0-S002","optimal_length_m":10.11,"space_path":["resplan-16021-F0-S005","resplan-16021-F0-S001","resplan-16021-F0-S002"],"element_path":["resplan-16021-F0-O0004","resplan-16021-F0-O0004","resplan-16021-F0-O0001","resplan-16021-F0-O0001"]}</x:v>
      </x:c>
      <x:c r="O984" s="6"/>
      <x:c r="P984" s="6" t="str">
        <x:v>README routing profile. Stairs and lifts allowed unless stated otherwise.</x:v>
      </x:c>
      <x:c r="Q984" s="15" t="n">
        <x:v>10.11</x:v>
      </x:c>
      <x:c r="R984" s="6" t="str">
        <x:v>m</x:v>
      </x:c>
      <x:c r="S984" s="16"/>
      <x:c r="T984" s="15"/>
      <x:c r="U984" s="6"/>
      <x:c r="V984" s="6"/>
      <x:c r="W984" s="6" t="str">
        <x:v>Existing find_route and show_route implement the kit routing model.</x:v>
      </x:c>
      <x:c r="X984" s="6" t="str">
        <x:v>data/train/resplan-16021/questions_basic.jsonl</x:v>
      </x:c>
      <x:c r="Y984" s="14" t="n">
        <x:v>5</x:v>
      </x:c>
      <x:c r="Z984" s="6" t="str">
        <x:v>https://github.com/hagenhaeussler/Industrial-Agents-Hackathon-2026/blob/f41616590b69f3ea0c1cbfb41d6c35edd9ce53df/data/train/resplan-16021/questions_basic.jsonl#L5</x:v>
      </x:c>
      <x:c r="AA984" s="6" t="str">
        <x:v>resplan</x:v>
      </x:c>
      <x:c r="AB984" s="6" t="str">
        <x:v>CC-BY-4.0</x:v>
      </x:c>
    </x:row>
    <x:row r="985" ht="82" customHeight="1">
      <x:c r="A985" s="14" t="n">
        <x:v>980</x:v>
      </x:c>
      <x:c r="B985" s="6" t="str">
        <x:v>route</x:v>
      </x:c>
      <x:c r="C985" s="6" t="str">
        <x:v>How do I get from Bathroom 0.04 (Ground floor) to Kitchen 0.05 (Ground floor)?</x:v>
      </x:c>
      <x:c r="D985" s="6" t="str">
        <x:v>6.39 m
From: Bathroom 0.04
To: Kitchen 0.05
Ordered path (3 spaces): Bathroom 0.04 → Living room 0.01 → Kitchen 0.05</x:v>
      </x:c>
      <x:c r="E985" s="6" t="str">
        <x:v>Reference supplied</x:v>
      </x:c>
      <x:c r="F985" s="6" t="str">
        <x:v>train</x:v>
      </x:c>
      <x:c r="G985" s="6" t="str">
        <x:v>resplan-16021</x:v>
      </x:c>
      <x:c r="H985" s="6" t="str">
        <x:v>resplan-16021-Q06</x:v>
      </x:c>
      <x:c r="I985" s="6" t="str">
        <x:v>Route planning</x:v>
      </x:c>
      <x:c r="J985" s="6" t="str">
        <x:v>Warm-up</x:v>
      </x:c>
      <x:c r="K985" s="6" t="str">
        <x:v>Ordered space path and directions, plus total route-model distance in metres.</x:v>
      </x:c>
      <x:c r="L985" s="6" t="str">
        <x:v>T02, T05, T13</x:v>
      </x:c>
      <x:c r="M985" s="6" t="str">
        <x:v>Find a valid route between two rooms, including across floors.</x:v>
      </x:c>
      <x:c r="N985" s="6" t="str">
        <x:v>{"from_space_id":"resplan-16021-F0-S004","to_space_id":"resplan-16021-F0-S005","optimal_length_m":6.39,"space_path":["resplan-16021-F0-S004","resplan-16021-F0-S001","resplan-16021-F0-S005"],"element_path":["resplan-16021-F0-O0003","resplan-16021-F0-O0003","resplan-16021-F0-O0004","resplan-16021-F0-O0004"]}</x:v>
      </x:c>
      <x:c r="O985" s="6"/>
      <x:c r="P985" s="6" t="str">
        <x:v>README routing profile. Stairs and lifts allowed unless stated otherwise.</x:v>
      </x:c>
      <x:c r="Q985" s="15" t="n">
        <x:v>6.39</x:v>
      </x:c>
      <x:c r="R985" s="6" t="str">
        <x:v>m</x:v>
      </x:c>
      <x:c r="S985" s="16"/>
      <x:c r="T985" s="15"/>
      <x:c r="U985" s="6"/>
      <x:c r="V985" s="6"/>
      <x:c r="W985" s="6" t="str">
        <x:v>Existing find_route and show_route implement the kit routing model.</x:v>
      </x:c>
      <x:c r="X985" s="6" t="str">
        <x:v>data/train/resplan-16021/questions_basic.jsonl</x:v>
      </x:c>
      <x:c r="Y985" s="14" t="n">
        <x:v>6</x:v>
      </x:c>
      <x:c r="Z985" s="6" t="str">
        <x:v>https://github.com/hagenhaeussler/Industrial-Agents-Hackathon-2026/blob/f41616590b69f3ea0c1cbfb41d6c35edd9ce53df/data/train/resplan-16021/questions_basic.jsonl#L6</x:v>
      </x:c>
      <x:c r="AA985" s="6" t="str">
        <x:v>resplan</x:v>
      </x:c>
      <x:c r="AB985" s="6" t="str">
        <x:v>CC-BY-4.0</x:v>
      </x:c>
    </x:row>
    <x:row r="986" ht="82" customHeight="1">
      <x:c r="A986" s="14" t="n">
        <x:v>981</x:v>
      </x:c>
      <x:c r="B986" s="6" t="str">
        <x:v>route</x:v>
      </x:c>
      <x:c r="C986" s="6" t="str">
        <x:v>How do I get from Bathroom 0.04 (Ground floor) to Bedroom 0.02 (Ground floor)?</x:v>
      </x:c>
      <x:c r="D986" s="6" t="str">
        <x:v>8.24 m
From: Bathroom 0.04
To: Bedroom 0.02
Ordered path (3 spaces): Bathroom 0.04 → Living room 0.01 → Bedroom 0.02</x:v>
      </x:c>
      <x:c r="E986" s="6" t="str">
        <x:v>Reference supplied</x:v>
      </x:c>
      <x:c r="F986" s="6" t="str">
        <x:v>train</x:v>
      </x:c>
      <x:c r="G986" s="6" t="str">
        <x:v>resplan-16021</x:v>
      </x:c>
      <x:c r="H986" s="6" t="str">
        <x:v>resplan-16021-Q07</x:v>
      </x:c>
      <x:c r="I986" s="6" t="str">
        <x:v>Route planning</x:v>
      </x:c>
      <x:c r="J986" s="6" t="str">
        <x:v>Warm-up</x:v>
      </x:c>
      <x:c r="K986" s="6" t="str">
        <x:v>Ordered space path and directions, plus total route-model distance in metres.</x:v>
      </x:c>
      <x:c r="L986" s="6" t="str">
        <x:v>T02, T05, T13</x:v>
      </x:c>
      <x:c r="M986" s="6" t="str">
        <x:v>Find a valid route between two rooms, including across floors.</x:v>
      </x:c>
      <x:c r="N986" s="6" t="str">
        <x:v>{"from_space_id":"resplan-16021-F0-S004","to_space_id":"resplan-16021-F0-S002","optimal_length_m":8.24,"space_path":["resplan-16021-F0-S004","resplan-16021-F0-S001","resplan-16021-F0-S002"],"element_path":["resplan-16021-F0-O0003","resplan-16021-F0-O0003","resplan-16021-F0-O0001","resplan-16021-F0-O0001"]}</x:v>
      </x:c>
      <x:c r="O986" s="6"/>
      <x:c r="P986" s="6" t="str">
        <x:v>README routing profile. Stairs and lifts allowed unless stated otherwise.</x:v>
      </x:c>
      <x:c r="Q986" s="15" t="n">
        <x:v>8.24</x:v>
      </x:c>
      <x:c r="R986" s="6" t="str">
        <x:v>m</x:v>
      </x:c>
      <x:c r="S986" s="16"/>
      <x:c r="T986" s="15"/>
      <x:c r="U986" s="6"/>
      <x:c r="V986" s="6"/>
      <x:c r="W986" s="6" t="str">
        <x:v>Existing find_route and show_route implement the kit routing model.</x:v>
      </x:c>
      <x:c r="X986" s="6" t="str">
        <x:v>data/train/resplan-16021/questions_basic.jsonl</x:v>
      </x:c>
      <x:c r="Y986" s="14" t="n">
        <x:v>7</x:v>
      </x:c>
      <x:c r="Z986" s="6" t="str">
        <x:v>https://github.com/hagenhaeussler/Industrial-Agents-Hackathon-2026/blob/f41616590b69f3ea0c1cbfb41d6c35edd9ce53df/data/train/resplan-16021/questions_basic.jsonl#L7</x:v>
      </x:c>
      <x:c r="AA986" s="6" t="str">
        <x:v>resplan</x:v>
      </x:c>
      <x:c r="AB986" s="6" t="str">
        <x:v>CC-BY-4.0</x:v>
      </x:c>
    </x:row>
    <x:row r="987" ht="82" customHeight="1">
      <x:c r="A987" s="14" t="n">
        <x:v>982</x:v>
      </x:c>
      <x:c r="B987" s="6" t="str">
        <x:v>route</x:v>
      </x:c>
      <x:c r="C987" s="6" t="str">
        <x:v>How do I get from Bedroom 0.03 (Ground floor) to Bathroom 0.04 (Ground floor)?</x:v>
      </x:c>
      <x:c r="D987" s="6" t="str">
        <x:v>24.22 m
From: Bedroom 0.03
To: Bathroom 0.04
Ordered path (3 spaces): Bedroom 0.03 → Living room 0.01 → Bathroom 0.04</x:v>
      </x:c>
      <x:c r="E987" s="6" t="str">
        <x:v>Reference supplied</x:v>
      </x:c>
      <x:c r="F987" s="6" t="str">
        <x:v>train</x:v>
      </x:c>
      <x:c r="G987" s="6" t="str">
        <x:v>resplan-16188</x:v>
      </x:c>
      <x:c r="H987" s="6" t="str">
        <x:v>resplan-16188-Q05</x:v>
      </x:c>
      <x:c r="I987" s="6" t="str">
        <x:v>Route planning</x:v>
      </x:c>
      <x:c r="J987" s="6" t="str">
        <x:v>Warm-up</x:v>
      </x:c>
      <x:c r="K987" s="6" t="str">
        <x:v>Ordered space path and directions, plus total route-model distance in metres.</x:v>
      </x:c>
      <x:c r="L987" s="6" t="str">
        <x:v>T02, T05, T13</x:v>
      </x:c>
      <x:c r="M987" s="6" t="str">
        <x:v>Find a valid route between two rooms, including across floors.</x:v>
      </x:c>
      <x:c r="N987" s="6" t="str">
        <x:v>{"from_space_id":"resplan-16188-F0-S003","to_space_id":"resplan-16188-F0-S004","optimal_length_m":24.22,"space_path":["resplan-16188-F0-S003","resplan-16188-F0-S001","resplan-16188-F0-S004"],"element_path":["resplan-16188-F0-O0001","resplan-16188-F0-O0001","resplan-16188-F0-O0002","resplan-16188-F0-O0002"]}</x:v>
      </x:c>
      <x:c r="O987" s="6"/>
      <x:c r="P987" s="6" t="str">
        <x:v>README routing profile. Stairs and lifts allowed unless stated otherwise.</x:v>
      </x:c>
      <x:c r="Q987" s="15" t="n">
        <x:v>24.22</x:v>
      </x:c>
      <x:c r="R987" s="6" t="str">
        <x:v>m</x:v>
      </x:c>
      <x:c r="S987" s="16"/>
      <x:c r="T987" s="15"/>
      <x:c r="U987" s="6"/>
      <x:c r="V987" s="6"/>
      <x:c r="W987" s="6" t="str">
        <x:v>Existing find_route and show_route implement the kit routing model.</x:v>
      </x:c>
      <x:c r="X987" s="6" t="str">
        <x:v>data/train/resplan-16188/questions_basic.jsonl</x:v>
      </x:c>
      <x:c r="Y987" s="14" t="n">
        <x:v>5</x:v>
      </x:c>
      <x:c r="Z987" s="6" t="str">
        <x:v>https://github.com/hagenhaeussler/Industrial-Agents-Hackathon-2026/blob/f41616590b69f3ea0c1cbfb41d6c35edd9ce53df/data/train/resplan-16188/questions_basic.jsonl#L5</x:v>
      </x:c>
      <x:c r="AA987" s="6" t="str">
        <x:v>resplan</x:v>
      </x:c>
      <x:c r="AB987" s="6" t="str">
        <x:v>CC-BY-4.0</x:v>
      </x:c>
    </x:row>
    <x:row r="988" ht="72" customHeight="1">
      <x:c r="A988" s="14" t="n">
        <x:v>983</x:v>
      </x:c>
      <x:c r="B988" s="6" t="str">
        <x:v>route</x:v>
      </x:c>
      <x:c r="C988" s="6" t="str">
        <x:v>How do I get from Bedroom 0.02 (Ground floor) to Bedroom 0.03 (Ground floor)?</x:v>
      </x:c>
      <x:c r="D988" s="6" t="str">
        <x:v>27.71 m
From: Bedroom 0.02
To: Bedroom 0.03
Ordered path (3 spaces): Bedroom 0.02 → Living room 0.01 → Bedroom 0.03</x:v>
      </x:c>
      <x:c r="E988" s="6" t="str">
        <x:v>Reference supplied</x:v>
      </x:c>
      <x:c r="F988" s="6" t="str">
        <x:v>train</x:v>
      </x:c>
      <x:c r="G988" s="6" t="str">
        <x:v>resplan-16188</x:v>
      </x:c>
      <x:c r="H988" s="6" t="str">
        <x:v>resplan-16188-Q06</x:v>
      </x:c>
      <x:c r="I988" s="6" t="str">
        <x:v>Route planning</x:v>
      </x:c>
      <x:c r="J988" s="6" t="str">
        <x:v>Warm-up</x:v>
      </x:c>
      <x:c r="K988" s="6" t="str">
        <x:v>Ordered space path and directions, plus total route-model distance in metres.</x:v>
      </x:c>
      <x:c r="L988" s="6" t="str">
        <x:v>T02, T05, T13</x:v>
      </x:c>
      <x:c r="M988" s="6" t="str">
        <x:v>Find a valid route between two rooms, including across floors.</x:v>
      </x:c>
      <x:c r="N988" s="6" t="str">
        <x:v>{"from_space_id":"resplan-16188-F0-S002","to_space_id":"resplan-16188-F0-S003","optimal_length_m":27.71,"space_path":["resplan-16188-F0-S002","resplan-16188-F0-S001","resplan-16188-F0-S003"],"element_path":["resplan-16188-F0-O0004","resplan-16188-F0-O0004","resplan-16188-F0-O0001","resplan-16188-F0-O0001"]}</x:v>
      </x:c>
      <x:c r="O988" s="6"/>
      <x:c r="P988" s="6" t="str">
        <x:v>README routing profile. Stairs and lifts allowed unless stated otherwise.</x:v>
      </x:c>
      <x:c r="Q988" s="15" t="n">
        <x:v>27.71</x:v>
      </x:c>
      <x:c r="R988" s="6" t="str">
        <x:v>m</x:v>
      </x:c>
      <x:c r="S988" s="16"/>
      <x:c r="T988" s="15"/>
      <x:c r="U988" s="6"/>
      <x:c r="V988" s="6"/>
      <x:c r="W988" s="6" t="str">
        <x:v>Existing find_route and show_route implement the kit routing model.</x:v>
      </x:c>
      <x:c r="X988" s="6" t="str">
        <x:v>data/train/resplan-16188/questions_basic.jsonl</x:v>
      </x:c>
      <x:c r="Y988" s="14" t="n">
        <x:v>6</x:v>
      </x:c>
      <x:c r="Z988" s="6" t="str">
        <x:v>https://github.com/hagenhaeussler/Industrial-Agents-Hackathon-2026/blob/f41616590b69f3ea0c1cbfb41d6c35edd9ce53df/data/train/resplan-16188/questions_basic.jsonl#L6</x:v>
      </x:c>
      <x:c r="AA988" s="6" t="str">
        <x:v>resplan</x:v>
      </x:c>
      <x:c r="AB988" s="6" t="str">
        <x:v>CC-BY-4.0</x:v>
      </x:c>
    </x:row>
    <x:row r="989" ht="82" customHeight="1">
      <x:c r="A989" s="14" t="n">
        <x:v>984</x:v>
      </x:c>
      <x:c r="B989" s="6" t="str">
        <x:v>route</x:v>
      </x:c>
      <x:c r="C989" s="6" t="str">
        <x:v>How do I get from Bathroom 0.05 (Ground floor) to Bathroom 0.04 (Ground floor)?</x:v>
      </x:c>
      <x:c r="D989" s="6" t="str">
        <x:v>23.2 m
From: Bathroom 0.05
To: Bathroom 0.04
Ordered path (3 spaces): Bathroom 0.05 → Living room 0.01 → Bathroom 0.04</x:v>
      </x:c>
      <x:c r="E989" s="6" t="str">
        <x:v>Reference supplied</x:v>
      </x:c>
      <x:c r="F989" s="6" t="str">
        <x:v>train</x:v>
      </x:c>
      <x:c r="G989" s="6" t="str">
        <x:v>resplan-16188</x:v>
      </x:c>
      <x:c r="H989" s="6" t="str">
        <x:v>resplan-16188-Q07</x:v>
      </x:c>
      <x:c r="I989" s="6" t="str">
        <x:v>Route planning</x:v>
      </x:c>
      <x:c r="J989" s="6" t="str">
        <x:v>Warm-up</x:v>
      </x:c>
      <x:c r="K989" s="6" t="str">
        <x:v>Ordered space path and directions, plus total route-model distance in metres.</x:v>
      </x:c>
      <x:c r="L989" s="6" t="str">
        <x:v>T02, T05, T13</x:v>
      </x:c>
      <x:c r="M989" s="6" t="str">
        <x:v>Find a valid route between two rooms, including across floors.</x:v>
      </x:c>
      <x:c r="N989" s="6" t="str">
        <x:v>{"from_space_id":"resplan-16188-F0-S005","to_space_id":"resplan-16188-F0-S004","optimal_length_m":23.2,"space_path":["resplan-16188-F0-S005","resplan-16188-F0-S001","resplan-16188-F0-S004"],"element_path":["resplan-16188-F0-O0003","resplan-16188-F0-O0003","resplan-16188-F0-O0002","resplan-16188-F0-O0002"]}</x:v>
      </x:c>
      <x:c r="O989" s="6"/>
      <x:c r="P989" s="6" t="str">
        <x:v>README routing profile. Stairs and lifts allowed unless stated otherwise.</x:v>
      </x:c>
      <x:c r="Q989" s="15" t="n">
        <x:v>23.2</x:v>
      </x:c>
      <x:c r="R989" s="6" t="str">
        <x:v>m</x:v>
      </x:c>
      <x:c r="S989" s="16"/>
      <x:c r="T989" s="15"/>
      <x:c r="U989" s="6"/>
      <x:c r="V989" s="6"/>
      <x:c r="W989" s="6" t="str">
        <x:v>Existing find_route and show_route implement the kit routing model.</x:v>
      </x:c>
      <x:c r="X989" s="6" t="str">
        <x:v>data/train/resplan-16188/questions_basic.jsonl</x:v>
      </x:c>
      <x:c r="Y989" s="14" t="n">
        <x:v>7</x:v>
      </x:c>
      <x:c r="Z989" s="6" t="str">
        <x:v>https://github.com/hagenhaeussler/Industrial-Agents-Hackathon-2026/blob/f41616590b69f3ea0c1cbfb41d6c35edd9ce53df/data/train/resplan-16188/questions_basic.jsonl#L7</x:v>
      </x:c>
      <x:c r="AA989" s="6" t="str">
        <x:v>resplan</x:v>
      </x:c>
      <x:c r="AB989" s="6" t="str">
        <x:v>CC-BY-4.0</x:v>
      </x:c>
    </x:row>
    <x:row r="990" ht="72" customHeight="1">
      <x:c r="A990" s="14" t="n">
        <x:v>985</x:v>
      </x:c>
      <x:c r="B990" s="6" t="str">
        <x:v>route</x:v>
      </x:c>
      <x:c r="C990" s="6" t="str">
        <x:v>How do I get from Living room 0.01 (Ground floor) to Kitchen 0.07 (Ground floor)?</x:v>
      </x:c>
      <x:c r="D990" s="6" t="str">
        <x:v>6.42 m
From: Living room 0.01
To: Kitchen 0.07
Ordered path (2 spaces): Living room 0.01 → Kitchen 0.07</x:v>
      </x:c>
      <x:c r="E990" s="6" t="str">
        <x:v>Reference supplied</x:v>
      </x:c>
      <x:c r="F990" s="6" t="str">
        <x:v>train</x:v>
      </x:c>
      <x:c r="G990" s="6" t="str">
        <x:v>resplan-16407</x:v>
      </x:c>
      <x:c r="H990" s="6" t="str">
        <x:v>resplan-16407-Q05</x:v>
      </x:c>
      <x:c r="I990" s="6" t="str">
        <x:v>Route planning</x:v>
      </x:c>
      <x:c r="J990" s="6" t="str">
        <x:v>Warm-up</x:v>
      </x:c>
      <x:c r="K990" s="6" t="str">
        <x:v>Ordered space path and directions, plus total route-model distance in metres.</x:v>
      </x:c>
      <x:c r="L990" s="6" t="str">
        <x:v>T02, T05, T13</x:v>
      </x:c>
      <x:c r="M990" s="6" t="str">
        <x:v>Find a valid route between two rooms, including across floors.</x:v>
      </x:c>
      <x:c r="N990" s="6" t="str">
        <x:v>{"from_space_id":"resplan-16407-F0-S001","to_space_id":"resplan-16407-F0-S007","optimal_length_m":6.42,"space_path":["resplan-16407-F0-S001","resplan-16407-F0-S007"],"element_path":["resplan-16407-F0-O0004","resplan-16407-F0-O0004"]}</x:v>
      </x:c>
      <x:c r="O990" s="6"/>
      <x:c r="P990" s="6" t="str">
        <x:v>README routing profile. Stairs and lifts allowed unless stated otherwise.</x:v>
      </x:c>
      <x:c r="Q990" s="15" t="n">
        <x:v>6.42</x:v>
      </x:c>
      <x:c r="R990" s="6" t="str">
        <x:v>m</x:v>
      </x:c>
      <x:c r="S990" s="16"/>
      <x:c r="T990" s="15"/>
      <x:c r="U990" s="6"/>
      <x:c r="V990" s="6"/>
      <x:c r="W990" s="6" t="str">
        <x:v>Existing find_route and show_route implement the kit routing model.</x:v>
      </x:c>
      <x:c r="X990" s="6" t="str">
        <x:v>data/train/resplan-16407/questions_basic.jsonl</x:v>
      </x:c>
      <x:c r="Y990" s="14" t="n">
        <x:v>5</x:v>
      </x:c>
      <x:c r="Z990" s="6" t="str">
        <x:v>https://github.com/hagenhaeussler/Industrial-Agents-Hackathon-2026/blob/f41616590b69f3ea0c1cbfb41d6c35edd9ce53df/data/train/resplan-16407/questions_basic.jsonl#L5</x:v>
      </x:c>
      <x:c r="AA990" s="6" t="str">
        <x:v>resplan</x:v>
      </x:c>
      <x:c r="AB990" s="6" t="str">
        <x:v>CC-BY-4.0</x:v>
      </x:c>
    </x:row>
    <x:row r="991" ht="82" customHeight="1">
      <x:c r="A991" s="14" t="n">
        <x:v>986</x:v>
      </x:c>
      <x:c r="B991" s="6" t="str">
        <x:v>route</x:v>
      </x:c>
      <x:c r="C991" s="6" t="str">
        <x:v>How do I get from Bedroom 0.02 (Ground floor) to Bathroom 0.06 (Ground floor)?</x:v>
      </x:c>
      <x:c r="D991" s="6" t="str">
        <x:v>13.18 m
From: Bedroom 0.02
To: Bathroom 0.06
Ordered path (3 spaces): Bedroom 0.02 → Living room 0.01 → Bathroom 0.06</x:v>
      </x:c>
      <x:c r="E991" s="6" t="str">
        <x:v>Reference supplied</x:v>
      </x:c>
      <x:c r="F991" s="6" t="str">
        <x:v>train</x:v>
      </x:c>
      <x:c r="G991" s="6" t="str">
        <x:v>resplan-16407</x:v>
      </x:c>
      <x:c r="H991" s="6" t="str">
        <x:v>resplan-16407-Q06</x:v>
      </x:c>
      <x:c r="I991" s="6" t="str">
        <x:v>Route planning</x:v>
      </x:c>
      <x:c r="J991" s="6" t="str">
        <x:v>Warm-up</x:v>
      </x:c>
      <x:c r="K991" s="6" t="str">
        <x:v>Ordered space path and directions, plus total route-model distance in metres.</x:v>
      </x:c>
      <x:c r="L991" s="6" t="str">
        <x:v>T02, T05, T13</x:v>
      </x:c>
      <x:c r="M991" s="6" t="str">
        <x:v>Find a valid route between two rooms, including across floors.</x:v>
      </x:c>
      <x:c r="N991" s="6" t="str">
        <x:v>{"from_space_id":"resplan-16407-F0-S002","to_space_id":"resplan-16407-F0-S006","optimal_length_m":13.18,"space_path":["resplan-16407-F0-S002","resplan-16407-F0-S001","resplan-16407-F0-S006"],"element_path":["resplan-16407-F0-O0002","resplan-16407-F0-O0002","resplan-16407-F0-O0005","resplan-16407-F0-O0005"]}</x:v>
      </x:c>
      <x:c r="O991" s="6"/>
      <x:c r="P991" s="6" t="str">
        <x:v>README routing profile. Stairs and lifts allowed unless stated otherwise.</x:v>
      </x:c>
      <x:c r="Q991" s="15" t="n">
        <x:v>13.18</x:v>
      </x:c>
      <x:c r="R991" s="6" t="str">
        <x:v>m</x:v>
      </x:c>
      <x:c r="S991" s="16"/>
      <x:c r="T991" s="15"/>
      <x:c r="U991" s="6"/>
      <x:c r="V991" s="6"/>
      <x:c r="W991" s="6" t="str">
        <x:v>Existing find_route and show_route implement the kit routing model.</x:v>
      </x:c>
      <x:c r="X991" s="6" t="str">
        <x:v>data/train/resplan-16407/questions_basic.jsonl</x:v>
      </x:c>
      <x:c r="Y991" s="14" t="n">
        <x:v>6</x:v>
      </x:c>
      <x:c r="Z991" s="6" t="str">
        <x:v>https://github.com/hagenhaeussler/Industrial-Agents-Hackathon-2026/blob/f41616590b69f3ea0c1cbfb41d6c35edd9ce53df/data/train/resplan-16407/questions_basic.jsonl#L6</x:v>
      </x:c>
      <x:c r="AA991" s="6" t="str">
        <x:v>resplan</x:v>
      </x:c>
      <x:c r="AB991" s="6" t="str">
        <x:v>CC-BY-4.0</x:v>
      </x:c>
    </x:row>
    <x:row r="992" ht="82" customHeight="1">
      <x:c r="A992" s="14" t="n">
        <x:v>987</x:v>
      </x:c>
      <x:c r="B992" s="6" t="str">
        <x:v>route</x:v>
      </x:c>
      <x:c r="C992" s="6" t="str">
        <x:v>How do I get from Bedroom 0.04 (Ground floor) to Bathroom 0.05 (Ground floor)?</x:v>
      </x:c>
      <x:c r="D992" s="6" t="str">
        <x:v>18.52 m
From: Bedroom 0.04
To: Bathroom 0.05
Ordered path (4 spaces): Bedroom 0.04 → Living room 0.01 → Bedroom 0.02 → Bathroom 0.05</x:v>
      </x:c>
      <x:c r="E992" s="6" t="str">
        <x:v>Reference supplied</x:v>
      </x:c>
      <x:c r="F992" s="6" t="str">
        <x:v>train</x:v>
      </x:c>
      <x:c r="G992" s="6" t="str">
        <x:v>resplan-16407</x:v>
      </x:c>
      <x:c r="H992" s="6" t="str">
        <x:v>resplan-16407-Q07</x:v>
      </x:c>
      <x:c r="I992" s="6" t="str">
        <x:v>Route planning</x:v>
      </x:c>
      <x:c r="J992" s="6" t="str">
        <x:v>Warm-up</x:v>
      </x:c>
      <x:c r="K992" s="6" t="str">
        <x:v>Ordered space path and directions, plus total route-model distance in metres.</x:v>
      </x:c>
      <x:c r="L992" s="6" t="str">
        <x:v>T02, T05, T13</x:v>
      </x:c>
      <x:c r="M992" s="6" t="str">
        <x:v>Find a valid route between two rooms, including across floors.</x:v>
      </x:c>
      <x:c r="N992" s="6" t="str">
        <x:v>{"from_space_id":"resplan-16407-F0-S004","to_space_id":"resplan-16407-F0-S005","optimal_length_m":18.52,"space_path":["resplan-16407-F0-S004","resplan-16407-F0-S001","resplan-16407-F0-S002","resplan-16407-F0-S005"],"element_path":["resplan-16407-F0-O0006","resplan-16407-F0-O0006","resplan-16407-F0-O0002","resplan-16407-F0-O0002","resplan-16407-F0-O0001","resplan-16407-F0-O0001"]}</x:v>
      </x:c>
      <x:c r="O992" s="6"/>
      <x:c r="P992" s="6" t="str">
        <x:v>README routing profile. Stairs and lifts allowed unless stated otherwise.</x:v>
      </x:c>
      <x:c r="Q992" s="15" t="n">
        <x:v>18.52</x:v>
      </x:c>
      <x:c r="R992" s="6" t="str">
        <x:v>m</x:v>
      </x:c>
      <x:c r="S992" s="16"/>
      <x:c r="T992" s="15"/>
      <x:c r="U992" s="6"/>
      <x:c r="V992" s="6"/>
      <x:c r="W992" s="6" t="str">
        <x:v>Existing find_route and show_route implement the kit routing model.</x:v>
      </x:c>
      <x:c r="X992" s="6" t="str">
        <x:v>data/train/resplan-16407/questions_basic.jsonl</x:v>
      </x:c>
      <x:c r="Y992" s="14" t="n">
        <x:v>7</x:v>
      </x:c>
      <x:c r="Z992" s="6" t="str">
        <x:v>https://github.com/hagenhaeussler/Industrial-Agents-Hackathon-2026/blob/f41616590b69f3ea0c1cbfb41d6c35edd9ce53df/data/train/resplan-16407/questions_basic.jsonl#L7</x:v>
      </x:c>
      <x:c r="AA992" s="6" t="str">
        <x:v>resplan</x:v>
      </x:c>
      <x:c r="AB992" s="6" t="str">
        <x:v>CC-BY-4.0</x:v>
      </x:c>
    </x:row>
    <x:row r="993" ht="82" customHeight="1">
      <x:c r="A993" s="14" t="n">
        <x:v>988</x:v>
      </x:c>
      <x:c r="B993" s="6" t="str">
        <x:v>route</x:v>
      </x:c>
      <x:c r="C993" s="6" t="str">
        <x:v>How do I get from Storage 0.09 (Ground floor) to Bathroom 0.05 (Ground floor)?</x:v>
      </x:c>
      <x:c r="D993" s="6" t="str">
        <x:v>16.59 m
From: Storage 0.09
To: Bathroom 0.05
Ordered path (4 spaces): Storage 0.09 → Living room 0.01 → Bedroom 0.02 → Bathroom 0.05</x:v>
      </x:c>
      <x:c r="E993" s="6" t="str">
        <x:v>Reference supplied</x:v>
      </x:c>
      <x:c r="F993" s="6" t="str">
        <x:v>train</x:v>
      </x:c>
      <x:c r="G993" s="6" t="str">
        <x:v>resplan-16484</x:v>
      </x:c>
      <x:c r="H993" s="6" t="str">
        <x:v>resplan-16484-Q05</x:v>
      </x:c>
      <x:c r="I993" s="6" t="str">
        <x:v>Route planning</x:v>
      </x:c>
      <x:c r="J993" s="6" t="str">
        <x:v>Warm-up</x:v>
      </x:c>
      <x:c r="K993" s="6" t="str">
        <x:v>Ordered space path and directions, plus total route-model distance in metres.</x:v>
      </x:c>
      <x:c r="L993" s="6" t="str">
        <x:v>T02, T05, T13</x:v>
      </x:c>
      <x:c r="M993" s="6" t="str">
        <x:v>Find a valid route between two rooms, including across floors.</x:v>
      </x:c>
      <x:c r="N993" s="6" t="str">
        <x:v>{"from_space_id":"resplan-16484-F0-S009","to_space_id":"resplan-16484-F0-S005","optimal_length_m":16.59,"space_path":["resplan-16484-F0-S009","resplan-16484-F0-S001","resplan-16484-F0-S002","resplan-16484-F0-S005"],"element_path":["resplan-16484-F0-O0010","resplan-16484-F0-O0010","resplan-16484-F0-O0005","resplan-16484-F0-O0005","resplan-16484-F0-O0004","resplan-16484-F0-O0004"]}</x:v>
      </x:c>
      <x:c r="O993" s="6"/>
      <x:c r="P993" s="6" t="str">
        <x:v>README routing profile. Stairs and lifts allowed unless stated otherwise.</x:v>
      </x:c>
      <x:c r="Q993" s="15" t="n">
        <x:v>16.59</x:v>
      </x:c>
      <x:c r="R993" s="6" t="str">
        <x:v>m</x:v>
      </x:c>
      <x:c r="S993" s="16"/>
      <x:c r="T993" s="15"/>
      <x:c r="U993" s="6"/>
      <x:c r="V993" s="6"/>
      <x:c r="W993" s="6" t="str">
        <x:v>Existing find_route and show_route implement the kit routing model.</x:v>
      </x:c>
      <x:c r="X993" s="6" t="str">
        <x:v>data/train/resplan-16484/questions_basic.jsonl</x:v>
      </x:c>
      <x:c r="Y993" s="14" t="n">
        <x:v>5</x:v>
      </x:c>
      <x:c r="Z993" s="6" t="str">
        <x:v>https://github.com/hagenhaeussler/Industrial-Agents-Hackathon-2026/blob/f41616590b69f3ea0c1cbfb41d6c35edd9ce53df/data/train/resplan-16484/questions_basic.jsonl#L5</x:v>
      </x:c>
      <x:c r="AA993" s="6" t="str">
        <x:v>resplan</x:v>
      </x:c>
      <x:c r="AB993" s="6" t="str">
        <x:v>CC-BY-4.0</x:v>
      </x:c>
    </x:row>
    <x:row r="994" ht="82" customHeight="1">
      <x:c r="A994" s="14" t="n">
        <x:v>989</x:v>
      </x:c>
      <x:c r="B994" s="6" t="str">
        <x:v>route</x:v>
      </x:c>
      <x:c r="C994" s="6" t="str">
        <x:v>How do I get from Bathroom 0.07 (Ground floor) to Living room 0.01 (Ground floor)?</x:v>
      </x:c>
      <x:c r="D994" s="6" t="str">
        <x:v>11.78 m
From: Bathroom 0.07
To: Living room 0.01
Ordered path (3 spaces): Bathroom 0.07 → Bedroom 0.03 → Living room 0.01</x:v>
      </x:c>
      <x:c r="E994" s="6" t="str">
        <x:v>Reference supplied</x:v>
      </x:c>
      <x:c r="F994" s="6" t="str">
        <x:v>train</x:v>
      </x:c>
      <x:c r="G994" s="6" t="str">
        <x:v>resplan-16484</x:v>
      </x:c>
      <x:c r="H994" s="6" t="str">
        <x:v>resplan-16484-Q06</x:v>
      </x:c>
      <x:c r="I994" s="6" t="str">
        <x:v>Route planning</x:v>
      </x:c>
      <x:c r="J994" s="6" t="str">
        <x:v>Warm-up</x:v>
      </x:c>
      <x:c r="K994" s="6" t="str">
        <x:v>Ordered space path and directions, plus total route-model distance in metres.</x:v>
      </x:c>
      <x:c r="L994" s="6" t="str">
        <x:v>T02, T05, T13</x:v>
      </x:c>
      <x:c r="M994" s="6" t="str">
        <x:v>Find a valid route between two rooms, including across floors.</x:v>
      </x:c>
      <x:c r="N994" s="6" t="str">
        <x:v>{"from_space_id":"resplan-16484-F0-S007","to_space_id":"resplan-16484-F0-S001","optimal_length_m":11.78,"space_path":["resplan-16484-F0-S007","resplan-16484-F0-S003","resplan-16484-F0-S001"],"element_path":["resplan-16484-F0-O0003","resplan-16484-F0-O0003","resplan-16484-F0-O0006","resplan-16484-F0-O0006"]}</x:v>
      </x:c>
      <x:c r="O994" s="6"/>
      <x:c r="P994" s="6" t="str">
        <x:v>README routing profile. Stairs and lifts allowed unless stated otherwise.</x:v>
      </x:c>
      <x:c r="Q994" s="15" t="n">
        <x:v>11.78</x:v>
      </x:c>
      <x:c r="R994" s="6" t="str">
        <x:v>m</x:v>
      </x:c>
      <x:c r="S994" s="16"/>
      <x:c r="T994" s="15"/>
      <x:c r="U994" s="6"/>
      <x:c r="V994" s="6"/>
      <x:c r="W994" s="6" t="str">
        <x:v>Existing find_route and show_route implement the kit routing model.</x:v>
      </x:c>
      <x:c r="X994" s="6" t="str">
        <x:v>data/train/resplan-16484/questions_basic.jsonl</x:v>
      </x:c>
      <x:c r="Y994" s="14" t="n">
        <x:v>6</x:v>
      </x:c>
      <x:c r="Z994" s="6" t="str">
        <x:v>https://github.com/hagenhaeussler/Industrial-Agents-Hackathon-2026/blob/f41616590b69f3ea0c1cbfb41d6c35edd9ce53df/data/train/resplan-16484/questions_basic.jsonl#L6</x:v>
      </x:c>
      <x:c r="AA994" s="6" t="str">
        <x:v>resplan</x:v>
      </x:c>
      <x:c r="AB994" s="6" t="str">
        <x:v>CC-BY-4.0</x:v>
      </x:c>
    </x:row>
    <x:row r="995" ht="82" customHeight="1">
      <x:c r="A995" s="14" t="n">
        <x:v>990</x:v>
      </x:c>
      <x:c r="B995" s="6" t="str">
        <x:v>route</x:v>
      </x:c>
      <x:c r="C995" s="6" t="str">
        <x:v>How do I get from Bathroom 0.07 (Ground floor) to Bathroom 0.06 (Ground floor)?</x:v>
      </x:c>
      <x:c r="D995" s="6" t="str">
        <x:v>18.09 m
From: Bathroom 0.07
To: Bathroom 0.06
Ordered path (4 spaces): Bathroom 0.07 → Bedroom 0.03 → Living room 0.01 → Bathroom 0.06</x:v>
      </x:c>
      <x:c r="E995" s="6" t="str">
        <x:v>Reference supplied</x:v>
      </x:c>
      <x:c r="F995" s="6" t="str">
        <x:v>train</x:v>
      </x:c>
      <x:c r="G995" s="6" t="str">
        <x:v>resplan-16484</x:v>
      </x:c>
      <x:c r="H995" s="6" t="str">
        <x:v>resplan-16484-Q07</x:v>
      </x:c>
      <x:c r="I995" s="6" t="str">
        <x:v>Route planning</x:v>
      </x:c>
      <x:c r="J995" s="6" t="str">
        <x:v>Warm-up</x:v>
      </x:c>
      <x:c r="K995" s="6" t="str">
        <x:v>Ordered space path and directions, plus total route-model distance in metres.</x:v>
      </x:c>
      <x:c r="L995" s="6" t="str">
        <x:v>T02, T05, T13</x:v>
      </x:c>
      <x:c r="M995" s="6" t="str">
        <x:v>Find a valid route between two rooms, including across floors.</x:v>
      </x:c>
      <x:c r="N995" s="6" t="str">
        <x:v>{"from_space_id":"resplan-16484-F0-S007","to_space_id":"resplan-16484-F0-S006","optimal_length_m":18.09,"space_path":["resplan-16484-F0-S007","resplan-16484-F0-S003","resplan-16484-F0-S001","resplan-16484-F0-S006"],"element_path":["resplan-16484-F0-O0003","resplan-16484-F0-O0003","resplan-16484-F0-O0006","resplan-16484-F0-O0006","resplan-16484-F0-O0007","resplan-16484-F0-O0007"]}</x:v>
      </x:c>
      <x:c r="O995" s="6"/>
      <x:c r="P995" s="6" t="str">
        <x:v>README routing profile. Stairs and lifts allowed unless stated otherwise.</x:v>
      </x:c>
      <x:c r="Q995" s="15" t="n">
        <x:v>18.09</x:v>
      </x:c>
      <x:c r="R995" s="6" t="str">
        <x:v>m</x:v>
      </x:c>
      <x:c r="S995" s="16"/>
      <x:c r="T995" s="15"/>
      <x:c r="U995" s="6"/>
      <x:c r="V995" s="6"/>
      <x:c r="W995" s="6" t="str">
        <x:v>Existing find_route and show_route implement the kit routing model.</x:v>
      </x:c>
      <x:c r="X995" s="6" t="str">
        <x:v>data/train/resplan-16484/questions_basic.jsonl</x:v>
      </x:c>
      <x:c r="Y995" s="14" t="n">
        <x:v>7</x:v>
      </x:c>
      <x:c r="Z995" s="6" t="str">
        <x:v>https://github.com/hagenhaeussler/Industrial-Agents-Hackathon-2026/blob/f41616590b69f3ea0c1cbfb41d6c35edd9ce53df/data/train/resplan-16484/questions_basic.jsonl#L7</x:v>
      </x:c>
      <x:c r="AA995" s="6" t="str">
        <x:v>resplan</x:v>
      </x:c>
      <x:c r="AB995" s="6" t="str">
        <x:v>CC-BY-4.0</x:v>
      </x:c>
    </x:row>
    <x:row r="996" ht="82" customHeight="1">
      <x:c r="A996" s="14" t="n">
        <x:v>991</x:v>
      </x:c>
      <x:c r="B996" s="6" t="str">
        <x:v>route</x:v>
      </x:c>
      <x:c r="C996" s="6" t="str">
        <x:v>How do I get from Bathroom 0.04 (Ground floor) to Bedroom 0.02 (Ground floor)?</x:v>
      </x:c>
      <x:c r="D996" s="6" t="str">
        <x:v>12.88 m
From: Bathroom 0.04
To: Bedroom 0.02
Ordered path (3 spaces): Bathroom 0.04 → Living room 0.01 → Bedroom 0.02</x:v>
      </x:c>
      <x:c r="E996" s="6" t="str">
        <x:v>Reference supplied</x:v>
      </x:c>
      <x:c r="F996" s="6" t="str">
        <x:v>train</x:v>
      </x:c>
      <x:c r="G996" s="6" t="str">
        <x:v>resplan-16645</x:v>
      </x:c>
      <x:c r="H996" s="6" t="str">
        <x:v>resplan-16645-Q05</x:v>
      </x:c>
      <x:c r="I996" s="6" t="str">
        <x:v>Route planning</x:v>
      </x:c>
      <x:c r="J996" s="6" t="str">
        <x:v>Warm-up</x:v>
      </x:c>
      <x:c r="K996" s="6" t="str">
        <x:v>Ordered space path and directions, plus total route-model distance in metres.</x:v>
      </x:c>
      <x:c r="L996" s="6" t="str">
        <x:v>T02, T05, T13</x:v>
      </x:c>
      <x:c r="M996" s="6" t="str">
        <x:v>Find a valid route between two rooms, including across floors.</x:v>
      </x:c>
      <x:c r="N996" s="6" t="str">
        <x:v>{"from_space_id":"resplan-16645-F0-S004","to_space_id":"resplan-16645-F0-S002","optimal_length_m":12.88,"space_path":["resplan-16645-F0-S004","resplan-16645-F0-S001","resplan-16645-F0-S002"],"element_path":["resplan-16645-F0-O0003","resplan-16645-F0-O0003","resplan-16645-F0-O0001","resplan-16645-F0-O0001"]}</x:v>
      </x:c>
      <x:c r="O996" s="6"/>
      <x:c r="P996" s="6" t="str">
        <x:v>README routing profile. Stairs and lifts allowed unless stated otherwise.</x:v>
      </x:c>
      <x:c r="Q996" s="15" t="n">
        <x:v>12.88</x:v>
      </x:c>
      <x:c r="R996" s="6" t="str">
        <x:v>m</x:v>
      </x:c>
      <x:c r="S996" s="16"/>
      <x:c r="T996" s="15"/>
      <x:c r="U996" s="6"/>
      <x:c r="V996" s="6"/>
      <x:c r="W996" s="6" t="str">
        <x:v>Existing find_route and show_route implement the kit routing model.</x:v>
      </x:c>
      <x:c r="X996" s="6" t="str">
        <x:v>data/train/resplan-16645/questions_basic.jsonl</x:v>
      </x:c>
      <x:c r="Y996" s="14" t="n">
        <x:v>5</x:v>
      </x:c>
      <x:c r="Z996" s="6" t="str">
        <x:v>https://github.com/hagenhaeussler/Industrial-Agents-Hackathon-2026/blob/f41616590b69f3ea0c1cbfb41d6c35edd9ce53df/data/train/resplan-16645/questions_basic.jsonl#L5</x:v>
      </x:c>
      <x:c r="AA996" s="6" t="str">
        <x:v>resplan</x:v>
      </x:c>
      <x:c r="AB996" s="6" t="str">
        <x:v>CC-BY-4.0</x:v>
      </x:c>
    </x:row>
    <x:row r="997" ht="82" customHeight="1">
      <x:c r="A997" s="14" t="n">
        <x:v>992</x:v>
      </x:c>
      <x:c r="B997" s="6" t="str">
        <x:v>route</x:v>
      </x:c>
      <x:c r="C997" s="6" t="str">
        <x:v>How do I get from Bathroom 0.05 (Ground floor) to Bedroom 0.03 (Ground floor)?</x:v>
      </x:c>
      <x:c r="D997" s="6" t="str">
        <x:v>10.32 m
From: Bathroom 0.05
To: Bedroom 0.03
Ordered path (3 spaces): Bathroom 0.05 → Living room 0.01 → Bedroom 0.03</x:v>
      </x:c>
      <x:c r="E997" s="6" t="str">
        <x:v>Reference supplied</x:v>
      </x:c>
      <x:c r="F997" s="6" t="str">
        <x:v>train</x:v>
      </x:c>
      <x:c r="G997" s="6" t="str">
        <x:v>resplan-16645</x:v>
      </x:c>
      <x:c r="H997" s="6" t="str">
        <x:v>resplan-16645-Q06</x:v>
      </x:c>
      <x:c r="I997" s="6" t="str">
        <x:v>Route planning</x:v>
      </x:c>
      <x:c r="J997" s="6" t="str">
        <x:v>Warm-up</x:v>
      </x:c>
      <x:c r="K997" s="6" t="str">
        <x:v>Ordered space path and directions, plus total route-model distance in metres.</x:v>
      </x:c>
      <x:c r="L997" s="6" t="str">
        <x:v>T02, T05, T13</x:v>
      </x:c>
      <x:c r="M997" s="6" t="str">
        <x:v>Find a valid route between two rooms, including across floors.</x:v>
      </x:c>
      <x:c r="N997" s="6" t="str">
        <x:v>{"from_space_id":"resplan-16645-F0-S005","to_space_id":"resplan-16645-F0-S003","optimal_length_m":10.32,"space_path":["resplan-16645-F0-S005","resplan-16645-F0-S001","resplan-16645-F0-S003"],"element_path":["resplan-16645-F0-O0004","resplan-16645-F0-O0004","resplan-16645-F0-O0002","resplan-16645-F0-O0002"]}</x:v>
      </x:c>
      <x:c r="O997" s="6"/>
      <x:c r="P997" s="6" t="str">
        <x:v>README routing profile. Stairs and lifts allowed unless stated otherwise.</x:v>
      </x:c>
      <x:c r="Q997" s="15" t="n">
        <x:v>10.32</x:v>
      </x:c>
      <x:c r="R997" s="6" t="str">
        <x:v>m</x:v>
      </x:c>
      <x:c r="S997" s="16"/>
      <x:c r="T997" s="15"/>
      <x:c r="U997" s="6"/>
      <x:c r="V997" s="6"/>
      <x:c r="W997" s="6" t="str">
        <x:v>Existing find_route and show_route implement the kit routing model.</x:v>
      </x:c>
      <x:c r="X997" s="6" t="str">
        <x:v>data/train/resplan-16645/questions_basic.jsonl</x:v>
      </x:c>
      <x:c r="Y997" s="14" t="n">
        <x:v>6</x:v>
      </x:c>
      <x:c r="Z997" s="6" t="str">
        <x:v>https://github.com/hagenhaeussler/Industrial-Agents-Hackathon-2026/blob/f41616590b69f3ea0c1cbfb41d6c35edd9ce53df/data/train/resplan-16645/questions_basic.jsonl#L6</x:v>
      </x:c>
      <x:c r="AA997" s="6" t="str">
        <x:v>resplan</x:v>
      </x:c>
      <x:c r="AB997" s="6" t="str">
        <x:v>CC-BY-4.0</x:v>
      </x:c>
    </x:row>
    <x:row r="998" ht="82" customHeight="1">
      <x:c r="A998" s="14" t="n">
        <x:v>993</x:v>
      </x:c>
      <x:c r="B998" s="6" t="str">
        <x:v>route</x:v>
      </x:c>
      <x:c r="C998" s="6" t="str">
        <x:v>How do I get from Bedroom 0.02 (Ground floor) to Bathroom 0.04 (Ground floor)?</x:v>
      </x:c>
      <x:c r="D998" s="6" t="str">
        <x:v>12.88 m
From: Bedroom 0.02
To: Bathroom 0.04
Ordered path (3 spaces): Bedroom 0.02 → Living room 0.01 → Bathroom 0.04</x:v>
      </x:c>
      <x:c r="E998" s="6" t="str">
        <x:v>Reference supplied</x:v>
      </x:c>
      <x:c r="F998" s="6" t="str">
        <x:v>train</x:v>
      </x:c>
      <x:c r="G998" s="6" t="str">
        <x:v>resplan-16645</x:v>
      </x:c>
      <x:c r="H998" s="6" t="str">
        <x:v>resplan-16645-Q07</x:v>
      </x:c>
      <x:c r="I998" s="6" t="str">
        <x:v>Route planning</x:v>
      </x:c>
      <x:c r="J998" s="6" t="str">
        <x:v>Warm-up</x:v>
      </x:c>
      <x:c r="K998" s="6" t="str">
        <x:v>Ordered space path and directions, plus total route-model distance in metres.</x:v>
      </x:c>
      <x:c r="L998" s="6" t="str">
        <x:v>T02, T05, T13</x:v>
      </x:c>
      <x:c r="M998" s="6" t="str">
        <x:v>Find a valid route between two rooms, including across floors.</x:v>
      </x:c>
      <x:c r="N998" s="6" t="str">
        <x:v>{"from_space_id":"resplan-16645-F0-S002","to_space_id":"resplan-16645-F0-S004","optimal_length_m":12.88,"space_path":["resplan-16645-F0-S002","resplan-16645-F0-S001","resplan-16645-F0-S004"],"element_path":["resplan-16645-F0-O0001","resplan-16645-F0-O0001","resplan-16645-F0-O0003","resplan-16645-F0-O0003"]}</x:v>
      </x:c>
      <x:c r="O998" s="6"/>
      <x:c r="P998" s="6" t="str">
        <x:v>README routing profile. Stairs and lifts allowed unless stated otherwise.</x:v>
      </x:c>
      <x:c r="Q998" s="15" t="n">
        <x:v>12.88</x:v>
      </x:c>
      <x:c r="R998" s="6" t="str">
        <x:v>m</x:v>
      </x:c>
      <x:c r="S998" s="16"/>
      <x:c r="T998" s="15"/>
      <x:c r="U998" s="6"/>
      <x:c r="V998" s="6"/>
      <x:c r="W998" s="6" t="str">
        <x:v>Existing find_route and show_route implement the kit routing model.</x:v>
      </x:c>
      <x:c r="X998" s="6" t="str">
        <x:v>data/train/resplan-16645/questions_basic.jsonl</x:v>
      </x:c>
      <x:c r="Y998" s="14" t="n">
        <x:v>7</x:v>
      </x:c>
      <x:c r="Z998" s="6" t="str">
        <x:v>https://github.com/hagenhaeussler/Industrial-Agents-Hackathon-2026/blob/f41616590b69f3ea0c1cbfb41d6c35edd9ce53df/data/train/resplan-16645/questions_basic.jsonl#L7</x:v>
      </x:c>
      <x:c r="AA998" s="6" t="str">
        <x:v>resplan</x:v>
      </x:c>
      <x:c r="AB998" s="6" t="str">
        <x:v>CC-BY-4.0</x:v>
      </x:c>
    </x:row>
    <x:row r="999" ht="82" customHeight="1">
      <x:c r="A999" s="14" t="n">
        <x:v>994</x:v>
      </x:c>
      <x:c r="B999" s="6" t="str">
        <x:v>route</x:v>
      </x:c>
      <x:c r="C999" s="6" t="str">
        <x:v>How do I get from Bathroom 0.05 (Ground floor) to Living room 0.01 (Ground floor)?</x:v>
      </x:c>
      <x:c r="D999" s="6" t="str">
        <x:v>8.62 m
From: Bathroom 0.05
To: Living room 0.01
Ordered path (3 spaces): Bathroom 0.05 → Bedroom 0.03 → Living room 0.01</x:v>
      </x:c>
      <x:c r="E999" s="6" t="str">
        <x:v>Reference supplied</x:v>
      </x:c>
      <x:c r="F999" s="6" t="str">
        <x:v>train</x:v>
      </x:c>
      <x:c r="G999" s="6" t="str">
        <x:v>resplan-16778</x:v>
      </x:c>
      <x:c r="H999" s="6" t="str">
        <x:v>resplan-16778-Q05</x:v>
      </x:c>
      <x:c r="I999" s="6" t="str">
        <x:v>Route planning</x:v>
      </x:c>
      <x:c r="J999" s="6" t="str">
        <x:v>Warm-up</x:v>
      </x:c>
      <x:c r="K999" s="6" t="str">
        <x:v>Ordered space path and directions, plus total route-model distance in metres.</x:v>
      </x:c>
      <x:c r="L999" s="6" t="str">
        <x:v>T02, T05, T13</x:v>
      </x:c>
      <x:c r="M999" s="6" t="str">
        <x:v>Find a valid route between two rooms, including across floors.</x:v>
      </x:c>
      <x:c r="N999" s="6" t="str">
        <x:v>{"from_space_id":"resplan-16778-F0-S005","to_space_id":"resplan-16778-F0-S001","optimal_length_m":8.62,"space_path":["resplan-16778-F0-S005","resplan-16778-F0-S003","resplan-16778-F0-S001"],"element_path":["resplan-16778-F0-O0006","resplan-16778-F0-O0006","resplan-16778-F0-O0005","resplan-16778-F0-O0005"]}</x:v>
      </x:c>
      <x:c r="O999" s="6"/>
      <x:c r="P999" s="6" t="str">
        <x:v>README routing profile. Stairs and lifts allowed unless stated otherwise.</x:v>
      </x:c>
      <x:c r="Q999" s="15" t="n">
        <x:v>8.62</x:v>
      </x:c>
      <x:c r="R999" s="6" t="str">
        <x:v>m</x:v>
      </x:c>
      <x:c r="S999" s="16"/>
      <x:c r="T999" s="15"/>
      <x:c r="U999" s="6"/>
      <x:c r="V999" s="6"/>
      <x:c r="W999" s="6" t="str">
        <x:v>Existing find_route and show_route implement the kit routing model.</x:v>
      </x:c>
      <x:c r="X999" s="6" t="str">
        <x:v>data/train/resplan-16778/questions_basic.jsonl</x:v>
      </x:c>
      <x:c r="Y999" s="14" t="n">
        <x:v>5</x:v>
      </x:c>
      <x:c r="Z999" s="6" t="str">
        <x:v>https://github.com/hagenhaeussler/Industrial-Agents-Hackathon-2026/blob/f41616590b69f3ea0c1cbfb41d6c35edd9ce53df/data/train/resplan-16778/questions_basic.jsonl#L5</x:v>
      </x:c>
      <x:c r="AA999" s="6" t="str">
        <x:v>resplan</x:v>
      </x:c>
      <x:c r="AB999" s="6" t="str">
        <x:v>CC-BY-4.0</x:v>
      </x:c>
    </x:row>
    <x:row r="1000" ht="72" customHeight="1">
      <x:c r="A1000" s="14" t="n">
        <x:v>995</x:v>
      </x:c>
      <x:c r="B1000" s="6" t="str">
        <x:v>route</x:v>
      </x:c>
      <x:c r="C1000" s="6" t="str">
        <x:v>How do I get from Living room 0.01 (Ground floor) to Bedroom 0.04 (Ground floor)?</x:v>
      </x:c>
      <x:c r="D1000" s="6" t="str">
        <x:v>4.88 m
From: Living room 0.01
To: Bedroom 0.04
Ordered path (2 spaces): Living room 0.01 → Bedroom 0.04</x:v>
      </x:c>
      <x:c r="E1000" s="6" t="str">
        <x:v>Reference supplied</x:v>
      </x:c>
      <x:c r="F1000" s="6" t="str">
        <x:v>train</x:v>
      </x:c>
      <x:c r="G1000" s="6" t="str">
        <x:v>resplan-16778</x:v>
      </x:c>
      <x:c r="H1000" s="6" t="str">
        <x:v>resplan-16778-Q06</x:v>
      </x:c>
      <x:c r="I1000" s="6" t="str">
        <x:v>Route planning</x:v>
      </x:c>
      <x:c r="J1000" s="6" t="str">
        <x:v>Warm-up</x:v>
      </x:c>
      <x:c r="K1000" s="6" t="str">
        <x:v>Ordered space path and directions, plus total route-model distance in metres.</x:v>
      </x:c>
      <x:c r="L1000" s="6" t="str">
        <x:v>T02, T05, T13</x:v>
      </x:c>
      <x:c r="M1000" s="6" t="str">
        <x:v>Find a valid route between two rooms, including across floors.</x:v>
      </x:c>
      <x:c r="N1000" s="6" t="str">
        <x:v>{"from_space_id":"resplan-16778-F0-S001","to_space_id":"resplan-16778-F0-S004","optimal_length_m":4.88,"space_path":["resplan-16778-F0-S001","resplan-16778-F0-S004"],"element_path":["resplan-16778-F0-O0004","resplan-16778-F0-O0004"]}</x:v>
      </x:c>
      <x:c r="O1000" s="6"/>
      <x:c r="P1000" s="6" t="str">
        <x:v>README routing profile. Stairs and lifts allowed unless stated otherwise.</x:v>
      </x:c>
      <x:c r="Q1000" s="15" t="n">
        <x:v>4.88</x:v>
      </x:c>
      <x:c r="R1000" s="6" t="str">
        <x:v>m</x:v>
      </x:c>
      <x:c r="S1000" s="16"/>
      <x:c r="T1000" s="15"/>
      <x:c r="U1000" s="6"/>
      <x:c r="V1000" s="6"/>
      <x:c r="W1000" s="6" t="str">
        <x:v>Existing find_route and show_route implement the kit routing model.</x:v>
      </x:c>
      <x:c r="X1000" s="6" t="str">
        <x:v>data/train/resplan-16778/questions_basic.jsonl</x:v>
      </x:c>
      <x:c r="Y1000" s="14" t="n">
        <x:v>6</x:v>
      </x:c>
      <x:c r="Z1000" s="6" t="str">
        <x:v>https://github.com/hagenhaeussler/Industrial-Agents-Hackathon-2026/blob/f41616590b69f3ea0c1cbfb41d6c35edd9ce53df/data/train/resplan-16778/questions_basic.jsonl#L6</x:v>
      </x:c>
      <x:c r="AA1000" s="6" t="str">
        <x:v>resplan</x:v>
      </x:c>
      <x:c r="AB1000" s="6" t="str">
        <x:v>CC-BY-4.0</x:v>
      </x:c>
    </x:row>
    <x:row r="1001" ht="72" customHeight="1">
      <x:c r="A1001" s="14" t="n">
        <x:v>996</x:v>
      </x:c>
      <x:c r="B1001" s="6" t="str">
        <x:v>route</x:v>
      </x:c>
      <x:c r="C1001" s="6" t="str">
        <x:v>How do I get from Bedroom 0.04 (Ground floor) to Bedroom 0.03 (Ground floor)?</x:v>
      </x:c>
      <x:c r="D1001" s="6" t="str">
        <x:v>9.96 m
From: Bedroom 0.04
To: Bedroom 0.03
Ordered path (3 spaces): Bedroom 0.04 → Living room 0.01 → Bedroom 0.03</x:v>
      </x:c>
      <x:c r="E1001" s="6" t="str">
        <x:v>Reference supplied</x:v>
      </x:c>
      <x:c r="F1001" s="6" t="str">
        <x:v>train</x:v>
      </x:c>
      <x:c r="G1001" s="6" t="str">
        <x:v>resplan-16778</x:v>
      </x:c>
      <x:c r="H1001" s="6" t="str">
        <x:v>resplan-16778-Q07</x:v>
      </x:c>
      <x:c r="I1001" s="6" t="str">
        <x:v>Route planning</x:v>
      </x:c>
      <x:c r="J1001" s="6" t="str">
        <x:v>Warm-up</x:v>
      </x:c>
      <x:c r="K1001" s="6" t="str">
        <x:v>Ordered space path and directions, plus total route-model distance in metres.</x:v>
      </x:c>
      <x:c r="L1001" s="6" t="str">
        <x:v>T02, T05, T13</x:v>
      </x:c>
      <x:c r="M1001" s="6" t="str">
        <x:v>Find a valid route between two rooms, including across floors.</x:v>
      </x:c>
      <x:c r="N1001" s="6" t="str">
        <x:v>{"from_space_id":"resplan-16778-F0-S004","to_space_id":"resplan-16778-F0-S003","optimal_length_m":9.96,"space_path":["resplan-16778-F0-S004","resplan-16778-F0-S001","resplan-16778-F0-S003"],"element_path":["resplan-16778-F0-O0004","resplan-16778-F0-O0004","resplan-16778-F0-O0005","resplan-16778-F0-O0005"]}</x:v>
      </x:c>
      <x:c r="O1001" s="6"/>
      <x:c r="P1001" s="6" t="str">
        <x:v>README routing profile. Stairs and lifts allowed unless stated otherwise.</x:v>
      </x:c>
      <x:c r="Q1001" s="15" t="n">
        <x:v>9.96</x:v>
      </x:c>
      <x:c r="R1001" s="6" t="str">
        <x:v>m</x:v>
      </x:c>
      <x:c r="S1001" s="16"/>
      <x:c r="T1001" s="15"/>
      <x:c r="U1001" s="6"/>
      <x:c r="V1001" s="6"/>
      <x:c r="W1001" s="6" t="str">
        <x:v>Existing find_route and show_route implement the kit routing model.</x:v>
      </x:c>
      <x:c r="X1001" s="6" t="str">
        <x:v>data/train/resplan-16778/questions_basic.jsonl</x:v>
      </x:c>
      <x:c r="Y1001" s="14" t="n">
        <x:v>7</x:v>
      </x:c>
      <x:c r="Z1001" s="6" t="str">
        <x:v>https://github.com/hagenhaeussler/Industrial-Agents-Hackathon-2026/blob/f41616590b69f3ea0c1cbfb41d6c35edd9ce53df/data/train/resplan-16778/questions_basic.jsonl#L7</x:v>
      </x:c>
      <x:c r="AA1001" s="6" t="str">
        <x:v>resplan</x:v>
      </x:c>
      <x:c r="AB1001" s="6" t="str">
        <x:v>CC-BY-4.0</x:v>
      </x:c>
    </x:row>
    <x:row r="1002" ht="82" customHeight="1">
      <x:c r="A1002" s="14" t="n">
        <x:v>997</x:v>
      </x:c>
      <x:c r="B1002" s="6" t="str">
        <x:v>route</x:v>
      </x:c>
      <x:c r="C1002" s="6" t="str">
        <x:v>How do I get from Living room 0.01 (Ground floor) to Bathroom 0.05 (Ground floor)?</x:v>
      </x:c>
      <x:c r="D1002" s="6" t="str">
        <x:v>7.69 m
From: Living room 0.01
To: Bathroom 0.05
Ordered path (3 spaces): Living room 0.01 → Bedroom 0.03 → Bathroom 0.05</x:v>
      </x:c>
      <x:c r="E1002" s="6" t="str">
        <x:v>Reference supplied</x:v>
      </x:c>
      <x:c r="F1002" s="6" t="str">
        <x:v>train</x:v>
      </x:c>
      <x:c r="G1002" s="6" t="str">
        <x:v>resplan-1702</x:v>
      </x:c>
      <x:c r="H1002" s="6" t="str">
        <x:v>resplan-1702-Q05</x:v>
      </x:c>
      <x:c r="I1002" s="6" t="str">
        <x:v>Route planning</x:v>
      </x:c>
      <x:c r="J1002" s="6" t="str">
        <x:v>Warm-up</x:v>
      </x:c>
      <x:c r="K1002" s="6" t="str">
        <x:v>Ordered space path and directions, plus total route-model distance in metres.</x:v>
      </x:c>
      <x:c r="L1002" s="6" t="str">
        <x:v>T02, T05, T13</x:v>
      </x:c>
      <x:c r="M1002" s="6" t="str">
        <x:v>Find a valid route between two rooms, including across floors.</x:v>
      </x:c>
      <x:c r="N1002" s="6" t="str">
        <x:v>{"from_space_id":"resplan-1702-F0-S001","to_space_id":"resplan-1702-F0-S005","optimal_length_m":7.69,"space_path":["resplan-1702-F0-S001","resplan-1702-F0-S003","resplan-1702-F0-S005"],"element_path":["resplan-1702-F0-O0006","resplan-1702-F0-O0006","resplan-1702-F0-O0003","resplan-1702-F0-O0003"]}</x:v>
      </x:c>
      <x:c r="O1002" s="6"/>
      <x:c r="P1002" s="6" t="str">
        <x:v>README routing profile. Stairs and lifts allowed unless stated otherwise.</x:v>
      </x:c>
      <x:c r="Q1002" s="15" t="n">
        <x:v>7.69</x:v>
      </x:c>
      <x:c r="R1002" s="6" t="str">
        <x:v>m</x:v>
      </x:c>
      <x:c r="S1002" s="16"/>
      <x:c r="T1002" s="15"/>
      <x:c r="U1002" s="6"/>
      <x:c r="V1002" s="6"/>
      <x:c r="W1002" s="6" t="str">
        <x:v>Existing find_route and show_route implement the kit routing model.</x:v>
      </x:c>
      <x:c r="X1002" s="6" t="str">
        <x:v>data/train/resplan-1702/questions_basic.jsonl</x:v>
      </x:c>
      <x:c r="Y1002" s="14" t="n">
        <x:v>5</x:v>
      </x:c>
      <x:c r="Z1002" s="6" t="str">
        <x:v>https://github.com/hagenhaeussler/Industrial-Agents-Hackathon-2026/blob/f41616590b69f3ea0c1cbfb41d6c35edd9ce53df/data/train/resplan-1702/questions_basic.jsonl#L5</x:v>
      </x:c>
      <x:c r="AA1002" s="6" t="str">
        <x:v>resplan</x:v>
      </x:c>
      <x:c r="AB1002" s="6" t="str">
        <x:v>CC-BY-4.0</x:v>
      </x:c>
    </x:row>
    <x:row r="1003" ht="82" customHeight="1">
      <x:c r="A1003" s="14" t="n">
        <x:v>998</x:v>
      </x:c>
      <x:c r="B1003" s="6" t="str">
        <x:v>route</x:v>
      </x:c>
      <x:c r="C1003" s="6" t="str">
        <x:v>How do I get from Kitchen 0.06 (Ground floor) to Bathroom 0.04 (Ground floor)?</x:v>
      </x:c>
      <x:c r="D1003" s="6" t="str">
        <x:v>11.11 m
From: Kitchen 0.06
To: Bathroom 0.04
Ordered path (4 spaces): Kitchen 0.06 → Living room 0.01 → Bedroom 0.02 → Bathroom 0.04</x:v>
      </x:c>
      <x:c r="E1003" s="6" t="str">
        <x:v>Reference supplied</x:v>
      </x:c>
      <x:c r="F1003" s="6" t="str">
        <x:v>train</x:v>
      </x:c>
      <x:c r="G1003" s="6" t="str">
        <x:v>resplan-1702</x:v>
      </x:c>
      <x:c r="H1003" s="6" t="str">
        <x:v>resplan-1702-Q06</x:v>
      </x:c>
      <x:c r="I1003" s="6" t="str">
        <x:v>Route planning</x:v>
      </x:c>
      <x:c r="J1003" s="6" t="str">
        <x:v>Warm-up</x:v>
      </x:c>
      <x:c r="K1003" s="6" t="str">
        <x:v>Ordered space path and directions, plus total route-model distance in metres.</x:v>
      </x:c>
      <x:c r="L1003" s="6" t="str">
        <x:v>T02, T05, T13</x:v>
      </x:c>
      <x:c r="M1003" s="6" t="str">
        <x:v>Find a valid route between two rooms, including across floors.</x:v>
      </x:c>
      <x:c r="N1003" s="6" t="str">
        <x:v>{"from_space_id":"resplan-1702-F0-S006","to_space_id":"resplan-1702-F0-S004","optimal_length_m":11.11,"space_path":["resplan-1702-F0-S006","resplan-1702-F0-S001","resplan-1702-F0-S002","resplan-1702-F0-S004"],"element_path":["resplan-1702-F0-O0007","resplan-1702-F0-O0007","resplan-1702-F0-O0005","resplan-1702-F0-O0005","resplan-1702-F0-O0002","resplan-1702-F0-O0002"]}</x:v>
      </x:c>
      <x:c r="O1003" s="6"/>
      <x:c r="P1003" s="6" t="str">
        <x:v>README routing profile. Stairs and lifts allowed unless stated otherwise.</x:v>
      </x:c>
      <x:c r="Q1003" s="15" t="n">
        <x:v>11.11</x:v>
      </x:c>
      <x:c r="R1003" s="6" t="str">
        <x:v>m</x:v>
      </x:c>
      <x:c r="S1003" s="16"/>
      <x:c r="T1003" s="15"/>
      <x:c r="U1003" s="6"/>
      <x:c r="V1003" s="6"/>
      <x:c r="W1003" s="6" t="str">
        <x:v>Existing find_route and show_route implement the kit routing model.</x:v>
      </x:c>
      <x:c r="X1003" s="6" t="str">
        <x:v>data/train/resplan-1702/questions_basic.jsonl</x:v>
      </x:c>
      <x:c r="Y1003" s="14" t="n">
        <x:v>6</x:v>
      </x:c>
      <x:c r="Z1003" s="6" t="str">
        <x:v>https://github.com/hagenhaeussler/Industrial-Agents-Hackathon-2026/blob/f41616590b69f3ea0c1cbfb41d6c35edd9ce53df/data/train/resplan-1702/questions_basic.jsonl#L6</x:v>
      </x:c>
      <x:c r="AA1003" s="6" t="str">
        <x:v>resplan</x:v>
      </x:c>
      <x:c r="AB1003" s="6" t="str">
        <x:v>CC-BY-4.0</x:v>
      </x:c>
    </x:row>
    <x:row r="1004" ht="72" customHeight="1">
      <x:c r="A1004" s="14" t="n">
        <x:v>999</x:v>
      </x:c>
      <x:c r="B1004" s="6" t="str">
        <x:v>route</x:v>
      </x:c>
      <x:c r="C1004" s="6" t="str">
        <x:v>How do I get from Kitchen 0.06 (Ground floor) to Bedroom 0.03 (Ground floor)?</x:v>
      </x:c>
      <x:c r="D1004" s="6" t="str">
        <x:v>7.31 m
From: Kitchen 0.06
To: Bedroom 0.03
Ordered path (3 spaces): Kitchen 0.06 → Living room 0.01 → Bedroom 0.03</x:v>
      </x:c>
      <x:c r="E1004" s="6" t="str">
        <x:v>Reference supplied</x:v>
      </x:c>
      <x:c r="F1004" s="6" t="str">
        <x:v>train</x:v>
      </x:c>
      <x:c r="G1004" s="6" t="str">
        <x:v>resplan-1702</x:v>
      </x:c>
      <x:c r="H1004" s="6" t="str">
        <x:v>resplan-1702-Q07</x:v>
      </x:c>
      <x:c r="I1004" s="6" t="str">
        <x:v>Route planning</x:v>
      </x:c>
      <x:c r="J1004" s="6" t="str">
        <x:v>Warm-up</x:v>
      </x:c>
      <x:c r="K1004" s="6" t="str">
        <x:v>Ordered space path and directions, plus total route-model distance in metres.</x:v>
      </x:c>
      <x:c r="L1004" s="6" t="str">
        <x:v>T02, T05, T13</x:v>
      </x:c>
      <x:c r="M1004" s="6" t="str">
        <x:v>Find a valid route between two rooms, including across floors.</x:v>
      </x:c>
      <x:c r="N1004" s="6" t="str">
        <x:v>{"from_space_id":"resplan-1702-F0-S006","to_space_id":"resplan-1702-F0-S003","optimal_length_m":7.31,"space_path":["resplan-1702-F0-S006","resplan-1702-F0-S001","resplan-1702-F0-S003"],"element_path":["resplan-1702-F0-O0007","resplan-1702-F0-O0007","resplan-1702-F0-O0006","resplan-1702-F0-O0006"]}</x:v>
      </x:c>
      <x:c r="O1004" s="6"/>
      <x:c r="P1004" s="6" t="str">
        <x:v>README routing profile. Stairs and lifts allowed unless stated otherwise.</x:v>
      </x:c>
      <x:c r="Q1004" s="15" t="n">
        <x:v>7.31</x:v>
      </x:c>
      <x:c r="R1004" s="6" t="str">
        <x:v>m</x:v>
      </x:c>
      <x:c r="S1004" s="16"/>
      <x:c r="T1004" s="15"/>
      <x:c r="U1004" s="6"/>
      <x:c r="V1004" s="6"/>
      <x:c r="W1004" s="6" t="str">
        <x:v>Existing find_route and show_route implement the kit routing model.</x:v>
      </x:c>
      <x:c r="X1004" s="6" t="str">
        <x:v>data/train/resplan-1702/questions_basic.jsonl</x:v>
      </x:c>
      <x:c r="Y1004" s="14" t="n">
        <x:v>7</x:v>
      </x:c>
      <x:c r="Z1004" s="6" t="str">
        <x:v>https://github.com/hagenhaeussler/Industrial-Agents-Hackathon-2026/blob/f41616590b69f3ea0c1cbfb41d6c35edd9ce53df/data/train/resplan-1702/questions_basic.jsonl#L7</x:v>
      </x:c>
      <x:c r="AA1004" s="6" t="str">
        <x:v>resplan</x:v>
      </x:c>
      <x:c r="AB1004" s="6" t="str">
        <x:v>CC-BY-4.0</x:v>
      </x:c>
    </x:row>
    <x:row r="1005" ht="82" customHeight="1">
      <x:c r="A1005" s="14" t="n">
        <x:v>1000</x:v>
      </x:c>
      <x:c r="B1005" s="6" t="str">
        <x:v>route</x:v>
      </x:c>
      <x:c r="C1005" s="6" t="str">
        <x:v>How do I get from Bathroom 0.04 (Ground floor) to Bedroom 0.02 (Ground floor)?</x:v>
      </x:c>
      <x:c r="D1005" s="6" t="str">
        <x:v>8.88 m
From: Bathroom 0.04
To: Bedroom 0.02
Ordered path (3 spaces): Bathroom 0.04 → Living room 0.01 → Bedroom 0.02</x:v>
      </x:c>
      <x:c r="E1005" s="6" t="str">
        <x:v>Reference supplied</x:v>
      </x:c>
      <x:c r="F1005" s="6" t="str">
        <x:v>train</x:v>
      </x:c>
      <x:c r="G1005" s="6" t="str">
        <x:v>resplan-1804</x:v>
      </x:c>
      <x:c r="H1005" s="6" t="str">
        <x:v>resplan-1804-Q05</x:v>
      </x:c>
      <x:c r="I1005" s="6" t="str">
        <x:v>Route planning</x:v>
      </x:c>
      <x:c r="J1005" s="6" t="str">
        <x:v>Warm-up</x:v>
      </x:c>
      <x:c r="K1005" s="6" t="str">
        <x:v>Ordered space path and directions, plus total route-model distance in metres.</x:v>
      </x:c>
      <x:c r="L1005" s="6" t="str">
        <x:v>T02, T05, T13</x:v>
      </x:c>
      <x:c r="M1005" s="6" t="str">
        <x:v>Find a valid route between two rooms, including across floors.</x:v>
      </x:c>
      <x:c r="N1005" s="6" t="str">
        <x:v>{"from_space_id":"resplan-1804-F0-S004","to_space_id":"resplan-1804-F0-S002","optimal_length_m":8.88,"space_path":["resplan-1804-F0-S004","resplan-1804-F0-S001","resplan-1804-F0-S002"],"element_path":["resplan-1804-F0-O0005","resplan-1804-F0-O0005","resplan-1804-F0-O0002","resplan-1804-F0-O0002"]}</x:v>
      </x:c>
      <x:c r="O1005" s="6"/>
      <x:c r="P1005" s="6" t="str">
        <x:v>README routing profile. Stairs and lifts allowed unless stated otherwise.</x:v>
      </x:c>
      <x:c r="Q1005" s="15" t="n">
        <x:v>8.88</x:v>
      </x:c>
      <x:c r="R1005" s="6" t="str">
        <x:v>m</x:v>
      </x:c>
      <x:c r="S1005" s="16"/>
      <x:c r="T1005" s="15"/>
      <x:c r="U1005" s="6"/>
      <x:c r="V1005" s="6"/>
      <x:c r="W1005" s="6" t="str">
        <x:v>Existing find_route and show_route implement the kit routing model.</x:v>
      </x:c>
      <x:c r="X1005" s="6" t="str">
        <x:v>data/train/resplan-1804/questions_basic.jsonl</x:v>
      </x:c>
      <x:c r="Y1005" s="14" t="n">
        <x:v>5</x:v>
      </x:c>
      <x:c r="Z1005" s="6" t="str">
        <x:v>https://github.com/hagenhaeussler/Industrial-Agents-Hackathon-2026/blob/f41616590b69f3ea0c1cbfb41d6c35edd9ce53df/data/train/resplan-1804/questions_basic.jsonl#L5</x:v>
      </x:c>
      <x:c r="AA1005" s="6" t="str">
        <x:v>resplan</x:v>
      </x:c>
      <x:c r="AB1005" s="6" t="str">
        <x:v>CC-BY-4.0</x:v>
      </x:c>
    </x:row>
    <x:row r="1006" ht="72" customHeight="1">
      <x:c r="A1006" s="14" t="n">
        <x:v>1001</x:v>
      </x:c>
      <x:c r="B1006" s="6" t="str">
        <x:v>route</x:v>
      </x:c>
      <x:c r="C1006" s="6" t="str">
        <x:v>How do I get from Living room 0.01 (Ground floor) to Kitchen 0.06 (Ground floor)?</x:v>
      </x:c>
      <x:c r="D1006" s="6" t="str">
        <x:v>4.14 m
From: Living room 0.01
To: Kitchen 0.06
Ordered path (2 spaces): Living room 0.01 → Kitchen 0.06</x:v>
      </x:c>
      <x:c r="E1006" s="6" t="str">
        <x:v>Reference supplied</x:v>
      </x:c>
      <x:c r="F1006" s="6" t="str">
        <x:v>train</x:v>
      </x:c>
      <x:c r="G1006" s="6" t="str">
        <x:v>resplan-1804</x:v>
      </x:c>
      <x:c r="H1006" s="6" t="str">
        <x:v>resplan-1804-Q06</x:v>
      </x:c>
      <x:c r="I1006" s="6" t="str">
        <x:v>Route planning</x:v>
      </x:c>
      <x:c r="J1006" s="6" t="str">
        <x:v>Warm-up</x:v>
      </x:c>
      <x:c r="K1006" s="6" t="str">
        <x:v>Ordered space path and directions, plus total route-model distance in metres.</x:v>
      </x:c>
      <x:c r="L1006" s="6" t="str">
        <x:v>T02, T05, T13</x:v>
      </x:c>
      <x:c r="M1006" s="6" t="str">
        <x:v>Find a valid route between two rooms, including across floors.</x:v>
      </x:c>
      <x:c r="N1006" s="6" t="str">
        <x:v>{"from_space_id":"resplan-1804-F0-S001","to_space_id":"resplan-1804-F0-S006","optimal_length_m":4.14,"space_path":["resplan-1804-F0-S001","resplan-1804-F0-S006"],"element_path":["resplan-1804-F0-O0006","resplan-1804-F0-O0006"]}</x:v>
      </x:c>
      <x:c r="O1006" s="6"/>
      <x:c r="P1006" s="6" t="str">
        <x:v>README routing profile. Stairs and lifts allowed unless stated otherwise.</x:v>
      </x:c>
      <x:c r="Q1006" s="15" t="n">
        <x:v>4.14</x:v>
      </x:c>
      <x:c r="R1006" s="6" t="str">
        <x:v>m</x:v>
      </x:c>
      <x:c r="S1006" s="16"/>
      <x:c r="T1006" s="15"/>
      <x:c r="U1006" s="6"/>
      <x:c r="V1006" s="6"/>
      <x:c r="W1006" s="6" t="str">
        <x:v>Existing find_route and show_route implement the kit routing model.</x:v>
      </x:c>
      <x:c r="X1006" s="6" t="str">
        <x:v>data/train/resplan-1804/questions_basic.jsonl</x:v>
      </x:c>
      <x:c r="Y1006" s="14" t="n">
        <x:v>6</x:v>
      </x:c>
      <x:c r="Z1006" s="6" t="str">
        <x:v>https://github.com/hagenhaeussler/Industrial-Agents-Hackathon-2026/blob/f41616590b69f3ea0c1cbfb41d6c35edd9ce53df/data/train/resplan-1804/questions_basic.jsonl#L6</x:v>
      </x:c>
      <x:c r="AA1006" s="6" t="str">
        <x:v>resplan</x:v>
      </x:c>
      <x:c r="AB1006" s="6" t="str">
        <x:v>CC-BY-4.0</x:v>
      </x:c>
    </x:row>
    <x:row r="1007" ht="72" customHeight="1">
      <x:c r="A1007" s="14" t="n">
        <x:v>1002</x:v>
      </x:c>
      <x:c r="B1007" s="6" t="str">
        <x:v>route</x:v>
      </x:c>
      <x:c r="C1007" s="6" t="str">
        <x:v>How do I get from Bedroom 0.03 (Ground floor) to Bathroom 0.05 (Ground floor)?</x:v>
      </x:c>
      <x:c r="D1007" s="6" t="str">
        <x:v>3.05 m
From: Bedroom 0.03
To: Bathroom 0.05
Ordered path (2 spaces): Bedroom 0.03 → Bathroom 0.05</x:v>
      </x:c>
      <x:c r="E1007" s="6" t="str">
        <x:v>Reference supplied</x:v>
      </x:c>
      <x:c r="F1007" s="6" t="str">
        <x:v>train</x:v>
      </x:c>
      <x:c r="G1007" s="6" t="str">
        <x:v>resplan-1804</x:v>
      </x:c>
      <x:c r="H1007" s="6" t="str">
        <x:v>resplan-1804-Q07</x:v>
      </x:c>
      <x:c r="I1007" s="6" t="str">
        <x:v>Route planning</x:v>
      </x:c>
      <x:c r="J1007" s="6" t="str">
        <x:v>Warm-up</x:v>
      </x:c>
      <x:c r="K1007" s="6" t="str">
        <x:v>Ordered space path and directions, plus total route-model distance in metres.</x:v>
      </x:c>
      <x:c r="L1007" s="6" t="str">
        <x:v>T02, T05, T13</x:v>
      </x:c>
      <x:c r="M1007" s="6" t="str">
        <x:v>Find a valid route between two rooms, including across floors.</x:v>
      </x:c>
      <x:c r="N1007" s="6" t="str">
        <x:v>{"from_space_id":"resplan-1804-F0-S003","to_space_id":"resplan-1804-F0-S005","optimal_length_m":3.05,"space_path":["resplan-1804-F0-S003","resplan-1804-F0-S005"],"element_path":["resplan-1804-F0-O0004","resplan-1804-F0-O0004"]}</x:v>
      </x:c>
      <x:c r="O1007" s="6"/>
      <x:c r="P1007" s="6" t="str">
        <x:v>README routing profile. Stairs and lifts allowed unless stated otherwise.</x:v>
      </x:c>
      <x:c r="Q1007" s="15" t="n">
        <x:v>3.05</x:v>
      </x:c>
      <x:c r="R1007" s="6" t="str">
        <x:v>m</x:v>
      </x:c>
      <x:c r="S1007" s="16"/>
      <x:c r="T1007" s="15"/>
      <x:c r="U1007" s="6"/>
      <x:c r="V1007" s="6"/>
      <x:c r="W1007" s="6" t="str">
        <x:v>Existing find_route and show_route implement the kit routing model.</x:v>
      </x:c>
      <x:c r="X1007" s="6" t="str">
        <x:v>data/train/resplan-1804/questions_basic.jsonl</x:v>
      </x:c>
      <x:c r="Y1007" s="14" t="n">
        <x:v>7</x:v>
      </x:c>
      <x:c r="Z1007" s="6" t="str">
        <x:v>https://github.com/hagenhaeussler/Industrial-Agents-Hackathon-2026/blob/f41616590b69f3ea0c1cbfb41d6c35edd9ce53df/data/train/resplan-1804/questions_basic.jsonl#L7</x:v>
      </x:c>
      <x:c r="AA1007" s="6" t="str">
        <x:v>resplan</x:v>
      </x:c>
      <x:c r="AB1007" s="6" t="str">
        <x:v>CC-BY-4.0</x:v>
      </x:c>
    </x:row>
    <x:row r="1008" ht="72" customHeight="1">
      <x:c r="A1008" s="14" t="n">
        <x:v>1003</x:v>
      </x:c>
      <x:c r="B1008" s="6" t="str">
        <x:v>route</x:v>
      </x:c>
      <x:c r="C1008" s="6" t="str">
        <x:v>How do I get from Bedroom 0.04 (Ground floor) to Bedroom 0.02 (Ground floor)?</x:v>
      </x:c>
      <x:c r="D1008" s="6" t="str">
        <x:v>12.92 m
From: Bedroom 0.04
To: Bedroom 0.02
Ordered path (3 spaces): Bedroom 0.04 → Living room 0.01 → Bedroom 0.02</x:v>
      </x:c>
      <x:c r="E1008" s="6" t="str">
        <x:v>Reference supplied</x:v>
      </x:c>
      <x:c r="F1008" s="6" t="str">
        <x:v>train</x:v>
      </x:c>
      <x:c r="G1008" s="6" t="str">
        <x:v>resplan-2100</x:v>
      </x:c>
      <x:c r="H1008" s="6" t="str">
        <x:v>resplan-2100-Q05</x:v>
      </x:c>
      <x:c r="I1008" s="6" t="str">
        <x:v>Route planning</x:v>
      </x:c>
      <x:c r="J1008" s="6" t="str">
        <x:v>Warm-up</x:v>
      </x:c>
      <x:c r="K1008" s="6" t="str">
        <x:v>Ordered space path and directions, plus total route-model distance in metres.</x:v>
      </x:c>
      <x:c r="L1008" s="6" t="str">
        <x:v>T02, T05, T13</x:v>
      </x:c>
      <x:c r="M1008" s="6" t="str">
        <x:v>Find a valid route between two rooms, including across floors.</x:v>
      </x:c>
      <x:c r="N1008" s="6" t="str">
        <x:v>{"from_space_id":"resplan-2100-F0-S004","to_space_id":"resplan-2100-F0-S002","optimal_length_m":12.92,"space_path":["resplan-2100-F0-S004","resplan-2100-F0-S001","resplan-2100-F0-S002"],"element_path":["resplan-2100-F0-O0008","resplan-2100-F0-O0008","resplan-2100-F0-O0004","resplan-2100-F0-O0004"]}</x:v>
      </x:c>
      <x:c r="O1008" s="6"/>
      <x:c r="P1008" s="6" t="str">
        <x:v>README routing profile. Stairs and lifts allowed unless stated otherwise.</x:v>
      </x:c>
      <x:c r="Q1008" s="15" t="n">
        <x:v>12.92</x:v>
      </x:c>
      <x:c r="R1008" s="6" t="str">
        <x:v>m</x:v>
      </x:c>
      <x:c r="S1008" s="16"/>
      <x:c r="T1008" s="15"/>
      <x:c r="U1008" s="6"/>
      <x:c r="V1008" s="6"/>
      <x:c r="W1008" s="6" t="str">
        <x:v>Existing find_route and show_route implement the kit routing model.</x:v>
      </x:c>
      <x:c r="X1008" s="6" t="str">
        <x:v>data/train/resplan-2100/questions_basic.jsonl</x:v>
      </x:c>
      <x:c r="Y1008" s="14" t="n">
        <x:v>5</x:v>
      </x:c>
      <x:c r="Z1008" s="6" t="str">
        <x:v>https://github.com/hagenhaeussler/Industrial-Agents-Hackathon-2026/blob/f41616590b69f3ea0c1cbfb41d6c35edd9ce53df/data/train/resplan-2100/questions_basic.jsonl#L5</x:v>
      </x:c>
      <x:c r="AA1008" s="6" t="str">
        <x:v>resplan</x:v>
      </x:c>
      <x:c r="AB1008" s="6" t="str">
        <x:v>CC-BY-4.0</x:v>
      </x:c>
    </x:row>
    <x:row r="1009" ht="72" customHeight="1">
      <x:c r="A1009" s="14" t="n">
        <x:v>1004</x:v>
      </x:c>
      <x:c r="B1009" s="6" t="str">
        <x:v>route</x:v>
      </x:c>
      <x:c r="C1009" s="6" t="str">
        <x:v>How do I get from Bedroom 0.04 (Ground floor) to Living room 0.01 (Ground floor)?</x:v>
      </x:c>
      <x:c r="D1009" s="6" t="str">
        <x:v>8.26 m
From: Bedroom 0.04
To: Living room 0.01
Ordered path (2 spaces): Bedroom 0.04 → Living room 0.01</x:v>
      </x:c>
      <x:c r="E1009" s="6" t="str">
        <x:v>Reference supplied</x:v>
      </x:c>
      <x:c r="F1009" s="6" t="str">
        <x:v>train</x:v>
      </x:c>
      <x:c r="G1009" s="6" t="str">
        <x:v>resplan-2100</x:v>
      </x:c>
      <x:c r="H1009" s="6" t="str">
        <x:v>resplan-2100-Q06</x:v>
      </x:c>
      <x:c r="I1009" s="6" t="str">
        <x:v>Route planning</x:v>
      </x:c>
      <x:c r="J1009" s="6" t="str">
        <x:v>Warm-up</x:v>
      </x:c>
      <x:c r="K1009" s="6" t="str">
        <x:v>Ordered space path and directions, plus total route-model distance in metres.</x:v>
      </x:c>
      <x:c r="L1009" s="6" t="str">
        <x:v>T02, T05, T13</x:v>
      </x:c>
      <x:c r="M1009" s="6" t="str">
        <x:v>Find a valid route between two rooms, including across floors.</x:v>
      </x:c>
      <x:c r="N1009" s="6" t="str">
        <x:v>{"from_space_id":"resplan-2100-F0-S004","to_space_id":"resplan-2100-F0-S001","optimal_length_m":8.26,"space_path":["resplan-2100-F0-S004","resplan-2100-F0-S001"],"element_path":["resplan-2100-F0-O0008","resplan-2100-F0-O0008"]}</x:v>
      </x:c>
      <x:c r="O1009" s="6"/>
      <x:c r="P1009" s="6" t="str">
        <x:v>README routing profile. Stairs and lifts allowed unless stated otherwise.</x:v>
      </x:c>
      <x:c r="Q1009" s="15" t="n">
        <x:v>8.26</x:v>
      </x:c>
      <x:c r="R1009" s="6" t="str">
        <x:v>m</x:v>
      </x:c>
      <x:c r="S1009" s="16"/>
      <x:c r="T1009" s="15"/>
      <x:c r="U1009" s="6"/>
      <x:c r="V1009" s="6"/>
      <x:c r="W1009" s="6" t="str">
        <x:v>Existing find_route and show_route implement the kit routing model.</x:v>
      </x:c>
      <x:c r="X1009" s="6" t="str">
        <x:v>data/train/resplan-2100/questions_basic.jsonl</x:v>
      </x:c>
      <x:c r="Y1009" s="14" t="n">
        <x:v>6</x:v>
      </x:c>
      <x:c r="Z1009" s="6" t="str">
        <x:v>https://github.com/hagenhaeussler/Industrial-Agents-Hackathon-2026/blob/f41616590b69f3ea0c1cbfb41d6c35edd9ce53df/data/train/resplan-2100/questions_basic.jsonl#L6</x:v>
      </x:c>
      <x:c r="AA1009" s="6" t="str">
        <x:v>resplan</x:v>
      </x:c>
      <x:c r="AB1009" s="6" t="str">
        <x:v>CC-BY-4.0</x:v>
      </x:c>
    </x:row>
    <x:row r="1010" ht="72" customHeight="1">
      <x:c r="A1010" s="14" t="n">
        <x:v>1005</x:v>
      </x:c>
      <x:c r="B1010" s="6" t="str">
        <x:v>route</x:v>
      </x:c>
      <x:c r="C1010" s="6" t="str">
        <x:v>How do I get from Bathroom 0.05 (Ground floor) to Living room 0.01 (Ground floor)?</x:v>
      </x:c>
      <x:c r="D1010" s="6" t="str">
        <x:v>6.55 m
From: Bathroom 0.05
To: Living room 0.01
Ordered path (2 spaces): Bathroom 0.05 → Living room 0.01</x:v>
      </x:c>
      <x:c r="E1010" s="6" t="str">
        <x:v>Reference supplied</x:v>
      </x:c>
      <x:c r="F1010" s="6" t="str">
        <x:v>train</x:v>
      </x:c>
      <x:c r="G1010" s="6" t="str">
        <x:v>resplan-2100</x:v>
      </x:c>
      <x:c r="H1010" s="6" t="str">
        <x:v>resplan-2100-Q07</x:v>
      </x:c>
      <x:c r="I1010" s="6" t="str">
        <x:v>Route planning</x:v>
      </x:c>
      <x:c r="J1010" s="6" t="str">
        <x:v>Warm-up</x:v>
      </x:c>
      <x:c r="K1010" s="6" t="str">
        <x:v>Ordered space path and directions, plus total route-model distance in metres.</x:v>
      </x:c>
      <x:c r="L1010" s="6" t="str">
        <x:v>T02, T05, T13</x:v>
      </x:c>
      <x:c r="M1010" s="6" t="str">
        <x:v>Find a valid route between two rooms, including across floors.</x:v>
      </x:c>
      <x:c r="N1010" s="6" t="str">
        <x:v>{"from_space_id":"resplan-2100-F0-S005","to_space_id":"resplan-2100-F0-S001","optimal_length_m":6.55,"space_path":["resplan-2100-F0-S005","resplan-2100-F0-S001"],"element_path":["resplan-2100-F0-O0006","resplan-2100-F0-O0006"]}</x:v>
      </x:c>
      <x:c r="O1010" s="6"/>
      <x:c r="P1010" s="6" t="str">
        <x:v>README routing profile. Stairs and lifts allowed unless stated otherwise.</x:v>
      </x:c>
      <x:c r="Q1010" s="15" t="n">
        <x:v>6.55</x:v>
      </x:c>
      <x:c r="R1010" s="6" t="str">
        <x:v>m</x:v>
      </x:c>
      <x:c r="S1010" s="16"/>
      <x:c r="T1010" s="15"/>
      <x:c r="U1010" s="6"/>
      <x:c r="V1010" s="6"/>
      <x:c r="W1010" s="6" t="str">
        <x:v>Existing find_route and show_route implement the kit routing model.</x:v>
      </x:c>
      <x:c r="X1010" s="6" t="str">
        <x:v>data/train/resplan-2100/questions_basic.jsonl</x:v>
      </x:c>
      <x:c r="Y1010" s="14" t="n">
        <x:v>7</x:v>
      </x:c>
      <x:c r="Z1010" s="6" t="str">
        <x:v>https://github.com/hagenhaeussler/Industrial-Agents-Hackathon-2026/blob/f41616590b69f3ea0c1cbfb41d6c35edd9ce53df/data/train/resplan-2100/questions_basic.jsonl#L7</x:v>
      </x:c>
      <x:c r="AA1010" s="6" t="str">
        <x:v>resplan</x:v>
      </x:c>
      <x:c r="AB1010" s="6" t="str">
        <x:v>CC-BY-4.0</x:v>
      </x:c>
    </x:row>
    <x:row r="1011" ht="72" customHeight="1">
      <x:c r="A1011" s="14" t="n">
        <x:v>1006</x:v>
      </x:c>
      <x:c r="B1011" s="6" t="str">
        <x:v>route</x:v>
      </x:c>
      <x:c r="C1011" s="6" t="str">
        <x:v>How do I get from Bedroom 0.02 (Ground floor) to Living room 0.01 (Ground floor)?</x:v>
      </x:c>
      <x:c r="D1011" s="6" t="str">
        <x:v>6.71 m
From: Bedroom 0.02
To: Living room 0.01
Ordered path (2 spaces): Bedroom 0.02 → Living room 0.01</x:v>
      </x:c>
      <x:c r="E1011" s="6" t="str">
        <x:v>Reference supplied</x:v>
      </x:c>
      <x:c r="F1011" s="6" t="str">
        <x:v>train</x:v>
      </x:c>
      <x:c r="G1011" s="6" t="str">
        <x:v>resplan-2247</x:v>
      </x:c>
      <x:c r="H1011" s="6" t="str">
        <x:v>resplan-2247-Q05</x:v>
      </x:c>
      <x:c r="I1011" s="6" t="str">
        <x:v>Route planning</x:v>
      </x:c>
      <x:c r="J1011" s="6" t="str">
        <x:v>Warm-up</x:v>
      </x:c>
      <x:c r="K1011" s="6" t="str">
        <x:v>Ordered space path and directions, plus total route-model distance in metres.</x:v>
      </x:c>
      <x:c r="L1011" s="6" t="str">
        <x:v>T02, T05, T13</x:v>
      </x:c>
      <x:c r="M1011" s="6" t="str">
        <x:v>Find a valid route between two rooms, including across floors.</x:v>
      </x:c>
      <x:c r="N1011" s="6" t="str">
        <x:v>{"from_space_id":"resplan-2247-F0-S002","to_space_id":"resplan-2247-F0-S001","optimal_length_m":6.71,"space_path":["resplan-2247-F0-S002","resplan-2247-F0-S001"],"element_path":["resplan-2247-F0-O0002","resplan-2247-F0-O0002"]}</x:v>
      </x:c>
      <x:c r="O1011" s="6"/>
      <x:c r="P1011" s="6" t="str">
        <x:v>README routing profile. Stairs and lifts allowed unless stated otherwise.</x:v>
      </x:c>
      <x:c r="Q1011" s="15" t="n">
        <x:v>6.71</x:v>
      </x:c>
      <x:c r="R1011" s="6" t="str">
        <x:v>m</x:v>
      </x:c>
      <x:c r="S1011" s="16"/>
      <x:c r="T1011" s="15"/>
      <x:c r="U1011" s="6"/>
      <x:c r="V1011" s="6"/>
      <x:c r="W1011" s="6" t="str">
        <x:v>Existing find_route and show_route implement the kit routing model.</x:v>
      </x:c>
      <x:c r="X1011" s="6" t="str">
        <x:v>data/train/resplan-2247/questions_basic.jsonl</x:v>
      </x:c>
      <x:c r="Y1011" s="14" t="n">
        <x:v>5</x:v>
      </x:c>
      <x:c r="Z1011" s="6" t="str">
        <x:v>https://github.com/hagenhaeussler/Industrial-Agents-Hackathon-2026/blob/f41616590b69f3ea0c1cbfb41d6c35edd9ce53df/data/train/resplan-2247/questions_basic.jsonl#L5</x:v>
      </x:c>
      <x:c r="AA1011" s="6" t="str">
        <x:v>resplan</x:v>
      </x:c>
      <x:c r="AB1011" s="6" t="str">
        <x:v>CC-BY-4.0</x:v>
      </x:c>
    </x:row>
    <x:row r="1012" ht="82" customHeight="1">
      <x:c r="A1012" s="14" t="n">
        <x:v>1007</x:v>
      </x:c>
      <x:c r="B1012" s="6" t="str">
        <x:v>route</x:v>
      </x:c>
      <x:c r="C1012" s="6" t="str">
        <x:v>How do I get from Kitchen 0.05 (Ground floor) to Bathroom 0.04 (Ground floor)?</x:v>
      </x:c>
      <x:c r="D1012" s="6" t="str">
        <x:v>8.33 m
From: Kitchen 0.05
To: Bathroom 0.04
Ordered path (3 spaces): Kitchen 0.05 → Living room 0.01 → Bathroom 0.04</x:v>
      </x:c>
      <x:c r="E1012" s="6" t="str">
        <x:v>Reference supplied</x:v>
      </x:c>
      <x:c r="F1012" s="6" t="str">
        <x:v>train</x:v>
      </x:c>
      <x:c r="G1012" s="6" t="str">
        <x:v>resplan-2247</x:v>
      </x:c>
      <x:c r="H1012" s="6" t="str">
        <x:v>resplan-2247-Q06</x:v>
      </x:c>
      <x:c r="I1012" s="6" t="str">
        <x:v>Route planning</x:v>
      </x:c>
      <x:c r="J1012" s="6" t="str">
        <x:v>Warm-up</x:v>
      </x:c>
      <x:c r="K1012" s="6" t="str">
        <x:v>Ordered space path and directions, plus total route-model distance in metres.</x:v>
      </x:c>
      <x:c r="L1012" s="6" t="str">
        <x:v>T02, T05, T13</x:v>
      </x:c>
      <x:c r="M1012" s="6" t="str">
        <x:v>Find a valid route between two rooms, including across floors.</x:v>
      </x:c>
      <x:c r="N1012" s="6" t="str">
        <x:v>{"from_space_id":"resplan-2247-F0-S005","to_space_id":"resplan-2247-F0-S004","optimal_length_m":8.33,"space_path":["resplan-2247-F0-S005","resplan-2247-F0-S001","resplan-2247-F0-S004"],"element_path":["resplan-2247-F0-O0005","resplan-2247-F0-O0005","resplan-2247-F0-O0001","resplan-2247-F0-O0001"]}</x:v>
      </x:c>
      <x:c r="O1012" s="6"/>
      <x:c r="P1012" s="6" t="str">
        <x:v>README routing profile. Stairs and lifts allowed unless stated otherwise.</x:v>
      </x:c>
      <x:c r="Q1012" s="15" t="n">
        <x:v>8.33</x:v>
      </x:c>
      <x:c r="R1012" s="6" t="str">
        <x:v>m</x:v>
      </x:c>
      <x:c r="S1012" s="16"/>
      <x:c r="T1012" s="15"/>
      <x:c r="U1012" s="6"/>
      <x:c r="V1012" s="6"/>
      <x:c r="W1012" s="6" t="str">
        <x:v>Existing find_route and show_route implement the kit routing model.</x:v>
      </x:c>
      <x:c r="X1012" s="6" t="str">
        <x:v>data/train/resplan-2247/questions_basic.jsonl</x:v>
      </x:c>
      <x:c r="Y1012" s="14" t="n">
        <x:v>6</x:v>
      </x:c>
      <x:c r="Z1012" s="6" t="str">
        <x:v>https://github.com/hagenhaeussler/Industrial-Agents-Hackathon-2026/blob/f41616590b69f3ea0c1cbfb41d6c35edd9ce53df/data/train/resplan-2247/questions_basic.jsonl#L6</x:v>
      </x:c>
      <x:c r="AA1012" s="6" t="str">
        <x:v>resplan</x:v>
      </x:c>
      <x:c r="AB1012" s="6" t="str">
        <x:v>CC-BY-4.0</x:v>
      </x:c>
    </x:row>
    <x:row r="1013" ht="72" customHeight="1">
      <x:c r="A1013" s="14" t="n">
        <x:v>1008</x:v>
      </x:c>
      <x:c r="B1013" s="6" t="str">
        <x:v>route</x:v>
      </x:c>
      <x:c r="C1013" s="6" t="str">
        <x:v>How do I get from Living room 0.01 (Ground floor) to Bathroom 0.04 (Ground floor)?</x:v>
      </x:c>
      <x:c r="D1013" s="6" t="str">
        <x:v>3.88 m
From: Living room 0.01
To: Bathroom 0.04
Ordered path (2 spaces): Living room 0.01 → Bathroom 0.04</x:v>
      </x:c>
      <x:c r="E1013" s="6" t="str">
        <x:v>Reference supplied</x:v>
      </x:c>
      <x:c r="F1013" s="6" t="str">
        <x:v>train</x:v>
      </x:c>
      <x:c r="G1013" s="6" t="str">
        <x:v>resplan-2247</x:v>
      </x:c>
      <x:c r="H1013" s="6" t="str">
        <x:v>resplan-2247-Q07</x:v>
      </x:c>
      <x:c r="I1013" s="6" t="str">
        <x:v>Route planning</x:v>
      </x:c>
      <x:c r="J1013" s="6" t="str">
        <x:v>Warm-up</x:v>
      </x:c>
      <x:c r="K1013" s="6" t="str">
        <x:v>Ordered space path and directions, plus total route-model distance in metres.</x:v>
      </x:c>
      <x:c r="L1013" s="6" t="str">
        <x:v>T02, T05, T13</x:v>
      </x:c>
      <x:c r="M1013" s="6" t="str">
        <x:v>Find a valid route between two rooms, including across floors.</x:v>
      </x:c>
      <x:c r="N1013" s="6" t="str">
        <x:v>{"from_space_id":"resplan-2247-F0-S001","to_space_id":"resplan-2247-F0-S004","optimal_length_m":3.88,"space_path":["resplan-2247-F0-S001","resplan-2247-F0-S004"],"element_path":["resplan-2247-F0-O0001","resplan-2247-F0-O0001"]}</x:v>
      </x:c>
      <x:c r="O1013" s="6"/>
      <x:c r="P1013" s="6" t="str">
        <x:v>README routing profile. Stairs and lifts allowed unless stated otherwise.</x:v>
      </x:c>
      <x:c r="Q1013" s="15" t="n">
        <x:v>3.88</x:v>
      </x:c>
      <x:c r="R1013" s="6" t="str">
        <x:v>m</x:v>
      </x:c>
      <x:c r="S1013" s="16"/>
      <x:c r="T1013" s="15"/>
      <x:c r="U1013" s="6"/>
      <x:c r="V1013" s="6"/>
      <x:c r="W1013" s="6" t="str">
        <x:v>Existing find_route and show_route implement the kit routing model.</x:v>
      </x:c>
      <x:c r="X1013" s="6" t="str">
        <x:v>data/train/resplan-2247/questions_basic.jsonl</x:v>
      </x:c>
      <x:c r="Y1013" s="14" t="n">
        <x:v>7</x:v>
      </x:c>
      <x:c r="Z1013" s="6" t="str">
        <x:v>https://github.com/hagenhaeussler/Industrial-Agents-Hackathon-2026/blob/f41616590b69f3ea0c1cbfb41d6c35edd9ce53df/data/train/resplan-2247/questions_basic.jsonl#L7</x:v>
      </x:c>
      <x:c r="AA1013" s="6" t="str">
        <x:v>resplan</x:v>
      </x:c>
      <x:c r="AB1013" s="6" t="str">
        <x:v>CC-BY-4.0</x:v>
      </x:c>
    </x:row>
    <x:row r="1014" ht="82" customHeight="1">
      <x:c r="A1014" s="14" t="n">
        <x:v>1009</x:v>
      </x:c>
      <x:c r="B1014" s="6" t="str">
        <x:v>route</x:v>
      </x:c>
      <x:c r="C1014" s="6" t="str">
        <x:v>How do I get from Kitchen 0.07 (Ground floor) to Bathroom 0.05 (Ground floor)?</x:v>
      </x:c>
      <x:c r="D1014" s="6" t="str">
        <x:v>19.26 m
From: Kitchen 0.07
To: Bathroom 0.05
Ordered path (4 spaces): Kitchen 0.07 → Living room 0.01 → Bedroom 0.04 → Bathroom 0.05</x:v>
      </x:c>
      <x:c r="E1014" s="6" t="str">
        <x:v>Reference supplied</x:v>
      </x:c>
      <x:c r="F1014" s="6" t="str">
        <x:v>train</x:v>
      </x:c>
      <x:c r="G1014" s="6" t="str">
        <x:v>resplan-2478</x:v>
      </x:c>
      <x:c r="H1014" s="6" t="str">
        <x:v>resplan-2478-Q05</x:v>
      </x:c>
      <x:c r="I1014" s="6" t="str">
        <x:v>Route planning</x:v>
      </x:c>
      <x:c r="J1014" s="6" t="str">
        <x:v>Warm-up</x:v>
      </x:c>
      <x:c r="K1014" s="6" t="str">
        <x:v>Ordered space path and directions, plus total route-model distance in metres.</x:v>
      </x:c>
      <x:c r="L1014" s="6" t="str">
        <x:v>T02, T05, T13</x:v>
      </x:c>
      <x:c r="M1014" s="6" t="str">
        <x:v>Find a valid route between two rooms, including across floors.</x:v>
      </x:c>
      <x:c r="N1014" s="6" t="str">
        <x:v>{"from_space_id":"resplan-2478-F0-S007","to_space_id":"resplan-2478-F0-S005","optimal_length_m":19.26,"space_path":["resplan-2478-F0-S007","resplan-2478-F0-S001","resplan-2478-F0-S004","resplan-2478-F0-S005"],"element_path":["resplan-2478-F0-O0009","resplan-2478-F0-O0009","resplan-2478-F0-O0004","resplan-2478-F0-O0004","resplan-2478-F0-O0005","resplan-2478-F0-O0005"]}</x:v>
      </x:c>
      <x:c r="O1014" s="6"/>
      <x:c r="P1014" s="6" t="str">
        <x:v>README routing profile. Stairs and lifts allowed unless stated otherwise.</x:v>
      </x:c>
      <x:c r="Q1014" s="15" t="n">
        <x:v>19.26</x:v>
      </x:c>
      <x:c r="R1014" s="6" t="str">
        <x:v>m</x:v>
      </x:c>
      <x:c r="S1014" s="16"/>
      <x:c r="T1014" s="15"/>
      <x:c r="U1014" s="6"/>
      <x:c r="V1014" s="6"/>
      <x:c r="W1014" s="6" t="str">
        <x:v>Existing find_route and show_route implement the kit routing model.</x:v>
      </x:c>
      <x:c r="X1014" s="6" t="str">
        <x:v>data/train/resplan-2478/questions_basic.jsonl</x:v>
      </x:c>
      <x:c r="Y1014" s="14" t="n">
        <x:v>5</x:v>
      </x:c>
      <x:c r="Z1014" s="6" t="str">
        <x:v>https://github.com/hagenhaeussler/Industrial-Agents-Hackathon-2026/blob/f41616590b69f3ea0c1cbfb41d6c35edd9ce53df/data/train/resplan-2478/questions_basic.jsonl#L5</x:v>
      </x:c>
      <x:c r="AA1014" s="6" t="str">
        <x:v>resplan</x:v>
      </x:c>
      <x:c r="AB1014" s="6" t="str">
        <x:v>CC-BY-4.0</x:v>
      </x:c>
    </x:row>
    <x:row r="1015" ht="82" customHeight="1">
      <x:c r="A1015" s="14" t="n">
        <x:v>1010</x:v>
      </x:c>
      <x:c r="B1015" s="6" t="str">
        <x:v>route</x:v>
      </x:c>
      <x:c r="C1015" s="6" t="str">
        <x:v>How do I get from Bathroom 0.05 (Ground floor) to Living room 0.01 (Ground floor)?</x:v>
      </x:c>
      <x:c r="D1015" s="6" t="str">
        <x:v>14.44 m
From: Bathroom 0.05
To: Living room 0.01
Ordered path (3 spaces): Bathroom 0.05 → Bedroom 0.04 → Living room 0.01</x:v>
      </x:c>
      <x:c r="E1015" s="6" t="str">
        <x:v>Reference supplied</x:v>
      </x:c>
      <x:c r="F1015" s="6" t="str">
        <x:v>train</x:v>
      </x:c>
      <x:c r="G1015" s="6" t="str">
        <x:v>resplan-2478</x:v>
      </x:c>
      <x:c r="H1015" s="6" t="str">
        <x:v>resplan-2478-Q06</x:v>
      </x:c>
      <x:c r="I1015" s="6" t="str">
        <x:v>Route planning</x:v>
      </x:c>
      <x:c r="J1015" s="6" t="str">
        <x:v>Warm-up</x:v>
      </x:c>
      <x:c r="K1015" s="6" t="str">
        <x:v>Ordered space path and directions, plus total route-model distance in metres.</x:v>
      </x:c>
      <x:c r="L1015" s="6" t="str">
        <x:v>T02, T05, T13</x:v>
      </x:c>
      <x:c r="M1015" s="6" t="str">
        <x:v>Find a valid route between two rooms, including across floors.</x:v>
      </x:c>
      <x:c r="N1015" s="6" t="str">
        <x:v>{"from_space_id":"resplan-2478-F0-S005","to_space_id":"resplan-2478-F0-S001","optimal_length_m":14.44,"space_path":["resplan-2478-F0-S005","resplan-2478-F0-S004","resplan-2478-F0-S001"],"element_path":["resplan-2478-F0-O0005","resplan-2478-F0-O0005","resplan-2478-F0-O0004","resplan-2478-F0-O0004"]}</x:v>
      </x:c>
      <x:c r="O1015" s="6"/>
      <x:c r="P1015" s="6" t="str">
        <x:v>README routing profile. Stairs and lifts allowed unless stated otherwise.</x:v>
      </x:c>
      <x:c r="Q1015" s="15" t="n">
        <x:v>14.44</x:v>
      </x:c>
      <x:c r="R1015" s="6" t="str">
        <x:v>m</x:v>
      </x:c>
      <x:c r="S1015" s="16"/>
      <x:c r="T1015" s="15"/>
      <x:c r="U1015" s="6"/>
      <x:c r="V1015" s="6"/>
      <x:c r="W1015" s="6" t="str">
        <x:v>Existing find_route and show_route implement the kit routing model.</x:v>
      </x:c>
      <x:c r="X1015" s="6" t="str">
        <x:v>data/train/resplan-2478/questions_basic.jsonl</x:v>
      </x:c>
      <x:c r="Y1015" s="14" t="n">
        <x:v>6</x:v>
      </x:c>
      <x:c r="Z1015" s="6" t="str">
        <x:v>https://github.com/hagenhaeussler/Industrial-Agents-Hackathon-2026/blob/f41616590b69f3ea0c1cbfb41d6c35edd9ce53df/data/train/resplan-2478/questions_basic.jsonl#L6</x:v>
      </x:c>
      <x:c r="AA1015" s="6" t="str">
        <x:v>resplan</x:v>
      </x:c>
      <x:c r="AB1015" s="6" t="str">
        <x:v>CC-BY-4.0</x:v>
      </x:c>
    </x:row>
    <x:row r="1016" ht="72" customHeight="1">
      <x:c r="A1016" s="14" t="n">
        <x:v>1011</x:v>
      </x:c>
      <x:c r="B1016" s="6" t="str">
        <x:v>route</x:v>
      </x:c>
      <x:c r="C1016" s="6" t="str">
        <x:v>How do I get from Bedroom 0.03 (Ground floor) to Bedroom 0.04 (Ground floor)?</x:v>
      </x:c>
      <x:c r="D1016" s="6" t="str">
        <x:v>17.39 m
From: Bedroom 0.03
To: Bedroom 0.04
Ordered path (3 spaces): Bedroom 0.03 → Living room 0.01 → Bedroom 0.04</x:v>
      </x:c>
      <x:c r="E1016" s="6" t="str">
        <x:v>Reference supplied</x:v>
      </x:c>
      <x:c r="F1016" s="6" t="str">
        <x:v>train</x:v>
      </x:c>
      <x:c r="G1016" s="6" t="str">
        <x:v>resplan-2478</x:v>
      </x:c>
      <x:c r="H1016" s="6" t="str">
        <x:v>resplan-2478-Q07</x:v>
      </x:c>
      <x:c r="I1016" s="6" t="str">
        <x:v>Route planning</x:v>
      </x:c>
      <x:c r="J1016" s="6" t="str">
        <x:v>Warm-up</x:v>
      </x:c>
      <x:c r="K1016" s="6" t="str">
        <x:v>Ordered space path and directions, plus total route-model distance in metres.</x:v>
      </x:c>
      <x:c r="L1016" s="6" t="str">
        <x:v>T02, T05, T13</x:v>
      </x:c>
      <x:c r="M1016" s="6" t="str">
        <x:v>Find a valid route between two rooms, including across floors.</x:v>
      </x:c>
      <x:c r="N1016" s="6" t="str">
        <x:v>{"from_space_id":"resplan-2478-F0-S003","to_space_id":"resplan-2478-F0-S004","optimal_length_m":17.39,"space_path":["resplan-2478-F0-S003","resplan-2478-F0-S001","resplan-2478-F0-S004"],"element_path":["resplan-2478-F0-O0002","resplan-2478-F0-O0002","resplan-2478-F0-O0004","resplan-2478-F0-O0004"]}</x:v>
      </x:c>
      <x:c r="O1016" s="6"/>
      <x:c r="P1016" s="6" t="str">
        <x:v>README routing profile. Stairs and lifts allowed unless stated otherwise.</x:v>
      </x:c>
      <x:c r="Q1016" s="15" t="n">
        <x:v>17.39</x:v>
      </x:c>
      <x:c r="R1016" s="6" t="str">
        <x:v>m</x:v>
      </x:c>
      <x:c r="S1016" s="16"/>
      <x:c r="T1016" s="15"/>
      <x:c r="U1016" s="6"/>
      <x:c r="V1016" s="6"/>
      <x:c r="W1016" s="6" t="str">
        <x:v>Existing find_route and show_route implement the kit routing model.</x:v>
      </x:c>
      <x:c r="X1016" s="6" t="str">
        <x:v>data/train/resplan-2478/questions_basic.jsonl</x:v>
      </x:c>
      <x:c r="Y1016" s="14" t="n">
        <x:v>7</x:v>
      </x:c>
      <x:c r="Z1016" s="6" t="str">
        <x:v>https://github.com/hagenhaeussler/Industrial-Agents-Hackathon-2026/blob/f41616590b69f3ea0c1cbfb41d6c35edd9ce53df/data/train/resplan-2478/questions_basic.jsonl#L7</x:v>
      </x:c>
      <x:c r="AA1016" s="6" t="str">
        <x:v>resplan</x:v>
      </x:c>
      <x:c r="AB1016" s="6" t="str">
        <x:v>CC-BY-4.0</x:v>
      </x:c>
    </x:row>
    <x:row r="1017" ht="82" customHeight="1">
      <x:c r="A1017" s="14" t="n">
        <x:v>1012</x:v>
      </x:c>
      <x:c r="B1017" s="6" t="str">
        <x:v>route</x:v>
      </x:c>
      <x:c r="C1017" s="6" t="str">
        <x:v>How do I get from Bathroom 0.06 (Ground floor) to Bedroom 0.03 (Ground floor)?</x:v>
      </x:c>
      <x:c r="D1017" s="6" t="str">
        <x:v>8.54 m
From: Bathroom 0.06
To: Bedroom 0.03
Ordered path (3 spaces): Bathroom 0.06 → Living room 0.01 → Bedroom 0.03</x:v>
      </x:c>
      <x:c r="E1017" s="6" t="str">
        <x:v>Reference supplied</x:v>
      </x:c>
      <x:c r="F1017" s="6" t="str">
        <x:v>train</x:v>
      </x:c>
      <x:c r="G1017" s="6" t="str">
        <x:v>resplan-2515</x:v>
      </x:c>
      <x:c r="H1017" s="6" t="str">
        <x:v>resplan-2515-Q05</x:v>
      </x:c>
      <x:c r="I1017" s="6" t="str">
        <x:v>Route planning</x:v>
      </x:c>
      <x:c r="J1017" s="6" t="str">
        <x:v>Warm-up</x:v>
      </x:c>
      <x:c r="K1017" s="6" t="str">
        <x:v>Ordered space path and directions, plus total route-model distance in metres.</x:v>
      </x:c>
      <x:c r="L1017" s="6" t="str">
        <x:v>T02, T05, T13</x:v>
      </x:c>
      <x:c r="M1017" s="6" t="str">
        <x:v>Find a valid route between two rooms, including across floors.</x:v>
      </x:c>
      <x:c r="N1017" s="6" t="str">
        <x:v>{"from_space_id":"resplan-2515-F0-S006","to_space_id":"resplan-2515-F0-S003","optimal_length_m":8.54,"space_path":["resplan-2515-F0-S006","resplan-2515-F0-S001","resplan-2515-F0-S003"],"element_path":["resplan-2515-F0-O0005","resplan-2515-F0-O0005","resplan-2515-F0-O0004","resplan-2515-F0-O0004"]}</x:v>
      </x:c>
      <x:c r="O1017" s="6"/>
      <x:c r="P1017" s="6" t="str">
        <x:v>README routing profile. Stairs and lifts allowed unless stated otherwise.</x:v>
      </x:c>
      <x:c r="Q1017" s="15" t="n">
        <x:v>8.54</x:v>
      </x:c>
      <x:c r="R1017" s="6" t="str">
        <x:v>m</x:v>
      </x:c>
      <x:c r="S1017" s="16"/>
      <x:c r="T1017" s="15"/>
      <x:c r="U1017" s="6"/>
      <x:c r="V1017" s="6"/>
      <x:c r="W1017" s="6" t="str">
        <x:v>Existing find_route and show_route implement the kit routing model.</x:v>
      </x:c>
      <x:c r="X1017" s="6" t="str">
        <x:v>data/train/resplan-2515/questions_basic.jsonl</x:v>
      </x:c>
      <x:c r="Y1017" s="14" t="n">
        <x:v>5</x:v>
      </x:c>
      <x:c r="Z1017" s="6" t="str">
        <x:v>https://github.com/hagenhaeussler/Industrial-Agents-Hackathon-2026/blob/f41616590b69f3ea0c1cbfb41d6c35edd9ce53df/data/train/resplan-2515/questions_basic.jsonl#L5</x:v>
      </x:c>
      <x:c r="AA1017" s="6" t="str">
        <x:v>resplan</x:v>
      </x:c>
      <x:c r="AB1017" s="6" t="str">
        <x:v>CC-BY-4.0</x:v>
      </x:c>
    </x:row>
    <x:row r="1018" ht="82" customHeight="1">
      <x:c r="A1018" s="14" t="n">
        <x:v>1013</x:v>
      </x:c>
      <x:c r="B1018" s="6" t="str">
        <x:v>route</x:v>
      </x:c>
      <x:c r="C1018" s="6" t="str">
        <x:v>How do I get from Bathroom 0.05 (Ground floor) to Bathroom 0.04 (Ground floor)?</x:v>
      </x:c>
      <x:c r="D1018" s="6" t="str">
        <x:v>13.8 m
From: Bathroom 0.05
To: Bathroom 0.04
Ordered path (4 spaces): Bathroom 0.05 → Living room 0.01 → Bedroom 0.02 → Bathroom 0.04</x:v>
      </x:c>
      <x:c r="E1018" s="6" t="str">
        <x:v>Reference supplied</x:v>
      </x:c>
      <x:c r="F1018" s="6" t="str">
        <x:v>train</x:v>
      </x:c>
      <x:c r="G1018" s="6" t="str">
        <x:v>resplan-2515</x:v>
      </x:c>
      <x:c r="H1018" s="6" t="str">
        <x:v>resplan-2515-Q06</x:v>
      </x:c>
      <x:c r="I1018" s="6" t="str">
        <x:v>Route planning</x:v>
      </x:c>
      <x:c r="J1018" s="6" t="str">
        <x:v>Warm-up</x:v>
      </x:c>
      <x:c r="K1018" s="6" t="str">
        <x:v>Ordered space path and directions, plus total route-model distance in metres.</x:v>
      </x:c>
      <x:c r="L1018" s="6" t="str">
        <x:v>T02, T05, T13</x:v>
      </x:c>
      <x:c r="M1018" s="6" t="str">
        <x:v>Find a valid route between two rooms, including across floors.</x:v>
      </x:c>
      <x:c r="N1018" s="6" t="str">
        <x:v>{"from_space_id":"resplan-2515-F0-S005","to_space_id":"resplan-2515-F0-S004","optimal_length_m":13.8,"space_path":["resplan-2515-F0-S005","resplan-2515-F0-S001","resplan-2515-F0-S002","resplan-2515-F0-S004"],"element_path":["resplan-2515-F0-O0006","resplan-2515-F0-O0006","resplan-2515-F0-O0003","resplan-2515-F0-O0003","resplan-2515-F0-O0002","resplan-2515-F0-O0002"]}</x:v>
      </x:c>
      <x:c r="O1018" s="6"/>
      <x:c r="P1018" s="6" t="str">
        <x:v>README routing profile. Stairs and lifts allowed unless stated otherwise.</x:v>
      </x:c>
      <x:c r="Q1018" s="15" t="n">
        <x:v>13.8</x:v>
      </x:c>
      <x:c r="R1018" s="6" t="str">
        <x:v>m</x:v>
      </x:c>
      <x:c r="S1018" s="16"/>
      <x:c r="T1018" s="15"/>
      <x:c r="U1018" s="6"/>
      <x:c r="V1018" s="6"/>
      <x:c r="W1018" s="6" t="str">
        <x:v>Existing find_route and show_route implement the kit routing model.</x:v>
      </x:c>
      <x:c r="X1018" s="6" t="str">
        <x:v>data/train/resplan-2515/questions_basic.jsonl</x:v>
      </x:c>
      <x:c r="Y1018" s="14" t="n">
        <x:v>6</x:v>
      </x:c>
      <x:c r="Z1018" s="6" t="str">
        <x:v>https://github.com/hagenhaeussler/Industrial-Agents-Hackathon-2026/blob/f41616590b69f3ea0c1cbfb41d6c35edd9ce53df/data/train/resplan-2515/questions_basic.jsonl#L6</x:v>
      </x:c>
      <x:c r="AA1018" s="6" t="str">
        <x:v>resplan</x:v>
      </x:c>
      <x:c r="AB1018" s="6" t="str">
        <x:v>CC-BY-4.0</x:v>
      </x:c>
    </x:row>
    <x:row r="1019" ht="72" customHeight="1">
      <x:c r="A1019" s="14" t="n">
        <x:v>1014</x:v>
      </x:c>
      <x:c r="B1019" s="6" t="str">
        <x:v>route</x:v>
      </x:c>
      <x:c r="C1019" s="6" t="str">
        <x:v>How do I get from Kitchen 0.07 (Ground floor) to Bedroom 0.03 (Ground floor)?</x:v>
      </x:c>
      <x:c r="D1019" s="6" t="str">
        <x:v>7 m
From: Kitchen 0.07
To: Bedroom 0.03
Ordered path (3 spaces): Kitchen 0.07 → Living room 0.01 → Bedroom 0.03</x:v>
      </x:c>
      <x:c r="E1019" s="6" t="str">
        <x:v>Reference supplied</x:v>
      </x:c>
      <x:c r="F1019" s="6" t="str">
        <x:v>train</x:v>
      </x:c>
      <x:c r="G1019" s="6" t="str">
        <x:v>resplan-2515</x:v>
      </x:c>
      <x:c r="H1019" s="6" t="str">
        <x:v>resplan-2515-Q07</x:v>
      </x:c>
      <x:c r="I1019" s="6" t="str">
        <x:v>Route planning</x:v>
      </x:c>
      <x:c r="J1019" s="6" t="str">
        <x:v>Warm-up</x:v>
      </x:c>
      <x:c r="K1019" s="6" t="str">
        <x:v>Ordered space path and directions, plus total route-model distance in metres.</x:v>
      </x:c>
      <x:c r="L1019" s="6" t="str">
        <x:v>T02, T05, T13</x:v>
      </x:c>
      <x:c r="M1019" s="6" t="str">
        <x:v>Find a valid route between two rooms, including across floors.</x:v>
      </x:c>
      <x:c r="N1019" s="6" t="str">
        <x:v>{"from_space_id":"resplan-2515-F0-S007","to_space_id":"resplan-2515-F0-S003","optimal_length_m":7,"space_path":["resplan-2515-F0-S007","resplan-2515-F0-S001","resplan-2515-F0-S003"],"element_path":["resplan-2515-F0-O0008","resplan-2515-F0-O0008","resplan-2515-F0-O0004","resplan-2515-F0-O0004"]}</x:v>
      </x:c>
      <x:c r="O1019" s="6"/>
      <x:c r="P1019" s="6" t="str">
        <x:v>README routing profile. Stairs and lifts allowed unless stated otherwise.</x:v>
      </x:c>
      <x:c r="Q1019" s="15" t="n">
        <x:v>7</x:v>
      </x:c>
      <x:c r="R1019" s="6" t="str">
        <x:v>m</x:v>
      </x:c>
      <x:c r="S1019" s="16"/>
      <x:c r="T1019" s="15"/>
      <x:c r="U1019" s="6"/>
      <x:c r="V1019" s="6"/>
      <x:c r="W1019" s="6" t="str">
        <x:v>Existing find_route and show_route implement the kit routing model.</x:v>
      </x:c>
      <x:c r="X1019" s="6" t="str">
        <x:v>data/train/resplan-2515/questions_basic.jsonl</x:v>
      </x:c>
      <x:c r="Y1019" s="14" t="n">
        <x:v>7</x:v>
      </x:c>
      <x:c r="Z1019" s="6" t="str">
        <x:v>https://github.com/hagenhaeussler/Industrial-Agents-Hackathon-2026/blob/f41616590b69f3ea0c1cbfb41d6c35edd9ce53df/data/train/resplan-2515/questions_basic.jsonl#L7</x:v>
      </x:c>
      <x:c r="AA1019" s="6" t="str">
        <x:v>resplan</x:v>
      </x:c>
      <x:c r="AB1019" s="6" t="str">
        <x:v>CC-BY-4.0</x:v>
      </x:c>
    </x:row>
    <x:row r="1020" ht="82" customHeight="1">
      <x:c r="A1020" s="14" t="n">
        <x:v>1015</x:v>
      </x:c>
      <x:c r="B1020" s="6" t="str">
        <x:v>route</x:v>
      </x:c>
      <x:c r="C1020" s="6" t="str">
        <x:v>How do I get from Bedroom 0.02 (Ground floor) to Bathroom 0.04 (Ground floor)?</x:v>
      </x:c>
      <x:c r="D1020" s="6" t="str">
        <x:v>8.36 m
From: Bedroom 0.02
To: Bathroom 0.04
Ordered path (3 spaces): Bedroom 0.02 → Living room 0.01 → Bathroom 0.04</x:v>
      </x:c>
      <x:c r="E1020" s="6" t="str">
        <x:v>Reference supplied</x:v>
      </x:c>
      <x:c r="F1020" s="6" t="str">
        <x:v>train</x:v>
      </x:c>
      <x:c r="G1020" s="6" t="str">
        <x:v>resplan-2587</x:v>
      </x:c>
      <x:c r="H1020" s="6" t="str">
        <x:v>resplan-2587-Q05</x:v>
      </x:c>
      <x:c r="I1020" s="6" t="str">
        <x:v>Route planning</x:v>
      </x:c>
      <x:c r="J1020" s="6" t="str">
        <x:v>Warm-up</x:v>
      </x:c>
      <x:c r="K1020" s="6" t="str">
        <x:v>Ordered space path and directions, plus total route-model distance in metres.</x:v>
      </x:c>
      <x:c r="L1020" s="6" t="str">
        <x:v>T02, T05, T13</x:v>
      </x:c>
      <x:c r="M1020" s="6" t="str">
        <x:v>Find a valid route between two rooms, including across floors.</x:v>
      </x:c>
      <x:c r="N1020" s="6" t="str">
        <x:v>{"from_space_id":"resplan-2587-F0-S002","to_space_id":"resplan-2587-F0-S004","optimal_length_m":8.36,"space_path":["resplan-2587-F0-S002","resplan-2587-F0-S001","resplan-2587-F0-S004"],"element_path":["resplan-2587-F0-O0003","resplan-2587-F0-O0003","resplan-2587-F0-O0002","resplan-2587-F0-O0002"]}</x:v>
      </x:c>
      <x:c r="O1020" s="6"/>
      <x:c r="P1020" s="6" t="str">
        <x:v>README routing profile. Stairs and lifts allowed unless stated otherwise.</x:v>
      </x:c>
      <x:c r="Q1020" s="15" t="n">
        <x:v>8.36</x:v>
      </x:c>
      <x:c r="R1020" s="6" t="str">
        <x:v>m</x:v>
      </x:c>
      <x:c r="S1020" s="16"/>
      <x:c r="T1020" s="15"/>
      <x:c r="U1020" s="6"/>
      <x:c r="V1020" s="6"/>
      <x:c r="W1020" s="6" t="str">
        <x:v>Existing find_route and show_route implement the kit routing model.</x:v>
      </x:c>
      <x:c r="X1020" s="6" t="str">
        <x:v>data/train/resplan-2587/questions_basic.jsonl</x:v>
      </x:c>
      <x:c r="Y1020" s="14" t="n">
        <x:v>5</x:v>
      </x:c>
      <x:c r="Z1020" s="6" t="str">
        <x:v>https://github.com/hagenhaeussler/Industrial-Agents-Hackathon-2026/blob/f41616590b69f3ea0c1cbfb41d6c35edd9ce53df/data/train/resplan-2587/questions_basic.jsonl#L5</x:v>
      </x:c>
      <x:c r="AA1020" s="6" t="str">
        <x:v>resplan</x:v>
      </x:c>
      <x:c r="AB1020" s="6" t="str">
        <x:v>CC-BY-4.0</x:v>
      </x:c>
    </x:row>
    <x:row r="1021" ht="72" customHeight="1">
      <x:c r="A1021" s="14" t="n">
        <x:v>1016</x:v>
      </x:c>
      <x:c r="B1021" s="6" t="str">
        <x:v>route</x:v>
      </x:c>
      <x:c r="C1021" s="6" t="str">
        <x:v>How do I get from Living room 0.01 (Ground floor) to Bedroom 0.02 (Ground floor)?</x:v>
      </x:c>
      <x:c r="D1021" s="6" t="str">
        <x:v>4.35 m
From: Living room 0.01
To: Bedroom 0.02
Ordered path (2 spaces): Living room 0.01 → Bedroom 0.02</x:v>
      </x:c>
      <x:c r="E1021" s="6" t="str">
        <x:v>Reference supplied</x:v>
      </x:c>
      <x:c r="F1021" s="6" t="str">
        <x:v>train</x:v>
      </x:c>
      <x:c r="G1021" s="6" t="str">
        <x:v>resplan-2587</x:v>
      </x:c>
      <x:c r="H1021" s="6" t="str">
        <x:v>resplan-2587-Q06</x:v>
      </x:c>
      <x:c r="I1021" s="6" t="str">
        <x:v>Route planning</x:v>
      </x:c>
      <x:c r="J1021" s="6" t="str">
        <x:v>Warm-up</x:v>
      </x:c>
      <x:c r="K1021" s="6" t="str">
        <x:v>Ordered space path and directions, plus total route-model distance in metres.</x:v>
      </x:c>
      <x:c r="L1021" s="6" t="str">
        <x:v>T02, T05, T13</x:v>
      </x:c>
      <x:c r="M1021" s="6" t="str">
        <x:v>Find a valid route between two rooms, including across floors.</x:v>
      </x:c>
      <x:c r="N1021" s="6" t="str">
        <x:v>{"from_space_id":"resplan-2587-F0-S001","to_space_id":"resplan-2587-F0-S002","optimal_length_m":4.35,"space_path":["resplan-2587-F0-S001","resplan-2587-F0-S002"],"element_path":["resplan-2587-F0-O0003","resplan-2587-F0-O0003"]}</x:v>
      </x:c>
      <x:c r="O1021" s="6"/>
      <x:c r="P1021" s="6" t="str">
        <x:v>README routing profile. Stairs and lifts allowed unless stated otherwise.</x:v>
      </x:c>
      <x:c r="Q1021" s="15" t="n">
        <x:v>4.35</x:v>
      </x:c>
      <x:c r="R1021" s="6" t="str">
        <x:v>m</x:v>
      </x:c>
      <x:c r="S1021" s="16"/>
      <x:c r="T1021" s="15"/>
      <x:c r="U1021" s="6"/>
      <x:c r="V1021" s="6"/>
      <x:c r="W1021" s="6" t="str">
        <x:v>Existing find_route and show_route implement the kit routing model.</x:v>
      </x:c>
      <x:c r="X1021" s="6" t="str">
        <x:v>data/train/resplan-2587/questions_basic.jsonl</x:v>
      </x:c>
      <x:c r="Y1021" s="14" t="n">
        <x:v>6</x:v>
      </x:c>
      <x:c r="Z1021" s="6" t="str">
        <x:v>https://github.com/hagenhaeussler/Industrial-Agents-Hackathon-2026/blob/f41616590b69f3ea0c1cbfb41d6c35edd9ce53df/data/train/resplan-2587/questions_basic.jsonl#L6</x:v>
      </x:c>
      <x:c r="AA1021" s="6" t="str">
        <x:v>resplan</x:v>
      </x:c>
      <x:c r="AB1021" s="6" t="str">
        <x:v>CC-BY-4.0</x:v>
      </x:c>
    </x:row>
    <x:row r="1022" ht="82" customHeight="1">
      <x:c r="A1022" s="14" t="n">
        <x:v>1017</x:v>
      </x:c>
      <x:c r="B1022" s="6" t="str">
        <x:v>route</x:v>
      </x:c>
      <x:c r="C1022" s="6" t="str">
        <x:v>How do I get from Bedroom 0.02 (Ground floor) to Bathroom 0.05 (Ground floor)?</x:v>
      </x:c>
      <x:c r="D1022" s="6" t="str">
        <x:v>12.69 m
From: Bedroom 0.02
To: Bathroom 0.05
Ordered path (4 spaces): Bedroom 0.02 → Living room 0.01 → Bedroom 0.03 → Bathroom 0.05</x:v>
      </x:c>
      <x:c r="E1022" s="6" t="str">
        <x:v>Reference supplied</x:v>
      </x:c>
      <x:c r="F1022" s="6" t="str">
        <x:v>train</x:v>
      </x:c>
      <x:c r="G1022" s="6" t="str">
        <x:v>resplan-2587</x:v>
      </x:c>
      <x:c r="H1022" s="6" t="str">
        <x:v>resplan-2587-Q07</x:v>
      </x:c>
      <x:c r="I1022" s="6" t="str">
        <x:v>Route planning</x:v>
      </x:c>
      <x:c r="J1022" s="6" t="str">
        <x:v>Warm-up</x:v>
      </x:c>
      <x:c r="K1022" s="6" t="str">
        <x:v>Ordered space path and directions, plus total route-model distance in metres.</x:v>
      </x:c>
      <x:c r="L1022" s="6" t="str">
        <x:v>T02, T05, T13</x:v>
      </x:c>
      <x:c r="M1022" s="6" t="str">
        <x:v>Find a valid route between two rooms, including across floors.</x:v>
      </x:c>
      <x:c r="N1022" s="6" t="str">
        <x:v>{"from_space_id":"resplan-2587-F0-S002","to_space_id":"resplan-2587-F0-S005","optimal_length_m":12.69,"space_path":["resplan-2587-F0-S002","resplan-2587-F0-S001","resplan-2587-F0-S003","resplan-2587-F0-S005"],"element_path":["resplan-2587-F0-O0003","resplan-2587-F0-O0003","resplan-2587-F0-O0004","resplan-2587-F0-O0004","resplan-2587-F0-O0005","resplan-2587-F0-O0005"]}</x:v>
      </x:c>
      <x:c r="O1022" s="6"/>
      <x:c r="P1022" s="6" t="str">
        <x:v>README routing profile. Stairs and lifts allowed unless stated otherwise.</x:v>
      </x:c>
      <x:c r="Q1022" s="15" t="n">
        <x:v>12.69</x:v>
      </x:c>
      <x:c r="R1022" s="6" t="str">
        <x:v>m</x:v>
      </x:c>
      <x:c r="S1022" s="16"/>
      <x:c r="T1022" s="15"/>
      <x:c r="U1022" s="6"/>
      <x:c r="V1022" s="6"/>
      <x:c r="W1022" s="6" t="str">
        <x:v>Existing find_route and show_route implement the kit routing model.</x:v>
      </x:c>
      <x:c r="X1022" s="6" t="str">
        <x:v>data/train/resplan-2587/questions_basic.jsonl</x:v>
      </x:c>
      <x:c r="Y1022" s="14" t="n">
        <x:v>7</x:v>
      </x:c>
      <x:c r="Z1022" s="6" t="str">
        <x:v>https://github.com/hagenhaeussler/Industrial-Agents-Hackathon-2026/blob/f41616590b69f3ea0c1cbfb41d6c35edd9ce53df/data/train/resplan-2587/questions_basic.jsonl#L7</x:v>
      </x:c>
      <x:c r="AA1022" s="6" t="str">
        <x:v>resplan</x:v>
      </x:c>
      <x:c r="AB1022" s="6" t="str">
        <x:v>CC-BY-4.0</x:v>
      </x:c>
    </x:row>
    <x:row r="1023" ht="72" customHeight="1">
      <x:c r="A1023" s="14" t="n">
        <x:v>1018</x:v>
      </x:c>
      <x:c r="B1023" s="6" t="str">
        <x:v>route</x:v>
      </x:c>
      <x:c r="C1023" s="6" t="str">
        <x:v>How do I get from Bedroom 0.05 (Ground floor) to Bathroom 0.06 (Ground floor)?</x:v>
      </x:c>
      <x:c r="D1023" s="6" t="str">
        <x:v>4.26 m
From: Bedroom 0.05
To: Bathroom 0.06
Ordered path (2 spaces): Bedroom 0.05 → Bathroom 0.06</x:v>
      </x:c>
      <x:c r="E1023" s="6" t="str">
        <x:v>Reference supplied</x:v>
      </x:c>
      <x:c r="F1023" s="6" t="str">
        <x:v>train</x:v>
      </x:c>
      <x:c r="G1023" s="6" t="str">
        <x:v>resplan-3207</x:v>
      </x:c>
      <x:c r="H1023" s="6" t="str">
        <x:v>resplan-3207-Q05</x:v>
      </x:c>
      <x:c r="I1023" s="6" t="str">
        <x:v>Route planning</x:v>
      </x:c>
      <x:c r="J1023" s="6" t="str">
        <x:v>Warm-up</x:v>
      </x:c>
      <x:c r="K1023" s="6" t="str">
        <x:v>Ordered space path and directions, plus total route-model distance in metres.</x:v>
      </x:c>
      <x:c r="L1023" s="6" t="str">
        <x:v>T02, T05, T13</x:v>
      </x:c>
      <x:c r="M1023" s="6" t="str">
        <x:v>Find a valid route between two rooms, including across floors.</x:v>
      </x:c>
      <x:c r="N1023" s="6" t="str">
        <x:v>{"from_space_id":"resplan-3207-F0-S005","to_space_id":"resplan-3207-F0-S006","optimal_length_m":4.26,"space_path":["resplan-3207-F0-S005","resplan-3207-F0-S006"],"element_path":["resplan-3207-F0-O0007","resplan-3207-F0-O0007"]}</x:v>
      </x:c>
      <x:c r="O1023" s="6"/>
      <x:c r="P1023" s="6" t="str">
        <x:v>README routing profile. Stairs and lifts allowed unless stated otherwise.</x:v>
      </x:c>
      <x:c r="Q1023" s="15" t="n">
        <x:v>4.26</x:v>
      </x:c>
      <x:c r="R1023" s="6" t="str">
        <x:v>m</x:v>
      </x:c>
      <x:c r="S1023" s="16"/>
      <x:c r="T1023" s="15"/>
      <x:c r="U1023" s="6"/>
      <x:c r="V1023" s="6"/>
      <x:c r="W1023" s="6" t="str">
        <x:v>Existing find_route and show_route implement the kit routing model.</x:v>
      </x:c>
      <x:c r="X1023" s="6" t="str">
        <x:v>data/train/resplan-3207/questions_basic.jsonl</x:v>
      </x:c>
      <x:c r="Y1023" s="14" t="n">
        <x:v>5</x:v>
      </x:c>
      <x:c r="Z1023" s="6" t="str">
        <x:v>https://github.com/hagenhaeussler/Industrial-Agents-Hackathon-2026/blob/f41616590b69f3ea0c1cbfb41d6c35edd9ce53df/data/train/resplan-3207/questions_basic.jsonl#L5</x:v>
      </x:c>
      <x:c r="AA1023" s="6" t="str">
        <x:v>resplan</x:v>
      </x:c>
      <x:c r="AB1023" s="6" t="str">
        <x:v>CC-BY-4.0</x:v>
      </x:c>
    </x:row>
    <x:row r="1024" ht="82" customHeight="1">
      <x:c r="A1024" s="14" t="n">
        <x:v>1019</x:v>
      </x:c>
      <x:c r="B1024" s="6" t="str">
        <x:v>route</x:v>
      </x:c>
      <x:c r="C1024" s="6" t="str">
        <x:v>How do I get from Bedroom 0.05 (Ground floor) to Bathroom 0.07 (Ground floor)?</x:v>
      </x:c>
      <x:c r="D1024" s="6" t="str">
        <x:v>15.26 m
From: Bedroom 0.05
To: Bathroom 0.07
Ordered path (3 spaces): Bedroom 0.05 → Living room 0.01 → Bathroom 0.07</x:v>
      </x:c>
      <x:c r="E1024" s="6" t="str">
        <x:v>Reference supplied</x:v>
      </x:c>
      <x:c r="F1024" s="6" t="str">
        <x:v>train</x:v>
      </x:c>
      <x:c r="G1024" s="6" t="str">
        <x:v>resplan-3207</x:v>
      </x:c>
      <x:c r="H1024" s="6" t="str">
        <x:v>resplan-3207-Q06</x:v>
      </x:c>
      <x:c r="I1024" s="6" t="str">
        <x:v>Route planning</x:v>
      </x:c>
      <x:c r="J1024" s="6" t="str">
        <x:v>Warm-up</x:v>
      </x:c>
      <x:c r="K1024" s="6" t="str">
        <x:v>Ordered space path and directions, plus total route-model distance in metres.</x:v>
      </x:c>
      <x:c r="L1024" s="6" t="str">
        <x:v>T02, T05, T13</x:v>
      </x:c>
      <x:c r="M1024" s="6" t="str">
        <x:v>Find a valid route between two rooms, including across floors.</x:v>
      </x:c>
      <x:c r="N1024" s="6" t="str">
        <x:v>{"from_space_id":"resplan-3207-F0-S005","to_space_id":"resplan-3207-F0-S007","optimal_length_m":15.26,"space_path":["resplan-3207-F0-S005","resplan-3207-F0-S001","resplan-3207-F0-S007"],"element_path":["resplan-3207-F0-O0006","resplan-3207-F0-O0006","resplan-3207-F0-O0005","resplan-3207-F0-O0005"]}</x:v>
      </x:c>
      <x:c r="O1024" s="6"/>
      <x:c r="P1024" s="6" t="str">
        <x:v>README routing profile. Stairs and lifts allowed unless stated otherwise.</x:v>
      </x:c>
      <x:c r="Q1024" s="15" t="n">
        <x:v>15.26</x:v>
      </x:c>
      <x:c r="R1024" s="6" t="str">
        <x:v>m</x:v>
      </x:c>
      <x:c r="S1024" s="16"/>
      <x:c r="T1024" s="15"/>
      <x:c r="U1024" s="6"/>
      <x:c r="V1024" s="6"/>
      <x:c r="W1024" s="6" t="str">
        <x:v>Existing find_route and show_route implement the kit routing model.</x:v>
      </x:c>
      <x:c r="X1024" s="6" t="str">
        <x:v>data/train/resplan-3207/questions_basic.jsonl</x:v>
      </x:c>
      <x:c r="Y1024" s="14" t="n">
        <x:v>6</x:v>
      </x:c>
      <x:c r="Z1024" s="6" t="str">
        <x:v>https://github.com/hagenhaeussler/Industrial-Agents-Hackathon-2026/blob/f41616590b69f3ea0c1cbfb41d6c35edd9ce53df/data/train/resplan-3207/questions_basic.jsonl#L6</x:v>
      </x:c>
      <x:c r="AA1024" s="6" t="str">
        <x:v>resplan</x:v>
      </x:c>
      <x:c r="AB1024" s="6" t="str">
        <x:v>CC-BY-4.0</x:v>
      </x:c>
    </x:row>
    <x:row r="1025" ht="72" customHeight="1">
      <x:c r="A1025" s="14" t="n">
        <x:v>1020</x:v>
      </x:c>
      <x:c r="B1025" s="6" t="str">
        <x:v>route</x:v>
      </x:c>
      <x:c r="C1025" s="6" t="str">
        <x:v>How do I get from Kitchen 0.09 (Ground floor) to Living room 0.01 (Ground floor)?</x:v>
      </x:c>
      <x:c r="D1025" s="6" t="str">
        <x:v>4.34 m
From: Kitchen 0.09
To: Living room 0.01
Ordered path (2 spaces): Kitchen 0.09 → Living room 0.01</x:v>
      </x:c>
      <x:c r="E1025" s="6" t="str">
        <x:v>Reference supplied</x:v>
      </x:c>
      <x:c r="F1025" s="6" t="str">
        <x:v>train</x:v>
      </x:c>
      <x:c r="G1025" s="6" t="str">
        <x:v>resplan-3207</x:v>
      </x:c>
      <x:c r="H1025" s="6" t="str">
        <x:v>resplan-3207-Q07</x:v>
      </x:c>
      <x:c r="I1025" s="6" t="str">
        <x:v>Route planning</x:v>
      </x:c>
      <x:c r="J1025" s="6" t="str">
        <x:v>Warm-up</x:v>
      </x:c>
      <x:c r="K1025" s="6" t="str">
        <x:v>Ordered space path and directions, plus total route-model distance in metres.</x:v>
      </x:c>
      <x:c r="L1025" s="6" t="str">
        <x:v>T02, T05, T13</x:v>
      </x:c>
      <x:c r="M1025" s="6" t="str">
        <x:v>Find a valid route between two rooms, including across floors.</x:v>
      </x:c>
      <x:c r="N1025" s="6" t="str">
        <x:v>{"from_space_id":"resplan-3207-F0-S009","to_space_id":"resplan-3207-F0-S001","optimal_length_m":4.34,"space_path":["resplan-3207-F0-S009","resplan-3207-F0-S001"],"element_path":["resplan-3207-F0-O0003","resplan-3207-F0-O0003"]}</x:v>
      </x:c>
      <x:c r="O1025" s="6"/>
      <x:c r="P1025" s="6" t="str">
        <x:v>README routing profile. Stairs and lifts allowed unless stated otherwise.</x:v>
      </x:c>
      <x:c r="Q1025" s="15" t="n">
        <x:v>4.34</x:v>
      </x:c>
      <x:c r="R1025" s="6" t="str">
        <x:v>m</x:v>
      </x:c>
      <x:c r="S1025" s="16"/>
      <x:c r="T1025" s="15"/>
      <x:c r="U1025" s="6"/>
      <x:c r="V1025" s="6"/>
      <x:c r="W1025" s="6" t="str">
        <x:v>Existing find_route and show_route implement the kit routing model.</x:v>
      </x:c>
      <x:c r="X1025" s="6" t="str">
        <x:v>data/train/resplan-3207/questions_basic.jsonl</x:v>
      </x:c>
      <x:c r="Y1025" s="14" t="n">
        <x:v>7</x:v>
      </x:c>
      <x:c r="Z1025" s="6" t="str">
        <x:v>https://github.com/hagenhaeussler/Industrial-Agents-Hackathon-2026/blob/f41616590b69f3ea0c1cbfb41d6c35edd9ce53df/data/train/resplan-3207/questions_basic.jsonl#L7</x:v>
      </x:c>
      <x:c r="AA1025" s="6" t="str">
        <x:v>resplan</x:v>
      </x:c>
      <x:c r="AB1025" s="6" t="str">
        <x:v>CC-BY-4.0</x:v>
      </x:c>
    </x:row>
    <x:row r="1026" ht="72" customHeight="1">
      <x:c r="A1026" s="14" t="n">
        <x:v>1021</x:v>
      </x:c>
      <x:c r="B1026" s="6" t="str">
        <x:v>route</x:v>
      </x:c>
      <x:c r="C1026" s="6" t="str">
        <x:v>How do I get from Bedroom 0.04 (Ground floor) to Bathroom 0.08 (Ground floor)?</x:v>
      </x:c>
      <x:c r="D1026" s="6" t="str">
        <x:v>5.1 m
From: Bedroom 0.04
To: Bathroom 0.08
Ordered path (2 spaces): Bedroom 0.04 → Bathroom 0.08</x:v>
      </x:c>
      <x:c r="E1026" s="6" t="str">
        <x:v>Reference supplied</x:v>
      </x:c>
      <x:c r="F1026" s="6" t="str">
        <x:v>train</x:v>
      </x:c>
      <x:c r="G1026" s="6" t="str">
        <x:v>resplan-3221</x:v>
      </x:c>
      <x:c r="H1026" s="6" t="str">
        <x:v>resplan-3221-Q05</x:v>
      </x:c>
      <x:c r="I1026" s="6" t="str">
        <x:v>Route planning</x:v>
      </x:c>
      <x:c r="J1026" s="6" t="str">
        <x:v>Warm-up</x:v>
      </x:c>
      <x:c r="K1026" s="6" t="str">
        <x:v>Ordered space path and directions, plus total route-model distance in metres.</x:v>
      </x:c>
      <x:c r="L1026" s="6" t="str">
        <x:v>T02, T05, T13</x:v>
      </x:c>
      <x:c r="M1026" s="6" t="str">
        <x:v>Find a valid route between two rooms, including across floors.</x:v>
      </x:c>
      <x:c r="N1026" s="6" t="str">
        <x:v>{"from_space_id":"resplan-3221-F0-S004","to_space_id":"resplan-3221-F0-S008","optimal_length_m":5.1,"space_path":["resplan-3221-F0-S004","resplan-3221-F0-S008"],"element_path":["resplan-3221-F0-O0007","resplan-3221-F0-O0007"]}</x:v>
      </x:c>
      <x:c r="O1026" s="6"/>
      <x:c r="P1026" s="6" t="str">
        <x:v>README routing profile. Stairs and lifts allowed unless stated otherwise.</x:v>
      </x:c>
      <x:c r="Q1026" s="15" t="n">
        <x:v>5.1</x:v>
      </x:c>
      <x:c r="R1026" s="6" t="str">
        <x:v>m</x:v>
      </x:c>
      <x:c r="S1026" s="16"/>
      <x:c r="T1026" s="15"/>
      <x:c r="U1026" s="6"/>
      <x:c r="V1026" s="6"/>
      <x:c r="W1026" s="6" t="str">
        <x:v>Existing find_route and show_route implement the kit routing model.</x:v>
      </x:c>
      <x:c r="X1026" s="6" t="str">
        <x:v>data/train/resplan-3221/questions_basic.jsonl</x:v>
      </x:c>
      <x:c r="Y1026" s="14" t="n">
        <x:v>5</x:v>
      </x:c>
      <x:c r="Z1026" s="6" t="str">
        <x:v>https://github.com/hagenhaeussler/Industrial-Agents-Hackathon-2026/blob/f41616590b69f3ea0c1cbfb41d6c35edd9ce53df/data/train/resplan-3221/questions_basic.jsonl#L5</x:v>
      </x:c>
      <x:c r="AA1026" s="6" t="str">
        <x:v>resplan</x:v>
      </x:c>
      <x:c r="AB1026" s="6" t="str">
        <x:v>CC-BY-4.0</x:v>
      </x:c>
    </x:row>
    <x:row r="1027" ht="72" customHeight="1">
      <x:c r="A1027" s="14" t="n">
        <x:v>1022</x:v>
      </x:c>
      <x:c r="B1027" s="6" t="str">
        <x:v>route</x:v>
      </x:c>
      <x:c r="C1027" s="6" t="str">
        <x:v>How do I get from Bedroom 0.04 (Ground floor) to Bedroom 0.02 (Ground floor)?</x:v>
      </x:c>
      <x:c r="D1027" s="6" t="str">
        <x:v>16.27 m
From: Bedroom 0.04
To: Bedroom 0.02
Ordered path (3 spaces): Bedroom 0.04 → Living room 0.01 → Bedroom 0.02</x:v>
      </x:c>
      <x:c r="E1027" s="6" t="str">
        <x:v>Reference supplied</x:v>
      </x:c>
      <x:c r="F1027" s="6" t="str">
        <x:v>train</x:v>
      </x:c>
      <x:c r="G1027" s="6" t="str">
        <x:v>resplan-3221</x:v>
      </x:c>
      <x:c r="H1027" s="6" t="str">
        <x:v>resplan-3221-Q06</x:v>
      </x:c>
      <x:c r="I1027" s="6" t="str">
        <x:v>Route planning</x:v>
      </x:c>
      <x:c r="J1027" s="6" t="str">
        <x:v>Warm-up</x:v>
      </x:c>
      <x:c r="K1027" s="6" t="str">
        <x:v>Ordered space path and directions, plus total route-model distance in metres.</x:v>
      </x:c>
      <x:c r="L1027" s="6" t="str">
        <x:v>T02, T05, T13</x:v>
      </x:c>
      <x:c r="M1027" s="6" t="str">
        <x:v>Find a valid route between two rooms, including across floors.</x:v>
      </x:c>
      <x:c r="N1027" s="6" t="str">
        <x:v>{"from_space_id":"resplan-3221-F0-S004","to_space_id":"resplan-3221-F0-S002","optimal_length_m":16.27,"space_path":["resplan-3221-F0-S004","resplan-3221-F0-S001","resplan-3221-F0-S002"],"element_path":["resplan-3221-F0-O0006","resplan-3221-F0-O0006","resplan-3221-F0-O0003","resplan-3221-F0-O0003"]}</x:v>
      </x:c>
      <x:c r="O1027" s="6"/>
      <x:c r="P1027" s="6" t="str">
        <x:v>README routing profile. Stairs and lifts allowed unless stated otherwise.</x:v>
      </x:c>
      <x:c r="Q1027" s="15" t="n">
        <x:v>16.27</x:v>
      </x:c>
      <x:c r="R1027" s="6" t="str">
        <x:v>m</x:v>
      </x:c>
      <x:c r="S1027" s="16"/>
      <x:c r="T1027" s="15"/>
      <x:c r="U1027" s="6"/>
      <x:c r="V1027" s="6"/>
      <x:c r="W1027" s="6" t="str">
        <x:v>Existing find_route and show_route implement the kit routing model.</x:v>
      </x:c>
      <x:c r="X1027" s="6" t="str">
        <x:v>data/train/resplan-3221/questions_basic.jsonl</x:v>
      </x:c>
      <x:c r="Y1027" s="14" t="n">
        <x:v>6</x:v>
      </x:c>
      <x:c r="Z1027" s="6" t="str">
        <x:v>https://github.com/hagenhaeussler/Industrial-Agents-Hackathon-2026/blob/f41616590b69f3ea0c1cbfb41d6c35edd9ce53df/data/train/resplan-3221/questions_basic.jsonl#L6</x:v>
      </x:c>
      <x:c r="AA1027" s="6" t="str">
        <x:v>resplan</x:v>
      </x:c>
      <x:c r="AB1027" s="6" t="str">
        <x:v>CC-BY-4.0</x:v>
      </x:c>
    </x:row>
    <x:row r="1028" ht="72" customHeight="1">
      <x:c r="A1028" s="14" t="n">
        <x:v>1023</x:v>
      </x:c>
      <x:c r="B1028" s="6" t="str">
        <x:v>route</x:v>
      </x:c>
      <x:c r="C1028" s="6" t="str">
        <x:v>How do I get from Bathroom 0.07 (Ground floor) to Living room 0.01 (Ground floor)?</x:v>
      </x:c>
      <x:c r="D1028" s="6" t="str">
        <x:v>6.44 m
From: Bathroom 0.07
To: Living room 0.01
Ordered path (2 spaces): Bathroom 0.07 → Living room 0.01</x:v>
      </x:c>
      <x:c r="E1028" s="6" t="str">
        <x:v>Reference supplied</x:v>
      </x:c>
      <x:c r="F1028" s="6" t="str">
        <x:v>train</x:v>
      </x:c>
      <x:c r="G1028" s="6" t="str">
        <x:v>resplan-3221</x:v>
      </x:c>
      <x:c r="H1028" s="6" t="str">
        <x:v>resplan-3221-Q07</x:v>
      </x:c>
      <x:c r="I1028" s="6" t="str">
        <x:v>Route planning</x:v>
      </x:c>
      <x:c r="J1028" s="6" t="str">
        <x:v>Warm-up</x:v>
      </x:c>
      <x:c r="K1028" s="6" t="str">
        <x:v>Ordered space path and directions, plus total route-model distance in metres.</x:v>
      </x:c>
      <x:c r="L1028" s="6" t="str">
        <x:v>T02, T05, T13</x:v>
      </x:c>
      <x:c r="M1028" s="6" t="str">
        <x:v>Find a valid route between two rooms, including across floors.</x:v>
      </x:c>
      <x:c r="N1028" s="6" t="str">
        <x:v>{"from_space_id":"resplan-3221-F0-S007","to_space_id":"resplan-3221-F0-S001","optimal_length_m":6.44,"space_path":["resplan-3221-F0-S007","resplan-3221-F0-S001"],"element_path":["resplan-3221-F0-O0002","resplan-3221-F0-O0002"]}</x:v>
      </x:c>
      <x:c r="O1028" s="6"/>
      <x:c r="P1028" s="6" t="str">
        <x:v>README routing profile. Stairs and lifts allowed unless stated otherwise.</x:v>
      </x:c>
      <x:c r="Q1028" s="15" t="n">
        <x:v>6.44</x:v>
      </x:c>
      <x:c r="R1028" s="6" t="str">
        <x:v>m</x:v>
      </x:c>
      <x:c r="S1028" s="16"/>
      <x:c r="T1028" s="15"/>
      <x:c r="U1028" s="6"/>
      <x:c r="V1028" s="6"/>
      <x:c r="W1028" s="6" t="str">
        <x:v>Existing find_route and show_route implement the kit routing model.</x:v>
      </x:c>
      <x:c r="X1028" s="6" t="str">
        <x:v>data/train/resplan-3221/questions_basic.jsonl</x:v>
      </x:c>
      <x:c r="Y1028" s="14" t="n">
        <x:v>7</x:v>
      </x:c>
      <x:c r="Z1028" s="6" t="str">
        <x:v>https://github.com/hagenhaeussler/Industrial-Agents-Hackathon-2026/blob/f41616590b69f3ea0c1cbfb41d6c35edd9ce53df/data/train/resplan-3221/questions_basic.jsonl#L7</x:v>
      </x:c>
      <x:c r="AA1028" s="6" t="str">
        <x:v>resplan</x:v>
      </x:c>
      <x:c r="AB1028" s="6" t="str">
        <x:v>CC-BY-4.0</x:v>
      </x:c>
    </x:row>
    <x:row r="1029" ht="82" customHeight="1">
      <x:c r="A1029" s="14" t="n">
        <x:v>1024</x:v>
      </x:c>
      <x:c r="B1029" s="6" t="str">
        <x:v>route</x:v>
      </x:c>
      <x:c r="C1029" s="6" t="str">
        <x:v>How do I get from Bedroom 0.04 (Ground floor) to Bathroom 0.05 (Ground floor)?</x:v>
      </x:c>
      <x:c r="D1029" s="6" t="str">
        <x:v>23.48 m
From: Bedroom 0.04
To: Bathroom 0.05
Ordered path (4 spaces): Bedroom 0.04 → Living room 0.01 → Bedroom 0.02 → Bathroom 0.05</x:v>
      </x:c>
      <x:c r="E1029" s="6" t="str">
        <x:v>Reference supplied</x:v>
      </x:c>
      <x:c r="F1029" s="6" t="str">
        <x:v>train</x:v>
      </x:c>
      <x:c r="G1029" s="6" t="str">
        <x:v>resplan-3562</x:v>
      </x:c>
      <x:c r="H1029" s="6" t="str">
        <x:v>resplan-3562-Q05</x:v>
      </x:c>
      <x:c r="I1029" s="6" t="str">
        <x:v>Route planning</x:v>
      </x:c>
      <x:c r="J1029" s="6" t="str">
        <x:v>Warm-up</x:v>
      </x:c>
      <x:c r="K1029" s="6" t="str">
        <x:v>Ordered space path and directions, plus total route-model distance in metres.</x:v>
      </x:c>
      <x:c r="L1029" s="6" t="str">
        <x:v>T02, T05, T13</x:v>
      </x:c>
      <x:c r="M1029" s="6" t="str">
        <x:v>Find a valid route between two rooms, including across floors.</x:v>
      </x:c>
      <x:c r="N1029" s="6" t="str">
        <x:v>{"from_space_id":"resplan-3562-F0-S004","to_space_id":"resplan-3562-F0-S005","optimal_length_m":23.48,"space_path":["resplan-3562-F0-S004","resplan-3562-F0-S001","resplan-3562-F0-S002","resplan-3562-F0-S005"],"element_path":["resplan-3562-F0-O0005","resplan-3562-F0-O0005","resplan-3562-F0-O0002","resplan-3562-F0-O0002","resplan-3562-F0-O0001","resplan-3562-F0-O0001"]}</x:v>
      </x:c>
      <x:c r="O1029" s="6"/>
      <x:c r="P1029" s="6" t="str">
        <x:v>README routing profile. Stairs and lifts allowed unless stated otherwise.</x:v>
      </x:c>
      <x:c r="Q1029" s="15" t="n">
        <x:v>23.48</x:v>
      </x:c>
      <x:c r="R1029" s="6" t="str">
        <x:v>m</x:v>
      </x:c>
      <x:c r="S1029" s="16"/>
      <x:c r="T1029" s="15"/>
      <x:c r="U1029" s="6"/>
      <x:c r="V1029" s="6"/>
      <x:c r="W1029" s="6" t="str">
        <x:v>Existing find_route and show_route implement the kit routing model.</x:v>
      </x:c>
      <x:c r="X1029" s="6" t="str">
        <x:v>data/train/resplan-3562/questions_basic.jsonl</x:v>
      </x:c>
      <x:c r="Y1029" s="14" t="n">
        <x:v>5</x:v>
      </x:c>
      <x:c r="Z1029" s="6" t="str">
        <x:v>https://github.com/hagenhaeussler/Industrial-Agents-Hackathon-2026/blob/f41616590b69f3ea0c1cbfb41d6c35edd9ce53df/data/train/resplan-3562/questions_basic.jsonl#L5</x:v>
      </x:c>
      <x:c r="AA1029" s="6" t="str">
        <x:v>resplan</x:v>
      </x:c>
      <x:c r="AB1029" s="6" t="str">
        <x:v>CC-BY-4.0</x:v>
      </x:c>
    </x:row>
    <x:row r="1030" ht="82" customHeight="1">
      <x:c r="A1030" s="14" t="n">
        <x:v>1025</x:v>
      </x:c>
      <x:c r="B1030" s="6" t="str">
        <x:v>route</x:v>
      </x:c>
      <x:c r="C1030" s="6" t="str">
        <x:v>How do I get from Bathroom 0.07 (Ground floor) to Bathroom 0.06 (Ground floor)?</x:v>
      </x:c>
      <x:c r="D1030" s="6" t="str">
        <x:v>17.68 m
From: Bathroom 0.07
To: Bathroom 0.06
Ordered path (4 spaces): Bathroom 0.07 → Living room 0.01 → Bedroom 0.04 → Bathroom 0.06</x:v>
      </x:c>
      <x:c r="E1030" s="6" t="str">
        <x:v>Reference supplied</x:v>
      </x:c>
      <x:c r="F1030" s="6" t="str">
        <x:v>train</x:v>
      </x:c>
      <x:c r="G1030" s="6" t="str">
        <x:v>resplan-3562</x:v>
      </x:c>
      <x:c r="H1030" s="6" t="str">
        <x:v>resplan-3562-Q06</x:v>
      </x:c>
      <x:c r="I1030" s="6" t="str">
        <x:v>Route planning</x:v>
      </x:c>
      <x:c r="J1030" s="6" t="str">
        <x:v>Warm-up</x:v>
      </x:c>
      <x:c r="K1030" s="6" t="str">
        <x:v>Ordered space path and directions, plus total route-model distance in metres.</x:v>
      </x:c>
      <x:c r="L1030" s="6" t="str">
        <x:v>T02, T05, T13</x:v>
      </x:c>
      <x:c r="M1030" s="6" t="str">
        <x:v>Find a valid route between two rooms, including across floors.</x:v>
      </x:c>
      <x:c r="N1030" s="6" t="str">
        <x:v>{"from_space_id":"resplan-3562-F0-S007","to_space_id":"resplan-3562-F0-S006","optimal_length_m":17.68,"space_path":["resplan-3562-F0-S007","resplan-3562-F0-S001","resplan-3562-F0-S004","resplan-3562-F0-S006"],"element_path":["resplan-3562-F0-O0004","resplan-3562-F0-O0004","resplan-3562-F0-O0005","resplan-3562-F0-O0005","resplan-3562-F0-O0006","resplan-3562-F0-O0006"]}</x:v>
      </x:c>
      <x:c r="O1030" s="6"/>
      <x:c r="P1030" s="6" t="str">
        <x:v>README routing profile. Stairs and lifts allowed unless stated otherwise.</x:v>
      </x:c>
      <x:c r="Q1030" s="15" t="n">
        <x:v>17.68</x:v>
      </x:c>
      <x:c r="R1030" s="6" t="str">
        <x:v>m</x:v>
      </x:c>
      <x:c r="S1030" s="16"/>
      <x:c r="T1030" s="15"/>
      <x:c r="U1030" s="6"/>
      <x:c r="V1030" s="6"/>
      <x:c r="W1030" s="6" t="str">
        <x:v>Existing find_route and show_route implement the kit routing model.</x:v>
      </x:c>
      <x:c r="X1030" s="6" t="str">
        <x:v>data/train/resplan-3562/questions_basic.jsonl</x:v>
      </x:c>
      <x:c r="Y1030" s="14" t="n">
        <x:v>6</x:v>
      </x:c>
      <x:c r="Z1030" s="6" t="str">
        <x:v>https://github.com/hagenhaeussler/Industrial-Agents-Hackathon-2026/blob/f41616590b69f3ea0c1cbfb41d6c35edd9ce53df/data/train/resplan-3562/questions_basic.jsonl#L6</x:v>
      </x:c>
      <x:c r="AA1030" s="6" t="str">
        <x:v>resplan</x:v>
      </x:c>
      <x:c r="AB1030" s="6" t="str">
        <x:v>CC-BY-4.0</x:v>
      </x:c>
    </x:row>
    <x:row r="1031" ht="72" customHeight="1">
      <x:c r="A1031" s="14" t="n">
        <x:v>1026</x:v>
      </x:c>
      <x:c r="B1031" s="6" t="str">
        <x:v>route</x:v>
      </x:c>
      <x:c r="C1031" s="6" t="str">
        <x:v>How do I get from Bedroom 0.04 (Ground floor) to Bathroom 0.06 (Ground floor)?</x:v>
      </x:c>
      <x:c r="D1031" s="6" t="str">
        <x:v>4.24 m
From: Bedroom 0.04
To: Bathroom 0.06
Ordered path (2 spaces): Bedroom 0.04 → Bathroom 0.06</x:v>
      </x:c>
      <x:c r="E1031" s="6" t="str">
        <x:v>Reference supplied</x:v>
      </x:c>
      <x:c r="F1031" s="6" t="str">
        <x:v>train</x:v>
      </x:c>
      <x:c r="G1031" s="6" t="str">
        <x:v>resplan-3562</x:v>
      </x:c>
      <x:c r="H1031" s="6" t="str">
        <x:v>resplan-3562-Q07</x:v>
      </x:c>
      <x:c r="I1031" s="6" t="str">
        <x:v>Route planning</x:v>
      </x:c>
      <x:c r="J1031" s="6" t="str">
        <x:v>Warm-up</x:v>
      </x:c>
      <x:c r="K1031" s="6" t="str">
        <x:v>Ordered space path and directions, plus total route-model distance in metres.</x:v>
      </x:c>
      <x:c r="L1031" s="6" t="str">
        <x:v>T02, T05, T13</x:v>
      </x:c>
      <x:c r="M1031" s="6" t="str">
        <x:v>Find a valid route between two rooms, including across floors.</x:v>
      </x:c>
      <x:c r="N1031" s="6" t="str">
        <x:v>{"from_space_id":"resplan-3562-F0-S004","to_space_id":"resplan-3562-F0-S006","optimal_length_m":4.24,"space_path":["resplan-3562-F0-S004","resplan-3562-F0-S006"],"element_path":["resplan-3562-F0-O0006","resplan-3562-F0-O0006"]}</x:v>
      </x:c>
      <x:c r="O1031" s="6"/>
      <x:c r="P1031" s="6" t="str">
        <x:v>README routing profile. Stairs and lifts allowed unless stated otherwise.</x:v>
      </x:c>
      <x:c r="Q1031" s="15" t="n">
        <x:v>4.24</x:v>
      </x:c>
      <x:c r="R1031" s="6" t="str">
        <x:v>m</x:v>
      </x:c>
      <x:c r="S1031" s="16"/>
      <x:c r="T1031" s="15"/>
      <x:c r="U1031" s="6"/>
      <x:c r="V1031" s="6"/>
      <x:c r="W1031" s="6" t="str">
        <x:v>Existing find_route and show_route implement the kit routing model.</x:v>
      </x:c>
      <x:c r="X1031" s="6" t="str">
        <x:v>data/train/resplan-3562/questions_basic.jsonl</x:v>
      </x:c>
      <x:c r="Y1031" s="14" t="n">
        <x:v>7</x:v>
      </x:c>
      <x:c r="Z1031" s="6" t="str">
        <x:v>https://github.com/hagenhaeussler/Industrial-Agents-Hackathon-2026/blob/f41616590b69f3ea0c1cbfb41d6c35edd9ce53df/data/train/resplan-3562/questions_basic.jsonl#L7</x:v>
      </x:c>
      <x:c r="AA1031" s="6" t="str">
        <x:v>resplan</x:v>
      </x:c>
      <x:c r="AB1031" s="6" t="str">
        <x:v>CC-BY-4.0</x:v>
      </x:c>
    </x:row>
    <x:row r="1032" ht="82" customHeight="1">
      <x:c r="A1032" s="14" t="n">
        <x:v>1027</x:v>
      </x:c>
      <x:c r="B1032" s="6" t="str">
        <x:v>route</x:v>
      </x:c>
      <x:c r="C1032" s="6" t="str">
        <x:v>How do I get from Bedroom 0.06 (Ground floor) to Bathroom 0.10 (Ground floor)?</x:v>
      </x:c>
      <x:c r="D1032" s="6" t="str">
        <x:v>19.25 m
From: Bedroom 0.06
To: Bathroom 0.10
Ordered path (4 spaces): Bedroom 0.06 → Living room 0.01 → Bedroom 0.02 → Bathroom 0.10</x:v>
      </x:c>
      <x:c r="E1032" s="6" t="str">
        <x:v>Reference supplied</x:v>
      </x:c>
      <x:c r="F1032" s="6" t="str">
        <x:v>train</x:v>
      </x:c>
      <x:c r="G1032" s="6" t="str">
        <x:v>resplan-3806</x:v>
      </x:c>
      <x:c r="H1032" s="6" t="str">
        <x:v>resplan-3806-Q05</x:v>
      </x:c>
      <x:c r="I1032" s="6" t="str">
        <x:v>Route planning</x:v>
      </x:c>
      <x:c r="J1032" s="6" t="str">
        <x:v>Warm-up</x:v>
      </x:c>
      <x:c r="K1032" s="6" t="str">
        <x:v>Ordered space path and directions, plus total route-model distance in metres.</x:v>
      </x:c>
      <x:c r="L1032" s="6" t="str">
        <x:v>T02, T05, T13</x:v>
      </x:c>
      <x:c r="M1032" s="6" t="str">
        <x:v>Find a valid route between two rooms, including across floors.</x:v>
      </x:c>
      <x:c r="N1032" s="6" t="str">
        <x:v>{"from_space_id":"resplan-3806-F0-S006","to_space_id":"resplan-3806-F0-S010","optimal_length_m":19.25,"space_path":["resplan-3806-F0-S006","resplan-3806-F0-S001","resplan-3806-F0-S002","resplan-3806-F0-S010"],"element_path":["resplan-3806-F0-O0001","resplan-3806-F0-O0001","resplan-3806-F0-O0002","resplan-3806-F0-O0002","resplan-3806-F0-O0004","resplan-3806-F0-O0004"]}</x:v>
      </x:c>
      <x:c r="O1032" s="6"/>
      <x:c r="P1032" s="6" t="str">
        <x:v>README routing profile. Stairs and lifts allowed unless stated otherwise.</x:v>
      </x:c>
      <x:c r="Q1032" s="15" t="n">
        <x:v>19.25</x:v>
      </x:c>
      <x:c r="R1032" s="6" t="str">
        <x:v>m</x:v>
      </x:c>
      <x:c r="S1032" s="16"/>
      <x:c r="T1032" s="15"/>
      <x:c r="U1032" s="6"/>
      <x:c r="V1032" s="6"/>
      <x:c r="W1032" s="6" t="str">
        <x:v>Existing find_route and show_route implement the kit routing model.</x:v>
      </x:c>
      <x:c r="X1032" s="6" t="str">
        <x:v>data/train/resplan-3806/questions_basic.jsonl</x:v>
      </x:c>
      <x:c r="Y1032" s="14" t="n">
        <x:v>5</x:v>
      </x:c>
      <x:c r="Z1032" s="6" t="str">
        <x:v>https://github.com/hagenhaeussler/Industrial-Agents-Hackathon-2026/blob/f41616590b69f3ea0c1cbfb41d6c35edd9ce53df/data/train/resplan-3806/questions_basic.jsonl#L5</x:v>
      </x:c>
      <x:c r="AA1032" s="6" t="str">
        <x:v>resplan</x:v>
      </x:c>
      <x:c r="AB1032" s="6" t="str">
        <x:v>CC-BY-4.0</x:v>
      </x:c>
    </x:row>
    <x:row r="1033" ht="82" customHeight="1">
      <x:c r="A1033" s="14" t="n">
        <x:v>1028</x:v>
      </x:c>
      <x:c r="B1033" s="6" t="str">
        <x:v>route</x:v>
      </x:c>
      <x:c r="C1033" s="6" t="str">
        <x:v>How do I get from Bathroom 0.09 (Ground floor) to Kitchen 0.11 (Ground floor)?</x:v>
      </x:c>
      <x:c r="D1033" s="6" t="str">
        <x:v>17.2 m
From: Bathroom 0.09
To: Kitchen 0.11
Ordered path (4 spaces): Bathroom 0.09 → Bedroom 0.03 → Living room 0.01 → Kitchen 0.11</x:v>
      </x:c>
      <x:c r="E1033" s="6" t="str">
        <x:v>Reference supplied</x:v>
      </x:c>
      <x:c r="F1033" s="6" t="str">
        <x:v>train</x:v>
      </x:c>
      <x:c r="G1033" s="6" t="str">
        <x:v>resplan-3806</x:v>
      </x:c>
      <x:c r="H1033" s="6" t="str">
        <x:v>resplan-3806-Q06</x:v>
      </x:c>
      <x:c r="I1033" s="6" t="str">
        <x:v>Route planning</x:v>
      </x:c>
      <x:c r="J1033" s="6" t="str">
        <x:v>Warm-up</x:v>
      </x:c>
      <x:c r="K1033" s="6" t="str">
        <x:v>Ordered space path and directions, plus total route-model distance in metres.</x:v>
      </x:c>
      <x:c r="L1033" s="6" t="str">
        <x:v>T02, T05, T13</x:v>
      </x:c>
      <x:c r="M1033" s="6" t="str">
        <x:v>Find a valid route between two rooms, including across floors.</x:v>
      </x:c>
      <x:c r="N1033" s="6" t="str">
        <x:v>{"from_space_id":"resplan-3806-F0-S009","to_space_id":"resplan-3806-F0-S011","optimal_length_m":17.2,"space_path":["resplan-3806-F0-S009","resplan-3806-F0-S003","resplan-3806-F0-S001","resplan-3806-F0-S011"],"element_path":["resplan-3806-F0-O0008","resplan-3806-F0-O0008","resplan-3806-F0-O0003","resplan-3806-F0-O0003","resplan-3806-F0-O0013","resplan-3806-F0-O0013"]}</x:v>
      </x:c>
      <x:c r="O1033" s="6"/>
      <x:c r="P1033" s="6" t="str">
        <x:v>README routing profile. Stairs and lifts allowed unless stated otherwise.</x:v>
      </x:c>
      <x:c r="Q1033" s="15" t="n">
        <x:v>17.2</x:v>
      </x:c>
      <x:c r="R1033" s="6" t="str">
        <x:v>m</x:v>
      </x:c>
      <x:c r="S1033" s="16"/>
      <x:c r="T1033" s="15"/>
      <x:c r="U1033" s="6"/>
      <x:c r="V1033" s="6"/>
      <x:c r="W1033" s="6" t="str">
        <x:v>Existing find_route and show_route implement the kit routing model.</x:v>
      </x:c>
      <x:c r="X1033" s="6" t="str">
        <x:v>data/train/resplan-3806/questions_basic.jsonl</x:v>
      </x:c>
      <x:c r="Y1033" s="14" t="n">
        <x:v>6</x:v>
      </x:c>
      <x:c r="Z1033" s="6" t="str">
        <x:v>https://github.com/hagenhaeussler/Industrial-Agents-Hackathon-2026/blob/f41616590b69f3ea0c1cbfb41d6c35edd9ce53df/data/train/resplan-3806/questions_basic.jsonl#L6</x:v>
      </x:c>
      <x:c r="AA1033" s="6" t="str">
        <x:v>resplan</x:v>
      </x:c>
      <x:c r="AB1033" s="6" t="str">
        <x:v>CC-BY-4.0</x:v>
      </x:c>
    </x:row>
    <x:row r="1034" ht="82" customHeight="1">
      <x:c r="A1034" s="14" t="n">
        <x:v>1029</x:v>
      </x:c>
      <x:c r="B1034" s="6" t="str">
        <x:v>route</x:v>
      </x:c>
      <x:c r="C1034" s="6" t="str">
        <x:v>How do I get from Bathroom 0.08 (Ground floor) to Bedroom 0.06 (Ground floor)?</x:v>
      </x:c>
      <x:c r="D1034" s="6" t="str">
        <x:v>11.48 m
From: Bathroom 0.08
To: Bedroom 0.06
Ordered path (3 spaces): Bathroom 0.08 → Living room 0.01 → Bedroom 0.06</x:v>
      </x:c>
      <x:c r="E1034" s="6" t="str">
        <x:v>Reference supplied</x:v>
      </x:c>
      <x:c r="F1034" s="6" t="str">
        <x:v>train</x:v>
      </x:c>
      <x:c r="G1034" s="6" t="str">
        <x:v>resplan-3806</x:v>
      </x:c>
      <x:c r="H1034" s="6" t="str">
        <x:v>resplan-3806-Q07</x:v>
      </x:c>
      <x:c r="I1034" s="6" t="str">
        <x:v>Route planning</x:v>
      </x:c>
      <x:c r="J1034" s="6" t="str">
        <x:v>Warm-up</x:v>
      </x:c>
      <x:c r="K1034" s="6" t="str">
        <x:v>Ordered space path and directions, plus total route-model distance in metres.</x:v>
      </x:c>
      <x:c r="L1034" s="6" t="str">
        <x:v>T02, T05, T13</x:v>
      </x:c>
      <x:c r="M1034" s="6" t="str">
        <x:v>Find a valid route between two rooms, including across floors.</x:v>
      </x:c>
      <x:c r="N1034" s="6" t="str">
        <x:v>{"from_space_id":"resplan-3806-F0-S008","to_space_id":"resplan-3806-F0-S006","optimal_length_m":11.48,"space_path":["resplan-3806-F0-S008","resplan-3806-F0-S001","resplan-3806-F0-S006"],"element_path":["resplan-3806-F0-O0012","resplan-3806-F0-O0012","resplan-3806-F0-O0001","resplan-3806-F0-O0001"]}</x:v>
      </x:c>
      <x:c r="O1034" s="6"/>
      <x:c r="P1034" s="6" t="str">
        <x:v>README routing profile. Stairs and lifts allowed unless stated otherwise.</x:v>
      </x:c>
      <x:c r="Q1034" s="15" t="n">
        <x:v>11.48</x:v>
      </x:c>
      <x:c r="R1034" s="6" t="str">
        <x:v>m</x:v>
      </x:c>
      <x:c r="S1034" s="16"/>
      <x:c r="T1034" s="15"/>
      <x:c r="U1034" s="6"/>
      <x:c r="V1034" s="6"/>
      <x:c r="W1034" s="6" t="str">
        <x:v>Existing find_route and show_route implement the kit routing model.</x:v>
      </x:c>
      <x:c r="X1034" s="6" t="str">
        <x:v>data/train/resplan-3806/questions_basic.jsonl</x:v>
      </x:c>
      <x:c r="Y1034" s="14" t="n">
        <x:v>7</x:v>
      </x:c>
      <x:c r="Z1034" s="6" t="str">
        <x:v>https://github.com/hagenhaeussler/Industrial-Agents-Hackathon-2026/blob/f41616590b69f3ea0c1cbfb41d6c35edd9ce53df/data/train/resplan-3806/questions_basic.jsonl#L7</x:v>
      </x:c>
      <x:c r="AA1034" s="6" t="str">
        <x:v>resplan</x:v>
      </x:c>
      <x:c r="AB1034" s="6" t="str">
        <x:v>CC-BY-4.0</x:v>
      </x:c>
    </x:row>
    <x:row r="1035" ht="82" customHeight="1">
      <x:c r="A1035" s="14" t="n">
        <x:v>1030</x:v>
      </x:c>
      <x:c r="B1035" s="6" t="str">
        <x:v>route</x:v>
      </x:c>
      <x:c r="C1035" s="6" t="str">
        <x:v>How do I get from Bathroom 0.05 (Ground floor) to Bedroom 0.02 (Ground floor)?</x:v>
      </x:c>
      <x:c r="D1035" s="6" t="str">
        <x:v>16.69 m
From: Bathroom 0.05
To: Bedroom 0.02
Ordered path (4 spaces): Bathroom 0.05 → Bedroom 0.03 → Living room 0.01 → Bedroom 0.02</x:v>
      </x:c>
      <x:c r="E1035" s="6" t="str">
        <x:v>Reference supplied</x:v>
      </x:c>
      <x:c r="F1035" s="6" t="str">
        <x:v>train</x:v>
      </x:c>
      <x:c r="G1035" s="6" t="str">
        <x:v>resplan-3971</x:v>
      </x:c>
      <x:c r="H1035" s="6" t="str">
        <x:v>resplan-3971-Q05</x:v>
      </x:c>
      <x:c r="I1035" s="6" t="str">
        <x:v>Route planning</x:v>
      </x:c>
      <x:c r="J1035" s="6" t="str">
        <x:v>Warm-up</x:v>
      </x:c>
      <x:c r="K1035" s="6" t="str">
        <x:v>Ordered space path and directions, plus total route-model distance in metres.</x:v>
      </x:c>
      <x:c r="L1035" s="6" t="str">
        <x:v>T02, T05, T13</x:v>
      </x:c>
      <x:c r="M1035" s="6" t="str">
        <x:v>Find a valid route between two rooms, including across floors.</x:v>
      </x:c>
      <x:c r="N1035" s="6" t="str">
        <x:v>{"from_space_id":"resplan-3971-F0-S005","to_space_id":"resplan-3971-F0-S002","optimal_length_m":16.69,"space_path":["resplan-3971-F0-S005","resplan-3971-F0-S003","resplan-3971-F0-S001","resplan-3971-F0-S002"],"element_path":["resplan-3971-F0-O0005","resplan-3971-F0-O0005","resplan-3971-F0-O0004","resplan-3971-F0-O0004","resplan-3971-F0-O0001","resplan-3971-F0-O0001"]}</x:v>
      </x:c>
      <x:c r="O1035" s="6"/>
      <x:c r="P1035" s="6" t="str">
        <x:v>README routing profile. Stairs and lifts allowed unless stated otherwise.</x:v>
      </x:c>
      <x:c r="Q1035" s="15" t="n">
        <x:v>16.69</x:v>
      </x:c>
      <x:c r="R1035" s="6" t="str">
        <x:v>m</x:v>
      </x:c>
      <x:c r="S1035" s="16"/>
      <x:c r="T1035" s="15"/>
      <x:c r="U1035" s="6"/>
      <x:c r="V1035" s="6"/>
      <x:c r="W1035" s="6" t="str">
        <x:v>Existing find_route and show_route implement the kit routing model.</x:v>
      </x:c>
      <x:c r="X1035" s="6" t="str">
        <x:v>data/train/resplan-3971/questions_basic.jsonl</x:v>
      </x:c>
      <x:c r="Y1035" s="14" t="n">
        <x:v>5</x:v>
      </x:c>
      <x:c r="Z1035" s="6" t="str">
        <x:v>https://github.com/hagenhaeussler/Industrial-Agents-Hackathon-2026/blob/f41616590b69f3ea0c1cbfb41d6c35edd9ce53df/data/train/resplan-3971/questions_basic.jsonl#L5</x:v>
      </x:c>
      <x:c r="AA1035" s="6" t="str">
        <x:v>resplan</x:v>
      </x:c>
      <x:c r="AB1035" s="6" t="str">
        <x:v>CC-BY-4.0</x:v>
      </x:c>
    </x:row>
    <x:row r="1036" ht="72" customHeight="1">
      <x:c r="A1036" s="14" t="n">
        <x:v>1031</x:v>
      </x:c>
      <x:c r="B1036" s="6" t="str">
        <x:v>route</x:v>
      </x:c>
      <x:c r="C1036" s="6" t="str">
        <x:v>How do I get from Kitchen 0.06 (Ground floor) to Bedroom 0.03 (Ground floor)?</x:v>
      </x:c>
      <x:c r="D1036" s="6" t="str">
        <x:v>12.13 m
From: Kitchen 0.06
To: Bedroom 0.03
Ordered path (3 spaces): Kitchen 0.06 → Living room 0.01 → Bedroom 0.03</x:v>
      </x:c>
      <x:c r="E1036" s="6" t="str">
        <x:v>Reference supplied</x:v>
      </x:c>
      <x:c r="F1036" s="6" t="str">
        <x:v>train</x:v>
      </x:c>
      <x:c r="G1036" s="6" t="str">
        <x:v>resplan-3971</x:v>
      </x:c>
      <x:c r="H1036" s="6" t="str">
        <x:v>resplan-3971-Q06</x:v>
      </x:c>
      <x:c r="I1036" s="6" t="str">
        <x:v>Route planning</x:v>
      </x:c>
      <x:c r="J1036" s="6" t="str">
        <x:v>Warm-up</x:v>
      </x:c>
      <x:c r="K1036" s="6" t="str">
        <x:v>Ordered space path and directions, plus total route-model distance in metres.</x:v>
      </x:c>
      <x:c r="L1036" s="6" t="str">
        <x:v>T02, T05, T13</x:v>
      </x:c>
      <x:c r="M1036" s="6" t="str">
        <x:v>Find a valid route between two rooms, including across floors.</x:v>
      </x:c>
      <x:c r="N1036" s="6" t="str">
        <x:v>{"from_space_id":"resplan-3971-F0-S006","to_space_id":"resplan-3971-F0-S003","optimal_length_m":12.13,"space_path":["resplan-3971-F0-S006","resplan-3971-F0-S001","resplan-3971-F0-S003"],"element_path":["resplan-3971-F0-O0007","resplan-3971-F0-O0007","resplan-3971-F0-O0004","resplan-3971-F0-O0004"]}</x:v>
      </x:c>
      <x:c r="O1036" s="6"/>
      <x:c r="P1036" s="6" t="str">
        <x:v>README routing profile. Stairs and lifts allowed unless stated otherwise.</x:v>
      </x:c>
      <x:c r="Q1036" s="15" t="n">
        <x:v>12.13</x:v>
      </x:c>
      <x:c r="R1036" s="6" t="str">
        <x:v>m</x:v>
      </x:c>
      <x:c r="S1036" s="16"/>
      <x:c r="T1036" s="15"/>
      <x:c r="U1036" s="6"/>
      <x:c r="V1036" s="6"/>
      <x:c r="W1036" s="6" t="str">
        <x:v>Existing find_route and show_route implement the kit routing model.</x:v>
      </x:c>
      <x:c r="X1036" s="6" t="str">
        <x:v>data/train/resplan-3971/questions_basic.jsonl</x:v>
      </x:c>
      <x:c r="Y1036" s="14" t="n">
        <x:v>6</x:v>
      </x:c>
      <x:c r="Z1036" s="6" t="str">
        <x:v>https://github.com/hagenhaeussler/Industrial-Agents-Hackathon-2026/blob/f41616590b69f3ea0c1cbfb41d6c35edd9ce53df/data/train/resplan-3971/questions_basic.jsonl#L6</x:v>
      </x:c>
      <x:c r="AA1036" s="6" t="str">
        <x:v>resplan</x:v>
      </x:c>
      <x:c r="AB1036" s="6" t="str">
        <x:v>CC-BY-4.0</x:v>
      </x:c>
    </x:row>
    <x:row r="1037" ht="82" customHeight="1">
      <x:c r="A1037" s="14" t="n">
        <x:v>1032</x:v>
      </x:c>
      <x:c r="B1037" s="6" t="str">
        <x:v>route</x:v>
      </x:c>
      <x:c r="C1037" s="6" t="str">
        <x:v>How do I get from Bathroom 0.05 (Ground floor) to Living room 0.01 (Ground floor)?</x:v>
      </x:c>
      <x:c r="D1037" s="6" t="str">
        <x:v>11.85 m
From: Bathroom 0.05
To: Living room 0.01
Ordered path (3 spaces): Bathroom 0.05 → Bedroom 0.03 → Living room 0.01</x:v>
      </x:c>
      <x:c r="E1037" s="6" t="str">
        <x:v>Reference supplied</x:v>
      </x:c>
      <x:c r="F1037" s="6" t="str">
        <x:v>train</x:v>
      </x:c>
      <x:c r="G1037" s="6" t="str">
        <x:v>resplan-3971</x:v>
      </x:c>
      <x:c r="H1037" s="6" t="str">
        <x:v>resplan-3971-Q07</x:v>
      </x:c>
      <x:c r="I1037" s="6" t="str">
        <x:v>Route planning</x:v>
      </x:c>
      <x:c r="J1037" s="6" t="str">
        <x:v>Warm-up</x:v>
      </x:c>
      <x:c r="K1037" s="6" t="str">
        <x:v>Ordered space path and directions, plus total route-model distance in metres.</x:v>
      </x:c>
      <x:c r="L1037" s="6" t="str">
        <x:v>T02, T05, T13</x:v>
      </x:c>
      <x:c r="M1037" s="6" t="str">
        <x:v>Find a valid route between two rooms, including across floors.</x:v>
      </x:c>
      <x:c r="N1037" s="6" t="str">
        <x:v>{"from_space_id":"resplan-3971-F0-S005","to_space_id":"resplan-3971-F0-S001","optimal_length_m":11.85,"space_path":["resplan-3971-F0-S005","resplan-3971-F0-S003","resplan-3971-F0-S001"],"element_path":["resplan-3971-F0-O0005","resplan-3971-F0-O0005","resplan-3971-F0-O0004","resplan-3971-F0-O0004"]}</x:v>
      </x:c>
      <x:c r="O1037" s="6"/>
      <x:c r="P1037" s="6" t="str">
        <x:v>README routing profile. Stairs and lifts allowed unless stated otherwise.</x:v>
      </x:c>
      <x:c r="Q1037" s="15" t="n">
        <x:v>11.85</x:v>
      </x:c>
      <x:c r="R1037" s="6" t="str">
        <x:v>m</x:v>
      </x:c>
      <x:c r="S1037" s="16"/>
      <x:c r="T1037" s="15"/>
      <x:c r="U1037" s="6"/>
      <x:c r="V1037" s="6"/>
      <x:c r="W1037" s="6" t="str">
        <x:v>Existing find_route and show_route implement the kit routing model.</x:v>
      </x:c>
      <x:c r="X1037" s="6" t="str">
        <x:v>data/train/resplan-3971/questions_basic.jsonl</x:v>
      </x:c>
      <x:c r="Y1037" s="14" t="n">
        <x:v>7</x:v>
      </x:c>
      <x:c r="Z1037" s="6" t="str">
        <x:v>https://github.com/hagenhaeussler/Industrial-Agents-Hackathon-2026/blob/f41616590b69f3ea0c1cbfb41d6c35edd9ce53df/data/train/resplan-3971/questions_basic.jsonl#L7</x:v>
      </x:c>
      <x:c r="AA1037" s="6" t="str">
        <x:v>resplan</x:v>
      </x:c>
      <x:c r="AB1037" s="6" t="str">
        <x:v>CC-BY-4.0</x:v>
      </x:c>
    </x:row>
    <x:row r="1038" ht="72" customHeight="1">
      <x:c r="A1038" s="14" t="n">
        <x:v>1033</x:v>
      </x:c>
      <x:c r="B1038" s="6" t="str">
        <x:v>route</x:v>
      </x:c>
      <x:c r="C1038" s="6" t="str">
        <x:v>How do I get from Living room 0.01 (Ground floor) to Bathroom 0.04 (Ground floor)?</x:v>
      </x:c>
      <x:c r="D1038" s="6" t="str">
        <x:v>6.36 m
From: Living room 0.01
To: Bathroom 0.04
Ordered path (2 spaces): Living room 0.01 → Bathroom 0.04</x:v>
      </x:c>
      <x:c r="E1038" s="6" t="str">
        <x:v>Reference supplied</x:v>
      </x:c>
      <x:c r="F1038" s="6" t="str">
        <x:v>train</x:v>
      </x:c>
      <x:c r="G1038" s="6" t="str">
        <x:v>resplan-4294</x:v>
      </x:c>
      <x:c r="H1038" s="6" t="str">
        <x:v>resplan-4294-Q05</x:v>
      </x:c>
      <x:c r="I1038" s="6" t="str">
        <x:v>Route planning</x:v>
      </x:c>
      <x:c r="J1038" s="6" t="str">
        <x:v>Warm-up</x:v>
      </x:c>
      <x:c r="K1038" s="6" t="str">
        <x:v>Ordered space path and directions, plus total route-model distance in metres.</x:v>
      </x:c>
      <x:c r="L1038" s="6" t="str">
        <x:v>T02, T05, T13</x:v>
      </x:c>
      <x:c r="M1038" s="6" t="str">
        <x:v>Find a valid route between two rooms, including across floors.</x:v>
      </x:c>
      <x:c r="N1038" s="6" t="str">
        <x:v>{"from_space_id":"resplan-4294-F0-S001","to_space_id":"resplan-4294-F0-S004","optimal_length_m":6.36,"space_path":["resplan-4294-F0-S001","resplan-4294-F0-S004"],"element_path":["resplan-4294-F0-O0003","resplan-4294-F0-O0003"]}</x:v>
      </x:c>
      <x:c r="O1038" s="6"/>
      <x:c r="P1038" s="6" t="str">
        <x:v>README routing profile. Stairs and lifts allowed unless stated otherwise.</x:v>
      </x:c>
      <x:c r="Q1038" s="15" t="n">
        <x:v>6.36</x:v>
      </x:c>
      <x:c r="R1038" s="6" t="str">
        <x:v>m</x:v>
      </x:c>
      <x:c r="S1038" s="16"/>
      <x:c r="T1038" s="15"/>
      <x:c r="U1038" s="6"/>
      <x:c r="V1038" s="6"/>
      <x:c r="W1038" s="6" t="str">
        <x:v>Existing find_route and show_route implement the kit routing model.</x:v>
      </x:c>
      <x:c r="X1038" s="6" t="str">
        <x:v>data/train/resplan-4294/questions_basic.jsonl</x:v>
      </x:c>
      <x:c r="Y1038" s="14" t="n">
        <x:v>5</x:v>
      </x:c>
      <x:c r="Z1038" s="6" t="str">
        <x:v>https://github.com/hagenhaeussler/Industrial-Agents-Hackathon-2026/blob/f41616590b69f3ea0c1cbfb41d6c35edd9ce53df/data/train/resplan-4294/questions_basic.jsonl#L5</x:v>
      </x:c>
      <x:c r="AA1038" s="6" t="str">
        <x:v>resplan</x:v>
      </x:c>
      <x:c r="AB1038" s="6" t="str">
        <x:v>CC-BY-4.0</x:v>
      </x:c>
    </x:row>
    <x:row r="1039" ht="72" customHeight="1">
      <x:c r="A1039" s="14" t="n">
        <x:v>1034</x:v>
      </x:c>
      <x:c r="B1039" s="6" t="str">
        <x:v>route</x:v>
      </x:c>
      <x:c r="C1039" s="6" t="str">
        <x:v>How do I get from Bedroom 0.02 (Ground floor) to Kitchen 0.05 (Ground floor)?</x:v>
      </x:c>
      <x:c r="D1039" s="6" t="str">
        <x:v>10.14 m
From: Bedroom 0.02
To: Kitchen 0.05
Ordered path (3 spaces): Bedroom 0.02 → Living room 0.01 → Kitchen 0.05</x:v>
      </x:c>
      <x:c r="E1039" s="6" t="str">
        <x:v>Reference supplied</x:v>
      </x:c>
      <x:c r="F1039" s="6" t="str">
        <x:v>train</x:v>
      </x:c>
      <x:c r="G1039" s="6" t="str">
        <x:v>resplan-4294</x:v>
      </x:c>
      <x:c r="H1039" s="6" t="str">
        <x:v>resplan-4294-Q06</x:v>
      </x:c>
      <x:c r="I1039" s="6" t="str">
        <x:v>Route planning</x:v>
      </x:c>
      <x:c r="J1039" s="6" t="str">
        <x:v>Warm-up</x:v>
      </x:c>
      <x:c r="K1039" s="6" t="str">
        <x:v>Ordered space path and directions, plus total route-model distance in metres.</x:v>
      </x:c>
      <x:c r="L1039" s="6" t="str">
        <x:v>T02, T05, T13</x:v>
      </x:c>
      <x:c r="M1039" s="6" t="str">
        <x:v>Find a valid route between two rooms, including across floors.</x:v>
      </x:c>
      <x:c r="N1039" s="6" t="str">
        <x:v>{"from_space_id":"resplan-4294-F0-S002","to_space_id":"resplan-4294-F0-S005","optimal_length_m":10.14,"space_path":["resplan-4294-F0-S002","resplan-4294-F0-S001","resplan-4294-F0-S005"],"element_path":["resplan-4294-F0-O0002","resplan-4294-F0-O0002","resplan-4294-F0-O0004","resplan-4294-F0-O0004"]}</x:v>
      </x:c>
      <x:c r="O1039" s="6"/>
      <x:c r="P1039" s="6" t="str">
        <x:v>README routing profile. Stairs and lifts allowed unless stated otherwise.</x:v>
      </x:c>
      <x:c r="Q1039" s="15" t="n">
        <x:v>10.14</x:v>
      </x:c>
      <x:c r="R1039" s="6" t="str">
        <x:v>m</x:v>
      </x:c>
      <x:c r="S1039" s="16"/>
      <x:c r="T1039" s="15"/>
      <x:c r="U1039" s="6"/>
      <x:c r="V1039" s="6"/>
      <x:c r="W1039" s="6" t="str">
        <x:v>Existing find_route and show_route implement the kit routing model.</x:v>
      </x:c>
      <x:c r="X1039" s="6" t="str">
        <x:v>data/train/resplan-4294/questions_basic.jsonl</x:v>
      </x:c>
      <x:c r="Y1039" s="14" t="n">
        <x:v>6</x:v>
      </x:c>
      <x:c r="Z1039" s="6" t="str">
        <x:v>https://github.com/hagenhaeussler/Industrial-Agents-Hackathon-2026/blob/f41616590b69f3ea0c1cbfb41d6c35edd9ce53df/data/train/resplan-4294/questions_basic.jsonl#L6</x:v>
      </x:c>
      <x:c r="AA1039" s="6" t="str">
        <x:v>resplan</x:v>
      </x:c>
      <x:c r="AB1039" s="6" t="str">
        <x:v>CC-BY-4.0</x:v>
      </x:c>
    </x:row>
    <x:row r="1040" ht="82" customHeight="1">
      <x:c r="A1040" s="14" t="n">
        <x:v>1035</x:v>
      </x:c>
      <x:c r="B1040" s="6" t="str">
        <x:v>route</x:v>
      </x:c>
      <x:c r="C1040" s="6" t="str">
        <x:v>How do I get from Bathroom 0.04 (Ground floor) to Bedroom 0.02 (Ground floor)?</x:v>
      </x:c>
      <x:c r="D1040" s="6" t="str">
        <x:v>13.16 m
From: Bathroom 0.04
To: Bedroom 0.02
Ordered path (3 spaces): Bathroom 0.04 → Living room 0.01 → Bedroom 0.02</x:v>
      </x:c>
      <x:c r="E1040" s="6" t="str">
        <x:v>Reference supplied</x:v>
      </x:c>
      <x:c r="F1040" s="6" t="str">
        <x:v>train</x:v>
      </x:c>
      <x:c r="G1040" s="6" t="str">
        <x:v>resplan-4294</x:v>
      </x:c>
      <x:c r="H1040" s="6" t="str">
        <x:v>resplan-4294-Q07</x:v>
      </x:c>
      <x:c r="I1040" s="6" t="str">
        <x:v>Route planning</x:v>
      </x:c>
      <x:c r="J1040" s="6" t="str">
        <x:v>Warm-up</x:v>
      </x:c>
      <x:c r="K1040" s="6" t="str">
        <x:v>Ordered space path and directions, plus total route-model distance in metres.</x:v>
      </x:c>
      <x:c r="L1040" s="6" t="str">
        <x:v>T02, T05, T13</x:v>
      </x:c>
      <x:c r="M1040" s="6" t="str">
        <x:v>Find a valid route between two rooms, including across floors.</x:v>
      </x:c>
      <x:c r="N1040" s="6" t="str">
        <x:v>{"from_space_id":"resplan-4294-F0-S004","to_space_id":"resplan-4294-F0-S002","optimal_length_m":13.16,"space_path":["resplan-4294-F0-S004","resplan-4294-F0-S001","resplan-4294-F0-S002"],"element_path":["resplan-4294-F0-O0003","resplan-4294-F0-O0003","resplan-4294-F0-O0002","resplan-4294-F0-O0002"]}</x:v>
      </x:c>
      <x:c r="O1040" s="6"/>
      <x:c r="P1040" s="6" t="str">
        <x:v>README routing profile. Stairs and lifts allowed unless stated otherwise.</x:v>
      </x:c>
      <x:c r="Q1040" s="15" t="n">
        <x:v>13.16</x:v>
      </x:c>
      <x:c r="R1040" s="6" t="str">
        <x:v>m</x:v>
      </x:c>
      <x:c r="S1040" s="16"/>
      <x:c r="T1040" s="15"/>
      <x:c r="U1040" s="6"/>
      <x:c r="V1040" s="6"/>
      <x:c r="W1040" s="6" t="str">
        <x:v>Existing find_route and show_route implement the kit routing model.</x:v>
      </x:c>
      <x:c r="X1040" s="6" t="str">
        <x:v>data/train/resplan-4294/questions_basic.jsonl</x:v>
      </x:c>
      <x:c r="Y1040" s="14" t="n">
        <x:v>7</x:v>
      </x:c>
      <x:c r="Z1040" s="6" t="str">
        <x:v>https://github.com/hagenhaeussler/Industrial-Agents-Hackathon-2026/blob/f41616590b69f3ea0c1cbfb41d6c35edd9ce53df/data/train/resplan-4294/questions_basic.jsonl#L7</x:v>
      </x:c>
      <x:c r="AA1040" s="6" t="str">
        <x:v>resplan</x:v>
      </x:c>
      <x:c r="AB1040" s="6" t="str">
        <x:v>CC-BY-4.0</x:v>
      </x:c>
    </x:row>
    <x:row r="1041" ht="82" customHeight="1">
      <x:c r="A1041" s="14" t="n">
        <x:v>1036</x:v>
      </x:c>
      <x:c r="B1041" s="6" t="str">
        <x:v>route</x:v>
      </x:c>
      <x:c r="C1041" s="6" t="str">
        <x:v>How do I get from Bathroom 0.04 (Ground floor) to Bedroom 0.02 (Ground floor)?</x:v>
      </x:c>
      <x:c r="D1041" s="6" t="str">
        <x:v>10.58 m
From: Bathroom 0.04
To: Bedroom 0.02
Ordered path (3 spaces): Bathroom 0.04 → Living room 0.01 → Bedroom 0.02</x:v>
      </x:c>
      <x:c r="E1041" s="6" t="str">
        <x:v>Reference supplied</x:v>
      </x:c>
      <x:c r="F1041" s="6" t="str">
        <x:v>train</x:v>
      </x:c>
      <x:c r="G1041" s="6" t="str">
        <x:v>resplan-4303</x:v>
      </x:c>
      <x:c r="H1041" s="6" t="str">
        <x:v>resplan-4303-Q05</x:v>
      </x:c>
      <x:c r="I1041" s="6" t="str">
        <x:v>Route planning</x:v>
      </x:c>
      <x:c r="J1041" s="6" t="str">
        <x:v>Warm-up</x:v>
      </x:c>
      <x:c r="K1041" s="6" t="str">
        <x:v>Ordered space path and directions, plus total route-model distance in metres.</x:v>
      </x:c>
      <x:c r="L1041" s="6" t="str">
        <x:v>T02, T05, T13</x:v>
      </x:c>
      <x:c r="M1041" s="6" t="str">
        <x:v>Find a valid route between two rooms, including across floors.</x:v>
      </x:c>
      <x:c r="N1041" s="6" t="str">
        <x:v>{"from_space_id":"resplan-4303-F0-S004","to_space_id":"resplan-4303-F0-S002","optimal_length_m":10.58,"space_path":["resplan-4303-F0-S004","resplan-4303-F0-S001","resplan-4303-F0-S002"],"element_path":["resplan-4303-F0-O0003","resplan-4303-F0-O0003","resplan-4303-F0-O0004","resplan-4303-F0-O0004"]}</x:v>
      </x:c>
      <x:c r="O1041" s="6"/>
      <x:c r="P1041" s="6" t="str">
        <x:v>README routing profile. Stairs and lifts allowed unless stated otherwise.</x:v>
      </x:c>
      <x:c r="Q1041" s="15" t="n">
        <x:v>10.58</x:v>
      </x:c>
      <x:c r="R1041" s="6" t="str">
        <x:v>m</x:v>
      </x:c>
      <x:c r="S1041" s="16"/>
      <x:c r="T1041" s="15"/>
      <x:c r="U1041" s="6"/>
      <x:c r="V1041" s="6"/>
      <x:c r="W1041" s="6" t="str">
        <x:v>Existing find_route and show_route implement the kit routing model.</x:v>
      </x:c>
      <x:c r="X1041" s="6" t="str">
        <x:v>data/train/resplan-4303/questions_basic.jsonl</x:v>
      </x:c>
      <x:c r="Y1041" s="14" t="n">
        <x:v>5</x:v>
      </x:c>
      <x:c r="Z1041" s="6" t="str">
        <x:v>https://github.com/hagenhaeussler/Industrial-Agents-Hackathon-2026/blob/f41616590b69f3ea0c1cbfb41d6c35edd9ce53df/data/train/resplan-4303/questions_basic.jsonl#L5</x:v>
      </x:c>
      <x:c r="AA1041" s="6" t="str">
        <x:v>resplan</x:v>
      </x:c>
      <x:c r="AB1041" s="6" t="str">
        <x:v>CC-BY-4.0</x:v>
      </x:c>
    </x:row>
    <x:row r="1042" ht="82" customHeight="1">
      <x:c r="A1042" s="14" t="n">
        <x:v>1037</x:v>
      </x:c>
      <x:c r="B1042" s="6" t="str">
        <x:v>route</x:v>
      </x:c>
      <x:c r="C1042" s="6" t="str">
        <x:v>How do I get from Bedroom 0.03 (Ground floor) to Bathroom 0.04 (Ground floor)?</x:v>
      </x:c>
      <x:c r="D1042" s="6" t="str">
        <x:v>11.08 m
From: Bedroom 0.03
To: Bathroom 0.04
Ordered path (3 spaces): Bedroom 0.03 → Living room 0.01 → Bathroom 0.04</x:v>
      </x:c>
      <x:c r="E1042" s="6" t="str">
        <x:v>Reference supplied</x:v>
      </x:c>
      <x:c r="F1042" s="6" t="str">
        <x:v>train</x:v>
      </x:c>
      <x:c r="G1042" s="6" t="str">
        <x:v>resplan-4303</x:v>
      </x:c>
      <x:c r="H1042" s="6" t="str">
        <x:v>resplan-4303-Q06</x:v>
      </x:c>
      <x:c r="I1042" s="6" t="str">
        <x:v>Route planning</x:v>
      </x:c>
      <x:c r="J1042" s="6" t="str">
        <x:v>Warm-up</x:v>
      </x:c>
      <x:c r="K1042" s="6" t="str">
        <x:v>Ordered space path and directions, plus total route-model distance in metres.</x:v>
      </x:c>
      <x:c r="L1042" s="6" t="str">
        <x:v>T02, T05, T13</x:v>
      </x:c>
      <x:c r="M1042" s="6" t="str">
        <x:v>Find a valid route between two rooms, including across floors.</x:v>
      </x:c>
      <x:c r="N1042" s="6" t="str">
        <x:v>{"from_space_id":"resplan-4303-F0-S003","to_space_id":"resplan-4303-F0-S004","optimal_length_m":11.08,"space_path":["resplan-4303-F0-S003","resplan-4303-F0-S001","resplan-4303-F0-S004"],"element_path":["resplan-4303-F0-O0005","resplan-4303-F0-O0005","resplan-4303-F0-O0003","resplan-4303-F0-O0003"]}</x:v>
      </x:c>
      <x:c r="O1042" s="6"/>
      <x:c r="P1042" s="6" t="str">
        <x:v>README routing profile. Stairs and lifts allowed unless stated otherwise.</x:v>
      </x:c>
      <x:c r="Q1042" s="15" t="n">
        <x:v>11.08</x:v>
      </x:c>
      <x:c r="R1042" s="6" t="str">
        <x:v>m</x:v>
      </x:c>
      <x:c r="S1042" s="16"/>
      <x:c r="T1042" s="15"/>
      <x:c r="U1042" s="6"/>
      <x:c r="V1042" s="6"/>
      <x:c r="W1042" s="6" t="str">
        <x:v>Existing find_route and show_route implement the kit routing model.</x:v>
      </x:c>
      <x:c r="X1042" s="6" t="str">
        <x:v>data/train/resplan-4303/questions_basic.jsonl</x:v>
      </x:c>
      <x:c r="Y1042" s="14" t="n">
        <x:v>6</x:v>
      </x:c>
      <x:c r="Z1042" s="6" t="str">
        <x:v>https://github.com/hagenhaeussler/Industrial-Agents-Hackathon-2026/blob/f41616590b69f3ea0c1cbfb41d6c35edd9ce53df/data/train/resplan-4303/questions_basic.jsonl#L6</x:v>
      </x:c>
      <x:c r="AA1042" s="6" t="str">
        <x:v>resplan</x:v>
      </x:c>
      <x:c r="AB1042" s="6" t="str">
        <x:v>CC-BY-4.0</x:v>
      </x:c>
    </x:row>
    <x:row r="1043" ht="72" customHeight="1">
      <x:c r="A1043" s="14" t="n">
        <x:v>1038</x:v>
      </x:c>
      <x:c r="B1043" s="6" t="str">
        <x:v>route</x:v>
      </x:c>
      <x:c r="C1043" s="6" t="str">
        <x:v>How do I get from Kitchen 0.06 (Ground floor) to Bedroom 0.03 (Ground floor)?</x:v>
      </x:c>
      <x:c r="D1043" s="6" t="str">
        <x:v>10.92 m
From: Kitchen 0.06
To: Bedroom 0.03
Ordered path (3 spaces): Kitchen 0.06 → Living room 0.01 → Bedroom 0.03</x:v>
      </x:c>
      <x:c r="E1043" s="6" t="str">
        <x:v>Reference supplied</x:v>
      </x:c>
      <x:c r="F1043" s="6" t="str">
        <x:v>train</x:v>
      </x:c>
      <x:c r="G1043" s="6" t="str">
        <x:v>resplan-4303</x:v>
      </x:c>
      <x:c r="H1043" s="6" t="str">
        <x:v>resplan-4303-Q07</x:v>
      </x:c>
      <x:c r="I1043" s="6" t="str">
        <x:v>Route planning</x:v>
      </x:c>
      <x:c r="J1043" s="6" t="str">
        <x:v>Warm-up</x:v>
      </x:c>
      <x:c r="K1043" s="6" t="str">
        <x:v>Ordered space path and directions, plus total route-model distance in metres.</x:v>
      </x:c>
      <x:c r="L1043" s="6" t="str">
        <x:v>T02, T05, T13</x:v>
      </x:c>
      <x:c r="M1043" s="6" t="str">
        <x:v>Find a valid route between two rooms, including across floors.</x:v>
      </x:c>
      <x:c r="N1043" s="6" t="str">
        <x:v>{"from_space_id":"resplan-4303-F0-S006","to_space_id":"resplan-4303-F0-S003","optimal_length_m":10.92,"space_path":["resplan-4303-F0-S006","resplan-4303-F0-S001","resplan-4303-F0-S003"],"element_path":["resplan-4303-F0-O0006","resplan-4303-F0-O0006","resplan-4303-F0-O0005","resplan-4303-F0-O0005"]}</x:v>
      </x:c>
      <x:c r="O1043" s="6"/>
      <x:c r="P1043" s="6" t="str">
        <x:v>README routing profile. Stairs and lifts allowed unless stated otherwise.</x:v>
      </x:c>
      <x:c r="Q1043" s="15" t="n">
        <x:v>10.92</x:v>
      </x:c>
      <x:c r="R1043" s="6" t="str">
        <x:v>m</x:v>
      </x:c>
      <x:c r="S1043" s="16"/>
      <x:c r="T1043" s="15"/>
      <x:c r="U1043" s="6"/>
      <x:c r="V1043" s="6"/>
      <x:c r="W1043" s="6" t="str">
        <x:v>Existing find_route and show_route implement the kit routing model.</x:v>
      </x:c>
      <x:c r="X1043" s="6" t="str">
        <x:v>data/train/resplan-4303/questions_basic.jsonl</x:v>
      </x:c>
      <x:c r="Y1043" s="14" t="n">
        <x:v>7</x:v>
      </x:c>
      <x:c r="Z1043" s="6" t="str">
        <x:v>https://github.com/hagenhaeussler/Industrial-Agents-Hackathon-2026/blob/f41616590b69f3ea0c1cbfb41d6c35edd9ce53df/data/train/resplan-4303/questions_basic.jsonl#L7</x:v>
      </x:c>
      <x:c r="AA1043" s="6" t="str">
        <x:v>resplan</x:v>
      </x:c>
      <x:c r="AB1043" s="6" t="str">
        <x:v>CC-BY-4.0</x:v>
      </x:c>
    </x:row>
    <x:row r="1044" ht="82" customHeight="1">
      <x:c r="A1044" s="14" t="n">
        <x:v>1039</x:v>
      </x:c>
      <x:c r="B1044" s="6" t="str">
        <x:v>route</x:v>
      </x:c>
      <x:c r="C1044" s="6" t="str">
        <x:v>How do I get from Bathroom 0.04 (Ground floor) to Kitchen 0.05 (Ground floor)?</x:v>
      </x:c>
      <x:c r="D1044" s="6" t="str">
        <x:v>11.12 m
From: Bathroom 0.04
To: Kitchen 0.05
Ordered path (3 spaces): Bathroom 0.04 → Living room 0.01 → Kitchen 0.05</x:v>
      </x:c>
      <x:c r="E1044" s="6" t="str">
        <x:v>Reference supplied</x:v>
      </x:c>
      <x:c r="F1044" s="6" t="str">
        <x:v>train</x:v>
      </x:c>
      <x:c r="G1044" s="6" t="str">
        <x:v>resplan-433</x:v>
      </x:c>
      <x:c r="H1044" s="6" t="str">
        <x:v>resplan-433-Q04</x:v>
      </x:c>
      <x:c r="I1044" s="6" t="str">
        <x:v>Route planning</x:v>
      </x:c>
      <x:c r="J1044" s="6" t="str">
        <x:v>Warm-up</x:v>
      </x:c>
      <x:c r="K1044" s="6" t="str">
        <x:v>Ordered space path and directions, plus total route-model distance in metres.</x:v>
      </x:c>
      <x:c r="L1044" s="6" t="str">
        <x:v>T02, T05, T13</x:v>
      </x:c>
      <x:c r="M1044" s="6" t="str">
        <x:v>Find a valid route between two rooms, including across floors.</x:v>
      </x:c>
      <x:c r="N1044" s="6" t="str">
        <x:v>{"from_space_id":"resplan-433-F0-S004","to_space_id":"resplan-433-F0-S005","optimal_length_m":11.12,"space_path":["resplan-433-F0-S004","resplan-433-F0-S001","resplan-433-F0-S005"],"element_path":["resplan-433-F0-O0001","resplan-433-F0-O0001","resplan-433-F0-O0004","resplan-433-F0-O0004"]}</x:v>
      </x:c>
      <x:c r="O1044" s="6"/>
      <x:c r="P1044" s="6" t="str">
        <x:v>README routing profile. Stairs and lifts allowed unless stated otherwise.</x:v>
      </x:c>
      <x:c r="Q1044" s="15" t="n">
        <x:v>11.12</x:v>
      </x:c>
      <x:c r="R1044" s="6" t="str">
        <x:v>m</x:v>
      </x:c>
      <x:c r="S1044" s="16"/>
      <x:c r="T1044" s="15"/>
      <x:c r="U1044" s="6"/>
      <x:c r="V1044" s="6"/>
      <x:c r="W1044" s="6" t="str">
        <x:v>Existing find_route and show_route implement the kit routing model.</x:v>
      </x:c>
      <x:c r="X1044" s="6" t="str">
        <x:v>data/train/resplan-433/questions_basic.jsonl</x:v>
      </x:c>
      <x:c r="Y1044" s="14" t="n">
        <x:v>4</x:v>
      </x:c>
      <x:c r="Z1044" s="6" t="str">
        <x:v>https://github.com/hagenhaeussler/Industrial-Agents-Hackathon-2026/blob/f41616590b69f3ea0c1cbfb41d6c35edd9ce53df/data/train/resplan-433/questions_basic.jsonl#L4</x:v>
      </x:c>
      <x:c r="AA1044" s="6" t="str">
        <x:v>resplan</x:v>
      </x:c>
      <x:c r="AB1044" s="6" t="str">
        <x:v>CC-BY-4.0</x:v>
      </x:c>
    </x:row>
    <x:row r="1045" ht="72" customHeight="1">
      <x:c r="A1045" s="14" t="n">
        <x:v>1040</x:v>
      </x:c>
      <x:c r="B1045" s="6" t="str">
        <x:v>route</x:v>
      </x:c>
      <x:c r="C1045" s="6" t="str">
        <x:v>How do I get from Bedroom 0.02 (Ground floor) to Living room 0.01 (Ground floor)?</x:v>
      </x:c>
      <x:c r="D1045" s="6" t="str">
        <x:v>8.47 m
From: Bedroom 0.02
To: Living room 0.01
Ordered path (2 spaces): Bedroom 0.02 → Living room 0.01</x:v>
      </x:c>
      <x:c r="E1045" s="6" t="str">
        <x:v>Reference supplied</x:v>
      </x:c>
      <x:c r="F1045" s="6" t="str">
        <x:v>train</x:v>
      </x:c>
      <x:c r="G1045" s="6" t="str">
        <x:v>resplan-433</x:v>
      </x:c>
      <x:c r="H1045" s="6" t="str">
        <x:v>resplan-433-Q05</x:v>
      </x:c>
      <x:c r="I1045" s="6" t="str">
        <x:v>Route planning</x:v>
      </x:c>
      <x:c r="J1045" s="6" t="str">
        <x:v>Warm-up</x:v>
      </x:c>
      <x:c r="K1045" s="6" t="str">
        <x:v>Ordered space path and directions, plus total route-model distance in metres.</x:v>
      </x:c>
      <x:c r="L1045" s="6" t="str">
        <x:v>T02, T05, T13</x:v>
      </x:c>
      <x:c r="M1045" s="6" t="str">
        <x:v>Find a valid route between two rooms, including across floors.</x:v>
      </x:c>
      <x:c r="N1045" s="6" t="str">
        <x:v>{"from_space_id":"resplan-433-F0-S002","to_space_id":"resplan-433-F0-S001","optimal_length_m":8.47,"space_path":["resplan-433-F0-S002","resplan-433-F0-S001"],"element_path":["resplan-433-F0-O0003","resplan-433-F0-O0003"]}</x:v>
      </x:c>
      <x:c r="O1045" s="6"/>
      <x:c r="P1045" s="6" t="str">
        <x:v>README routing profile. Stairs and lifts allowed unless stated otherwise.</x:v>
      </x:c>
      <x:c r="Q1045" s="15" t="n">
        <x:v>8.47</x:v>
      </x:c>
      <x:c r="R1045" s="6" t="str">
        <x:v>m</x:v>
      </x:c>
      <x:c r="S1045" s="16"/>
      <x:c r="T1045" s="15"/>
      <x:c r="U1045" s="6"/>
      <x:c r="V1045" s="6"/>
      <x:c r="W1045" s="6" t="str">
        <x:v>Existing find_route and show_route implement the kit routing model.</x:v>
      </x:c>
      <x:c r="X1045" s="6" t="str">
        <x:v>data/train/resplan-433/questions_basic.jsonl</x:v>
      </x:c>
      <x:c r="Y1045" s="14" t="n">
        <x:v>5</x:v>
      </x:c>
      <x:c r="Z1045" s="6" t="str">
        <x:v>https://github.com/hagenhaeussler/Industrial-Agents-Hackathon-2026/blob/f41616590b69f3ea0c1cbfb41d6c35edd9ce53df/data/train/resplan-433/questions_basic.jsonl#L5</x:v>
      </x:c>
      <x:c r="AA1045" s="6" t="str">
        <x:v>resplan</x:v>
      </x:c>
      <x:c r="AB1045" s="6" t="str">
        <x:v>CC-BY-4.0</x:v>
      </x:c>
    </x:row>
    <x:row r="1046" ht="72" customHeight="1">
      <x:c r="A1046" s="14" t="n">
        <x:v>1041</x:v>
      </x:c>
      <x:c r="B1046" s="6" t="str">
        <x:v>route</x:v>
      </x:c>
      <x:c r="C1046" s="6" t="str">
        <x:v>How do I get from Bathroom 0.04 (Ground floor) to Living room 0.01 (Ground floor)?</x:v>
      </x:c>
      <x:c r="D1046" s="6" t="str">
        <x:v>5.13 m
From: Bathroom 0.04
To: Living room 0.01
Ordered path (2 spaces): Bathroom 0.04 → Living room 0.01</x:v>
      </x:c>
      <x:c r="E1046" s="6" t="str">
        <x:v>Reference supplied</x:v>
      </x:c>
      <x:c r="F1046" s="6" t="str">
        <x:v>train</x:v>
      </x:c>
      <x:c r="G1046" s="6" t="str">
        <x:v>resplan-433</x:v>
      </x:c>
      <x:c r="H1046" s="6" t="str">
        <x:v>resplan-433-Q06</x:v>
      </x:c>
      <x:c r="I1046" s="6" t="str">
        <x:v>Route planning</x:v>
      </x:c>
      <x:c r="J1046" s="6" t="str">
        <x:v>Warm-up</x:v>
      </x:c>
      <x:c r="K1046" s="6" t="str">
        <x:v>Ordered space path and directions, plus total route-model distance in metres.</x:v>
      </x:c>
      <x:c r="L1046" s="6" t="str">
        <x:v>T02, T05, T13</x:v>
      </x:c>
      <x:c r="M1046" s="6" t="str">
        <x:v>Find a valid route between two rooms, including across floors.</x:v>
      </x:c>
      <x:c r="N1046" s="6" t="str">
        <x:v>{"from_space_id":"resplan-433-F0-S004","to_space_id":"resplan-433-F0-S001","optimal_length_m":5.13,"space_path":["resplan-433-F0-S004","resplan-433-F0-S001"],"element_path":["resplan-433-F0-O0001","resplan-433-F0-O0001"]}</x:v>
      </x:c>
      <x:c r="O1046" s="6"/>
      <x:c r="P1046" s="6" t="str">
        <x:v>README routing profile. Stairs and lifts allowed unless stated otherwise.</x:v>
      </x:c>
      <x:c r="Q1046" s="15" t="n">
        <x:v>5.13</x:v>
      </x:c>
      <x:c r="R1046" s="6" t="str">
        <x:v>m</x:v>
      </x:c>
      <x:c r="S1046" s="16"/>
      <x:c r="T1046" s="15"/>
      <x:c r="U1046" s="6"/>
      <x:c r="V1046" s="6"/>
      <x:c r="W1046" s="6" t="str">
        <x:v>Existing find_route and show_route implement the kit routing model.</x:v>
      </x:c>
      <x:c r="X1046" s="6" t="str">
        <x:v>data/train/resplan-433/questions_basic.jsonl</x:v>
      </x:c>
      <x:c r="Y1046" s="14" t="n">
        <x:v>6</x:v>
      </x:c>
      <x:c r="Z1046" s="6" t="str">
        <x:v>https://github.com/hagenhaeussler/Industrial-Agents-Hackathon-2026/blob/f41616590b69f3ea0c1cbfb41d6c35edd9ce53df/data/train/resplan-433/questions_basic.jsonl#L6</x:v>
      </x:c>
      <x:c r="AA1046" s="6" t="str">
        <x:v>resplan</x:v>
      </x:c>
      <x:c r="AB1046" s="6" t="str">
        <x:v>CC-BY-4.0</x:v>
      </x:c>
    </x:row>
    <x:row r="1047" ht="72" customHeight="1">
      <x:c r="A1047" s="14" t="n">
        <x:v>1042</x:v>
      </x:c>
      <x:c r="B1047" s="6" t="str">
        <x:v>route</x:v>
      </x:c>
      <x:c r="C1047" s="6" t="str">
        <x:v>How do I get from Bedroom 0.03 (Ground floor) to Bedroom 0.02 (Ground floor)?</x:v>
      </x:c>
      <x:c r="D1047" s="6" t="str">
        <x:v>14.49 m
From: Bedroom 0.03
To: Bedroom 0.02
Ordered path (3 spaces): Bedroom 0.03 → Living room 0.01 → Bedroom 0.02</x:v>
      </x:c>
      <x:c r="E1047" s="6" t="str">
        <x:v>Reference supplied</x:v>
      </x:c>
      <x:c r="F1047" s="6" t="str">
        <x:v>train</x:v>
      </x:c>
      <x:c r="G1047" s="6" t="str">
        <x:v>resplan-4378</x:v>
      </x:c>
      <x:c r="H1047" s="6" t="str">
        <x:v>resplan-4378-Q05</x:v>
      </x:c>
      <x:c r="I1047" s="6" t="str">
        <x:v>Route planning</x:v>
      </x:c>
      <x:c r="J1047" s="6" t="str">
        <x:v>Warm-up</x:v>
      </x:c>
      <x:c r="K1047" s="6" t="str">
        <x:v>Ordered space path and directions, plus total route-model distance in metres.</x:v>
      </x:c>
      <x:c r="L1047" s="6" t="str">
        <x:v>T02, T05, T13</x:v>
      </x:c>
      <x:c r="M1047" s="6" t="str">
        <x:v>Find a valid route between two rooms, including across floors.</x:v>
      </x:c>
      <x:c r="N1047" s="6" t="str">
        <x:v>{"from_space_id":"resplan-4378-F0-S003","to_space_id":"resplan-4378-F0-S002","optimal_length_m":14.49,"space_path":["resplan-4378-F0-S003","resplan-4378-F0-S001","resplan-4378-F0-S002"],"element_path":["resplan-4378-F0-O0003","resplan-4378-F0-O0003","resplan-4378-F0-O0002","resplan-4378-F0-O0002"]}</x:v>
      </x:c>
      <x:c r="O1047" s="6"/>
      <x:c r="P1047" s="6" t="str">
        <x:v>README routing profile. Stairs and lifts allowed unless stated otherwise.</x:v>
      </x:c>
      <x:c r="Q1047" s="15" t="n">
        <x:v>14.49</x:v>
      </x:c>
      <x:c r="R1047" s="6" t="str">
        <x:v>m</x:v>
      </x:c>
      <x:c r="S1047" s="16"/>
      <x:c r="T1047" s="15"/>
      <x:c r="U1047" s="6"/>
      <x:c r="V1047" s="6"/>
      <x:c r="W1047" s="6" t="str">
        <x:v>Existing find_route and show_route implement the kit routing model.</x:v>
      </x:c>
      <x:c r="X1047" s="6" t="str">
        <x:v>data/train/resplan-4378/questions_basic.jsonl</x:v>
      </x:c>
      <x:c r="Y1047" s="14" t="n">
        <x:v>5</x:v>
      </x:c>
      <x:c r="Z1047" s="6" t="str">
        <x:v>https://github.com/hagenhaeussler/Industrial-Agents-Hackathon-2026/blob/f41616590b69f3ea0c1cbfb41d6c35edd9ce53df/data/train/resplan-4378/questions_basic.jsonl#L5</x:v>
      </x:c>
      <x:c r="AA1047" s="6" t="str">
        <x:v>resplan</x:v>
      </x:c>
      <x:c r="AB1047" s="6" t="str">
        <x:v>CC-BY-4.0</x:v>
      </x:c>
    </x:row>
    <x:row r="1048" ht="72" customHeight="1">
      <x:c r="A1048" s="14" t="n">
        <x:v>1043</x:v>
      </x:c>
      <x:c r="B1048" s="6" t="str">
        <x:v>route</x:v>
      </x:c>
      <x:c r="C1048" s="6" t="str">
        <x:v>How do I get from Bathroom 0.04 (Ground floor) to Living room 0.01 (Ground floor)?</x:v>
      </x:c>
      <x:c r="D1048" s="6" t="str">
        <x:v>4.7 m
From: Bathroom 0.04
To: Living room 0.01
Ordered path (2 spaces): Bathroom 0.04 → Living room 0.01</x:v>
      </x:c>
      <x:c r="E1048" s="6" t="str">
        <x:v>Reference supplied</x:v>
      </x:c>
      <x:c r="F1048" s="6" t="str">
        <x:v>train</x:v>
      </x:c>
      <x:c r="G1048" s="6" t="str">
        <x:v>resplan-4378</x:v>
      </x:c>
      <x:c r="H1048" s="6" t="str">
        <x:v>resplan-4378-Q06</x:v>
      </x:c>
      <x:c r="I1048" s="6" t="str">
        <x:v>Route planning</x:v>
      </x:c>
      <x:c r="J1048" s="6" t="str">
        <x:v>Warm-up</x:v>
      </x:c>
      <x:c r="K1048" s="6" t="str">
        <x:v>Ordered space path and directions, plus total route-model distance in metres.</x:v>
      </x:c>
      <x:c r="L1048" s="6" t="str">
        <x:v>T02, T05, T13</x:v>
      </x:c>
      <x:c r="M1048" s="6" t="str">
        <x:v>Find a valid route between two rooms, including across floors.</x:v>
      </x:c>
      <x:c r="N1048" s="6" t="str">
        <x:v>{"from_space_id":"resplan-4378-F0-S004","to_space_id":"resplan-4378-F0-S001","optimal_length_m":4.7,"space_path":["resplan-4378-F0-S004","resplan-4378-F0-S001"],"element_path":["resplan-4378-F0-O0001","resplan-4378-F0-O0001"]}</x:v>
      </x:c>
      <x:c r="O1048" s="6"/>
      <x:c r="P1048" s="6" t="str">
        <x:v>README routing profile. Stairs and lifts allowed unless stated otherwise.</x:v>
      </x:c>
      <x:c r="Q1048" s="15" t="n">
        <x:v>4.7</x:v>
      </x:c>
      <x:c r="R1048" s="6" t="str">
        <x:v>m</x:v>
      </x:c>
      <x:c r="S1048" s="16"/>
      <x:c r="T1048" s="15"/>
      <x:c r="U1048" s="6"/>
      <x:c r="V1048" s="6"/>
      <x:c r="W1048" s="6" t="str">
        <x:v>Existing find_route and show_route implement the kit routing model.</x:v>
      </x:c>
      <x:c r="X1048" s="6" t="str">
        <x:v>data/train/resplan-4378/questions_basic.jsonl</x:v>
      </x:c>
      <x:c r="Y1048" s="14" t="n">
        <x:v>6</x:v>
      </x:c>
      <x:c r="Z1048" s="6" t="str">
        <x:v>https://github.com/hagenhaeussler/Industrial-Agents-Hackathon-2026/blob/f41616590b69f3ea0c1cbfb41d6c35edd9ce53df/data/train/resplan-4378/questions_basic.jsonl#L6</x:v>
      </x:c>
      <x:c r="AA1048" s="6" t="str">
        <x:v>resplan</x:v>
      </x:c>
      <x:c r="AB1048" s="6" t="str">
        <x:v>CC-BY-4.0</x:v>
      </x:c>
    </x:row>
    <x:row r="1049" ht="72" customHeight="1">
      <x:c r="A1049" s="14" t="n">
        <x:v>1044</x:v>
      </x:c>
      <x:c r="B1049" s="6" t="str">
        <x:v>route</x:v>
      </x:c>
      <x:c r="C1049" s="6" t="str">
        <x:v>How do I get from Kitchen 0.06 (Ground floor) to Bedroom 0.02 (Ground floor)?</x:v>
      </x:c>
      <x:c r="D1049" s="6" t="str">
        <x:v>11.57 m
From: Kitchen 0.06
To: Bedroom 0.02
Ordered path (3 spaces): Kitchen 0.06 → Living room 0.01 → Bedroom 0.02</x:v>
      </x:c>
      <x:c r="E1049" s="6" t="str">
        <x:v>Reference supplied</x:v>
      </x:c>
      <x:c r="F1049" s="6" t="str">
        <x:v>train</x:v>
      </x:c>
      <x:c r="G1049" s="6" t="str">
        <x:v>resplan-4378</x:v>
      </x:c>
      <x:c r="H1049" s="6" t="str">
        <x:v>resplan-4378-Q07</x:v>
      </x:c>
      <x:c r="I1049" s="6" t="str">
        <x:v>Route planning</x:v>
      </x:c>
      <x:c r="J1049" s="6" t="str">
        <x:v>Warm-up</x:v>
      </x:c>
      <x:c r="K1049" s="6" t="str">
        <x:v>Ordered space path and directions, plus total route-model distance in metres.</x:v>
      </x:c>
      <x:c r="L1049" s="6" t="str">
        <x:v>T02, T05, T13</x:v>
      </x:c>
      <x:c r="M1049" s="6" t="str">
        <x:v>Find a valid route between two rooms, including across floors.</x:v>
      </x:c>
      <x:c r="N1049" s="6" t="str">
        <x:v>{"from_space_id":"resplan-4378-F0-S006","to_space_id":"resplan-4378-F0-S002","optimal_length_m":11.57,"space_path":["resplan-4378-F0-S006","resplan-4378-F0-S001","resplan-4378-F0-S002"],"element_path":["resplan-4378-F0-O0006","resplan-4378-F0-O0006","resplan-4378-F0-O0002","resplan-4378-F0-O0002"]}</x:v>
      </x:c>
      <x:c r="O1049" s="6"/>
      <x:c r="P1049" s="6" t="str">
        <x:v>README routing profile. Stairs and lifts allowed unless stated otherwise.</x:v>
      </x:c>
      <x:c r="Q1049" s="15" t="n">
        <x:v>11.57</x:v>
      </x:c>
      <x:c r="R1049" s="6" t="str">
        <x:v>m</x:v>
      </x:c>
      <x:c r="S1049" s="16"/>
      <x:c r="T1049" s="15"/>
      <x:c r="U1049" s="6"/>
      <x:c r="V1049" s="6"/>
      <x:c r="W1049" s="6" t="str">
        <x:v>Existing find_route and show_route implement the kit routing model.</x:v>
      </x:c>
      <x:c r="X1049" s="6" t="str">
        <x:v>data/train/resplan-4378/questions_basic.jsonl</x:v>
      </x:c>
      <x:c r="Y1049" s="14" t="n">
        <x:v>7</x:v>
      </x:c>
      <x:c r="Z1049" s="6" t="str">
        <x:v>https://github.com/hagenhaeussler/Industrial-Agents-Hackathon-2026/blob/f41616590b69f3ea0c1cbfb41d6c35edd9ce53df/data/train/resplan-4378/questions_basic.jsonl#L7</x:v>
      </x:c>
      <x:c r="AA1049" s="6" t="str">
        <x:v>resplan</x:v>
      </x:c>
      <x:c r="AB1049" s="6" t="str">
        <x:v>CC-BY-4.0</x:v>
      </x:c>
    </x:row>
    <x:row r="1050" ht="82" customHeight="1">
      <x:c r="A1050" s="14" t="n">
        <x:v>1045</x:v>
      </x:c>
      <x:c r="B1050" s="6" t="str">
        <x:v>route</x:v>
      </x:c>
      <x:c r="C1050" s="6" t="str">
        <x:v>How do I get from Bathroom 0.05 (Ground floor) to Living room 0.01 (Ground floor)?</x:v>
      </x:c>
      <x:c r="D1050" s="6" t="str">
        <x:v>10.67 m
From: Bathroom 0.05
To: Living room 0.01
Ordered path (3 spaces): Bathroom 0.05 → Bedroom 0.03 → Living room 0.01</x:v>
      </x:c>
      <x:c r="E1050" s="6" t="str">
        <x:v>Reference supplied</x:v>
      </x:c>
      <x:c r="F1050" s="6" t="str">
        <x:v>train</x:v>
      </x:c>
      <x:c r="G1050" s="6" t="str">
        <x:v>resplan-4429</x:v>
      </x:c>
      <x:c r="H1050" s="6" t="str">
        <x:v>resplan-4429-Q05</x:v>
      </x:c>
      <x:c r="I1050" s="6" t="str">
        <x:v>Route planning</x:v>
      </x:c>
      <x:c r="J1050" s="6" t="str">
        <x:v>Warm-up</x:v>
      </x:c>
      <x:c r="K1050" s="6" t="str">
        <x:v>Ordered space path and directions, plus total route-model distance in metres.</x:v>
      </x:c>
      <x:c r="L1050" s="6" t="str">
        <x:v>T02, T05, T13</x:v>
      </x:c>
      <x:c r="M1050" s="6" t="str">
        <x:v>Find a valid route between two rooms, including across floors.</x:v>
      </x:c>
      <x:c r="N1050" s="6" t="str">
        <x:v>{"from_space_id":"resplan-4429-F0-S005","to_space_id":"resplan-4429-F0-S001","optimal_length_m":10.67,"space_path":["resplan-4429-F0-S005","resplan-4429-F0-S003","resplan-4429-F0-S001"],"element_path":["resplan-4429-F0-O0005","resplan-4429-F0-O0005","resplan-4429-F0-O0004","resplan-4429-F0-O0004"]}</x:v>
      </x:c>
      <x:c r="O1050" s="6"/>
      <x:c r="P1050" s="6" t="str">
        <x:v>README routing profile. Stairs and lifts allowed unless stated otherwise.</x:v>
      </x:c>
      <x:c r="Q1050" s="15" t="n">
        <x:v>10.67</x:v>
      </x:c>
      <x:c r="R1050" s="6" t="str">
        <x:v>m</x:v>
      </x:c>
      <x:c r="S1050" s="16"/>
      <x:c r="T1050" s="15"/>
      <x:c r="U1050" s="6"/>
      <x:c r="V1050" s="6"/>
      <x:c r="W1050" s="6" t="str">
        <x:v>Existing find_route and show_route implement the kit routing model.</x:v>
      </x:c>
      <x:c r="X1050" s="6" t="str">
        <x:v>data/train/resplan-4429/questions_basic.jsonl</x:v>
      </x:c>
      <x:c r="Y1050" s="14" t="n">
        <x:v>5</x:v>
      </x:c>
      <x:c r="Z1050" s="6" t="str">
        <x:v>https://github.com/hagenhaeussler/Industrial-Agents-Hackathon-2026/blob/f41616590b69f3ea0c1cbfb41d6c35edd9ce53df/data/train/resplan-4429/questions_basic.jsonl#L5</x:v>
      </x:c>
      <x:c r="AA1050" s="6" t="str">
        <x:v>resplan</x:v>
      </x:c>
      <x:c r="AB1050" s="6" t="str">
        <x:v>CC-BY-4.0</x:v>
      </x:c>
    </x:row>
    <x:row r="1051" ht="72" customHeight="1">
      <x:c r="A1051" s="14" t="n">
        <x:v>1046</x:v>
      </x:c>
      <x:c r="B1051" s="6" t="str">
        <x:v>route</x:v>
      </x:c>
      <x:c r="C1051" s="6" t="str">
        <x:v>How do I get from Living room 0.01 (Ground floor) to Bedroom 0.02 (Ground floor)?</x:v>
      </x:c>
      <x:c r="D1051" s="6" t="str">
        <x:v>6.71 m
From: Living room 0.01
To: Bedroom 0.02
Ordered path (2 spaces): Living room 0.01 → Bedroom 0.02</x:v>
      </x:c>
      <x:c r="E1051" s="6" t="str">
        <x:v>Reference supplied</x:v>
      </x:c>
      <x:c r="F1051" s="6" t="str">
        <x:v>train</x:v>
      </x:c>
      <x:c r="G1051" s="6" t="str">
        <x:v>resplan-4429</x:v>
      </x:c>
      <x:c r="H1051" s="6" t="str">
        <x:v>resplan-4429-Q06</x:v>
      </x:c>
      <x:c r="I1051" s="6" t="str">
        <x:v>Route planning</x:v>
      </x:c>
      <x:c r="J1051" s="6" t="str">
        <x:v>Warm-up</x:v>
      </x:c>
      <x:c r="K1051" s="6" t="str">
        <x:v>Ordered space path and directions, plus total route-model distance in metres.</x:v>
      </x:c>
      <x:c r="L1051" s="6" t="str">
        <x:v>T02, T05, T13</x:v>
      </x:c>
      <x:c r="M1051" s="6" t="str">
        <x:v>Find a valid route between two rooms, including across floors.</x:v>
      </x:c>
      <x:c r="N1051" s="6" t="str">
        <x:v>{"from_space_id":"resplan-4429-F0-S001","to_space_id":"resplan-4429-F0-S002","optimal_length_m":6.71,"space_path":["resplan-4429-F0-S001","resplan-4429-F0-S002"],"element_path":["resplan-4429-F0-O0003","resplan-4429-F0-O0003"]}</x:v>
      </x:c>
      <x:c r="O1051" s="6"/>
      <x:c r="P1051" s="6" t="str">
        <x:v>README routing profile. Stairs and lifts allowed unless stated otherwise.</x:v>
      </x:c>
      <x:c r="Q1051" s="15" t="n">
        <x:v>6.71</x:v>
      </x:c>
      <x:c r="R1051" s="6" t="str">
        <x:v>m</x:v>
      </x:c>
      <x:c r="S1051" s="16"/>
      <x:c r="T1051" s="15"/>
      <x:c r="U1051" s="6"/>
      <x:c r="V1051" s="6"/>
      <x:c r="W1051" s="6" t="str">
        <x:v>Existing find_route and show_route implement the kit routing model.</x:v>
      </x:c>
      <x:c r="X1051" s="6" t="str">
        <x:v>data/train/resplan-4429/questions_basic.jsonl</x:v>
      </x:c>
      <x:c r="Y1051" s="14" t="n">
        <x:v>6</x:v>
      </x:c>
      <x:c r="Z1051" s="6" t="str">
        <x:v>https://github.com/hagenhaeussler/Industrial-Agents-Hackathon-2026/blob/f41616590b69f3ea0c1cbfb41d6c35edd9ce53df/data/train/resplan-4429/questions_basic.jsonl#L6</x:v>
      </x:c>
      <x:c r="AA1051" s="6" t="str">
        <x:v>resplan</x:v>
      </x:c>
      <x:c r="AB1051" s="6" t="str">
        <x:v>CC-BY-4.0</x:v>
      </x:c>
    </x:row>
    <x:row r="1052" ht="72" customHeight="1">
      <x:c r="A1052" s="14" t="n">
        <x:v>1047</x:v>
      </x:c>
      <x:c r="B1052" s="6" t="str">
        <x:v>route</x:v>
      </x:c>
      <x:c r="C1052" s="6" t="str">
        <x:v>How do I get from Living room 0.01 (Ground floor) to Bedroom 0.03 (Ground floor)?</x:v>
      </x:c>
      <x:c r="D1052" s="6" t="str">
        <x:v>6.77 m
From: Living room 0.01
To: Bedroom 0.03
Ordered path (2 spaces): Living room 0.01 → Bedroom 0.03</x:v>
      </x:c>
      <x:c r="E1052" s="6" t="str">
        <x:v>Reference supplied</x:v>
      </x:c>
      <x:c r="F1052" s="6" t="str">
        <x:v>train</x:v>
      </x:c>
      <x:c r="G1052" s="6" t="str">
        <x:v>resplan-4429</x:v>
      </x:c>
      <x:c r="H1052" s="6" t="str">
        <x:v>resplan-4429-Q07</x:v>
      </x:c>
      <x:c r="I1052" s="6" t="str">
        <x:v>Route planning</x:v>
      </x:c>
      <x:c r="J1052" s="6" t="str">
        <x:v>Warm-up</x:v>
      </x:c>
      <x:c r="K1052" s="6" t="str">
        <x:v>Ordered space path and directions, plus total route-model distance in metres.</x:v>
      </x:c>
      <x:c r="L1052" s="6" t="str">
        <x:v>T02, T05, T13</x:v>
      </x:c>
      <x:c r="M1052" s="6" t="str">
        <x:v>Find a valid route between two rooms, including across floors.</x:v>
      </x:c>
      <x:c r="N1052" s="6" t="str">
        <x:v>{"from_space_id":"resplan-4429-F0-S001","to_space_id":"resplan-4429-F0-S003","optimal_length_m":6.77,"space_path":["resplan-4429-F0-S001","resplan-4429-F0-S003"],"element_path":["resplan-4429-F0-O0004","resplan-4429-F0-O0004"]}</x:v>
      </x:c>
      <x:c r="O1052" s="6"/>
      <x:c r="P1052" s="6" t="str">
        <x:v>README routing profile. Stairs and lifts allowed unless stated otherwise.</x:v>
      </x:c>
      <x:c r="Q1052" s="15" t="n">
        <x:v>6.77</x:v>
      </x:c>
      <x:c r="R1052" s="6" t="str">
        <x:v>m</x:v>
      </x:c>
      <x:c r="S1052" s="16"/>
      <x:c r="T1052" s="15"/>
      <x:c r="U1052" s="6"/>
      <x:c r="V1052" s="6"/>
      <x:c r="W1052" s="6" t="str">
        <x:v>Existing find_route and show_route implement the kit routing model.</x:v>
      </x:c>
      <x:c r="X1052" s="6" t="str">
        <x:v>data/train/resplan-4429/questions_basic.jsonl</x:v>
      </x:c>
      <x:c r="Y1052" s="14" t="n">
        <x:v>7</x:v>
      </x:c>
      <x:c r="Z1052" s="6" t="str">
        <x:v>https://github.com/hagenhaeussler/Industrial-Agents-Hackathon-2026/blob/f41616590b69f3ea0c1cbfb41d6c35edd9ce53df/data/train/resplan-4429/questions_basic.jsonl#L7</x:v>
      </x:c>
      <x:c r="AA1052" s="6" t="str">
        <x:v>resplan</x:v>
      </x:c>
      <x:c r="AB1052" s="6" t="str">
        <x:v>CC-BY-4.0</x:v>
      </x:c>
    </x:row>
    <x:row r="1053" ht="72" customHeight="1">
      <x:c r="A1053" s="14" t="n">
        <x:v>1048</x:v>
      </x:c>
      <x:c r="B1053" s="6" t="str">
        <x:v>route</x:v>
      </x:c>
      <x:c r="C1053" s="6" t="str">
        <x:v>How do I get from Kitchen 0.07 (Ground floor) to Bedroom 0.04 (Ground floor)?</x:v>
      </x:c>
      <x:c r="D1053" s="6" t="str">
        <x:v>8.53 m
From: Kitchen 0.07
To: Bedroom 0.04
Ordered path (3 spaces): Kitchen 0.07 → Living room 0.01 → Bedroom 0.04</x:v>
      </x:c>
      <x:c r="E1053" s="6" t="str">
        <x:v>Reference supplied</x:v>
      </x:c>
      <x:c r="F1053" s="6" t="str">
        <x:v>train</x:v>
      </x:c>
      <x:c r="G1053" s="6" t="str">
        <x:v>resplan-4453</x:v>
      </x:c>
      <x:c r="H1053" s="6" t="str">
        <x:v>resplan-4453-Q05</x:v>
      </x:c>
      <x:c r="I1053" s="6" t="str">
        <x:v>Route planning</x:v>
      </x:c>
      <x:c r="J1053" s="6" t="str">
        <x:v>Warm-up</x:v>
      </x:c>
      <x:c r="K1053" s="6" t="str">
        <x:v>Ordered space path and directions, plus total route-model distance in metres.</x:v>
      </x:c>
      <x:c r="L1053" s="6" t="str">
        <x:v>T02, T05, T13</x:v>
      </x:c>
      <x:c r="M1053" s="6" t="str">
        <x:v>Find a valid route between two rooms, including across floors.</x:v>
      </x:c>
      <x:c r="N1053" s="6" t="str">
        <x:v>{"from_space_id":"resplan-4453-F0-S007","to_space_id":"resplan-4453-F0-S004","optimal_length_m":8.53,"space_path":["resplan-4453-F0-S007","resplan-4453-F0-S001","resplan-4453-F0-S004"],"element_path":["resplan-4453-F0-O0003","resplan-4453-F0-O0003","resplan-4453-F0-O0006","resplan-4453-F0-O0006"]}</x:v>
      </x:c>
      <x:c r="O1053" s="6"/>
      <x:c r="P1053" s="6" t="str">
        <x:v>README routing profile. Stairs and lifts allowed unless stated otherwise.</x:v>
      </x:c>
      <x:c r="Q1053" s="15" t="n">
        <x:v>8.53</x:v>
      </x:c>
      <x:c r="R1053" s="6" t="str">
        <x:v>m</x:v>
      </x:c>
      <x:c r="S1053" s="16"/>
      <x:c r="T1053" s="15"/>
      <x:c r="U1053" s="6"/>
      <x:c r="V1053" s="6"/>
      <x:c r="W1053" s="6" t="str">
        <x:v>Existing find_route and show_route implement the kit routing model.</x:v>
      </x:c>
      <x:c r="X1053" s="6" t="str">
        <x:v>data/train/resplan-4453/questions_basic.jsonl</x:v>
      </x:c>
      <x:c r="Y1053" s="14" t="n">
        <x:v>5</x:v>
      </x:c>
      <x:c r="Z1053" s="6" t="str">
        <x:v>https://github.com/hagenhaeussler/Industrial-Agents-Hackathon-2026/blob/f41616590b69f3ea0c1cbfb41d6c35edd9ce53df/data/train/resplan-4453/questions_basic.jsonl#L5</x:v>
      </x:c>
      <x:c r="AA1053" s="6" t="str">
        <x:v>resplan</x:v>
      </x:c>
      <x:c r="AB1053" s="6" t="str">
        <x:v>CC-BY-4.0</x:v>
      </x:c>
    </x:row>
    <x:row r="1054" ht="82" customHeight="1">
      <x:c r="A1054" s="14" t="n">
        <x:v>1049</x:v>
      </x:c>
      <x:c r="B1054" s="6" t="str">
        <x:v>route</x:v>
      </x:c>
      <x:c r="C1054" s="6" t="str">
        <x:v>How do I get from Bathroom 0.05 (Ground floor) to Bathroom 0.06 (Ground floor)?</x:v>
      </x:c>
      <x:c r="D1054" s="6" t="str">
        <x:v>11.66 m
From: Bathroom 0.05
To: Bathroom 0.06
Ordered path (4 spaces): Bathroom 0.05 → Bedroom 0.04 → Living room 0.01 → Bathroom 0.06</x:v>
      </x:c>
      <x:c r="E1054" s="6" t="str">
        <x:v>Reference supplied</x:v>
      </x:c>
      <x:c r="F1054" s="6" t="str">
        <x:v>train</x:v>
      </x:c>
      <x:c r="G1054" s="6" t="str">
        <x:v>resplan-4453</x:v>
      </x:c>
      <x:c r="H1054" s="6" t="str">
        <x:v>resplan-4453-Q06</x:v>
      </x:c>
      <x:c r="I1054" s="6" t="str">
        <x:v>Route planning</x:v>
      </x:c>
      <x:c r="J1054" s="6" t="str">
        <x:v>Warm-up</x:v>
      </x:c>
      <x:c r="K1054" s="6" t="str">
        <x:v>Ordered space path and directions, plus total route-model distance in metres.</x:v>
      </x:c>
      <x:c r="L1054" s="6" t="str">
        <x:v>T02, T05, T13</x:v>
      </x:c>
      <x:c r="M1054" s="6" t="str">
        <x:v>Find a valid route between two rooms, including across floors.</x:v>
      </x:c>
      <x:c r="N1054" s="6" t="str">
        <x:v>{"from_space_id":"resplan-4453-F0-S005","to_space_id":"resplan-4453-F0-S006","optimal_length_m":11.66,"space_path":["resplan-4453-F0-S005","resplan-4453-F0-S004","resplan-4453-F0-S001","resplan-4453-F0-S006"],"element_path":["resplan-4453-F0-O0005","resplan-4453-F0-O0005","resplan-4453-F0-O0006","resplan-4453-F0-O0006","resplan-4453-F0-O0002","resplan-4453-F0-O0002"]}</x:v>
      </x:c>
      <x:c r="O1054" s="6"/>
      <x:c r="P1054" s="6" t="str">
        <x:v>README routing profile. Stairs and lifts allowed unless stated otherwise.</x:v>
      </x:c>
      <x:c r="Q1054" s="15" t="n">
        <x:v>11.66</x:v>
      </x:c>
      <x:c r="R1054" s="6" t="str">
        <x:v>m</x:v>
      </x:c>
      <x:c r="S1054" s="16"/>
      <x:c r="T1054" s="15"/>
      <x:c r="U1054" s="6"/>
      <x:c r="V1054" s="6"/>
      <x:c r="W1054" s="6" t="str">
        <x:v>Existing find_route and show_route implement the kit routing model.</x:v>
      </x:c>
      <x:c r="X1054" s="6" t="str">
        <x:v>data/train/resplan-4453/questions_basic.jsonl</x:v>
      </x:c>
      <x:c r="Y1054" s="14" t="n">
        <x:v>6</x:v>
      </x:c>
      <x:c r="Z1054" s="6" t="str">
        <x:v>https://github.com/hagenhaeussler/Industrial-Agents-Hackathon-2026/blob/f41616590b69f3ea0c1cbfb41d6c35edd9ce53df/data/train/resplan-4453/questions_basic.jsonl#L6</x:v>
      </x:c>
      <x:c r="AA1054" s="6" t="str">
        <x:v>resplan</x:v>
      </x:c>
      <x:c r="AB1054" s="6" t="str">
        <x:v>CC-BY-4.0</x:v>
      </x:c>
    </x:row>
    <x:row r="1055" ht="82" customHeight="1">
      <x:c r="A1055" s="14" t="n">
        <x:v>1050</x:v>
      </x:c>
      <x:c r="B1055" s="6" t="str">
        <x:v>route</x:v>
      </x:c>
      <x:c r="C1055" s="6" t="str">
        <x:v>How do I get from Bedroom 0.02 (Ground floor) to Bathroom 0.05 (Ground floor)?</x:v>
      </x:c>
      <x:c r="D1055" s="6" t="str">
        <x:v>14.18 m
From: Bedroom 0.02
To: Bathroom 0.05
Ordered path (4 spaces): Bedroom 0.02 → Living room 0.01 → Bedroom 0.04 → Bathroom 0.05</x:v>
      </x:c>
      <x:c r="E1055" s="6" t="str">
        <x:v>Reference supplied</x:v>
      </x:c>
      <x:c r="F1055" s="6" t="str">
        <x:v>train</x:v>
      </x:c>
      <x:c r="G1055" s="6" t="str">
        <x:v>resplan-4453</x:v>
      </x:c>
      <x:c r="H1055" s="6" t="str">
        <x:v>resplan-4453-Q07</x:v>
      </x:c>
      <x:c r="I1055" s="6" t="str">
        <x:v>Route planning</x:v>
      </x:c>
      <x:c r="J1055" s="6" t="str">
        <x:v>Warm-up</x:v>
      </x:c>
      <x:c r="K1055" s="6" t="str">
        <x:v>Ordered space path and directions, plus total route-model distance in metres.</x:v>
      </x:c>
      <x:c r="L1055" s="6" t="str">
        <x:v>T02, T05, T13</x:v>
      </x:c>
      <x:c r="M1055" s="6" t="str">
        <x:v>Find a valid route between two rooms, including across floors.</x:v>
      </x:c>
      <x:c r="N1055" s="6" t="str">
        <x:v>{"from_space_id":"resplan-4453-F0-S002","to_space_id":"resplan-4453-F0-S005","optimal_length_m":14.18,"space_path":["resplan-4453-F0-S002","resplan-4453-F0-S001","resplan-4453-F0-S004","resplan-4453-F0-S005"],"element_path":["resplan-4453-F0-O0001","resplan-4453-F0-O0001","resplan-4453-F0-O0006","resplan-4453-F0-O0006","resplan-4453-F0-O0005","resplan-4453-F0-O0005"]}</x:v>
      </x:c>
      <x:c r="O1055" s="6"/>
      <x:c r="P1055" s="6" t="str">
        <x:v>README routing profile. Stairs and lifts allowed unless stated otherwise.</x:v>
      </x:c>
      <x:c r="Q1055" s="15" t="n">
        <x:v>14.18</x:v>
      </x:c>
      <x:c r="R1055" s="6" t="str">
        <x:v>m</x:v>
      </x:c>
      <x:c r="S1055" s="16"/>
      <x:c r="T1055" s="15"/>
      <x:c r="U1055" s="6"/>
      <x:c r="V1055" s="6"/>
      <x:c r="W1055" s="6" t="str">
        <x:v>Existing find_route and show_route implement the kit routing model.</x:v>
      </x:c>
      <x:c r="X1055" s="6" t="str">
        <x:v>data/train/resplan-4453/questions_basic.jsonl</x:v>
      </x:c>
      <x:c r="Y1055" s="14" t="n">
        <x:v>7</x:v>
      </x:c>
      <x:c r="Z1055" s="6" t="str">
        <x:v>https://github.com/hagenhaeussler/Industrial-Agents-Hackathon-2026/blob/f41616590b69f3ea0c1cbfb41d6c35edd9ce53df/data/train/resplan-4453/questions_basic.jsonl#L7</x:v>
      </x:c>
      <x:c r="AA1055" s="6" t="str">
        <x:v>resplan</x:v>
      </x:c>
      <x:c r="AB1055" s="6" t="str">
        <x:v>CC-BY-4.0</x:v>
      </x:c>
    </x:row>
    <x:row r="1056" ht="82" customHeight="1">
      <x:c r="A1056" s="14" t="n">
        <x:v>1051</x:v>
      </x:c>
      <x:c r="B1056" s="6" t="str">
        <x:v>route</x:v>
      </x:c>
      <x:c r="C1056" s="6" t="str">
        <x:v>How do I get from Bedroom 0.02 (Ground floor) to Bathroom 0.04 (Ground floor)?</x:v>
      </x:c>
      <x:c r="D1056" s="6" t="str">
        <x:v>10.46 m
From: Bedroom 0.02
To: Bathroom 0.04
Ordered path (3 spaces): Bedroom 0.02 → Living room 0.01 → Bathroom 0.04</x:v>
      </x:c>
      <x:c r="E1056" s="6" t="str">
        <x:v>Reference supplied</x:v>
      </x:c>
      <x:c r="F1056" s="6" t="str">
        <x:v>train</x:v>
      </x:c>
      <x:c r="G1056" s="6" t="str">
        <x:v>resplan-457</x:v>
      </x:c>
      <x:c r="H1056" s="6" t="str">
        <x:v>resplan-457-Q05</x:v>
      </x:c>
      <x:c r="I1056" s="6" t="str">
        <x:v>Route planning</x:v>
      </x:c>
      <x:c r="J1056" s="6" t="str">
        <x:v>Warm-up</x:v>
      </x:c>
      <x:c r="K1056" s="6" t="str">
        <x:v>Ordered space path and directions, plus total route-model distance in metres.</x:v>
      </x:c>
      <x:c r="L1056" s="6" t="str">
        <x:v>T02, T05, T13</x:v>
      </x:c>
      <x:c r="M1056" s="6" t="str">
        <x:v>Find a valid route between two rooms, including across floors.</x:v>
      </x:c>
      <x:c r="N1056" s="6" t="str">
        <x:v>{"from_space_id":"resplan-457-F0-S002","to_space_id":"resplan-457-F0-S004","optimal_length_m":10.46,"space_path":["resplan-457-F0-S002","resplan-457-F0-S001","resplan-457-F0-S004"],"element_path":["resplan-457-F0-O0001","resplan-457-F0-O0001","resplan-457-F0-O0002","resplan-457-F0-O0002"]}</x:v>
      </x:c>
      <x:c r="O1056" s="6"/>
      <x:c r="P1056" s="6" t="str">
        <x:v>README routing profile. Stairs and lifts allowed unless stated otherwise.</x:v>
      </x:c>
      <x:c r="Q1056" s="15" t="n">
        <x:v>10.46</x:v>
      </x:c>
      <x:c r="R1056" s="6" t="str">
        <x:v>m</x:v>
      </x:c>
      <x:c r="S1056" s="16"/>
      <x:c r="T1056" s="15"/>
      <x:c r="U1056" s="6"/>
      <x:c r="V1056" s="6"/>
      <x:c r="W1056" s="6" t="str">
        <x:v>Existing find_route and show_route implement the kit routing model.</x:v>
      </x:c>
      <x:c r="X1056" s="6" t="str">
        <x:v>data/train/resplan-457/questions_basic.jsonl</x:v>
      </x:c>
      <x:c r="Y1056" s="14" t="n">
        <x:v>5</x:v>
      </x:c>
      <x:c r="Z1056" s="6" t="str">
        <x:v>https://github.com/hagenhaeussler/Industrial-Agents-Hackathon-2026/blob/f41616590b69f3ea0c1cbfb41d6c35edd9ce53df/data/train/resplan-457/questions_basic.jsonl#L5</x:v>
      </x:c>
      <x:c r="AA1056" s="6" t="str">
        <x:v>resplan</x:v>
      </x:c>
      <x:c r="AB1056" s="6" t="str">
        <x:v>CC-BY-4.0</x:v>
      </x:c>
    </x:row>
    <x:row r="1057" ht="82" customHeight="1">
      <x:c r="A1057" s="14" t="n">
        <x:v>1052</x:v>
      </x:c>
      <x:c r="B1057" s="6" t="str">
        <x:v>route</x:v>
      </x:c>
      <x:c r="C1057" s="6" t="str">
        <x:v>How do I get from Kitchen 0.06 (Ground floor) to Bathroom 0.05 (Ground floor)?</x:v>
      </x:c>
      <x:c r="D1057" s="6" t="str">
        <x:v>15.93 m
From: Kitchen 0.06
To: Bathroom 0.05
Ordered path (4 spaces): Kitchen 0.06 → Living room 0.01 → Bedroom 0.03 → Bathroom 0.05</x:v>
      </x:c>
      <x:c r="E1057" s="6" t="str">
        <x:v>Reference supplied</x:v>
      </x:c>
      <x:c r="F1057" s="6" t="str">
        <x:v>train</x:v>
      </x:c>
      <x:c r="G1057" s="6" t="str">
        <x:v>resplan-457</x:v>
      </x:c>
      <x:c r="H1057" s="6" t="str">
        <x:v>resplan-457-Q06</x:v>
      </x:c>
      <x:c r="I1057" s="6" t="str">
        <x:v>Route planning</x:v>
      </x:c>
      <x:c r="J1057" s="6" t="str">
        <x:v>Warm-up</x:v>
      </x:c>
      <x:c r="K1057" s="6" t="str">
        <x:v>Ordered space path and directions, plus total route-model distance in metres.</x:v>
      </x:c>
      <x:c r="L1057" s="6" t="str">
        <x:v>T02, T05, T13</x:v>
      </x:c>
      <x:c r="M1057" s="6" t="str">
        <x:v>Find a valid route between two rooms, including across floors.</x:v>
      </x:c>
      <x:c r="N1057" s="6" t="str">
        <x:v>{"from_space_id":"resplan-457-F0-S006","to_space_id":"resplan-457-F0-S005","optimal_length_m":15.93,"space_path":["resplan-457-F0-S006","resplan-457-F0-S001","resplan-457-F0-S003","resplan-457-F0-S005"],"element_path":["resplan-457-F0-O0006","resplan-457-F0-O0006","resplan-457-F0-O0003","resplan-457-F0-O0003","resplan-457-F0-O0004","resplan-457-F0-O0004"]}</x:v>
      </x:c>
      <x:c r="O1057" s="6"/>
      <x:c r="P1057" s="6" t="str">
        <x:v>README routing profile. Stairs and lifts allowed unless stated otherwise.</x:v>
      </x:c>
      <x:c r="Q1057" s="15" t="n">
        <x:v>15.93</x:v>
      </x:c>
      <x:c r="R1057" s="6" t="str">
        <x:v>m</x:v>
      </x:c>
      <x:c r="S1057" s="16"/>
      <x:c r="T1057" s="15"/>
      <x:c r="U1057" s="6"/>
      <x:c r="V1057" s="6"/>
      <x:c r="W1057" s="6" t="str">
        <x:v>Existing find_route and show_route implement the kit routing model.</x:v>
      </x:c>
      <x:c r="X1057" s="6" t="str">
        <x:v>data/train/resplan-457/questions_basic.jsonl</x:v>
      </x:c>
      <x:c r="Y1057" s="14" t="n">
        <x:v>6</x:v>
      </x:c>
      <x:c r="Z1057" s="6" t="str">
        <x:v>https://github.com/hagenhaeussler/Industrial-Agents-Hackathon-2026/blob/f41616590b69f3ea0c1cbfb41d6c35edd9ce53df/data/train/resplan-457/questions_basic.jsonl#L6</x:v>
      </x:c>
      <x:c r="AA1057" s="6" t="str">
        <x:v>resplan</x:v>
      </x:c>
      <x:c r="AB1057" s="6" t="str">
        <x:v>CC-BY-4.0</x:v>
      </x:c>
    </x:row>
    <x:row r="1058" ht="72" customHeight="1">
      <x:c r="A1058" s="14" t="n">
        <x:v>1053</x:v>
      </x:c>
      <x:c r="B1058" s="6" t="str">
        <x:v>route</x:v>
      </x:c>
      <x:c r="C1058" s="6" t="str">
        <x:v>How do I get from Kitchen 0.06 (Ground floor) to Bedroom 0.03 (Ground floor)?</x:v>
      </x:c>
      <x:c r="D1058" s="6" t="str">
        <x:v>11.82 m
From: Kitchen 0.06
To: Bedroom 0.03
Ordered path (3 spaces): Kitchen 0.06 → Living room 0.01 → Bedroom 0.03</x:v>
      </x:c>
      <x:c r="E1058" s="6" t="str">
        <x:v>Reference supplied</x:v>
      </x:c>
      <x:c r="F1058" s="6" t="str">
        <x:v>train</x:v>
      </x:c>
      <x:c r="G1058" s="6" t="str">
        <x:v>resplan-457</x:v>
      </x:c>
      <x:c r="H1058" s="6" t="str">
        <x:v>resplan-457-Q07</x:v>
      </x:c>
      <x:c r="I1058" s="6" t="str">
        <x:v>Route planning</x:v>
      </x:c>
      <x:c r="J1058" s="6" t="str">
        <x:v>Warm-up</x:v>
      </x:c>
      <x:c r="K1058" s="6" t="str">
        <x:v>Ordered space path and directions, plus total route-model distance in metres.</x:v>
      </x:c>
      <x:c r="L1058" s="6" t="str">
        <x:v>T02, T05, T13</x:v>
      </x:c>
      <x:c r="M1058" s="6" t="str">
        <x:v>Find a valid route between two rooms, including across floors.</x:v>
      </x:c>
      <x:c r="N1058" s="6" t="str">
        <x:v>{"from_space_id":"resplan-457-F0-S006","to_space_id":"resplan-457-F0-S003","optimal_length_m":11.82,"space_path":["resplan-457-F0-S006","resplan-457-F0-S001","resplan-457-F0-S003"],"element_path":["resplan-457-F0-O0006","resplan-457-F0-O0006","resplan-457-F0-O0003","resplan-457-F0-O0003"]}</x:v>
      </x:c>
      <x:c r="O1058" s="6"/>
      <x:c r="P1058" s="6" t="str">
        <x:v>README routing profile. Stairs and lifts allowed unless stated otherwise.</x:v>
      </x:c>
      <x:c r="Q1058" s="15" t="n">
        <x:v>11.82</x:v>
      </x:c>
      <x:c r="R1058" s="6" t="str">
        <x:v>m</x:v>
      </x:c>
      <x:c r="S1058" s="16"/>
      <x:c r="T1058" s="15"/>
      <x:c r="U1058" s="6"/>
      <x:c r="V1058" s="6"/>
      <x:c r="W1058" s="6" t="str">
        <x:v>Existing find_route and show_route implement the kit routing model.</x:v>
      </x:c>
      <x:c r="X1058" s="6" t="str">
        <x:v>data/train/resplan-457/questions_basic.jsonl</x:v>
      </x:c>
      <x:c r="Y1058" s="14" t="n">
        <x:v>7</x:v>
      </x:c>
      <x:c r="Z1058" s="6" t="str">
        <x:v>https://github.com/hagenhaeussler/Industrial-Agents-Hackathon-2026/blob/f41616590b69f3ea0c1cbfb41d6c35edd9ce53df/data/train/resplan-457/questions_basic.jsonl#L7</x:v>
      </x:c>
      <x:c r="AA1058" s="6" t="str">
        <x:v>resplan</x:v>
      </x:c>
      <x:c r="AB1058" s="6" t="str">
        <x:v>CC-BY-4.0</x:v>
      </x:c>
    </x:row>
    <x:row r="1059" ht="72" customHeight="1">
      <x:c r="A1059" s="14" t="n">
        <x:v>1054</x:v>
      </x:c>
      <x:c r="B1059" s="6" t="str">
        <x:v>route</x:v>
      </x:c>
      <x:c r="C1059" s="6" t="str">
        <x:v>How do I get from Storage 0.10 (Ground floor) to Bedroom 0.03 (Ground floor)?</x:v>
      </x:c>
      <x:c r="D1059" s="6" t="str">
        <x:v>20.87 m
From: Storage 0.10
To: Bedroom 0.03
Ordered path (3 spaces): Storage 0.10 → Living room 0.01 → Bedroom 0.03</x:v>
      </x:c>
      <x:c r="E1059" s="6" t="str">
        <x:v>Reference supplied</x:v>
      </x:c>
      <x:c r="F1059" s="6" t="str">
        <x:v>train</x:v>
      </x:c>
      <x:c r="G1059" s="6" t="str">
        <x:v>resplan-47</x:v>
      </x:c>
      <x:c r="H1059" s="6" t="str">
        <x:v>resplan-47-Q05</x:v>
      </x:c>
      <x:c r="I1059" s="6" t="str">
        <x:v>Route planning</x:v>
      </x:c>
      <x:c r="J1059" s="6" t="str">
        <x:v>Warm-up</x:v>
      </x:c>
      <x:c r="K1059" s="6" t="str">
        <x:v>Ordered space path and directions, plus total route-model distance in metres.</x:v>
      </x:c>
      <x:c r="L1059" s="6" t="str">
        <x:v>T02, T05, T13</x:v>
      </x:c>
      <x:c r="M1059" s="6" t="str">
        <x:v>Find a valid route between two rooms, including across floors.</x:v>
      </x:c>
      <x:c r="N1059" s="6" t="str">
        <x:v>{"from_space_id":"resplan-47-F0-S010","to_space_id":"resplan-47-F0-S003","optimal_length_m":20.87,"space_path":["resplan-47-F0-S010","resplan-47-F0-S001","resplan-47-F0-S003"],"element_path":["resplan-47-F0-O0012","resplan-47-F0-O0012","resplan-47-F0-O0004","resplan-47-F0-O0004"]}</x:v>
      </x:c>
      <x:c r="O1059" s="6"/>
      <x:c r="P1059" s="6" t="str">
        <x:v>README routing profile. Stairs and lifts allowed unless stated otherwise.</x:v>
      </x:c>
      <x:c r="Q1059" s="15" t="n">
        <x:v>20.87</x:v>
      </x:c>
      <x:c r="R1059" s="6" t="str">
        <x:v>m</x:v>
      </x:c>
      <x:c r="S1059" s="16"/>
      <x:c r="T1059" s="15"/>
      <x:c r="U1059" s="6"/>
      <x:c r="V1059" s="6"/>
      <x:c r="W1059" s="6" t="str">
        <x:v>Existing find_route and show_route implement the kit routing model.</x:v>
      </x:c>
      <x:c r="X1059" s="6" t="str">
        <x:v>data/train/resplan-47/questions_basic.jsonl</x:v>
      </x:c>
      <x:c r="Y1059" s="14" t="n">
        <x:v>5</x:v>
      </x:c>
      <x:c r="Z1059" s="6" t="str">
        <x:v>https://github.com/hagenhaeussler/Industrial-Agents-Hackathon-2026/blob/f41616590b69f3ea0c1cbfb41d6c35edd9ce53df/data/train/resplan-47/questions_basic.jsonl#L5</x:v>
      </x:c>
      <x:c r="AA1059" s="6" t="str">
        <x:v>resplan</x:v>
      </x:c>
      <x:c r="AB1059" s="6" t="str">
        <x:v>CC-BY-4.0</x:v>
      </x:c>
    </x:row>
    <x:row r="1060" ht="72" customHeight="1">
      <x:c r="A1060" s="14" t="n">
        <x:v>1055</x:v>
      </x:c>
      <x:c r="B1060" s="6" t="str">
        <x:v>route</x:v>
      </x:c>
      <x:c r="C1060" s="6" t="str">
        <x:v>How do I get from Living room 0.01 (Ground floor) to Bedroom 0.05 (Ground floor)?</x:v>
      </x:c>
      <x:c r="D1060" s="6" t="str">
        <x:v>9.32 m
From: Living room 0.01
To: Bedroom 0.05
Ordered path (2 spaces): Living room 0.01 → Bedroom 0.05</x:v>
      </x:c>
      <x:c r="E1060" s="6" t="str">
        <x:v>Reference supplied</x:v>
      </x:c>
      <x:c r="F1060" s="6" t="str">
        <x:v>train</x:v>
      </x:c>
      <x:c r="G1060" s="6" t="str">
        <x:v>resplan-47</x:v>
      </x:c>
      <x:c r="H1060" s="6" t="str">
        <x:v>resplan-47-Q06</x:v>
      </x:c>
      <x:c r="I1060" s="6" t="str">
        <x:v>Route planning</x:v>
      </x:c>
      <x:c r="J1060" s="6" t="str">
        <x:v>Warm-up</x:v>
      </x:c>
      <x:c r="K1060" s="6" t="str">
        <x:v>Ordered space path and directions, plus total route-model distance in metres.</x:v>
      </x:c>
      <x:c r="L1060" s="6" t="str">
        <x:v>T02, T05, T13</x:v>
      </x:c>
      <x:c r="M1060" s="6" t="str">
        <x:v>Find a valid route between two rooms, including across floors.</x:v>
      </x:c>
      <x:c r="N1060" s="6" t="str">
        <x:v>{"from_space_id":"resplan-47-F0-S001","to_space_id":"resplan-47-F0-S005","optimal_length_m":9.32,"space_path":["resplan-47-F0-S001","resplan-47-F0-S005"],"element_path":["resplan-47-F0-O0006","resplan-47-F0-O0006"]}</x:v>
      </x:c>
      <x:c r="O1060" s="6"/>
      <x:c r="P1060" s="6" t="str">
        <x:v>README routing profile. Stairs and lifts allowed unless stated otherwise.</x:v>
      </x:c>
      <x:c r="Q1060" s="15" t="n">
        <x:v>9.32</x:v>
      </x:c>
      <x:c r="R1060" s="6" t="str">
        <x:v>m</x:v>
      </x:c>
      <x:c r="S1060" s="16"/>
      <x:c r="T1060" s="15"/>
      <x:c r="U1060" s="6"/>
      <x:c r="V1060" s="6"/>
      <x:c r="W1060" s="6" t="str">
        <x:v>Existing find_route and show_route implement the kit routing model.</x:v>
      </x:c>
      <x:c r="X1060" s="6" t="str">
        <x:v>data/train/resplan-47/questions_basic.jsonl</x:v>
      </x:c>
      <x:c r="Y1060" s="14" t="n">
        <x:v>6</x:v>
      </x:c>
      <x:c r="Z1060" s="6" t="str">
        <x:v>https://github.com/hagenhaeussler/Industrial-Agents-Hackathon-2026/blob/f41616590b69f3ea0c1cbfb41d6c35edd9ce53df/data/train/resplan-47/questions_basic.jsonl#L6</x:v>
      </x:c>
      <x:c r="AA1060" s="6" t="str">
        <x:v>resplan</x:v>
      </x:c>
      <x:c r="AB1060" s="6" t="str">
        <x:v>CC-BY-4.0</x:v>
      </x:c>
    </x:row>
    <x:row r="1061" ht="82" customHeight="1">
      <x:c r="A1061" s="14" t="n">
        <x:v>1056</x:v>
      </x:c>
      <x:c r="B1061" s="6" t="str">
        <x:v>route</x:v>
      </x:c>
      <x:c r="C1061" s="6" t="str">
        <x:v>How do I get from Bedroom 0.03 (Ground floor) to Living room 0.02 (Ground floor)?</x:v>
      </x:c>
      <x:c r="D1061" s="6" t="str">
        <x:v>21.34 m
From: Bedroom 0.03
To: Living room 0.02
Ordered path (4 spaces): Bedroom 0.03 → Living room 0.01 → Kitchen 0.09 → Living room 0.02</x:v>
      </x:c>
      <x:c r="E1061" s="6" t="str">
        <x:v>Reference supplied</x:v>
      </x:c>
      <x:c r="F1061" s="6" t="str">
        <x:v>train</x:v>
      </x:c>
      <x:c r="G1061" s="6" t="str">
        <x:v>resplan-47</x:v>
      </x:c>
      <x:c r="H1061" s="6" t="str">
        <x:v>resplan-47-Q07</x:v>
      </x:c>
      <x:c r="I1061" s="6" t="str">
        <x:v>Route planning</x:v>
      </x:c>
      <x:c r="J1061" s="6" t="str">
        <x:v>Warm-up</x:v>
      </x:c>
      <x:c r="K1061" s="6" t="str">
        <x:v>Ordered space path and directions, plus total route-model distance in metres.</x:v>
      </x:c>
      <x:c r="L1061" s="6" t="str">
        <x:v>T02, T05, T13</x:v>
      </x:c>
      <x:c r="M1061" s="6" t="str">
        <x:v>Find a valid route between two rooms, including across floors.</x:v>
      </x:c>
      <x:c r="N1061" s="6" t="str">
        <x:v>{"from_space_id":"resplan-47-F0-S003","to_space_id":"resplan-47-F0-S002","optimal_length_m":21.34,"space_path":["resplan-47-F0-S003","resplan-47-F0-S001","resplan-47-F0-S009","resplan-47-F0-S002"],"element_path":["resplan-47-F0-O0004","resplan-47-F0-O0004","resplan-47-F0-O0011","resplan-47-F0-O0011","resplan-47-F0-O0008","resplan-47-F0-O0008"]}</x:v>
      </x:c>
      <x:c r="O1061" s="6"/>
      <x:c r="P1061" s="6" t="str">
        <x:v>README routing profile. Stairs and lifts allowed unless stated otherwise.</x:v>
      </x:c>
      <x:c r="Q1061" s="15" t="n">
        <x:v>21.34</x:v>
      </x:c>
      <x:c r="R1061" s="6" t="str">
        <x:v>m</x:v>
      </x:c>
      <x:c r="S1061" s="16"/>
      <x:c r="T1061" s="15"/>
      <x:c r="U1061" s="6"/>
      <x:c r="V1061" s="6"/>
      <x:c r="W1061" s="6" t="str">
        <x:v>Existing find_route and show_route implement the kit routing model.</x:v>
      </x:c>
      <x:c r="X1061" s="6" t="str">
        <x:v>data/train/resplan-47/questions_basic.jsonl</x:v>
      </x:c>
      <x:c r="Y1061" s="14" t="n">
        <x:v>7</x:v>
      </x:c>
      <x:c r="Z1061" s="6" t="str">
        <x:v>https://github.com/hagenhaeussler/Industrial-Agents-Hackathon-2026/blob/f41616590b69f3ea0c1cbfb41d6c35edd9ce53df/data/train/resplan-47/questions_basic.jsonl#L7</x:v>
      </x:c>
      <x:c r="AA1061" s="6" t="str">
        <x:v>resplan</x:v>
      </x:c>
      <x:c r="AB1061" s="6" t="str">
        <x:v>CC-BY-4.0</x:v>
      </x:c>
    </x:row>
    <x:row r="1062" ht="72" customHeight="1">
      <x:c r="A1062" s="14" t="n">
        <x:v>1057</x:v>
      </x:c>
      <x:c r="B1062" s="6" t="str">
        <x:v>route</x:v>
      </x:c>
      <x:c r="C1062" s="6" t="str">
        <x:v>How do I get from Bedroom 0.02 (Ground floor) to Kitchen 0.05 (Ground floor)?</x:v>
      </x:c>
      <x:c r="D1062" s="6" t="str">
        <x:v>12.65 m
From: Bedroom 0.02
To: Kitchen 0.05
Ordered path (3 spaces): Bedroom 0.02 → Living room 0.01 → Kitchen 0.05</x:v>
      </x:c>
      <x:c r="E1062" s="6" t="str">
        <x:v>Reference supplied</x:v>
      </x:c>
      <x:c r="F1062" s="6" t="str">
        <x:v>train</x:v>
      </x:c>
      <x:c r="G1062" s="6" t="str">
        <x:v>resplan-5277</x:v>
      </x:c>
      <x:c r="H1062" s="6" t="str">
        <x:v>resplan-5277-Q05</x:v>
      </x:c>
      <x:c r="I1062" s="6" t="str">
        <x:v>Route planning</x:v>
      </x:c>
      <x:c r="J1062" s="6" t="str">
        <x:v>Warm-up</x:v>
      </x:c>
      <x:c r="K1062" s="6" t="str">
        <x:v>Ordered space path and directions, plus total route-model distance in metres.</x:v>
      </x:c>
      <x:c r="L1062" s="6" t="str">
        <x:v>T02, T05, T13</x:v>
      </x:c>
      <x:c r="M1062" s="6" t="str">
        <x:v>Find a valid route between two rooms, including across floors.</x:v>
      </x:c>
      <x:c r="N1062" s="6" t="str">
        <x:v>{"from_space_id":"resplan-5277-F0-S002","to_space_id":"resplan-5277-F0-S005","optimal_length_m":12.65,"space_path":["resplan-5277-F0-S002","resplan-5277-F0-S001","resplan-5277-F0-S005"],"element_path":["resplan-5277-F0-O0004","resplan-5277-F0-O0004","resplan-5277-F0-O0005","resplan-5277-F0-O0005"]}</x:v>
      </x:c>
      <x:c r="O1062" s="6"/>
      <x:c r="P1062" s="6" t="str">
        <x:v>README routing profile. Stairs and lifts allowed unless stated otherwise.</x:v>
      </x:c>
      <x:c r="Q1062" s="15" t="n">
        <x:v>12.65</x:v>
      </x:c>
      <x:c r="R1062" s="6" t="str">
        <x:v>m</x:v>
      </x:c>
      <x:c r="S1062" s="16"/>
      <x:c r="T1062" s="15"/>
      <x:c r="U1062" s="6"/>
      <x:c r="V1062" s="6"/>
      <x:c r="W1062" s="6" t="str">
        <x:v>Existing find_route and show_route implement the kit routing model.</x:v>
      </x:c>
      <x:c r="X1062" s="6" t="str">
        <x:v>data/train/resplan-5277/questions_basic.jsonl</x:v>
      </x:c>
      <x:c r="Y1062" s="14" t="n">
        <x:v>5</x:v>
      </x:c>
      <x:c r="Z1062" s="6" t="str">
        <x:v>https://github.com/hagenhaeussler/Industrial-Agents-Hackathon-2026/blob/f41616590b69f3ea0c1cbfb41d6c35edd9ce53df/data/train/resplan-5277/questions_basic.jsonl#L5</x:v>
      </x:c>
      <x:c r="AA1062" s="6" t="str">
        <x:v>resplan</x:v>
      </x:c>
      <x:c r="AB1062" s="6" t="str">
        <x:v>CC-BY-4.0</x:v>
      </x:c>
    </x:row>
    <x:row r="1063" ht="72" customHeight="1">
      <x:c r="A1063" s="14" t="n">
        <x:v>1058</x:v>
      </x:c>
      <x:c r="B1063" s="6" t="str">
        <x:v>route</x:v>
      </x:c>
      <x:c r="C1063" s="6" t="str">
        <x:v>How do I get from Kitchen 0.05 (Ground floor) to Bedroom 0.02 (Ground floor)?</x:v>
      </x:c>
      <x:c r="D1063" s="6" t="str">
        <x:v>12.65 m
From: Kitchen 0.05
To: Bedroom 0.02
Ordered path (3 spaces): Kitchen 0.05 → Living room 0.01 → Bedroom 0.02</x:v>
      </x:c>
      <x:c r="E1063" s="6" t="str">
        <x:v>Reference supplied</x:v>
      </x:c>
      <x:c r="F1063" s="6" t="str">
        <x:v>train</x:v>
      </x:c>
      <x:c r="G1063" s="6" t="str">
        <x:v>resplan-5277</x:v>
      </x:c>
      <x:c r="H1063" s="6" t="str">
        <x:v>resplan-5277-Q06</x:v>
      </x:c>
      <x:c r="I1063" s="6" t="str">
        <x:v>Route planning</x:v>
      </x:c>
      <x:c r="J1063" s="6" t="str">
        <x:v>Warm-up</x:v>
      </x:c>
      <x:c r="K1063" s="6" t="str">
        <x:v>Ordered space path and directions, plus total route-model distance in metres.</x:v>
      </x:c>
      <x:c r="L1063" s="6" t="str">
        <x:v>T02, T05, T13</x:v>
      </x:c>
      <x:c r="M1063" s="6" t="str">
        <x:v>Find a valid route between two rooms, including across floors.</x:v>
      </x:c>
      <x:c r="N1063" s="6" t="str">
        <x:v>{"from_space_id":"resplan-5277-F0-S005","to_space_id":"resplan-5277-F0-S002","optimal_length_m":12.65,"space_path":["resplan-5277-F0-S005","resplan-5277-F0-S001","resplan-5277-F0-S002"],"element_path":["resplan-5277-F0-O0005","resplan-5277-F0-O0005","resplan-5277-F0-O0004","resplan-5277-F0-O0004"]}</x:v>
      </x:c>
      <x:c r="O1063" s="6"/>
      <x:c r="P1063" s="6" t="str">
        <x:v>README routing profile. Stairs and lifts allowed unless stated otherwise.</x:v>
      </x:c>
      <x:c r="Q1063" s="15" t="n">
        <x:v>12.65</x:v>
      </x:c>
      <x:c r="R1063" s="6" t="str">
        <x:v>m</x:v>
      </x:c>
      <x:c r="S1063" s="16"/>
      <x:c r="T1063" s="15"/>
      <x:c r="U1063" s="6"/>
      <x:c r="V1063" s="6"/>
      <x:c r="W1063" s="6" t="str">
        <x:v>Existing find_route and show_route implement the kit routing model.</x:v>
      </x:c>
      <x:c r="X1063" s="6" t="str">
        <x:v>data/train/resplan-5277/questions_basic.jsonl</x:v>
      </x:c>
      <x:c r="Y1063" s="14" t="n">
        <x:v>6</x:v>
      </x:c>
      <x:c r="Z1063" s="6" t="str">
        <x:v>https://github.com/hagenhaeussler/Industrial-Agents-Hackathon-2026/blob/f41616590b69f3ea0c1cbfb41d6c35edd9ce53df/data/train/resplan-5277/questions_basic.jsonl#L6</x:v>
      </x:c>
      <x:c r="AA1063" s="6" t="str">
        <x:v>resplan</x:v>
      </x:c>
      <x:c r="AB1063" s="6" t="str">
        <x:v>CC-BY-4.0</x:v>
      </x:c>
    </x:row>
    <x:row r="1064" ht="72" customHeight="1">
      <x:c r="A1064" s="14" t="n">
        <x:v>1059</x:v>
      </x:c>
      <x:c r="B1064" s="6" t="str">
        <x:v>route</x:v>
      </x:c>
      <x:c r="C1064" s="6" t="str">
        <x:v>How do I get from Bedroom 0.02 (Ground floor) to Kitchen 0.05 (Ground floor)?</x:v>
      </x:c>
      <x:c r="D1064" s="6" t="str">
        <x:v>12.65 m
From: Bedroom 0.02
To: Kitchen 0.05
Ordered path (3 spaces): Bedroom 0.02 → Living room 0.01 → Kitchen 0.05</x:v>
      </x:c>
      <x:c r="E1064" s="6" t="str">
        <x:v>Reference supplied</x:v>
      </x:c>
      <x:c r="F1064" s="6" t="str">
        <x:v>train</x:v>
      </x:c>
      <x:c r="G1064" s="6" t="str">
        <x:v>resplan-5277</x:v>
      </x:c>
      <x:c r="H1064" s="6" t="str">
        <x:v>resplan-5277-Q07</x:v>
      </x:c>
      <x:c r="I1064" s="6" t="str">
        <x:v>Route planning</x:v>
      </x:c>
      <x:c r="J1064" s="6" t="str">
        <x:v>Warm-up</x:v>
      </x:c>
      <x:c r="K1064" s="6" t="str">
        <x:v>Ordered space path and directions, plus total route-model distance in metres.</x:v>
      </x:c>
      <x:c r="L1064" s="6" t="str">
        <x:v>T02, T05, T13</x:v>
      </x:c>
      <x:c r="M1064" s="6" t="str">
        <x:v>Find a valid route between two rooms, including across floors.</x:v>
      </x:c>
      <x:c r="N1064" s="6" t="str">
        <x:v>{"from_space_id":"resplan-5277-F0-S002","to_space_id":"resplan-5277-F0-S005","optimal_length_m":12.65,"space_path":["resplan-5277-F0-S002","resplan-5277-F0-S001","resplan-5277-F0-S005"],"element_path":["resplan-5277-F0-O0004","resplan-5277-F0-O0004","resplan-5277-F0-O0005","resplan-5277-F0-O0005"]}</x:v>
      </x:c>
      <x:c r="O1064" s="6"/>
      <x:c r="P1064" s="6" t="str">
        <x:v>README routing profile. Stairs and lifts allowed unless stated otherwise.</x:v>
      </x:c>
      <x:c r="Q1064" s="15" t="n">
        <x:v>12.65</x:v>
      </x:c>
      <x:c r="R1064" s="6" t="str">
        <x:v>m</x:v>
      </x:c>
      <x:c r="S1064" s="16"/>
      <x:c r="T1064" s="15"/>
      <x:c r="U1064" s="6"/>
      <x:c r="V1064" s="6"/>
      <x:c r="W1064" s="6" t="str">
        <x:v>Existing find_route and show_route implement the kit routing model.</x:v>
      </x:c>
      <x:c r="X1064" s="6" t="str">
        <x:v>data/train/resplan-5277/questions_basic.jsonl</x:v>
      </x:c>
      <x:c r="Y1064" s="14" t="n">
        <x:v>7</x:v>
      </x:c>
      <x:c r="Z1064" s="6" t="str">
        <x:v>https://github.com/hagenhaeussler/Industrial-Agents-Hackathon-2026/blob/f41616590b69f3ea0c1cbfb41d6c35edd9ce53df/data/train/resplan-5277/questions_basic.jsonl#L7</x:v>
      </x:c>
      <x:c r="AA1064" s="6" t="str">
        <x:v>resplan</x:v>
      </x:c>
      <x:c r="AB1064" s="6" t="str">
        <x:v>CC-BY-4.0</x:v>
      </x:c>
    </x:row>
    <x:row r="1065" ht="72" customHeight="1">
      <x:c r="A1065" s="14" t="n">
        <x:v>1060</x:v>
      </x:c>
      <x:c r="B1065" s="6" t="str">
        <x:v>route</x:v>
      </x:c>
      <x:c r="C1065" s="6" t="str">
        <x:v>How do I get from Living room 0.01 (Ground floor) to Bathroom 0.04 (Ground floor)?</x:v>
      </x:c>
      <x:c r="D1065" s="6" t="str">
        <x:v>4.29 m
From: Living room 0.01
To: Bathroom 0.04
Ordered path (2 spaces): Living room 0.01 → Bathroom 0.04</x:v>
      </x:c>
      <x:c r="E1065" s="6" t="str">
        <x:v>Reference supplied</x:v>
      </x:c>
      <x:c r="F1065" s="6" t="str">
        <x:v>train</x:v>
      </x:c>
      <x:c r="G1065" s="6" t="str">
        <x:v>resplan-553</x:v>
      </x:c>
      <x:c r="H1065" s="6" t="str">
        <x:v>resplan-553-Q05</x:v>
      </x:c>
      <x:c r="I1065" s="6" t="str">
        <x:v>Route planning</x:v>
      </x:c>
      <x:c r="J1065" s="6" t="str">
        <x:v>Warm-up</x:v>
      </x:c>
      <x:c r="K1065" s="6" t="str">
        <x:v>Ordered space path and directions, plus total route-model distance in metres.</x:v>
      </x:c>
      <x:c r="L1065" s="6" t="str">
        <x:v>T02, T05, T13</x:v>
      </x:c>
      <x:c r="M1065" s="6" t="str">
        <x:v>Find a valid route between two rooms, including across floors.</x:v>
      </x:c>
      <x:c r="N1065" s="6" t="str">
        <x:v>{"from_space_id":"resplan-553-F0-S001","to_space_id":"resplan-553-F0-S004","optimal_length_m":4.29,"space_path":["resplan-553-F0-S001","resplan-553-F0-S004"],"element_path":["resplan-553-F0-O0002","resplan-553-F0-O0002"]}</x:v>
      </x:c>
      <x:c r="O1065" s="6"/>
      <x:c r="P1065" s="6" t="str">
        <x:v>README routing profile. Stairs and lifts allowed unless stated otherwise.</x:v>
      </x:c>
      <x:c r="Q1065" s="15" t="n">
        <x:v>4.29</x:v>
      </x:c>
      <x:c r="R1065" s="6" t="str">
        <x:v>m</x:v>
      </x:c>
      <x:c r="S1065" s="16"/>
      <x:c r="T1065" s="15"/>
      <x:c r="U1065" s="6"/>
      <x:c r="V1065" s="6"/>
      <x:c r="W1065" s="6" t="str">
        <x:v>Existing find_route and show_route implement the kit routing model.</x:v>
      </x:c>
      <x:c r="X1065" s="6" t="str">
        <x:v>data/train/resplan-553/questions_basic.jsonl</x:v>
      </x:c>
      <x:c r="Y1065" s="14" t="n">
        <x:v>5</x:v>
      </x:c>
      <x:c r="Z1065" s="6" t="str">
        <x:v>https://github.com/hagenhaeussler/Industrial-Agents-Hackathon-2026/blob/f41616590b69f3ea0c1cbfb41d6c35edd9ce53df/data/train/resplan-553/questions_basic.jsonl#L5</x:v>
      </x:c>
      <x:c r="AA1065" s="6" t="str">
        <x:v>resplan</x:v>
      </x:c>
      <x:c r="AB1065" s="6" t="str">
        <x:v>CC-BY-4.0</x:v>
      </x:c>
    </x:row>
    <x:row r="1066" ht="82" customHeight="1">
      <x:c r="A1066" s="14" t="n">
        <x:v>1061</x:v>
      </x:c>
      <x:c r="B1066" s="6" t="str">
        <x:v>route</x:v>
      </x:c>
      <x:c r="C1066" s="6" t="str">
        <x:v>How do I get from Bathroom 0.04 (Ground floor) to Bathroom 0.03 (Ground floor)?</x:v>
      </x:c>
      <x:c r="D1066" s="6" t="str">
        <x:v>13.13 m
From: Bathroom 0.04
To: Bathroom 0.03
Ordered path (4 spaces): Bathroom 0.04 → Living room 0.01 → Bedroom 0.02 → Bathroom 0.03</x:v>
      </x:c>
      <x:c r="E1066" s="6" t="str">
        <x:v>Reference supplied</x:v>
      </x:c>
      <x:c r="F1066" s="6" t="str">
        <x:v>train</x:v>
      </x:c>
      <x:c r="G1066" s="6" t="str">
        <x:v>resplan-553</x:v>
      </x:c>
      <x:c r="H1066" s="6" t="str">
        <x:v>resplan-553-Q06</x:v>
      </x:c>
      <x:c r="I1066" s="6" t="str">
        <x:v>Route planning</x:v>
      </x:c>
      <x:c r="J1066" s="6" t="str">
        <x:v>Warm-up</x:v>
      </x:c>
      <x:c r="K1066" s="6" t="str">
        <x:v>Ordered space path and directions, plus total route-model distance in metres.</x:v>
      </x:c>
      <x:c r="L1066" s="6" t="str">
        <x:v>T02, T05, T13</x:v>
      </x:c>
      <x:c r="M1066" s="6" t="str">
        <x:v>Find a valid route between two rooms, including across floors.</x:v>
      </x:c>
      <x:c r="N1066" s="6" t="str">
        <x:v>{"from_space_id":"resplan-553-F0-S004","to_space_id":"resplan-553-F0-S003","optimal_length_m":13.13,"space_path":["resplan-553-F0-S004","resplan-553-F0-S001","resplan-553-F0-S002","resplan-553-F0-S003"],"element_path":["resplan-553-F0-O0002","resplan-553-F0-O0002","resplan-553-F0-O0001","resplan-553-F0-O0001","resplan-553-F0-O0003","resplan-553-F0-O0003"]}</x:v>
      </x:c>
      <x:c r="O1066" s="6"/>
      <x:c r="P1066" s="6" t="str">
        <x:v>README routing profile. Stairs and lifts allowed unless stated otherwise.</x:v>
      </x:c>
      <x:c r="Q1066" s="15" t="n">
        <x:v>13.13</x:v>
      </x:c>
      <x:c r="R1066" s="6" t="str">
        <x:v>m</x:v>
      </x:c>
      <x:c r="S1066" s="16"/>
      <x:c r="T1066" s="15"/>
      <x:c r="U1066" s="6"/>
      <x:c r="V1066" s="6"/>
      <x:c r="W1066" s="6" t="str">
        <x:v>Existing find_route and show_route implement the kit routing model.</x:v>
      </x:c>
      <x:c r="X1066" s="6" t="str">
        <x:v>data/train/resplan-553/questions_basic.jsonl</x:v>
      </x:c>
      <x:c r="Y1066" s="14" t="n">
        <x:v>6</x:v>
      </x:c>
      <x:c r="Z1066" s="6" t="str">
        <x:v>https://github.com/hagenhaeussler/Industrial-Agents-Hackathon-2026/blob/f41616590b69f3ea0c1cbfb41d6c35edd9ce53df/data/train/resplan-553/questions_basic.jsonl#L6</x:v>
      </x:c>
      <x:c r="AA1066" s="6" t="str">
        <x:v>resplan</x:v>
      </x:c>
      <x:c r="AB1066" s="6" t="str">
        <x:v>CC-BY-4.0</x:v>
      </x:c>
    </x:row>
    <x:row r="1067" ht="82" customHeight="1">
      <x:c r="A1067" s="14" t="n">
        <x:v>1062</x:v>
      </x:c>
      <x:c r="B1067" s="6" t="str">
        <x:v>route</x:v>
      </x:c>
      <x:c r="C1067" s="6" t="str">
        <x:v>How do I get from Kitchen 0.05 (Ground floor) to Bathroom 0.04 (Ground floor)?</x:v>
      </x:c>
      <x:c r="D1067" s="6" t="str">
        <x:v>10.05 m
From: Kitchen 0.05
To: Bathroom 0.04
Ordered path (3 spaces): Kitchen 0.05 → Living room 0.01 → Bathroom 0.04</x:v>
      </x:c>
      <x:c r="E1067" s="6" t="str">
        <x:v>Reference supplied</x:v>
      </x:c>
      <x:c r="F1067" s="6" t="str">
        <x:v>train</x:v>
      </x:c>
      <x:c r="G1067" s="6" t="str">
        <x:v>resplan-553</x:v>
      </x:c>
      <x:c r="H1067" s="6" t="str">
        <x:v>resplan-553-Q07</x:v>
      </x:c>
      <x:c r="I1067" s="6" t="str">
        <x:v>Route planning</x:v>
      </x:c>
      <x:c r="J1067" s="6" t="str">
        <x:v>Warm-up</x:v>
      </x:c>
      <x:c r="K1067" s="6" t="str">
        <x:v>Ordered space path and directions, plus total route-model distance in metres.</x:v>
      </x:c>
      <x:c r="L1067" s="6" t="str">
        <x:v>T02, T05, T13</x:v>
      </x:c>
      <x:c r="M1067" s="6" t="str">
        <x:v>Find a valid route between two rooms, including across floors.</x:v>
      </x:c>
      <x:c r="N1067" s="6" t="str">
        <x:v>{"from_space_id":"resplan-553-F0-S005","to_space_id":"resplan-553-F0-S004","optimal_length_m":10.05,"space_path":["resplan-553-F0-S005","resplan-553-F0-S001","resplan-553-F0-S004"],"element_path":["resplan-553-F0-O0004","resplan-553-F0-O0004","resplan-553-F0-O0002","resplan-553-F0-O0002"]}</x:v>
      </x:c>
      <x:c r="O1067" s="6"/>
      <x:c r="P1067" s="6" t="str">
        <x:v>README routing profile. Stairs and lifts allowed unless stated otherwise.</x:v>
      </x:c>
      <x:c r="Q1067" s="15" t="n">
        <x:v>10.05</x:v>
      </x:c>
      <x:c r="R1067" s="6" t="str">
        <x:v>m</x:v>
      </x:c>
      <x:c r="S1067" s="16"/>
      <x:c r="T1067" s="15"/>
      <x:c r="U1067" s="6"/>
      <x:c r="V1067" s="6"/>
      <x:c r="W1067" s="6" t="str">
        <x:v>Existing find_route and show_route implement the kit routing model.</x:v>
      </x:c>
      <x:c r="X1067" s="6" t="str">
        <x:v>data/train/resplan-553/questions_basic.jsonl</x:v>
      </x:c>
      <x:c r="Y1067" s="14" t="n">
        <x:v>7</x:v>
      </x:c>
      <x:c r="Z1067" s="6" t="str">
        <x:v>https://github.com/hagenhaeussler/Industrial-Agents-Hackathon-2026/blob/f41616590b69f3ea0c1cbfb41d6c35edd9ce53df/data/train/resplan-553/questions_basic.jsonl#L7</x:v>
      </x:c>
      <x:c r="AA1067" s="6" t="str">
        <x:v>resplan</x:v>
      </x:c>
      <x:c r="AB1067" s="6" t="str">
        <x:v>CC-BY-4.0</x:v>
      </x:c>
    </x:row>
    <x:row r="1068" ht="82" customHeight="1">
      <x:c r="A1068" s="14" t="n">
        <x:v>1063</x:v>
      </x:c>
      <x:c r="B1068" s="6" t="str">
        <x:v>route</x:v>
      </x:c>
      <x:c r="C1068" s="6" t="str">
        <x:v>How do I get from Bedroom 0.03 (Ground floor) to Bathroom 0.04 (Ground floor)?</x:v>
      </x:c>
      <x:c r="D1068" s="6" t="str">
        <x:v>12.57 m
From: Bedroom 0.03
To: Bathroom 0.04
Ordered path (4 spaces): Bedroom 0.03 → Living room 0.01 → Bedroom 0.02 → Bathroom 0.04</x:v>
      </x:c>
      <x:c r="E1068" s="6" t="str">
        <x:v>Reference supplied</x:v>
      </x:c>
      <x:c r="F1068" s="6" t="str">
        <x:v>train</x:v>
      </x:c>
      <x:c r="G1068" s="6" t="str">
        <x:v>resplan-56</x:v>
      </x:c>
      <x:c r="H1068" s="6" t="str">
        <x:v>resplan-56-Q05</x:v>
      </x:c>
      <x:c r="I1068" s="6" t="str">
        <x:v>Route planning</x:v>
      </x:c>
      <x:c r="J1068" s="6" t="str">
        <x:v>Warm-up</x:v>
      </x:c>
      <x:c r="K1068" s="6" t="str">
        <x:v>Ordered space path and directions, plus total route-model distance in metres.</x:v>
      </x:c>
      <x:c r="L1068" s="6" t="str">
        <x:v>T02, T05, T13</x:v>
      </x:c>
      <x:c r="M1068" s="6" t="str">
        <x:v>Find a valid route between two rooms, including across floors.</x:v>
      </x:c>
      <x:c r="N1068" s="6" t="str">
        <x:v>{"from_space_id":"resplan-56-F0-S003","to_space_id":"resplan-56-F0-S004","optimal_length_m":12.57,"space_path":["resplan-56-F0-S003","resplan-56-F0-S001","resplan-56-F0-S002","resplan-56-F0-S004"],"element_path":["resplan-56-F0-O0002","resplan-56-F0-O0002","resplan-56-F0-O0001","resplan-56-F0-O0001","resplan-56-F0-O0003","resplan-56-F0-O0003"]}</x:v>
      </x:c>
      <x:c r="O1068" s="6"/>
      <x:c r="P1068" s="6" t="str">
        <x:v>README routing profile. Stairs and lifts allowed unless stated otherwise.</x:v>
      </x:c>
      <x:c r="Q1068" s="15" t="n">
        <x:v>12.57</x:v>
      </x:c>
      <x:c r="R1068" s="6" t="str">
        <x:v>m</x:v>
      </x:c>
      <x:c r="S1068" s="16"/>
      <x:c r="T1068" s="15"/>
      <x:c r="U1068" s="6"/>
      <x:c r="V1068" s="6"/>
      <x:c r="W1068" s="6" t="str">
        <x:v>Existing find_route and show_route implement the kit routing model.</x:v>
      </x:c>
      <x:c r="X1068" s="6" t="str">
        <x:v>data/train/resplan-56/questions_basic.jsonl</x:v>
      </x:c>
      <x:c r="Y1068" s="14" t="n">
        <x:v>5</x:v>
      </x:c>
      <x:c r="Z1068" s="6" t="str">
        <x:v>https://github.com/hagenhaeussler/Industrial-Agents-Hackathon-2026/blob/f41616590b69f3ea0c1cbfb41d6c35edd9ce53df/data/train/resplan-56/questions_basic.jsonl#L5</x:v>
      </x:c>
      <x:c r="AA1068" s="6" t="str">
        <x:v>resplan</x:v>
      </x:c>
      <x:c r="AB1068" s="6" t="str">
        <x:v>CC-BY-4.0</x:v>
      </x:c>
    </x:row>
    <x:row r="1069" ht="72" customHeight="1">
      <x:c r="A1069" s="14" t="n">
        <x:v>1064</x:v>
      </x:c>
      <x:c r="B1069" s="6" t="str">
        <x:v>route</x:v>
      </x:c>
      <x:c r="C1069" s="6" t="str">
        <x:v>How do I get from Living room 0.01 (Ground floor) to Bedroom 0.03 (Ground floor)?</x:v>
      </x:c>
      <x:c r="D1069" s="6" t="str">
        <x:v>5.23 m
From: Living room 0.01
To: Bedroom 0.03
Ordered path (2 spaces): Living room 0.01 → Bedroom 0.03</x:v>
      </x:c>
      <x:c r="E1069" s="6" t="str">
        <x:v>Reference supplied</x:v>
      </x:c>
      <x:c r="F1069" s="6" t="str">
        <x:v>train</x:v>
      </x:c>
      <x:c r="G1069" s="6" t="str">
        <x:v>resplan-56</x:v>
      </x:c>
      <x:c r="H1069" s="6" t="str">
        <x:v>resplan-56-Q06</x:v>
      </x:c>
      <x:c r="I1069" s="6" t="str">
        <x:v>Route planning</x:v>
      </x:c>
      <x:c r="J1069" s="6" t="str">
        <x:v>Warm-up</x:v>
      </x:c>
      <x:c r="K1069" s="6" t="str">
        <x:v>Ordered space path and directions, plus total route-model distance in metres.</x:v>
      </x:c>
      <x:c r="L1069" s="6" t="str">
        <x:v>T02, T05, T13</x:v>
      </x:c>
      <x:c r="M1069" s="6" t="str">
        <x:v>Find a valid route between two rooms, including across floors.</x:v>
      </x:c>
      <x:c r="N1069" s="6" t="str">
        <x:v>{"from_space_id":"resplan-56-F0-S001","to_space_id":"resplan-56-F0-S003","optimal_length_m":5.23,"space_path":["resplan-56-F0-S001","resplan-56-F0-S003"],"element_path":["resplan-56-F0-O0002","resplan-56-F0-O0002"]}</x:v>
      </x:c>
      <x:c r="O1069" s="6"/>
      <x:c r="P1069" s="6" t="str">
        <x:v>README routing profile. Stairs and lifts allowed unless stated otherwise.</x:v>
      </x:c>
      <x:c r="Q1069" s="15" t="n">
        <x:v>5.23</x:v>
      </x:c>
      <x:c r="R1069" s="6" t="str">
        <x:v>m</x:v>
      </x:c>
      <x:c r="S1069" s="16"/>
      <x:c r="T1069" s="15"/>
      <x:c r="U1069" s="6"/>
      <x:c r="V1069" s="6"/>
      <x:c r="W1069" s="6" t="str">
        <x:v>Existing find_route and show_route implement the kit routing model.</x:v>
      </x:c>
      <x:c r="X1069" s="6" t="str">
        <x:v>data/train/resplan-56/questions_basic.jsonl</x:v>
      </x:c>
      <x:c r="Y1069" s="14" t="n">
        <x:v>6</x:v>
      </x:c>
      <x:c r="Z1069" s="6" t="str">
        <x:v>https://github.com/hagenhaeussler/Industrial-Agents-Hackathon-2026/blob/f41616590b69f3ea0c1cbfb41d6c35edd9ce53df/data/train/resplan-56/questions_basic.jsonl#L6</x:v>
      </x:c>
      <x:c r="AA1069" s="6" t="str">
        <x:v>resplan</x:v>
      </x:c>
      <x:c r="AB1069" s="6" t="str">
        <x:v>CC-BY-4.0</x:v>
      </x:c>
    </x:row>
    <x:row r="1070" ht="72" customHeight="1">
      <x:c r="A1070" s="14" t="n">
        <x:v>1065</x:v>
      </x:c>
      <x:c r="B1070" s="6" t="str">
        <x:v>route</x:v>
      </x:c>
      <x:c r="C1070" s="6" t="str">
        <x:v>How do I get from Living room 0.01 (Ground floor) to Kitchen 0.06 (Ground floor)?</x:v>
      </x:c>
      <x:c r="D1070" s="6" t="str">
        <x:v>4.87 m
From: Living room 0.01
To: Kitchen 0.06
Ordered path (2 spaces): Living room 0.01 → Kitchen 0.06</x:v>
      </x:c>
      <x:c r="E1070" s="6" t="str">
        <x:v>Reference supplied</x:v>
      </x:c>
      <x:c r="F1070" s="6" t="str">
        <x:v>train</x:v>
      </x:c>
      <x:c r="G1070" s="6" t="str">
        <x:v>resplan-56</x:v>
      </x:c>
      <x:c r="H1070" s="6" t="str">
        <x:v>resplan-56-Q07</x:v>
      </x:c>
      <x:c r="I1070" s="6" t="str">
        <x:v>Route planning</x:v>
      </x:c>
      <x:c r="J1070" s="6" t="str">
        <x:v>Warm-up</x:v>
      </x:c>
      <x:c r="K1070" s="6" t="str">
        <x:v>Ordered space path and directions, plus total route-model distance in metres.</x:v>
      </x:c>
      <x:c r="L1070" s="6" t="str">
        <x:v>T02, T05, T13</x:v>
      </x:c>
      <x:c r="M1070" s="6" t="str">
        <x:v>Find a valid route between two rooms, including across floors.</x:v>
      </x:c>
      <x:c r="N1070" s="6" t="str">
        <x:v>{"from_space_id":"resplan-56-F0-S001","to_space_id":"resplan-56-F0-S006","optimal_length_m":4.87,"space_path":["resplan-56-F0-S001","resplan-56-F0-S006"],"element_path":["resplan-56-F0-O0005","resplan-56-F0-O0005"]}</x:v>
      </x:c>
      <x:c r="O1070" s="6"/>
      <x:c r="P1070" s="6" t="str">
        <x:v>README routing profile. Stairs and lifts allowed unless stated otherwise.</x:v>
      </x:c>
      <x:c r="Q1070" s="15" t="n">
        <x:v>4.87</x:v>
      </x:c>
      <x:c r="R1070" s="6" t="str">
        <x:v>m</x:v>
      </x:c>
      <x:c r="S1070" s="16"/>
      <x:c r="T1070" s="15"/>
      <x:c r="U1070" s="6"/>
      <x:c r="V1070" s="6"/>
      <x:c r="W1070" s="6" t="str">
        <x:v>Existing find_route and show_route implement the kit routing model.</x:v>
      </x:c>
      <x:c r="X1070" s="6" t="str">
        <x:v>data/train/resplan-56/questions_basic.jsonl</x:v>
      </x:c>
      <x:c r="Y1070" s="14" t="n">
        <x:v>7</x:v>
      </x:c>
      <x:c r="Z1070" s="6" t="str">
        <x:v>https://github.com/hagenhaeussler/Industrial-Agents-Hackathon-2026/blob/f41616590b69f3ea0c1cbfb41d6c35edd9ce53df/data/train/resplan-56/questions_basic.jsonl#L7</x:v>
      </x:c>
      <x:c r="AA1070" s="6" t="str">
        <x:v>resplan</x:v>
      </x:c>
      <x:c r="AB1070" s="6" t="str">
        <x:v>CC-BY-4.0</x:v>
      </x:c>
    </x:row>
    <x:row r="1071" ht="82" customHeight="1">
      <x:c r="A1071" s="14" t="n">
        <x:v>1066</x:v>
      </x:c>
      <x:c r="B1071" s="6" t="str">
        <x:v>route</x:v>
      </x:c>
      <x:c r="C1071" s="6" t="str">
        <x:v>How do I get from Bathroom 0.04 (Ground floor) to Bedroom 0.03 (Ground floor)?</x:v>
      </x:c>
      <x:c r="D1071" s="6" t="str">
        <x:v>10.1 m
From: Bathroom 0.04
To: Bedroom 0.03
Ordered path (3 spaces): Bathroom 0.04 → Living room 0.01 → Bedroom 0.03</x:v>
      </x:c>
      <x:c r="E1071" s="6" t="str">
        <x:v>Reference supplied</x:v>
      </x:c>
      <x:c r="F1071" s="6" t="str">
        <x:v>train</x:v>
      </x:c>
      <x:c r="G1071" s="6" t="str">
        <x:v>resplan-5783</x:v>
      </x:c>
      <x:c r="H1071" s="6" t="str">
        <x:v>resplan-5783-Q05</x:v>
      </x:c>
      <x:c r="I1071" s="6" t="str">
        <x:v>Route planning</x:v>
      </x:c>
      <x:c r="J1071" s="6" t="str">
        <x:v>Warm-up</x:v>
      </x:c>
      <x:c r="K1071" s="6" t="str">
        <x:v>Ordered space path and directions, plus total route-model distance in metres.</x:v>
      </x:c>
      <x:c r="L1071" s="6" t="str">
        <x:v>T02, T05, T13</x:v>
      </x:c>
      <x:c r="M1071" s="6" t="str">
        <x:v>Find a valid route between two rooms, including across floors.</x:v>
      </x:c>
      <x:c r="N1071" s="6" t="str">
        <x:v>{"from_space_id":"resplan-5783-F0-S004","to_space_id":"resplan-5783-F0-S003","optimal_length_m":10.1,"space_path":["resplan-5783-F0-S004","resplan-5783-F0-S001","resplan-5783-F0-S003"],"element_path":["resplan-5783-F0-O0002","resplan-5783-F0-O0002","resplan-5783-F0-O0005","resplan-5783-F0-O0005"]}</x:v>
      </x:c>
      <x:c r="O1071" s="6"/>
      <x:c r="P1071" s="6" t="str">
        <x:v>README routing profile. Stairs and lifts allowed unless stated otherwise.</x:v>
      </x:c>
      <x:c r="Q1071" s="15" t="n">
        <x:v>10.1</x:v>
      </x:c>
      <x:c r="R1071" s="6" t="str">
        <x:v>m</x:v>
      </x:c>
      <x:c r="S1071" s="16"/>
      <x:c r="T1071" s="15"/>
      <x:c r="U1071" s="6"/>
      <x:c r="V1071" s="6"/>
      <x:c r="W1071" s="6" t="str">
        <x:v>Existing find_route and show_route implement the kit routing model.</x:v>
      </x:c>
      <x:c r="X1071" s="6" t="str">
        <x:v>data/train/resplan-5783/questions_basic.jsonl</x:v>
      </x:c>
      <x:c r="Y1071" s="14" t="n">
        <x:v>5</x:v>
      </x:c>
      <x:c r="Z1071" s="6" t="str">
        <x:v>https://github.com/hagenhaeussler/Industrial-Agents-Hackathon-2026/blob/f41616590b69f3ea0c1cbfb41d6c35edd9ce53df/data/train/resplan-5783/questions_basic.jsonl#L5</x:v>
      </x:c>
      <x:c r="AA1071" s="6" t="str">
        <x:v>resplan</x:v>
      </x:c>
      <x:c r="AB1071" s="6" t="str">
        <x:v>CC-BY-4.0</x:v>
      </x:c>
    </x:row>
    <x:row r="1072" ht="72" customHeight="1">
      <x:c r="A1072" s="14" t="n">
        <x:v>1067</x:v>
      </x:c>
      <x:c r="B1072" s="6" t="str">
        <x:v>route</x:v>
      </x:c>
      <x:c r="C1072" s="6" t="str">
        <x:v>How do I get from Kitchen 0.06 (Ground floor) to Bedroom 0.03 (Ground floor)?</x:v>
      </x:c>
      <x:c r="D1072" s="6" t="str">
        <x:v>12.83 m
From: Kitchen 0.06
To: Bedroom 0.03
Ordered path (3 spaces): Kitchen 0.06 → Living room 0.01 → Bedroom 0.03</x:v>
      </x:c>
      <x:c r="E1072" s="6" t="str">
        <x:v>Reference supplied</x:v>
      </x:c>
      <x:c r="F1072" s="6" t="str">
        <x:v>train</x:v>
      </x:c>
      <x:c r="G1072" s="6" t="str">
        <x:v>resplan-5783</x:v>
      </x:c>
      <x:c r="H1072" s="6" t="str">
        <x:v>resplan-5783-Q06</x:v>
      </x:c>
      <x:c r="I1072" s="6" t="str">
        <x:v>Route planning</x:v>
      </x:c>
      <x:c r="J1072" s="6" t="str">
        <x:v>Warm-up</x:v>
      </x:c>
      <x:c r="K1072" s="6" t="str">
        <x:v>Ordered space path and directions, plus total route-model distance in metres.</x:v>
      </x:c>
      <x:c r="L1072" s="6" t="str">
        <x:v>T02, T05, T13</x:v>
      </x:c>
      <x:c r="M1072" s="6" t="str">
        <x:v>Find a valid route between two rooms, including across floors.</x:v>
      </x:c>
      <x:c r="N1072" s="6" t="str">
        <x:v>{"from_space_id":"resplan-5783-F0-S006","to_space_id":"resplan-5783-F0-S003","optimal_length_m":12.83,"space_path":["resplan-5783-F0-S006","resplan-5783-F0-S001","resplan-5783-F0-S003"],"element_path":["resplan-5783-F0-O0006","resplan-5783-F0-O0006","resplan-5783-F0-O0005","resplan-5783-F0-O0005"]}</x:v>
      </x:c>
      <x:c r="O1072" s="6"/>
      <x:c r="P1072" s="6" t="str">
        <x:v>README routing profile. Stairs and lifts allowed unless stated otherwise.</x:v>
      </x:c>
      <x:c r="Q1072" s="15" t="n">
        <x:v>12.83</x:v>
      </x:c>
      <x:c r="R1072" s="6" t="str">
        <x:v>m</x:v>
      </x:c>
      <x:c r="S1072" s="16"/>
      <x:c r="T1072" s="15"/>
      <x:c r="U1072" s="6"/>
      <x:c r="V1072" s="6"/>
      <x:c r="W1072" s="6" t="str">
        <x:v>Existing find_route and show_route implement the kit routing model.</x:v>
      </x:c>
      <x:c r="X1072" s="6" t="str">
        <x:v>data/train/resplan-5783/questions_basic.jsonl</x:v>
      </x:c>
      <x:c r="Y1072" s="14" t="n">
        <x:v>6</x:v>
      </x:c>
      <x:c r="Z1072" s="6" t="str">
        <x:v>https://github.com/hagenhaeussler/Industrial-Agents-Hackathon-2026/blob/f41616590b69f3ea0c1cbfb41d6c35edd9ce53df/data/train/resplan-5783/questions_basic.jsonl#L6</x:v>
      </x:c>
      <x:c r="AA1072" s="6" t="str">
        <x:v>resplan</x:v>
      </x:c>
      <x:c r="AB1072" s="6" t="str">
        <x:v>CC-BY-4.0</x:v>
      </x:c>
    </x:row>
    <x:row r="1073" ht="72" customHeight="1">
      <x:c r="A1073" s="14" t="n">
        <x:v>1068</x:v>
      </x:c>
      <x:c r="B1073" s="6" t="str">
        <x:v>route</x:v>
      </x:c>
      <x:c r="C1073" s="6" t="str">
        <x:v>How do I get from Bedroom 0.02 (Ground floor) to Bedroom 0.03 (Ground floor)?</x:v>
      </x:c>
      <x:c r="D1073" s="6" t="str">
        <x:v>14.65 m
From: Bedroom 0.02
To: Bedroom 0.03
Ordered path (3 spaces): Bedroom 0.02 → Living room 0.01 → Bedroom 0.03</x:v>
      </x:c>
      <x:c r="E1073" s="6" t="str">
        <x:v>Reference supplied</x:v>
      </x:c>
      <x:c r="F1073" s="6" t="str">
        <x:v>train</x:v>
      </x:c>
      <x:c r="G1073" s="6" t="str">
        <x:v>resplan-5783</x:v>
      </x:c>
      <x:c r="H1073" s="6" t="str">
        <x:v>resplan-5783-Q07</x:v>
      </x:c>
      <x:c r="I1073" s="6" t="str">
        <x:v>Route planning</x:v>
      </x:c>
      <x:c r="J1073" s="6" t="str">
        <x:v>Warm-up</x:v>
      </x:c>
      <x:c r="K1073" s="6" t="str">
        <x:v>Ordered space path and directions, plus total route-model distance in metres.</x:v>
      </x:c>
      <x:c r="L1073" s="6" t="str">
        <x:v>T02, T05, T13</x:v>
      </x:c>
      <x:c r="M1073" s="6" t="str">
        <x:v>Find a valid route between two rooms, including across floors.</x:v>
      </x:c>
      <x:c r="N1073" s="6" t="str">
        <x:v>{"from_space_id":"resplan-5783-F0-S002","to_space_id":"resplan-5783-F0-S003","optimal_length_m":14.65,"space_path":["resplan-5783-F0-S002","resplan-5783-F0-S001","resplan-5783-F0-S003"],"element_path":["resplan-5783-F0-O0003","resplan-5783-F0-O0003","resplan-5783-F0-O0005","resplan-5783-F0-O0005"]}</x:v>
      </x:c>
      <x:c r="O1073" s="6"/>
      <x:c r="P1073" s="6" t="str">
        <x:v>README routing profile. Stairs and lifts allowed unless stated otherwise.</x:v>
      </x:c>
      <x:c r="Q1073" s="15" t="n">
        <x:v>14.65</x:v>
      </x:c>
      <x:c r="R1073" s="6" t="str">
        <x:v>m</x:v>
      </x:c>
      <x:c r="S1073" s="16"/>
      <x:c r="T1073" s="15"/>
      <x:c r="U1073" s="6"/>
      <x:c r="V1073" s="6"/>
      <x:c r="W1073" s="6" t="str">
        <x:v>Existing find_route and show_route implement the kit routing model.</x:v>
      </x:c>
      <x:c r="X1073" s="6" t="str">
        <x:v>data/train/resplan-5783/questions_basic.jsonl</x:v>
      </x:c>
      <x:c r="Y1073" s="14" t="n">
        <x:v>7</x:v>
      </x:c>
      <x:c r="Z1073" s="6" t="str">
        <x:v>https://github.com/hagenhaeussler/Industrial-Agents-Hackathon-2026/blob/f41616590b69f3ea0c1cbfb41d6c35edd9ce53df/data/train/resplan-5783/questions_basic.jsonl#L7</x:v>
      </x:c>
      <x:c r="AA1073" s="6" t="str">
        <x:v>resplan</x:v>
      </x:c>
      <x:c r="AB1073" s="6" t="str">
        <x:v>CC-BY-4.0</x:v>
      </x:c>
    </x:row>
    <x:row r="1074" ht="72" customHeight="1">
      <x:c r="A1074" s="14" t="n">
        <x:v>1069</x:v>
      </x:c>
      <x:c r="B1074" s="6" t="str">
        <x:v>route</x:v>
      </x:c>
      <x:c r="C1074" s="6" t="str">
        <x:v>How do I get from Kitchen 0.07 (Ground floor) to Bedroom 0.04 (Ground floor)?</x:v>
      </x:c>
      <x:c r="D1074" s="6" t="str">
        <x:v>13.54 m
From: Kitchen 0.07
To: Bedroom 0.04
Ordered path (3 spaces): Kitchen 0.07 → Living room 0.01 → Bedroom 0.04</x:v>
      </x:c>
      <x:c r="E1074" s="6" t="str">
        <x:v>Reference supplied</x:v>
      </x:c>
      <x:c r="F1074" s="6" t="str">
        <x:v>train</x:v>
      </x:c>
      <x:c r="G1074" s="6" t="str">
        <x:v>resplan-5871</x:v>
      </x:c>
      <x:c r="H1074" s="6" t="str">
        <x:v>resplan-5871-Q05</x:v>
      </x:c>
      <x:c r="I1074" s="6" t="str">
        <x:v>Route planning</x:v>
      </x:c>
      <x:c r="J1074" s="6" t="str">
        <x:v>Warm-up</x:v>
      </x:c>
      <x:c r="K1074" s="6" t="str">
        <x:v>Ordered space path and directions, plus total route-model distance in metres.</x:v>
      </x:c>
      <x:c r="L1074" s="6" t="str">
        <x:v>T02, T05, T13</x:v>
      </x:c>
      <x:c r="M1074" s="6" t="str">
        <x:v>Find a valid route between two rooms, including across floors.</x:v>
      </x:c>
      <x:c r="N1074" s="6" t="str">
        <x:v>{"from_space_id":"resplan-5871-F0-S007","to_space_id":"resplan-5871-F0-S004","optimal_length_m":13.54,"space_path":["resplan-5871-F0-S007","resplan-5871-F0-S001","resplan-5871-F0-S004"],"element_path":["resplan-5871-F0-O0006","resplan-5871-F0-O0006","resplan-5871-F0-O0004","resplan-5871-F0-O0004"]}</x:v>
      </x:c>
      <x:c r="O1074" s="6"/>
      <x:c r="P1074" s="6" t="str">
        <x:v>README routing profile. Stairs and lifts allowed unless stated otherwise.</x:v>
      </x:c>
      <x:c r="Q1074" s="15" t="n">
        <x:v>13.54</x:v>
      </x:c>
      <x:c r="R1074" s="6" t="str">
        <x:v>m</x:v>
      </x:c>
      <x:c r="S1074" s="16"/>
      <x:c r="T1074" s="15"/>
      <x:c r="U1074" s="6"/>
      <x:c r="V1074" s="6"/>
      <x:c r="W1074" s="6" t="str">
        <x:v>Existing find_route and show_route implement the kit routing model.</x:v>
      </x:c>
      <x:c r="X1074" s="6" t="str">
        <x:v>data/train/resplan-5871/questions_basic.jsonl</x:v>
      </x:c>
      <x:c r="Y1074" s="14" t="n">
        <x:v>5</x:v>
      </x:c>
      <x:c r="Z1074" s="6" t="str">
        <x:v>https://github.com/hagenhaeussler/Industrial-Agents-Hackathon-2026/blob/f41616590b69f3ea0c1cbfb41d6c35edd9ce53df/data/train/resplan-5871/questions_basic.jsonl#L5</x:v>
      </x:c>
      <x:c r="AA1074" s="6" t="str">
        <x:v>resplan</x:v>
      </x:c>
      <x:c r="AB1074" s="6" t="str">
        <x:v>CC-BY-4.0</x:v>
      </x:c>
    </x:row>
    <x:row r="1075" ht="82" customHeight="1">
      <x:c r="A1075" s="14" t="n">
        <x:v>1070</x:v>
      </x:c>
      <x:c r="B1075" s="6" t="str">
        <x:v>route</x:v>
      </x:c>
      <x:c r="C1075" s="6" t="str">
        <x:v>How do I get from Bedroom 0.02 (Ground floor) to Bathroom 0.06 (Ground floor)?</x:v>
      </x:c>
      <x:c r="D1075" s="6" t="str">
        <x:v>15.13 m
From: Bedroom 0.02
To: Bathroom 0.06
Ordered path (4 spaces): Bedroom 0.02 → Living room 0.01 → Bedroom 0.03 → Bathroom 0.06</x:v>
      </x:c>
      <x:c r="E1075" s="6" t="str">
        <x:v>Reference supplied</x:v>
      </x:c>
      <x:c r="F1075" s="6" t="str">
        <x:v>train</x:v>
      </x:c>
      <x:c r="G1075" s="6" t="str">
        <x:v>resplan-5871</x:v>
      </x:c>
      <x:c r="H1075" s="6" t="str">
        <x:v>resplan-5871-Q06</x:v>
      </x:c>
      <x:c r="I1075" s="6" t="str">
        <x:v>Route planning</x:v>
      </x:c>
      <x:c r="J1075" s="6" t="str">
        <x:v>Warm-up</x:v>
      </x:c>
      <x:c r="K1075" s="6" t="str">
        <x:v>Ordered space path and directions, plus total route-model distance in metres.</x:v>
      </x:c>
      <x:c r="L1075" s="6" t="str">
        <x:v>T02, T05, T13</x:v>
      </x:c>
      <x:c r="M1075" s="6" t="str">
        <x:v>Find a valid route between two rooms, including across floors.</x:v>
      </x:c>
      <x:c r="N1075" s="6" t="str">
        <x:v>{"from_space_id":"resplan-5871-F0-S002","to_space_id":"resplan-5871-F0-S006","optimal_length_m":15.13,"space_path":["resplan-5871-F0-S002","resplan-5871-F0-S001","resplan-5871-F0-S003","resplan-5871-F0-S006"],"element_path":["resplan-5871-F0-O0001","resplan-5871-F0-O0001","resplan-5871-F0-O0002","resplan-5871-F0-O0002","resplan-5871-F0-O0005","resplan-5871-F0-O0005"]}</x:v>
      </x:c>
      <x:c r="O1075" s="6"/>
      <x:c r="P1075" s="6" t="str">
        <x:v>README routing profile. Stairs and lifts allowed unless stated otherwise.</x:v>
      </x:c>
      <x:c r="Q1075" s="15" t="n">
        <x:v>15.13</x:v>
      </x:c>
      <x:c r="R1075" s="6" t="str">
        <x:v>m</x:v>
      </x:c>
      <x:c r="S1075" s="16"/>
      <x:c r="T1075" s="15"/>
      <x:c r="U1075" s="6"/>
      <x:c r="V1075" s="6"/>
      <x:c r="W1075" s="6" t="str">
        <x:v>Existing find_route and show_route implement the kit routing model.</x:v>
      </x:c>
      <x:c r="X1075" s="6" t="str">
        <x:v>data/train/resplan-5871/questions_basic.jsonl</x:v>
      </x:c>
      <x:c r="Y1075" s="14" t="n">
        <x:v>6</x:v>
      </x:c>
      <x:c r="Z1075" s="6" t="str">
        <x:v>https://github.com/hagenhaeussler/Industrial-Agents-Hackathon-2026/blob/f41616590b69f3ea0c1cbfb41d6c35edd9ce53df/data/train/resplan-5871/questions_basic.jsonl#L6</x:v>
      </x:c>
      <x:c r="AA1075" s="6" t="str">
        <x:v>resplan</x:v>
      </x:c>
      <x:c r="AB1075" s="6" t="str">
        <x:v>CC-BY-4.0</x:v>
      </x:c>
    </x:row>
    <x:row r="1076" ht="72" customHeight="1">
      <x:c r="A1076" s="14" t="n">
        <x:v>1071</x:v>
      </x:c>
      <x:c r="B1076" s="6" t="str">
        <x:v>route</x:v>
      </x:c>
      <x:c r="C1076" s="6" t="str">
        <x:v>How do I get from Living room 0.01 (Ground floor) to Bathroom 0.05 (Ground floor)?</x:v>
      </x:c>
      <x:c r="D1076" s="6" t="str">
        <x:v>6.31 m
From: Living room 0.01
To: Bathroom 0.05
Ordered path (2 spaces): Living room 0.01 → Bathroom 0.05</x:v>
      </x:c>
      <x:c r="E1076" s="6" t="str">
        <x:v>Reference supplied</x:v>
      </x:c>
      <x:c r="F1076" s="6" t="str">
        <x:v>train</x:v>
      </x:c>
      <x:c r="G1076" s="6" t="str">
        <x:v>resplan-5871</x:v>
      </x:c>
      <x:c r="H1076" s="6" t="str">
        <x:v>resplan-5871-Q07</x:v>
      </x:c>
      <x:c r="I1076" s="6" t="str">
        <x:v>Route planning</x:v>
      </x:c>
      <x:c r="J1076" s="6" t="str">
        <x:v>Warm-up</x:v>
      </x:c>
      <x:c r="K1076" s="6" t="str">
        <x:v>Ordered space path and directions, plus total route-model distance in metres.</x:v>
      </x:c>
      <x:c r="L1076" s="6" t="str">
        <x:v>T02, T05, T13</x:v>
      </x:c>
      <x:c r="M1076" s="6" t="str">
        <x:v>Find a valid route between two rooms, including across floors.</x:v>
      </x:c>
      <x:c r="N1076" s="6" t="str">
        <x:v>{"from_space_id":"resplan-5871-F0-S001","to_space_id":"resplan-5871-F0-S005","optimal_length_m":6.31,"space_path":["resplan-5871-F0-S001","resplan-5871-F0-S005"],"element_path":["resplan-5871-F0-O0003","resplan-5871-F0-O0003"]}</x:v>
      </x:c>
      <x:c r="O1076" s="6"/>
      <x:c r="P1076" s="6" t="str">
        <x:v>README routing profile. Stairs and lifts allowed unless stated otherwise.</x:v>
      </x:c>
      <x:c r="Q1076" s="15" t="n">
        <x:v>6.31</x:v>
      </x:c>
      <x:c r="R1076" s="6" t="str">
        <x:v>m</x:v>
      </x:c>
      <x:c r="S1076" s="16"/>
      <x:c r="T1076" s="15"/>
      <x:c r="U1076" s="6"/>
      <x:c r="V1076" s="6"/>
      <x:c r="W1076" s="6" t="str">
        <x:v>Existing find_route and show_route implement the kit routing model.</x:v>
      </x:c>
      <x:c r="X1076" s="6" t="str">
        <x:v>data/train/resplan-5871/questions_basic.jsonl</x:v>
      </x:c>
      <x:c r="Y1076" s="14" t="n">
        <x:v>7</x:v>
      </x:c>
      <x:c r="Z1076" s="6" t="str">
        <x:v>https://github.com/hagenhaeussler/Industrial-Agents-Hackathon-2026/blob/f41616590b69f3ea0c1cbfb41d6c35edd9ce53df/data/train/resplan-5871/questions_basic.jsonl#L7</x:v>
      </x:c>
      <x:c r="AA1076" s="6" t="str">
        <x:v>resplan</x:v>
      </x:c>
      <x:c r="AB1076" s="6" t="str">
        <x:v>CC-BY-4.0</x:v>
      </x:c>
    </x:row>
    <x:row r="1077" ht="82" customHeight="1">
      <x:c r="A1077" s="14" t="n">
        <x:v>1072</x:v>
      </x:c>
      <x:c r="B1077" s="6" t="str">
        <x:v>route</x:v>
      </x:c>
      <x:c r="C1077" s="6" t="str">
        <x:v>How do I get from Bathroom 0.06 (Ground floor) to Bathroom 0.07 (Ground floor)?</x:v>
      </x:c>
      <x:c r="D1077" s="6" t="str">
        <x:v>28.71 m
From: Bathroom 0.06
To: Bathroom 0.07
Ordered path (5 spaces): Bathroom 0.06 → Bedroom 0.04 → Living room 0.01 → Bedroom 0.02 → Bathroom 0.07</x:v>
      </x:c>
      <x:c r="E1077" s="6" t="str">
        <x:v>Reference supplied</x:v>
      </x:c>
      <x:c r="F1077" s="6" t="str">
        <x:v>train</x:v>
      </x:c>
      <x:c r="G1077" s="6" t="str">
        <x:v>resplan-6242</x:v>
      </x:c>
      <x:c r="H1077" s="6" t="str">
        <x:v>resplan-6242-Q05</x:v>
      </x:c>
      <x:c r="I1077" s="6" t="str">
        <x:v>Route planning</x:v>
      </x:c>
      <x:c r="J1077" s="6" t="str">
        <x:v>Warm-up</x:v>
      </x:c>
      <x:c r="K1077" s="6" t="str">
        <x:v>Ordered space path and directions, plus total route-model distance in metres.</x:v>
      </x:c>
      <x:c r="L1077" s="6" t="str">
        <x:v>T02, T05, T13</x:v>
      </x:c>
      <x:c r="M1077" s="6" t="str">
        <x:v>Find a valid route between two rooms, including across floors.</x:v>
      </x:c>
      <x:c r="N1077" s="6" t="str">
        <x:v>{"from_space_id":"resplan-6242-F0-S006","to_space_id":"resplan-6242-F0-S007","optimal_length_m":28.71,"space_path":["resplan-6242-F0-S006","resplan-6242-F0-S004","resplan-6242-F0-S001","resplan-6242-F0-S002","resplan-6242-F0-S007"],"element_path":["resplan-6242-F0-O0007","resplan-6242-F0-O0007","resplan-6242-F0-O0008","resplan-6242-F0-O0008","resplan-6242-F0-O0005","resplan-6242-F0-O0005","resplan-6242-F0-O0006","resplan-6242-F0-O0006"]}</x:v>
      </x:c>
      <x:c r="O1077" s="6"/>
      <x:c r="P1077" s="6" t="str">
        <x:v>README routing profile. Stairs and lifts allowed unless stated otherwise.</x:v>
      </x:c>
      <x:c r="Q1077" s="15" t="n">
        <x:v>28.71</x:v>
      </x:c>
      <x:c r="R1077" s="6" t="str">
        <x:v>m</x:v>
      </x:c>
      <x:c r="S1077" s="16"/>
      <x:c r="T1077" s="15"/>
      <x:c r="U1077" s="6"/>
      <x:c r="V1077" s="6"/>
      <x:c r="W1077" s="6" t="str">
        <x:v>Existing find_route and show_route implement the kit routing model.</x:v>
      </x:c>
      <x:c r="X1077" s="6" t="str">
        <x:v>data/train/resplan-6242/questions_basic.jsonl</x:v>
      </x:c>
      <x:c r="Y1077" s="14" t="n">
        <x:v>5</x:v>
      </x:c>
      <x:c r="Z1077" s="6" t="str">
        <x:v>https://github.com/hagenhaeussler/Industrial-Agents-Hackathon-2026/blob/f41616590b69f3ea0c1cbfb41d6c35edd9ce53df/data/train/resplan-6242/questions_basic.jsonl#L5</x:v>
      </x:c>
      <x:c r="AA1077" s="6" t="str">
        <x:v>resplan</x:v>
      </x:c>
      <x:c r="AB1077" s="6" t="str">
        <x:v>CC-BY-4.0</x:v>
      </x:c>
    </x:row>
    <x:row r="1078" ht="72" customHeight="1">
      <x:c r="A1078" s="14" t="n">
        <x:v>1073</x:v>
      </x:c>
      <x:c r="B1078" s="6" t="str">
        <x:v>route</x:v>
      </x:c>
      <x:c r="C1078" s="6" t="str">
        <x:v>How do I get from Bedroom 0.04 (Ground floor) to Bedroom 0.03 (Ground floor)?</x:v>
      </x:c>
      <x:c r="D1078" s="6" t="str">
        <x:v>20.68 m
From: Bedroom 0.04
To: Bedroom 0.03
Ordered path (3 spaces): Bedroom 0.04 → Living room 0.01 → Bedroom 0.03</x:v>
      </x:c>
      <x:c r="E1078" s="6" t="str">
        <x:v>Reference supplied</x:v>
      </x:c>
      <x:c r="F1078" s="6" t="str">
        <x:v>train</x:v>
      </x:c>
      <x:c r="G1078" s="6" t="str">
        <x:v>resplan-6242</x:v>
      </x:c>
      <x:c r="H1078" s="6" t="str">
        <x:v>resplan-6242-Q06</x:v>
      </x:c>
      <x:c r="I1078" s="6" t="str">
        <x:v>Route planning</x:v>
      </x:c>
      <x:c r="J1078" s="6" t="str">
        <x:v>Warm-up</x:v>
      </x:c>
      <x:c r="K1078" s="6" t="str">
        <x:v>Ordered space path and directions, plus total route-model distance in metres.</x:v>
      </x:c>
      <x:c r="L1078" s="6" t="str">
        <x:v>T02, T05, T13</x:v>
      </x:c>
      <x:c r="M1078" s="6" t="str">
        <x:v>Find a valid route between two rooms, including across floors.</x:v>
      </x:c>
      <x:c r="N1078" s="6" t="str">
        <x:v>{"from_space_id":"resplan-6242-F0-S004","to_space_id":"resplan-6242-F0-S003","optimal_length_m":20.68,"space_path":["resplan-6242-F0-S004","resplan-6242-F0-S001","resplan-6242-F0-S003"],"element_path":["resplan-6242-F0-O0008","resplan-6242-F0-O0008","resplan-6242-F0-O0004","resplan-6242-F0-O0004"]}</x:v>
      </x:c>
      <x:c r="O1078" s="6"/>
      <x:c r="P1078" s="6" t="str">
        <x:v>README routing profile. Stairs and lifts allowed unless stated otherwise.</x:v>
      </x:c>
      <x:c r="Q1078" s="15" t="n">
        <x:v>20.68</x:v>
      </x:c>
      <x:c r="R1078" s="6" t="str">
        <x:v>m</x:v>
      </x:c>
      <x:c r="S1078" s="16"/>
      <x:c r="T1078" s="15"/>
      <x:c r="U1078" s="6"/>
      <x:c r="V1078" s="6"/>
      <x:c r="W1078" s="6" t="str">
        <x:v>Existing find_route and show_route implement the kit routing model.</x:v>
      </x:c>
      <x:c r="X1078" s="6" t="str">
        <x:v>data/train/resplan-6242/questions_basic.jsonl</x:v>
      </x:c>
      <x:c r="Y1078" s="14" t="n">
        <x:v>6</x:v>
      </x:c>
      <x:c r="Z1078" s="6" t="str">
        <x:v>https://github.com/hagenhaeussler/Industrial-Agents-Hackathon-2026/blob/f41616590b69f3ea0c1cbfb41d6c35edd9ce53df/data/train/resplan-6242/questions_basic.jsonl#L6</x:v>
      </x:c>
      <x:c r="AA1078" s="6" t="str">
        <x:v>resplan</x:v>
      </x:c>
      <x:c r="AB1078" s="6" t="str">
        <x:v>CC-BY-4.0</x:v>
      </x:c>
    </x:row>
    <x:row r="1079" ht="72" customHeight="1">
      <x:c r="A1079" s="14" t="n">
        <x:v>1074</x:v>
      </x:c>
      <x:c r="B1079" s="6" t="str">
        <x:v>route</x:v>
      </x:c>
      <x:c r="C1079" s="6" t="str">
        <x:v>How do I get from Bedroom 0.02 (Ground floor) to Kitchen 0.08 (Ground floor)?</x:v>
      </x:c>
      <x:c r="D1079" s="6" t="str">
        <x:v>17.79 m
From: Bedroom 0.02
To: Kitchen 0.08
Ordered path (3 spaces): Bedroom 0.02 → Living room 0.01 → Kitchen 0.08</x:v>
      </x:c>
      <x:c r="E1079" s="6" t="str">
        <x:v>Reference supplied</x:v>
      </x:c>
      <x:c r="F1079" s="6" t="str">
        <x:v>train</x:v>
      </x:c>
      <x:c r="G1079" s="6" t="str">
        <x:v>resplan-6242</x:v>
      </x:c>
      <x:c r="H1079" s="6" t="str">
        <x:v>resplan-6242-Q07</x:v>
      </x:c>
      <x:c r="I1079" s="6" t="str">
        <x:v>Route planning</x:v>
      </x:c>
      <x:c r="J1079" s="6" t="str">
        <x:v>Warm-up</x:v>
      </x:c>
      <x:c r="K1079" s="6" t="str">
        <x:v>Ordered space path and directions, plus total route-model distance in metres.</x:v>
      </x:c>
      <x:c r="L1079" s="6" t="str">
        <x:v>T02, T05, T13</x:v>
      </x:c>
      <x:c r="M1079" s="6" t="str">
        <x:v>Find a valid route between two rooms, including across floors.</x:v>
      </x:c>
      <x:c r="N1079" s="6" t="str">
        <x:v>{"from_space_id":"resplan-6242-F0-S002","to_space_id":"resplan-6242-F0-S008","optimal_length_m":17.79,"space_path":["resplan-6242-F0-S002","resplan-6242-F0-S001","resplan-6242-F0-S008"],"element_path":["resplan-6242-F0-O0005","resplan-6242-F0-O0005","resplan-6242-F0-O0009","resplan-6242-F0-O0009"]}</x:v>
      </x:c>
      <x:c r="O1079" s="6"/>
      <x:c r="P1079" s="6" t="str">
        <x:v>README routing profile. Stairs and lifts allowed unless stated otherwise.</x:v>
      </x:c>
      <x:c r="Q1079" s="15" t="n">
        <x:v>17.79</x:v>
      </x:c>
      <x:c r="R1079" s="6" t="str">
        <x:v>m</x:v>
      </x:c>
      <x:c r="S1079" s="16"/>
      <x:c r="T1079" s="15"/>
      <x:c r="U1079" s="6"/>
      <x:c r="V1079" s="6"/>
      <x:c r="W1079" s="6" t="str">
        <x:v>Existing find_route and show_route implement the kit routing model.</x:v>
      </x:c>
      <x:c r="X1079" s="6" t="str">
        <x:v>data/train/resplan-6242/questions_basic.jsonl</x:v>
      </x:c>
      <x:c r="Y1079" s="14" t="n">
        <x:v>7</x:v>
      </x:c>
      <x:c r="Z1079" s="6" t="str">
        <x:v>https://github.com/hagenhaeussler/Industrial-Agents-Hackathon-2026/blob/f41616590b69f3ea0c1cbfb41d6c35edd9ce53df/data/train/resplan-6242/questions_basic.jsonl#L7</x:v>
      </x:c>
      <x:c r="AA1079" s="6" t="str">
        <x:v>resplan</x:v>
      </x:c>
      <x:c r="AB1079" s="6" t="str">
        <x:v>CC-BY-4.0</x:v>
      </x:c>
    </x:row>
    <x:row r="1080" ht="82" customHeight="1">
      <x:c r="A1080" s="14" t="n">
        <x:v>1075</x:v>
      </x:c>
      <x:c r="B1080" s="6" t="str">
        <x:v>route</x:v>
      </x:c>
      <x:c r="C1080" s="6" t="str">
        <x:v>How do I get from Bedroom 0.02 (Ground floor) to Bathroom 0.04 (Ground floor)?</x:v>
      </x:c>
      <x:c r="D1080" s="6" t="str">
        <x:v>15.29 m
From: Bedroom 0.02
To: Bathroom 0.04
Ordered path (3 spaces): Bedroom 0.02 → Living room 0.01 → Bathroom 0.04</x:v>
      </x:c>
      <x:c r="E1080" s="6" t="str">
        <x:v>Reference supplied</x:v>
      </x:c>
      <x:c r="F1080" s="6" t="str">
        <x:v>train</x:v>
      </x:c>
      <x:c r="G1080" s="6" t="str">
        <x:v>resplan-6565</x:v>
      </x:c>
      <x:c r="H1080" s="6" t="str">
        <x:v>resplan-6565-Q05</x:v>
      </x:c>
      <x:c r="I1080" s="6" t="str">
        <x:v>Route planning</x:v>
      </x:c>
      <x:c r="J1080" s="6" t="str">
        <x:v>Warm-up</x:v>
      </x:c>
      <x:c r="K1080" s="6" t="str">
        <x:v>Ordered space path and directions, plus total route-model distance in metres.</x:v>
      </x:c>
      <x:c r="L1080" s="6" t="str">
        <x:v>T02, T05, T13</x:v>
      </x:c>
      <x:c r="M1080" s="6" t="str">
        <x:v>Find a valid route between two rooms, including across floors.</x:v>
      </x:c>
      <x:c r="N1080" s="6" t="str">
        <x:v>{"from_space_id":"resplan-6565-F0-S002","to_space_id":"resplan-6565-F0-S004","optimal_length_m":15.29,"space_path":["resplan-6565-F0-S002","resplan-6565-F0-S001","resplan-6565-F0-S004"],"element_path":["resplan-6565-F0-O0003","resplan-6565-F0-O0003","resplan-6565-F0-O0001","resplan-6565-F0-O0001"]}</x:v>
      </x:c>
      <x:c r="O1080" s="6"/>
      <x:c r="P1080" s="6" t="str">
        <x:v>README routing profile. Stairs and lifts allowed unless stated otherwise.</x:v>
      </x:c>
      <x:c r="Q1080" s="15" t="n">
        <x:v>15.29</x:v>
      </x:c>
      <x:c r="R1080" s="6" t="str">
        <x:v>m</x:v>
      </x:c>
      <x:c r="S1080" s="16"/>
      <x:c r="T1080" s="15"/>
      <x:c r="U1080" s="6"/>
      <x:c r="V1080" s="6"/>
      <x:c r="W1080" s="6" t="str">
        <x:v>Existing find_route and show_route implement the kit routing model.</x:v>
      </x:c>
      <x:c r="X1080" s="6" t="str">
        <x:v>data/train/resplan-6565/questions_basic.jsonl</x:v>
      </x:c>
      <x:c r="Y1080" s="14" t="n">
        <x:v>5</x:v>
      </x:c>
      <x:c r="Z1080" s="6" t="str">
        <x:v>https://github.com/hagenhaeussler/Industrial-Agents-Hackathon-2026/blob/f41616590b69f3ea0c1cbfb41d6c35edd9ce53df/data/train/resplan-6565/questions_basic.jsonl#L5</x:v>
      </x:c>
      <x:c r="AA1080" s="6" t="str">
        <x:v>resplan</x:v>
      </x:c>
      <x:c r="AB1080" s="6" t="str">
        <x:v>CC-BY-4.0</x:v>
      </x:c>
    </x:row>
    <x:row r="1081" ht="82" customHeight="1">
      <x:c r="A1081" s="14" t="n">
        <x:v>1076</x:v>
      </x:c>
      <x:c r="B1081" s="6" t="str">
        <x:v>route</x:v>
      </x:c>
      <x:c r="C1081" s="6" t="str">
        <x:v>How do I get from Bedroom 0.03 (Ground floor) to Bathroom 0.05 (Ground floor)?</x:v>
      </x:c>
      <x:c r="D1081" s="6" t="str">
        <x:v>20.65 m
From: Bedroom 0.03
To: Bathroom 0.05
Ordered path (4 spaces): Bedroom 0.03 → Living room 0.01 → Bedroom 0.02 → Bathroom 0.05</x:v>
      </x:c>
      <x:c r="E1081" s="6" t="str">
        <x:v>Reference supplied</x:v>
      </x:c>
      <x:c r="F1081" s="6" t="str">
        <x:v>train</x:v>
      </x:c>
      <x:c r="G1081" s="6" t="str">
        <x:v>resplan-6565</x:v>
      </x:c>
      <x:c r="H1081" s="6" t="str">
        <x:v>resplan-6565-Q06</x:v>
      </x:c>
      <x:c r="I1081" s="6" t="str">
        <x:v>Route planning</x:v>
      </x:c>
      <x:c r="J1081" s="6" t="str">
        <x:v>Warm-up</x:v>
      </x:c>
      <x:c r="K1081" s="6" t="str">
        <x:v>Ordered space path and directions, plus total route-model distance in metres.</x:v>
      </x:c>
      <x:c r="L1081" s="6" t="str">
        <x:v>T02, T05, T13</x:v>
      </x:c>
      <x:c r="M1081" s="6" t="str">
        <x:v>Find a valid route between two rooms, including across floors.</x:v>
      </x:c>
      <x:c r="N1081" s="6" t="str">
        <x:v>{"from_space_id":"resplan-6565-F0-S003","to_space_id":"resplan-6565-F0-S005","optimal_length_m":20.65,"space_path":["resplan-6565-F0-S003","resplan-6565-F0-S001","resplan-6565-F0-S002","resplan-6565-F0-S005"],"element_path":["resplan-6565-F0-O0002","resplan-6565-F0-O0002","resplan-6565-F0-O0003","resplan-6565-F0-O0003","resplan-6565-F0-O0004","resplan-6565-F0-O0004"]}</x:v>
      </x:c>
      <x:c r="O1081" s="6"/>
      <x:c r="P1081" s="6" t="str">
        <x:v>README routing profile. Stairs and lifts allowed unless stated otherwise.</x:v>
      </x:c>
      <x:c r="Q1081" s="15" t="n">
        <x:v>20.65</x:v>
      </x:c>
      <x:c r="R1081" s="6" t="str">
        <x:v>m</x:v>
      </x:c>
      <x:c r="S1081" s="16"/>
      <x:c r="T1081" s="15"/>
      <x:c r="U1081" s="6"/>
      <x:c r="V1081" s="6"/>
      <x:c r="W1081" s="6" t="str">
        <x:v>Existing find_route and show_route implement the kit routing model.</x:v>
      </x:c>
      <x:c r="X1081" s="6" t="str">
        <x:v>data/train/resplan-6565/questions_basic.jsonl</x:v>
      </x:c>
      <x:c r="Y1081" s="14" t="n">
        <x:v>6</x:v>
      </x:c>
      <x:c r="Z1081" s="6" t="str">
        <x:v>https://github.com/hagenhaeussler/Industrial-Agents-Hackathon-2026/blob/f41616590b69f3ea0c1cbfb41d6c35edd9ce53df/data/train/resplan-6565/questions_basic.jsonl#L6</x:v>
      </x:c>
      <x:c r="AA1081" s="6" t="str">
        <x:v>resplan</x:v>
      </x:c>
      <x:c r="AB1081" s="6" t="str">
        <x:v>CC-BY-4.0</x:v>
      </x:c>
    </x:row>
    <x:row r="1082" ht="82" customHeight="1">
      <x:c r="A1082" s="14" t="n">
        <x:v>1077</x:v>
      </x:c>
      <x:c r="B1082" s="6" t="str">
        <x:v>route</x:v>
      </x:c>
      <x:c r="C1082" s="6" t="str">
        <x:v>How do I get from Bathroom 0.05 (Ground floor) to Bedroom 0.03 (Ground floor)?</x:v>
      </x:c>
      <x:c r="D1082" s="6" t="str">
        <x:v>20.65 m
From: Bathroom 0.05
To: Bedroom 0.03
Ordered path (4 spaces): Bathroom 0.05 → Bedroom 0.02 → Living room 0.01 → Bedroom 0.03</x:v>
      </x:c>
      <x:c r="E1082" s="6" t="str">
        <x:v>Reference supplied</x:v>
      </x:c>
      <x:c r="F1082" s="6" t="str">
        <x:v>train</x:v>
      </x:c>
      <x:c r="G1082" s="6" t="str">
        <x:v>resplan-6565</x:v>
      </x:c>
      <x:c r="H1082" s="6" t="str">
        <x:v>resplan-6565-Q07</x:v>
      </x:c>
      <x:c r="I1082" s="6" t="str">
        <x:v>Route planning</x:v>
      </x:c>
      <x:c r="J1082" s="6" t="str">
        <x:v>Warm-up</x:v>
      </x:c>
      <x:c r="K1082" s="6" t="str">
        <x:v>Ordered space path and directions, plus total route-model distance in metres.</x:v>
      </x:c>
      <x:c r="L1082" s="6" t="str">
        <x:v>T02, T05, T13</x:v>
      </x:c>
      <x:c r="M1082" s="6" t="str">
        <x:v>Find a valid route between two rooms, including across floors.</x:v>
      </x:c>
      <x:c r="N1082" s="6" t="str">
        <x:v>{"from_space_id":"resplan-6565-F0-S005","to_space_id":"resplan-6565-F0-S003","optimal_length_m":20.65,"space_path":["resplan-6565-F0-S005","resplan-6565-F0-S002","resplan-6565-F0-S001","resplan-6565-F0-S003"],"element_path":["resplan-6565-F0-O0004","resplan-6565-F0-O0004","resplan-6565-F0-O0003","resplan-6565-F0-O0003","resplan-6565-F0-O0002","resplan-6565-F0-O0002"]}</x:v>
      </x:c>
      <x:c r="O1082" s="6"/>
      <x:c r="P1082" s="6" t="str">
        <x:v>README routing profile. Stairs and lifts allowed unless stated otherwise.</x:v>
      </x:c>
      <x:c r="Q1082" s="15" t="n">
        <x:v>20.65</x:v>
      </x:c>
      <x:c r="R1082" s="6" t="str">
        <x:v>m</x:v>
      </x:c>
      <x:c r="S1082" s="16"/>
      <x:c r="T1082" s="15"/>
      <x:c r="U1082" s="6"/>
      <x:c r="V1082" s="6"/>
      <x:c r="W1082" s="6" t="str">
        <x:v>Existing find_route and show_route implement the kit routing model.</x:v>
      </x:c>
      <x:c r="X1082" s="6" t="str">
        <x:v>data/train/resplan-6565/questions_basic.jsonl</x:v>
      </x:c>
      <x:c r="Y1082" s="14" t="n">
        <x:v>7</x:v>
      </x:c>
      <x:c r="Z1082" s="6" t="str">
        <x:v>https://github.com/hagenhaeussler/Industrial-Agents-Hackathon-2026/blob/f41616590b69f3ea0c1cbfb41d6c35edd9ce53df/data/train/resplan-6565/questions_basic.jsonl#L7</x:v>
      </x:c>
      <x:c r="AA1082" s="6" t="str">
        <x:v>resplan</x:v>
      </x:c>
      <x:c r="AB1082" s="6" t="str">
        <x:v>CC-BY-4.0</x:v>
      </x:c>
    </x:row>
    <x:row r="1083" ht="82" customHeight="1">
      <x:c r="A1083" s="14" t="n">
        <x:v>1078</x:v>
      </x:c>
      <x:c r="B1083" s="6" t="str">
        <x:v>route</x:v>
      </x:c>
      <x:c r="C1083" s="6" t="str">
        <x:v>How do I get from Bedroom 0.04 (Ground floor) to Bathroom 0.05 (Ground floor)?</x:v>
      </x:c>
      <x:c r="D1083" s="6" t="str">
        <x:v>15.2 m
From: Bedroom 0.04
To: Bathroom 0.05
Ordered path (3 spaces): Bedroom 0.04 → Living room 0.01 → Bathroom 0.05</x:v>
      </x:c>
      <x:c r="E1083" s="6" t="str">
        <x:v>Reference supplied</x:v>
      </x:c>
      <x:c r="F1083" s="6" t="str">
        <x:v>train</x:v>
      </x:c>
      <x:c r="G1083" s="6" t="str">
        <x:v>resplan-666</x:v>
      </x:c>
      <x:c r="H1083" s="6" t="str">
        <x:v>resplan-666-Q05</x:v>
      </x:c>
      <x:c r="I1083" s="6" t="str">
        <x:v>Route planning</x:v>
      </x:c>
      <x:c r="J1083" s="6" t="str">
        <x:v>Warm-up</x:v>
      </x:c>
      <x:c r="K1083" s="6" t="str">
        <x:v>Ordered space path and directions, plus total route-model distance in metres.</x:v>
      </x:c>
      <x:c r="L1083" s="6" t="str">
        <x:v>T02, T05, T13</x:v>
      </x:c>
      <x:c r="M1083" s="6" t="str">
        <x:v>Find a valid route between two rooms, including across floors.</x:v>
      </x:c>
      <x:c r="N1083" s="6" t="str">
        <x:v>{"from_space_id":"resplan-666-F0-S004","to_space_id":"resplan-666-F0-S005","optimal_length_m":15.2,"space_path":["resplan-666-F0-S004","resplan-666-F0-S001","resplan-666-F0-S005"],"element_path":["resplan-666-F0-O0005","resplan-666-F0-O0005","resplan-666-F0-O0004","resplan-666-F0-O0004"]}</x:v>
      </x:c>
      <x:c r="O1083" s="6"/>
      <x:c r="P1083" s="6" t="str">
        <x:v>README routing profile. Stairs and lifts allowed unless stated otherwise.</x:v>
      </x:c>
      <x:c r="Q1083" s="15" t="n">
        <x:v>15.2</x:v>
      </x:c>
      <x:c r="R1083" s="6" t="str">
        <x:v>m</x:v>
      </x:c>
      <x:c r="S1083" s="16"/>
      <x:c r="T1083" s="15"/>
      <x:c r="U1083" s="6"/>
      <x:c r="V1083" s="6"/>
      <x:c r="W1083" s="6" t="str">
        <x:v>Existing find_route and show_route implement the kit routing model.</x:v>
      </x:c>
      <x:c r="X1083" s="6" t="str">
        <x:v>data/train/resplan-666/questions_basic.jsonl</x:v>
      </x:c>
      <x:c r="Y1083" s="14" t="n">
        <x:v>5</x:v>
      </x:c>
      <x:c r="Z1083" s="6" t="str">
        <x:v>https://github.com/hagenhaeussler/Industrial-Agents-Hackathon-2026/blob/f41616590b69f3ea0c1cbfb41d6c35edd9ce53df/data/train/resplan-666/questions_basic.jsonl#L5</x:v>
      </x:c>
      <x:c r="AA1083" s="6" t="str">
        <x:v>resplan</x:v>
      </x:c>
      <x:c r="AB1083" s="6" t="str">
        <x:v>CC-BY-4.0</x:v>
      </x:c>
    </x:row>
    <x:row r="1084" ht="82" customHeight="1">
      <x:c r="A1084" s="14" t="n">
        <x:v>1079</x:v>
      </x:c>
      <x:c r="B1084" s="6" t="str">
        <x:v>route</x:v>
      </x:c>
      <x:c r="C1084" s="6" t="str">
        <x:v>How do I get from Bathroom 0.05 (Ground floor) to Bathroom 0.07 (Ground floor)?</x:v>
      </x:c>
      <x:c r="D1084" s="6" t="str">
        <x:v>20.5 m
From: Bathroom 0.05
To: Bathroom 0.07
Ordered path (4 spaces): Bathroom 0.05 → Living room 0.01 → Bedroom 0.04 → Bathroom 0.07</x:v>
      </x:c>
      <x:c r="E1084" s="6" t="str">
        <x:v>Reference supplied</x:v>
      </x:c>
      <x:c r="F1084" s="6" t="str">
        <x:v>train</x:v>
      </x:c>
      <x:c r="G1084" s="6" t="str">
        <x:v>resplan-666</x:v>
      </x:c>
      <x:c r="H1084" s="6" t="str">
        <x:v>resplan-666-Q06</x:v>
      </x:c>
      <x:c r="I1084" s="6" t="str">
        <x:v>Route planning</x:v>
      </x:c>
      <x:c r="J1084" s="6" t="str">
        <x:v>Warm-up</x:v>
      </x:c>
      <x:c r="K1084" s="6" t="str">
        <x:v>Ordered space path and directions, plus total route-model distance in metres.</x:v>
      </x:c>
      <x:c r="L1084" s="6" t="str">
        <x:v>T02, T05, T13</x:v>
      </x:c>
      <x:c r="M1084" s="6" t="str">
        <x:v>Find a valid route between two rooms, including across floors.</x:v>
      </x:c>
      <x:c r="N1084" s="6" t="str">
        <x:v>{"from_space_id":"resplan-666-F0-S005","to_space_id":"resplan-666-F0-S007","optimal_length_m":20.5,"space_path":["resplan-666-F0-S005","resplan-666-F0-S001","resplan-666-F0-S004","resplan-666-F0-S007"],"element_path":["resplan-666-F0-O0004","resplan-666-F0-O0004","resplan-666-F0-O0005","resplan-666-F0-O0005","resplan-666-F0-O0006","resplan-666-F0-O0006"]}</x:v>
      </x:c>
      <x:c r="O1084" s="6"/>
      <x:c r="P1084" s="6" t="str">
        <x:v>README routing profile. Stairs and lifts allowed unless stated otherwise.</x:v>
      </x:c>
      <x:c r="Q1084" s="15" t="n">
        <x:v>20.5</x:v>
      </x:c>
      <x:c r="R1084" s="6" t="str">
        <x:v>m</x:v>
      </x:c>
      <x:c r="S1084" s="16"/>
      <x:c r="T1084" s="15"/>
      <x:c r="U1084" s="6"/>
      <x:c r="V1084" s="6"/>
      <x:c r="W1084" s="6" t="str">
        <x:v>Existing find_route and show_route implement the kit routing model.</x:v>
      </x:c>
      <x:c r="X1084" s="6" t="str">
        <x:v>data/train/resplan-666/questions_basic.jsonl</x:v>
      </x:c>
      <x:c r="Y1084" s="14" t="n">
        <x:v>6</x:v>
      </x:c>
      <x:c r="Z1084" s="6" t="str">
        <x:v>https://github.com/hagenhaeussler/Industrial-Agents-Hackathon-2026/blob/f41616590b69f3ea0c1cbfb41d6c35edd9ce53df/data/train/resplan-666/questions_basic.jsonl#L6</x:v>
      </x:c>
      <x:c r="AA1084" s="6" t="str">
        <x:v>resplan</x:v>
      </x:c>
      <x:c r="AB1084" s="6" t="str">
        <x:v>CC-BY-4.0</x:v>
      </x:c>
    </x:row>
    <x:row r="1085" ht="82" customHeight="1">
      <x:c r="A1085" s="14" t="n">
        <x:v>1080</x:v>
      </x:c>
      <x:c r="B1085" s="6" t="str">
        <x:v>route</x:v>
      </x:c>
      <x:c r="C1085" s="6" t="str">
        <x:v>How do I get from Bedroom 0.03 (Ground floor) to Bathroom 0.05 (Ground floor)?</x:v>
      </x:c>
      <x:c r="D1085" s="6" t="str">
        <x:v>13.39 m
From: Bedroom 0.03
To: Bathroom 0.05
Ordered path (3 spaces): Bedroom 0.03 → Living room 0.01 → Bathroom 0.05</x:v>
      </x:c>
      <x:c r="E1085" s="6" t="str">
        <x:v>Reference supplied</x:v>
      </x:c>
      <x:c r="F1085" s="6" t="str">
        <x:v>train</x:v>
      </x:c>
      <x:c r="G1085" s="6" t="str">
        <x:v>resplan-666</x:v>
      </x:c>
      <x:c r="H1085" s="6" t="str">
        <x:v>resplan-666-Q07</x:v>
      </x:c>
      <x:c r="I1085" s="6" t="str">
        <x:v>Route planning</x:v>
      </x:c>
      <x:c r="J1085" s="6" t="str">
        <x:v>Warm-up</x:v>
      </x:c>
      <x:c r="K1085" s="6" t="str">
        <x:v>Ordered space path and directions, plus total route-model distance in metres.</x:v>
      </x:c>
      <x:c r="L1085" s="6" t="str">
        <x:v>T02, T05, T13</x:v>
      </x:c>
      <x:c r="M1085" s="6" t="str">
        <x:v>Find a valid route between two rooms, including across floors.</x:v>
      </x:c>
      <x:c r="N1085" s="6" t="str">
        <x:v>{"from_space_id":"resplan-666-F0-S003","to_space_id":"resplan-666-F0-S005","optimal_length_m":13.39,"space_path":["resplan-666-F0-S003","resplan-666-F0-S001","resplan-666-F0-S005"],"element_path":["resplan-666-F0-O0003","resplan-666-F0-O0003","resplan-666-F0-O0004","resplan-666-F0-O0004"]}</x:v>
      </x:c>
      <x:c r="O1085" s="6"/>
      <x:c r="P1085" s="6" t="str">
        <x:v>README routing profile. Stairs and lifts allowed unless stated otherwise.</x:v>
      </x:c>
      <x:c r="Q1085" s="15" t="n">
        <x:v>13.39</x:v>
      </x:c>
      <x:c r="R1085" s="6" t="str">
        <x:v>m</x:v>
      </x:c>
      <x:c r="S1085" s="16"/>
      <x:c r="T1085" s="15"/>
      <x:c r="U1085" s="6"/>
      <x:c r="V1085" s="6"/>
      <x:c r="W1085" s="6" t="str">
        <x:v>Existing find_route and show_route implement the kit routing model.</x:v>
      </x:c>
      <x:c r="X1085" s="6" t="str">
        <x:v>data/train/resplan-666/questions_basic.jsonl</x:v>
      </x:c>
      <x:c r="Y1085" s="14" t="n">
        <x:v>7</x:v>
      </x:c>
      <x:c r="Z1085" s="6" t="str">
        <x:v>https://github.com/hagenhaeussler/Industrial-Agents-Hackathon-2026/blob/f41616590b69f3ea0c1cbfb41d6c35edd9ce53df/data/train/resplan-666/questions_basic.jsonl#L7</x:v>
      </x:c>
      <x:c r="AA1085" s="6" t="str">
        <x:v>resplan</x:v>
      </x:c>
      <x:c r="AB1085" s="6" t="str">
        <x:v>CC-BY-4.0</x:v>
      </x:c>
    </x:row>
    <x:row r="1086" ht="82" customHeight="1">
      <x:c r="A1086" s="14" t="n">
        <x:v>1081</x:v>
      </x:c>
      <x:c r="B1086" s="6" t="str">
        <x:v>route</x:v>
      </x:c>
      <x:c r="C1086" s="6" t="str">
        <x:v>How do I get from Kitchen 0.08 (Ground floor) to Bathroom 0.05 (Ground floor)?</x:v>
      </x:c>
      <x:c r="D1086" s="6" t="str">
        <x:v>16.54 m
From: Kitchen 0.08
To: Bathroom 0.05
Ordered path (4 spaces): Kitchen 0.08 → Living room 0.01 → Bedroom 0.04 → Bathroom 0.05</x:v>
      </x:c>
      <x:c r="E1086" s="6" t="str">
        <x:v>Reference supplied</x:v>
      </x:c>
      <x:c r="F1086" s="6" t="str">
        <x:v>train</x:v>
      </x:c>
      <x:c r="G1086" s="6" t="str">
        <x:v>resplan-6994</x:v>
      </x:c>
      <x:c r="H1086" s="6" t="str">
        <x:v>resplan-6994-Q05</x:v>
      </x:c>
      <x:c r="I1086" s="6" t="str">
        <x:v>Route planning</x:v>
      </x:c>
      <x:c r="J1086" s="6" t="str">
        <x:v>Warm-up</x:v>
      </x:c>
      <x:c r="K1086" s="6" t="str">
        <x:v>Ordered space path and directions, plus total route-model distance in metres.</x:v>
      </x:c>
      <x:c r="L1086" s="6" t="str">
        <x:v>T02, T05, T13</x:v>
      </x:c>
      <x:c r="M1086" s="6" t="str">
        <x:v>Find a valid route between two rooms, including across floors.</x:v>
      </x:c>
      <x:c r="N1086" s="6" t="str">
        <x:v>{"from_space_id":"resplan-6994-F0-S008","to_space_id":"resplan-6994-F0-S005","optimal_length_m":16.54,"space_path":["resplan-6994-F0-S008","resplan-6994-F0-S001","resplan-6994-F0-S004","resplan-6994-F0-S005"],"element_path":["resplan-6994-F0-O0003","resplan-6994-F0-O0003","resplan-6994-F0-O0007","resplan-6994-F0-O0007","resplan-6994-F0-O0009","resplan-6994-F0-O0009"]}</x:v>
      </x:c>
      <x:c r="O1086" s="6"/>
      <x:c r="P1086" s="6" t="str">
        <x:v>README routing profile. Stairs and lifts allowed unless stated otherwise.</x:v>
      </x:c>
      <x:c r="Q1086" s="15" t="n">
        <x:v>16.54</x:v>
      </x:c>
      <x:c r="R1086" s="6" t="str">
        <x:v>m</x:v>
      </x:c>
      <x:c r="S1086" s="16"/>
      <x:c r="T1086" s="15"/>
      <x:c r="U1086" s="6"/>
      <x:c r="V1086" s="6"/>
      <x:c r="W1086" s="6" t="str">
        <x:v>Existing find_route and show_route implement the kit routing model.</x:v>
      </x:c>
      <x:c r="X1086" s="6" t="str">
        <x:v>data/train/resplan-6994/questions_basic.jsonl</x:v>
      </x:c>
      <x:c r="Y1086" s="14" t="n">
        <x:v>5</x:v>
      </x:c>
      <x:c r="Z1086" s="6" t="str">
        <x:v>https://github.com/hagenhaeussler/Industrial-Agents-Hackathon-2026/blob/f41616590b69f3ea0c1cbfb41d6c35edd9ce53df/data/train/resplan-6994/questions_basic.jsonl#L5</x:v>
      </x:c>
      <x:c r="AA1086" s="6" t="str">
        <x:v>resplan</x:v>
      </x:c>
      <x:c r="AB1086" s="6" t="str">
        <x:v>CC-BY-4.0</x:v>
      </x:c>
    </x:row>
    <x:row r="1087" ht="82" customHeight="1">
      <x:c r="A1087" s="14" t="n">
        <x:v>1082</x:v>
      </x:c>
      <x:c r="B1087" s="6" t="str">
        <x:v>route</x:v>
      </x:c>
      <x:c r="C1087" s="6" t="str">
        <x:v>How do I get from Living room 0.01 (Ground floor) to Bathroom 0.05 (Ground floor)?</x:v>
      </x:c>
      <x:c r="D1087" s="6" t="str">
        <x:v>9.6 m
From: Living room 0.01
To: Bathroom 0.05
Ordered path (3 spaces): Living room 0.01 → Bedroom 0.04 → Bathroom 0.05</x:v>
      </x:c>
      <x:c r="E1087" s="6" t="str">
        <x:v>Reference supplied</x:v>
      </x:c>
      <x:c r="F1087" s="6" t="str">
        <x:v>train</x:v>
      </x:c>
      <x:c r="G1087" s="6" t="str">
        <x:v>resplan-6994</x:v>
      </x:c>
      <x:c r="H1087" s="6" t="str">
        <x:v>resplan-6994-Q06</x:v>
      </x:c>
      <x:c r="I1087" s="6" t="str">
        <x:v>Route planning</x:v>
      </x:c>
      <x:c r="J1087" s="6" t="str">
        <x:v>Warm-up</x:v>
      </x:c>
      <x:c r="K1087" s="6" t="str">
        <x:v>Ordered space path and directions, plus total route-model distance in metres.</x:v>
      </x:c>
      <x:c r="L1087" s="6" t="str">
        <x:v>T02, T05, T13</x:v>
      </x:c>
      <x:c r="M1087" s="6" t="str">
        <x:v>Find a valid route between two rooms, including across floors.</x:v>
      </x:c>
      <x:c r="N1087" s="6" t="str">
        <x:v>{"from_space_id":"resplan-6994-F0-S001","to_space_id":"resplan-6994-F0-S005","optimal_length_m":9.6,"space_path":["resplan-6994-F0-S001","resplan-6994-F0-S004","resplan-6994-F0-S005"],"element_path":["resplan-6994-F0-O0007","resplan-6994-F0-O0007","resplan-6994-F0-O0009","resplan-6994-F0-O0009"]}</x:v>
      </x:c>
      <x:c r="O1087" s="6"/>
      <x:c r="P1087" s="6" t="str">
        <x:v>README routing profile. Stairs and lifts allowed unless stated otherwise.</x:v>
      </x:c>
      <x:c r="Q1087" s="15" t="n">
        <x:v>9.6</x:v>
      </x:c>
      <x:c r="R1087" s="6" t="str">
        <x:v>m</x:v>
      </x:c>
      <x:c r="S1087" s="16"/>
      <x:c r="T1087" s="15"/>
      <x:c r="U1087" s="6"/>
      <x:c r="V1087" s="6"/>
      <x:c r="W1087" s="6" t="str">
        <x:v>Existing find_route and show_route implement the kit routing model.</x:v>
      </x:c>
      <x:c r="X1087" s="6" t="str">
        <x:v>data/train/resplan-6994/questions_basic.jsonl</x:v>
      </x:c>
      <x:c r="Y1087" s="14" t="n">
        <x:v>6</x:v>
      </x:c>
      <x:c r="Z1087" s="6" t="str">
        <x:v>https://github.com/hagenhaeussler/Industrial-Agents-Hackathon-2026/blob/f41616590b69f3ea0c1cbfb41d6c35edd9ce53df/data/train/resplan-6994/questions_basic.jsonl#L6</x:v>
      </x:c>
      <x:c r="AA1087" s="6" t="str">
        <x:v>resplan</x:v>
      </x:c>
      <x:c r="AB1087" s="6" t="str">
        <x:v>CC-BY-4.0</x:v>
      </x:c>
    </x:row>
    <x:row r="1088" ht="72" customHeight="1">
      <x:c r="A1088" s="14" t="n">
        <x:v>1083</x:v>
      </x:c>
      <x:c r="B1088" s="6" t="str">
        <x:v>route</x:v>
      </x:c>
      <x:c r="C1088" s="6" t="str">
        <x:v>How do I get from Living room 0.01 (Ground floor) to Kitchen 0.08 (Ground floor)?</x:v>
      </x:c>
      <x:c r="D1088" s="6" t="str">
        <x:v>6.93 m
From: Living room 0.01
To: Kitchen 0.08
Ordered path (2 spaces): Living room 0.01 → Kitchen 0.08</x:v>
      </x:c>
      <x:c r="E1088" s="6" t="str">
        <x:v>Reference supplied</x:v>
      </x:c>
      <x:c r="F1088" s="6" t="str">
        <x:v>train</x:v>
      </x:c>
      <x:c r="G1088" s="6" t="str">
        <x:v>resplan-6994</x:v>
      </x:c>
      <x:c r="H1088" s="6" t="str">
        <x:v>resplan-6994-Q07</x:v>
      </x:c>
      <x:c r="I1088" s="6" t="str">
        <x:v>Route planning</x:v>
      </x:c>
      <x:c r="J1088" s="6" t="str">
        <x:v>Warm-up</x:v>
      </x:c>
      <x:c r="K1088" s="6" t="str">
        <x:v>Ordered space path and directions, plus total route-model distance in metres.</x:v>
      </x:c>
      <x:c r="L1088" s="6" t="str">
        <x:v>T02, T05, T13</x:v>
      </x:c>
      <x:c r="M1088" s="6" t="str">
        <x:v>Find a valid route between two rooms, including across floors.</x:v>
      </x:c>
      <x:c r="N1088" s="6" t="str">
        <x:v>{"from_space_id":"resplan-6994-F0-S001","to_space_id":"resplan-6994-F0-S008","optimal_length_m":6.93,"space_path":["resplan-6994-F0-S001","resplan-6994-F0-S008"],"element_path":["resplan-6994-F0-O0003","resplan-6994-F0-O0003"]}</x:v>
      </x:c>
      <x:c r="O1088" s="6"/>
      <x:c r="P1088" s="6" t="str">
        <x:v>README routing profile. Stairs and lifts allowed unless stated otherwise.</x:v>
      </x:c>
      <x:c r="Q1088" s="15" t="n">
        <x:v>6.93</x:v>
      </x:c>
      <x:c r="R1088" s="6" t="str">
        <x:v>m</x:v>
      </x:c>
      <x:c r="S1088" s="16"/>
      <x:c r="T1088" s="15"/>
      <x:c r="U1088" s="6"/>
      <x:c r="V1088" s="6"/>
      <x:c r="W1088" s="6" t="str">
        <x:v>Existing find_route and show_route implement the kit routing model.</x:v>
      </x:c>
      <x:c r="X1088" s="6" t="str">
        <x:v>data/train/resplan-6994/questions_basic.jsonl</x:v>
      </x:c>
      <x:c r="Y1088" s="14" t="n">
        <x:v>7</x:v>
      </x:c>
      <x:c r="Z1088" s="6" t="str">
        <x:v>https://github.com/hagenhaeussler/Industrial-Agents-Hackathon-2026/blob/f41616590b69f3ea0c1cbfb41d6c35edd9ce53df/data/train/resplan-6994/questions_basic.jsonl#L7</x:v>
      </x:c>
      <x:c r="AA1088" s="6" t="str">
        <x:v>resplan</x:v>
      </x:c>
      <x:c r="AB1088" s="6" t="str">
        <x:v>CC-BY-4.0</x:v>
      </x:c>
    </x:row>
    <x:row r="1089" ht="82" customHeight="1">
      <x:c r="A1089" s="14" t="n">
        <x:v>1084</x:v>
      </x:c>
      <x:c r="B1089" s="6" t="str">
        <x:v>route</x:v>
      </x:c>
      <x:c r="C1089" s="6" t="str">
        <x:v>How do I get from Bathroom 0.05 (Ground floor) to Bathroom 0.04 (Ground floor)?</x:v>
      </x:c>
      <x:c r="D1089" s="6" t="str">
        <x:v>21.31 m
From: Bathroom 0.05
To: Bathroom 0.04
Ordered path (4 spaces): Bathroom 0.05 → Bedroom 0.02 → Living room 0.01 → Bathroom 0.04</x:v>
      </x:c>
      <x:c r="E1089" s="6" t="str">
        <x:v>Reference supplied</x:v>
      </x:c>
      <x:c r="F1089" s="6" t="str">
        <x:v>train</x:v>
      </x:c>
      <x:c r="G1089" s="6" t="str">
        <x:v>resplan-7151</x:v>
      </x:c>
      <x:c r="H1089" s="6" t="str">
        <x:v>resplan-7151-Q05</x:v>
      </x:c>
      <x:c r="I1089" s="6" t="str">
        <x:v>Route planning</x:v>
      </x:c>
      <x:c r="J1089" s="6" t="str">
        <x:v>Warm-up</x:v>
      </x:c>
      <x:c r="K1089" s="6" t="str">
        <x:v>Ordered space path and directions, plus total route-model distance in metres.</x:v>
      </x:c>
      <x:c r="L1089" s="6" t="str">
        <x:v>T02, T05, T13</x:v>
      </x:c>
      <x:c r="M1089" s="6" t="str">
        <x:v>Find a valid route between two rooms, including across floors.</x:v>
      </x:c>
      <x:c r="N1089" s="6" t="str">
        <x:v>{"from_space_id":"resplan-7151-F0-S005","to_space_id":"resplan-7151-F0-S004","optimal_length_m":21.31,"space_path":["resplan-7151-F0-S005","resplan-7151-F0-S002","resplan-7151-F0-S001","resplan-7151-F0-S004"],"element_path":["resplan-7151-F0-O0001","resplan-7151-F0-O0001","resplan-7151-F0-O0002","resplan-7151-F0-O0002","resplan-7151-F0-O0003","resplan-7151-F0-O0003"]}</x:v>
      </x:c>
      <x:c r="O1089" s="6"/>
      <x:c r="P1089" s="6" t="str">
        <x:v>README routing profile. Stairs and lifts allowed unless stated otherwise.</x:v>
      </x:c>
      <x:c r="Q1089" s="15" t="n">
        <x:v>21.31</x:v>
      </x:c>
      <x:c r="R1089" s="6" t="str">
        <x:v>m</x:v>
      </x:c>
      <x:c r="S1089" s="16"/>
      <x:c r="T1089" s="15"/>
      <x:c r="U1089" s="6"/>
      <x:c r="V1089" s="6"/>
      <x:c r="W1089" s="6" t="str">
        <x:v>Existing find_route and show_route implement the kit routing model.</x:v>
      </x:c>
      <x:c r="X1089" s="6" t="str">
        <x:v>data/train/resplan-7151/questions_basic.jsonl</x:v>
      </x:c>
      <x:c r="Y1089" s="14" t="n">
        <x:v>5</x:v>
      </x:c>
      <x:c r="Z1089" s="6" t="str">
        <x:v>https://github.com/hagenhaeussler/Industrial-Agents-Hackathon-2026/blob/f41616590b69f3ea0c1cbfb41d6c35edd9ce53df/data/train/resplan-7151/questions_basic.jsonl#L5</x:v>
      </x:c>
      <x:c r="AA1089" s="6" t="str">
        <x:v>resplan</x:v>
      </x:c>
      <x:c r="AB1089" s="6" t="str">
        <x:v>CC-BY-4.0</x:v>
      </x:c>
    </x:row>
    <x:row r="1090" ht="82" customHeight="1">
      <x:c r="A1090" s="14" t="n">
        <x:v>1085</x:v>
      </x:c>
      <x:c r="B1090" s="6" t="str">
        <x:v>route</x:v>
      </x:c>
      <x:c r="C1090" s="6" t="str">
        <x:v>How do I get from Bathroom 0.04 (Ground floor) to Bedroom 0.02 (Ground floor)?</x:v>
      </x:c>
      <x:c r="D1090" s="6" t="str">
        <x:v>17.64 m
From: Bathroom 0.04
To: Bedroom 0.02
Ordered path (3 spaces): Bathroom 0.04 → Living room 0.01 → Bedroom 0.02</x:v>
      </x:c>
      <x:c r="E1090" s="6" t="str">
        <x:v>Reference supplied</x:v>
      </x:c>
      <x:c r="F1090" s="6" t="str">
        <x:v>train</x:v>
      </x:c>
      <x:c r="G1090" s="6" t="str">
        <x:v>resplan-7151</x:v>
      </x:c>
      <x:c r="H1090" s="6" t="str">
        <x:v>resplan-7151-Q06</x:v>
      </x:c>
      <x:c r="I1090" s="6" t="str">
        <x:v>Route planning</x:v>
      </x:c>
      <x:c r="J1090" s="6" t="str">
        <x:v>Warm-up</x:v>
      </x:c>
      <x:c r="K1090" s="6" t="str">
        <x:v>Ordered space path and directions, plus total route-model distance in metres.</x:v>
      </x:c>
      <x:c r="L1090" s="6" t="str">
        <x:v>T02, T05, T13</x:v>
      </x:c>
      <x:c r="M1090" s="6" t="str">
        <x:v>Find a valid route between two rooms, including across floors.</x:v>
      </x:c>
      <x:c r="N1090" s="6" t="str">
        <x:v>{"from_space_id":"resplan-7151-F0-S004","to_space_id":"resplan-7151-F0-S002","optimal_length_m":17.64,"space_path":["resplan-7151-F0-S004","resplan-7151-F0-S001","resplan-7151-F0-S002"],"element_path":["resplan-7151-F0-O0003","resplan-7151-F0-O0003","resplan-7151-F0-O0002","resplan-7151-F0-O0002"]}</x:v>
      </x:c>
      <x:c r="O1090" s="6"/>
      <x:c r="P1090" s="6" t="str">
        <x:v>README routing profile. Stairs and lifts allowed unless stated otherwise.</x:v>
      </x:c>
      <x:c r="Q1090" s="15" t="n">
        <x:v>17.64</x:v>
      </x:c>
      <x:c r="R1090" s="6" t="str">
        <x:v>m</x:v>
      </x:c>
      <x:c r="S1090" s="16"/>
      <x:c r="T1090" s="15"/>
      <x:c r="U1090" s="6"/>
      <x:c r="V1090" s="6"/>
      <x:c r="W1090" s="6" t="str">
        <x:v>Existing find_route and show_route implement the kit routing model.</x:v>
      </x:c>
      <x:c r="X1090" s="6" t="str">
        <x:v>data/train/resplan-7151/questions_basic.jsonl</x:v>
      </x:c>
      <x:c r="Y1090" s="14" t="n">
        <x:v>6</x:v>
      </x:c>
      <x:c r="Z1090" s="6" t="str">
        <x:v>https://github.com/hagenhaeussler/Industrial-Agents-Hackathon-2026/blob/f41616590b69f3ea0c1cbfb41d6c35edd9ce53df/data/train/resplan-7151/questions_basic.jsonl#L6</x:v>
      </x:c>
      <x:c r="AA1090" s="6" t="str">
        <x:v>resplan</x:v>
      </x:c>
      <x:c r="AB1090" s="6" t="str">
        <x:v>CC-BY-4.0</x:v>
      </x:c>
    </x:row>
    <x:row r="1091" ht="82" customHeight="1">
      <x:c r="A1091" s="14" t="n">
        <x:v>1086</x:v>
      </x:c>
      <x:c r="B1091" s="6" t="str">
        <x:v>route</x:v>
      </x:c>
      <x:c r="C1091" s="6" t="str">
        <x:v>How do I get from Bathroom 0.04 (Ground floor) to Bedroom 0.03 (Ground floor)?</x:v>
      </x:c>
      <x:c r="D1091" s="6" t="str">
        <x:v>16.66 m
From: Bathroom 0.04
To: Bedroom 0.03
Ordered path (3 spaces): Bathroom 0.04 → Living room 0.01 → Bedroom 0.03</x:v>
      </x:c>
      <x:c r="E1091" s="6" t="str">
        <x:v>Reference supplied</x:v>
      </x:c>
      <x:c r="F1091" s="6" t="str">
        <x:v>train</x:v>
      </x:c>
      <x:c r="G1091" s="6" t="str">
        <x:v>resplan-7151</x:v>
      </x:c>
      <x:c r="H1091" s="6" t="str">
        <x:v>resplan-7151-Q07</x:v>
      </x:c>
      <x:c r="I1091" s="6" t="str">
        <x:v>Route planning</x:v>
      </x:c>
      <x:c r="J1091" s="6" t="str">
        <x:v>Warm-up</x:v>
      </x:c>
      <x:c r="K1091" s="6" t="str">
        <x:v>Ordered space path and directions, plus total route-model distance in metres.</x:v>
      </x:c>
      <x:c r="L1091" s="6" t="str">
        <x:v>T02, T05, T13</x:v>
      </x:c>
      <x:c r="M1091" s="6" t="str">
        <x:v>Find a valid route between two rooms, including across floors.</x:v>
      </x:c>
      <x:c r="N1091" s="6" t="str">
        <x:v>{"from_space_id":"resplan-7151-F0-S004","to_space_id":"resplan-7151-F0-S003","optimal_length_m":16.66,"space_path":["resplan-7151-F0-S004","resplan-7151-F0-S001","resplan-7151-F0-S003"],"element_path":["resplan-7151-F0-O0003","resplan-7151-F0-O0003","resplan-7151-F0-O0004","resplan-7151-F0-O0004"]}</x:v>
      </x:c>
      <x:c r="O1091" s="6"/>
      <x:c r="P1091" s="6" t="str">
        <x:v>README routing profile. Stairs and lifts allowed unless stated otherwise.</x:v>
      </x:c>
      <x:c r="Q1091" s="15" t="n">
        <x:v>16.66</x:v>
      </x:c>
      <x:c r="R1091" s="6" t="str">
        <x:v>m</x:v>
      </x:c>
      <x:c r="S1091" s="16"/>
      <x:c r="T1091" s="15"/>
      <x:c r="U1091" s="6"/>
      <x:c r="V1091" s="6"/>
      <x:c r="W1091" s="6" t="str">
        <x:v>Existing find_route and show_route implement the kit routing model.</x:v>
      </x:c>
      <x:c r="X1091" s="6" t="str">
        <x:v>data/train/resplan-7151/questions_basic.jsonl</x:v>
      </x:c>
      <x:c r="Y1091" s="14" t="n">
        <x:v>7</x:v>
      </x:c>
      <x:c r="Z1091" s="6" t="str">
        <x:v>https://github.com/hagenhaeussler/Industrial-Agents-Hackathon-2026/blob/f41616590b69f3ea0c1cbfb41d6c35edd9ce53df/data/train/resplan-7151/questions_basic.jsonl#L7</x:v>
      </x:c>
      <x:c r="AA1091" s="6" t="str">
        <x:v>resplan</x:v>
      </x:c>
      <x:c r="AB1091" s="6" t="str">
        <x:v>CC-BY-4.0</x:v>
      </x:c>
    </x:row>
    <x:row r="1092" ht="82" customHeight="1">
      <x:c r="A1092" s="14" t="n">
        <x:v>1087</x:v>
      </x:c>
      <x:c r="B1092" s="6" t="str">
        <x:v>route</x:v>
      </x:c>
      <x:c r="C1092" s="6" t="str">
        <x:v>How do I get from Bathroom 0.05 (Ground floor) to Bathroom 0.04 (Ground floor)?</x:v>
      </x:c>
      <x:c r="D1092" s="6" t="str">
        <x:v>9.71 m
From: Bathroom 0.05
To: Bathroom 0.04
Ordered path (3 spaces): Bathroom 0.05 → Living room 0.01 → Bathroom 0.04</x:v>
      </x:c>
      <x:c r="E1092" s="6" t="str">
        <x:v>Reference supplied</x:v>
      </x:c>
      <x:c r="F1092" s="6" t="str">
        <x:v>train</x:v>
      </x:c>
      <x:c r="G1092" s="6" t="str">
        <x:v>resplan-7471</x:v>
      </x:c>
      <x:c r="H1092" s="6" t="str">
        <x:v>resplan-7471-Q05</x:v>
      </x:c>
      <x:c r="I1092" s="6" t="str">
        <x:v>Route planning</x:v>
      </x:c>
      <x:c r="J1092" s="6" t="str">
        <x:v>Warm-up</x:v>
      </x:c>
      <x:c r="K1092" s="6" t="str">
        <x:v>Ordered space path and directions, plus total route-model distance in metres.</x:v>
      </x:c>
      <x:c r="L1092" s="6" t="str">
        <x:v>T02, T05, T13</x:v>
      </x:c>
      <x:c r="M1092" s="6" t="str">
        <x:v>Find a valid route between two rooms, including across floors.</x:v>
      </x:c>
      <x:c r="N1092" s="6" t="str">
        <x:v>{"from_space_id":"resplan-7471-F0-S005","to_space_id":"resplan-7471-F0-S004","optimal_length_m":9.71,"space_path":["resplan-7471-F0-S005","resplan-7471-F0-S001","resplan-7471-F0-S004"],"element_path":["resplan-7471-F0-O0002","resplan-7471-F0-O0002","resplan-7471-F0-O0003","resplan-7471-F0-O0003"]}</x:v>
      </x:c>
      <x:c r="O1092" s="6"/>
      <x:c r="P1092" s="6" t="str">
        <x:v>README routing profile. Stairs and lifts allowed unless stated otherwise.</x:v>
      </x:c>
      <x:c r="Q1092" s="15" t="n">
        <x:v>9.71</x:v>
      </x:c>
      <x:c r="R1092" s="6" t="str">
        <x:v>m</x:v>
      </x:c>
      <x:c r="S1092" s="16"/>
      <x:c r="T1092" s="15"/>
      <x:c r="U1092" s="6"/>
      <x:c r="V1092" s="6"/>
      <x:c r="W1092" s="6" t="str">
        <x:v>Existing find_route and show_route implement the kit routing model.</x:v>
      </x:c>
      <x:c r="X1092" s="6" t="str">
        <x:v>data/train/resplan-7471/questions_basic.jsonl</x:v>
      </x:c>
      <x:c r="Y1092" s="14" t="n">
        <x:v>5</x:v>
      </x:c>
      <x:c r="Z1092" s="6" t="str">
        <x:v>https://github.com/hagenhaeussler/Industrial-Agents-Hackathon-2026/blob/f41616590b69f3ea0c1cbfb41d6c35edd9ce53df/data/train/resplan-7471/questions_basic.jsonl#L5</x:v>
      </x:c>
      <x:c r="AA1092" s="6" t="str">
        <x:v>resplan</x:v>
      </x:c>
      <x:c r="AB1092" s="6" t="str">
        <x:v>CC-BY-4.0</x:v>
      </x:c>
    </x:row>
    <x:row r="1093" ht="72" customHeight="1">
      <x:c r="A1093" s="14" t="n">
        <x:v>1088</x:v>
      </x:c>
      <x:c r="B1093" s="6" t="str">
        <x:v>route</x:v>
      </x:c>
      <x:c r="C1093" s="6" t="str">
        <x:v>How do I get from Kitchen 0.06 (Ground floor) to Bedroom 0.03 (Ground floor)?</x:v>
      </x:c>
      <x:c r="D1093" s="6" t="str">
        <x:v>11.48 m
From: Kitchen 0.06
To: Bedroom 0.03
Ordered path (3 spaces): Kitchen 0.06 → Living room 0.01 → Bedroom 0.03</x:v>
      </x:c>
      <x:c r="E1093" s="6" t="str">
        <x:v>Reference supplied</x:v>
      </x:c>
      <x:c r="F1093" s="6" t="str">
        <x:v>train</x:v>
      </x:c>
      <x:c r="G1093" s="6" t="str">
        <x:v>resplan-7471</x:v>
      </x:c>
      <x:c r="H1093" s="6" t="str">
        <x:v>resplan-7471-Q06</x:v>
      </x:c>
      <x:c r="I1093" s="6" t="str">
        <x:v>Route planning</x:v>
      </x:c>
      <x:c r="J1093" s="6" t="str">
        <x:v>Warm-up</x:v>
      </x:c>
      <x:c r="K1093" s="6" t="str">
        <x:v>Ordered space path and directions, plus total route-model distance in metres.</x:v>
      </x:c>
      <x:c r="L1093" s="6" t="str">
        <x:v>T02, T05, T13</x:v>
      </x:c>
      <x:c r="M1093" s="6" t="str">
        <x:v>Find a valid route between two rooms, including across floors.</x:v>
      </x:c>
      <x:c r="N1093" s="6" t="str">
        <x:v>{"from_space_id":"resplan-7471-F0-S006","to_space_id":"resplan-7471-F0-S003","optimal_length_m":11.48,"space_path":["resplan-7471-F0-S006","resplan-7471-F0-S001","resplan-7471-F0-S003"],"element_path":["resplan-7471-F0-O0005","resplan-7471-F0-O0005","resplan-7471-F0-O0001","resplan-7471-F0-O0001"]}</x:v>
      </x:c>
      <x:c r="O1093" s="6"/>
      <x:c r="P1093" s="6" t="str">
        <x:v>README routing profile. Stairs and lifts allowed unless stated otherwise.</x:v>
      </x:c>
      <x:c r="Q1093" s="15" t="n">
        <x:v>11.48</x:v>
      </x:c>
      <x:c r="R1093" s="6" t="str">
        <x:v>m</x:v>
      </x:c>
      <x:c r="S1093" s="16"/>
      <x:c r="T1093" s="15"/>
      <x:c r="U1093" s="6"/>
      <x:c r="V1093" s="6"/>
      <x:c r="W1093" s="6" t="str">
        <x:v>Existing find_route and show_route implement the kit routing model.</x:v>
      </x:c>
      <x:c r="X1093" s="6" t="str">
        <x:v>data/train/resplan-7471/questions_basic.jsonl</x:v>
      </x:c>
      <x:c r="Y1093" s="14" t="n">
        <x:v>6</x:v>
      </x:c>
      <x:c r="Z1093" s="6" t="str">
        <x:v>https://github.com/hagenhaeussler/Industrial-Agents-Hackathon-2026/blob/f41616590b69f3ea0c1cbfb41d6c35edd9ce53df/data/train/resplan-7471/questions_basic.jsonl#L6</x:v>
      </x:c>
      <x:c r="AA1093" s="6" t="str">
        <x:v>resplan</x:v>
      </x:c>
      <x:c r="AB1093" s="6" t="str">
        <x:v>CC-BY-4.0</x:v>
      </x:c>
    </x:row>
    <x:row r="1094" ht="72" customHeight="1">
      <x:c r="A1094" s="14" t="n">
        <x:v>1089</x:v>
      </x:c>
      <x:c r="B1094" s="6" t="str">
        <x:v>route</x:v>
      </x:c>
      <x:c r="C1094" s="6" t="str">
        <x:v>How do I get from Kitchen 0.06 (Ground floor) to Bedroom 0.02 (Ground floor)?</x:v>
      </x:c>
      <x:c r="D1094" s="6" t="str">
        <x:v>9.5 m
From: Kitchen 0.06
To: Bedroom 0.02
Ordered path (3 spaces): Kitchen 0.06 → Living room 0.01 → Bedroom 0.02</x:v>
      </x:c>
      <x:c r="E1094" s="6" t="str">
        <x:v>Reference supplied</x:v>
      </x:c>
      <x:c r="F1094" s="6" t="str">
        <x:v>train</x:v>
      </x:c>
      <x:c r="G1094" s="6" t="str">
        <x:v>resplan-7471</x:v>
      </x:c>
      <x:c r="H1094" s="6" t="str">
        <x:v>resplan-7471-Q07</x:v>
      </x:c>
      <x:c r="I1094" s="6" t="str">
        <x:v>Route planning</x:v>
      </x:c>
      <x:c r="J1094" s="6" t="str">
        <x:v>Warm-up</x:v>
      </x:c>
      <x:c r="K1094" s="6" t="str">
        <x:v>Ordered space path and directions, plus total route-model distance in metres.</x:v>
      </x:c>
      <x:c r="L1094" s="6" t="str">
        <x:v>T02, T05, T13</x:v>
      </x:c>
      <x:c r="M1094" s="6" t="str">
        <x:v>Find a valid route between two rooms, including across floors.</x:v>
      </x:c>
      <x:c r="N1094" s="6" t="str">
        <x:v>{"from_space_id":"resplan-7471-F0-S006","to_space_id":"resplan-7471-F0-S002","optimal_length_m":9.5,"space_path":["resplan-7471-F0-S006","resplan-7471-F0-S001","resplan-7471-F0-S002"],"element_path":["resplan-7471-F0-O0005","resplan-7471-F0-O0005","resplan-7471-F0-O0004","resplan-7471-F0-O0004"]}</x:v>
      </x:c>
      <x:c r="O1094" s="6"/>
      <x:c r="P1094" s="6" t="str">
        <x:v>README routing profile. Stairs and lifts allowed unless stated otherwise.</x:v>
      </x:c>
      <x:c r="Q1094" s="15" t="n">
        <x:v>9.5</x:v>
      </x:c>
      <x:c r="R1094" s="6" t="str">
        <x:v>m</x:v>
      </x:c>
      <x:c r="S1094" s="16"/>
      <x:c r="T1094" s="15"/>
      <x:c r="U1094" s="6"/>
      <x:c r="V1094" s="6"/>
      <x:c r="W1094" s="6" t="str">
        <x:v>Existing find_route and show_route implement the kit routing model.</x:v>
      </x:c>
      <x:c r="X1094" s="6" t="str">
        <x:v>data/train/resplan-7471/questions_basic.jsonl</x:v>
      </x:c>
      <x:c r="Y1094" s="14" t="n">
        <x:v>7</x:v>
      </x:c>
      <x:c r="Z1094" s="6" t="str">
        <x:v>https://github.com/hagenhaeussler/Industrial-Agents-Hackathon-2026/blob/f41616590b69f3ea0c1cbfb41d6c35edd9ce53df/data/train/resplan-7471/questions_basic.jsonl#L7</x:v>
      </x:c>
      <x:c r="AA1094" s="6" t="str">
        <x:v>resplan</x:v>
      </x:c>
      <x:c r="AB1094" s="6" t="str">
        <x:v>CC-BY-4.0</x:v>
      </x:c>
    </x:row>
    <x:row r="1095" ht="72" customHeight="1">
      <x:c r="A1095" s="14" t="n">
        <x:v>1090</x:v>
      </x:c>
      <x:c r="B1095" s="6" t="str">
        <x:v>route</x:v>
      </x:c>
      <x:c r="C1095" s="6" t="str">
        <x:v>How do I get from Bedroom 0.03 (Ground floor) to Living room 0.01 (Ground floor)?</x:v>
      </x:c>
      <x:c r="D1095" s="6" t="str">
        <x:v>5.7 m
From: Bedroom 0.03
To: Living room 0.01
Ordered path (2 spaces): Bedroom 0.03 → Living room 0.01</x:v>
      </x:c>
      <x:c r="E1095" s="6" t="str">
        <x:v>Reference supplied</x:v>
      </x:c>
      <x:c r="F1095" s="6" t="str">
        <x:v>train</x:v>
      </x:c>
      <x:c r="G1095" s="6" t="str">
        <x:v>resplan-7667</x:v>
      </x:c>
      <x:c r="H1095" s="6" t="str">
        <x:v>resplan-7667-Q05</x:v>
      </x:c>
      <x:c r="I1095" s="6" t="str">
        <x:v>Route planning</x:v>
      </x:c>
      <x:c r="J1095" s="6" t="str">
        <x:v>Warm-up</x:v>
      </x:c>
      <x:c r="K1095" s="6" t="str">
        <x:v>Ordered space path and directions, plus total route-model distance in metres.</x:v>
      </x:c>
      <x:c r="L1095" s="6" t="str">
        <x:v>T02, T05, T13</x:v>
      </x:c>
      <x:c r="M1095" s="6" t="str">
        <x:v>Find a valid route between two rooms, including across floors.</x:v>
      </x:c>
      <x:c r="N1095" s="6" t="str">
        <x:v>{"from_space_id":"resplan-7667-F0-S003","to_space_id":"resplan-7667-F0-S001","optimal_length_m":5.7,"space_path":["resplan-7667-F0-S003","resplan-7667-F0-S001"],"element_path":["resplan-7667-F0-O0005","resplan-7667-F0-O0005"]}</x:v>
      </x:c>
      <x:c r="O1095" s="6"/>
      <x:c r="P1095" s="6" t="str">
        <x:v>README routing profile. Stairs and lifts allowed unless stated otherwise.</x:v>
      </x:c>
      <x:c r="Q1095" s="15" t="n">
        <x:v>5.7</x:v>
      </x:c>
      <x:c r="R1095" s="6" t="str">
        <x:v>m</x:v>
      </x:c>
      <x:c r="S1095" s="16"/>
      <x:c r="T1095" s="15"/>
      <x:c r="U1095" s="6"/>
      <x:c r="V1095" s="6"/>
      <x:c r="W1095" s="6" t="str">
        <x:v>Existing find_route and show_route implement the kit routing model.</x:v>
      </x:c>
      <x:c r="X1095" s="6" t="str">
        <x:v>data/train/resplan-7667/questions_basic.jsonl</x:v>
      </x:c>
      <x:c r="Y1095" s="14" t="n">
        <x:v>5</x:v>
      </x:c>
      <x:c r="Z1095" s="6" t="str">
        <x:v>https://github.com/hagenhaeussler/Industrial-Agents-Hackathon-2026/blob/f41616590b69f3ea0c1cbfb41d6c35edd9ce53df/data/train/resplan-7667/questions_basic.jsonl#L5</x:v>
      </x:c>
      <x:c r="AA1095" s="6" t="str">
        <x:v>resplan</x:v>
      </x:c>
      <x:c r="AB1095" s="6" t="str">
        <x:v>CC-BY-4.0</x:v>
      </x:c>
    </x:row>
    <x:row r="1096" ht="72" customHeight="1">
      <x:c r="A1096" s="14" t="n">
        <x:v>1091</x:v>
      </x:c>
      <x:c r="B1096" s="6" t="str">
        <x:v>route</x:v>
      </x:c>
      <x:c r="C1096" s="6" t="str">
        <x:v>How do I get from Kitchen 0.06 (Ground floor) to Bedroom 0.02 (Ground floor)?</x:v>
      </x:c>
      <x:c r="D1096" s="6" t="str">
        <x:v>12.64 m
From: Kitchen 0.06
To: Bedroom 0.02
Ordered path (3 spaces): Kitchen 0.06 → Living room 0.01 → Bedroom 0.02</x:v>
      </x:c>
      <x:c r="E1096" s="6" t="str">
        <x:v>Reference supplied</x:v>
      </x:c>
      <x:c r="F1096" s="6" t="str">
        <x:v>train</x:v>
      </x:c>
      <x:c r="G1096" s="6" t="str">
        <x:v>resplan-7667</x:v>
      </x:c>
      <x:c r="H1096" s="6" t="str">
        <x:v>resplan-7667-Q06</x:v>
      </x:c>
      <x:c r="I1096" s="6" t="str">
        <x:v>Route planning</x:v>
      </x:c>
      <x:c r="J1096" s="6" t="str">
        <x:v>Warm-up</x:v>
      </x:c>
      <x:c r="K1096" s="6" t="str">
        <x:v>Ordered space path and directions, plus total route-model distance in metres.</x:v>
      </x:c>
      <x:c r="L1096" s="6" t="str">
        <x:v>T02, T05, T13</x:v>
      </x:c>
      <x:c r="M1096" s="6" t="str">
        <x:v>Find a valid route between two rooms, including across floors.</x:v>
      </x:c>
      <x:c r="N1096" s="6" t="str">
        <x:v>{"from_space_id":"resplan-7667-F0-S006","to_space_id":"resplan-7667-F0-S002","optimal_length_m":12.64,"space_path":["resplan-7667-F0-S006","resplan-7667-F0-S001","resplan-7667-F0-S002"],"element_path":["resplan-7667-F0-O0003","resplan-7667-F0-O0003","resplan-7667-F0-O0004","resplan-7667-F0-O0004"]}</x:v>
      </x:c>
      <x:c r="O1096" s="6"/>
      <x:c r="P1096" s="6" t="str">
        <x:v>README routing profile. Stairs and lifts allowed unless stated otherwise.</x:v>
      </x:c>
      <x:c r="Q1096" s="15" t="n">
        <x:v>12.64</x:v>
      </x:c>
      <x:c r="R1096" s="6" t="str">
        <x:v>m</x:v>
      </x:c>
      <x:c r="S1096" s="16"/>
      <x:c r="T1096" s="15"/>
      <x:c r="U1096" s="6"/>
      <x:c r="V1096" s="6"/>
      <x:c r="W1096" s="6" t="str">
        <x:v>Existing find_route and show_route implement the kit routing model.</x:v>
      </x:c>
      <x:c r="X1096" s="6" t="str">
        <x:v>data/train/resplan-7667/questions_basic.jsonl</x:v>
      </x:c>
      <x:c r="Y1096" s="14" t="n">
        <x:v>6</x:v>
      </x:c>
      <x:c r="Z1096" s="6" t="str">
        <x:v>https://github.com/hagenhaeussler/Industrial-Agents-Hackathon-2026/blob/f41616590b69f3ea0c1cbfb41d6c35edd9ce53df/data/train/resplan-7667/questions_basic.jsonl#L6</x:v>
      </x:c>
      <x:c r="AA1096" s="6" t="str">
        <x:v>resplan</x:v>
      </x:c>
      <x:c r="AB1096" s="6" t="str">
        <x:v>CC-BY-4.0</x:v>
      </x:c>
    </x:row>
    <x:row r="1097" ht="82" customHeight="1">
      <x:c r="A1097" s="14" t="n">
        <x:v>1092</x:v>
      </x:c>
      <x:c r="B1097" s="6" t="str">
        <x:v>route</x:v>
      </x:c>
      <x:c r="C1097" s="6" t="str">
        <x:v>How do I get from Bathroom 0.05 (Ground floor) to Living room 0.01 (Ground floor)?</x:v>
      </x:c>
      <x:c r="D1097" s="6" t="str">
        <x:v>10.21 m
From: Bathroom 0.05
To: Living room 0.01
Ordered path (3 spaces): Bathroom 0.05 → Bedroom 0.02 → Living room 0.01</x:v>
      </x:c>
      <x:c r="E1097" s="6" t="str">
        <x:v>Reference supplied</x:v>
      </x:c>
      <x:c r="F1097" s="6" t="str">
        <x:v>train</x:v>
      </x:c>
      <x:c r="G1097" s="6" t="str">
        <x:v>resplan-7667</x:v>
      </x:c>
      <x:c r="H1097" s="6" t="str">
        <x:v>resplan-7667-Q07</x:v>
      </x:c>
      <x:c r="I1097" s="6" t="str">
        <x:v>Route planning</x:v>
      </x:c>
      <x:c r="J1097" s="6" t="str">
        <x:v>Warm-up</x:v>
      </x:c>
      <x:c r="K1097" s="6" t="str">
        <x:v>Ordered space path and directions, plus total route-model distance in metres.</x:v>
      </x:c>
      <x:c r="L1097" s="6" t="str">
        <x:v>T02, T05, T13</x:v>
      </x:c>
      <x:c r="M1097" s="6" t="str">
        <x:v>Find a valid route between two rooms, including across floors.</x:v>
      </x:c>
      <x:c r="N1097" s="6" t="str">
        <x:v>{"from_space_id":"resplan-7667-F0-S005","to_space_id":"resplan-7667-F0-S001","optimal_length_m":10.21,"space_path":["resplan-7667-F0-S005","resplan-7667-F0-S002","resplan-7667-F0-S001"],"element_path":["resplan-7667-F0-O0001","resplan-7667-F0-O0001","resplan-7667-F0-O0004","resplan-7667-F0-O0004"]}</x:v>
      </x:c>
      <x:c r="O1097" s="6"/>
      <x:c r="P1097" s="6" t="str">
        <x:v>README routing profile. Stairs and lifts allowed unless stated otherwise.</x:v>
      </x:c>
      <x:c r="Q1097" s="15" t="n">
        <x:v>10.21</x:v>
      </x:c>
      <x:c r="R1097" s="6" t="str">
        <x:v>m</x:v>
      </x:c>
      <x:c r="S1097" s="16"/>
      <x:c r="T1097" s="15"/>
      <x:c r="U1097" s="6"/>
      <x:c r="V1097" s="6"/>
      <x:c r="W1097" s="6" t="str">
        <x:v>Existing find_route and show_route implement the kit routing model.</x:v>
      </x:c>
      <x:c r="X1097" s="6" t="str">
        <x:v>data/train/resplan-7667/questions_basic.jsonl</x:v>
      </x:c>
      <x:c r="Y1097" s="14" t="n">
        <x:v>7</x:v>
      </x:c>
      <x:c r="Z1097" s="6" t="str">
        <x:v>https://github.com/hagenhaeussler/Industrial-Agents-Hackathon-2026/blob/f41616590b69f3ea0c1cbfb41d6c35edd9ce53df/data/train/resplan-7667/questions_basic.jsonl#L7</x:v>
      </x:c>
      <x:c r="AA1097" s="6" t="str">
        <x:v>resplan</x:v>
      </x:c>
      <x:c r="AB1097" s="6" t="str">
        <x:v>CC-BY-4.0</x:v>
      </x:c>
    </x:row>
    <x:row r="1098" ht="72" customHeight="1">
      <x:c r="A1098" s="14" t="n">
        <x:v>1093</x:v>
      </x:c>
      <x:c r="B1098" s="6" t="str">
        <x:v>route</x:v>
      </x:c>
      <x:c r="C1098" s="6" t="str">
        <x:v>How do I get from Bedroom 0.02 (Ground floor) to Living room 0.01 (Ground floor)?</x:v>
      </x:c>
      <x:c r="D1098" s="6" t="str">
        <x:v>8.22 m
From: Bedroom 0.02
To: Living room 0.01
Ordered path (2 spaces): Bedroom 0.02 → Living room 0.01</x:v>
      </x:c>
      <x:c r="E1098" s="6" t="str">
        <x:v>Reference supplied</x:v>
      </x:c>
      <x:c r="F1098" s="6" t="str">
        <x:v>train</x:v>
      </x:c>
      <x:c r="G1098" s="6" t="str">
        <x:v>resplan-7709</x:v>
      </x:c>
      <x:c r="H1098" s="6" t="str">
        <x:v>resplan-7709-Q05</x:v>
      </x:c>
      <x:c r="I1098" s="6" t="str">
        <x:v>Route planning</x:v>
      </x:c>
      <x:c r="J1098" s="6" t="str">
        <x:v>Warm-up</x:v>
      </x:c>
      <x:c r="K1098" s="6" t="str">
        <x:v>Ordered space path and directions, plus total route-model distance in metres.</x:v>
      </x:c>
      <x:c r="L1098" s="6" t="str">
        <x:v>T02, T05, T13</x:v>
      </x:c>
      <x:c r="M1098" s="6" t="str">
        <x:v>Find a valid route between two rooms, including across floors.</x:v>
      </x:c>
      <x:c r="N1098" s="6" t="str">
        <x:v>{"from_space_id":"resplan-7709-F0-S002","to_space_id":"resplan-7709-F0-S001","optimal_length_m":8.22,"space_path":["resplan-7709-F0-S002","resplan-7709-F0-S001"],"element_path":["resplan-7709-F0-O0002","resplan-7709-F0-O0002"]}</x:v>
      </x:c>
      <x:c r="O1098" s="6"/>
      <x:c r="P1098" s="6" t="str">
        <x:v>README routing profile. Stairs and lifts allowed unless stated otherwise.</x:v>
      </x:c>
      <x:c r="Q1098" s="15" t="n">
        <x:v>8.22</x:v>
      </x:c>
      <x:c r="R1098" s="6" t="str">
        <x:v>m</x:v>
      </x:c>
      <x:c r="S1098" s="16"/>
      <x:c r="T1098" s="15"/>
      <x:c r="U1098" s="6"/>
      <x:c r="V1098" s="6"/>
      <x:c r="W1098" s="6" t="str">
        <x:v>Existing find_route and show_route implement the kit routing model.</x:v>
      </x:c>
      <x:c r="X1098" s="6" t="str">
        <x:v>data/train/resplan-7709/questions_basic.jsonl</x:v>
      </x:c>
      <x:c r="Y1098" s="14" t="n">
        <x:v>5</x:v>
      </x:c>
      <x:c r="Z1098" s="6" t="str">
        <x:v>https://github.com/hagenhaeussler/Industrial-Agents-Hackathon-2026/blob/f41616590b69f3ea0c1cbfb41d6c35edd9ce53df/data/train/resplan-7709/questions_basic.jsonl#L5</x:v>
      </x:c>
      <x:c r="AA1098" s="6" t="str">
        <x:v>resplan</x:v>
      </x:c>
      <x:c r="AB1098" s="6" t="str">
        <x:v>CC-BY-4.0</x:v>
      </x:c>
    </x:row>
    <x:row r="1099" ht="72" customHeight="1">
      <x:c r="A1099" s="14" t="n">
        <x:v>1094</x:v>
      </x:c>
      <x:c r="B1099" s="6" t="str">
        <x:v>route</x:v>
      </x:c>
      <x:c r="C1099" s="6" t="str">
        <x:v>How do I get from Bedroom 0.02 (Ground floor) to Kitchen 0.06 (Ground floor)?</x:v>
      </x:c>
      <x:c r="D1099" s="6" t="str">
        <x:v>13.84 m
From: Bedroom 0.02
To: Kitchen 0.06
Ordered path (3 spaces): Bedroom 0.02 → Living room 0.01 → Kitchen 0.06</x:v>
      </x:c>
      <x:c r="E1099" s="6" t="str">
        <x:v>Reference supplied</x:v>
      </x:c>
      <x:c r="F1099" s="6" t="str">
        <x:v>train</x:v>
      </x:c>
      <x:c r="G1099" s="6" t="str">
        <x:v>resplan-7709</x:v>
      </x:c>
      <x:c r="H1099" s="6" t="str">
        <x:v>resplan-7709-Q06</x:v>
      </x:c>
      <x:c r="I1099" s="6" t="str">
        <x:v>Route planning</x:v>
      </x:c>
      <x:c r="J1099" s="6" t="str">
        <x:v>Warm-up</x:v>
      </x:c>
      <x:c r="K1099" s="6" t="str">
        <x:v>Ordered space path and directions, plus total route-model distance in metres.</x:v>
      </x:c>
      <x:c r="L1099" s="6" t="str">
        <x:v>T02, T05, T13</x:v>
      </x:c>
      <x:c r="M1099" s="6" t="str">
        <x:v>Find a valid route between two rooms, including across floors.</x:v>
      </x:c>
      <x:c r="N1099" s="6" t="str">
        <x:v>{"from_space_id":"resplan-7709-F0-S002","to_space_id":"resplan-7709-F0-S006","optimal_length_m":13.84,"space_path":["resplan-7709-F0-S002","resplan-7709-F0-S001","resplan-7709-F0-S006"],"element_path":["resplan-7709-F0-O0002","resplan-7709-F0-O0002","resplan-7709-F0-O0005","resplan-7709-F0-O0005"]}</x:v>
      </x:c>
      <x:c r="O1099" s="6"/>
      <x:c r="P1099" s="6" t="str">
        <x:v>README routing profile. Stairs and lifts allowed unless stated otherwise.</x:v>
      </x:c>
      <x:c r="Q1099" s="15" t="n">
        <x:v>13.84</x:v>
      </x:c>
      <x:c r="R1099" s="6" t="str">
        <x:v>m</x:v>
      </x:c>
      <x:c r="S1099" s="16"/>
      <x:c r="T1099" s="15"/>
      <x:c r="U1099" s="6"/>
      <x:c r="V1099" s="6"/>
      <x:c r="W1099" s="6" t="str">
        <x:v>Existing find_route and show_route implement the kit routing model.</x:v>
      </x:c>
      <x:c r="X1099" s="6" t="str">
        <x:v>data/train/resplan-7709/questions_basic.jsonl</x:v>
      </x:c>
      <x:c r="Y1099" s="14" t="n">
        <x:v>6</x:v>
      </x:c>
      <x:c r="Z1099" s="6" t="str">
        <x:v>https://github.com/hagenhaeussler/Industrial-Agents-Hackathon-2026/blob/f41616590b69f3ea0c1cbfb41d6c35edd9ce53df/data/train/resplan-7709/questions_basic.jsonl#L6</x:v>
      </x:c>
      <x:c r="AA1099" s="6" t="str">
        <x:v>resplan</x:v>
      </x:c>
      <x:c r="AB1099" s="6" t="str">
        <x:v>CC-BY-4.0</x:v>
      </x:c>
    </x:row>
    <x:row r="1100" ht="82" customHeight="1">
      <x:c r="A1100" s="14" t="n">
        <x:v>1095</x:v>
      </x:c>
      <x:c r="B1100" s="6" t="str">
        <x:v>route</x:v>
      </x:c>
      <x:c r="C1100" s="6" t="str">
        <x:v>How do I get from Bathroom 0.04 (Ground floor) to Living room 0.01 (Ground floor)?</x:v>
      </x:c>
      <x:c r="D1100" s="6" t="str">
        <x:v>12.01 m
From: Bathroom 0.04
To: Living room 0.01
Ordered path (3 spaces): Bathroom 0.04 → Bedroom 0.02 → Living room 0.01</x:v>
      </x:c>
      <x:c r="E1100" s="6" t="str">
        <x:v>Reference supplied</x:v>
      </x:c>
      <x:c r="F1100" s="6" t="str">
        <x:v>train</x:v>
      </x:c>
      <x:c r="G1100" s="6" t="str">
        <x:v>resplan-7709</x:v>
      </x:c>
      <x:c r="H1100" s="6" t="str">
        <x:v>resplan-7709-Q07</x:v>
      </x:c>
      <x:c r="I1100" s="6" t="str">
        <x:v>Route planning</x:v>
      </x:c>
      <x:c r="J1100" s="6" t="str">
        <x:v>Warm-up</x:v>
      </x:c>
      <x:c r="K1100" s="6" t="str">
        <x:v>Ordered space path and directions, plus total route-model distance in metres.</x:v>
      </x:c>
      <x:c r="L1100" s="6" t="str">
        <x:v>T02, T05, T13</x:v>
      </x:c>
      <x:c r="M1100" s="6" t="str">
        <x:v>Find a valid route between two rooms, including across floors.</x:v>
      </x:c>
      <x:c r="N1100" s="6" t="str">
        <x:v>{"from_space_id":"resplan-7709-F0-S004","to_space_id":"resplan-7709-F0-S001","optimal_length_m":12.01,"space_path":["resplan-7709-F0-S004","resplan-7709-F0-S002","resplan-7709-F0-S001"],"element_path":["resplan-7709-F0-O0001","resplan-7709-F0-O0001","resplan-7709-F0-O0002","resplan-7709-F0-O0002"]}</x:v>
      </x:c>
      <x:c r="O1100" s="6"/>
      <x:c r="P1100" s="6" t="str">
        <x:v>README routing profile. Stairs and lifts allowed unless stated otherwise.</x:v>
      </x:c>
      <x:c r="Q1100" s="15" t="n">
        <x:v>12.01</x:v>
      </x:c>
      <x:c r="R1100" s="6" t="str">
        <x:v>m</x:v>
      </x:c>
      <x:c r="S1100" s="16"/>
      <x:c r="T1100" s="15"/>
      <x:c r="U1100" s="6"/>
      <x:c r="V1100" s="6"/>
      <x:c r="W1100" s="6" t="str">
        <x:v>Existing find_route and show_route implement the kit routing model.</x:v>
      </x:c>
      <x:c r="X1100" s="6" t="str">
        <x:v>data/train/resplan-7709/questions_basic.jsonl</x:v>
      </x:c>
      <x:c r="Y1100" s="14" t="n">
        <x:v>7</x:v>
      </x:c>
      <x:c r="Z1100" s="6" t="str">
        <x:v>https://github.com/hagenhaeussler/Industrial-Agents-Hackathon-2026/blob/f41616590b69f3ea0c1cbfb41d6c35edd9ce53df/data/train/resplan-7709/questions_basic.jsonl#L7</x:v>
      </x:c>
      <x:c r="AA1100" s="6" t="str">
        <x:v>resplan</x:v>
      </x:c>
      <x:c r="AB1100" s="6" t="str">
        <x:v>CC-BY-4.0</x:v>
      </x:c>
    </x:row>
    <x:row r="1101" ht="72" customHeight="1">
      <x:c r="A1101" s="14" t="n">
        <x:v>1096</x:v>
      </x:c>
      <x:c r="B1101" s="6" t="str">
        <x:v>route</x:v>
      </x:c>
      <x:c r="C1101" s="6" t="str">
        <x:v>How do I get from Living room 0.01 (Ground floor) to Bedroom 0.02 (Ground floor)?</x:v>
      </x:c>
      <x:c r="D1101" s="6" t="str">
        <x:v>9.24 m
From: Living room 0.01
To: Bedroom 0.02
Ordered path (2 spaces): Living room 0.01 → Bedroom 0.02</x:v>
      </x:c>
      <x:c r="E1101" s="6" t="str">
        <x:v>Reference supplied</x:v>
      </x:c>
      <x:c r="F1101" s="6" t="str">
        <x:v>train</x:v>
      </x:c>
      <x:c r="G1101" s="6" t="str">
        <x:v>resplan-7948</x:v>
      </x:c>
      <x:c r="H1101" s="6" t="str">
        <x:v>resplan-7948-Q05</x:v>
      </x:c>
      <x:c r="I1101" s="6" t="str">
        <x:v>Route planning</x:v>
      </x:c>
      <x:c r="J1101" s="6" t="str">
        <x:v>Warm-up</x:v>
      </x:c>
      <x:c r="K1101" s="6" t="str">
        <x:v>Ordered space path and directions, plus total route-model distance in metres.</x:v>
      </x:c>
      <x:c r="L1101" s="6" t="str">
        <x:v>T02, T05, T13</x:v>
      </x:c>
      <x:c r="M1101" s="6" t="str">
        <x:v>Find a valid route between two rooms, including across floors.</x:v>
      </x:c>
      <x:c r="N1101" s="6" t="str">
        <x:v>{"from_space_id":"resplan-7948-F0-S001","to_space_id":"resplan-7948-F0-S002","optimal_length_m":9.24,"space_path":["resplan-7948-F0-S001","resplan-7948-F0-S002"],"element_path":["resplan-7948-F0-O0003","resplan-7948-F0-O0003"]}</x:v>
      </x:c>
      <x:c r="O1101" s="6"/>
      <x:c r="P1101" s="6" t="str">
        <x:v>README routing profile. Stairs and lifts allowed unless stated otherwise.</x:v>
      </x:c>
      <x:c r="Q1101" s="15" t="n">
        <x:v>9.24</x:v>
      </x:c>
      <x:c r="R1101" s="6" t="str">
        <x:v>m</x:v>
      </x:c>
      <x:c r="S1101" s="16"/>
      <x:c r="T1101" s="15"/>
      <x:c r="U1101" s="6"/>
      <x:c r="V1101" s="6"/>
      <x:c r="W1101" s="6" t="str">
        <x:v>Existing find_route and show_route implement the kit routing model.</x:v>
      </x:c>
      <x:c r="X1101" s="6" t="str">
        <x:v>data/train/resplan-7948/questions_basic.jsonl</x:v>
      </x:c>
      <x:c r="Y1101" s="14" t="n">
        <x:v>5</x:v>
      </x:c>
      <x:c r="Z1101" s="6" t="str">
        <x:v>https://github.com/hagenhaeussler/Industrial-Agents-Hackathon-2026/blob/f41616590b69f3ea0c1cbfb41d6c35edd9ce53df/data/train/resplan-7948/questions_basic.jsonl#L5</x:v>
      </x:c>
      <x:c r="AA1101" s="6" t="str">
        <x:v>resplan</x:v>
      </x:c>
      <x:c r="AB1101" s="6" t="str">
        <x:v>CC-BY-4.0</x:v>
      </x:c>
    </x:row>
    <x:row r="1102" ht="82" customHeight="1">
      <x:c r="A1102" s="14" t="n">
        <x:v>1097</x:v>
      </x:c>
      <x:c r="B1102" s="6" t="str">
        <x:v>route</x:v>
      </x:c>
      <x:c r="C1102" s="6" t="str">
        <x:v>How do I get from Living room 0.01 (Ground floor) to Bathroom 0.05 (Ground floor)?</x:v>
      </x:c>
      <x:c r="D1102" s="6" t="str">
        <x:v>12.75 m
From: Living room 0.01
To: Bathroom 0.05
Ordered path (3 spaces): Living room 0.01 → Bedroom 0.02 → Bathroom 0.05</x:v>
      </x:c>
      <x:c r="E1102" s="6" t="str">
        <x:v>Reference supplied</x:v>
      </x:c>
      <x:c r="F1102" s="6" t="str">
        <x:v>train</x:v>
      </x:c>
      <x:c r="G1102" s="6" t="str">
        <x:v>resplan-7948</x:v>
      </x:c>
      <x:c r="H1102" s="6" t="str">
        <x:v>resplan-7948-Q06</x:v>
      </x:c>
      <x:c r="I1102" s="6" t="str">
        <x:v>Route planning</x:v>
      </x:c>
      <x:c r="J1102" s="6" t="str">
        <x:v>Warm-up</x:v>
      </x:c>
      <x:c r="K1102" s="6" t="str">
        <x:v>Ordered space path and directions, plus total route-model distance in metres.</x:v>
      </x:c>
      <x:c r="L1102" s="6" t="str">
        <x:v>T02, T05, T13</x:v>
      </x:c>
      <x:c r="M1102" s="6" t="str">
        <x:v>Find a valid route between two rooms, including across floors.</x:v>
      </x:c>
      <x:c r="N1102" s="6" t="str">
        <x:v>{"from_space_id":"resplan-7948-F0-S001","to_space_id":"resplan-7948-F0-S005","optimal_length_m":12.75,"space_path":["resplan-7948-F0-S001","resplan-7948-F0-S002","resplan-7948-F0-S005"],"element_path":["resplan-7948-F0-O0003","resplan-7948-F0-O0003","resplan-7948-F0-O0002","resplan-7948-F0-O0002"]}</x:v>
      </x:c>
      <x:c r="O1102" s="6"/>
      <x:c r="P1102" s="6" t="str">
        <x:v>README routing profile. Stairs and lifts allowed unless stated otherwise.</x:v>
      </x:c>
      <x:c r="Q1102" s="15" t="n">
        <x:v>12.75</x:v>
      </x:c>
      <x:c r="R1102" s="6" t="str">
        <x:v>m</x:v>
      </x:c>
      <x:c r="S1102" s="16"/>
      <x:c r="T1102" s="15"/>
      <x:c r="U1102" s="6"/>
      <x:c r="V1102" s="6"/>
      <x:c r="W1102" s="6" t="str">
        <x:v>Existing find_route and show_route implement the kit routing model.</x:v>
      </x:c>
      <x:c r="X1102" s="6" t="str">
        <x:v>data/train/resplan-7948/questions_basic.jsonl</x:v>
      </x:c>
      <x:c r="Y1102" s="14" t="n">
        <x:v>6</x:v>
      </x:c>
      <x:c r="Z1102" s="6" t="str">
        <x:v>https://github.com/hagenhaeussler/Industrial-Agents-Hackathon-2026/blob/f41616590b69f3ea0c1cbfb41d6c35edd9ce53df/data/train/resplan-7948/questions_basic.jsonl#L6</x:v>
      </x:c>
      <x:c r="AA1102" s="6" t="str">
        <x:v>resplan</x:v>
      </x:c>
      <x:c r="AB1102" s="6" t="str">
        <x:v>CC-BY-4.0</x:v>
      </x:c>
    </x:row>
    <x:row r="1103" ht="72" customHeight="1">
      <x:c r="A1103" s="14" t="n">
        <x:v>1098</x:v>
      </x:c>
      <x:c r="B1103" s="6" t="str">
        <x:v>route</x:v>
      </x:c>
      <x:c r="C1103" s="6" t="str">
        <x:v>How do I get from Bedroom 0.03 (Ground floor) to Living room 0.01 (Ground floor)?</x:v>
      </x:c>
      <x:c r="D1103" s="6" t="str">
        <x:v>8.68 m
From: Bedroom 0.03
To: Living room 0.01
Ordered path (2 spaces): Bedroom 0.03 → Living room 0.01</x:v>
      </x:c>
      <x:c r="E1103" s="6" t="str">
        <x:v>Reference supplied</x:v>
      </x:c>
      <x:c r="F1103" s="6" t="str">
        <x:v>train</x:v>
      </x:c>
      <x:c r="G1103" s="6" t="str">
        <x:v>resplan-7948</x:v>
      </x:c>
      <x:c r="H1103" s="6" t="str">
        <x:v>resplan-7948-Q07</x:v>
      </x:c>
      <x:c r="I1103" s="6" t="str">
        <x:v>Route planning</x:v>
      </x:c>
      <x:c r="J1103" s="6" t="str">
        <x:v>Warm-up</x:v>
      </x:c>
      <x:c r="K1103" s="6" t="str">
        <x:v>Ordered space path and directions, plus total route-model distance in metres.</x:v>
      </x:c>
      <x:c r="L1103" s="6" t="str">
        <x:v>T02, T05, T13</x:v>
      </x:c>
      <x:c r="M1103" s="6" t="str">
        <x:v>Find a valid route between two rooms, including across floors.</x:v>
      </x:c>
      <x:c r="N1103" s="6" t="str">
        <x:v>{"from_space_id":"resplan-7948-F0-S003","to_space_id":"resplan-7948-F0-S001","optimal_length_m":8.68,"space_path":["resplan-7948-F0-S003","resplan-7948-F0-S001"],"element_path":["resplan-7948-F0-O0004","resplan-7948-F0-O0004"]}</x:v>
      </x:c>
      <x:c r="O1103" s="6"/>
      <x:c r="P1103" s="6" t="str">
        <x:v>README routing profile. Stairs and lifts allowed unless stated otherwise.</x:v>
      </x:c>
      <x:c r="Q1103" s="15" t="n">
        <x:v>8.68</x:v>
      </x:c>
      <x:c r="R1103" s="6" t="str">
        <x:v>m</x:v>
      </x:c>
      <x:c r="S1103" s="16"/>
      <x:c r="T1103" s="15"/>
      <x:c r="U1103" s="6"/>
      <x:c r="V1103" s="6"/>
      <x:c r="W1103" s="6" t="str">
        <x:v>Existing find_route and show_route implement the kit routing model.</x:v>
      </x:c>
      <x:c r="X1103" s="6" t="str">
        <x:v>data/train/resplan-7948/questions_basic.jsonl</x:v>
      </x:c>
      <x:c r="Y1103" s="14" t="n">
        <x:v>7</x:v>
      </x:c>
      <x:c r="Z1103" s="6" t="str">
        <x:v>https://github.com/hagenhaeussler/Industrial-Agents-Hackathon-2026/blob/f41616590b69f3ea0c1cbfb41d6c35edd9ce53df/data/train/resplan-7948/questions_basic.jsonl#L7</x:v>
      </x:c>
      <x:c r="AA1103" s="6" t="str">
        <x:v>resplan</x:v>
      </x:c>
      <x:c r="AB1103" s="6" t="str">
        <x:v>CC-BY-4.0</x:v>
      </x:c>
    </x:row>
    <x:row r="1104" ht="82" customHeight="1">
      <x:c r="A1104" s="14" t="n">
        <x:v>1099</x:v>
      </x:c>
      <x:c r="B1104" s="6" t="str">
        <x:v>route</x:v>
      </x:c>
      <x:c r="C1104" s="6" t="str">
        <x:v>How do I get from Bathroom 0.03 (Ground floor) to Kitchen 0.05 (Ground floor)?</x:v>
      </x:c>
      <x:c r="D1104" s="6" t="str">
        <x:v>10.95 m
From: Bathroom 0.03
To: Kitchen 0.05
Ordered path (3 spaces): Bathroom 0.03 → Living room 0.01 → Kitchen 0.05</x:v>
      </x:c>
      <x:c r="E1104" s="6" t="str">
        <x:v>Reference supplied</x:v>
      </x:c>
      <x:c r="F1104" s="6" t="str">
        <x:v>train</x:v>
      </x:c>
      <x:c r="G1104" s="6" t="str">
        <x:v>resplan-8006</x:v>
      </x:c>
      <x:c r="H1104" s="6" t="str">
        <x:v>resplan-8006-Q05</x:v>
      </x:c>
      <x:c r="I1104" s="6" t="str">
        <x:v>Route planning</x:v>
      </x:c>
      <x:c r="J1104" s="6" t="str">
        <x:v>Warm-up</x:v>
      </x:c>
      <x:c r="K1104" s="6" t="str">
        <x:v>Ordered space path and directions, plus total route-model distance in metres.</x:v>
      </x:c>
      <x:c r="L1104" s="6" t="str">
        <x:v>T02, T05, T13</x:v>
      </x:c>
      <x:c r="M1104" s="6" t="str">
        <x:v>Find a valid route between two rooms, including across floors.</x:v>
      </x:c>
      <x:c r="N1104" s="6" t="str">
        <x:v>{"from_space_id":"resplan-8006-F0-S003","to_space_id":"resplan-8006-F0-S005","optimal_length_m":10.95,"space_path":["resplan-8006-F0-S003","resplan-8006-F0-S001","resplan-8006-F0-S005"],"element_path":["resplan-8006-F0-O0005","resplan-8006-F0-O0005","resplan-8006-F0-O0006","resplan-8006-F0-O0006"]}</x:v>
      </x:c>
      <x:c r="O1104" s="6"/>
      <x:c r="P1104" s="6" t="str">
        <x:v>README routing profile. Stairs and lifts allowed unless stated otherwise.</x:v>
      </x:c>
      <x:c r="Q1104" s="15" t="n">
        <x:v>10.95</x:v>
      </x:c>
      <x:c r="R1104" s="6" t="str">
        <x:v>m</x:v>
      </x:c>
      <x:c r="S1104" s="16"/>
      <x:c r="T1104" s="15"/>
      <x:c r="U1104" s="6"/>
      <x:c r="V1104" s="6"/>
      <x:c r="W1104" s="6" t="str">
        <x:v>Existing find_route and show_route implement the kit routing model.</x:v>
      </x:c>
      <x:c r="X1104" s="6" t="str">
        <x:v>data/train/resplan-8006/questions_basic.jsonl</x:v>
      </x:c>
      <x:c r="Y1104" s="14" t="n">
        <x:v>5</x:v>
      </x:c>
      <x:c r="Z1104" s="6" t="str">
        <x:v>https://github.com/hagenhaeussler/Industrial-Agents-Hackathon-2026/blob/f41616590b69f3ea0c1cbfb41d6c35edd9ce53df/data/train/resplan-8006/questions_basic.jsonl#L5</x:v>
      </x:c>
      <x:c r="AA1104" s="6" t="str">
        <x:v>resplan</x:v>
      </x:c>
      <x:c r="AB1104" s="6" t="str">
        <x:v>CC-BY-4.0</x:v>
      </x:c>
    </x:row>
    <x:row r="1105" ht="82" customHeight="1">
      <x:c r="A1105" s="14" t="n">
        <x:v>1100</x:v>
      </x:c>
      <x:c r="B1105" s="6" t="str">
        <x:v>route</x:v>
      </x:c>
      <x:c r="C1105" s="6" t="str">
        <x:v>How do I get from Bathroom 0.04 (Ground floor) to Kitchen 0.05 (Ground floor)?</x:v>
      </x:c>
      <x:c r="D1105" s="6" t="str">
        <x:v>9.4 m
From: Bathroom 0.04
To: Kitchen 0.05
Ordered path (3 spaces): Bathroom 0.04 → Living room 0.01 → Kitchen 0.05</x:v>
      </x:c>
      <x:c r="E1105" s="6" t="str">
        <x:v>Reference supplied</x:v>
      </x:c>
      <x:c r="F1105" s="6" t="str">
        <x:v>train</x:v>
      </x:c>
      <x:c r="G1105" s="6" t="str">
        <x:v>resplan-8006</x:v>
      </x:c>
      <x:c r="H1105" s="6" t="str">
        <x:v>resplan-8006-Q06</x:v>
      </x:c>
      <x:c r="I1105" s="6" t="str">
        <x:v>Route planning</x:v>
      </x:c>
      <x:c r="J1105" s="6" t="str">
        <x:v>Warm-up</x:v>
      </x:c>
      <x:c r="K1105" s="6" t="str">
        <x:v>Ordered space path and directions, plus total route-model distance in metres.</x:v>
      </x:c>
      <x:c r="L1105" s="6" t="str">
        <x:v>T02, T05, T13</x:v>
      </x:c>
      <x:c r="M1105" s="6" t="str">
        <x:v>Find a valid route between two rooms, including across floors.</x:v>
      </x:c>
      <x:c r="N1105" s="6" t="str">
        <x:v>{"from_space_id":"resplan-8006-F0-S004","to_space_id":"resplan-8006-F0-S005","optimal_length_m":9.4,"space_path":["resplan-8006-F0-S004","resplan-8006-F0-S001","resplan-8006-F0-S005"],"element_path":["resplan-8006-F0-O0002","resplan-8006-F0-O0002","resplan-8006-F0-O0006","resplan-8006-F0-O0006"]}</x:v>
      </x:c>
      <x:c r="O1105" s="6"/>
      <x:c r="P1105" s="6" t="str">
        <x:v>README routing profile. Stairs and lifts allowed unless stated otherwise.</x:v>
      </x:c>
      <x:c r="Q1105" s="15" t="n">
        <x:v>9.4</x:v>
      </x:c>
      <x:c r="R1105" s="6" t="str">
        <x:v>m</x:v>
      </x:c>
      <x:c r="S1105" s="16"/>
      <x:c r="T1105" s="15"/>
      <x:c r="U1105" s="6"/>
      <x:c r="V1105" s="6"/>
      <x:c r="W1105" s="6" t="str">
        <x:v>Existing find_route and show_route implement the kit routing model.</x:v>
      </x:c>
      <x:c r="X1105" s="6" t="str">
        <x:v>data/train/resplan-8006/questions_basic.jsonl</x:v>
      </x:c>
      <x:c r="Y1105" s="14" t="n">
        <x:v>6</x:v>
      </x:c>
      <x:c r="Z1105" s="6" t="str">
        <x:v>https://github.com/hagenhaeussler/Industrial-Agents-Hackathon-2026/blob/f41616590b69f3ea0c1cbfb41d6c35edd9ce53df/data/train/resplan-8006/questions_basic.jsonl#L6</x:v>
      </x:c>
      <x:c r="AA1105" s="6" t="str">
        <x:v>resplan</x:v>
      </x:c>
      <x:c r="AB1105" s="6" t="str">
        <x:v>CC-BY-4.0</x:v>
      </x:c>
    </x:row>
    <x:row r="1106" ht="82" customHeight="1">
      <x:c r="A1106" s="14" t="n">
        <x:v>1101</x:v>
      </x:c>
      <x:c r="B1106" s="6" t="str">
        <x:v>route</x:v>
      </x:c>
      <x:c r="C1106" s="6" t="str">
        <x:v>How do I get from Bathroom 0.03 (Ground floor) to Bathroom 0.04 (Ground floor)?</x:v>
      </x:c>
      <x:c r="D1106" s="6" t="str">
        <x:v>8.02 m
From: Bathroom 0.03
To: Bathroom 0.04
Ordered path (3 spaces): Bathroom 0.03 → Living room 0.01 → Bathroom 0.04</x:v>
      </x:c>
      <x:c r="E1106" s="6" t="str">
        <x:v>Reference supplied</x:v>
      </x:c>
      <x:c r="F1106" s="6" t="str">
        <x:v>train</x:v>
      </x:c>
      <x:c r="G1106" s="6" t="str">
        <x:v>resplan-8006</x:v>
      </x:c>
      <x:c r="H1106" s="6" t="str">
        <x:v>resplan-8006-Q07</x:v>
      </x:c>
      <x:c r="I1106" s="6" t="str">
        <x:v>Route planning</x:v>
      </x:c>
      <x:c r="J1106" s="6" t="str">
        <x:v>Warm-up</x:v>
      </x:c>
      <x:c r="K1106" s="6" t="str">
        <x:v>Ordered space path and directions, plus total route-model distance in metres.</x:v>
      </x:c>
      <x:c r="L1106" s="6" t="str">
        <x:v>T02, T05, T13</x:v>
      </x:c>
      <x:c r="M1106" s="6" t="str">
        <x:v>Find a valid route between two rooms, including across floors.</x:v>
      </x:c>
      <x:c r="N1106" s="6" t="str">
        <x:v>{"from_space_id":"resplan-8006-F0-S003","to_space_id":"resplan-8006-F0-S004","optimal_length_m":8.02,"space_path":["resplan-8006-F0-S003","resplan-8006-F0-S001","resplan-8006-F0-S004"],"element_path":["resplan-8006-F0-O0005","resplan-8006-F0-O0005","resplan-8006-F0-O0002","resplan-8006-F0-O0002"]}</x:v>
      </x:c>
      <x:c r="O1106" s="6"/>
      <x:c r="P1106" s="6" t="str">
        <x:v>README routing profile. Stairs and lifts allowed unless stated otherwise.</x:v>
      </x:c>
      <x:c r="Q1106" s="15" t="n">
        <x:v>8.02</x:v>
      </x:c>
      <x:c r="R1106" s="6" t="str">
        <x:v>m</x:v>
      </x:c>
      <x:c r="S1106" s="16"/>
      <x:c r="T1106" s="15"/>
      <x:c r="U1106" s="6"/>
      <x:c r="V1106" s="6"/>
      <x:c r="W1106" s="6" t="str">
        <x:v>Existing find_route and show_route implement the kit routing model.</x:v>
      </x:c>
      <x:c r="X1106" s="6" t="str">
        <x:v>data/train/resplan-8006/questions_basic.jsonl</x:v>
      </x:c>
      <x:c r="Y1106" s="14" t="n">
        <x:v>7</x:v>
      </x:c>
      <x:c r="Z1106" s="6" t="str">
        <x:v>https://github.com/hagenhaeussler/Industrial-Agents-Hackathon-2026/blob/f41616590b69f3ea0c1cbfb41d6c35edd9ce53df/data/train/resplan-8006/questions_basic.jsonl#L7</x:v>
      </x:c>
      <x:c r="AA1106" s="6" t="str">
        <x:v>resplan</x:v>
      </x:c>
      <x:c r="AB1106" s="6" t="str">
        <x:v>CC-BY-4.0</x:v>
      </x:c>
    </x:row>
    <x:row r="1107" ht="72" customHeight="1">
      <x:c r="A1107" s="14" t="n">
        <x:v>1102</x:v>
      </x:c>
      <x:c r="B1107" s="6" t="str">
        <x:v>route</x:v>
      </x:c>
      <x:c r="C1107" s="6" t="str">
        <x:v>How do I get from Kitchen 0.06 (Ground floor) to Bedroom 0.03 (Ground floor)?</x:v>
      </x:c>
      <x:c r="D1107" s="6" t="str">
        <x:v>8.6 m
From: Kitchen 0.06
To: Bedroom 0.03
Ordered path (3 spaces): Kitchen 0.06 → Living room 0.01 → Bedroom 0.03</x:v>
      </x:c>
      <x:c r="E1107" s="6" t="str">
        <x:v>Reference supplied</x:v>
      </x:c>
      <x:c r="F1107" s="6" t="str">
        <x:v>train</x:v>
      </x:c>
      <x:c r="G1107" s="6" t="str">
        <x:v>resplan-8080</x:v>
      </x:c>
      <x:c r="H1107" s="6" t="str">
        <x:v>resplan-8080-Q05</x:v>
      </x:c>
      <x:c r="I1107" s="6" t="str">
        <x:v>Route planning</x:v>
      </x:c>
      <x:c r="J1107" s="6" t="str">
        <x:v>Warm-up</x:v>
      </x:c>
      <x:c r="K1107" s="6" t="str">
        <x:v>Ordered space path and directions, plus total route-model distance in metres.</x:v>
      </x:c>
      <x:c r="L1107" s="6" t="str">
        <x:v>T02, T05, T13</x:v>
      </x:c>
      <x:c r="M1107" s="6" t="str">
        <x:v>Find a valid route between two rooms, including across floors.</x:v>
      </x:c>
      <x:c r="N1107" s="6" t="str">
        <x:v>{"from_space_id":"resplan-8080-F0-S006","to_space_id":"resplan-8080-F0-S003","optimal_length_m":8.6,"space_path":["resplan-8080-F0-S006","resplan-8080-F0-S001","resplan-8080-F0-S003"],"element_path":["resplan-8080-F0-O0005","resplan-8080-F0-O0005","resplan-8080-F0-O0003","resplan-8080-F0-O0003"]}</x:v>
      </x:c>
      <x:c r="O1107" s="6"/>
      <x:c r="P1107" s="6" t="str">
        <x:v>README routing profile. Stairs and lifts allowed unless stated otherwise.</x:v>
      </x:c>
      <x:c r="Q1107" s="15" t="n">
        <x:v>8.6</x:v>
      </x:c>
      <x:c r="R1107" s="6" t="str">
        <x:v>m</x:v>
      </x:c>
      <x:c r="S1107" s="16"/>
      <x:c r="T1107" s="15"/>
      <x:c r="U1107" s="6"/>
      <x:c r="V1107" s="6"/>
      <x:c r="W1107" s="6" t="str">
        <x:v>Existing find_route and show_route implement the kit routing model.</x:v>
      </x:c>
      <x:c r="X1107" s="6" t="str">
        <x:v>data/train/resplan-8080/questions_basic.jsonl</x:v>
      </x:c>
      <x:c r="Y1107" s="14" t="n">
        <x:v>5</x:v>
      </x:c>
      <x:c r="Z1107" s="6" t="str">
        <x:v>https://github.com/hagenhaeussler/Industrial-Agents-Hackathon-2026/blob/f41616590b69f3ea0c1cbfb41d6c35edd9ce53df/data/train/resplan-8080/questions_basic.jsonl#L5</x:v>
      </x:c>
      <x:c r="AA1107" s="6" t="str">
        <x:v>resplan</x:v>
      </x:c>
      <x:c r="AB1107" s="6" t="str">
        <x:v>CC-BY-4.0</x:v>
      </x:c>
    </x:row>
    <x:row r="1108" ht="72" customHeight="1">
      <x:c r="A1108" s="14" t="n">
        <x:v>1103</x:v>
      </x:c>
      <x:c r="B1108" s="6" t="str">
        <x:v>route</x:v>
      </x:c>
      <x:c r="C1108" s="6" t="str">
        <x:v>How do I get from Kitchen 0.06 (Ground floor) to Living room 0.01 (Ground floor)?</x:v>
      </x:c>
      <x:c r="D1108" s="6" t="str">
        <x:v>3.9 m
From: Kitchen 0.06
To: Living room 0.01
Ordered path (2 spaces): Kitchen 0.06 → Living room 0.01</x:v>
      </x:c>
      <x:c r="E1108" s="6" t="str">
        <x:v>Reference supplied</x:v>
      </x:c>
      <x:c r="F1108" s="6" t="str">
        <x:v>train</x:v>
      </x:c>
      <x:c r="G1108" s="6" t="str">
        <x:v>resplan-8080</x:v>
      </x:c>
      <x:c r="H1108" s="6" t="str">
        <x:v>resplan-8080-Q06</x:v>
      </x:c>
      <x:c r="I1108" s="6" t="str">
        <x:v>Route planning</x:v>
      </x:c>
      <x:c r="J1108" s="6" t="str">
        <x:v>Warm-up</x:v>
      </x:c>
      <x:c r="K1108" s="6" t="str">
        <x:v>Ordered space path and directions, plus total route-model distance in metres.</x:v>
      </x:c>
      <x:c r="L1108" s="6" t="str">
        <x:v>T02, T05, T13</x:v>
      </x:c>
      <x:c r="M1108" s="6" t="str">
        <x:v>Find a valid route between two rooms, including across floors.</x:v>
      </x:c>
      <x:c r="N1108" s="6" t="str">
        <x:v>{"from_space_id":"resplan-8080-F0-S006","to_space_id":"resplan-8080-F0-S001","optimal_length_m":3.9,"space_path":["resplan-8080-F0-S006","resplan-8080-F0-S001"],"element_path":["resplan-8080-F0-O0005","resplan-8080-F0-O0005"]}</x:v>
      </x:c>
      <x:c r="O1108" s="6"/>
      <x:c r="P1108" s="6" t="str">
        <x:v>README routing profile. Stairs and lifts allowed unless stated otherwise.</x:v>
      </x:c>
      <x:c r="Q1108" s="15" t="n">
        <x:v>3.9</x:v>
      </x:c>
      <x:c r="R1108" s="6" t="str">
        <x:v>m</x:v>
      </x:c>
      <x:c r="S1108" s="16"/>
      <x:c r="T1108" s="15"/>
      <x:c r="U1108" s="6"/>
      <x:c r="V1108" s="6"/>
      <x:c r="W1108" s="6" t="str">
        <x:v>Existing find_route and show_route implement the kit routing model.</x:v>
      </x:c>
      <x:c r="X1108" s="6" t="str">
        <x:v>data/train/resplan-8080/questions_basic.jsonl</x:v>
      </x:c>
      <x:c r="Y1108" s="14" t="n">
        <x:v>6</x:v>
      </x:c>
      <x:c r="Z1108" s="6" t="str">
        <x:v>https://github.com/hagenhaeussler/Industrial-Agents-Hackathon-2026/blob/f41616590b69f3ea0c1cbfb41d6c35edd9ce53df/data/train/resplan-8080/questions_basic.jsonl#L6</x:v>
      </x:c>
      <x:c r="AA1108" s="6" t="str">
        <x:v>resplan</x:v>
      </x:c>
      <x:c r="AB1108" s="6" t="str">
        <x:v>CC-BY-4.0</x:v>
      </x:c>
    </x:row>
    <x:row r="1109" ht="72" customHeight="1">
      <x:c r="A1109" s="14" t="n">
        <x:v>1104</x:v>
      </x:c>
      <x:c r="B1109" s="6" t="str">
        <x:v>route</x:v>
      </x:c>
      <x:c r="C1109" s="6" t="str">
        <x:v>How do I get from Living room 0.01 (Ground floor) to Kitchen 0.06 (Ground floor)?</x:v>
      </x:c>
      <x:c r="D1109" s="6" t="str">
        <x:v>3.9 m
From: Living room 0.01
To: Kitchen 0.06
Ordered path (2 spaces): Living room 0.01 → Kitchen 0.06</x:v>
      </x:c>
      <x:c r="E1109" s="6" t="str">
        <x:v>Reference supplied</x:v>
      </x:c>
      <x:c r="F1109" s="6" t="str">
        <x:v>train</x:v>
      </x:c>
      <x:c r="G1109" s="6" t="str">
        <x:v>resplan-8080</x:v>
      </x:c>
      <x:c r="H1109" s="6" t="str">
        <x:v>resplan-8080-Q07</x:v>
      </x:c>
      <x:c r="I1109" s="6" t="str">
        <x:v>Route planning</x:v>
      </x:c>
      <x:c r="J1109" s="6" t="str">
        <x:v>Warm-up</x:v>
      </x:c>
      <x:c r="K1109" s="6" t="str">
        <x:v>Ordered space path and directions, plus total route-model distance in metres.</x:v>
      </x:c>
      <x:c r="L1109" s="6" t="str">
        <x:v>T02, T05, T13</x:v>
      </x:c>
      <x:c r="M1109" s="6" t="str">
        <x:v>Find a valid route between two rooms, including across floors.</x:v>
      </x:c>
      <x:c r="N1109" s="6" t="str">
        <x:v>{"from_space_id":"resplan-8080-F0-S001","to_space_id":"resplan-8080-F0-S006","optimal_length_m":3.9,"space_path":["resplan-8080-F0-S001","resplan-8080-F0-S006"],"element_path":["resplan-8080-F0-O0005","resplan-8080-F0-O0005"]}</x:v>
      </x:c>
      <x:c r="O1109" s="6"/>
      <x:c r="P1109" s="6" t="str">
        <x:v>README routing profile. Stairs and lifts allowed unless stated otherwise.</x:v>
      </x:c>
      <x:c r="Q1109" s="15" t="n">
        <x:v>3.9</x:v>
      </x:c>
      <x:c r="R1109" s="6" t="str">
        <x:v>m</x:v>
      </x:c>
      <x:c r="S1109" s="16"/>
      <x:c r="T1109" s="15"/>
      <x:c r="U1109" s="6"/>
      <x:c r="V1109" s="6"/>
      <x:c r="W1109" s="6" t="str">
        <x:v>Existing find_route and show_route implement the kit routing model.</x:v>
      </x:c>
      <x:c r="X1109" s="6" t="str">
        <x:v>data/train/resplan-8080/questions_basic.jsonl</x:v>
      </x:c>
      <x:c r="Y1109" s="14" t="n">
        <x:v>7</x:v>
      </x:c>
      <x:c r="Z1109" s="6" t="str">
        <x:v>https://github.com/hagenhaeussler/Industrial-Agents-Hackathon-2026/blob/f41616590b69f3ea0c1cbfb41d6c35edd9ce53df/data/train/resplan-8080/questions_basic.jsonl#L7</x:v>
      </x:c>
      <x:c r="AA1109" s="6" t="str">
        <x:v>resplan</x:v>
      </x:c>
      <x:c r="AB1109" s="6" t="str">
        <x:v>CC-BY-4.0</x:v>
      </x:c>
    </x:row>
    <x:row r="1110" ht="72" customHeight="1">
      <x:c r="A1110" s="14" t="n">
        <x:v>1105</x:v>
      </x:c>
      <x:c r="B1110" s="6" t="str">
        <x:v>route</x:v>
      </x:c>
      <x:c r="C1110" s="6" t="str">
        <x:v>How do I get from Bedroom 0.04 (Ground floor) to Bathroom 0.06 (Ground floor)?</x:v>
      </x:c>
      <x:c r="D1110" s="6" t="str">
        <x:v>4.29 m
From: Bedroom 0.04
To: Bathroom 0.06
Ordered path (2 spaces): Bedroom 0.04 → Bathroom 0.06</x:v>
      </x:c>
      <x:c r="E1110" s="6" t="str">
        <x:v>Reference supplied</x:v>
      </x:c>
      <x:c r="F1110" s="6" t="str">
        <x:v>train</x:v>
      </x:c>
      <x:c r="G1110" s="6" t="str">
        <x:v>resplan-8174</x:v>
      </x:c>
      <x:c r="H1110" s="6" t="str">
        <x:v>resplan-8174-Q05</x:v>
      </x:c>
      <x:c r="I1110" s="6" t="str">
        <x:v>Route planning</x:v>
      </x:c>
      <x:c r="J1110" s="6" t="str">
        <x:v>Warm-up</x:v>
      </x:c>
      <x:c r="K1110" s="6" t="str">
        <x:v>Ordered space path and directions, plus total route-model distance in metres.</x:v>
      </x:c>
      <x:c r="L1110" s="6" t="str">
        <x:v>T02, T05, T13</x:v>
      </x:c>
      <x:c r="M1110" s="6" t="str">
        <x:v>Find a valid route between two rooms, including across floors.</x:v>
      </x:c>
      <x:c r="N1110" s="6" t="str">
        <x:v>{"from_space_id":"resplan-8174-F0-S004","to_space_id":"resplan-8174-F0-S006","optimal_length_m":4.29,"space_path":["resplan-8174-F0-S004","resplan-8174-F0-S006"],"element_path":["resplan-8174-F0-O0008","resplan-8174-F0-O0008"]}</x:v>
      </x:c>
      <x:c r="O1110" s="6"/>
      <x:c r="P1110" s="6" t="str">
        <x:v>README routing profile. Stairs and lifts allowed unless stated otherwise.</x:v>
      </x:c>
      <x:c r="Q1110" s="15" t="n">
        <x:v>4.29</x:v>
      </x:c>
      <x:c r="R1110" s="6" t="str">
        <x:v>m</x:v>
      </x:c>
      <x:c r="S1110" s="16"/>
      <x:c r="T1110" s="15"/>
      <x:c r="U1110" s="6"/>
      <x:c r="V1110" s="6"/>
      <x:c r="W1110" s="6" t="str">
        <x:v>Existing find_route and show_route implement the kit routing model.</x:v>
      </x:c>
      <x:c r="X1110" s="6" t="str">
        <x:v>data/train/resplan-8174/questions_basic.jsonl</x:v>
      </x:c>
      <x:c r="Y1110" s="14" t="n">
        <x:v>5</x:v>
      </x:c>
      <x:c r="Z1110" s="6" t="str">
        <x:v>https://github.com/hagenhaeussler/Industrial-Agents-Hackathon-2026/blob/f41616590b69f3ea0c1cbfb41d6c35edd9ce53df/data/train/resplan-8174/questions_basic.jsonl#L5</x:v>
      </x:c>
      <x:c r="AA1110" s="6" t="str">
        <x:v>resplan</x:v>
      </x:c>
      <x:c r="AB1110" s="6" t="str">
        <x:v>CC-BY-4.0</x:v>
      </x:c>
    </x:row>
    <x:row r="1111" ht="72" customHeight="1">
      <x:c r="A1111" s="14" t="n">
        <x:v>1106</x:v>
      </x:c>
      <x:c r="B1111" s="6" t="str">
        <x:v>route</x:v>
      </x:c>
      <x:c r="C1111" s="6" t="str">
        <x:v>How do I get from Kitchen 0.08 (Ground floor) to Living room 0.01 (Ground floor)?</x:v>
      </x:c>
      <x:c r="D1111" s="6" t="str">
        <x:v>7.2 m
From: Kitchen 0.08
To: Living room 0.01
Ordered path (2 spaces): Kitchen 0.08 → Living room 0.01</x:v>
      </x:c>
      <x:c r="E1111" s="6" t="str">
        <x:v>Reference supplied</x:v>
      </x:c>
      <x:c r="F1111" s="6" t="str">
        <x:v>train</x:v>
      </x:c>
      <x:c r="G1111" s="6" t="str">
        <x:v>resplan-8174</x:v>
      </x:c>
      <x:c r="H1111" s="6" t="str">
        <x:v>resplan-8174-Q06</x:v>
      </x:c>
      <x:c r="I1111" s="6" t="str">
        <x:v>Route planning</x:v>
      </x:c>
      <x:c r="J1111" s="6" t="str">
        <x:v>Warm-up</x:v>
      </x:c>
      <x:c r="K1111" s="6" t="str">
        <x:v>Ordered space path and directions, plus total route-model distance in metres.</x:v>
      </x:c>
      <x:c r="L1111" s="6" t="str">
        <x:v>T02, T05, T13</x:v>
      </x:c>
      <x:c r="M1111" s="6" t="str">
        <x:v>Find a valid route between two rooms, including across floors.</x:v>
      </x:c>
      <x:c r="N1111" s="6" t="str">
        <x:v>{"from_space_id":"resplan-8174-F0-S008","to_space_id":"resplan-8174-F0-S001","optimal_length_m":7.2,"space_path":["resplan-8174-F0-S008","resplan-8174-F0-S001"],"element_path":["resplan-8174-F0-O0006","resplan-8174-F0-O0006"]}</x:v>
      </x:c>
      <x:c r="O1111" s="6"/>
      <x:c r="P1111" s="6" t="str">
        <x:v>README routing profile. Stairs and lifts allowed unless stated otherwise.</x:v>
      </x:c>
      <x:c r="Q1111" s="15" t="n">
        <x:v>7.2</x:v>
      </x:c>
      <x:c r="R1111" s="6" t="str">
        <x:v>m</x:v>
      </x:c>
      <x:c r="S1111" s="16"/>
      <x:c r="T1111" s="15"/>
      <x:c r="U1111" s="6"/>
      <x:c r="V1111" s="6"/>
      <x:c r="W1111" s="6" t="str">
        <x:v>Existing find_route and show_route implement the kit routing model.</x:v>
      </x:c>
      <x:c r="X1111" s="6" t="str">
        <x:v>data/train/resplan-8174/questions_basic.jsonl</x:v>
      </x:c>
      <x:c r="Y1111" s="14" t="n">
        <x:v>6</x:v>
      </x:c>
      <x:c r="Z1111" s="6" t="str">
        <x:v>https://github.com/hagenhaeussler/Industrial-Agents-Hackathon-2026/blob/f41616590b69f3ea0c1cbfb41d6c35edd9ce53df/data/train/resplan-8174/questions_basic.jsonl#L6</x:v>
      </x:c>
      <x:c r="AA1111" s="6" t="str">
        <x:v>resplan</x:v>
      </x:c>
      <x:c r="AB1111" s="6" t="str">
        <x:v>CC-BY-4.0</x:v>
      </x:c>
    </x:row>
    <x:row r="1112" ht="82" customHeight="1">
      <x:c r="A1112" s="14" t="n">
        <x:v>1107</x:v>
      </x:c>
      <x:c r="B1112" s="6" t="str">
        <x:v>route</x:v>
      </x:c>
      <x:c r="C1112" s="6" t="str">
        <x:v>How do I get from Bathroom 0.05 (Ground floor) to Bedroom 0.02 (Ground floor)?</x:v>
      </x:c>
      <x:c r="D1112" s="6" t="str">
        <x:v>15.87 m
From: Bathroom 0.05
To: Bedroom 0.02
Ordered path (4 spaces): Bathroom 0.05 → Bedroom 0.03 → Living room 0.01 → Bedroom 0.02</x:v>
      </x:c>
      <x:c r="E1112" s="6" t="str">
        <x:v>Reference supplied</x:v>
      </x:c>
      <x:c r="F1112" s="6" t="str">
        <x:v>train</x:v>
      </x:c>
      <x:c r="G1112" s="6" t="str">
        <x:v>resplan-8174</x:v>
      </x:c>
      <x:c r="H1112" s="6" t="str">
        <x:v>resplan-8174-Q07</x:v>
      </x:c>
      <x:c r="I1112" s="6" t="str">
        <x:v>Route planning</x:v>
      </x:c>
      <x:c r="J1112" s="6" t="str">
        <x:v>Warm-up</x:v>
      </x:c>
      <x:c r="K1112" s="6" t="str">
        <x:v>Ordered space path and directions, plus total route-model distance in metres.</x:v>
      </x:c>
      <x:c r="L1112" s="6" t="str">
        <x:v>T02, T05, T13</x:v>
      </x:c>
      <x:c r="M1112" s="6" t="str">
        <x:v>Find a valid route between two rooms, including across floors.</x:v>
      </x:c>
      <x:c r="N1112" s="6" t="str">
        <x:v>{"from_space_id":"resplan-8174-F0-S005","to_space_id":"resplan-8174-F0-S002","optimal_length_m":15.87,"space_path":["resplan-8174-F0-S005","resplan-8174-F0-S003","resplan-8174-F0-S001","resplan-8174-F0-S002"],"element_path":["resplan-8174-F0-O0004","resplan-8174-F0-O0004","resplan-8174-F0-O0002","resplan-8174-F0-O0002","resplan-8174-F0-O0001","resplan-8174-F0-O0001"]}</x:v>
      </x:c>
      <x:c r="O1112" s="6"/>
      <x:c r="P1112" s="6" t="str">
        <x:v>README routing profile. Stairs and lifts allowed unless stated otherwise.</x:v>
      </x:c>
      <x:c r="Q1112" s="15" t="n">
        <x:v>15.87</x:v>
      </x:c>
      <x:c r="R1112" s="6" t="str">
        <x:v>m</x:v>
      </x:c>
      <x:c r="S1112" s="16"/>
      <x:c r="T1112" s="15"/>
      <x:c r="U1112" s="6"/>
      <x:c r="V1112" s="6"/>
      <x:c r="W1112" s="6" t="str">
        <x:v>Existing find_route and show_route implement the kit routing model.</x:v>
      </x:c>
      <x:c r="X1112" s="6" t="str">
        <x:v>data/train/resplan-8174/questions_basic.jsonl</x:v>
      </x:c>
      <x:c r="Y1112" s="14" t="n">
        <x:v>7</x:v>
      </x:c>
      <x:c r="Z1112" s="6" t="str">
        <x:v>https://github.com/hagenhaeussler/Industrial-Agents-Hackathon-2026/blob/f41616590b69f3ea0c1cbfb41d6c35edd9ce53df/data/train/resplan-8174/questions_basic.jsonl#L7</x:v>
      </x:c>
      <x:c r="AA1112" s="6" t="str">
        <x:v>resplan</x:v>
      </x:c>
      <x:c r="AB1112" s="6" t="str">
        <x:v>CC-BY-4.0</x:v>
      </x:c>
    </x:row>
    <x:row r="1113" ht="82" customHeight="1">
      <x:c r="A1113" s="14" t="n">
        <x:v>1108</x:v>
      </x:c>
      <x:c r="B1113" s="6" t="str">
        <x:v>route</x:v>
      </x:c>
      <x:c r="C1113" s="6" t="str">
        <x:v>How do I get from Bathroom 0.05 (Ground floor) to Bedroom 0.02 (Ground floor)?</x:v>
      </x:c>
      <x:c r="D1113" s="6" t="str">
        <x:v>13.31 m
From: Bathroom 0.05
To: Bedroom 0.02
Ordered path (3 spaces): Bathroom 0.05 → Living room 0.01 → Bedroom 0.02</x:v>
      </x:c>
      <x:c r="E1113" s="6" t="str">
        <x:v>Reference supplied</x:v>
      </x:c>
      <x:c r="F1113" s="6" t="str">
        <x:v>train</x:v>
      </x:c>
      <x:c r="G1113" s="6" t="str">
        <x:v>resplan-8431</x:v>
      </x:c>
      <x:c r="H1113" s="6" t="str">
        <x:v>resplan-8431-Q05</x:v>
      </x:c>
      <x:c r="I1113" s="6" t="str">
        <x:v>Route planning</x:v>
      </x:c>
      <x:c r="J1113" s="6" t="str">
        <x:v>Warm-up</x:v>
      </x:c>
      <x:c r="K1113" s="6" t="str">
        <x:v>Ordered space path and directions, plus total route-model distance in metres.</x:v>
      </x:c>
      <x:c r="L1113" s="6" t="str">
        <x:v>T02, T05, T13</x:v>
      </x:c>
      <x:c r="M1113" s="6" t="str">
        <x:v>Find a valid route between two rooms, including across floors.</x:v>
      </x:c>
      <x:c r="N1113" s="6" t="str">
        <x:v>{"from_space_id":"resplan-8431-F0-S005","to_space_id":"resplan-8431-F0-S002","optimal_length_m":13.31,"space_path":["resplan-8431-F0-S005","resplan-8431-F0-S001","resplan-8431-F0-S002"],"element_path":["resplan-8431-F0-O0002","resplan-8431-F0-O0002","resplan-8431-F0-O0001","resplan-8431-F0-O0001"]}</x:v>
      </x:c>
      <x:c r="O1113" s="6"/>
      <x:c r="P1113" s="6" t="str">
        <x:v>README routing profile. Stairs and lifts allowed unless stated otherwise.</x:v>
      </x:c>
      <x:c r="Q1113" s="15" t="n">
        <x:v>13.31</x:v>
      </x:c>
      <x:c r="R1113" s="6" t="str">
        <x:v>m</x:v>
      </x:c>
      <x:c r="S1113" s="16"/>
      <x:c r="T1113" s="15"/>
      <x:c r="U1113" s="6"/>
      <x:c r="V1113" s="6"/>
      <x:c r="W1113" s="6" t="str">
        <x:v>Existing find_route and show_route implement the kit routing model.</x:v>
      </x:c>
      <x:c r="X1113" s="6" t="str">
        <x:v>data/train/resplan-8431/questions_basic.jsonl</x:v>
      </x:c>
      <x:c r="Y1113" s="14" t="n">
        <x:v>5</x:v>
      </x:c>
      <x:c r="Z1113" s="6" t="str">
        <x:v>https://github.com/hagenhaeussler/Industrial-Agents-Hackathon-2026/blob/f41616590b69f3ea0c1cbfb41d6c35edd9ce53df/data/train/resplan-8431/questions_basic.jsonl#L5</x:v>
      </x:c>
      <x:c r="AA1113" s="6" t="str">
        <x:v>resplan</x:v>
      </x:c>
      <x:c r="AB1113" s="6" t="str">
        <x:v>CC-BY-4.0</x:v>
      </x:c>
    </x:row>
    <x:row r="1114" ht="82" customHeight="1">
      <x:c r="A1114" s="14" t="n">
        <x:v>1109</x:v>
      </x:c>
      <x:c r="B1114" s="6" t="str">
        <x:v>route</x:v>
      </x:c>
      <x:c r="C1114" s="6" t="str">
        <x:v>How do I get from Kitchen 0.06 (Ground floor) to Bathroom 0.04 (Ground floor)?</x:v>
      </x:c>
      <x:c r="D1114" s="6" t="str">
        <x:v>19.24 m
From: Kitchen 0.06
To: Bathroom 0.04
Ordered path (4 spaces): Kitchen 0.06 → Living room 0.01 → Bedroom 0.03 → Bathroom 0.04</x:v>
      </x:c>
      <x:c r="E1114" s="6" t="str">
        <x:v>Reference supplied</x:v>
      </x:c>
      <x:c r="F1114" s="6" t="str">
        <x:v>train</x:v>
      </x:c>
      <x:c r="G1114" s="6" t="str">
        <x:v>resplan-8431</x:v>
      </x:c>
      <x:c r="H1114" s="6" t="str">
        <x:v>resplan-8431-Q06</x:v>
      </x:c>
      <x:c r="I1114" s="6" t="str">
        <x:v>Route planning</x:v>
      </x:c>
      <x:c r="J1114" s="6" t="str">
        <x:v>Warm-up</x:v>
      </x:c>
      <x:c r="K1114" s="6" t="str">
        <x:v>Ordered space path and directions, plus total route-model distance in metres.</x:v>
      </x:c>
      <x:c r="L1114" s="6" t="str">
        <x:v>T02, T05, T13</x:v>
      </x:c>
      <x:c r="M1114" s="6" t="str">
        <x:v>Find a valid route between two rooms, including across floors.</x:v>
      </x:c>
      <x:c r="N1114" s="6" t="str">
        <x:v>{"from_space_id":"resplan-8431-F0-S006","to_space_id":"resplan-8431-F0-S004","optimal_length_m":19.24,"space_path":["resplan-8431-F0-S006","resplan-8431-F0-S001","resplan-8431-F0-S003","resplan-8431-F0-S004"],"element_path":["resplan-8431-F0-O0007","resplan-8431-F0-O0007","resplan-8431-F0-O0003","resplan-8431-F0-O0003","resplan-8431-F0-O0006","resplan-8431-F0-O0006"]}</x:v>
      </x:c>
      <x:c r="O1114" s="6"/>
      <x:c r="P1114" s="6" t="str">
        <x:v>README routing profile. Stairs and lifts allowed unless stated otherwise.</x:v>
      </x:c>
      <x:c r="Q1114" s="15" t="n">
        <x:v>19.24</x:v>
      </x:c>
      <x:c r="R1114" s="6" t="str">
        <x:v>m</x:v>
      </x:c>
      <x:c r="S1114" s="16"/>
      <x:c r="T1114" s="15"/>
      <x:c r="U1114" s="6"/>
      <x:c r="V1114" s="6"/>
      <x:c r="W1114" s="6" t="str">
        <x:v>Existing find_route and show_route implement the kit routing model.</x:v>
      </x:c>
      <x:c r="X1114" s="6" t="str">
        <x:v>data/train/resplan-8431/questions_basic.jsonl</x:v>
      </x:c>
      <x:c r="Y1114" s="14" t="n">
        <x:v>6</x:v>
      </x:c>
      <x:c r="Z1114" s="6" t="str">
        <x:v>https://github.com/hagenhaeussler/Industrial-Agents-Hackathon-2026/blob/f41616590b69f3ea0c1cbfb41d6c35edd9ce53df/data/train/resplan-8431/questions_basic.jsonl#L6</x:v>
      </x:c>
      <x:c r="AA1114" s="6" t="str">
        <x:v>resplan</x:v>
      </x:c>
      <x:c r="AB1114" s="6" t="str">
        <x:v>CC-BY-4.0</x:v>
      </x:c>
    </x:row>
    <x:row r="1115" ht="72" customHeight="1">
      <x:c r="A1115" s="14" t="n">
        <x:v>1110</x:v>
      </x:c>
      <x:c r="B1115" s="6" t="str">
        <x:v>route</x:v>
      </x:c>
      <x:c r="C1115" s="6" t="str">
        <x:v>How do I get from Bathroom 0.05 (Ground floor) to Living room 0.01 (Ground floor)?</x:v>
      </x:c>
      <x:c r="D1115" s="6" t="str">
        <x:v>5.93 m
From: Bathroom 0.05
To: Living room 0.01
Ordered path (2 spaces): Bathroom 0.05 → Living room 0.01</x:v>
      </x:c>
      <x:c r="E1115" s="6" t="str">
        <x:v>Reference supplied</x:v>
      </x:c>
      <x:c r="F1115" s="6" t="str">
        <x:v>train</x:v>
      </x:c>
      <x:c r="G1115" s="6" t="str">
        <x:v>resplan-8431</x:v>
      </x:c>
      <x:c r="H1115" s="6" t="str">
        <x:v>resplan-8431-Q07</x:v>
      </x:c>
      <x:c r="I1115" s="6" t="str">
        <x:v>Route planning</x:v>
      </x:c>
      <x:c r="J1115" s="6" t="str">
        <x:v>Warm-up</x:v>
      </x:c>
      <x:c r="K1115" s="6" t="str">
        <x:v>Ordered space path and directions, plus total route-model distance in metres.</x:v>
      </x:c>
      <x:c r="L1115" s="6" t="str">
        <x:v>T02, T05, T13</x:v>
      </x:c>
      <x:c r="M1115" s="6" t="str">
        <x:v>Find a valid route between two rooms, including across floors.</x:v>
      </x:c>
      <x:c r="N1115" s="6" t="str">
        <x:v>{"from_space_id":"resplan-8431-F0-S005","to_space_id":"resplan-8431-F0-S001","optimal_length_m":5.93,"space_path":["resplan-8431-F0-S005","resplan-8431-F0-S001"],"element_path":["resplan-8431-F0-O0002","resplan-8431-F0-O0002"]}</x:v>
      </x:c>
      <x:c r="O1115" s="6"/>
      <x:c r="P1115" s="6" t="str">
        <x:v>README routing profile. Stairs and lifts allowed unless stated otherwise.</x:v>
      </x:c>
      <x:c r="Q1115" s="15" t="n">
        <x:v>5.93</x:v>
      </x:c>
      <x:c r="R1115" s="6" t="str">
        <x:v>m</x:v>
      </x:c>
      <x:c r="S1115" s="16"/>
      <x:c r="T1115" s="15"/>
      <x:c r="U1115" s="6"/>
      <x:c r="V1115" s="6"/>
      <x:c r="W1115" s="6" t="str">
        <x:v>Existing find_route and show_route implement the kit routing model.</x:v>
      </x:c>
      <x:c r="X1115" s="6" t="str">
        <x:v>data/train/resplan-8431/questions_basic.jsonl</x:v>
      </x:c>
      <x:c r="Y1115" s="14" t="n">
        <x:v>7</x:v>
      </x:c>
      <x:c r="Z1115" s="6" t="str">
        <x:v>https://github.com/hagenhaeussler/Industrial-Agents-Hackathon-2026/blob/f41616590b69f3ea0c1cbfb41d6c35edd9ce53df/data/train/resplan-8431/questions_basic.jsonl#L7</x:v>
      </x:c>
      <x:c r="AA1115" s="6" t="str">
        <x:v>resplan</x:v>
      </x:c>
      <x:c r="AB1115" s="6" t="str">
        <x:v>CC-BY-4.0</x:v>
      </x:c>
    </x:row>
    <x:row r="1116" ht="82" customHeight="1">
      <x:c r="A1116" s="14" t="n">
        <x:v>1111</x:v>
      </x:c>
      <x:c r="B1116" s="6" t="str">
        <x:v>route</x:v>
      </x:c>
      <x:c r="C1116" s="6" t="str">
        <x:v>How do I get from Bedroom 0.03 (Ground floor) to Bathroom 0.05 (Ground floor)?</x:v>
      </x:c>
      <x:c r="D1116" s="6" t="str">
        <x:v>12.97 m
From: Bedroom 0.03
To: Bathroom 0.05
Ordered path (3 spaces): Bedroom 0.03 → Living room 0.01 → Bathroom 0.05</x:v>
      </x:c>
      <x:c r="E1116" s="6" t="str">
        <x:v>Reference supplied</x:v>
      </x:c>
      <x:c r="F1116" s="6" t="str">
        <x:v>train</x:v>
      </x:c>
      <x:c r="G1116" s="6" t="str">
        <x:v>resplan-8449</x:v>
      </x:c>
      <x:c r="H1116" s="6" t="str">
        <x:v>resplan-8449-Q05</x:v>
      </x:c>
      <x:c r="I1116" s="6" t="str">
        <x:v>Route planning</x:v>
      </x:c>
      <x:c r="J1116" s="6" t="str">
        <x:v>Warm-up</x:v>
      </x:c>
      <x:c r="K1116" s="6" t="str">
        <x:v>Ordered space path and directions, plus total route-model distance in metres.</x:v>
      </x:c>
      <x:c r="L1116" s="6" t="str">
        <x:v>T02, T05, T13</x:v>
      </x:c>
      <x:c r="M1116" s="6" t="str">
        <x:v>Find a valid route between two rooms, including across floors.</x:v>
      </x:c>
      <x:c r="N1116" s="6" t="str">
        <x:v>{"from_space_id":"resplan-8449-F0-S003","to_space_id":"resplan-8449-F0-S005","optimal_length_m":12.97,"space_path":["resplan-8449-F0-S003","resplan-8449-F0-S001","resplan-8449-F0-S005"],"element_path":["resplan-8449-F0-O0004","resplan-8449-F0-O0004","resplan-8449-F0-O0003","resplan-8449-F0-O0003"]}</x:v>
      </x:c>
      <x:c r="O1116" s="6"/>
      <x:c r="P1116" s="6" t="str">
        <x:v>README routing profile. Stairs and lifts allowed unless stated otherwise.</x:v>
      </x:c>
      <x:c r="Q1116" s="15" t="n">
        <x:v>12.97</x:v>
      </x:c>
      <x:c r="R1116" s="6" t="str">
        <x:v>m</x:v>
      </x:c>
      <x:c r="S1116" s="16"/>
      <x:c r="T1116" s="15"/>
      <x:c r="U1116" s="6"/>
      <x:c r="V1116" s="6"/>
      <x:c r="W1116" s="6" t="str">
        <x:v>Existing find_route and show_route implement the kit routing model.</x:v>
      </x:c>
      <x:c r="X1116" s="6" t="str">
        <x:v>data/train/resplan-8449/questions_basic.jsonl</x:v>
      </x:c>
      <x:c r="Y1116" s="14" t="n">
        <x:v>5</x:v>
      </x:c>
      <x:c r="Z1116" s="6" t="str">
        <x:v>https://github.com/hagenhaeussler/Industrial-Agents-Hackathon-2026/blob/f41616590b69f3ea0c1cbfb41d6c35edd9ce53df/data/train/resplan-8449/questions_basic.jsonl#L5</x:v>
      </x:c>
      <x:c r="AA1116" s="6" t="str">
        <x:v>resplan</x:v>
      </x:c>
      <x:c r="AB1116" s="6" t="str">
        <x:v>CC-BY-4.0</x:v>
      </x:c>
    </x:row>
    <x:row r="1117" ht="72" customHeight="1">
      <x:c r="A1117" s="14" t="n">
        <x:v>1112</x:v>
      </x:c>
      <x:c r="B1117" s="6" t="str">
        <x:v>route</x:v>
      </x:c>
      <x:c r="C1117" s="6" t="str">
        <x:v>How do I get from Living room 0.01 (Ground floor) to Bathroom 0.05 (Ground floor)?</x:v>
      </x:c>
      <x:c r="D1117" s="6" t="str">
        <x:v>5.47 m
From: Living room 0.01
To: Bathroom 0.05
Ordered path (2 spaces): Living room 0.01 → Bathroom 0.05</x:v>
      </x:c>
      <x:c r="E1117" s="6" t="str">
        <x:v>Reference supplied</x:v>
      </x:c>
      <x:c r="F1117" s="6" t="str">
        <x:v>train</x:v>
      </x:c>
      <x:c r="G1117" s="6" t="str">
        <x:v>resplan-8449</x:v>
      </x:c>
      <x:c r="H1117" s="6" t="str">
        <x:v>resplan-8449-Q06</x:v>
      </x:c>
      <x:c r="I1117" s="6" t="str">
        <x:v>Route planning</x:v>
      </x:c>
      <x:c r="J1117" s="6" t="str">
        <x:v>Warm-up</x:v>
      </x:c>
      <x:c r="K1117" s="6" t="str">
        <x:v>Ordered space path and directions, plus total route-model distance in metres.</x:v>
      </x:c>
      <x:c r="L1117" s="6" t="str">
        <x:v>T02, T05, T13</x:v>
      </x:c>
      <x:c r="M1117" s="6" t="str">
        <x:v>Find a valid route between two rooms, including across floors.</x:v>
      </x:c>
      <x:c r="N1117" s="6" t="str">
        <x:v>{"from_space_id":"resplan-8449-F0-S001","to_space_id":"resplan-8449-F0-S005","optimal_length_m":5.47,"space_path":["resplan-8449-F0-S001","resplan-8449-F0-S005"],"element_path":["resplan-8449-F0-O0003","resplan-8449-F0-O0003"]}</x:v>
      </x:c>
      <x:c r="O1117" s="6"/>
      <x:c r="P1117" s="6" t="str">
        <x:v>README routing profile. Stairs and lifts allowed unless stated otherwise.</x:v>
      </x:c>
      <x:c r="Q1117" s="15" t="n">
        <x:v>5.47</x:v>
      </x:c>
      <x:c r="R1117" s="6" t="str">
        <x:v>m</x:v>
      </x:c>
      <x:c r="S1117" s="16"/>
      <x:c r="T1117" s="15"/>
      <x:c r="U1117" s="6"/>
      <x:c r="V1117" s="6"/>
      <x:c r="W1117" s="6" t="str">
        <x:v>Existing find_route and show_route implement the kit routing model.</x:v>
      </x:c>
      <x:c r="X1117" s="6" t="str">
        <x:v>data/train/resplan-8449/questions_basic.jsonl</x:v>
      </x:c>
      <x:c r="Y1117" s="14" t="n">
        <x:v>6</x:v>
      </x:c>
      <x:c r="Z1117" s="6" t="str">
        <x:v>https://github.com/hagenhaeussler/Industrial-Agents-Hackathon-2026/blob/f41616590b69f3ea0c1cbfb41d6c35edd9ce53df/data/train/resplan-8449/questions_basic.jsonl#L6</x:v>
      </x:c>
      <x:c r="AA1117" s="6" t="str">
        <x:v>resplan</x:v>
      </x:c>
      <x:c r="AB1117" s="6" t="str">
        <x:v>CC-BY-4.0</x:v>
      </x:c>
    </x:row>
    <x:row r="1118" ht="72" customHeight="1">
      <x:c r="A1118" s="14" t="n">
        <x:v>1113</x:v>
      </x:c>
      <x:c r="B1118" s="6" t="str">
        <x:v>route</x:v>
      </x:c>
      <x:c r="C1118" s="6" t="str">
        <x:v>How do I get from Living room 0.01 (Ground floor) to Bedroom 0.02 (Ground floor)?</x:v>
      </x:c>
      <x:c r="D1118" s="6" t="str">
        <x:v>6.76 m
From: Living room 0.01
To: Bedroom 0.02
Ordered path (2 spaces): Living room 0.01 → Bedroom 0.02</x:v>
      </x:c>
      <x:c r="E1118" s="6" t="str">
        <x:v>Reference supplied</x:v>
      </x:c>
      <x:c r="F1118" s="6" t="str">
        <x:v>train</x:v>
      </x:c>
      <x:c r="G1118" s="6" t="str">
        <x:v>resplan-8449</x:v>
      </x:c>
      <x:c r="H1118" s="6" t="str">
        <x:v>resplan-8449-Q07</x:v>
      </x:c>
      <x:c r="I1118" s="6" t="str">
        <x:v>Route planning</x:v>
      </x:c>
      <x:c r="J1118" s="6" t="str">
        <x:v>Warm-up</x:v>
      </x:c>
      <x:c r="K1118" s="6" t="str">
        <x:v>Ordered space path and directions, plus total route-model distance in metres.</x:v>
      </x:c>
      <x:c r="L1118" s="6" t="str">
        <x:v>T02, T05, T13</x:v>
      </x:c>
      <x:c r="M1118" s="6" t="str">
        <x:v>Find a valid route between two rooms, including across floors.</x:v>
      </x:c>
      <x:c r="N1118" s="6" t="str">
        <x:v>{"from_space_id":"resplan-8449-F0-S001","to_space_id":"resplan-8449-F0-S002","optimal_length_m":6.76,"space_path":["resplan-8449-F0-S001","resplan-8449-F0-S002"],"element_path":["resplan-8449-F0-O0002","resplan-8449-F0-O0002"]}</x:v>
      </x:c>
      <x:c r="O1118" s="6"/>
      <x:c r="P1118" s="6" t="str">
        <x:v>README routing profile. Stairs and lifts allowed unless stated otherwise.</x:v>
      </x:c>
      <x:c r="Q1118" s="15" t="n">
        <x:v>6.76</x:v>
      </x:c>
      <x:c r="R1118" s="6" t="str">
        <x:v>m</x:v>
      </x:c>
      <x:c r="S1118" s="16"/>
      <x:c r="T1118" s="15"/>
      <x:c r="U1118" s="6"/>
      <x:c r="V1118" s="6"/>
      <x:c r="W1118" s="6" t="str">
        <x:v>Existing find_route and show_route implement the kit routing model.</x:v>
      </x:c>
      <x:c r="X1118" s="6" t="str">
        <x:v>data/train/resplan-8449/questions_basic.jsonl</x:v>
      </x:c>
      <x:c r="Y1118" s="14" t="n">
        <x:v>7</x:v>
      </x:c>
      <x:c r="Z1118" s="6" t="str">
        <x:v>https://github.com/hagenhaeussler/Industrial-Agents-Hackathon-2026/blob/f41616590b69f3ea0c1cbfb41d6c35edd9ce53df/data/train/resplan-8449/questions_basic.jsonl#L7</x:v>
      </x:c>
      <x:c r="AA1118" s="6" t="str">
        <x:v>resplan</x:v>
      </x:c>
      <x:c r="AB1118" s="6" t="str">
        <x:v>CC-BY-4.0</x:v>
      </x:c>
    </x:row>
    <x:row r="1119" ht="82" customHeight="1">
      <x:c r="A1119" s="14" t="n">
        <x:v>1114</x:v>
      </x:c>
      <x:c r="B1119" s="6" t="str">
        <x:v>route</x:v>
      </x:c>
      <x:c r="C1119" s="6" t="str">
        <x:v>How do I get from Bathroom 0.09 (Ground floor) to Bathroom 0.07 (Ground floor)?</x:v>
      </x:c>
      <x:c r="D1119" s="6" t="str">
        <x:v>14.36 m
From: Bathroom 0.09
To: Bathroom 0.07
Ordered path (3 spaces): Bathroom 0.09 → Living room 0.01 → Bathroom 0.07</x:v>
      </x:c>
      <x:c r="E1119" s="6" t="str">
        <x:v>Reference supplied</x:v>
      </x:c>
      <x:c r="F1119" s="6" t="str">
        <x:v>train</x:v>
      </x:c>
      <x:c r="G1119" s="6" t="str">
        <x:v>resplan-8565</x:v>
      </x:c>
      <x:c r="H1119" s="6" t="str">
        <x:v>resplan-8565-Q05</x:v>
      </x:c>
      <x:c r="I1119" s="6" t="str">
        <x:v>Route planning</x:v>
      </x:c>
      <x:c r="J1119" s="6" t="str">
        <x:v>Warm-up</x:v>
      </x:c>
      <x:c r="K1119" s="6" t="str">
        <x:v>Ordered space path and directions, plus total route-model distance in metres.</x:v>
      </x:c>
      <x:c r="L1119" s="6" t="str">
        <x:v>T02, T05, T13</x:v>
      </x:c>
      <x:c r="M1119" s="6" t="str">
        <x:v>Find a valid route between two rooms, including across floors.</x:v>
      </x:c>
      <x:c r="N1119" s="6" t="str">
        <x:v>{"from_space_id":"resplan-8565-F0-S009","to_space_id":"resplan-8565-F0-S007","optimal_length_m":14.36,"space_path":["resplan-8565-F0-S009","resplan-8565-F0-S001","resplan-8565-F0-S007"],"element_path":["resplan-8565-F0-O0005","resplan-8565-F0-O0005","resplan-8565-F0-O0011","resplan-8565-F0-O0011"]}</x:v>
      </x:c>
      <x:c r="O1119" s="6"/>
      <x:c r="P1119" s="6" t="str">
        <x:v>README routing profile. Stairs and lifts allowed unless stated otherwise.</x:v>
      </x:c>
      <x:c r="Q1119" s="15" t="n">
        <x:v>14.36</x:v>
      </x:c>
      <x:c r="R1119" s="6" t="str">
        <x:v>m</x:v>
      </x:c>
      <x:c r="S1119" s="16"/>
      <x:c r="T1119" s="15"/>
      <x:c r="U1119" s="6"/>
      <x:c r="V1119" s="6"/>
      <x:c r="W1119" s="6" t="str">
        <x:v>Existing find_route and show_route implement the kit routing model.</x:v>
      </x:c>
      <x:c r="X1119" s="6" t="str">
        <x:v>data/train/resplan-8565/questions_basic.jsonl</x:v>
      </x:c>
      <x:c r="Y1119" s="14" t="n">
        <x:v>5</x:v>
      </x:c>
      <x:c r="Z1119" s="6" t="str">
        <x:v>https://github.com/hagenhaeussler/Industrial-Agents-Hackathon-2026/blob/f41616590b69f3ea0c1cbfb41d6c35edd9ce53df/data/train/resplan-8565/questions_basic.jsonl#L5</x:v>
      </x:c>
      <x:c r="AA1119" s="6" t="str">
        <x:v>resplan</x:v>
      </x:c>
      <x:c r="AB1119" s="6" t="str">
        <x:v>CC-BY-4.0</x:v>
      </x:c>
    </x:row>
    <x:row r="1120" ht="72" customHeight="1">
      <x:c r="A1120" s="14" t="n">
        <x:v>1115</x:v>
      </x:c>
      <x:c r="B1120" s="6" t="str">
        <x:v>route</x:v>
      </x:c>
      <x:c r="C1120" s="6" t="str">
        <x:v>How do I get from Kitchen 0.10 (Ground floor) to Bedroom 0.02 (Ground floor)?</x:v>
      </x:c>
      <x:c r="D1120" s="6" t="str">
        <x:v>20.42 m
From: Kitchen 0.10
To: Bedroom 0.02
Ordered path (3 spaces): Kitchen 0.10 → Living room 0.01 → Bedroom 0.02</x:v>
      </x:c>
      <x:c r="E1120" s="6" t="str">
        <x:v>Reference supplied</x:v>
      </x:c>
      <x:c r="F1120" s="6" t="str">
        <x:v>train</x:v>
      </x:c>
      <x:c r="G1120" s="6" t="str">
        <x:v>resplan-8565</x:v>
      </x:c>
      <x:c r="H1120" s="6" t="str">
        <x:v>resplan-8565-Q06</x:v>
      </x:c>
      <x:c r="I1120" s="6" t="str">
        <x:v>Route planning</x:v>
      </x:c>
      <x:c r="J1120" s="6" t="str">
        <x:v>Warm-up</x:v>
      </x:c>
      <x:c r="K1120" s="6" t="str">
        <x:v>Ordered space path and directions, plus total route-model distance in metres.</x:v>
      </x:c>
      <x:c r="L1120" s="6" t="str">
        <x:v>T02, T05, T13</x:v>
      </x:c>
      <x:c r="M1120" s="6" t="str">
        <x:v>Find a valid route between two rooms, including across floors.</x:v>
      </x:c>
      <x:c r="N1120" s="6" t="str">
        <x:v>{"from_space_id":"resplan-8565-F0-S010","to_space_id":"resplan-8565-F0-S002","optimal_length_m":20.42,"space_path":["resplan-8565-F0-S010","resplan-8565-F0-S001","resplan-8565-F0-S002"],"element_path":["resplan-8565-F0-O0012","resplan-8565-F0-O0012","resplan-8565-F0-O0002","resplan-8565-F0-O0002"]}</x:v>
      </x:c>
      <x:c r="O1120" s="6"/>
      <x:c r="P1120" s="6" t="str">
        <x:v>README routing profile. Stairs and lifts allowed unless stated otherwise.</x:v>
      </x:c>
      <x:c r="Q1120" s="15" t="n">
        <x:v>20.42</x:v>
      </x:c>
      <x:c r="R1120" s="6" t="str">
        <x:v>m</x:v>
      </x:c>
      <x:c r="S1120" s="16"/>
      <x:c r="T1120" s="15"/>
      <x:c r="U1120" s="6"/>
      <x:c r="V1120" s="6"/>
      <x:c r="W1120" s="6" t="str">
        <x:v>Existing find_route and show_route implement the kit routing model.</x:v>
      </x:c>
      <x:c r="X1120" s="6" t="str">
        <x:v>data/train/resplan-8565/questions_basic.jsonl</x:v>
      </x:c>
      <x:c r="Y1120" s="14" t="n">
        <x:v>6</x:v>
      </x:c>
      <x:c r="Z1120" s="6" t="str">
        <x:v>https://github.com/hagenhaeussler/Industrial-Agents-Hackathon-2026/blob/f41616590b69f3ea0c1cbfb41d6c35edd9ce53df/data/train/resplan-8565/questions_basic.jsonl#L6</x:v>
      </x:c>
      <x:c r="AA1120" s="6" t="str">
        <x:v>resplan</x:v>
      </x:c>
      <x:c r="AB1120" s="6" t="str">
        <x:v>CC-BY-4.0</x:v>
      </x:c>
    </x:row>
    <x:row r="1121" ht="72" customHeight="1">
      <x:c r="A1121" s="14" t="n">
        <x:v>1116</x:v>
      </x:c>
      <x:c r="B1121" s="6" t="str">
        <x:v>route</x:v>
      </x:c>
      <x:c r="C1121" s="6" t="str">
        <x:v>How do I get from Bedroom 0.03 (Ground floor) to Bedroom 0.04 (Ground floor)?</x:v>
      </x:c>
      <x:c r="D1121" s="6" t="str">
        <x:v>23.21 m
From: Bedroom 0.03
To: Bedroom 0.04
Ordered path (3 spaces): Bedroom 0.03 → Living room 0.01 → Bedroom 0.04</x:v>
      </x:c>
      <x:c r="E1121" s="6" t="str">
        <x:v>Reference supplied</x:v>
      </x:c>
      <x:c r="F1121" s="6" t="str">
        <x:v>train</x:v>
      </x:c>
      <x:c r="G1121" s="6" t="str">
        <x:v>resplan-8565</x:v>
      </x:c>
      <x:c r="H1121" s="6" t="str">
        <x:v>resplan-8565-Q07</x:v>
      </x:c>
      <x:c r="I1121" s="6" t="str">
        <x:v>Route planning</x:v>
      </x:c>
      <x:c r="J1121" s="6" t="str">
        <x:v>Warm-up</x:v>
      </x:c>
      <x:c r="K1121" s="6" t="str">
        <x:v>Ordered space path and directions, plus total route-model distance in metres.</x:v>
      </x:c>
      <x:c r="L1121" s="6" t="str">
        <x:v>T02, T05, T13</x:v>
      </x:c>
      <x:c r="M1121" s="6" t="str">
        <x:v>Find a valid route between two rooms, including across floors.</x:v>
      </x:c>
      <x:c r="N1121" s="6" t="str">
        <x:v>{"from_space_id":"resplan-8565-F0-S003","to_space_id":"resplan-8565-F0-S004","optimal_length_m":23.21,"space_path":["resplan-8565-F0-S003","resplan-8565-F0-S001","resplan-8565-F0-S004"],"element_path":["resplan-8565-F0-O0003","resplan-8565-F0-O0003","resplan-8565-F0-O0006","resplan-8565-F0-O0006"]}</x:v>
      </x:c>
      <x:c r="O1121" s="6"/>
      <x:c r="P1121" s="6" t="str">
        <x:v>README routing profile. Stairs and lifts allowed unless stated otherwise.</x:v>
      </x:c>
      <x:c r="Q1121" s="15" t="n">
        <x:v>23.21</x:v>
      </x:c>
      <x:c r="R1121" s="6" t="str">
        <x:v>m</x:v>
      </x:c>
      <x:c r="S1121" s="16"/>
      <x:c r="T1121" s="15"/>
      <x:c r="U1121" s="6"/>
      <x:c r="V1121" s="6"/>
      <x:c r="W1121" s="6" t="str">
        <x:v>Existing find_route and show_route implement the kit routing model.</x:v>
      </x:c>
      <x:c r="X1121" s="6" t="str">
        <x:v>data/train/resplan-8565/questions_basic.jsonl</x:v>
      </x:c>
      <x:c r="Y1121" s="14" t="n">
        <x:v>7</x:v>
      </x:c>
      <x:c r="Z1121" s="6" t="str">
        <x:v>https://github.com/hagenhaeussler/Industrial-Agents-Hackathon-2026/blob/f41616590b69f3ea0c1cbfb41d6c35edd9ce53df/data/train/resplan-8565/questions_basic.jsonl#L7</x:v>
      </x:c>
      <x:c r="AA1121" s="6" t="str">
        <x:v>resplan</x:v>
      </x:c>
      <x:c r="AB1121" s="6" t="str">
        <x:v>CC-BY-4.0</x:v>
      </x:c>
    </x:row>
    <x:row r="1122" ht="72" customHeight="1">
      <x:c r="A1122" s="14" t="n">
        <x:v>1117</x:v>
      </x:c>
      <x:c r="B1122" s="6" t="str">
        <x:v>route</x:v>
      </x:c>
      <x:c r="C1122" s="6" t="str">
        <x:v>How do I get from Bathroom 0.05 (Ground floor) to Bedroom 0.03 (Ground floor)?</x:v>
      </x:c>
      <x:c r="D1122" s="6" t="str">
        <x:v>3.17 m
From: Bathroom 0.05
To: Bedroom 0.03
Ordered path (2 spaces): Bathroom 0.05 → Bedroom 0.03</x:v>
      </x:c>
      <x:c r="E1122" s="6" t="str">
        <x:v>Reference supplied</x:v>
      </x:c>
      <x:c r="F1122" s="6" t="str">
        <x:v>train</x:v>
      </x:c>
      <x:c r="G1122" s="6" t="str">
        <x:v>resplan-8889</x:v>
      </x:c>
      <x:c r="H1122" s="6" t="str">
        <x:v>resplan-8889-Q05</x:v>
      </x:c>
      <x:c r="I1122" s="6" t="str">
        <x:v>Route planning</x:v>
      </x:c>
      <x:c r="J1122" s="6" t="str">
        <x:v>Warm-up</x:v>
      </x:c>
      <x:c r="K1122" s="6" t="str">
        <x:v>Ordered space path and directions, plus total route-model distance in metres.</x:v>
      </x:c>
      <x:c r="L1122" s="6" t="str">
        <x:v>T02, T05, T13</x:v>
      </x:c>
      <x:c r="M1122" s="6" t="str">
        <x:v>Find a valid route between two rooms, including across floors.</x:v>
      </x:c>
      <x:c r="N1122" s="6" t="str">
        <x:v>{"from_space_id":"resplan-8889-F0-S005","to_space_id":"resplan-8889-F0-S003","optimal_length_m":3.17,"space_path":["resplan-8889-F0-S005","resplan-8889-F0-S003"],"element_path":["resplan-8889-F0-O0003","resplan-8889-F0-O0003"]}</x:v>
      </x:c>
      <x:c r="O1122" s="6"/>
      <x:c r="P1122" s="6" t="str">
        <x:v>README routing profile. Stairs and lifts allowed unless stated otherwise.</x:v>
      </x:c>
      <x:c r="Q1122" s="15" t="n">
        <x:v>3.17</x:v>
      </x:c>
      <x:c r="R1122" s="6" t="str">
        <x:v>m</x:v>
      </x:c>
      <x:c r="S1122" s="16"/>
      <x:c r="T1122" s="15"/>
      <x:c r="U1122" s="6"/>
      <x:c r="V1122" s="6"/>
      <x:c r="W1122" s="6" t="str">
        <x:v>Existing find_route and show_route implement the kit routing model.</x:v>
      </x:c>
      <x:c r="X1122" s="6" t="str">
        <x:v>data/train/resplan-8889/questions_basic.jsonl</x:v>
      </x:c>
      <x:c r="Y1122" s="14" t="n">
        <x:v>5</x:v>
      </x:c>
      <x:c r="Z1122" s="6" t="str">
        <x:v>https://github.com/hagenhaeussler/Industrial-Agents-Hackathon-2026/blob/f41616590b69f3ea0c1cbfb41d6c35edd9ce53df/data/train/resplan-8889/questions_basic.jsonl#L5</x:v>
      </x:c>
      <x:c r="AA1122" s="6" t="str">
        <x:v>resplan</x:v>
      </x:c>
      <x:c r="AB1122" s="6" t="str">
        <x:v>CC-BY-4.0</x:v>
      </x:c>
    </x:row>
    <x:row r="1123" ht="72" customHeight="1">
      <x:c r="A1123" s="14" t="n">
        <x:v>1118</x:v>
      </x:c>
      <x:c r="B1123" s="6" t="str">
        <x:v>route</x:v>
      </x:c>
      <x:c r="C1123" s="6" t="str">
        <x:v>How do I get from Storage 0.07 (Ground floor) to Kitchen 0.06 (Ground floor)?</x:v>
      </x:c>
      <x:c r="D1123" s="6" t="str">
        <x:v>10.12 m
From: Storage 0.07
To: Kitchen 0.06
Ordered path (3 spaces): Storage 0.07 → Living room 0.01 → Kitchen 0.06</x:v>
      </x:c>
      <x:c r="E1123" s="6" t="str">
        <x:v>Reference supplied</x:v>
      </x:c>
      <x:c r="F1123" s="6" t="str">
        <x:v>train</x:v>
      </x:c>
      <x:c r="G1123" s="6" t="str">
        <x:v>resplan-8889</x:v>
      </x:c>
      <x:c r="H1123" s="6" t="str">
        <x:v>resplan-8889-Q06</x:v>
      </x:c>
      <x:c r="I1123" s="6" t="str">
        <x:v>Route planning</x:v>
      </x:c>
      <x:c r="J1123" s="6" t="str">
        <x:v>Warm-up</x:v>
      </x:c>
      <x:c r="K1123" s="6" t="str">
        <x:v>Ordered space path and directions, plus total route-model distance in metres.</x:v>
      </x:c>
      <x:c r="L1123" s="6" t="str">
        <x:v>T02, T05, T13</x:v>
      </x:c>
      <x:c r="M1123" s="6" t="str">
        <x:v>Find a valid route between two rooms, including across floors.</x:v>
      </x:c>
      <x:c r="N1123" s="6" t="str">
        <x:v>{"from_space_id":"resplan-8889-F0-S007","to_space_id":"resplan-8889-F0-S006","optimal_length_m":10.12,"space_path":["resplan-8889-F0-S007","resplan-8889-F0-S001","resplan-8889-F0-S006"],"element_path":["resplan-8889-F0-O0005","resplan-8889-F0-O0005","resplan-8889-F0-O0006","resplan-8889-F0-O0006"]}</x:v>
      </x:c>
      <x:c r="O1123" s="6"/>
      <x:c r="P1123" s="6" t="str">
        <x:v>README routing profile. Stairs and lifts allowed unless stated otherwise.</x:v>
      </x:c>
      <x:c r="Q1123" s="15" t="n">
        <x:v>10.12</x:v>
      </x:c>
      <x:c r="R1123" s="6" t="str">
        <x:v>m</x:v>
      </x:c>
      <x:c r="S1123" s="16"/>
      <x:c r="T1123" s="15"/>
      <x:c r="U1123" s="6"/>
      <x:c r="V1123" s="6"/>
      <x:c r="W1123" s="6" t="str">
        <x:v>Existing find_route and show_route implement the kit routing model.</x:v>
      </x:c>
      <x:c r="X1123" s="6" t="str">
        <x:v>data/train/resplan-8889/questions_basic.jsonl</x:v>
      </x:c>
      <x:c r="Y1123" s="14" t="n">
        <x:v>6</x:v>
      </x:c>
      <x:c r="Z1123" s="6" t="str">
        <x:v>https://github.com/hagenhaeussler/Industrial-Agents-Hackathon-2026/blob/f41616590b69f3ea0c1cbfb41d6c35edd9ce53df/data/train/resplan-8889/questions_basic.jsonl#L6</x:v>
      </x:c>
      <x:c r="AA1123" s="6" t="str">
        <x:v>resplan</x:v>
      </x:c>
      <x:c r="AB1123" s="6" t="str">
        <x:v>CC-BY-4.0</x:v>
      </x:c>
    </x:row>
    <x:row r="1124" ht="72" customHeight="1">
      <x:c r="A1124" s="14" t="n">
        <x:v>1119</x:v>
      </x:c>
      <x:c r="B1124" s="6" t="str">
        <x:v>route</x:v>
      </x:c>
      <x:c r="C1124" s="6" t="str">
        <x:v>How do I get from Bedroom 0.02 (Ground floor) to Kitchen 0.06 (Ground floor)?</x:v>
      </x:c>
      <x:c r="D1124" s="6" t="str">
        <x:v>10.45 m
From: Bedroom 0.02
To: Kitchen 0.06
Ordered path (3 spaces): Bedroom 0.02 → Living room 0.01 → Kitchen 0.06</x:v>
      </x:c>
      <x:c r="E1124" s="6" t="str">
        <x:v>Reference supplied</x:v>
      </x:c>
      <x:c r="F1124" s="6" t="str">
        <x:v>train</x:v>
      </x:c>
      <x:c r="G1124" s="6" t="str">
        <x:v>resplan-8889</x:v>
      </x:c>
      <x:c r="H1124" s="6" t="str">
        <x:v>resplan-8889-Q07</x:v>
      </x:c>
      <x:c r="I1124" s="6" t="str">
        <x:v>Route planning</x:v>
      </x:c>
      <x:c r="J1124" s="6" t="str">
        <x:v>Warm-up</x:v>
      </x:c>
      <x:c r="K1124" s="6" t="str">
        <x:v>Ordered space path and directions, plus total route-model distance in metres.</x:v>
      </x:c>
      <x:c r="L1124" s="6" t="str">
        <x:v>T02, T05, T13</x:v>
      </x:c>
      <x:c r="M1124" s="6" t="str">
        <x:v>Find a valid route between two rooms, including across floors.</x:v>
      </x:c>
      <x:c r="N1124" s="6" t="str">
        <x:v>{"from_space_id":"resplan-8889-F0-S002","to_space_id":"resplan-8889-F0-S006","optimal_length_m":10.45,"space_path":["resplan-8889-F0-S002","resplan-8889-F0-S001","resplan-8889-F0-S006"],"element_path":["resplan-8889-F0-O0002","resplan-8889-F0-O0002","resplan-8889-F0-O0006","resplan-8889-F0-O0006"]}</x:v>
      </x:c>
      <x:c r="O1124" s="6"/>
      <x:c r="P1124" s="6" t="str">
        <x:v>README routing profile. Stairs and lifts allowed unless stated otherwise.</x:v>
      </x:c>
      <x:c r="Q1124" s="15" t="n">
        <x:v>10.45</x:v>
      </x:c>
      <x:c r="R1124" s="6" t="str">
        <x:v>m</x:v>
      </x:c>
      <x:c r="S1124" s="16"/>
      <x:c r="T1124" s="15"/>
      <x:c r="U1124" s="6"/>
      <x:c r="V1124" s="6"/>
      <x:c r="W1124" s="6" t="str">
        <x:v>Existing find_route and show_route implement the kit routing model.</x:v>
      </x:c>
      <x:c r="X1124" s="6" t="str">
        <x:v>data/train/resplan-8889/questions_basic.jsonl</x:v>
      </x:c>
      <x:c r="Y1124" s="14" t="n">
        <x:v>7</x:v>
      </x:c>
      <x:c r="Z1124" s="6" t="str">
        <x:v>https://github.com/hagenhaeussler/Industrial-Agents-Hackathon-2026/blob/f41616590b69f3ea0c1cbfb41d6c35edd9ce53df/data/train/resplan-8889/questions_basic.jsonl#L7</x:v>
      </x:c>
      <x:c r="AA1124" s="6" t="str">
        <x:v>resplan</x:v>
      </x:c>
      <x:c r="AB1124" s="6" t="str">
        <x:v>CC-BY-4.0</x:v>
      </x:c>
    </x:row>
    <x:row r="1125" ht="82" customHeight="1">
      <x:c r="A1125" s="14" t="n">
        <x:v>1120</x:v>
      </x:c>
      <x:c r="B1125" s="6" t="str">
        <x:v>route</x:v>
      </x:c>
      <x:c r="C1125" s="6" t="str">
        <x:v>How do I get from Bathroom 0.07 (Ground floor) to Kitchen 0.09 (Ground floor)?</x:v>
      </x:c>
      <x:c r="D1125" s="6" t="str">
        <x:v>18.22 m
From: Bathroom 0.07
To: Kitchen 0.09
Ordered path (4 spaces): Bathroom 0.07 → Bedroom 0.03 → Living room 0.01 → Kitchen 0.09</x:v>
      </x:c>
      <x:c r="E1125" s="6" t="str">
        <x:v>Reference supplied</x:v>
      </x:c>
      <x:c r="F1125" s="6" t="str">
        <x:v>train</x:v>
      </x:c>
      <x:c r="G1125" s="6" t="str">
        <x:v>resplan-9082</x:v>
      </x:c>
      <x:c r="H1125" s="6" t="str">
        <x:v>resplan-9082-Q05</x:v>
      </x:c>
      <x:c r="I1125" s="6" t="str">
        <x:v>Route planning</x:v>
      </x:c>
      <x:c r="J1125" s="6" t="str">
        <x:v>Warm-up</x:v>
      </x:c>
      <x:c r="K1125" s="6" t="str">
        <x:v>Ordered space path and directions, plus total route-model distance in metres.</x:v>
      </x:c>
      <x:c r="L1125" s="6" t="str">
        <x:v>T02, T05, T13</x:v>
      </x:c>
      <x:c r="M1125" s="6" t="str">
        <x:v>Find a valid route between two rooms, including across floors.</x:v>
      </x:c>
      <x:c r="N1125" s="6" t="str">
        <x:v>{"from_space_id":"resplan-9082-F0-S007","to_space_id":"resplan-9082-F0-S009","optimal_length_m":18.22,"space_path":["resplan-9082-F0-S007","resplan-9082-F0-S003","resplan-9082-F0-S001","resplan-9082-F0-S009"],"element_path":["resplan-9082-F0-O0004","resplan-9082-F0-O0004","resplan-9082-F0-O0003","resplan-9082-F0-O0003","resplan-9082-F0-O0007","resplan-9082-F0-O0007"]}</x:v>
      </x:c>
      <x:c r="O1125" s="6"/>
      <x:c r="P1125" s="6" t="str">
        <x:v>README routing profile. Stairs and lifts allowed unless stated otherwise.</x:v>
      </x:c>
      <x:c r="Q1125" s="15" t="n">
        <x:v>18.22</x:v>
      </x:c>
      <x:c r="R1125" s="6" t="str">
        <x:v>m</x:v>
      </x:c>
      <x:c r="S1125" s="16"/>
      <x:c r="T1125" s="15"/>
      <x:c r="U1125" s="6"/>
      <x:c r="V1125" s="6"/>
      <x:c r="W1125" s="6" t="str">
        <x:v>Existing find_route and show_route implement the kit routing model.</x:v>
      </x:c>
      <x:c r="X1125" s="6" t="str">
        <x:v>data/train/resplan-9082/questions_basic.jsonl</x:v>
      </x:c>
      <x:c r="Y1125" s="14" t="n">
        <x:v>5</x:v>
      </x:c>
      <x:c r="Z1125" s="6" t="str">
        <x:v>https://github.com/hagenhaeussler/Industrial-Agents-Hackathon-2026/blob/f41616590b69f3ea0c1cbfb41d6c35edd9ce53df/data/train/resplan-9082/questions_basic.jsonl#L5</x:v>
      </x:c>
      <x:c r="AA1125" s="6" t="str">
        <x:v>resplan</x:v>
      </x:c>
      <x:c r="AB1125" s="6" t="str">
        <x:v>CC-BY-4.0</x:v>
      </x:c>
    </x:row>
    <x:row r="1126" ht="72" customHeight="1">
      <x:c r="A1126" s="14" t="n">
        <x:v>1121</x:v>
      </x:c>
      <x:c r="B1126" s="6" t="str">
        <x:v>route</x:v>
      </x:c>
      <x:c r="C1126" s="6" t="str">
        <x:v>How do I get from Bathroom 0.08 (Ground floor) to Bedroom 0.02 (Ground floor)?</x:v>
      </x:c>
      <x:c r="D1126" s="6" t="str">
        <x:v>3.07 m
From: Bathroom 0.08
To: Bedroom 0.02
Ordered path (2 spaces): Bathroom 0.08 → Bedroom 0.02</x:v>
      </x:c>
      <x:c r="E1126" s="6" t="str">
        <x:v>Reference supplied</x:v>
      </x:c>
      <x:c r="F1126" s="6" t="str">
        <x:v>train</x:v>
      </x:c>
      <x:c r="G1126" s="6" t="str">
        <x:v>resplan-9082</x:v>
      </x:c>
      <x:c r="H1126" s="6" t="str">
        <x:v>resplan-9082-Q06</x:v>
      </x:c>
      <x:c r="I1126" s="6" t="str">
        <x:v>Route planning</x:v>
      </x:c>
      <x:c r="J1126" s="6" t="str">
        <x:v>Warm-up</x:v>
      </x:c>
      <x:c r="K1126" s="6" t="str">
        <x:v>Ordered space path and directions, plus total route-model distance in metres.</x:v>
      </x:c>
      <x:c r="L1126" s="6" t="str">
        <x:v>T02, T05, T13</x:v>
      </x:c>
      <x:c r="M1126" s="6" t="str">
        <x:v>Find a valid route between two rooms, including across floors.</x:v>
      </x:c>
      <x:c r="N1126" s="6" t="str">
        <x:v>{"from_space_id":"resplan-9082-F0-S008","to_space_id":"resplan-9082-F0-S002","optimal_length_m":3.07,"space_path":["resplan-9082-F0-S008","resplan-9082-F0-S002"],"element_path":["resplan-9082-F0-O0009","resplan-9082-F0-O0009"]}</x:v>
      </x:c>
      <x:c r="O1126" s="6"/>
      <x:c r="P1126" s="6" t="str">
        <x:v>README routing profile. Stairs and lifts allowed unless stated otherwise.</x:v>
      </x:c>
      <x:c r="Q1126" s="15" t="n">
        <x:v>3.07</x:v>
      </x:c>
      <x:c r="R1126" s="6" t="str">
        <x:v>m</x:v>
      </x:c>
      <x:c r="S1126" s="16"/>
      <x:c r="T1126" s="15"/>
      <x:c r="U1126" s="6"/>
      <x:c r="V1126" s="6"/>
      <x:c r="W1126" s="6" t="str">
        <x:v>Existing find_route and show_route implement the kit routing model.</x:v>
      </x:c>
      <x:c r="X1126" s="6" t="str">
        <x:v>data/train/resplan-9082/questions_basic.jsonl</x:v>
      </x:c>
      <x:c r="Y1126" s="14" t="n">
        <x:v>6</x:v>
      </x:c>
      <x:c r="Z1126" s="6" t="str">
        <x:v>https://github.com/hagenhaeussler/Industrial-Agents-Hackathon-2026/blob/f41616590b69f3ea0c1cbfb41d6c35edd9ce53df/data/train/resplan-9082/questions_basic.jsonl#L6</x:v>
      </x:c>
      <x:c r="AA1126" s="6" t="str">
        <x:v>resplan</x:v>
      </x:c>
      <x:c r="AB1126" s="6" t="str">
        <x:v>CC-BY-4.0</x:v>
      </x:c>
    </x:row>
    <x:row r="1127" ht="82" customHeight="1">
      <x:c r="A1127" s="14" t="n">
        <x:v>1122</x:v>
      </x:c>
      <x:c r="B1127" s="6" t="str">
        <x:v>route</x:v>
      </x:c>
      <x:c r="C1127" s="6" t="str">
        <x:v>How do I get from Kitchen 0.09 (Ground floor) to Bathroom 0.05 (Ground floor)?</x:v>
      </x:c>
      <x:c r="D1127" s="6" t="str">
        <x:v>9.94 m
From: Kitchen 0.09
To: Bathroom 0.05
Ordered path (3 spaces): Kitchen 0.09 → Living room 0.01 → Bathroom 0.05</x:v>
      </x:c>
      <x:c r="E1127" s="6" t="str">
        <x:v>Reference supplied</x:v>
      </x:c>
      <x:c r="F1127" s="6" t="str">
        <x:v>train</x:v>
      </x:c>
      <x:c r="G1127" s="6" t="str">
        <x:v>resplan-9082</x:v>
      </x:c>
      <x:c r="H1127" s="6" t="str">
        <x:v>resplan-9082-Q07</x:v>
      </x:c>
      <x:c r="I1127" s="6" t="str">
        <x:v>Route planning</x:v>
      </x:c>
      <x:c r="J1127" s="6" t="str">
        <x:v>Warm-up</x:v>
      </x:c>
      <x:c r="K1127" s="6" t="str">
        <x:v>Ordered space path and directions, plus total route-model distance in metres.</x:v>
      </x:c>
      <x:c r="L1127" s="6" t="str">
        <x:v>T02, T05, T13</x:v>
      </x:c>
      <x:c r="M1127" s="6" t="str">
        <x:v>Find a valid route between two rooms, including across floors.</x:v>
      </x:c>
      <x:c r="N1127" s="6" t="str">
        <x:v>{"from_space_id":"resplan-9082-F0-S009","to_space_id":"resplan-9082-F0-S005","optimal_length_m":9.94,"space_path":["resplan-9082-F0-S009","resplan-9082-F0-S001","resplan-9082-F0-S005"],"element_path":["resplan-9082-F0-O0007","resplan-9082-F0-O0007","resplan-9082-F0-O0011","resplan-9082-F0-O0011"]}</x:v>
      </x:c>
      <x:c r="O1127" s="6"/>
      <x:c r="P1127" s="6" t="str">
        <x:v>README routing profile. Stairs and lifts allowed unless stated otherwise.</x:v>
      </x:c>
      <x:c r="Q1127" s="15" t="n">
        <x:v>9.94</x:v>
      </x:c>
      <x:c r="R1127" s="6" t="str">
        <x:v>m</x:v>
      </x:c>
      <x:c r="S1127" s="16"/>
      <x:c r="T1127" s="15"/>
      <x:c r="U1127" s="6"/>
      <x:c r="V1127" s="6"/>
      <x:c r="W1127" s="6" t="str">
        <x:v>Existing find_route and show_route implement the kit routing model.</x:v>
      </x:c>
      <x:c r="X1127" s="6" t="str">
        <x:v>data/train/resplan-9082/questions_basic.jsonl</x:v>
      </x:c>
      <x:c r="Y1127" s="14" t="n">
        <x:v>7</x:v>
      </x:c>
      <x:c r="Z1127" s="6" t="str">
        <x:v>https://github.com/hagenhaeussler/Industrial-Agents-Hackathon-2026/blob/f41616590b69f3ea0c1cbfb41d6c35edd9ce53df/data/train/resplan-9082/questions_basic.jsonl#L7</x:v>
      </x:c>
      <x:c r="AA1127" s="6" t="str">
        <x:v>resplan</x:v>
      </x:c>
      <x:c r="AB1127" s="6" t="str">
        <x:v>CC-BY-4.0</x:v>
      </x:c>
    </x:row>
    <x:row r="1128" ht="82" customHeight="1">
      <x:c r="A1128" s="14" t="n">
        <x:v>1123</x:v>
      </x:c>
      <x:c r="B1128" s="6" t="str">
        <x:v>route</x:v>
      </x:c>
      <x:c r="C1128" s="6" t="str">
        <x:v>How do I get from Bathroom 0.06 (Ground floor) to Bathroom 0.05 (Ground floor)?</x:v>
      </x:c>
      <x:c r="D1128" s="6" t="str">
        <x:v>15.39 m
From: Bathroom 0.06
To: Bathroom 0.05
Ordered path (4 spaces): Bathroom 0.06 → Bedroom 0.04 → Living room 0.01 → Bathroom 0.05</x:v>
      </x:c>
      <x:c r="E1128" s="6" t="str">
        <x:v>Reference supplied</x:v>
      </x:c>
      <x:c r="F1128" s="6" t="str">
        <x:v>train</x:v>
      </x:c>
      <x:c r="G1128" s="6" t="str">
        <x:v>resplan-9204</x:v>
      </x:c>
      <x:c r="H1128" s="6" t="str">
        <x:v>resplan-9204-Q05</x:v>
      </x:c>
      <x:c r="I1128" s="6" t="str">
        <x:v>Route planning</x:v>
      </x:c>
      <x:c r="J1128" s="6" t="str">
        <x:v>Warm-up</x:v>
      </x:c>
      <x:c r="K1128" s="6" t="str">
        <x:v>Ordered space path and directions, plus total route-model distance in metres.</x:v>
      </x:c>
      <x:c r="L1128" s="6" t="str">
        <x:v>T02, T05, T13</x:v>
      </x:c>
      <x:c r="M1128" s="6" t="str">
        <x:v>Find a valid route between two rooms, including across floors.</x:v>
      </x:c>
      <x:c r="N1128" s="6" t="str">
        <x:v>{"from_space_id":"resplan-9204-F0-S006","to_space_id":"resplan-9204-F0-S005","optimal_length_m":15.39,"space_path":["resplan-9204-F0-S006","resplan-9204-F0-S004","resplan-9204-F0-S001","resplan-9204-F0-S005"],"element_path":["resplan-9204-F0-O0007","resplan-9204-F0-O0007","resplan-9204-F0-O0006","resplan-9204-F0-O0006","resplan-9204-F0-O0003","resplan-9204-F0-O0003"]}</x:v>
      </x:c>
      <x:c r="O1128" s="6"/>
      <x:c r="P1128" s="6" t="str">
        <x:v>README routing profile. Stairs and lifts allowed unless stated otherwise.</x:v>
      </x:c>
      <x:c r="Q1128" s="15" t="n">
        <x:v>15.39</x:v>
      </x:c>
      <x:c r="R1128" s="6" t="str">
        <x:v>m</x:v>
      </x:c>
      <x:c r="S1128" s="16"/>
      <x:c r="T1128" s="15"/>
      <x:c r="U1128" s="6"/>
      <x:c r="V1128" s="6"/>
      <x:c r="W1128" s="6" t="str">
        <x:v>Existing find_route and show_route implement the kit routing model.</x:v>
      </x:c>
      <x:c r="X1128" s="6" t="str">
        <x:v>data/train/resplan-9204/questions_basic.jsonl</x:v>
      </x:c>
      <x:c r="Y1128" s="14" t="n">
        <x:v>5</x:v>
      </x:c>
      <x:c r="Z1128" s="6" t="str">
        <x:v>https://github.com/hagenhaeussler/Industrial-Agents-Hackathon-2026/blob/f41616590b69f3ea0c1cbfb41d6c35edd9ce53df/data/train/resplan-9204/questions_basic.jsonl#L5</x:v>
      </x:c>
      <x:c r="AA1128" s="6" t="str">
        <x:v>resplan</x:v>
      </x:c>
      <x:c r="AB1128" s="6" t="str">
        <x:v>CC-BY-4.0</x:v>
      </x:c>
    </x:row>
    <x:row r="1129" ht="82" customHeight="1">
      <x:c r="A1129" s="14" t="n">
        <x:v>1124</x:v>
      </x:c>
      <x:c r="B1129" s="6" t="str">
        <x:v>route</x:v>
      </x:c>
      <x:c r="C1129" s="6" t="str">
        <x:v>How do I get from Bedroom 0.04 (Ground floor) to Bathroom 0.05 (Ground floor)?</x:v>
      </x:c>
      <x:c r="D1129" s="6" t="str">
        <x:v>11.78 m
From: Bedroom 0.04
To: Bathroom 0.05
Ordered path (3 spaces): Bedroom 0.04 → Living room 0.01 → Bathroom 0.05</x:v>
      </x:c>
      <x:c r="E1129" s="6" t="str">
        <x:v>Reference supplied</x:v>
      </x:c>
      <x:c r="F1129" s="6" t="str">
        <x:v>train</x:v>
      </x:c>
      <x:c r="G1129" s="6" t="str">
        <x:v>resplan-9204</x:v>
      </x:c>
      <x:c r="H1129" s="6" t="str">
        <x:v>resplan-9204-Q06</x:v>
      </x:c>
      <x:c r="I1129" s="6" t="str">
        <x:v>Route planning</x:v>
      </x:c>
      <x:c r="J1129" s="6" t="str">
        <x:v>Warm-up</x:v>
      </x:c>
      <x:c r="K1129" s="6" t="str">
        <x:v>Ordered space path and directions, plus total route-model distance in metres.</x:v>
      </x:c>
      <x:c r="L1129" s="6" t="str">
        <x:v>T02, T05, T13</x:v>
      </x:c>
      <x:c r="M1129" s="6" t="str">
        <x:v>Find a valid route between two rooms, including across floors.</x:v>
      </x:c>
      <x:c r="N1129" s="6" t="str">
        <x:v>{"from_space_id":"resplan-9204-F0-S004","to_space_id":"resplan-9204-F0-S005","optimal_length_m":11.78,"space_path":["resplan-9204-F0-S004","resplan-9204-F0-S001","resplan-9204-F0-S005"],"element_path":["resplan-9204-F0-O0006","resplan-9204-F0-O0006","resplan-9204-F0-O0003","resplan-9204-F0-O0003"]}</x:v>
      </x:c>
      <x:c r="O1129" s="6"/>
      <x:c r="P1129" s="6" t="str">
        <x:v>README routing profile. Stairs and lifts allowed unless stated otherwise.</x:v>
      </x:c>
      <x:c r="Q1129" s="15" t="n">
        <x:v>11.78</x:v>
      </x:c>
      <x:c r="R1129" s="6" t="str">
        <x:v>m</x:v>
      </x:c>
      <x:c r="S1129" s="16"/>
      <x:c r="T1129" s="15"/>
      <x:c r="U1129" s="6"/>
      <x:c r="V1129" s="6"/>
      <x:c r="W1129" s="6" t="str">
        <x:v>Existing find_route and show_route implement the kit routing model.</x:v>
      </x:c>
      <x:c r="X1129" s="6" t="str">
        <x:v>data/train/resplan-9204/questions_basic.jsonl</x:v>
      </x:c>
      <x:c r="Y1129" s="14" t="n">
        <x:v>6</x:v>
      </x:c>
      <x:c r="Z1129" s="6" t="str">
        <x:v>https://github.com/hagenhaeussler/Industrial-Agents-Hackathon-2026/blob/f41616590b69f3ea0c1cbfb41d6c35edd9ce53df/data/train/resplan-9204/questions_basic.jsonl#L6</x:v>
      </x:c>
      <x:c r="AA1129" s="6" t="str">
        <x:v>resplan</x:v>
      </x:c>
      <x:c r="AB1129" s="6" t="str">
        <x:v>CC-BY-4.0</x:v>
      </x:c>
    </x:row>
    <x:row r="1130" ht="72" customHeight="1">
      <x:c r="A1130" s="14" t="n">
        <x:v>1125</x:v>
      </x:c>
      <x:c r="B1130" s="6" t="str">
        <x:v>route</x:v>
      </x:c>
      <x:c r="C1130" s="6" t="str">
        <x:v>How do I get from Bedroom 0.02 (Ground floor) to Bedroom 0.04 (Ground floor)?</x:v>
      </x:c>
      <x:c r="D1130" s="6" t="str">
        <x:v>11.59 m
From: Bedroom 0.02
To: Bedroom 0.04
Ordered path (3 spaces): Bedroom 0.02 → Living room 0.01 → Bedroom 0.04</x:v>
      </x:c>
      <x:c r="E1130" s="6" t="str">
        <x:v>Reference supplied</x:v>
      </x:c>
      <x:c r="F1130" s="6" t="str">
        <x:v>train</x:v>
      </x:c>
      <x:c r="G1130" s="6" t="str">
        <x:v>resplan-9204</x:v>
      </x:c>
      <x:c r="H1130" s="6" t="str">
        <x:v>resplan-9204-Q07</x:v>
      </x:c>
      <x:c r="I1130" s="6" t="str">
        <x:v>Route planning</x:v>
      </x:c>
      <x:c r="J1130" s="6" t="str">
        <x:v>Warm-up</x:v>
      </x:c>
      <x:c r="K1130" s="6" t="str">
        <x:v>Ordered space path and directions, plus total route-model distance in metres.</x:v>
      </x:c>
      <x:c r="L1130" s="6" t="str">
        <x:v>T02, T05, T13</x:v>
      </x:c>
      <x:c r="M1130" s="6" t="str">
        <x:v>Find a valid route between two rooms, including across floors.</x:v>
      </x:c>
      <x:c r="N1130" s="6" t="str">
        <x:v>{"from_space_id":"resplan-9204-F0-S002","to_space_id":"resplan-9204-F0-S004","optimal_length_m":11.59,"space_path":["resplan-9204-F0-S002","resplan-9204-F0-S001","resplan-9204-F0-S004"],"element_path":["resplan-9204-F0-O0005","resplan-9204-F0-O0005","resplan-9204-F0-O0006","resplan-9204-F0-O0006"]}</x:v>
      </x:c>
      <x:c r="O1130" s="6"/>
      <x:c r="P1130" s="6" t="str">
        <x:v>README routing profile. Stairs and lifts allowed unless stated otherwise.</x:v>
      </x:c>
      <x:c r="Q1130" s="15" t="n">
        <x:v>11.59</x:v>
      </x:c>
      <x:c r="R1130" s="6" t="str">
        <x:v>m</x:v>
      </x:c>
      <x:c r="S1130" s="16"/>
      <x:c r="T1130" s="15"/>
      <x:c r="U1130" s="6"/>
      <x:c r="V1130" s="6"/>
      <x:c r="W1130" s="6" t="str">
        <x:v>Existing find_route and show_route implement the kit routing model.</x:v>
      </x:c>
      <x:c r="X1130" s="6" t="str">
        <x:v>data/train/resplan-9204/questions_basic.jsonl</x:v>
      </x:c>
      <x:c r="Y1130" s="14" t="n">
        <x:v>7</x:v>
      </x:c>
      <x:c r="Z1130" s="6" t="str">
        <x:v>https://github.com/hagenhaeussler/Industrial-Agents-Hackathon-2026/blob/f41616590b69f3ea0c1cbfb41d6c35edd9ce53df/data/train/resplan-9204/questions_basic.jsonl#L7</x:v>
      </x:c>
      <x:c r="AA1130" s="6" t="str">
        <x:v>resplan</x:v>
      </x:c>
      <x:c r="AB1130" s="6" t="str">
        <x:v>CC-BY-4.0</x:v>
      </x:c>
    </x:row>
    <x:row r="1131" ht="82" customHeight="1">
      <x:c r="A1131" s="14" t="n">
        <x:v>1126</x:v>
      </x:c>
      <x:c r="B1131" s="6" t="str">
        <x:v>route</x:v>
      </x:c>
      <x:c r="C1131" s="6" t="str">
        <x:v>How do I get from Kitchen 0.06 (Ground floor) to Bathroom 0.05 (Ground floor)?</x:v>
      </x:c>
      <x:c r="D1131" s="6" t="str">
        <x:v>9.15 m
From: Kitchen 0.06
To: Bathroom 0.05
Ordered path (3 spaces): Kitchen 0.06 → Living room 0.01 → Bathroom 0.05</x:v>
      </x:c>
      <x:c r="E1131" s="6" t="str">
        <x:v>Reference supplied</x:v>
      </x:c>
      <x:c r="F1131" s="6" t="str">
        <x:v>train</x:v>
      </x:c>
      <x:c r="G1131" s="6" t="str">
        <x:v>resplan-9416</x:v>
      </x:c>
      <x:c r="H1131" s="6" t="str">
        <x:v>resplan-9416-Q05</x:v>
      </x:c>
      <x:c r="I1131" s="6" t="str">
        <x:v>Route planning</x:v>
      </x:c>
      <x:c r="J1131" s="6" t="str">
        <x:v>Warm-up</x:v>
      </x:c>
      <x:c r="K1131" s="6" t="str">
        <x:v>Ordered space path and directions, plus total route-model distance in metres.</x:v>
      </x:c>
      <x:c r="L1131" s="6" t="str">
        <x:v>T02, T05, T13</x:v>
      </x:c>
      <x:c r="M1131" s="6" t="str">
        <x:v>Find a valid route between two rooms, including across floors.</x:v>
      </x:c>
      <x:c r="N1131" s="6" t="str">
        <x:v>{"from_space_id":"resplan-9416-F0-S006","to_space_id":"resplan-9416-F0-S005","optimal_length_m":9.15,"space_path":["resplan-9416-F0-S006","resplan-9416-F0-S001","resplan-9416-F0-S005"],"element_path":["resplan-9416-F0-O0008","resplan-9416-F0-O0008","resplan-9416-F0-O0001","resplan-9416-F0-O0001"]}</x:v>
      </x:c>
      <x:c r="O1131" s="6"/>
      <x:c r="P1131" s="6" t="str">
        <x:v>README routing profile. Stairs and lifts allowed unless stated otherwise.</x:v>
      </x:c>
      <x:c r="Q1131" s="15" t="n">
        <x:v>9.15</x:v>
      </x:c>
      <x:c r="R1131" s="6" t="str">
        <x:v>m</x:v>
      </x:c>
      <x:c r="S1131" s="16"/>
      <x:c r="T1131" s="15"/>
      <x:c r="U1131" s="6"/>
      <x:c r="V1131" s="6"/>
      <x:c r="W1131" s="6" t="str">
        <x:v>Existing find_route and show_route implement the kit routing model.</x:v>
      </x:c>
      <x:c r="X1131" s="6" t="str">
        <x:v>data/train/resplan-9416/questions_basic.jsonl</x:v>
      </x:c>
      <x:c r="Y1131" s="14" t="n">
        <x:v>5</x:v>
      </x:c>
      <x:c r="Z1131" s="6" t="str">
        <x:v>https://github.com/hagenhaeussler/Industrial-Agents-Hackathon-2026/blob/f41616590b69f3ea0c1cbfb41d6c35edd9ce53df/data/train/resplan-9416/questions_basic.jsonl#L5</x:v>
      </x:c>
      <x:c r="AA1131" s="6" t="str">
        <x:v>resplan</x:v>
      </x:c>
      <x:c r="AB1131" s="6" t="str">
        <x:v>CC-BY-4.0</x:v>
      </x:c>
    </x:row>
    <x:row r="1132" ht="82" customHeight="1">
      <x:c r="A1132" s="14" t="n">
        <x:v>1127</x:v>
      </x:c>
      <x:c r="B1132" s="6" t="str">
        <x:v>route</x:v>
      </x:c>
      <x:c r="C1132" s="6" t="str">
        <x:v>How do I get from Bathroom 0.04 (Ground floor) to Bedroom 0.03 (Ground floor)?</x:v>
      </x:c>
      <x:c r="D1132" s="6" t="str">
        <x:v>12.09 m
From: Bathroom 0.04
To: Bedroom 0.03
Ordered path (4 spaces): Bathroom 0.04 → Bedroom 0.02 → Balcony 0.08 → Bedroom 0.03</x:v>
      </x:c>
      <x:c r="E1132" s="6" t="str">
        <x:v>Reference supplied</x:v>
      </x:c>
      <x:c r="F1132" s="6" t="str">
        <x:v>train</x:v>
      </x:c>
      <x:c r="G1132" s="6" t="str">
        <x:v>resplan-9416</x:v>
      </x:c>
      <x:c r="H1132" s="6" t="str">
        <x:v>resplan-9416-Q06</x:v>
      </x:c>
      <x:c r="I1132" s="6" t="str">
        <x:v>Route planning</x:v>
      </x:c>
      <x:c r="J1132" s="6" t="str">
        <x:v>Warm-up</x:v>
      </x:c>
      <x:c r="K1132" s="6" t="str">
        <x:v>Ordered space path and directions, plus total route-model distance in metres.</x:v>
      </x:c>
      <x:c r="L1132" s="6" t="str">
        <x:v>T02, T05, T13</x:v>
      </x:c>
      <x:c r="M1132" s="6" t="str">
        <x:v>Find a valid route between two rooms, including across floors.</x:v>
      </x:c>
      <x:c r="N1132" s="6" t="str">
        <x:v>{"from_space_id":"resplan-9416-F0-S004","to_space_id":"resplan-9416-F0-S003","optimal_length_m":12.09,"space_path":["resplan-9416-F0-S004","resplan-9416-F0-S002","resplan-9416-F0-S008","resplan-9416-F0-S003"],"element_path":["resplan-9416-F0-O0004","resplan-9416-F0-O0004","resplan-9416-F0-O0006","resplan-9416-F0-O0006","resplan-9416-F0-O0007","resplan-9416-F0-O0007"]}</x:v>
      </x:c>
      <x:c r="O1132" s="6"/>
      <x:c r="P1132" s="6" t="str">
        <x:v>README routing profile. Stairs and lifts allowed unless stated otherwise.</x:v>
      </x:c>
      <x:c r="Q1132" s="15" t="n">
        <x:v>12.09</x:v>
      </x:c>
      <x:c r="R1132" s="6" t="str">
        <x:v>m</x:v>
      </x:c>
      <x:c r="S1132" s="16"/>
      <x:c r="T1132" s="15"/>
      <x:c r="U1132" s="6"/>
      <x:c r="V1132" s="6"/>
      <x:c r="W1132" s="6" t="str">
        <x:v>Existing find_route and show_route implement the kit routing model.</x:v>
      </x:c>
      <x:c r="X1132" s="6" t="str">
        <x:v>data/train/resplan-9416/questions_basic.jsonl</x:v>
      </x:c>
      <x:c r="Y1132" s="14" t="n">
        <x:v>6</x:v>
      </x:c>
      <x:c r="Z1132" s="6" t="str">
        <x:v>https://github.com/hagenhaeussler/Industrial-Agents-Hackathon-2026/blob/f41616590b69f3ea0c1cbfb41d6c35edd9ce53df/data/train/resplan-9416/questions_basic.jsonl#L6</x:v>
      </x:c>
      <x:c r="AA1132" s="6" t="str">
        <x:v>resplan</x:v>
      </x:c>
      <x:c r="AB1132" s="6" t="str">
        <x:v>CC-BY-4.0</x:v>
      </x:c>
    </x:row>
    <x:row r="1133" ht="72" customHeight="1">
      <x:c r="A1133" s="14" t="n">
        <x:v>1128</x:v>
      </x:c>
      <x:c r="B1133" s="6" t="str">
        <x:v>route</x:v>
      </x:c>
      <x:c r="C1133" s="6" t="str">
        <x:v>How do I get from Bedroom 0.03 (Ground floor) to Kitchen 0.06 (Ground floor)?</x:v>
      </x:c>
      <x:c r="D1133" s="6" t="str">
        <x:v>10.02 m
From: Bedroom 0.03
To: Kitchen 0.06
Ordered path (3 spaces): Bedroom 0.03 → Living room 0.01 → Kitchen 0.06</x:v>
      </x:c>
      <x:c r="E1133" s="6" t="str">
        <x:v>Reference supplied</x:v>
      </x:c>
      <x:c r="F1133" s="6" t="str">
        <x:v>train</x:v>
      </x:c>
      <x:c r="G1133" s="6" t="str">
        <x:v>resplan-9416</x:v>
      </x:c>
      <x:c r="H1133" s="6" t="str">
        <x:v>resplan-9416-Q07</x:v>
      </x:c>
      <x:c r="I1133" s="6" t="str">
        <x:v>Route planning</x:v>
      </x:c>
      <x:c r="J1133" s="6" t="str">
        <x:v>Warm-up</x:v>
      </x:c>
      <x:c r="K1133" s="6" t="str">
        <x:v>Ordered space path and directions, plus total route-model distance in metres.</x:v>
      </x:c>
      <x:c r="L1133" s="6" t="str">
        <x:v>T02, T05, T13</x:v>
      </x:c>
      <x:c r="M1133" s="6" t="str">
        <x:v>Find a valid route between two rooms, including across floors.</x:v>
      </x:c>
      <x:c r="N1133" s="6" t="str">
        <x:v>{"from_space_id":"resplan-9416-F0-S003","to_space_id":"resplan-9416-F0-S006","optimal_length_m":10.02,"space_path":["resplan-9416-F0-S003","resplan-9416-F0-S001","resplan-9416-F0-S006"],"element_path":["resplan-9416-F0-O0003","resplan-9416-F0-O0003","resplan-9416-F0-O0008","resplan-9416-F0-O0008"]}</x:v>
      </x:c>
      <x:c r="O1133" s="6"/>
      <x:c r="P1133" s="6" t="str">
        <x:v>README routing profile. Stairs and lifts allowed unless stated otherwise.</x:v>
      </x:c>
      <x:c r="Q1133" s="15" t="n">
        <x:v>10.02</x:v>
      </x:c>
      <x:c r="R1133" s="6" t="str">
        <x:v>m</x:v>
      </x:c>
      <x:c r="S1133" s="16"/>
      <x:c r="T1133" s="15"/>
      <x:c r="U1133" s="6"/>
      <x:c r="V1133" s="6"/>
      <x:c r="W1133" s="6" t="str">
        <x:v>Existing find_route and show_route implement the kit routing model.</x:v>
      </x:c>
      <x:c r="X1133" s="6" t="str">
        <x:v>data/train/resplan-9416/questions_basic.jsonl</x:v>
      </x:c>
      <x:c r="Y1133" s="14" t="n">
        <x:v>7</x:v>
      </x:c>
      <x:c r="Z1133" s="6" t="str">
        <x:v>https://github.com/hagenhaeussler/Industrial-Agents-Hackathon-2026/blob/f41616590b69f3ea0c1cbfb41d6c35edd9ce53df/data/train/resplan-9416/questions_basic.jsonl#L7</x:v>
      </x:c>
      <x:c r="AA1133" s="6" t="str">
        <x:v>resplan</x:v>
      </x:c>
      <x:c r="AB1133" s="6" t="str">
        <x:v>CC-BY-4.0</x:v>
      </x:c>
    </x:row>
    <x:row r="1134" ht="72" customHeight="1">
      <x:c r="A1134" s="14" t="n">
        <x:v>1129</x:v>
      </x:c>
      <x:c r="B1134" s="6" t="str">
        <x:v>route</x:v>
      </x:c>
      <x:c r="C1134" s="6" t="str">
        <x:v>How do I get from Bedroom 0.03 (Ground floor) to Bedroom 0.04 (Ground floor)?</x:v>
      </x:c>
      <x:c r="D1134" s="6" t="str">
        <x:v>14.71 m
From: Bedroom 0.03
To: Bedroom 0.04
Ordered path (3 spaces): Bedroom 0.03 → Living room 0.01 → Bedroom 0.04</x:v>
      </x:c>
      <x:c r="E1134" s="6" t="str">
        <x:v>Reference supplied</x:v>
      </x:c>
      <x:c r="F1134" s="6" t="str">
        <x:v>train</x:v>
      </x:c>
      <x:c r="G1134" s="6" t="str">
        <x:v>resplan-9515</x:v>
      </x:c>
      <x:c r="H1134" s="6" t="str">
        <x:v>resplan-9515-Q05</x:v>
      </x:c>
      <x:c r="I1134" s="6" t="str">
        <x:v>Route planning</x:v>
      </x:c>
      <x:c r="J1134" s="6" t="str">
        <x:v>Warm-up</x:v>
      </x:c>
      <x:c r="K1134" s="6" t="str">
        <x:v>Ordered space path and directions, plus total route-model distance in metres.</x:v>
      </x:c>
      <x:c r="L1134" s="6" t="str">
        <x:v>T02, T05, T13</x:v>
      </x:c>
      <x:c r="M1134" s="6" t="str">
        <x:v>Find a valid route between two rooms, including across floors.</x:v>
      </x:c>
      <x:c r="N1134" s="6" t="str">
        <x:v>{"from_space_id":"resplan-9515-F0-S003","to_space_id":"resplan-9515-F0-S004","optimal_length_m":14.71,"space_path":["resplan-9515-F0-S003","resplan-9515-F0-S001","resplan-9515-F0-S004"],"element_path":["resplan-9515-F0-O0005","resplan-9515-F0-O0005","resplan-9515-F0-O0006","resplan-9515-F0-O0006"]}</x:v>
      </x:c>
      <x:c r="O1134" s="6"/>
      <x:c r="P1134" s="6" t="str">
        <x:v>README routing profile. Stairs and lifts allowed unless stated otherwise.</x:v>
      </x:c>
      <x:c r="Q1134" s="15" t="n">
        <x:v>14.71</x:v>
      </x:c>
      <x:c r="R1134" s="6" t="str">
        <x:v>m</x:v>
      </x:c>
      <x:c r="S1134" s="16"/>
      <x:c r="T1134" s="15"/>
      <x:c r="U1134" s="6"/>
      <x:c r="V1134" s="6"/>
      <x:c r="W1134" s="6" t="str">
        <x:v>Existing find_route and show_route implement the kit routing model.</x:v>
      </x:c>
      <x:c r="X1134" s="6" t="str">
        <x:v>data/train/resplan-9515/questions_basic.jsonl</x:v>
      </x:c>
      <x:c r="Y1134" s="14" t="n">
        <x:v>5</x:v>
      </x:c>
      <x:c r="Z1134" s="6" t="str">
        <x:v>https://github.com/hagenhaeussler/Industrial-Agents-Hackathon-2026/blob/f41616590b69f3ea0c1cbfb41d6c35edd9ce53df/data/train/resplan-9515/questions_basic.jsonl#L5</x:v>
      </x:c>
      <x:c r="AA1134" s="6" t="str">
        <x:v>resplan</x:v>
      </x:c>
      <x:c r="AB1134" s="6" t="str">
        <x:v>CC-BY-4.0</x:v>
      </x:c>
    </x:row>
    <x:row r="1135" ht="82" customHeight="1">
      <x:c r="A1135" s="14" t="n">
        <x:v>1130</x:v>
      </x:c>
      <x:c r="B1135" s="6" t="str">
        <x:v>route</x:v>
      </x:c>
      <x:c r="C1135" s="6" t="str">
        <x:v>How do I get from Bathroom 0.06 (Ground floor) to Bedroom 0.04 (Ground floor)?</x:v>
      </x:c>
      <x:c r="D1135" s="6" t="str">
        <x:v>13.2 m
From: Bathroom 0.06
To: Bedroom 0.04
Ordered path (3 spaces): Bathroom 0.06 → Living room 0.01 → Bedroom 0.04</x:v>
      </x:c>
      <x:c r="E1135" s="6" t="str">
        <x:v>Reference supplied</x:v>
      </x:c>
      <x:c r="F1135" s="6" t="str">
        <x:v>train</x:v>
      </x:c>
      <x:c r="G1135" s="6" t="str">
        <x:v>resplan-9515</x:v>
      </x:c>
      <x:c r="H1135" s="6" t="str">
        <x:v>resplan-9515-Q06</x:v>
      </x:c>
      <x:c r="I1135" s="6" t="str">
        <x:v>Route planning</x:v>
      </x:c>
      <x:c r="J1135" s="6" t="str">
        <x:v>Warm-up</x:v>
      </x:c>
      <x:c r="K1135" s="6" t="str">
        <x:v>Ordered space path and directions, plus total route-model distance in metres.</x:v>
      </x:c>
      <x:c r="L1135" s="6" t="str">
        <x:v>T02, T05, T13</x:v>
      </x:c>
      <x:c r="M1135" s="6" t="str">
        <x:v>Find a valid route between two rooms, including across floors.</x:v>
      </x:c>
      <x:c r="N1135" s="6" t="str">
        <x:v>{"from_space_id":"resplan-9515-F0-S006","to_space_id":"resplan-9515-F0-S004","optimal_length_m":13.2,"space_path":["resplan-9515-F0-S006","resplan-9515-F0-S001","resplan-9515-F0-S004"],"element_path":["resplan-9515-F0-O0004","resplan-9515-F0-O0004","resplan-9515-F0-O0006","resplan-9515-F0-O0006"]}</x:v>
      </x:c>
      <x:c r="O1135" s="6"/>
      <x:c r="P1135" s="6" t="str">
        <x:v>README routing profile. Stairs and lifts allowed unless stated otherwise.</x:v>
      </x:c>
      <x:c r="Q1135" s="15" t="n">
        <x:v>13.2</x:v>
      </x:c>
      <x:c r="R1135" s="6" t="str">
        <x:v>m</x:v>
      </x:c>
      <x:c r="S1135" s="16"/>
      <x:c r="T1135" s="15"/>
      <x:c r="U1135" s="6"/>
      <x:c r="V1135" s="6"/>
      <x:c r="W1135" s="6" t="str">
        <x:v>Existing find_route and show_route implement the kit routing model.</x:v>
      </x:c>
      <x:c r="X1135" s="6" t="str">
        <x:v>data/train/resplan-9515/questions_basic.jsonl</x:v>
      </x:c>
      <x:c r="Y1135" s="14" t="n">
        <x:v>6</x:v>
      </x:c>
      <x:c r="Z1135" s="6" t="str">
        <x:v>https://github.com/hagenhaeussler/Industrial-Agents-Hackathon-2026/blob/f41616590b69f3ea0c1cbfb41d6c35edd9ce53df/data/train/resplan-9515/questions_basic.jsonl#L6</x:v>
      </x:c>
      <x:c r="AA1135" s="6" t="str">
        <x:v>resplan</x:v>
      </x:c>
      <x:c r="AB1135" s="6" t="str">
        <x:v>CC-BY-4.0</x:v>
      </x:c>
    </x:row>
    <x:row r="1136" ht="72" customHeight="1">
      <x:c r="A1136" s="14" t="n">
        <x:v>1131</x:v>
      </x:c>
      <x:c r="B1136" s="6" t="str">
        <x:v>route</x:v>
      </x:c>
      <x:c r="C1136" s="6" t="str">
        <x:v>How do I get from Kitchen 0.07 (Ground floor) to Bedroom 0.02 (Ground floor)?</x:v>
      </x:c>
      <x:c r="D1136" s="6" t="str">
        <x:v>14.17 m
From: Kitchen 0.07
To: Bedroom 0.02
Ordered path (3 spaces): Kitchen 0.07 → Living room 0.01 → Bedroom 0.02</x:v>
      </x:c>
      <x:c r="E1136" s="6" t="str">
        <x:v>Reference supplied</x:v>
      </x:c>
      <x:c r="F1136" s="6" t="str">
        <x:v>train</x:v>
      </x:c>
      <x:c r="G1136" s="6" t="str">
        <x:v>resplan-9515</x:v>
      </x:c>
      <x:c r="H1136" s="6" t="str">
        <x:v>resplan-9515-Q07</x:v>
      </x:c>
      <x:c r="I1136" s="6" t="str">
        <x:v>Route planning</x:v>
      </x:c>
      <x:c r="J1136" s="6" t="str">
        <x:v>Warm-up</x:v>
      </x:c>
      <x:c r="K1136" s="6" t="str">
        <x:v>Ordered space path and directions, plus total route-model distance in metres.</x:v>
      </x:c>
      <x:c r="L1136" s="6" t="str">
        <x:v>T02, T05, T13</x:v>
      </x:c>
      <x:c r="M1136" s="6" t="str">
        <x:v>Find a valid route between two rooms, including across floors.</x:v>
      </x:c>
      <x:c r="N1136" s="6" t="str">
        <x:v>{"from_space_id":"resplan-9515-F0-S007","to_space_id":"resplan-9515-F0-S002","optimal_length_m":14.17,"space_path":["resplan-9515-F0-S007","resplan-9515-F0-S001","resplan-9515-F0-S002"],"element_path":["resplan-9515-F0-O0008","resplan-9515-F0-O0008","resplan-9515-F0-O0002","resplan-9515-F0-O0002"]}</x:v>
      </x:c>
      <x:c r="O1136" s="6"/>
      <x:c r="P1136" s="6" t="str">
        <x:v>README routing profile. Stairs and lifts allowed unless stated otherwise.</x:v>
      </x:c>
      <x:c r="Q1136" s="15" t="n">
        <x:v>14.17</x:v>
      </x:c>
      <x:c r="R1136" s="6" t="str">
        <x:v>m</x:v>
      </x:c>
      <x:c r="S1136" s="16"/>
      <x:c r="T1136" s="15"/>
      <x:c r="U1136" s="6"/>
      <x:c r="V1136" s="6"/>
      <x:c r="W1136" s="6" t="str">
        <x:v>Existing find_route and show_route implement the kit routing model.</x:v>
      </x:c>
      <x:c r="X1136" s="6" t="str">
        <x:v>data/train/resplan-9515/questions_basic.jsonl</x:v>
      </x:c>
      <x:c r="Y1136" s="14" t="n">
        <x:v>7</x:v>
      </x:c>
      <x:c r="Z1136" s="6" t="str">
        <x:v>https://github.com/hagenhaeussler/Industrial-Agents-Hackathon-2026/blob/f41616590b69f3ea0c1cbfb41d6c35edd9ce53df/data/train/resplan-9515/questions_basic.jsonl#L7</x:v>
      </x:c>
      <x:c r="AA1136" s="6" t="str">
        <x:v>resplan</x:v>
      </x:c>
      <x:c r="AB1136" s="6" t="str">
        <x:v>CC-BY-4.0</x:v>
      </x:c>
    </x:row>
    <x:row r="1137" ht="72" customHeight="1">
      <x:c r="A1137" s="14" t="n">
        <x:v>1132</x:v>
      </x:c>
      <x:c r="B1137" s="6" t="str">
        <x:v>route</x:v>
      </x:c>
      <x:c r="C1137" s="6" t="str">
        <x:v>How do I get from Bedroom 0.03 (Ground floor) to Bedroom 0.04 (Ground floor)?</x:v>
      </x:c>
      <x:c r="D1137" s="6" t="str">
        <x:v>13.73 m
From: Bedroom 0.03
To: Bedroom 0.04
Ordered path (3 spaces): Bedroom 0.03 → Living room 0.01 → Bedroom 0.04</x:v>
      </x:c>
      <x:c r="E1137" s="6" t="str">
        <x:v>Reference supplied</x:v>
      </x:c>
      <x:c r="F1137" s="6" t="str">
        <x:v>train</x:v>
      </x:c>
      <x:c r="G1137" s="6" t="str">
        <x:v>resplan-9809</x:v>
      </x:c>
      <x:c r="H1137" s="6" t="str">
        <x:v>resplan-9809-Q05</x:v>
      </x:c>
      <x:c r="I1137" s="6" t="str">
        <x:v>Route planning</x:v>
      </x:c>
      <x:c r="J1137" s="6" t="str">
        <x:v>Warm-up</x:v>
      </x:c>
      <x:c r="K1137" s="6" t="str">
        <x:v>Ordered space path and directions, plus total route-model distance in metres.</x:v>
      </x:c>
      <x:c r="L1137" s="6" t="str">
        <x:v>T02, T05, T13</x:v>
      </x:c>
      <x:c r="M1137" s="6" t="str">
        <x:v>Find a valid route between two rooms, including across floors.</x:v>
      </x:c>
      <x:c r="N1137" s="6" t="str">
        <x:v>{"from_space_id":"resplan-9809-F0-S003","to_space_id":"resplan-9809-F0-S004","optimal_length_m":13.73,"space_path":["resplan-9809-F0-S003","resplan-9809-F0-S001","resplan-9809-F0-S004"],"element_path":["resplan-9809-F0-O0002","resplan-9809-F0-O0002","resplan-9809-F0-O0007","resplan-9809-F0-O0007"]}</x:v>
      </x:c>
      <x:c r="O1137" s="6"/>
      <x:c r="P1137" s="6" t="str">
        <x:v>README routing profile. Stairs and lifts allowed unless stated otherwise.</x:v>
      </x:c>
      <x:c r="Q1137" s="15" t="n">
        <x:v>13.73</x:v>
      </x:c>
      <x:c r="R1137" s="6" t="str">
        <x:v>m</x:v>
      </x:c>
      <x:c r="S1137" s="16"/>
      <x:c r="T1137" s="15"/>
      <x:c r="U1137" s="6"/>
      <x:c r="V1137" s="6"/>
      <x:c r="W1137" s="6" t="str">
        <x:v>Existing find_route and show_route implement the kit routing model.</x:v>
      </x:c>
      <x:c r="X1137" s="6" t="str">
        <x:v>data/train/resplan-9809/questions_basic.jsonl</x:v>
      </x:c>
      <x:c r="Y1137" s="14" t="n">
        <x:v>5</x:v>
      </x:c>
      <x:c r="Z1137" s="6" t="str">
        <x:v>https://github.com/hagenhaeussler/Industrial-Agents-Hackathon-2026/blob/f41616590b69f3ea0c1cbfb41d6c35edd9ce53df/data/train/resplan-9809/questions_basic.jsonl#L5</x:v>
      </x:c>
      <x:c r="AA1137" s="6" t="str">
        <x:v>resplan</x:v>
      </x:c>
      <x:c r="AB1137" s="6" t="str">
        <x:v>CC-BY-4.0</x:v>
      </x:c>
    </x:row>
    <x:row r="1138" ht="82" customHeight="1">
      <x:c r="A1138" s="14" t="n">
        <x:v>1133</x:v>
      </x:c>
      <x:c r="B1138" s="6" t="str">
        <x:v>route</x:v>
      </x:c>
      <x:c r="C1138" s="6" t="str">
        <x:v>How do I get from Bedroom 0.02 (Ground floor) to Bathroom 0.05 (Ground floor)?</x:v>
      </x:c>
      <x:c r="D1138" s="6" t="str">
        <x:v>8.81 m
From: Bedroom 0.02
To: Bathroom 0.05
Ordered path (3 spaces): Bedroom 0.02 → Living room 0.01 → Bathroom 0.05</x:v>
      </x:c>
      <x:c r="E1138" s="6" t="str">
        <x:v>Reference supplied</x:v>
      </x:c>
      <x:c r="F1138" s="6" t="str">
        <x:v>train</x:v>
      </x:c>
      <x:c r="G1138" s="6" t="str">
        <x:v>resplan-9809</x:v>
      </x:c>
      <x:c r="H1138" s="6" t="str">
        <x:v>resplan-9809-Q06</x:v>
      </x:c>
      <x:c r="I1138" s="6" t="str">
        <x:v>Route planning</x:v>
      </x:c>
      <x:c r="J1138" s="6" t="str">
        <x:v>Warm-up</x:v>
      </x:c>
      <x:c r="K1138" s="6" t="str">
        <x:v>Ordered space path and directions, plus total route-model distance in metres.</x:v>
      </x:c>
      <x:c r="L1138" s="6" t="str">
        <x:v>T02, T05, T13</x:v>
      </x:c>
      <x:c r="M1138" s="6" t="str">
        <x:v>Find a valid route between two rooms, including across floors.</x:v>
      </x:c>
      <x:c r="N1138" s="6" t="str">
        <x:v>{"from_space_id":"resplan-9809-F0-S002","to_space_id":"resplan-9809-F0-S005","optimal_length_m":8.81,"space_path":["resplan-9809-F0-S002","resplan-9809-F0-S001","resplan-9809-F0-S005"],"element_path":["resplan-9809-F0-O0003","resplan-9809-F0-O0003","resplan-9809-F0-O0004","resplan-9809-F0-O0004"]}</x:v>
      </x:c>
      <x:c r="O1138" s="6"/>
      <x:c r="P1138" s="6" t="str">
        <x:v>README routing profile. Stairs and lifts allowed unless stated otherwise.</x:v>
      </x:c>
      <x:c r="Q1138" s="15" t="n">
        <x:v>8.81</x:v>
      </x:c>
      <x:c r="R1138" s="6" t="str">
        <x:v>m</x:v>
      </x:c>
      <x:c r="S1138" s="16"/>
      <x:c r="T1138" s="15"/>
      <x:c r="U1138" s="6"/>
      <x:c r="V1138" s="6"/>
      <x:c r="W1138" s="6" t="str">
        <x:v>Existing find_route and show_route implement the kit routing model.</x:v>
      </x:c>
      <x:c r="X1138" s="6" t="str">
        <x:v>data/train/resplan-9809/questions_basic.jsonl</x:v>
      </x:c>
      <x:c r="Y1138" s="14" t="n">
        <x:v>6</x:v>
      </x:c>
      <x:c r="Z1138" s="6" t="str">
        <x:v>https://github.com/hagenhaeussler/Industrial-Agents-Hackathon-2026/blob/f41616590b69f3ea0c1cbfb41d6c35edd9ce53df/data/train/resplan-9809/questions_basic.jsonl#L6</x:v>
      </x:c>
      <x:c r="AA1138" s="6" t="str">
        <x:v>resplan</x:v>
      </x:c>
      <x:c r="AB1138" s="6" t="str">
        <x:v>CC-BY-4.0</x:v>
      </x:c>
    </x:row>
    <x:row r="1139" ht="72" customHeight="1">
      <x:c r="A1139" s="14" t="n">
        <x:v>1134</x:v>
      </x:c>
      <x:c r="B1139" s="6" t="str">
        <x:v>route</x:v>
      </x:c>
      <x:c r="C1139" s="6" t="str">
        <x:v>How do I get from Bedroom 0.02 (Ground floor) to Bedroom 0.03 (Ground floor)?</x:v>
      </x:c>
      <x:c r="D1139" s="6" t="str">
        <x:v>10.02 m
From: Bedroom 0.02
To: Bedroom 0.03
Ordered path (3 spaces): Bedroom 0.02 → Living room 0.01 → Bedroom 0.03</x:v>
      </x:c>
      <x:c r="E1139" s="6" t="str">
        <x:v>Reference supplied</x:v>
      </x:c>
      <x:c r="F1139" s="6" t="str">
        <x:v>train</x:v>
      </x:c>
      <x:c r="G1139" s="6" t="str">
        <x:v>resplan-9809</x:v>
      </x:c>
      <x:c r="H1139" s="6" t="str">
        <x:v>resplan-9809-Q07</x:v>
      </x:c>
      <x:c r="I1139" s="6" t="str">
        <x:v>Route planning</x:v>
      </x:c>
      <x:c r="J1139" s="6" t="str">
        <x:v>Warm-up</x:v>
      </x:c>
      <x:c r="K1139" s="6" t="str">
        <x:v>Ordered space path and directions, plus total route-model distance in metres.</x:v>
      </x:c>
      <x:c r="L1139" s="6" t="str">
        <x:v>T02, T05, T13</x:v>
      </x:c>
      <x:c r="M1139" s="6" t="str">
        <x:v>Find a valid route between two rooms, including across floors.</x:v>
      </x:c>
      <x:c r="N1139" s="6" t="str">
        <x:v>{"from_space_id":"resplan-9809-F0-S002","to_space_id":"resplan-9809-F0-S003","optimal_length_m":10.02,"space_path":["resplan-9809-F0-S002","resplan-9809-F0-S001","resplan-9809-F0-S003"],"element_path":["resplan-9809-F0-O0003","resplan-9809-F0-O0003","resplan-9809-F0-O0002","resplan-9809-F0-O0002"]}</x:v>
      </x:c>
      <x:c r="O1139" s="6"/>
      <x:c r="P1139" s="6" t="str">
        <x:v>README routing profile. Stairs and lifts allowed unless stated otherwise.</x:v>
      </x:c>
      <x:c r="Q1139" s="15" t="n">
        <x:v>10.02</x:v>
      </x:c>
      <x:c r="R1139" s="6" t="str">
        <x:v>m</x:v>
      </x:c>
      <x:c r="S1139" s="16"/>
      <x:c r="T1139" s="15"/>
      <x:c r="U1139" s="6"/>
      <x:c r="V1139" s="6"/>
      <x:c r="W1139" s="6" t="str">
        <x:v>Existing find_route and show_route implement the kit routing model.</x:v>
      </x:c>
      <x:c r="X1139" s="6" t="str">
        <x:v>data/train/resplan-9809/questions_basic.jsonl</x:v>
      </x:c>
      <x:c r="Y1139" s="14" t="n">
        <x:v>7</x:v>
      </x:c>
      <x:c r="Z1139" s="6" t="str">
        <x:v>https://github.com/hagenhaeussler/Industrial-Agents-Hackathon-2026/blob/f41616590b69f3ea0c1cbfb41d6c35edd9ce53df/data/train/resplan-9809/questions_basic.jsonl#L7</x:v>
      </x:c>
      <x:c r="AA1139" s="6" t="str">
        <x:v>resplan</x:v>
      </x:c>
      <x:c r="AB1139" s="6" t="str">
        <x:v>CC-BY-4.0</x:v>
      </x:c>
    </x:row>
    <x:row r="1140" ht="72" customHeight="1">
      <x:c r="A1140" s="14" t="n">
        <x:v>1135</x:v>
      </x:c>
      <x:c r="B1140" s="6" t="str">
        <x:v>route</x:v>
      </x:c>
      <x:c r="C1140" s="6" t="str">
        <x:v>How do I get from Bathroom 0.05 (Ground floor) to Bedroom 0.03 (Ground floor)?</x:v>
      </x:c>
      <x:c r="D1140" s="6" t="str">
        <x:v>4.39 m
From: Bathroom 0.05
To: Bedroom 0.03
Ordered path (2 spaces): Bathroom 0.05 → Bedroom 0.03</x:v>
      </x:c>
      <x:c r="E1140" s="6" t="str">
        <x:v>Reference supplied</x:v>
      </x:c>
      <x:c r="F1140" s="6" t="str">
        <x:v>train</x:v>
      </x:c>
      <x:c r="G1140" s="6" t="str">
        <x:v>resplan-9872</x:v>
      </x:c>
      <x:c r="H1140" s="6" t="str">
        <x:v>resplan-9872-Q05</x:v>
      </x:c>
      <x:c r="I1140" s="6" t="str">
        <x:v>Route planning</x:v>
      </x:c>
      <x:c r="J1140" s="6" t="str">
        <x:v>Warm-up</x:v>
      </x:c>
      <x:c r="K1140" s="6" t="str">
        <x:v>Ordered space path and directions, plus total route-model distance in metres.</x:v>
      </x:c>
      <x:c r="L1140" s="6" t="str">
        <x:v>T02, T05, T13</x:v>
      </x:c>
      <x:c r="M1140" s="6" t="str">
        <x:v>Find a valid route between two rooms, including across floors.</x:v>
      </x:c>
      <x:c r="N1140" s="6" t="str">
        <x:v>{"from_space_id":"resplan-9872-F0-S005","to_space_id":"resplan-9872-F0-S003","optimal_length_m":4.39,"space_path":["resplan-9872-F0-S005","resplan-9872-F0-S003"],"element_path":["resplan-9872-F0-O0004","resplan-9872-F0-O0004"]}</x:v>
      </x:c>
      <x:c r="O1140" s="6"/>
      <x:c r="P1140" s="6" t="str">
        <x:v>README routing profile. Stairs and lifts allowed unless stated otherwise.</x:v>
      </x:c>
      <x:c r="Q1140" s="15" t="n">
        <x:v>4.39</x:v>
      </x:c>
      <x:c r="R1140" s="6" t="str">
        <x:v>m</x:v>
      </x:c>
      <x:c r="S1140" s="16"/>
      <x:c r="T1140" s="15"/>
      <x:c r="U1140" s="6"/>
      <x:c r="V1140" s="6"/>
      <x:c r="W1140" s="6" t="str">
        <x:v>Existing find_route and show_route implement the kit routing model.</x:v>
      </x:c>
      <x:c r="X1140" s="6" t="str">
        <x:v>data/train/resplan-9872/questions_basic.jsonl</x:v>
      </x:c>
      <x:c r="Y1140" s="14" t="n">
        <x:v>5</x:v>
      </x:c>
      <x:c r="Z1140" s="6" t="str">
        <x:v>https://github.com/hagenhaeussler/Industrial-Agents-Hackathon-2026/blob/f41616590b69f3ea0c1cbfb41d6c35edd9ce53df/data/train/resplan-9872/questions_basic.jsonl#L5</x:v>
      </x:c>
      <x:c r="AA1140" s="6" t="str">
        <x:v>resplan</x:v>
      </x:c>
      <x:c r="AB1140" s="6" t="str">
        <x:v>CC-BY-4.0</x:v>
      </x:c>
    </x:row>
    <x:row r="1141" ht="72" customHeight="1">
      <x:c r="A1141" s="14" t="n">
        <x:v>1136</x:v>
      </x:c>
      <x:c r="B1141" s="6" t="str">
        <x:v>route</x:v>
      </x:c>
      <x:c r="C1141" s="6" t="str">
        <x:v>How do I get from Bathroom 0.04 (Ground floor) to Living room 0.01 (Ground floor)?</x:v>
      </x:c>
      <x:c r="D1141" s="6" t="str">
        <x:v>5.21 m
From: Bathroom 0.04
To: Living room 0.01
Ordered path (2 spaces): Bathroom 0.04 → Living room 0.01</x:v>
      </x:c>
      <x:c r="E1141" s="6" t="str">
        <x:v>Reference supplied</x:v>
      </x:c>
      <x:c r="F1141" s="6" t="str">
        <x:v>train</x:v>
      </x:c>
      <x:c r="G1141" s="6" t="str">
        <x:v>resplan-9872</x:v>
      </x:c>
      <x:c r="H1141" s="6" t="str">
        <x:v>resplan-9872-Q06</x:v>
      </x:c>
      <x:c r="I1141" s="6" t="str">
        <x:v>Route planning</x:v>
      </x:c>
      <x:c r="J1141" s="6" t="str">
        <x:v>Warm-up</x:v>
      </x:c>
      <x:c r="K1141" s="6" t="str">
        <x:v>Ordered space path and directions, plus total route-model distance in metres.</x:v>
      </x:c>
      <x:c r="L1141" s="6" t="str">
        <x:v>T02, T05, T13</x:v>
      </x:c>
      <x:c r="M1141" s="6" t="str">
        <x:v>Find a valid route between two rooms, including across floors.</x:v>
      </x:c>
      <x:c r="N1141" s="6" t="str">
        <x:v>{"from_space_id":"resplan-9872-F0-S004","to_space_id":"resplan-9872-F0-S001","optimal_length_m":5.21,"space_path":["resplan-9872-F0-S004","resplan-9872-F0-S001"],"element_path":["resplan-9872-F0-O0002","resplan-9872-F0-O0002"]}</x:v>
      </x:c>
      <x:c r="O1141" s="6"/>
      <x:c r="P1141" s="6" t="str">
        <x:v>README routing profile. Stairs and lifts allowed unless stated otherwise.</x:v>
      </x:c>
      <x:c r="Q1141" s="15" t="n">
        <x:v>5.21</x:v>
      </x:c>
      <x:c r="R1141" s="6" t="str">
        <x:v>m</x:v>
      </x:c>
      <x:c r="S1141" s="16"/>
      <x:c r="T1141" s="15"/>
      <x:c r="U1141" s="6"/>
      <x:c r="V1141" s="6"/>
      <x:c r="W1141" s="6" t="str">
        <x:v>Existing find_route and show_route implement the kit routing model.</x:v>
      </x:c>
      <x:c r="X1141" s="6" t="str">
        <x:v>data/train/resplan-9872/questions_basic.jsonl</x:v>
      </x:c>
      <x:c r="Y1141" s="14" t="n">
        <x:v>6</x:v>
      </x:c>
      <x:c r="Z1141" s="6" t="str">
        <x:v>https://github.com/hagenhaeussler/Industrial-Agents-Hackathon-2026/blob/f41616590b69f3ea0c1cbfb41d6c35edd9ce53df/data/train/resplan-9872/questions_basic.jsonl#L6</x:v>
      </x:c>
      <x:c r="AA1141" s="6" t="str">
        <x:v>resplan</x:v>
      </x:c>
      <x:c r="AB1141" s="6" t="str">
        <x:v>CC-BY-4.0</x:v>
      </x:c>
    </x:row>
    <x:row r="1142" ht="72" customHeight="1">
      <x:c r="A1142" s="14" t="n">
        <x:v>1137</x:v>
      </x:c>
      <x:c r="B1142" s="6" t="str">
        <x:v>route</x:v>
      </x:c>
      <x:c r="C1142" s="6" t="str">
        <x:v>How do I get from Living room 0.01 (Ground floor) to Bathroom 0.04 (Ground floor)?</x:v>
      </x:c>
      <x:c r="D1142" s="6" t="str">
        <x:v>5.21 m
From: Living room 0.01
To: Bathroom 0.04
Ordered path (2 spaces): Living room 0.01 → Bathroom 0.04</x:v>
      </x:c>
      <x:c r="E1142" s="6" t="str">
        <x:v>Reference supplied</x:v>
      </x:c>
      <x:c r="F1142" s="6" t="str">
        <x:v>train</x:v>
      </x:c>
      <x:c r="G1142" s="6" t="str">
        <x:v>resplan-9872</x:v>
      </x:c>
      <x:c r="H1142" s="6" t="str">
        <x:v>resplan-9872-Q07</x:v>
      </x:c>
      <x:c r="I1142" s="6" t="str">
        <x:v>Route planning</x:v>
      </x:c>
      <x:c r="J1142" s="6" t="str">
        <x:v>Warm-up</x:v>
      </x:c>
      <x:c r="K1142" s="6" t="str">
        <x:v>Ordered space path and directions, plus total route-model distance in metres.</x:v>
      </x:c>
      <x:c r="L1142" s="6" t="str">
        <x:v>T02, T05, T13</x:v>
      </x:c>
      <x:c r="M1142" s="6" t="str">
        <x:v>Find a valid route between two rooms, including across floors.</x:v>
      </x:c>
      <x:c r="N1142" s="6" t="str">
        <x:v>{"from_space_id":"resplan-9872-F0-S001","to_space_id":"resplan-9872-F0-S004","optimal_length_m":5.21,"space_path":["resplan-9872-F0-S001","resplan-9872-F0-S004"],"element_path":["resplan-9872-F0-O0002","resplan-9872-F0-O0002"]}</x:v>
      </x:c>
      <x:c r="O1142" s="6"/>
      <x:c r="P1142" s="6" t="str">
        <x:v>README routing profile. Stairs and lifts allowed unless stated otherwise.</x:v>
      </x:c>
      <x:c r="Q1142" s="15" t="n">
        <x:v>5.21</x:v>
      </x:c>
      <x:c r="R1142" s="6" t="str">
        <x:v>m</x:v>
      </x:c>
      <x:c r="S1142" s="16"/>
      <x:c r="T1142" s="15"/>
      <x:c r="U1142" s="6"/>
      <x:c r="V1142" s="6"/>
      <x:c r="W1142" s="6" t="str">
        <x:v>Existing find_route and show_route implement the kit routing model.</x:v>
      </x:c>
      <x:c r="X1142" s="6" t="str">
        <x:v>data/train/resplan-9872/questions_basic.jsonl</x:v>
      </x:c>
      <x:c r="Y1142" s="14" t="n">
        <x:v>7</x:v>
      </x:c>
      <x:c r="Z1142" s="6" t="str">
        <x:v>https://github.com/hagenhaeussler/Industrial-Agents-Hackathon-2026/blob/f41616590b69f3ea0c1cbfb41d6c35edd9ce53df/data/train/resplan-9872/questions_basic.jsonl#L7</x:v>
      </x:c>
      <x:c r="AA1142" s="6" t="str">
        <x:v>resplan</x:v>
      </x:c>
      <x:c r="AB1142" s="6" t="str">
        <x:v>CC-BY-4.0</x:v>
      </x:c>
    </x:row>
    <x:row r="1143" ht="96" customHeight="1">
      <x:c r="A1143" s="14" t="n">
        <x:v>1138</x:v>
      </x:c>
      <x:c r="B1143" s="6" t="str">
        <x:v>route</x:v>
      </x:c>
      <x:c r="C1143" s="6" t="str">
        <x:v>How do I get from Bedroom 1.11 (apartment 4) (Floor 1) to Living room 2.10 (apartment 6) (Floor 2)?</x:v>
      </x:c>
      <x:c r="D1143" s="6" t="str">
        <x:v>27.26 m
From: Bedroom 1.11 (apartment 4)
To: Living room 2.10 (apartment 6)
Ordered path (6 spaces): Bedroom 1.11 (apartment 4) → Corridor 1.13 (apartment 4) → Landing 1.17 → Landing 2.17 → Corridor 2.09 (apartment 6) → Living room 2.10 (apartment 6)</x:v>
      </x:c>
      <x:c r="E1143" s="6" t="str">
        <x:v>Reference supplied</x:v>
      </x:c>
      <x:c r="F1143" s="6" t="str">
        <x:v>train</x:v>
      </x:c>
      <x:c r="G1143" s="6" t="str">
        <x:v>swiss-1075</x:v>
      </x:c>
      <x:c r="H1143" s="6" t="str">
        <x:v>swiss-1075-Q05</x:v>
      </x:c>
      <x:c r="I1143" s="6" t="str">
        <x:v>Route planning</x:v>
      </x:c>
      <x:c r="J1143" s="6" t="str">
        <x:v>Warm-up</x:v>
      </x:c>
      <x:c r="K1143" s="6" t="str">
        <x:v>Ordered space path and directions, plus total route-model distance in metres.</x:v>
      </x:c>
      <x:c r="L1143" s="6" t="str">
        <x:v>T02, T05, T13</x:v>
      </x:c>
      <x:c r="M1143" s="6" t="str">
        <x:v>Find a valid route between two rooms, including across floors.</x:v>
      </x:c>
      <x:c r="N1143" s="6" t="str">
        <x:v>{"from_space_id":"swiss-1075-F1-S011","to_space_id":"swiss-1075-F2-S010","optimal_length_m":27.26,"space_path":["swiss-1075-F1-S011","swiss-1075-F1-S013","swiss-1075-F1-S017","swiss-1075-F2-S017","swiss-1075-F2-S009","swiss-1075-F2-S010"],"element_path":["swiss-1075-F1-O0026","swiss-1075-F1-O0026","swiss-1075-F1-O0027","swiss-1075-F1-O0027","swiss-1075-V01","swiss-1075-F2-O0036","swiss-1075-F2-O0036","swiss-1075-F2-O0045","swiss-1075-F2-O0045"]}</x:v>
      </x:c>
      <x:c r="O1143" s="6"/>
      <x:c r="P1143" s="6" t="str">
        <x:v>README routing profile. Stairs and lifts allowed unless stated otherwise.</x:v>
      </x:c>
      <x:c r="Q1143" s="15" t="n">
        <x:v>27.26</x:v>
      </x:c>
      <x:c r="R1143" s="6" t="str">
        <x:v>m</x:v>
      </x:c>
      <x:c r="S1143" s="16"/>
      <x:c r="T1143" s="15"/>
      <x:c r="U1143" s="6"/>
      <x:c r="V1143" s="6"/>
      <x:c r="W1143" s="6" t="str">
        <x:v>Existing find_route and show_route implement the kit routing model.</x:v>
      </x:c>
      <x:c r="X1143" s="6" t="str">
        <x:v>data/train/swiss-1075/questions_basic.jsonl</x:v>
      </x:c>
      <x:c r="Y1143" s="14" t="n">
        <x:v>5</x:v>
      </x:c>
      <x:c r="Z1143" s="6" t="str">
        <x:v>https://github.com/hagenhaeussler/Industrial-Agents-Hackathon-2026/blob/f41616590b69f3ea0c1cbfb41d6c35edd9ce53df/data/train/swiss-1075/questions_basic.jsonl#L5</x:v>
      </x:c>
      <x:c r="AA1143" s="6" t="str">
        <x:v>swiss_dwellings</x:v>
      </x:c>
      <x:c r="AB1143" s="6" t="str">
        <x:v>CC-BY-4.0</x:v>
      </x:c>
    </x:row>
    <x:row r="1144" ht="96" customHeight="1">
      <x:c r="A1144" s="14" t="n">
        <x:v>1139</x:v>
      </x:c>
      <x:c r="B1144" s="6" t="str">
        <x:v>route</x:v>
      </x:c>
      <x:c r="C1144" s="6" t="str">
        <x:v>How do I get from Living room 2.07 (apartment 5) (Floor 2) to Bedroom 2.05 (apartment 5) (Floor 2)?</x:v>
      </x:c>
      <x:c r="D1144" s="6" t="str">
        <x:v>12.84 m
From: Living room 2.07 (apartment 5)
To: Bedroom 2.05 (apartment 5)
Ordered path (4 spaces): Living room 2.07 (apartment 5) → Living room 2.04 (apartment 5) → Corridor 2.01 (apartment 5) → Bedroom 2.05 (apartment 5)</x:v>
      </x:c>
      <x:c r="E1144" s="6" t="str">
        <x:v>Reference supplied</x:v>
      </x:c>
      <x:c r="F1144" s="6" t="str">
        <x:v>train</x:v>
      </x:c>
      <x:c r="G1144" s="6" t="str">
        <x:v>swiss-1075</x:v>
      </x:c>
      <x:c r="H1144" s="6" t="str">
        <x:v>swiss-1075-Q06</x:v>
      </x:c>
      <x:c r="I1144" s="6" t="str">
        <x:v>Route planning</x:v>
      </x:c>
      <x:c r="J1144" s="6" t="str">
        <x:v>Warm-up</x:v>
      </x:c>
      <x:c r="K1144" s="6" t="str">
        <x:v>Ordered space path and directions, plus total route-model distance in metres.</x:v>
      </x:c>
      <x:c r="L1144" s="6" t="str">
        <x:v>T02, T05, T13</x:v>
      </x:c>
      <x:c r="M1144" s="6" t="str">
        <x:v>Find a valid route between two rooms, including across floors.</x:v>
      </x:c>
      <x:c r="N1144" s="6" t="str">
        <x:v>{"from_space_id":"swiss-1075-F2-S007","to_space_id":"swiss-1075-F2-S005","optimal_length_m":12.84,"space_path":["swiss-1075-F2-S007","swiss-1075-F2-S004","swiss-1075-F2-S001","swiss-1075-F2-S005"],"element_path":["swiss-1075-F2-O0044","swiss-1075-F2-O0044","swiss-1075-F2-O0042","swiss-1075-F2-O0042","swiss-1075-F2-O0035","swiss-1075-F2-O0035"]}</x:v>
      </x:c>
      <x:c r="O1144" s="6"/>
      <x:c r="P1144" s="6" t="str">
        <x:v>README routing profile. Stairs and lifts allowed unless stated otherwise.</x:v>
      </x:c>
      <x:c r="Q1144" s="15" t="n">
        <x:v>12.84</x:v>
      </x:c>
      <x:c r="R1144" s="6" t="str">
        <x:v>m</x:v>
      </x:c>
      <x:c r="S1144" s="16"/>
      <x:c r="T1144" s="15"/>
      <x:c r="U1144" s="6"/>
      <x:c r="V1144" s="6"/>
      <x:c r="W1144" s="6" t="str">
        <x:v>Existing find_route and show_route implement the kit routing model.</x:v>
      </x:c>
      <x:c r="X1144" s="6" t="str">
        <x:v>data/train/swiss-1075/questions_basic.jsonl</x:v>
      </x:c>
      <x:c r="Y1144" s="14" t="n">
        <x:v>6</x:v>
      </x:c>
      <x:c r="Z1144" s="6" t="str">
        <x:v>https://github.com/hagenhaeussler/Industrial-Agents-Hackathon-2026/blob/f41616590b69f3ea0c1cbfb41d6c35edd9ce53df/data/train/swiss-1075/questions_basic.jsonl#L6</x:v>
      </x:c>
      <x:c r="AA1144" s="6" t="str">
        <x:v>swiss_dwellings</x:v>
      </x:c>
      <x:c r="AB1144" s="6" t="str">
        <x:v>CC-BY-4.0</x:v>
      </x:c>
    </x:row>
    <x:row r="1145" ht="110" customHeight="1">
      <x:c r="A1145" s="14" t="n">
        <x:v>1140</x:v>
      </x:c>
      <x:c r="B1145" s="6" t="str">
        <x:v>route</x:v>
      </x:c>
      <x:c r="C1145" s="6" t="str">
        <x:v>How do I get from Bathroom 0.07 (apartment 1) (Ground floor) to Living room 2.07 (apartment 5) (Floor 2)?</x:v>
      </x:c>
      <x:c r="D1145" s="6" t="str">
        <x:v>50.31 m
From: Bathroom 0.07 (apartment 1)
To: Living room 2.07 (apartment 5)
Ordered path (9 spaces): Bathroom 0.07 (apartment 1) → Bedroom 0.02 (apartment 1) → Corridor 0.08 (apartment 1) → Stair hall 0.16 → Landing 1.17 → Landing 2.17 → Corridor 2.01 (apartment 5) → Living room 2.04 (apartment 5) → Living room 2.07 (apartment 5)</x:v>
      </x:c>
      <x:c r="E1145" s="6" t="str">
        <x:v>Reference supplied</x:v>
      </x:c>
      <x:c r="F1145" s="6" t="str">
        <x:v>train</x:v>
      </x:c>
      <x:c r="G1145" s="6" t="str">
        <x:v>swiss-1075</x:v>
      </x:c>
      <x:c r="H1145" s="6" t="str">
        <x:v>swiss-1075-Q07</x:v>
      </x:c>
      <x:c r="I1145" s="6" t="str">
        <x:v>Route planning</x:v>
      </x:c>
      <x:c r="J1145" s="6" t="str">
        <x:v>Warm-up</x:v>
      </x:c>
      <x:c r="K1145" s="6" t="str">
        <x:v>Ordered space path and directions, plus total route-model distance in metres.</x:v>
      </x:c>
      <x:c r="L1145" s="6" t="str">
        <x:v>T02, T05, T13</x:v>
      </x:c>
      <x:c r="M1145" s="6" t="str">
        <x:v>Find a valid route between two rooms, including across floors.</x:v>
      </x:c>
      <x:c r="N1145" s="6" t="str">
        <x:v>{"from_space_id":"swiss-1075-F0-S007","to_space_id":"swiss-1075-F2-S007","optimal_length_m":50.31,"space_path":["swiss-1075-F0-S007","swiss-1075-F0-S002","swiss-1075-F0-S008","swiss-1075-F0-S016","swiss-1075-F1-S017","swiss-1075-F2-S017","swiss-1075-F2-S001","swiss-1075-F2-S004","swiss-1075-F2-S007"],"element_path":["swiss-1075-F0-O0006","swiss-1075-F0-O0006","swiss-1075-F0-O0003","swiss-1075-F0-O0003","swiss-1075-F0-O0004","swiss-1075-F0-O0004","swiss-1075-V01","swiss-1075-V01","swiss-1075-F2-O0032","swiss-1075-F2-O0032","swiss-1075-F2-O0042","swiss-1075-F2-O0042","swiss-1075-F2-O0044","swiss-1075-F2-O0044"]}</x:v>
      </x:c>
      <x:c r="O1145" s="6"/>
      <x:c r="P1145" s="6" t="str">
        <x:v>README routing profile. Stairs and lifts allowed unless stated otherwise.</x:v>
      </x:c>
      <x:c r="Q1145" s="15" t="n">
        <x:v>50.31</x:v>
      </x:c>
      <x:c r="R1145" s="6" t="str">
        <x:v>m</x:v>
      </x:c>
      <x:c r="S1145" s="16"/>
      <x:c r="T1145" s="15"/>
      <x:c r="U1145" s="6"/>
      <x:c r="V1145" s="6"/>
      <x:c r="W1145" s="6" t="str">
        <x:v>Existing find_route and show_route implement the kit routing model.</x:v>
      </x:c>
      <x:c r="X1145" s="6" t="str">
        <x:v>data/train/swiss-1075/questions_basic.jsonl</x:v>
      </x:c>
      <x:c r="Y1145" s="14" t="n">
        <x:v>7</x:v>
      </x:c>
      <x:c r="Z1145" s="6" t="str">
        <x:v>https://github.com/hagenhaeussler/Industrial-Agents-Hackathon-2026/blob/f41616590b69f3ea0c1cbfb41d6c35edd9ce53df/data/train/swiss-1075/questions_basic.jsonl#L7</x:v>
      </x:c>
      <x:c r="AA1145" s="6" t="str">
        <x:v>swiss_dwellings</x:v>
      </x:c>
      <x:c r="AB1145" s="6" t="str">
        <x:v>CC-BY-4.0</x:v>
      </x:c>
    </x:row>
    <x:row r="1146" ht="96" customHeight="1">
      <x:c r="A1146" s="14" t="n">
        <x:v>1141</x:v>
      </x:c>
      <x:c r="B1146" s="6" t="str">
        <x:v>route</x:v>
      </x:c>
      <x:c r="C1146" s="6" t="str">
        <x:v>How do I get from Bedroom 2.05 (apartment 6) (Floor 2) to Living room 3.13 (apartment 10) (Floor 3)?</x:v>
      </x:c>
      <x:c r="D1146" s="6" t="str">
        <x:v>29.98 m
From: Bedroom 2.05 (apartment 6)
To: Living room 3.13 (apartment 10)
Ordered path (6 spaces): Bedroom 2.05 (apartment 6) → Corridor 2.02 (apartment 6) → Corridor 2.08 (apartment 6) → Stair hall 2.31 → Stair hall 3.31 → Living room 3.13 (apartment 10)</x:v>
      </x:c>
      <x:c r="E1146" s="6" t="str">
        <x:v>Reference supplied</x:v>
      </x:c>
      <x:c r="F1146" s="6" t="str">
        <x:v>train</x:v>
      </x:c>
      <x:c r="G1146" s="6" t="str">
        <x:v>swiss-1104</x:v>
      </x:c>
      <x:c r="H1146" s="6" t="str">
        <x:v>swiss-1104-Q02</x:v>
      </x:c>
      <x:c r="I1146" s="6" t="str">
        <x:v>Route planning</x:v>
      </x:c>
      <x:c r="J1146" s="6" t="str">
        <x:v>Warm-up</x:v>
      </x:c>
      <x:c r="K1146" s="6" t="str">
        <x:v>Ordered space path and directions, plus total route-model distance in metres.</x:v>
      </x:c>
      <x:c r="L1146" s="6" t="str">
        <x:v>T02, T05, T13</x:v>
      </x:c>
      <x:c r="M1146" s="6" t="str">
        <x:v>Find a valid route between two rooms, including across floors.</x:v>
      </x:c>
      <x:c r="N1146" s="6" t="str">
        <x:v>{"from_space_id":"swiss-1104-F2-S005","to_space_id":"swiss-1104-F3-S013","optimal_length_m":29.98,"space_path":["swiss-1104-F2-S005","swiss-1104-F2-S002","swiss-1104-F2-S008","swiss-1104-F2-S031","swiss-1104-F3-S031","swiss-1104-F3-S013"],"element_path":["swiss-1104-F2-O0058","swiss-1104-F2-O0058","swiss-1104-F2-O0053","swiss-1104-F2-O0053","swiss-1104-F2-O0052","swiss-1104-F2-O0052","swiss-1104-V01","swiss-1104-F3-O0097","swiss-1104-F3-O0097"]}</x:v>
      </x:c>
      <x:c r="O1146" s="6"/>
      <x:c r="P1146" s="6" t="str">
        <x:v>README routing profile. Stairs and lifts allowed unless stated otherwise.</x:v>
      </x:c>
      <x:c r="Q1146" s="15" t="n">
        <x:v>29.98</x:v>
      </x:c>
      <x:c r="R1146" s="6" t="str">
        <x:v>m</x:v>
      </x:c>
      <x:c r="S1146" s="16"/>
      <x:c r="T1146" s="15"/>
      <x:c r="U1146" s="6"/>
      <x:c r="V1146" s="6"/>
      <x:c r="W1146" s="6" t="str">
        <x:v>Existing find_route and show_route implement the kit routing model.</x:v>
      </x:c>
      <x:c r="X1146" s="6" t="str">
        <x:v>data/train/swiss-1104/questions_basic.jsonl</x:v>
      </x:c>
      <x:c r="Y1146" s="14" t="n">
        <x:v>2</x:v>
      </x:c>
      <x:c r="Z1146" s="6" t="str">
        <x:v>https://github.com/hagenhaeussler/Industrial-Agents-Hackathon-2026/blob/f41616590b69f3ea0c1cbfb41d6c35edd9ce53df/data/train/swiss-1104/questions_basic.jsonl#L2</x:v>
      </x:c>
      <x:c r="AA1146" s="6" t="str">
        <x:v>swiss_dwellings</x:v>
      </x:c>
      <x:c r="AB1146" s="6" t="str">
        <x:v>CC-BY-4.0</x:v>
      </x:c>
    </x:row>
    <x:row r="1147" ht="110" customHeight="1">
      <x:c r="A1147" s="14" t="n">
        <x:v>1142</x:v>
      </x:c>
      <x:c r="B1147" s="6" t="str">
        <x:v>route</x:v>
      </x:c>
      <x:c r="C1147" s="6" t="str">
        <x:v>How do I get from Bathroom 1.24 (apartment 5) (Floor 1) to Living room 3.08 (apartment 9) (Floor 3)?</x:v>
      </x:c>
      <x:c r="D1147" s="6" t="str">
        <x:v>53.08 m
From: Bathroom 1.24 (apartment 5)
To: Living room 3.08 (apartment 9)
Ordered path (9 spaces): Bathroom 1.24 (apartment 5) → Bedroom 1.20 (apartment 5) → Corridor 1.19 (apartment 5) → Corridor 1.21 (apartment 5) → Stair hall 1.31 → Stair hall 2.31 → Stair hall 3.31 → Corridor 3.09 (apartment 9) → Living room 3.08 (apartment 9)</x:v>
      </x:c>
      <x:c r="E1147" s="6" t="str">
        <x:v>Reference supplied</x:v>
      </x:c>
      <x:c r="F1147" s="6" t="str">
        <x:v>train</x:v>
      </x:c>
      <x:c r="G1147" s="6" t="str">
        <x:v>swiss-1104</x:v>
      </x:c>
      <x:c r="H1147" s="6" t="str">
        <x:v>swiss-1104-Q03</x:v>
      </x:c>
      <x:c r="I1147" s="6" t="str">
        <x:v>Route planning</x:v>
      </x:c>
      <x:c r="J1147" s="6" t="str">
        <x:v>Warm-up</x:v>
      </x:c>
      <x:c r="K1147" s="6" t="str">
        <x:v>Ordered space path and directions, plus total route-model distance in metres.</x:v>
      </x:c>
      <x:c r="L1147" s="6" t="str">
        <x:v>T02, T05, T13</x:v>
      </x:c>
      <x:c r="M1147" s="6" t="str">
        <x:v>Find a valid route between two rooms, including across floors.</x:v>
      </x:c>
      <x:c r="N1147" s="6" t="str">
        <x:v>{"from_space_id":"swiss-1104-F1-S024","to_space_id":"swiss-1104-F3-S008","optimal_length_m":53.08,"space_path":["swiss-1104-F1-S024","swiss-1104-F1-S020","swiss-1104-F1-S019","swiss-1104-F1-S021","swiss-1104-F1-S031","swiss-1104-F2-S031","swiss-1104-F3-S031","swiss-1104-F3-S009","swiss-1104-F3-S008"],"element_path":["swiss-1104-F1-O0036","swiss-1104-F1-O0036","swiss-1104-F1-O0038","swiss-1104-F1-O0038","swiss-1104-F1-O0047","swiss-1104-F1-O0047","swiss-1104-F1-O0046","swiss-1104-F1-O0046","swiss-1104-V01","swiss-1104-V01","swiss-1104-F3-O0091","swiss-1104-F3-O0091","swiss-1104-F3-O0110","swiss-1104-F3-O0110"]}</x:v>
      </x:c>
      <x:c r="O1147" s="6"/>
      <x:c r="P1147" s="6" t="str">
        <x:v>README routing profile. Stairs and lifts allowed unless stated otherwise.</x:v>
      </x:c>
      <x:c r="Q1147" s="15" t="n">
        <x:v>53.08</x:v>
      </x:c>
      <x:c r="R1147" s="6" t="str">
        <x:v>m</x:v>
      </x:c>
      <x:c r="S1147" s="16"/>
      <x:c r="T1147" s="15"/>
      <x:c r="U1147" s="6"/>
      <x:c r="V1147" s="6"/>
      <x:c r="W1147" s="6" t="str">
        <x:v>Existing find_route and show_route implement the kit routing model.</x:v>
      </x:c>
      <x:c r="X1147" s="6" t="str">
        <x:v>data/train/swiss-1104/questions_basic.jsonl</x:v>
      </x:c>
      <x:c r="Y1147" s="14" t="n">
        <x:v>3</x:v>
      </x:c>
      <x:c r="Z1147" s="6" t="str">
        <x:v>https://github.com/hagenhaeussler/Industrial-Agents-Hackathon-2026/blob/f41616590b69f3ea0c1cbfb41d6c35edd9ce53df/data/train/swiss-1104/questions_basic.jsonl#L3</x:v>
      </x:c>
      <x:c r="AA1147" s="6" t="str">
        <x:v>swiss_dwellings</x:v>
      </x:c>
      <x:c r="AB1147" s="6" t="str">
        <x:v>CC-BY-4.0</x:v>
      </x:c>
    </x:row>
    <x:row r="1148" ht="96" customHeight="1">
      <x:c r="A1148" s="14" t="n">
        <x:v>1143</x:v>
      </x:c>
      <x:c r="B1148" s="6" t="str">
        <x:v>route</x:v>
      </x:c>
      <x:c r="C1148" s="6" t="str">
        <x:v>How do I get from Bedroom 1.27 (apartment 5) (Floor 1) to Living room 2.26 (apartment 8) (Floor 2)?</x:v>
      </x:c>
      <x:c r="D1148" s="6" t="str">
        <x:v>30.76 m
From: Bedroom 1.27 (apartment 5)
To: Living room 2.26 (apartment 8)
Ordered path (6 spaces): Bedroom 1.27 (apartment 5) → Corridor 1.19 (apartment 5) → Corridor 1.21 (apartment 5) → Stair hall 1.31 → Stair hall 2.31 → Living room 2.26 (apartment 8)</x:v>
      </x:c>
      <x:c r="E1148" s="6" t="str">
        <x:v>Reference supplied</x:v>
      </x:c>
      <x:c r="F1148" s="6" t="str">
        <x:v>train</x:v>
      </x:c>
      <x:c r="G1148" s="6" t="str">
        <x:v>swiss-1104</x:v>
      </x:c>
      <x:c r="H1148" s="6" t="str">
        <x:v>swiss-1104-Q04</x:v>
      </x:c>
      <x:c r="I1148" s="6" t="str">
        <x:v>Route planning</x:v>
      </x:c>
      <x:c r="J1148" s="6" t="str">
        <x:v>Warm-up</x:v>
      </x:c>
      <x:c r="K1148" s="6" t="str">
        <x:v>Ordered space path and directions, plus total route-model distance in metres.</x:v>
      </x:c>
      <x:c r="L1148" s="6" t="str">
        <x:v>T02, T05, T13</x:v>
      </x:c>
      <x:c r="M1148" s="6" t="str">
        <x:v>Find a valid route between two rooms, including across floors.</x:v>
      </x:c>
      <x:c r="N1148" s="6" t="str">
        <x:v>{"from_space_id":"swiss-1104-F1-S027","to_space_id":"swiss-1104-F2-S026","optimal_length_m":30.76,"space_path":["swiss-1104-F1-S027","swiss-1104-F1-S019","swiss-1104-F1-S021","swiss-1104-F1-S031","swiss-1104-F2-S031","swiss-1104-F2-S026"],"element_path":["swiss-1104-F1-O0043","swiss-1104-F1-O0043","swiss-1104-F1-O0047","swiss-1104-F1-O0047","swiss-1104-F1-O0046","swiss-1104-F1-O0046","swiss-1104-V01","swiss-1104-F2-O0074","swiss-1104-F2-O0074"]}</x:v>
      </x:c>
      <x:c r="O1148" s="6"/>
      <x:c r="P1148" s="6" t="str">
        <x:v>README routing profile. Stairs and lifts allowed unless stated otherwise.</x:v>
      </x:c>
      <x:c r="Q1148" s="15" t="n">
        <x:v>30.76</x:v>
      </x:c>
      <x:c r="R1148" s="6" t="str">
        <x:v>m</x:v>
      </x:c>
      <x:c r="S1148" s="16"/>
      <x:c r="T1148" s="15"/>
      <x:c r="U1148" s="6"/>
      <x:c r="V1148" s="6"/>
      <x:c r="W1148" s="6" t="str">
        <x:v>Existing find_route and show_route implement the kit routing model.</x:v>
      </x:c>
      <x:c r="X1148" s="6" t="str">
        <x:v>data/train/swiss-1104/questions_basic.jsonl</x:v>
      </x:c>
      <x:c r="Y1148" s="14" t="n">
        <x:v>4</x:v>
      </x:c>
      <x:c r="Z1148" s="6" t="str">
        <x:v>https://github.com/hagenhaeussler/Industrial-Agents-Hackathon-2026/blob/f41616590b69f3ea0c1cbfb41d6c35edd9ce53df/data/train/swiss-1104/questions_basic.jsonl#L4</x:v>
      </x:c>
      <x:c r="AA1148" s="6" t="str">
        <x:v>swiss_dwellings</x:v>
      </x:c>
      <x:c r="AB1148" s="6" t="str">
        <x:v>CC-BY-4.0</x:v>
      </x:c>
    </x:row>
    <x:row r="1149" ht="82" customHeight="1">
      <x:c r="A1149" s="14" t="n">
        <x:v>1144</x:v>
      </x:c>
      <x:c r="B1149" s="6" t="str">
        <x:v>route</x:v>
      </x:c>
      <x:c r="C1149" s="6" t="str">
        <x:v>How do I get from Bathroom 4.16 (apartment 23) (Floor 4) to Storage 4.21 (apartment 23) (Floor 4)?</x:v>
      </x:c>
      <x:c r="D1149" s="6" t="str">
        <x:v>7.15 m
From: Bathroom 4.16 (apartment 23)
To: Storage 4.21 (apartment 23)
Ordered path (3 spaces): Bathroom 4.16 (apartment 23) → Corridor 4.17 (apartment 23) → Storage 4.21 (apartment 23)</x:v>
      </x:c>
      <x:c r="E1149" s="6" t="str">
        <x:v>Reference supplied</x:v>
      </x:c>
      <x:c r="F1149" s="6" t="str">
        <x:v>train</x:v>
      </x:c>
      <x:c r="G1149" s="6" t="str">
        <x:v>swiss-1110</x:v>
      </x:c>
      <x:c r="H1149" s="6" t="str">
        <x:v>swiss-1110-Q03</x:v>
      </x:c>
      <x:c r="I1149" s="6" t="str">
        <x:v>Route planning</x:v>
      </x:c>
      <x:c r="J1149" s="6" t="str">
        <x:v>Warm-up</x:v>
      </x:c>
      <x:c r="K1149" s="6" t="str">
        <x:v>Ordered space path and directions, plus total route-model distance in metres.</x:v>
      </x:c>
      <x:c r="L1149" s="6" t="str">
        <x:v>T02, T05, T13</x:v>
      </x:c>
      <x:c r="M1149" s="6" t="str">
        <x:v>Find a valid route between two rooms, including across floors.</x:v>
      </x:c>
      <x:c r="N1149" s="6" t="str">
        <x:v>{"from_space_id":"swiss-1110-F4-S016","to_space_id":"swiss-1110-F4-S021","optimal_length_m":7.15,"space_path":["swiss-1110-F4-S016","swiss-1110-F4-S017","swiss-1110-F4-S021"],"element_path":["swiss-1110-F4-O0173","swiss-1110-F4-O0173","swiss-1110-F4-O0172","swiss-1110-F4-O0172"]}</x:v>
      </x:c>
      <x:c r="O1149" s="6"/>
      <x:c r="P1149" s="6" t="str">
        <x:v>README routing profile. Stairs and lifts allowed unless stated otherwise.</x:v>
      </x:c>
      <x:c r="Q1149" s="15" t="n">
        <x:v>7.15</x:v>
      </x:c>
      <x:c r="R1149" s="6" t="str">
        <x:v>m</x:v>
      </x:c>
      <x:c r="S1149" s="16"/>
      <x:c r="T1149" s="15"/>
      <x:c r="U1149" s="6"/>
      <x:c r="V1149" s="6"/>
      <x:c r="W1149" s="6" t="str">
        <x:v>Existing find_route and show_route implement the kit routing model.</x:v>
      </x:c>
      <x:c r="X1149" s="6" t="str">
        <x:v>data/train/swiss-1110/questions_basic.jsonl</x:v>
      </x:c>
      <x:c r="Y1149" s="14" t="n">
        <x:v>3</x:v>
      </x:c>
      <x:c r="Z1149" s="6" t="str">
        <x:v>https://github.com/hagenhaeussler/Industrial-Agents-Hackathon-2026/blob/f41616590b69f3ea0c1cbfb41d6c35edd9ce53df/data/train/swiss-1110/questions_basic.jsonl#L3</x:v>
      </x:c>
      <x:c r="AA1149" s="6" t="str">
        <x:v>swiss_dwellings</x:v>
      </x:c>
      <x:c r="AB1149" s="6" t="str">
        <x:v>CC-BY-4.0</x:v>
      </x:c>
    </x:row>
    <x:row r="1150" ht="96" customHeight="1">
      <x:c r="A1150" s="14" t="n">
        <x:v>1145</x:v>
      </x:c>
      <x:c r="B1150" s="6" t="str">
        <x:v>route</x:v>
      </x:c>
      <x:c r="C1150" s="6" t="str">
        <x:v>How do I get from Living room 2.22 (apartment 14) (Floor 2) to Bedroom 1.09 (apartment 7) (Floor 1)?</x:v>
      </x:c>
      <x:c r="D1150" s="6" t="str">
        <x:v>28.25 m
From: Living room 2.22 (apartment 14)
To: Bedroom 1.09 (apartment 7)
Ordered path (6 spaces): Living room 2.22 (apartment 14) → Corridor 2.25 (apartment 14) → Stair hall 2.34 → Stair hall 1.34 → Corridor 1.11 (apartment 7) → Bedroom 1.09 (apartment 7)</x:v>
      </x:c>
      <x:c r="E1150" s="6" t="str">
        <x:v>Reference supplied</x:v>
      </x:c>
      <x:c r="F1150" s="6" t="str">
        <x:v>train</x:v>
      </x:c>
      <x:c r="G1150" s="6" t="str">
        <x:v>swiss-1110</x:v>
      </x:c>
      <x:c r="H1150" s="6" t="str">
        <x:v>swiss-1110-Q04</x:v>
      </x:c>
      <x:c r="I1150" s="6" t="str">
        <x:v>Route planning</x:v>
      </x:c>
      <x:c r="J1150" s="6" t="str">
        <x:v>Warm-up</x:v>
      </x:c>
      <x:c r="K1150" s="6" t="str">
        <x:v>Ordered space path and directions, plus total route-model distance in metres.</x:v>
      </x:c>
      <x:c r="L1150" s="6" t="str">
        <x:v>T02, T05, T13</x:v>
      </x:c>
      <x:c r="M1150" s="6" t="str">
        <x:v>Find a valid route between two rooms, including across floors.</x:v>
      </x:c>
      <x:c r="N1150" s="6" t="str">
        <x:v>{"from_space_id":"swiss-1110-F2-S022","to_space_id":"swiss-1110-F1-S009","optimal_length_m":28.25,"space_path":["swiss-1110-F2-S022","swiss-1110-F2-S025","swiss-1110-F2-S034","swiss-1110-F1-S034","swiss-1110-F1-S011","swiss-1110-F1-S009"],"element_path":["swiss-1110-F2-O0103","swiss-1110-F2-O0103","swiss-1110-F2-O0100","swiss-1110-F2-O0100","swiss-1110-V01","swiss-1110-F1-O0050","swiss-1110-F1-O0050","swiss-1110-F1-O0047","swiss-1110-F1-O0047"]}</x:v>
      </x:c>
      <x:c r="O1150" s="6"/>
      <x:c r="P1150" s="6" t="str">
        <x:v>README routing profile. Stairs and lifts allowed unless stated otherwise.</x:v>
      </x:c>
      <x:c r="Q1150" s="15" t="n">
        <x:v>28.25</x:v>
      </x:c>
      <x:c r="R1150" s="6" t="str">
        <x:v>m</x:v>
      </x:c>
      <x:c r="S1150" s="16"/>
      <x:c r="T1150" s="15"/>
      <x:c r="U1150" s="6"/>
      <x:c r="V1150" s="6"/>
      <x:c r="W1150" s="6" t="str">
        <x:v>Existing find_route and show_route implement the kit routing model.</x:v>
      </x:c>
      <x:c r="X1150" s="6" t="str">
        <x:v>data/train/swiss-1110/questions_basic.jsonl</x:v>
      </x:c>
      <x:c r="Y1150" s="14" t="n">
        <x:v>4</x:v>
      </x:c>
      <x:c r="Z1150" s="6" t="str">
        <x:v>https://github.com/hagenhaeussler/Industrial-Agents-Hackathon-2026/blob/f41616590b69f3ea0c1cbfb41d6c35edd9ce53df/data/train/swiss-1110/questions_basic.jsonl#L4</x:v>
      </x:c>
      <x:c r="AA1150" s="6" t="str">
        <x:v>swiss_dwellings</x:v>
      </x:c>
      <x:c r="AB1150" s="6" t="str">
        <x:v>CC-BY-4.0</x:v>
      </x:c>
    </x:row>
    <x:row r="1151" ht="96" customHeight="1">
      <x:c r="A1151" s="14" t="n">
        <x:v>1146</x:v>
      </x:c>
      <x:c r="B1151" s="6" t="str">
        <x:v>route</x:v>
      </x:c>
      <x:c r="C1151" s="6" t="str">
        <x:v>How do I get from Bathroom 0.14 (apartment 2) (Ground floor) to Bathroom 0.33 (apartment 5) (Ground floor)?</x:v>
      </x:c>
      <x:c r="D1151" s="6" t="str">
        <x:v>11.72 m
From: Bathroom 0.14 (apartment 2)
To: Bathroom 0.33 (apartment 5)
Ordered path (7 spaces): Bathroom 0.14 (apartment 2) → Corridor 0.09 (apartment 2) → Landing 0.37 → outside → Landing 0.36 → Corridor 0.31 (apartment 5) → Bathroom 0.33 (apartment 5)</x:v>
      </x:c>
      <x:c r="E1151" s="6" t="str">
        <x:v>Reference supplied</x:v>
      </x:c>
      <x:c r="F1151" s="6" t="str">
        <x:v>train</x:v>
      </x:c>
      <x:c r="G1151" s="6" t="str">
        <x:v>swiss-1110</x:v>
      </x:c>
      <x:c r="H1151" s="6" t="str">
        <x:v>swiss-1110-Q05</x:v>
      </x:c>
      <x:c r="I1151" s="6" t="str">
        <x:v>Route planning</x:v>
      </x:c>
      <x:c r="J1151" s="6" t="str">
        <x:v>Warm-up</x:v>
      </x:c>
      <x:c r="K1151" s="6" t="str">
        <x:v>Ordered space path and directions, plus total route-model distance in metres.</x:v>
      </x:c>
      <x:c r="L1151" s="6" t="str">
        <x:v>T02, T05, T13</x:v>
      </x:c>
      <x:c r="M1151" s="6" t="str">
        <x:v>Find a valid route between two rooms, including across floors.</x:v>
      </x:c>
      <x:c r="N1151" s="6" t="str">
        <x:v>{"from_space_id":"swiss-1110-F0-S014","to_space_id":"swiss-1110-F0-S033","optimal_length_m":11.72,"space_path":["swiss-1110-F0-S014","swiss-1110-F0-S009","swiss-1110-F0-S037","outside","swiss-1110-F0-S036","swiss-1110-F0-S031","swiss-1110-F0-S033"],"element_path":["swiss-1110-F0-O0012","swiss-1110-F0-O0012","swiss-1110-F0-O0019","swiss-1110-F0-O0019","swiss-1110-F0-O0207","swiss-1110-F0-O0207","swiss-1110-F0-O0206","swiss-1110-F0-O0206","swiss-1110-F0-O0018","swiss-1110-F0-O0018","swiss-1110-F0-O0033","swiss-1110-F0-O0033"]}</x:v>
      </x:c>
      <x:c r="O1151" s="6"/>
      <x:c r="P1151" s="6" t="str">
        <x:v>README routing profile. Stairs and lifts allowed unless stated otherwise.</x:v>
      </x:c>
      <x:c r="Q1151" s="15" t="n">
        <x:v>11.72</x:v>
      </x:c>
      <x:c r="R1151" s="6" t="str">
        <x:v>m</x:v>
      </x:c>
      <x:c r="S1151" s="16"/>
      <x:c r="T1151" s="15"/>
      <x:c r="U1151" s="6"/>
      <x:c r="V1151" s="6"/>
      <x:c r="W1151" s="6" t="str">
        <x:v>Existing find_route and show_route implement the kit routing model.</x:v>
      </x:c>
      <x:c r="X1151" s="6" t="str">
        <x:v>data/train/swiss-1110/questions_basic.jsonl</x:v>
      </x:c>
      <x:c r="Y1151" s="14" t="n">
        <x:v>5</x:v>
      </x:c>
      <x:c r="Z1151" s="6" t="str">
        <x:v>https://github.com/hagenhaeussler/Industrial-Agents-Hackathon-2026/blob/f41616590b69f3ea0c1cbfb41d6c35edd9ce53df/data/train/swiss-1110/questions_basic.jsonl#L5</x:v>
      </x:c>
      <x:c r="AA1151" s="6" t="str">
        <x:v>swiss_dwellings</x:v>
      </x:c>
      <x:c r="AB1151" s="6" t="str">
        <x:v>CC-BY-4.0</x:v>
      </x:c>
    </x:row>
    <x:row r="1152" ht="96" customHeight="1">
      <x:c r="A1152" s="14" t="n">
        <x:v>1147</x:v>
      </x:c>
      <x:c r="B1152" s="6" t="str">
        <x:v>route</x:v>
      </x:c>
      <x:c r="C1152" s="6" t="str">
        <x:v>How do I get from Bedroom 1.31 (apartment 10) (Floor 1) to Bedroom 2.03 (apartment 13) (Floor 2)?</x:v>
      </x:c>
      <x:c r="D1152" s="6" t="str">
        <x:v>28.86 m
From: Bedroom 1.31 (apartment 10)
To: Bedroom 2.03 (apartment 13)
Ordered path (6 spaces): Bedroom 1.31 (apartment 10) → Corridor 1.32 (apartment 10) → Landing 1.53 → Landing 2.53 → Corridor 2.02 (apartment 13) → Bedroom 2.03 (apartment 13)</x:v>
      </x:c>
      <x:c r="E1152" s="6" t="str">
        <x:v>Reference supplied</x:v>
      </x:c>
      <x:c r="F1152" s="6" t="str">
        <x:v>train</x:v>
      </x:c>
      <x:c r="G1152" s="6" t="str">
        <x:v>swiss-116</x:v>
      </x:c>
      <x:c r="H1152" s="6" t="str">
        <x:v>swiss-116-Q03</x:v>
      </x:c>
      <x:c r="I1152" s="6" t="str">
        <x:v>Route planning</x:v>
      </x:c>
      <x:c r="J1152" s="6" t="str">
        <x:v>Warm-up</x:v>
      </x:c>
      <x:c r="K1152" s="6" t="str">
        <x:v>Ordered space path and directions, plus total route-model distance in metres.</x:v>
      </x:c>
      <x:c r="L1152" s="6" t="str">
        <x:v>T02, T05, T13</x:v>
      </x:c>
      <x:c r="M1152" s="6" t="str">
        <x:v>Find a valid route between two rooms, including across floors.</x:v>
      </x:c>
      <x:c r="N1152" s="6" t="str">
        <x:v>{"from_space_id":"swiss-116-F1-S031","to_space_id":"swiss-116-F2-S003","optimal_length_m":28.86,"space_path":["swiss-116-F1-S031","swiss-116-F1-S032","swiss-116-F1-S053","swiss-116-F2-S053","swiss-116-F2-S002","swiss-116-F2-S003"],"element_path":["swiss-116-F1-O0086","swiss-116-F1-O0086","swiss-116-F1-O0085","swiss-116-F1-O0085","swiss-116-V05","swiss-116-F2-O0110","swiss-116-F2-O0110","swiss-116-F2-O0113","swiss-116-F2-O0113"]}</x:v>
      </x:c>
      <x:c r="O1152" s="6"/>
      <x:c r="P1152" s="6" t="str">
        <x:v>README routing profile. Stairs and lifts allowed unless stated otherwise.</x:v>
      </x:c>
      <x:c r="Q1152" s="15" t="n">
        <x:v>28.86</x:v>
      </x:c>
      <x:c r="R1152" s="6" t="str">
        <x:v>m</x:v>
      </x:c>
      <x:c r="S1152" s="16"/>
      <x:c r="T1152" s="15"/>
      <x:c r="U1152" s="6"/>
      <x:c r="V1152" s="6"/>
      <x:c r="W1152" s="6" t="str">
        <x:v>Existing find_route and show_route implement the kit routing model.</x:v>
      </x:c>
      <x:c r="X1152" s="6" t="str">
        <x:v>data/train/swiss-116/questions_basic.jsonl</x:v>
      </x:c>
      <x:c r="Y1152" s="14" t="n">
        <x:v>3</x:v>
      </x:c>
      <x:c r="Z1152" s="6" t="str">
        <x:v>https://github.com/hagenhaeussler/Industrial-Agents-Hackathon-2026/blob/f41616590b69f3ea0c1cbfb41d6c35edd9ce53df/data/train/swiss-116/questions_basic.jsonl#L3</x:v>
      </x:c>
      <x:c r="AA1152" s="6" t="str">
        <x:v>swiss_dwellings</x:v>
      </x:c>
      <x:c r="AB1152" s="6" t="str">
        <x:v>CC-BY-4.0</x:v>
      </x:c>
    </x:row>
    <x:row r="1153" ht="124" customHeight="1">
      <x:c r="A1153" s="14" t="n">
        <x:v>1148</x:v>
      </x:c>
      <x:c r="B1153" s="6" t="str">
        <x:v>route</x:v>
      </x:c>
      <x:c r="C1153" s="6" t="str">
        <x:v>How do I get from Bedroom 2.28 (apartment 16) (Floor 2) to Bedroom 2.20 (apartment 15) (Floor 2)?</x:v>
      </x:c>
      <x:c r="D1153" s="6" t="str">
        <x:v>70.06 m
From: Bedroom 2.28 (apartment 16)
To: Bedroom 2.20 (apartment 15)
Ordered path (11 spaces): Bedroom 2.28 (apartment 16) → Corridor 2.30 (apartment 16) → Stair hall 2.51 → Stair hall 1.51 → Stair hall 0.51 → outside → Stair hall 0.52 → Stair hall 1.52 → Stair hall 2.52 → Corridor 2.24 (apartment 15) → Bedroom 2.20 (apartment 15)</x:v>
      </x:c>
      <x:c r="E1153" s="6" t="str">
        <x:v>Reference supplied</x:v>
      </x:c>
      <x:c r="F1153" s="6" t="str">
        <x:v>train</x:v>
      </x:c>
      <x:c r="G1153" s="6" t="str">
        <x:v>swiss-116</x:v>
      </x:c>
      <x:c r="H1153" s="6" t="str">
        <x:v>swiss-116-Q04</x:v>
      </x:c>
      <x:c r="I1153" s="6" t="str">
        <x:v>Route planning</x:v>
      </x:c>
      <x:c r="J1153" s="6" t="str">
        <x:v>Warm-up</x:v>
      </x:c>
      <x:c r="K1153" s="6" t="str">
        <x:v>Ordered space path and directions, plus total route-model distance in metres.</x:v>
      </x:c>
      <x:c r="L1153" s="6" t="str">
        <x:v>T02, T05, T13</x:v>
      </x:c>
      <x:c r="M1153" s="6" t="str">
        <x:v>Find a valid route between two rooms, including across floors.</x:v>
      </x:c>
      <x:c r="N1153" s="6" t="str">
        <x:v>{"from_space_id":"swiss-116-F2-S028","to_space_id":"swiss-116-F2-S020","optimal_length_m":70.06,"space_path":["swiss-116-F2-S028","swiss-116-F2-S030","swiss-116-F2-S051","swiss-116-F1-S051","swiss-116-F0-S051","outside","swiss-116-F0-S052","swiss-116-F1-S052","swiss-116-F2-S052","swiss-116-F2-S024","swiss-116-F2-S020"],"element_path":["swiss-116-F2-O0132","swiss-116-F2-O0132","swiss-116-F2-O0134","swiss-116-F2-O0134","swiss-116-V01","swiss-116-V01","swiss-116-F0-O0154","swiss-116-F0-O0154","swiss-116-F0-O0155","swiss-116-F0-O0155","swiss-116-V02","swiss-116-V04","swiss-116-F2-O0121","swiss-116-F2-O0121","swiss-116-F2-O0129","swiss-116-F2-O0129"]}</x:v>
      </x:c>
      <x:c r="O1153" s="6"/>
      <x:c r="P1153" s="6" t="str">
        <x:v>README routing profile. Stairs and lifts allowed unless stated otherwise.</x:v>
      </x:c>
      <x:c r="Q1153" s="15" t="n">
        <x:v>70.06</x:v>
      </x:c>
      <x:c r="R1153" s="6" t="str">
        <x:v>m</x:v>
      </x:c>
      <x:c r="S1153" s="16"/>
      <x:c r="T1153" s="15"/>
      <x:c r="U1153" s="6"/>
      <x:c r="V1153" s="6"/>
      <x:c r="W1153" s="6" t="str">
        <x:v>Existing find_route and show_route implement the kit routing model.</x:v>
      </x:c>
      <x:c r="X1153" s="6" t="str">
        <x:v>data/train/swiss-116/questions_basic.jsonl</x:v>
      </x:c>
      <x:c r="Y1153" s="14" t="n">
        <x:v>4</x:v>
      </x:c>
      <x:c r="Z1153" s="6" t="str">
        <x:v>https://github.com/hagenhaeussler/Industrial-Agents-Hackathon-2026/blob/f41616590b69f3ea0c1cbfb41d6c35edd9ce53df/data/train/swiss-116/questions_basic.jsonl#L4</x:v>
      </x:c>
      <x:c r="AA1153" s="6" t="str">
        <x:v>swiss_dwellings</x:v>
      </x:c>
      <x:c r="AB1153" s="6" t="str">
        <x:v>CC-BY-4.0</x:v>
      </x:c>
    </x:row>
    <x:row r="1154" ht="110" customHeight="1">
      <x:c r="A1154" s="14" t="n">
        <x:v>1149</x:v>
      </x:c>
      <x:c r="B1154" s="6" t="str">
        <x:v>route</x:v>
      </x:c>
      <x:c r="C1154" s="6" t="str">
        <x:v>How do I get from Bedroom 1.15 (apartment 8) (Floor 1) to Bedroom 2.33 (apartment 16) (Floor 2)?</x:v>
      </x:c>
      <x:c r="D1154" s="6" t="str">
        <x:v>57.89 m
From: Bedroom 1.15 (apartment 8)
To: Bedroom 2.33 (apartment 16)
Ordered path (10 spaces): Bedroom 1.15 (apartment 8) → Corridor 1.10 (apartment 8) → Stair hall 1.52 → Stair hall 0.52 → outside → Stair hall 0.51 → Stair hall 1.51 → Stair hall 2.51 → Corridor 2.30 (apartment 16) → Bedroom 2.33 (apartment 16)</x:v>
      </x:c>
      <x:c r="E1154" s="6" t="str">
        <x:v>Reference supplied</x:v>
      </x:c>
      <x:c r="F1154" s="6" t="str">
        <x:v>train</x:v>
      </x:c>
      <x:c r="G1154" s="6" t="str">
        <x:v>swiss-116</x:v>
      </x:c>
      <x:c r="H1154" s="6" t="str">
        <x:v>swiss-116-Q05</x:v>
      </x:c>
      <x:c r="I1154" s="6" t="str">
        <x:v>Route planning</x:v>
      </x:c>
      <x:c r="J1154" s="6" t="str">
        <x:v>Warm-up</x:v>
      </x:c>
      <x:c r="K1154" s="6" t="str">
        <x:v>Ordered space path and directions, plus total route-model distance in metres.</x:v>
      </x:c>
      <x:c r="L1154" s="6" t="str">
        <x:v>T02, T05, T13</x:v>
      </x:c>
      <x:c r="M1154" s="6" t="str">
        <x:v>Find a valid route between two rooms, including across floors.</x:v>
      </x:c>
      <x:c r="N1154" s="6" t="str">
        <x:v>{"from_space_id":"swiss-116-F1-S015","to_space_id":"swiss-116-F2-S033","optimal_length_m":57.89,"space_path":["swiss-116-F1-S015","swiss-116-F1-S010","swiss-116-F1-S052","swiss-116-F0-S052","outside","swiss-116-F0-S051","swiss-116-F1-S051","swiss-116-F2-S051","swiss-116-F2-S030","swiss-116-F2-S033"],"element_path":["swiss-116-F1-O0064","swiss-116-F1-O0064","swiss-116-F1-O0062","swiss-116-F1-O0062","swiss-116-V02","swiss-116-F0-O0155","swiss-116-F0-O0155","swiss-116-F0-O0154","swiss-116-F0-O0154","swiss-116-V01","swiss-116-V01","swiss-116-F2-O0134","swiss-116-F2-O0134","swiss-116-F2-O0136","swiss-116-F2-O0136"]}</x:v>
      </x:c>
      <x:c r="O1154" s="6"/>
      <x:c r="P1154" s="6" t="str">
        <x:v>README routing profile. Stairs and lifts allowed unless stated otherwise.</x:v>
      </x:c>
      <x:c r="Q1154" s="15" t="n">
        <x:v>57.89</x:v>
      </x:c>
      <x:c r="R1154" s="6" t="str">
        <x:v>m</x:v>
      </x:c>
      <x:c r="S1154" s="16"/>
      <x:c r="T1154" s="15"/>
      <x:c r="U1154" s="6"/>
      <x:c r="V1154" s="6"/>
      <x:c r="W1154" s="6" t="str">
        <x:v>Existing find_route and show_route implement the kit routing model.</x:v>
      </x:c>
      <x:c r="X1154" s="6" t="str">
        <x:v>data/train/swiss-116/questions_basic.jsonl</x:v>
      </x:c>
      <x:c r="Y1154" s="14" t="n">
        <x:v>5</x:v>
      </x:c>
      <x:c r="Z1154" s="6" t="str">
        <x:v>https://github.com/hagenhaeussler/Industrial-Agents-Hackathon-2026/blob/f41616590b69f3ea0c1cbfb41d6c35edd9ce53df/data/train/swiss-116/questions_basic.jsonl#L5</x:v>
      </x:c>
      <x:c r="AA1154" s="6" t="str">
        <x:v>swiss_dwellings</x:v>
      </x:c>
      <x:c r="AB1154" s="6" t="str">
        <x:v>CC-BY-4.0</x:v>
      </x:c>
    </x:row>
    <x:row r="1155" ht="124" customHeight="1">
      <x:c r="A1155" s="14" t="n">
        <x:v>1150</x:v>
      </x:c>
      <x:c r="B1155" s="6" t="str">
        <x:v>route</x:v>
      </x:c>
      <x:c r="C1155" s="6" t="str">
        <x:v>How do I get from Bedroom 0.07 (apartment 1) (Ground floor) to Bathroom 2.15 (apartment 10) (Floor 2)?</x:v>
      </x:c>
      <x:c r="D1155" s="6" t="str">
        <x:v>54.1 m
From: Bedroom 0.07 (apartment 1)
To: Bathroom 2.15 (apartment 10)
Ordered path (11 spaces): Bedroom 0.07 (apartment 1) → Living room 0.05 (apartment 1) → Corridor 0.03 (apartment 1) → Stair hall 0.32 → outside → Stair hall 0.33 → Stair hall 1.36 → Stair hall 2.36 → Corridor 2.11 (apartment 10) → Corridor 2.13 (apartment 10) → Bathroom 2.15 (apartment 10)</x:v>
      </x:c>
      <x:c r="E1155" s="6" t="str">
        <x:v>Reference supplied</x:v>
      </x:c>
      <x:c r="F1155" s="6" t="str">
        <x:v>train</x:v>
      </x:c>
      <x:c r="G1155" s="6" t="str">
        <x:v>swiss-120</x:v>
      </x:c>
      <x:c r="H1155" s="6" t="str">
        <x:v>swiss-120-Q02</x:v>
      </x:c>
      <x:c r="I1155" s="6" t="str">
        <x:v>Route planning</x:v>
      </x:c>
      <x:c r="J1155" s="6" t="str">
        <x:v>Warm-up</x:v>
      </x:c>
      <x:c r="K1155" s="6" t="str">
        <x:v>Ordered space path and directions, plus total route-model distance in metres.</x:v>
      </x:c>
      <x:c r="L1155" s="6" t="str">
        <x:v>T02, T05, T13</x:v>
      </x:c>
      <x:c r="M1155" s="6" t="str">
        <x:v>Find a valid route between two rooms, including across floors.</x:v>
      </x:c>
      <x:c r="N1155" s="6" t="str">
        <x:v>{"from_space_id":"swiss-120-F0-S007","to_space_id":"swiss-120-F2-S015","optimal_length_m":54.1,"space_path":["swiss-120-F0-S007","swiss-120-F0-S005","swiss-120-F0-S003","swiss-120-F0-S032","outside","swiss-120-F0-S033","swiss-120-F1-S036","swiss-120-F2-S036","swiss-120-F2-S011","swiss-120-F2-S013","swiss-120-F2-S015"],"element_path":["swiss-120-F0-O0002","swiss-120-F0-O0002","swiss-120-F0-O0027","swiss-120-F0-O0027","swiss-120-F0-O0005","swiss-120-F0-O0005","swiss-120-F0-O0100","swiss-120-F0-O0100","swiss-120-F0-O0101","swiss-120-F0-O0101","swiss-120-V02","swiss-120-V03","swiss-120-F2-O0073","swiss-120-F2-O0073","swiss-120-F2-O0074","swiss-120-F2-O0074","swiss-120-F2-O0077","swiss-120-F2-O0077"]}</x:v>
      </x:c>
      <x:c r="O1155" s="6"/>
      <x:c r="P1155" s="6" t="str">
        <x:v>README routing profile. Stairs and lifts allowed unless stated otherwise.</x:v>
      </x:c>
      <x:c r="Q1155" s="15" t="n">
        <x:v>54.1</x:v>
      </x:c>
      <x:c r="R1155" s="6" t="str">
        <x:v>m</x:v>
      </x:c>
      <x:c r="S1155" s="16"/>
      <x:c r="T1155" s="15"/>
      <x:c r="U1155" s="6"/>
      <x:c r="V1155" s="6"/>
      <x:c r="W1155" s="6" t="str">
        <x:v>Existing find_route and show_route implement the kit routing model.</x:v>
      </x:c>
      <x:c r="X1155" s="6" t="str">
        <x:v>data/train/swiss-120/questions_basic.jsonl</x:v>
      </x:c>
      <x:c r="Y1155" s="14" t="n">
        <x:v>2</x:v>
      </x:c>
      <x:c r="Z1155" s="6" t="str">
        <x:v>https://github.com/hagenhaeussler/Industrial-Agents-Hackathon-2026/blob/f41616590b69f3ea0c1cbfb41d6c35edd9ce53df/data/train/swiss-120/questions_basic.jsonl#L2</x:v>
      </x:c>
      <x:c r="AA1155" s="6" t="str">
        <x:v>swiss_dwellings</x:v>
      </x:c>
      <x:c r="AB1155" s="6" t="str">
        <x:v>CC-BY-4.0</x:v>
      </x:c>
    </x:row>
    <x:row r="1156" ht="110" customHeight="1">
      <x:c r="A1156" s="14" t="n">
        <x:v>1151</x:v>
      </x:c>
      <x:c r="B1156" s="6" t="str">
        <x:v>route</x:v>
      </x:c>
      <x:c r="C1156" s="6" t="str">
        <x:v>How do I get from Bedroom 0.28 (apartment 4) (Ground floor) to Bedroom 1.19 (apartment 7) (Floor 1)?</x:v>
      </x:c>
      <x:c r="D1156" s="6" t="str">
        <x:v>37.35 m
From: Bedroom 0.28 (apartment 4)
To: Bedroom 1.19 (apartment 7)
Ordered path (9 spaces): Bedroom 0.28 (apartment 4) → Corridor 0.31 (apartment 4) → Stair hall 0.33 → outside → Stair hall 0.32 → Stair hall 1.35 → Corridor 1.25 (apartment 7) → Corridor 1.20 (apartment 7) → Bedroom 1.19 (apartment 7)</x:v>
      </x:c>
      <x:c r="E1156" s="6" t="str">
        <x:v>Reference supplied</x:v>
      </x:c>
      <x:c r="F1156" s="6" t="str">
        <x:v>train</x:v>
      </x:c>
      <x:c r="G1156" s="6" t="str">
        <x:v>swiss-120</x:v>
      </x:c>
      <x:c r="H1156" s="6" t="str">
        <x:v>swiss-120-Q03</x:v>
      </x:c>
      <x:c r="I1156" s="6" t="str">
        <x:v>Route planning</x:v>
      </x:c>
      <x:c r="J1156" s="6" t="str">
        <x:v>Warm-up</x:v>
      </x:c>
      <x:c r="K1156" s="6" t="str">
        <x:v>Ordered space path and directions, plus total route-model distance in metres.</x:v>
      </x:c>
      <x:c r="L1156" s="6" t="str">
        <x:v>T02, T05, T13</x:v>
      </x:c>
      <x:c r="M1156" s="6" t="str">
        <x:v>Find a valid route between two rooms, including across floors.</x:v>
      </x:c>
      <x:c r="N1156" s="6" t="str">
        <x:v>{"from_space_id":"swiss-120-F0-S028","to_space_id":"swiss-120-F1-S019","optimal_length_m":37.35,"space_path":["swiss-120-F0-S028","swiss-120-F0-S031","swiss-120-F0-S033","outside","swiss-120-F0-S032","swiss-120-F1-S035","swiss-120-F1-S025","swiss-120-F1-S020","swiss-120-F1-S019"],"element_path":["swiss-120-F0-O0024","swiss-120-F0-O0024","swiss-120-F0-O0023","swiss-120-F0-O0023","swiss-120-F0-O0101","swiss-120-F0-O0101","swiss-120-F0-O0100","swiss-120-F0-O0100","swiss-120-V01","swiss-120-F1-O0048","swiss-120-F1-O0048","swiss-120-F1-O0047","swiss-120-F1-O0047","swiss-120-F1-O0046","swiss-120-F1-O0046"]}</x:v>
      </x:c>
      <x:c r="O1156" s="6"/>
      <x:c r="P1156" s="6" t="str">
        <x:v>README routing profile. Stairs and lifts allowed unless stated otherwise.</x:v>
      </x:c>
      <x:c r="Q1156" s="15" t="n">
        <x:v>37.35</x:v>
      </x:c>
      <x:c r="R1156" s="6" t="str">
        <x:v>m</x:v>
      </x:c>
      <x:c r="S1156" s="16"/>
      <x:c r="T1156" s="15"/>
      <x:c r="U1156" s="6"/>
      <x:c r="V1156" s="6"/>
      <x:c r="W1156" s="6" t="str">
        <x:v>Existing find_route and show_route implement the kit routing model.</x:v>
      </x:c>
      <x:c r="X1156" s="6" t="str">
        <x:v>data/train/swiss-120/questions_basic.jsonl</x:v>
      </x:c>
      <x:c r="Y1156" s="14" t="n">
        <x:v>3</x:v>
      </x:c>
      <x:c r="Z1156" s="6" t="str">
        <x:v>https://github.com/hagenhaeussler/Industrial-Agents-Hackathon-2026/blob/f41616590b69f3ea0c1cbfb41d6c35edd9ce53df/data/train/swiss-120/questions_basic.jsonl#L3</x:v>
      </x:c>
      <x:c r="AA1156" s="6" t="str">
        <x:v>swiss_dwellings</x:v>
      </x:c>
      <x:c r="AB1156" s="6" t="str">
        <x:v>CC-BY-4.0</x:v>
      </x:c>
    </x:row>
    <x:row r="1157" ht="110" customHeight="1">
      <x:c r="A1157" s="14" t="n">
        <x:v>1152</x:v>
      </x:c>
      <x:c r="B1157" s="6" t="str">
        <x:v>route</x:v>
      </x:c>
      <x:c r="C1157" s="6" t="str">
        <x:v>How do I get from Bathroom 2.31 (apartment 12) (Floor 2) to Bedroom 0.20 (apartment 3) (Ground floor)?</x:v>
      </x:c>
      <x:c r="D1157" s="6" t="str">
        <x:v>47.69 m
From: Bathroom 2.31 (apartment 12)
To: Bedroom 0.20 (apartment 3)
Ordered path (9 spaces): Bathroom 2.31 (apartment 12) → Corridor 2.32 (apartment 12) → Living room 2.29 (apartment 12) → Corridor 2.30 (apartment 12) → Stair hall 2.36 → Stair hall 1.36 → Stair hall 0.33 → Corridor 0.19 (apartment 3) → Bedroom 0.20 (apartment 3)</x:v>
      </x:c>
      <x:c r="E1157" s="6" t="str">
        <x:v>Reference supplied</x:v>
      </x:c>
      <x:c r="F1157" s="6" t="str">
        <x:v>train</x:v>
      </x:c>
      <x:c r="G1157" s="6" t="str">
        <x:v>swiss-120</x:v>
      </x:c>
      <x:c r="H1157" s="6" t="str">
        <x:v>swiss-120-Q04</x:v>
      </x:c>
      <x:c r="I1157" s="6" t="str">
        <x:v>Route planning</x:v>
      </x:c>
      <x:c r="J1157" s="6" t="str">
        <x:v>Warm-up</x:v>
      </x:c>
      <x:c r="K1157" s="6" t="str">
        <x:v>Ordered space path and directions, plus total route-model distance in metres.</x:v>
      </x:c>
      <x:c r="L1157" s="6" t="str">
        <x:v>T02, T05, T13</x:v>
      </x:c>
      <x:c r="M1157" s="6" t="str">
        <x:v>Find a valid route between two rooms, including across floors.</x:v>
      </x:c>
      <x:c r="N1157" s="6" t="str">
        <x:v>{"from_space_id":"swiss-120-F2-S031","to_space_id":"swiss-120-F0-S020","optimal_length_m":47.69,"space_path":["swiss-120-F2-S031","swiss-120-F2-S032","swiss-120-F2-S029","swiss-120-F2-S030","swiss-120-F2-S036","swiss-120-F1-S036","swiss-120-F0-S033","swiss-120-F0-S019","swiss-120-F0-S020"],"element_path":["swiss-120-F2-O0089","swiss-120-F2-O0089","swiss-120-F2-O0088","swiss-120-F2-O0088","swiss-120-F2-O0099","swiss-120-F2-O0099","swiss-120-F2-O0091","swiss-120-F2-O0091","swiss-120-V03","swiss-120-V02","swiss-120-F0-O0017","swiss-120-F0-O0017","swiss-120-F0-O0016","swiss-120-F0-O0016"]}</x:v>
      </x:c>
      <x:c r="O1157" s="6"/>
      <x:c r="P1157" s="6" t="str">
        <x:v>README routing profile. Stairs and lifts allowed unless stated otherwise.</x:v>
      </x:c>
      <x:c r="Q1157" s="15" t="n">
        <x:v>47.69</x:v>
      </x:c>
      <x:c r="R1157" s="6" t="str">
        <x:v>m</x:v>
      </x:c>
      <x:c r="S1157" s="16"/>
      <x:c r="T1157" s="15"/>
      <x:c r="U1157" s="6"/>
      <x:c r="V1157" s="6"/>
      <x:c r="W1157" s="6" t="str">
        <x:v>Existing find_route and show_route implement the kit routing model.</x:v>
      </x:c>
      <x:c r="X1157" s="6" t="str">
        <x:v>data/train/swiss-120/questions_basic.jsonl</x:v>
      </x:c>
      <x:c r="Y1157" s="14" t="n">
        <x:v>4</x:v>
      </x:c>
      <x:c r="Z1157" s="6" t="str">
        <x:v>https://github.com/hagenhaeussler/Industrial-Agents-Hackathon-2026/blob/f41616590b69f3ea0c1cbfb41d6c35edd9ce53df/data/train/swiss-120/questions_basic.jsonl#L4</x:v>
      </x:c>
      <x:c r="AA1157" s="6" t="str">
        <x:v>swiss_dwellings</x:v>
      </x:c>
      <x:c r="AB1157" s="6" t="str">
        <x:v>CC-BY-4.0</x:v>
      </x:c>
    </x:row>
    <x:row r="1158" ht="110" customHeight="1">
      <x:c r="A1158" s="14" t="n">
        <x:v>1153</x:v>
      </x:c>
      <x:c r="B1158" s="6" t="str">
        <x:v>route</x:v>
      </x:c>
      <x:c r="C1158" s="6" t="str">
        <x:v>How do I get from Bedroom 1.10 (apartment 11) (Floor 1) to Kitchen 2.49 (apartment 26) (Floor 2)?</x:v>
      </x:c>
      <x:c r="D1158" s="6" t="str">
        <x:v>56.72 m
From: Bedroom 1.10 (apartment 11)
To: Kitchen 2.49 (apartment 26)
Ordered path (10 spaces): Bedroom 1.10 (apartment 11) → Corridor 1.08 (apartment 11) → Stair hall 1.63 → Stair hall 0.63 → outside → Stair hall 0.62 → Stair hall 1.62 → Stair hall 2.62 → Corridor 2.47 (apartment 26) → Kitchen 2.49 (apartment 26)</x:v>
      </x:c>
      <x:c r="E1158" s="6" t="str">
        <x:v>Reference supplied</x:v>
      </x:c>
      <x:c r="F1158" s="6" t="str">
        <x:v>train</x:v>
      </x:c>
      <x:c r="G1158" s="6" t="str">
        <x:v>swiss-1224</x:v>
      </x:c>
      <x:c r="H1158" s="6" t="str">
        <x:v>swiss-1224-Q02</x:v>
      </x:c>
      <x:c r="I1158" s="6" t="str">
        <x:v>Route planning</x:v>
      </x:c>
      <x:c r="J1158" s="6" t="str">
        <x:v>Warm-up</x:v>
      </x:c>
      <x:c r="K1158" s="6" t="str">
        <x:v>Ordered space path and directions, plus total route-model distance in metres.</x:v>
      </x:c>
      <x:c r="L1158" s="6" t="str">
        <x:v>T02, T05, T13</x:v>
      </x:c>
      <x:c r="M1158" s="6" t="str">
        <x:v>Find a valid route between two rooms, including across floors.</x:v>
      </x:c>
      <x:c r="N1158" s="6" t="str">
        <x:v>{"from_space_id":"swiss-1224-F1-S010","to_space_id":"swiss-1224-F2-S049","optimal_length_m":56.72,"space_path":["swiss-1224-F1-S010","swiss-1224-F1-S008","swiss-1224-F1-S063","swiss-1224-F0-S063","outside","swiss-1224-F0-S062","swiss-1224-F1-S062","swiss-1224-F2-S062","swiss-1224-F2-S047","swiss-1224-F2-S049"],"element_path":["swiss-1224-F1-O0072","swiss-1224-F1-O0072","swiss-1224-F1-O0070","swiss-1224-F1-O0070","swiss-1224-V01","swiss-1224-F0-O0183","swiss-1224-F0-O0183","swiss-1224-F0-O0182","swiss-1224-F0-O0182","swiss-1224-V03","swiss-1224-V05","swiss-1224-F2-O0170","swiss-1224-F2-O0170","swiss-1224-F2-O0172","swiss-1224-F2-O0172"]}</x:v>
      </x:c>
      <x:c r="O1158" s="6"/>
      <x:c r="P1158" s="6" t="str">
        <x:v>README routing profile. Stairs and lifts allowed unless stated otherwise.</x:v>
      </x:c>
      <x:c r="Q1158" s="15" t="n">
        <x:v>56.72</x:v>
      </x:c>
      <x:c r="R1158" s="6" t="str">
        <x:v>m</x:v>
      </x:c>
      <x:c r="S1158" s="16"/>
      <x:c r="T1158" s="15"/>
      <x:c r="U1158" s="6"/>
      <x:c r="V1158" s="6"/>
      <x:c r="W1158" s="6" t="str">
        <x:v>Existing find_route and show_route implement the kit routing model.</x:v>
      </x:c>
      <x:c r="X1158" s="6" t="str">
        <x:v>data/train/swiss-1224/questions_basic.jsonl</x:v>
      </x:c>
      <x:c r="Y1158" s="14" t="n">
        <x:v>2</x:v>
      </x:c>
      <x:c r="Z1158" s="6" t="str">
        <x:v>https://github.com/hagenhaeussler/Industrial-Agents-Hackathon-2026/blob/f41616590b69f3ea0c1cbfb41d6c35edd9ce53df/data/train/swiss-1224/questions_basic.jsonl#L2</x:v>
      </x:c>
      <x:c r="AA1158" s="6" t="str">
        <x:v>swiss_dwellings</x:v>
      </x:c>
      <x:c r="AB1158" s="6" t="str">
        <x:v>CC-BY-4.0</x:v>
      </x:c>
    </x:row>
    <x:row r="1159" ht="96" customHeight="1">
      <x:c r="A1159" s="14" t="n">
        <x:v>1154</x:v>
      </x:c>
      <x:c r="B1159" s="6" t="str">
        <x:v>route</x:v>
      </x:c>
      <x:c r="C1159" s="6" t="str">
        <x:v>How do I get from Bedroom 0.33 (apartment 5) (Ground floor) to Bathroom 0.48 (apartment 8) (Ground floor)?</x:v>
      </x:c>
      <x:c r="D1159" s="6" t="str">
        <x:v>20.75 m
From: Bedroom 0.33 (apartment 5)
To: Bathroom 0.48 (apartment 8)
Ordered path (7 spaces): Bedroom 0.33 (apartment 5) → Corridor 0.30 (apartment 5) → Stair hall 0.61 → outside → Stair hall 0.63 → Corridor 0.51 (apartment 8) → Bathroom 0.48 (apartment 8)</x:v>
      </x:c>
      <x:c r="E1159" s="6" t="str">
        <x:v>Reference supplied</x:v>
      </x:c>
      <x:c r="F1159" s="6" t="str">
        <x:v>train</x:v>
      </x:c>
      <x:c r="G1159" s="6" t="str">
        <x:v>swiss-1224</x:v>
      </x:c>
      <x:c r="H1159" s="6" t="str">
        <x:v>swiss-1224-Q03</x:v>
      </x:c>
      <x:c r="I1159" s="6" t="str">
        <x:v>Route planning</x:v>
      </x:c>
      <x:c r="J1159" s="6" t="str">
        <x:v>Warm-up</x:v>
      </x:c>
      <x:c r="K1159" s="6" t="str">
        <x:v>Ordered space path and directions, plus total route-model distance in metres.</x:v>
      </x:c>
      <x:c r="L1159" s="6" t="str">
        <x:v>T02, T05, T13</x:v>
      </x:c>
      <x:c r="M1159" s="6" t="str">
        <x:v>Find a valid route between two rooms, including across floors.</x:v>
      </x:c>
      <x:c r="N1159" s="6" t="str">
        <x:v>{"from_space_id":"swiss-1224-F0-S033","to_space_id":"swiss-1224-F0-S048","optimal_length_m":20.75,"space_path":["swiss-1224-F0-S033","swiss-1224-F0-S030","swiss-1224-F0-S061","outside","swiss-1224-F0-S063","swiss-1224-F0-S051","swiss-1224-F0-S048"],"element_path":["swiss-1224-F0-O0038","swiss-1224-F0-O0038","swiss-1224-F0-O0034","swiss-1224-F0-O0034","swiss-1224-F0-O0181","swiss-1224-F0-O0181","swiss-1224-F0-O0183","swiss-1224-F0-O0183","swiss-1224-F0-O0053","swiss-1224-F0-O0053","swiss-1224-F0-O0055","swiss-1224-F0-O0055"]}</x:v>
      </x:c>
      <x:c r="O1159" s="6"/>
      <x:c r="P1159" s="6" t="str">
        <x:v>README routing profile. Stairs and lifts allowed unless stated otherwise.</x:v>
      </x:c>
      <x:c r="Q1159" s="15" t="n">
        <x:v>20.75</x:v>
      </x:c>
      <x:c r="R1159" s="6" t="str">
        <x:v>m</x:v>
      </x:c>
      <x:c r="S1159" s="16"/>
      <x:c r="T1159" s="15"/>
      <x:c r="U1159" s="6"/>
      <x:c r="V1159" s="6"/>
      <x:c r="W1159" s="6" t="str">
        <x:v>Existing find_route and show_route implement the kit routing model.</x:v>
      </x:c>
      <x:c r="X1159" s="6" t="str">
        <x:v>data/train/swiss-1224/questions_basic.jsonl</x:v>
      </x:c>
      <x:c r="Y1159" s="14" t="n">
        <x:v>3</x:v>
      </x:c>
      <x:c r="Z1159" s="6" t="str">
        <x:v>https://github.com/hagenhaeussler/Industrial-Agents-Hackathon-2026/blob/f41616590b69f3ea0c1cbfb41d6c35edd9ce53df/data/train/swiss-1224/questions_basic.jsonl#L3</x:v>
      </x:c>
      <x:c r="AA1159" s="6" t="str">
        <x:v>swiss_dwellings</x:v>
      </x:c>
      <x:c r="AB1159" s="6" t="str">
        <x:v>CC-BY-4.0</x:v>
      </x:c>
    </x:row>
    <x:row r="1160" ht="124" customHeight="1">
      <x:c r="A1160" s="14" t="n">
        <x:v>1155</x:v>
      </x:c>
      <x:c r="B1160" s="6" t="str">
        <x:v>route</x:v>
      </x:c>
      <x:c r="C1160" s="6" t="str">
        <x:v>How do I get from Bedroom 2.08 (apartment 20) (Floor 2) to Bedroom 2.18 (apartment 21) (Floor 2)?</x:v>
      </x:c>
      <x:c r="D1160" s="6" t="str">
        <x:v>72.14 m
From: Bedroom 2.08 (apartment 20)
To: Bedroom 2.18 (apartment 21)
Ordered path (11 spaces): Bedroom 2.08 (apartment 20) → Corridor 2.12 (apartment 20) → Stair hall 2.63 → Stair hall 1.63 → Stair hall 0.63 → outside → Stair hall 0.62 → Stair hall 1.62 → Stair hall 2.62 → Corridor 2.17 (apartment 21) → Bedroom 2.18 (apartment 21)</x:v>
      </x:c>
      <x:c r="E1160" s="6" t="str">
        <x:v>Reference supplied</x:v>
      </x:c>
      <x:c r="F1160" s="6" t="str">
        <x:v>train</x:v>
      </x:c>
      <x:c r="G1160" s="6" t="str">
        <x:v>swiss-1224</x:v>
      </x:c>
      <x:c r="H1160" s="6" t="str">
        <x:v>swiss-1224-Q04</x:v>
      </x:c>
      <x:c r="I1160" s="6" t="str">
        <x:v>Route planning</x:v>
      </x:c>
      <x:c r="J1160" s="6" t="str">
        <x:v>Warm-up</x:v>
      </x:c>
      <x:c r="K1160" s="6" t="str">
        <x:v>Ordered space path and directions, plus total route-model distance in metres.</x:v>
      </x:c>
      <x:c r="L1160" s="6" t="str">
        <x:v>T02, T05, T13</x:v>
      </x:c>
      <x:c r="M1160" s="6" t="str">
        <x:v>Find a valid route between two rooms, including across floors.</x:v>
      </x:c>
      <x:c r="N1160" s="6" t="str">
        <x:v>{"from_space_id":"swiss-1224-F2-S008","to_space_id":"swiss-1224-F2-S018","optimal_length_m":72.14,"space_path":["swiss-1224-F2-S008","swiss-1224-F2-S012","swiss-1224-F2-S063","swiss-1224-F1-S063","swiss-1224-F0-S063","outside","swiss-1224-F0-S062","swiss-1224-F1-S062","swiss-1224-F2-S062","swiss-1224-F2-S017","swiss-1224-F2-S018"],"element_path":["swiss-1224-F2-O0131","swiss-1224-F2-O0131","swiss-1224-F2-O0135","swiss-1224-F2-O0135","swiss-1224-V01","swiss-1224-V01","swiss-1224-F0-O0183","swiss-1224-F0-O0183","swiss-1224-F0-O0182","swiss-1224-F0-O0182","swiss-1224-V03","swiss-1224-V05","swiss-1224-F2-O0136","swiss-1224-F2-O0136","swiss-1224-F2-O0139","swiss-1224-F2-O0139"]}</x:v>
      </x:c>
      <x:c r="O1160" s="6"/>
      <x:c r="P1160" s="6" t="str">
        <x:v>README routing profile. Stairs and lifts allowed unless stated otherwise.</x:v>
      </x:c>
      <x:c r="Q1160" s="15" t="n">
        <x:v>72.14</x:v>
      </x:c>
      <x:c r="R1160" s="6" t="str">
        <x:v>m</x:v>
      </x:c>
      <x:c r="S1160" s="16"/>
      <x:c r="T1160" s="15"/>
      <x:c r="U1160" s="6"/>
      <x:c r="V1160" s="6"/>
      <x:c r="W1160" s="6" t="str">
        <x:v>Existing find_route and show_route implement the kit routing model.</x:v>
      </x:c>
      <x:c r="X1160" s="6" t="str">
        <x:v>data/train/swiss-1224/questions_basic.jsonl</x:v>
      </x:c>
      <x:c r="Y1160" s="14" t="n">
        <x:v>4</x:v>
      </x:c>
      <x:c r="Z1160" s="6" t="str">
        <x:v>https://github.com/hagenhaeussler/Industrial-Agents-Hackathon-2026/blob/f41616590b69f3ea0c1cbfb41d6c35edd9ce53df/data/train/swiss-1224/questions_basic.jsonl#L4</x:v>
      </x:c>
      <x:c r="AA1160" s="6" t="str">
        <x:v>swiss_dwellings</x:v>
      </x:c>
      <x:c r="AB1160" s="6" t="str">
        <x:v>CC-BY-4.0</x:v>
      </x:c>
    </x:row>
    <x:row r="1161" ht="96" customHeight="1">
      <x:c r="A1161" s="14" t="n">
        <x:v>1156</x:v>
      </x:c>
      <x:c r="B1161" s="6" t="str">
        <x:v>route</x:v>
      </x:c>
      <x:c r="C1161" s="6" t="str">
        <x:v>How do I get from Bedroom 2.15 (apartment 7) (Floor 2) to Living room 1.11 (apartment 3) (Floor 1)?</x:v>
      </x:c>
      <x:c r="D1161" s="6" t="str">
        <x:v>32.8 m
From: Bedroom 2.15 (apartment 7)
To: Living room 1.11 (apartment 3)
Ordered path (6 spaces): Bedroom 2.15 (apartment 7) → Corridor 2.12 (apartment 7) → Stair hall 2.19 → Stair hall 1.25 → Corridor 1.09 (apartment 3) → Living room 1.11 (apartment 3)</x:v>
      </x:c>
      <x:c r="E1161" s="6" t="str">
        <x:v>Reference supplied</x:v>
      </x:c>
      <x:c r="F1161" s="6" t="str">
        <x:v>train</x:v>
      </x:c>
      <x:c r="G1161" s="6" t="str">
        <x:v>swiss-1283</x:v>
      </x:c>
      <x:c r="H1161" s="6" t="str">
        <x:v>swiss-1283-Q03</x:v>
      </x:c>
      <x:c r="I1161" s="6" t="str">
        <x:v>Route planning</x:v>
      </x:c>
      <x:c r="J1161" s="6" t="str">
        <x:v>Warm-up</x:v>
      </x:c>
      <x:c r="K1161" s="6" t="str">
        <x:v>Ordered space path and directions, plus total route-model distance in metres.</x:v>
      </x:c>
      <x:c r="L1161" s="6" t="str">
        <x:v>T02, T05, T13</x:v>
      </x:c>
      <x:c r="M1161" s="6" t="str">
        <x:v>Find a valid route between two rooms, including across floors.</x:v>
      </x:c>
      <x:c r="N1161" s="6" t="str">
        <x:v>{"from_space_id":"swiss-1283-F2-S015","to_space_id":"swiss-1283-F1-S011","optimal_length_m":32.8,"space_path":["swiss-1283-F2-S015","swiss-1283-F2-S012","swiss-1283-F2-S019","swiss-1283-F1-S025","swiss-1283-F1-S009","swiss-1283-F1-S011"],"element_path":["swiss-1283-F2-O0044","swiss-1283-F2-O0044","swiss-1283-F2-O0043","swiss-1283-F2-O0043","swiss-1283-V01","swiss-1283-F1-O0015","swiss-1283-F1-O0015","swiss-1283-F1-O0031","swiss-1283-F1-O0031"]}</x:v>
      </x:c>
      <x:c r="O1161" s="6"/>
      <x:c r="P1161" s="6" t="str">
        <x:v>README routing profile. Stairs and lifts allowed unless stated otherwise.</x:v>
      </x:c>
      <x:c r="Q1161" s="15" t="n">
        <x:v>32.8</x:v>
      </x:c>
      <x:c r="R1161" s="6" t="str">
        <x:v>m</x:v>
      </x:c>
      <x:c r="S1161" s="16"/>
      <x:c r="T1161" s="15"/>
      <x:c r="U1161" s="6"/>
      <x:c r="V1161" s="6"/>
      <x:c r="W1161" s="6" t="str">
        <x:v>Existing find_route and show_route implement the kit routing model.</x:v>
      </x:c>
      <x:c r="X1161" s="6" t="str">
        <x:v>data/train/swiss-1283/questions_basic.jsonl</x:v>
      </x:c>
      <x:c r="Y1161" s="14" t="n">
        <x:v>3</x:v>
      </x:c>
      <x:c r="Z1161" s="6" t="str">
        <x:v>https://github.com/hagenhaeussler/Industrial-Agents-Hackathon-2026/blob/f41616590b69f3ea0c1cbfb41d6c35edd9ce53df/data/train/swiss-1283/questions_basic.jsonl#L3</x:v>
      </x:c>
      <x:c r="AA1161" s="6" t="str">
        <x:v>swiss_dwellings</x:v>
      </x:c>
      <x:c r="AB1161" s="6" t="str">
        <x:v>CC-BY-4.0</x:v>
      </x:c>
    </x:row>
    <x:row r="1162" ht="96" customHeight="1">
      <x:c r="A1162" s="14" t="n">
        <x:v>1157</x:v>
      </x:c>
      <x:c r="B1162" s="6" t="str">
        <x:v>route</x:v>
      </x:c>
      <x:c r="C1162" s="6" t="str">
        <x:v>How do I get from Bathroom 2.01 (apartment 5) (Floor 2) to Bathroom 1.02 (apartment 2) (Floor 1)?</x:v>
      </x:c>
      <x:c r="D1162" s="6" t="str">
        <x:v>31.08 m
From: Bathroom 2.01 (apartment 5)
To: Bathroom 1.02 (apartment 2)
Ordered path (6 spaces): Bathroom 2.01 (apartment 5) → Bedroom 2.03 (apartment 5) → Stair hall 2.19 → Stair hall 1.25 → Bedroom 1.03 (apartment 2) → Bathroom 1.02 (apartment 2)</x:v>
      </x:c>
      <x:c r="E1162" s="6" t="str">
        <x:v>Reference supplied</x:v>
      </x:c>
      <x:c r="F1162" s="6" t="str">
        <x:v>train</x:v>
      </x:c>
      <x:c r="G1162" s="6" t="str">
        <x:v>swiss-1283</x:v>
      </x:c>
      <x:c r="H1162" s="6" t="str">
        <x:v>swiss-1283-Q04</x:v>
      </x:c>
      <x:c r="I1162" s="6" t="str">
        <x:v>Route planning</x:v>
      </x:c>
      <x:c r="J1162" s="6" t="str">
        <x:v>Warm-up</x:v>
      </x:c>
      <x:c r="K1162" s="6" t="str">
        <x:v>Ordered space path and directions, plus total route-model distance in metres.</x:v>
      </x:c>
      <x:c r="L1162" s="6" t="str">
        <x:v>T02, T05, T13</x:v>
      </x:c>
      <x:c r="M1162" s="6" t="str">
        <x:v>Find a valid route between two rooms, including across floors.</x:v>
      </x:c>
      <x:c r="N1162" s="6" t="str">
        <x:v>{"from_space_id":"swiss-1283-F2-S001","to_space_id":"swiss-1283-F1-S002","optimal_length_m":31.08,"space_path":["swiss-1283-F2-S001","swiss-1283-F2-S003","swiss-1283-F2-S019","swiss-1283-F1-S025","swiss-1283-F1-S003","swiss-1283-F1-S002"],"element_path":["swiss-1283-F2-O0034","swiss-1283-F2-O0034","swiss-1283-F2-O0035","swiss-1283-F2-O0035","swiss-1283-V01","swiss-1283-F1-O0010","swiss-1283-F1-O0010","swiss-1283-F1-O0011","swiss-1283-F1-O0011"]}</x:v>
      </x:c>
      <x:c r="O1162" s="6"/>
      <x:c r="P1162" s="6" t="str">
        <x:v>README routing profile. Stairs and lifts allowed unless stated otherwise.</x:v>
      </x:c>
      <x:c r="Q1162" s="15" t="n">
        <x:v>31.08</x:v>
      </x:c>
      <x:c r="R1162" s="6" t="str">
        <x:v>m</x:v>
      </x:c>
      <x:c r="S1162" s="16"/>
      <x:c r="T1162" s="15"/>
      <x:c r="U1162" s="6"/>
      <x:c r="V1162" s="6"/>
      <x:c r="W1162" s="6" t="str">
        <x:v>Existing find_route and show_route implement the kit routing model.</x:v>
      </x:c>
      <x:c r="X1162" s="6" t="str">
        <x:v>data/train/swiss-1283/questions_basic.jsonl</x:v>
      </x:c>
      <x:c r="Y1162" s="14" t="n">
        <x:v>4</x:v>
      </x:c>
      <x:c r="Z1162" s="6" t="str">
        <x:v>https://github.com/hagenhaeussler/Industrial-Agents-Hackathon-2026/blob/f41616590b69f3ea0c1cbfb41d6c35edd9ce53df/data/train/swiss-1283/questions_basic.jsonl#L4</x:v>
      </x:c>
      <x:c r="AA1162" s="6" t="str">
        <x:v>swiss_dwellings</x:v>
      </x:c>
      <x:c r="AB1162" s="6" t="str">
        <x:v>CC-BY-4.0</x:v>
      </x:c>
    </x:row>
    <x:row r="1163" ht="96" customHeight="1">
      <x:c r="A1163" s="14" t="n">
        <x:v>1158</x:v>
      </x:c>
      <x:c r="B1163" s="6" t="str">
        <x:v>route</x:v>
      </x:c>
      <x:c r="C1163" s="6" t="str">
        <x:v>How do I get from Bathroom 1.02 (apartment 2) (Floor 1) to Living room 1.11 (apartment 3) (Floor 1)?</x:v>
      </x:c>
      <x:c r="D1163" s="6" t="str">
        <x:v>20.27 m
From: Bathroom 1.02 (apartment 2)
To: Living room 1.11 (apartment 3)
Ordered path (5 spaces): Bathroom 1.02 (apartment 2) → Bedroom 1.03 (apartment 2) → Stair hall 1.25 → Corridor 1.09 (apartment 3) → Living room 1.11 (apartment 3)</x:v>
      </x:c>
      <x:c r="E1163" s="6" t="str">
        <x:v>Reference supplied</x:v>
      </x:c>
      <x:c r="F1163" s="6" t="str">
        <x:v>train</x:v>
      </x:c>
      <x:c r="G1163" s="6" t="str">
        <x:v>swiss-1283</x:v>
      </x:c>
      <x:c r="H1163" s="6" t="str">
        <x:v>swiss-1283-Q05</x:v>
      </x:c>
      <x:c r="I1163" s="6" t="str">
        <x:v>Route planning</x:v>
      </x:c>
      <x:c r="J1163" s="6" t="str">
        <x:v>Warm-up</x:v>
      </x:c>
      <x:c r="K1163" s="6" t="str">
        <x:v>Ordered space path and directions, plus total route-model distance in metres.</x:v>
      </x:c>
      <x:c r="L1163" s="6" t="str">
        <x:v>T02, T05, T13</x:v>
      </x:c>
      <x:c r="M1163" s="6" t="str">
        <x:v>Find a valid route between two rooms, including across floors.</x:v>
      </x:c>
      <x:c r="N1163" s="6" t="str">
        <x:v>{"from_space_id":"swiss-1283-F1-S002","to_space_id":"swiss-1283-F1-S011","optimal_length_m":20.27,"space_path":["swiss-1283-F1-S002","swiss-1283-F1-S003","swiss-1283-F1-S025","swiss-1283-F1-S009","swiss-1283-F1-S011"],"element_path":["swiss-1283-F1-O0011","swiss-1283-F1-O0011","swiss-1283-F1-O0010","swiss-1283-F1-O0010","swiss-1283-F1-O0015","swiss-1283-F1-O0015","swiss-1283-F1-O0031","swiss-1283-F1-O0031"]}</x:v>
      </x:c>
      <x:c r="O1163" s="6"/>
      <x:c r="P1163" s="6" t="str">
        <x:v>README routing profile. Stairs and lifts allowed unless stated otherwise.</x:v>
      </x:c>
      <x:c r="Q1163" s="15" t="n">
        <x:v>20.27</x:v>
      </x:c>
      <x:c r="R1163" s="6" t="str">
        <x:v>m</x:v>
      </x:c>
      <x:c r="S1163" s="16"/>
      <x:c r="T1163" s="15"/>
      <x:c r="U1163" s="6"/>
      <x:c r="V1163" s="6"/>
      <x:c r="W1163" s="6" t="str">
        <x:v>Existing find_route and show_route implement the kit routing model.</x:v>
      </x:c>
      <x:c r="X1163" s="6" t="str">
        <x:v>data/train/swiss-1283/questions_basic.jsonl</x:v>
      </x:c>
      <x:c r="Y1163" s="14" t="n">
        <x:v>5</x:v>
      </x:c>
      <x:c r="Z1163" s="6" t="str">
        <x:v>https://github.com/hagenhaeussler/Industrial-Agents-Hackathon-2026/blob/f41616590b69f3ea0c1cbfb41d6c35edd9ce53df/data/train/swiss-1283/questions_basic.jsonl#L5</x:v>
      </x:c>
      <x:c r="AA1163" s="6" t="str">
        <x:v>swiss_dwellings</x:v>
      </x:c>
      <x:c r="AB1163" s="6" t="str">
        <x:v>CC-BY-4.0</x:v>
      </x:c>
    </x:row>
    <x:row r="1164" ht="96" customHeight="1">
      <x:c r="A1164" s="14" t="n">
        <x:v>1159</x:v>
      </x:c>
      <x:c r="B1164" s="6" t="str">
        <x:v>route</x:v>
      </x:c>
      <x:c r="C1164" s="6" t="str">
        <x:v>How do I get from Bedroom 0.13 (apartment 2) (Ground floor) to Bedroom 2.06 (apartment 5) (Floor 2)?</x:v>
      </x:c>
      <x:c r="D1164" s="6" t="str">
        <x:v>39.23 m
From: Bedroom 0.13 (apartment 2)
To: Bedroom 2.06 (apartment 5)
Ordered path (7 spaces): Bedroom 0.13 (apartment 2) → Corridor 0.12 (apartment 2) → Landing 0.17 → Landing 1.16 → Landing 2.16 → Corridor 2.05 (apartment 5) → Bedroom 2.06 (apartment 5)</x:v>
      </x:c>
      <x:c r="E1164" s="6" t="str">
        <x:v>Reference supplied</x:v>
      </x:c>
      <x:c r="F1164" s="6" t="str">
        <x:v>train</x:v>
      </x:c>
      <x:c r="G1164" s="6" t="str">
        <x:v>swiss-1355</x:v>
      </x:c>
      <x:c r="H1164" s="6" t="str">
        <x:v>swiss-1355-Q02</x:v>
      </x:c>
      <x:c r="I1164" s="6" t="str">
        <x:v>Route planning</x:v>
      </x:c>
      <x:c r="J1164" s="6" t="str">
        <x:v>Warm-up</x:v>
      </x:c>
      <x:c r="K1164" s="6" t="str">
        <x:v>Ordered space path and directions, plus total route-model distance in metres.</x:v>
      </x:c>
      <x:c r="L1164" s="6" t="str">
        <x:v>T02, T05, T13</x:v>
      </x:c>
      <x:c r="M1164" s="6" t="str">
        <x:v>Find a valid route between two rooms, including across floors.</x:v>
      </x:c>
      <x:c r="N1164" s="6" t="str">
        <x:v>{"from_space_id":"swiss-1355-F0-S013","to_space_id":"swiss-1355-F2-S006","optimal_length_m":39.23,"space_path":["swiss-1355-F0-S013","swiss-1355-F0-S012","swiss-1355-F0-S017","swiss-1355-F1-S016","swiss-1355-F2-S016","swiss-1355-F2-S005","swiss-1355-F2-S006"],"element_path":["swiss-1355-F0-O0016","swiss-1355-F0-O0016","swiss-1355-F0-O0009","swiss-1355-F0-O0009","swiss-1355-V02","swiss-1355-V03","swiss-1355-F2-O0037","swiss-1355-F2-O0037","swiss-1355-F2-O0040","swiss-1355-F2-O0040"]}</x:v>
      </x:c>
      <x:c r="O1164" s="6"/>
      <x:c r="P1164" s="6" t="str">
        <x:v>README routing profile. Stairs and lifts allowed unless stated otherwise.</x:v>
      </x:c>
      <x:c r="Q1164" s="15" t="n">
        <x:v>39.23</x:v>
      </x:c>
      <x:c r="R1164" s="6" t="str">
        <x:v>m</x:v>
      </x:c>
      <x:c r="S1164" s="16"/>
      <x:c r="T1164" s="15"/>
      <x:c r="U1164" s="6"/>
      <x:c r="V1164" s="6"/>
      <x:c r="W1164" s="6" t="str">
        <x:v>Existing find_route and show_route implement the kit routing model.</x:v>
      </x:c>
      <x:c r="X1164" s="6" t="str">
        <x:v>data/train/swiss-1355/questions_basic.jsonl</x:v>
      </x:c>
      <x:c r="Y1164" s="14" t="n">
        <x:v>2</x:v>
      </x:c>
      <x:c r="Z1164" s="6" t="str">
        <x:v>https://github.com/hagenhaeussler/Industrial-Agents-Hackathon-2026/blob/f41616590b69f3ea0c1cbfb41d6c35edd9ce53df/data/train/swiss-1355/questions_basic.jsonl#L2</x:v>
      </x:c>
      <x:c r="AA1164" s="6" t="str">
        <x:v>swiss_dwellings</x:v>
      </x:c>
      <x:c r="AB1164" s="6" t="str">
        <x:v>CC-BY-4.0</x:v>
      </x:c>
    </x:row>
    <x:row r="1165" ht="96" customHeight="1">
      <x:c r="A1165" s="14" t="n">
        <x:v>1160</x:v>
      </x:c>
      <x:c r="B1165" s="6" t="str">
        <x:v>route</x:v>
      </x:c>
      <x:c r="C1165" s="6" t="str">
        <x:v>How do I get from Bedroom 2.14 (apartment 6) (Floor 2) to Bathroom 0.02 (apartment 1) (Ground floor)?</x:v>
      </x:c>
      <x:c r="D1165" s="6" t="str">
        <x:v>37.78 m
From: Bedroom 2.14 (apartment 6)
To: Bathroom 0.02 (apartment 1)
Ordered path (7 spaces): Bedroom 2.14 (apartment 6) → Corridor 2.15 (apartment 6) → Landing 2.17 → Landing 1.17 → Landing 0.16 → Corridor 0.04 (apartment 1) → Bathroom 0.02 (apartment 1)</x:v>
      </x:c>
      <x:c r="E1165" s="6" t="str">
        <x:v>Reference supplied</x:v>
      </x:c>
      <x:c r="F1165" s="6" t="str">
        <x:v>train</x:v>
      </x:c>
      <x:c r="G1165" s="6" t="str">
        <x:v>swiss-1355</x:v>
      </x:c>
      <x:c r="H1165" s="6" t="str">
        <x:v>swiss-1355-Q03</x:v>
      </x:c>
      <x:c r="I1165" s="6" t="str">
        <x:v>Route planning</x:v>
      </x:c>
      <x:c r="J1165" s="6" t="str">
        <x:v>Warm-up</x:v>
      </x:c>
      <x:c r="K1165" s="6" t="str">
        <x:v>Ordered space path and directions, plus total route-model distance in metres.</x:v>
      </x:c>
      <x:c r="L1165" s="6" t="str">
        <x:v>T02, T05, T13</x:v>
      </x:c>
      <x:c r="M1165" s="6" t="str">
        <x:v>Find a valid route between two rooms, including across floors.</x:v>
      </x:c>
      <x:c r="N1165" s="6" t="str">
        <x:v>{"from_space_id":"swiss-1355-F2-S014","to_space_id":"swiss-1355-F0-S002","optimal_length_m":37.78,"space_path":["swiss-1355-F2-S014","swiss-1355-F2-S015","swiss-1355-F2-S017","swiss-1355-F1-S017","swiss-1355-F0-S016","swiss-1355-F0-S004","swiss-1355-F0-S002"],"element_path":["swiss-1355-F2-O0042","swiss-1355-F2-O0042","swiss-1355-F2-O0048","swiss-1355-F2-O0048","swiss-1355-V01","swiss-1355-V01","swiss-1355-F0-O0007","swiss-1355-F0-O0007","swiss-1355-F0-O0008","swiss-1355-F0-O0008"]}</x:v>
      </x:c>
      <x:c r="O1165" s="6"/>
      <x:c r="P1165" s="6" t="str">
        <x:v>README routing profile. Stairs and lifts allowed unless stated otherwise.</x:v>
      </x:c>
      <x:c r="Q1165" s="15" t="n">
        <x:v>37.78</x:v>
      </x:c>
      <x:c r="R1165" s="6" t="str">
        <x:v>m</x:v>
      </x:c>
      <x:c r="S1165" s="16"/>
      <x:c r="T1165" s="15"/>
      <x:c r="U1165" s="6"/>
      <x:c r="V1165" s="6"/>
      <x:c r="W1165" s="6" t="str">
        <x:v>Existing find_route and show_route implement the kit routing model.</x:v>
      </x:c>
      <x:c r="X1165" s="6" t="str">
        <x:v>data/train/swiss-1355/questions_basic.jsonl</x:v>
      </x:c>
      <x:c r="Y1165" s="14" t="n">
        <x:v>3</x:v>
      </x:c>
      <x:c r="Z1165" s="6" t="str">
        <x:v>https://github.com/hagenhaeussler/Industrial-Agents-Hackathon-2026/blob/f41616590b69f3ea0c1cbfb41d6c35edd9ce53df/data/train/swiss-1355/questions_basic.jsonl#L3</x:v>
      </x:c>
      <x:c r="AA1165" s="6" t="str">
        <x:v>swiss_dwellings</x:v>
      </x:c>
      <x:c r="AB1165" s="6" t="str">
        <x:v>CC-BY-4.0</x:v>
      </x:c>
    </x:row>
    <x:row r="1166" ht="110" customHeight="1">
      <x:c r="A1166" s="14" t="n">
        <x:v>1161</x:v>
      </x:c>
      <x:c r="B1166" s="6" t="str">
        <x:v>route</x:v>
      </x:c>
      <x:c r="C1166" s="6" t="str">
        <x:v>How do I get from Bedroom 0.15 (apartment 2) (Ground floor) to Bedroom 2.09 (apartment 6) (Floor 2)?</x:v>
      </x:c>
      <x:c r="D1166" s="6" t="str">
        <x:v>38.76 m
From: Bedroom 0.15 (apartment 2)
To: Bedroom 2.09 (apartment 6)
Ordered path (9 spaces): Bedroom 0.15 (apartment 2) → Corridor 0.12 (apartment 2) → Landing 0.17 → outside → Landing 0.16 → Landing 1.17 → Landing 2.17 → Corridor 2.15 (apartment 6) → Bedroom 2.09 (apartment 6)</x:v>
      </x:c>
      <x:c r="E1166" s="6" t="str">
        <x:v>Reference supplied</x:v>
      </x:c>
      <x:c r="F1166" s="6" t="str">
        <x:v>train</x:v>
      </x:c>
      <x:c r="G1166" s="6" t="str">
        <x:v>swiss-1355</x:v>
      </x:c>
      <x:c r="H1166" s="6" t="str">
        <x:v>swiss-1355-Q04</x:v>
      </x:c>
      <x:c r="I1166" s="6" t="str">
        <x:v>Route planning</x:v>
      </x:c>
      <x:c r="J1166" s="6" t="str">
        <x:v>Warm-up</x:v>
      </x:c>
      <x:c r="K1166" s="6" t="str">
        <x:v>Ordered space path and directions, plus total route-model distance in metres.</x:v>
      </x:c>
      <x:c r="L1166" s="6" t="str">
        <x:v>T02, T05, T13</x:v>
      </x:c>
      <x:c r="M1166" s="6" t="str">
        <x:v>Find a valid route between two rooms, including across floors.</x:v>
      </x:c>
      <x:c r="N1166" s="6" t="str">
        <x:v>{"from_space_id":"swiss-1355-F0-S015","to_space_id":"swiss-1355-F2-S009","optimal_length_m":38.76,"space_path":["swiss-1355-F0-S015","swiss-1355-F0-S012","swiss-1355-F0-S017","outside","swiss-1355-F0-S016","swiss-1355-F1-S017","swiss-1355-F2-S017","swiss-1355-F2-S015","swiss-1355-F2-S009"],"element_path":["swiss-1355-F0-O0013","swiss-1355-F0-O0013","swiss-1355-F0-O0009","swiss-1355-F0-O0009","swiss-1355-F0-O0050","swiss-1355-F0-O0050","swiss-1355-F0-O0049","swiss-1355-F0-O0049","swiss-1355-V01","swiss-1355-V01","swiss-1355-F2-O0048","swiss-1355-F2-O0048","swiss-1355-F2-O0044","swiss-1355-F2-O0044"]}</x:v>
      </x:c>
      <x:c r="O1166" s="6"/>
      <x:c r="P1166" s="6" t="str">
        <x:v>README routing profile. Stairs and lifts allowed unless stated otherwise.</x:v>
      </x:c>
      <x:c r="Q1166" s="15" t="n">
        <x:v>38.76</x:v>
      </x:c>
      <x:c r="R1166" s="6" t="str">
        <x:v>m</x:v>
      </x:c>
      <x:c r="S1166" s="16"/>
      <x:c r="T1166" s="15"/>
      <x:c r="U1166" s="6"/>
      <x:c r="V1166" s="6"/>
      <x:c r="W1166" s="6" t="str">
        <x:v>Existing find_route and show_route implement the kit routing model.</x:v>
      </x:c>
      <x:c r="X1166" s="6" t="str">
        <x:v>data/train/swiss-1355/questions_basic.jsonl</x:v>
      </x:c>
      <x:c r="Y1166" s="14" t="n">
        <x:v>4</x:v>
      </x:c>
      <x:c r="Z1166" s="6" t="str">
        <x:v>https://github.com/hagenhaeussler/Industrial-Agents-Hackathon-2026/blob/f41616590b69f3ea0c1cbfb41d6c35edd9ce53df/data/train/swiss-1355/questions_basic.jsonl#L4</x:v>
      </x:c>
      <x:c r="AA1166" s="6" t="str">
        <x:v>swiss_dwellings</x:v>
      </x:c>
      <x:c r="AB1166" s="6" t="str">
        <x:v>CC-BY-4.0</x:v>
      </x:c>
    </x:row>
    <x:row r="1167" ht="96" customHeight="1">
      <x:c r="A1167" s="14" t="n">
        <x:v>1162</x:v>
      </x:c>
      <x:c r="B1167" s="6" t="str">
        <x:v>route</x:v>
      </x:c>
      <x:c r="C1167" s="6" t="str">
        <x:v>How do I get from Living room 0.11 (apartment 2) (Ground floor) to Bedroom 0.29 (apartment 3) (Ground floor)?</x:v>
      </x:c>
      <x:c r="D1167" s="6" t="str">
        <x:v>17.88 m
From: Living room 0.11 (apartment 2)
To: Bedroom 0.29 (apartment 3)
Ordered path (7 spaces): Living room 0.11 (apartment 2) → Corridor 0.12 (apartment 2) → Landing 0.41 → outside → Landing 0.42 → Corridor 0.24 (apartment 3) → Bedroom 0.29 (apartment 3)</x:v>
      </x:c>
      <x:c r="E1167" s="6" t="str">
        <x:v>Reference supplied</x:v>
      </x:c>
      <x:c r="F1167" s="6" t="str">
        <x:v>train</x:v>
      </x:c>
      <x:c r="G1167" s="6" t="str">
        <x:v>swiss-1390</x:v>
      </x:c>
      <x:c r="H1167" s="6" t="str">
        <x:v>swiss-1390-Q03</x:v>
      </x:c>
      <x:c r="I1167" s="6" t="str">
        <x:v>Route planning</x:v>
      </x:c>
      <x:c r="J1167" s="6" t="str">
        <x:v>Warm-up</x:v>
      </x:c>
      <x:c r="K1167" s="6" t="str">
        <x:v>Ordered space path and directions, plus total route-model distance in metres.</x:v>
      </x:c>
      <x:c r="L1167" s="6" t="str">
        <x:v>T02, T05, T13</x:v>
      </x:c>
      <x:c r="M1167" s="6" t="str">
        <x:v>Find a valid route between two rooms, including across floors.</x:v>
      </x:c>
      <x:c r="N1167" s="6" t="str">
        <x:v>{"from_space_id":"swiss-1390-F0-S011","to_space_id":"swiss-1390-F0-S029","optimal_length_m":17.88,"space_path":["swiss-1390-F0-S011","swiss-1390-F0-S012","swiss-1390-F0-S041","outside","swiss-1390-F0-S042","swiss-1390-F0-S024","swiss-1390-F0-S029"],"element_path":["swiss-1390-F0-O0035","swiss-1390-F0-O0035","swiss-1390-F0-O0015","swiss-1390-F0-O0015","swiss-1390-F0-O0166","swiss-1390-F0-O0166","swiss-1390-F0-O0167","swiss-1390-F0-O0167","swiss-1390-F0-O0020","swiss-1390-F0-O0020","swiss-1390-F0-O0025","swiss-1390-F0-O0025"]}</x:v>
      </x:c>
      <x:c r="O1167" s="6"/>
      <x:c r="P1167" s="6" t="str">
        <x:v>README routing profile. Stairs and lifts allowed unless stated otherwise.</x:v>
      </x:c>
      <x:c r="Q1167" s="15" t="n">
        <x:v>17.88</x:v>
      </x:c>
      <x:c r="R1167" s="6" t="str">
        <x:v>m</x:v>
      </x:c>
      <x:c r="S1167" s="16"/>
      <x:c r="T1167" s="15"/>
      <x:c r="U1167" s="6"/>
      <x:c r="V1167" s="6"/>
      <x:c r="W1167" s="6" t="str">
        <x:v>Existing find_route and show_route implement the kit routing model.</x:v>
      </x:c>
      <x:c r="X1167" s="6" t="str">
        <x:v>data/train/swiss-1390/questions_basic.jsonl</x:v>
      </x:c>
      <x:c r="Y1167" s="14" t="n">
        <x:v>3</x:v>
      </x:c>
      <x:c r="Z1167" s="6" t="str">
        <x:v>https://github.com/hagenhaeussler/Industrial-Agents-Hackathon-2026/blob/f41616590b69f3ea0c1cbfb41d6c35edd9ce53df/data/train/swiss-1390/questions_basic.jsonl#L3</x:v>
      </x:c>
      <x:c r="AA1167" s="6" t="str">
        <x:v>swiss_dwellings</x:v>
      </x:c>
      <x:c r="AB1167" s="6" t="str">
        <x:v>CC-BY-4.0</x:v>
      </x:c>
    </x:row>
    <x:row r="1168" ht="110" customHeight="1">
      <x:c r="A1168" s="14" t="n">
        <x:v>1163</x:v>
      </x:c>
      <x:c r="B1168" s="6" t="str">
        <x:v>route</x:v>
      </x:c>
      <x:c r="C1168" s="6" t="str">
        <x:v>How do I get from Living room 0.11 (apartment 2) (Ground floor) to Kitchen 3.30 (apartment 16) (Floor 3)?</x:v>
      </x:c>
      <x:c r="D1168" s="6" t="str">
        <x:v>53.48 m
From: Living room 0.11 (apartment 2)
To: Kitchen 3.30 (apartment 16)
Ordered path (9 spaces): Living room 0.11 (apartment 2) → Corridor 0.12 (apartment 2) → Landing 0.41 → Landing 1.40 → Landing 2.40 → Landing 3.43 → Corridor 3.31 (apartment 16) → Living room 3.32 (apartment 16) → Kitchen 3.30 (apartment 16)</x:v>
      </x:c>
      <x:c r="E1168" s="6" t="str">
        <x:v>Reference supplied</x:v>
      </x:c>
      <x:c r="F1168" s="6" t="str">
        <x:v>train</x:v>
      </x:c>
      <x:c r="G1168" s="6" t="str">
        <x:v>swiss-1390</x:v>
      </x:c>
      <x:c r="H1168" s="6" t="str">
        <x:v>swiss-1390-Q04</x:v>
      </x:c>
      <x:c r="I1168" s="6" t="str">
        <x:v>Route planning</x:v>
      </x:c>
      <x:c r="J1168" s="6" t="str">
        <x:v>Warm-up</x:v>
      </x:c>
      <x:c r="K1168" s="6" t="str">
        <x:v>Ordered space path and directions, plus total route-model distance in metres.</x:v>
      </x:c>
      <x:c r="L1168" s="6" t="str">
        <x:v>T02, T05, T13</x:v>
      </x:c>
      <x:c r="M1168" s="6" t="str">
        <x:v>Find a valid route between two rooms, including across floors.</x:v>
      </x:c>
      <x:c r="N1168" s="6" t="str">
        <x:v>{"from_space_id":"swiss-1390-F0-S011","to_space_id":"swiss-1390-F3-S030","optimal_length_m":53.48,"space_path":["swiss-1390-F0-S011","swiss-1390-F0-S012","swiss-1390-F0-S041","swiss-1390-F1-S040","swiss-1390-F2-S040","swiss-1390-F3-S043","swiss-1390-F3-S031","swiss-1390-F3-S032","swiss-1390-F3-S030"],"element_path":["swiss-1390-F0-O0035","swiss-1390-F0-O0035","swiss-1390-F0-O0015","swiss-1390-F0-O0015","swiss-1390-V02","swiss-1390-V05","swiss-1390-V10","swiss-1390-F3-O0151","swiss-1390-F3-O0151","swiss-1390-F3-O0164","swiss-1390-F3-O0164","swiss-1390-F3-O0153","swiss-1390-F3-O0153"]}</x:v>
      </x:c>
      <x:c r="O1168" s="6"/>
      <x:c r="P1168" s="6" t="str">
        <x:v>README routing profile. Stairs and lifts allowed unless stated otherwise.</x:v>
      </x:c>
      <x:c r="Q1168" s="15" t="n">
        <x:v>53.48</x:v>
      </x:c>
      <x:c r="R1168" s="6" t="str">
        <x:v>m</x:v>
      </x:c>
      <x:c r="S1168" s="16"/>
      <x:c r="T1168" s="15"/>
      <x:c r="U1168" s="6"/>
      <x:c r="V1168" s="6"/>
      <x:c r="W1168" s="6" t="str">
        <x:v>Existing find_route and show_route implement the kit routing model.</x:v>
      </x:c>
      <x:c r="X1168" s="6" t="str">
        <x:v>data/train/swiss-1390/questions_basic.jsonl</x:v>
      </x:c>
      <x:c r="Y1168" s="14" t="n">
        <x:v>4</x:v>
      </x:c>
      <x:c r="Z1168" s="6" t="str">
        <x:v>https://github.com/hagenhaeussler/Industrial-Agents-Hackathon-2026/blob/f41616590b69f3ea0c1cbfb41d6c35edd9ce53df/data/train/swiss-1390/questions_basic.jsonl#L4</x:v>
      </x:c>
      <x:c r="AA1168" s="6" t="str">
        <x:v>swiss_dwellings</x:v>
      </x:c>
      <x:c r="AB1168" s="6" t="str">
        <x:v>CC-BY-4.0</x:v>
      </x:c>
    </x:row>
    <x:row r="1169" ht="138" customHeight="1">
      <x:c r="A1169" s="14" t="n">
        <x:v>1164</x:v>
      </x:c>
      <x:c r="B1169" s="6" t="str">
        <x:v>route</x:v>
      </x:c>
      <x:c r="C1169" s="6" t="str">
        <x:v>How do I get from Bedroom 2.07 (apartment 9) (Floor 2) to Bedroom 3.22 (apartment 15) (Floor 3)?</x:v>
      </x:c>
      <x:c r="D1169" s="6" t="str">
        <x:v>80.11 m
From: Bedroom 2.07 (apartment 9)
To: Bedroom 3.22 (apartment 15)
Ordered path (13 spaces): Bedroom 2.07 (apartment 9) → Corridor 2.05 (apartment 9) → Landing 2.40 → Landing 1.40 → Landing 0.41 → outside → Landing 0.43 → Landing 1.42 → Landing 2.42 → Landing 3.42 → Corridor 3.20 (apartment 15) → Living room 3.23 (apartment 15) → Bedroom 3.22 (apartment 15)</x:v>
      </x:c>
      <x:c r="E1169" s="6" t="str">
        <x:v>Reference supplied</x:v>
      </x:c>
      <x:c r="F1169" s="6" t="str">
        <x:v>train</x:v>
      </x:c>
      <x:c r="G1169" s="6" t="str">
        <x:v>swiss-1390</x:v>
      </x:c>
      <x:c r="H1169" s="6" t="str">
        <x:v>swiss-1390-Q05</x:v>
      </x:c>
      <x:c r="I1169" s="6" t="str">
        <x:v>Route planning</x:v>
      </x:c>
      <x:c r="J1169" s="6" t="str">
        <x:v>Warm-up</x:v>
      </x:c>
      <x:c r="K1169" s="6" t="str">
        <x:v>Ordered space path and directions, plus total route-model distance in metres.</x:v>
      </x:c>
      <x:c r="L1169" s="6" t="str">
        <x:v>T02, T05, T13</x:v>
      </x:c>
      <x:c r="M1169" s="6" t="str">
        <x:v>Find a valid route between two rooms, including across floors.</x:v>
      </x:c>
      <x:c r="N1169" s="6" t="str">
        <x:v>{"from_space_id":"swiss-1390-F2-S007","to_space_id":"swiss-1390-F3-S022","optimal_length_m":80.11,"space_path":["swiss-1390-F2-S007","swiss-1390-F2-S005","swiss-1390-F2-S040","swiss-1390-F1-S040","swiss-1390-F0-S041","outside","swiss-1390-F0-S043","swiss-1390-F1-S042","swiss-1390-F2-S042","swiss-1390-F3-S042","swiss-1390-F3-S020","swiss-1390-F3-S023","swiss-1390-F3-S022"],"element_path":["swiss-1390-F2-O0088","swiss-1390-F2-O0088","swiss-1390-F2-O0089","swiss-1390-F2-O0089","swiss-1390-V05","swiss-1390-V02","swiss-1390-F0-O0166","swiss-1390-F0-O0166","swiss-1390-F0-O0168","swiss-1390-F0-O0168","swiss-1390-V03","swiss-1390-V06","swiss-1390-V09","swiss-1390-F3-O0139","swiss-1390-F3-O0139","swiss-1390-F3-O0161","swiss-1390-F3-O0161","swiss-1390-F3-O0142","swiss-1390-F3-O0142"]}</x:v>
      </x:c>
      <x:c r="O1169" s="6"/>
      <x:c r="P1169" s="6" t="str">
        <x:v>README routing profile. Stairs and lifts allowed unless stated otherwise.</x:v>
      </x:c>
      <x:c r="Q1169" s="15" t="n">
        <x:v>80.11</x:v>
      </x:c>
      <x:c r="R1169" s="6" t="str">
        <x:v>m</x:v>
      </x:c>
      <x:c r="S1169" s="16"/>
      <x:c r="T1169" s="15"/>
      <x:c r="U1169" s="6"/>
      <x:c r="V1169" s="6"/>
      <x:c r="W1169" s="6" t="str">
        <x:v>Existing find_route and show_route implement the kit routing model.</x:v>
      </x:c>
      <x:c r="X1169" s="6" t="str">
        <x:v>data/train/swiss-1390/questions_basic.jsonl</x:v>
      </x:c>
      <x:c r="Y1169" s="14" t="n">
        <x:v>5</x:v>
      </x:c>
      <x:c r="Z1169" s="6" t="str">
        <x:v>https://github.com/hagenhaeussler/Industrial-Agents-Hackathon-2026/blob/f41616590b69f3ea0c1cbfb41d6c35edd9ce53df/data/train/swiss-1390/questions_basic.jsonl#L5</x:v>
      </x:c>
      <x:c r="AA1169" s="6" t="str">
        <x:v>swiss_dwellings</x:v>
      </x:c>
      <x:c r="AB1169" s="6" t="str">
        <x:v>CC-BY-4.0</x:v>
      </x:c>
    </x:row>
    <x:row r="1170" ht="96" customHeight="1">
      <x:c r="A1170" s="14" t="n">
        <x:v>1165</x:v>
      </x:c>
      <x:c r="B1170" s="6" t="str">
        <x:v>route</x:v>
      </x:c>
      <x:c r="C1170" s="6" t="str">
        <x:v>How do I get from Kitchen 0.08 (apartment 2) (Ground floor) to Bedroom 0.05 (apartment 1) (Ground floor)?</x:v>
      </x:c>
      <x:c r="D1170" s="6" t="str">
        <x:v>18.22 m
From: Kitchen 0.08 (apartment 2)
To: Bedroom 0.05 (apartment 1)
Ordered path (5 spaces): Kitchen 0.08 (apartment 2) → Corridor 0.09 (apartment 2) → Stair hall 0.15 → Corridor 0.07 (apartment 1) → Bedroom 0.05 (apartment 1)</x:v>
      </x:c>
      <x:c r="E1170" s="6" t="str">
        <x:v>Reference supplied</x:v>
      </x:c>
      <x:c r="F1170" s="6" t="str">
        <x:v>train</x:v>
      </x:c>
      <x:c r="G1170" s="6" t="str">
        <x:v>swiss-1433</x:v>
      </x:c>
      <x:c r="H1170" s="6" t="str">
        <x:v>swiss-1433-Q04</x:v>
      </x:c>
      <x:c r="I1170" s="6" t="str">
        <x:v>Route planning</x:v>
      </x:c>
      <x:c r="J1170" s="6" t="str">
        <x:v>Warm-up</x:v>
      </x:c>
      <x:c r="K1170" s="6" t="str">
        <x:v>Ordered space path and directions, plus total route-model distance in metres.</x:v>
      </x:c>
      <x:c r="L1170" s="6" t="str">
        <x:v>T02, T05, T13</x:v>
      </x:c>
      <x:c r="M1170" s="6" t="str">
        <x:v>Find a valid route between two rooms, including across floors.</x:v>
      </x:c>
      <x:c r="N1170" s="6" t="str">
        <x:v>{"from_space_id":"swiss-1433-F0-S008","to_space_id":"swiss-1433-F0-S005","optimal_length_m":18.22,"space_path":["swiss-1433-F0-S008","swiss-1433-F0-S009","swiss-1433-F0-S015","swiss-1433-F0-S007","swiss-1433-F0-S005"],"element_path":["swiss-1433-F0-O0010","swiss-1433-F0-O0010","swiss-1433-F0-O0014","swiss-1433-F0-O0014","swiss-1433-F0-O0007","swiss-1433-F0-O0007","swiss-1433-F0-O0005","swiss-1433-F0-O0005"]}</x:v>
      </x:c>
      <x:c r="O1170" s="6"/>
      <x:c r="P1170" s="6" t="str">
        <x:v>README routing profile. Stairs and lifts allowed unless stated otherwise.</x:v>
      </x:c>
      <x:c r="Q1170" s="15" t="n">
        <x:v>18.22</x:v>
      </x:c>
      <x:c r="R1170" s="6" t="str">
        <x:v>m</x:v>
      </x:c>
      <x:c r="S1170" s="16"/>
      <x:c r="T1170" s="15"/>
      <x:c r="U1170" s="6"/>
      <x:c r="V1170" s="6"/>
      <x:c r="W1170" s="6" t="str">
        <x:v>Existing find_route and show_route implement the kit routing model.</x:v>
      </x:c>
      <x:c r="X1170" s="6" t="str">
        <x:v>data/train/swiss-1433/questions_basic.jsonl</x:v>
      </x:c>
      <x:c r="Y1170" s="14" t="n">
        <x:v>4</x:v>
      </x:c>
      <x:c r="Z1170" s="6" t="str">
        <x:v>https://github.com/hagenhaeussler/Industrial-Agents-Hackathon-2026/blob/f41616590b69f3ea0c1cbfb41d6c35edd9ce53df/data/train/swiss-1433/questions_basic.jsonl#L4</x:v>
      </x:c>
      <x:c r="AA1170" s="6" t="str">
        <x:v>swiss_dwellings</x:v>
      </x:c>
      <x:c r="AB1170" s="6" t="str">
        <x:v>CC-BY-4.0</x:v>
      </x:c>
    </x:row>
    <x:row r="1171" ht="96" customHeight="1">
      <x:c r="A1171" s="14" t="n">
        <x:v>1166</x:v>
      </x:c>
      <x:c r="B1171" s="6" t="str">
        <x:v>route</x:v>
      </x:c>
      <x:c r="C1171" s="6" t="str">
        <x:v>How do I get from Bedroom 1.13 (apartment 4) (Floor 1) to Bedroom 1.05 (apartment 3) (Floor 1)?</x:v>
      </x:c>
      <x:c r="D1171" s="6" t="str">
        <x:v>18.26 m
From: Bedroom 1.13 (apartment 4)
To: Bedroom 1.05 (apartment 3)
Ordered path (5 spaces): Bedroom 1.13 (apartment 4) → Corridor 1.12 (apartment 4) → Stair hall 1.17 → Corridor 1.04 (apartment 3) → Bedroom 1.05 (apartment 3)</x:v>
      </x:c>
      <x:c r="E1171" s="6" t="str">
        <x:v>Reference supplied</x:v>
      </x:c>
      <x:c r="F1171" s="6" t="str">
        <x:v>train</x:v>
      </x:c>
      <x:c r="G1171" s="6" t="str">
        <x:v>swiss-1433</x:v>
      </x:c>
      <x:c r="H1171" s="6" t="str">
        <x:v>swiss-1433-Q05</x:v>
      </x:c>
      <x:c r="I1171" s="6" t="str">
        <x:v>Route planning</x:v>
      </x:c>
      <x:c r="J1171" s="6" t="str">
        <x:v>Warm-up</x:v>
      </x:c>
      <x:c r="K1171" s="6" t="str">
        <x:v>Ordered space path and directions, plus total route-model distance in metres.</x:v>
      </x:c>
      <x:c r="L1171" s="6" t="str">
        <x:v>T02, T05, T13</x:v>
      </x:c>
      <x:c r="M1171" s="6" t="str">
        <x:v>Find a valid route between two rooms, including across floors.</x:v>
      </x:c>
      <x:c r="N1171" s="6" t="str">
        <x:v>{"from_space_id":"swiss-1433-F1-S013","to_space_id":"swiss-1433-F1-S005","optimal_length_m":18.26,"space_path":["swiss-1433-F1-S013","swiss-1433-F1-S012","swiss-1433-F1-S017","swiss-1433-F1-S004","swiss-1433-F1-S005"],"element_path":["swiss-1433-F1-O0026","swiss-1433-F1-O0026","swiss-1433-F1-O0030","swiss-1433-F1-O0030","swiss-1433-F1-O0019","swiss-1433-F1-O0019","swiss-1433-F1-O0017","swiss-1433-F1-O0017"]}</x:v>
      </x:c>
      <x:c r="O1171" s="6"/>
      <x:c r="P1171" s="6" t="str">
        <x:v>README routing profile. Stairs and lifts allowed unless stated otherwise.</x:v>
      </x:c>
      <x:c r="Q1171" s="15" t="n">
        <x:v>18.26</x:v>
      </x:c>
      <x:c r="R1171" s="6" t="str">
        <x:v>m</x:v>
      </x:c>
      <x:c r="S1171" s="16"/>
      <x:c r="T1171" s="15"/>
      <x:c r="U1171" s="6"/>
      <x:c r="V1171" s="6"/>
      <x:c r="W1171" s="6" t="str">
        <x:v>Existing find_route and show_route implement the kit routing model.</x:v>
      </x:c>
      <x:c r="X1171" s="6" t="str">
        <x:v>data/train/swiss-1433/questions_basic.jsonl</x:v>
      </x:c>
      <x:c r="Y1171" s="14" t="n">
        <x:v>5</x:v>
      </x:c>
      <x:c r="Z1171" s="6" t="str">
        <x:v>https://github.com/hagenhaeussler/Industrial-Agents-Hackathon-2026/blob/f41616590b69f3ea0c1cbfb41d6c35edd9ce53df/data/train/swiss-1433/questions_basic.jsonl#L5</x:v>
      </x:c>
      <x:c r="AA1171" s="6" t="str">
        <x:v>swiss_dwellings</x:v>
      </x:c>
      <x:c r="AB1171" s="6" t="str">
        <x:v>CC-BY-4.0</x:v>
      </x:c>
    </x:row>
    <x:row r="1172" ht="96" customHeight="1">
      <x:c r="A1172" s="14" t="n">
        <x:v>1167</x:v>
      </x:c>
      <x:c r="B1172" s="6" t="str">
        <x:v>route</x:v>
      </x:c>
      <x:c r="C1172" s="6" t="str">
        <x:v>How do I get from Kitchen 0.08 (apartment 2) (Ground floor) to Bedroom 2.01 (apartment 5) (Floor 2)?</x:v>
      </x:c>
      <x:c r="D1172" s="6" t="str">
        <x:v>40.77 m
From: Kitchen 0.08 (apartment 2)
To: Bedroom 2.01 (apartment 5)
Ordered path (7 spaces): Kitchen 0.08 (apartment 2) → Corridor 0.09 (apartment 2) → Stair hall 0.15 → Stair hall 1.17 → Stair hall 2.17 → Corridor 2.08 (apartment 5) → Bedroom 2.01 (apartment 5)</x:v>
      </x:c>
      <x:c r="E1172" s="6" t="str">
        <x:v>Reference supplied</x:v>
      </x:c>
      <x:c r="F1172" s="6" t="str">
        <x:v>train</x:v>
      </x:c>
      <x:c r="G1172" s="6" t="str">
        <x:v>swiss-1433</x:v>
      </x:c>
      <x:c r="H1172" s="6" t="str">
        <x:v>swiss-1433-Q06</x:v>
      </x:c>
      <x:c r="I1172" s="6" t="str">
        <x:v>Route planning</x:v>
      </x:c>
      <x:c r="J1172" s="6" t="str">
        <x:v>Warm-up</x:v>
      </x:c>
      <x:c r="K1172" s="6" t="str">
        <x:v>Ordered space path and directions, plus total route-model distance in metres.</x:v>
      </x:c>
      <x:c r="L1172" s="6" t="str">
        <x:v>T02, T05, T13</x:v>
      </x:c>
      <x:c r="M1172" s="6" t="str">
        <x:v>Find a valid route between two rooms, including across floors.</x:v>
      </x:c>
      <x:c r="N1172" s="6" t="str">
        <x:v>{"from_space_id":"swiss-1433-F0-S008","to_space_id":"swiss-1433-F2-S001","optimal_length_m":40.77,"space_path":["swiss-1433-F0-S008","swiss-1433-F0-S009","swiss-1433-F0-S015","swiss-1433-F1-S017","swiss-1433-F2-S017","swiss-1433-F2-S008","swiss-1433-F2-S001"],"element_path":["swiss-1433-F0-O0010","swiss-1433-F0-O0010","swiss-1433-F0-O0014","swiss-1433-F0-O0014","swiss-1433-V01","swiss-1433-V01","swiss-1433-F2-O0033","swiss-1433-F2-O0033","swiss-1433-F2-O0032","swiss-1433-F2-O0032"]}</x:v>
      </x:c>
      <x:c r="O1172" s="6"/>
      <x:c r="P1172" s="6" t="str">
        <x:v>README routing profile. Stairs and lifts allowed unless stated otherwise.</x:v>
      </x:c>
      <x:c r="Q1172" s="15" t="n">
        <x:v>40.77</x:v>
      </x:c>
      <x:c r="R1172" s="6" t="str">
        <x:v>m</x:v>
      </x:c>
      <x:c r="S1172" s="16"/>
      <x:c r="T1172" s="15"/>
      <x:c r="U1172" s="6"/>
      <x:c r="V1172" s="6"/>
      <x:c r="W1172" s="6" t="str">
        <x:v>Existing find_route and show_route implement the kit routing model.</x:v>
      </x:c>
      <x:c r="X1172" s="6" t="str">
        <x:v>data/train/swiss-1433/questions_basic.jsonl</x:v>
      </x:c>
      <x:c r="Y1172" s="14" t="n">
        <x:v>6</x:v>
      </x:c>
      <x:c r="Z1172" s="6" t="str">
        <x:v>https://github.com/hagenhaeussler/Industrial-Agents-Hackathon-2026/blob/f41616590b69f3ea0c1cbfb41d6c35edd9ce53df/data/train/swiss-1433/questions_basic.jsonl#L6</x:v>
      </x:c>
      <x:c r="AA1172" s="6" t="str">
        <x:v>swiss_dwellings</x:v>
      </x:c>
      <x:c r="AB1172" s="6" t="str">
        <x:v>CC-BY-4.0</x:v>
      </x:c>
    </x:row>
    <x:row r="1173" ht="110" customHeight="1">
      <x:c r="A1173" s="14" t="n">
        <x:v>1168</x:v>
      </x:c>
      <x:c r="B1173" s="6" t="str">
        <x:v>route</x:v>
      </x:c>
      <x:c r="C1173" s="6" t="str">
        <x:v>How do I get from Bathroom 1.07 (apartment 5) (Floor 1) to Bedroom 1.31 (apartment 7) (Floor 1)?</x:v>
      </x:c>
      <x:c r="D1173" s="6" t="str">
        <x:v>42.22 m
From: Bathroom 1.07 (apartment 5)
To: Bedroom 1.31 (apartment 7)
Ordered path (9 spaces): Bathroom 1.07 (apartment 5) → Corridor 1.10 (apartment 5) → Landing 1.51 → Landing 0.53 → outside → Landing 0.51 → Landing 1.53 → Corridor 1.29 (apartment 7) → Bedroom 1.31 (apartment 7)</x:v>
      </x:c>
      <x:c r="E1173" s="6" t="str">
        <x:v>Reference supplied</x:v>
      </x:c>
      <x:c r="F1173" s="6" t="str">
        <x:v>train</x:v>
      </x:c>
      <x:c r="G1173" s="6" t="str">
        <x:v>swiss-1444</x:v>
      </x:c>
      <x:c r="H1173" s="6" t="str">
        <x:v>swiss-1444-Q03</x:v>
      </x:c>
      <x:c r="I1173" s="6" t="str">
        <x:v>Route planning</x:v>
      </x:c>
      <x:c r="J1173" s="6" t="str">
        <x:v>Warm-up</x:v>
      </x:c>
      <x:c r="K1173" s="6" t="str">
        <x:v>Ordered space path and directions, plus total route-model distance in metres.</x:v>
      </x:c>
      <x:c r="L1173" s="6" t="str">
        <x:v>T02, T05, T13</x:v>
      </x:c>
      <x:c r="M1173" s="6" t="str">
        <x:v>Find a valid route between two rooms, including across floors.</x:v>
      </x:c>
      <x:c r="N1173" s="6" t="str">
        <x:v>{"from_space_id":"swiss-1444-F1-S007","to_space_id":"swiss-1444-F1-S031","optimal_length_m":42.22,"space_path":["swiss-1444-F1-S007","swiss-1444-F1-S010","swiss-1444-F1-S051","swiss-1444-F0-S053","outside","swiss-1444-F0-S051","swiss-1444-F1-S053","swiss-1444-F1-S029","swiss-1444-F1-S031"],"element_path":["swiss-1444-F1-O0074","swiss-1444-F1-O0074","swiss-1444-F1-O0071","swiss-1444-F1-O0071","swiss-1444-V01","swiss-1444-F0-O0183","swiss-1444-F0-O0183","swiss-1444-F0-O0181","swiss-1444-F0-O0181","swiss-1444-V03","swiss-1444-F1-O0090","swiss-1444-F1-O0090","swiss-1444-F1-O0096","swiss-1444-F1-O0096"]}</x:v>
      </x:c>
      <x:c r="O1173" s="6"/>
      <x:c r="P1173" s="6" t="str">
        <x:v>README routing profile. Stairs and lifts allowed unless stated otherwise.</x:v>
      </x:c>
      <x:c r="Q1173" s="15" t="n">
        <x:v>42.22</x:v>
      </x:c>
      <x:c r="R1173" s="6" t="str">
        <x:v>m</x:v>
      </x:c>
      <x:c r="S1173" s="16"/>
      <x:c r="T1173" s="15"/>
      <x:c r="U1173" s="6"/>
      <x:c r="V1173" s="6"/>
      <x:c r="W1173" s="6" t="str">
        <x:v>Existing find_route and show_route implement the kit routing model.</x:v>
      </x:c>
      <x:c r="X1173" s="6" t="str">
        <x:v>data/train/swiss-1444/questions_basic.jsonl</x:v>
      </x:c>
      <x:c r="Y1173" s="14" t="n">
        <x:v>3</x:v>
      </x:c>
      <x:c r="Z1173" s="6" t="str">
        <x:v>https://github.com/hagenhaeussler/Industrial-Agents-Hackathon-2026/blob/f41616590b69f3ea0c1cbfb41d6c35edd9ce53df/data/train/swiss-1444/questions_basic.jsonl#L3</x:v>
      </x:c>
      <x:c r="AA1173" s="6" t="str">
        <x:v>swiss_dwellings</x:v>
      </x:c>
      <x:c r="AB1173" s="6" t="str">
        <x:v>CC-BY-4.0</x:v>
      </x:c>
    </x:row>
    <x:row r="1174" ht="110" customHeight="1">
      <x:c r="A1174" s="14" t="n">
        <x:v>1169</x:v>
      </x:c>
      <x:c r="B1174" s="6" t="str">
        <x:v>route</x:v>
      </x:c>
      <x:c r="C1174" s="6" t="str">
        <x:v>How do I get from Bedroom 0.31 (apartment 3) (Ground floor) to Storage 1.23 (apartment 6) (Floor 1)?</x:v>
      </x:c>
      <x:c r="D1174" s="6" t="str">
        <x:v>30.58 m
From: Bedroom 0.31 (apartment 3)
To: Storage 1.23 (apartment 6)
Ordered path (9 spaces): Bedroom 0.31 (apartment 3) → Corridor 0.28 (apartment 3) → Landing 0.53 → outside → Landing 0.54 → Landing 1.52 → Corridor 1.15 (apartment 6) → Corridor 1.16 (apartment 6) → Storage 1.23 (apartment 6)</x:v>
      </x:c>
      <x:c r="E1174" s="6" t="str">
        <x:v>Reference supplied</x:v>
      </x:c>
      <x:c r="F1174" s="6" t="str">
        <x:v>train</x:v>
      </x:c>
      <x:c r="G1174" s="6" t="str">
        <x:v>swiss-1444</x:v>
      </x:c>
      <x:c r="H1174" s="6" t="str">
        <x:v>swiss-1444-Q04</x:v>
      </x:c>
      <x:c r="I1174" s="6" t="str">
        <x:v>Route planning</x:v>
      </x:c>
      <x:c r="J1174" s="6" t="str">
        <x:v>Warm-up</x:v>
      </x:c>
      <x:c r="K1174" s="6" t="str">
        <x:v>Ordered space path and directions, plus total route-model distance in metres.</x:v>
      </x:c>
      <x:c r="L1174" s="6" t="str">
        <x:v>T02, T05, T13</x:v>
      </x:c>
      <x:c r="M1174" s="6" t="str">
        <x:v>Find a valid route between two rooms, including across floors.</x:v>
      </x:c>
      <x:c r="N1174" s="6" t="str">
        <x:v>{"from_space_id":"swiss-1444-F0-S031","to_space_id":"swiss-1444-F1-S023","optimal_length_m":30.58,"space_path":["swiss-1444-F0-S031","swiss-1444-F0-S028","swiss-1444-F0-S053","outside","swiss-1444-F0-S054","swiss-1444-F1-S052","swiss-1444-F1-S015","swiss-1444-F1-S016","swiss-1444-F1-S023"],"element_path":["swiss-1444-F0-O0059","swiss-1444-F0-O0059","swiss-1444-F0-O0033","swiss-1444-F0-O0033","swiss-1444-F0-O0183","swiss-1444-F0-O0183","swiss-1444-F0-O0184","swiss-1444-F0-O0184","swiss-1444-V02","swiss-1444-F1-O0078","swiss-1444-F1-O0078","swiss-1444-F1-O0089","swiss-1444-F1-O0089","swiss-1444-F1-O0083","swiss-1444-F1-O0083"]}</x:v>
      </x:c>
      <x:c r="O1174" s="6"/>
      <x:c r="P1174" s="6" t="str">
        <x:v>README routing profile. Stairs and lifts allowed unless stated otherwise.</x:v>
      </x:c>
      <x:c r="Q1174" s="15" t="n">
        <x:v>30.58</x:v>
      </x:c>
      <x:c r="R1174" s="6" t="str">
        <x:v>m</x:v>
      </x:c>
      <x:c r="S1174" s="16"/>
      <x:c r="T1174" s="15"/>
      <x:c r="U1174" s="6"/>
      <x:c r="V1174" s="6"/>
      <x:c r="W1174" s="6" t="str">
        <x:v>Existing find_route and show_route implement the kit routing model.</x:v>
      </x:c>
      <x:c r="X1174" s="6" t="str">
        <x:v>data/train/swiss-1444/questions_basic.jsonl</x:v>
      </x:c>
      <x:c r="Y1174" s="14" t="n">
        <x:v>4</x:v>
      </x:c>
      <x:c r="Z1174" s="6" t="str">
        <x:v>https://github.com/hagenhaeussler/Industrial-Agents-Hackathon-2026/blob/f41616590b69f3ea0c1cbfb41d6c35edd9ce53df/data/train/swiss-1444/questions_basic.jsonl#L4</x:v>
      </x:c>
      <x:c r="AA1174" s="6" t="str">
        <x:v>swiss_dwellings</x:v>
      </x:c>
      <x:c r="AB1174" s="6" t="str">
        <x:v>CC-BY-4.0</x:v>
      </x:c>
    </x:row>
    <x:row r="1175" ht="138" customHeight="1">
      <x:c r="A1175" s="14" t="n">
        <x:v>1170</x:v>
      </x:c>
      <x:c r="B1175" s="6" t="str">
        <x:v>route</x:v>
      </x:c>
      <x:c r="C1175" s="6" t="str">
        <x:v>How do I get from Bathroom 2.34 (apartment 11) (Floor 2) to Bedroom 1.44 (apartment 8) (Floor 1)?</x:v>
      </x:c>
      <x:c r="D1175" s="6" t="str">
        <x:v>59.1 m
From: Bathroom 2.34 (apartment 11)
To: Bedroom 1.44 (apartment 8)
Ordered path (12 spaces): Bathroom 2.34 (apartment 11) → Corridor 2.36 (apartment 11) → Landing 2.53 → Landing 1.52 → Landing 0.54 → outside → Landing 0.52 → Landing 1.54 → Corridor 1.50 (apartment 8) → Bedroom 1.40 (apartment 8) → Corridor 1.49 (apartment 8) → Bedroom 1.44 (apartment 8)</x:v>
      </x:c>
      <x:c r="E1175" s="6" t="str">
        <x:v>Reference supplied</x:v>
      </x:c>
      <x:c r="F1175" s="6" t="str">
        <x:v>train</x:v>
      </x:c>
      <x:c r="G1175" s="6" t="str">
        <x:v>swiss-1444</x:v>
      </x:c>
      <x:c r="H1175" s="6" t="str">
        <x:v>swiss-1444-Q05</x:v>
      </x:c>
      <x:c r="I1175" s="6" t="str">
        <x:v>Route planning</x:v>
      </x:c>
      <x:c r="J1175" s="6" t="str">
        <x:v>Warm-up</x:v>
      </x:c>
      <x:c r="K1175" s="6" t="str">
        <x:v>Ordered space path and directions, plus total route-model distance in metres.</x:v>
      </x:c>
      <x:c r="L1175" s="6" t="str">
        <x:v>T02, T05, T13</x:v>
      </x:c>
      <x:c r="M1175" s="6" t="str">
        <x:v>Find a valid route between two rooms, including across floors.</x:v>
      </x:c>
      <x:c r="N1175" s="6" t="str">
        <x:v>{"from_space_id":"swiss-1444-F2-S034","to_space_id":"swiss-1444-F1-S044","optimal_length_m":59.1,"space_path":["swiss-1444-F2-S034","swiss-1444-F2-S036","swiss-1444-F2-S053","swiss-1444-F1-S052","swiss-1444-F0-S054","outside","swiss-1444-F0-S052","swiss-1444-F1-S054","swiss-1444-F1-S050","swiss-1444-F1-S040","swiss-1444-F1-S049","swiss-1444-F1-S044"],"element_path":["swiss-1444-F2-O0150","swiss-1444-F2-O0150","swiss-1444-F2-O0161","swiss-1444-F2-O0161","swiss-1444-V06","swiss-1444-V02","swiss-1444-F0-O0184","swiss-1444-F0-O0184","swiss-1444-F0-O0182","swiss-1444-F0-O0182","swiss-1444-V04","swiss-1444-F1-O0104","swiss-1444-F1-O0104","swiss-1444-F1-O0120","swiss-1444-F1-O0120","swiss-1444-F1-O0115","swiss-1444-F1-O0115","swiss-1444-F1-O0110","swiss-1444-F1-O0110"]}</x:v>
      </x:c>
      <x:c r="O1175" s="6"/>
      <x:c r="P1175" s="6" t="str">
        <x:v>README routing profile. Stairs and lifts allowed unless stated otherwise.</x:v>
      </x:c>
      <x:c r="Q1175" s="15" t="n">
        <x:v>59.1</x:v>
      </x:c>
      <x:c r="R1175" s="6" t="str">
        <x:v>m</x:v>
      </x:c>
      <x:c r="S1175" s="16"/>
      <x:c r="T1175" s="15"/>
      <x:c r="U1175" s="6"/>
      <x:c r="V1175" s="6"/>
      <x:c r="W1175" s="6" t="str">
        <x:v>Existing find_route and show_route implement the kit routing model.</x:v>
      </x:c>
      <x:c r="X1175" s="6" t="str">
        <x:v>data/train/swiss-1444/questions_basic.jsonl</x:v>
      </x:c>
      <x:c r="Y1175" s="14" t="n">
        <x:v>5</x:v>
      </x:c>
      <x:c r="Z1175" s="6" t="str">
        <x:v>https://github.com/hagenhaeussler/Industrial-Agents-Hackathon-2026/blob/f41616590b69f3ea0c1cbfb41d6c35edd9ce53df/data/train/swiss-1444/questions_basic.jsonl#L5</x:v>
      </x:c>
      <x:c r="AA1175" s="6" t="str">
        <x:v>swiss_dwellings</x:v>
      </x:c>
      <x:c r="AB1175" s="6" t="str">
        <x:v>CC-BY-4.0</x:v>
      </x:c>
    </x:row>
    <x:row r="1176" ht="96" customHeight="1">
      <x:c r="A1176" s="14" t="n">
        <x:v>1171</x:v>
      </x:c>
      <x:c r="B1176" s="6" t="str">
        <x:v>route</x:v>
      </x:c>
      <x:c r="C1176" s="6" t="str">
        <x:v>How do I get from Storage 2.16 (apartment 6) (Floor 2) to Living room 3.03 (apartment 7) (Floor 3)?</x:v>
      </x:c>
      <x:c r="D1176" s="6" t="str">
        <x:v>28.76 m
From: Storage 2.16 (apartment 6)
To: Living room 3.03 (apartment 7)
Ordered path (6 spaces): Storage 2.16 (apartment 6) → Living room 2.11 (apartment 6) → Stair hall 2.21 → Stair hall 3.17 → Corridor 3.01 (apartment 7) → Living room 3.03 (apartment 7)</x:v>
      </x:c>
      <x:c r="E1176" s="6" t="str">
        <x:v>Reference supplied</x:v>
      </x:c>
      <x:c r="F1176" s="6" t="str">
        <x:v>train</x:v>
      </x:c>
      <x:c r="G1176" s="6" t="str">
        <x:v>swiss-1457</x:v>
      </x:c>
      <x:c r="H1176" s="6" t="str">
        <x:v>swiss-1457-Q04</x:v>
      </x:c>
      <x:c r="I1176" s="6" t="str">
        <x:v>Route planning</x:v>
      </x:c>
      <x:c r="J1176" s="6" t="str">
        <x:v>Warm-up</x:v>
      </x:c>
      <x:c r="K1176" s="6" t="str">
        <x:v>Ordered space path and directions, plus total route-model distance in metres.</x:v>
      </x:c>
      <x:c r="L1176" s="6" t="str">
        <x:v>T02, T05, T13</x:v>
      </x:c>
      <x:c r="M1176" s="6" t="str">
        <x:v>Find a valid route between two rooms, including across floors.</x:v>
      </x:c>
      <x:c r="N1176" s="6" t="str">
        <x:v>{"from_space_id":"swiss-1457-F2-S016","to_space_id":"swiss-1457-F3-S003","optimal_length_m":28.76,"space_path":["swiss-1457-F2-S016","swiss-1457-F2-S011","swiss-1457-F2-S021","swiss-1457-F3-S017","swiss-1457-F3-S001","swiss-1457-F3-S003"],"element_path":["swiss-1457-F2-O0071","swiss-1457-F2-O0071","swiss-1457-F2-O0061","swiss-1457-F2-O0061","swiss-1457-V01","swiss-1457-F3-O0076","swiss-1457-F3-O0076","swiss-1457-F3-O0087","swiss-1457-F3-O0087"]}</x:v>
      </x:c>
      <x:c r="O1176" s="6"/>
      <x:c r="P1176" s="6" t="str">
        <x:v>README routing profile. Stairs and lifts allowed unless stated otherwise.</x:v>
      </x:c>
      <x:c r="Q1176" s="15" t="n">
        <x:v>28.76</x:v>
      </x:c>
      <x:c r="R1176" s="6" t="str">
        <x:v>m</x:v>
      </x:c>
      <x:c r="S1176" s="16"/>
      <x:c r="T1176" s="15"/>
      <x:c r="U1176" s="6"/>
      <x:c r="V1176" s="6"/>
      <x:c r="W1176" s="6" t="str">
        <x:v>Existing find_route and show_route implement the kit routing model.</x:v>
      </x:c>
      <x:c r="X1176" s="6" t="str">
        <x:v>data/train/swiss-1457/questions_basic.jsonl</x:v>
      </x:c>
      <x:c r="Y1176" s="14" t="n">
        <x:v>4</x:v>
      </x:c>
      <x:c r="Z1176" s="6" t="str">
        <x:v>https://github.com/hagenhaeussler/Industrial-Agents-Hackathon-2026/blob/f41616590b69f3ea0c1cbfb41d6c35edd9ce53df/data/train/swiss-1457/questions_basic.jsonl#L4</x:v>
      </x:c>
      <x:c r="AA1176" s="6" t="str">
        <x:v>swiss_dwellings</x:v>
      </x:c>
      <x:c r="AB1176" s="6" t="str">
        <x:v>CC-BY-4.0</x:v>
      </x:c>
    </x:row>
    <x:row r="1177" ht="96" customHeight="1">
      <x:c r="A1177" s="14" t="n">
        <x:v>1172</x:v>
      </x:c>
      <x:c r="B1177" s="6" t="str">
        <x:v>route</x:v>
      </x:c>
      <x:c r="C1177" s="6" t="str">
        <x:v>How do I get from Storage 1.04 (apartment 3) (Floor 1) to Bedroom 0.04 (apartment 1) (Ground floor)?</x:v>
      </x:c>
      <x:c r="D1177" s="6" t="str">
        <x:v>24 m
From: Storage 1.04 (apartment 3)
To: Bedroom 0.04 (apartment 1)
Ordered path (5 spaces): Storage 1.04 (apartment 3) → Living room 1.01 (apartment 3) → Stair hall 1.21 → Landing 0.17 → Bedroom 0.04 (apartment 1)</x:v>
      </x:c>
      <x:c r="E1177" s="6" t="str">
        <x:v>Reference supplied</x:v>
      </x:c>
      <x:c r="F1177" s="6" t="str">
        <x:v>train</x:v>
      </x:c>
      <x:c r="G1177" s="6" t="str">
        <x:v>swiss-1457</x:v>
      </x:c>
      <x:c r="H1177" s="6" t="str">
        <x:v>swiss-1457-Q05</x:v>
      </x:c>
      <x:c r="I1177" s="6" t="str">
        <x:v>Route planning</x:v>
      </x:c>
      <x:c r="J1177" s="6" t="str">
        <x:v>Warm-up</x:v>
      </x:c>
      <x:c r="K1177" s="6" t="str">
        <x:v>Ordered space path and directions, plus total route-model distance in metres.</x:v>
      </x:c>
      <x:c r="L1177" s="6" t="str">
        <x:v>T02, T05, T13</x:v>
      </x:c>
      <x:c r="M1177" s="6" t="str">
        <x:v>Find a valid route between two rooms, including across floors.</x:v>
      </x:c>
      <x:c r="N1177" s="6" t="str">
        <x:v>{"from_space_id":"swiss-1457-F1-S004","to_space_id":"swiss-1457-F0-S004","optimal_length_m":24,"space_path":["swiss-1457-F1-S004","swiss-1457-F1-S001","swiss-1457-F1-S021","swiss-1457-F0-S017","swiss-1457-F0-S004"],"element_path":["swiss-1457-F1-O0041","swiss-1457-F1-O0041","swiss-1457-F1-O0024","swiss-1457-F1-O0024","swiss-1457-V01","swiss-1457-F0-O0012","swiss-1457-F0-O0012"]}</x:v>
      </x:c>
      <x:c r="O1177" s="6"/>
      <x:c r="P1177" s="6" t="str">
        <x:v>README routing profile. Stairs and lifts allowed unless stated otherwise.</x:v>
      </x:c>
      <x:c r="Q1177" s="15" t="n">
        <x:v>24</x:v>
      </x:c>
      <x:c r="R1177" s="6" t="str">
        <x:v>m</x:v>
      </x:c>
      <x:c r="S1177" s="16"/>
      <x:c r="T1177" s="15"/>
      <x:c r="U1177" s="6"/>
      <x:c r="V1177" s="6"/>
      <x:c r="W1177" s="6" t="str">
        <x:v>Existing find_route and show_route implement the kit routing model.</x:v>
      </x:c>
      <x:c r="X1177" s="6" t="str">
        <x:v>data/train/swiss-1457/questions_basic.jsonl</x:v>
      </x:c>
      <x:c r="Y1177" s="14" t="n">
        <x:v>5</x:v>
      </x:c>
      <x:c r="Z1177" s="6" t="str">
        <x:v>https://github.com/hagenhaeussler/Industrial-Agents-Hackathon-2026/blob/f41616590b69f3ea0c1cbfb41d6c35edd9ce53df/data/train/swiss-1457/questions_basic.jsonl#L5</x:v>
      </x:c>
      <x:c r="AA1177" s="6" t="str">
        <x:v>swiss_dwellings</x:v>
      </x:c>
      <x:c r="AB1177" s="6" t="str">
        <x:v>CC-BY-4.0</x:v>
      </x:c>
    </x:row>
    <x:row r="1178" ht="96" customHeight="1">
      <x:c r="A1178" s="14" t="n">
        <x:v>1173</x:v>
      </x:c>
      <x:c r="B1178" s="6" t="str">
        <x:v>route</x:v>
      </x:c>
      <x:c r="C1178" s="6" t="str">
        <x:v>How do I get from Storage 3.07 (apartment 8) (Floor 3) to Kitchen 2.17 (apartment 6) (Floor 2)?</x:v>
      </x:c>
      <x:c r="D1178" s="6" t="str">
        <x:v>31 m
From: Storage 3.07 (apartment 8)
To: Kitchen 2.17 (apartment 6)
Ordered path (6 spaces): Storage 3.07 (apartment 8) → Corridor 3.09 (apartment 8) → Stair hall 3.17 → Stair hall 2.21 → Living room 2.11 (apartment 6) → Kitchen 2.17 (apartment 6)</x:v>
      </x:c>
      <x:c r="E1178" s="6" t="str">
        <x:v>Reference supplied</x:v>
      </x:c>
      <x:c r="F1178" s="6" t="str">
        <x:v>train</x:v>
      </x:c>
      <x:c r="G1178" s="6" t="str">
        <x:v>swiss-1457</x:v>
      </x:c>
      <x:c r="H1178" s="6" t="str">
        <x:v>swiss-1457-Q06</x:v>
      </x:c>
      <x:c r="I1178" s="6" t="str">
        <x:v>Route planning</x:v>
      </x:c>
      <x:c r="J1178" s="6" t="str">
        <x:v>Warm-up</x:v>
      </x:c>
      <x:c r="K1178" s="6" t="str">
        <x:v>Ordered space path and directions, plus total route-model distance in metres.</x:v>
      </x:c>
      <x:c r="L1178" s="6" t="str">
        <x:v>T02, T05, T13</x:v>
      </x:c>
      <x:c r="M1178" s="6" t="str">
        <x:v>Find a valid route between two rooms, including across floors.</x:v>
      </x:c>
      <x:c r="N1178" s="6" t="str">
        <x:v>{"from_space_id":"swiss-1457-F3-S007","to_space_id":"swiss-1457-F2-S017","optimal_length_m":31,"space_path":["swiss-1457-F3-S007","swiss-1457-F3-S009","swiss-1457-F3-S017","swiss-1457-F2-S021","swiss-1457-F2-S011","swiss-1457-F2-S017"],"element_path":["swiss-1457-F3-O0085","swiss-1457-F3-O0085","swiss-1457-F3-O0079","swiss-1457-F3-O0079","swiss-1457-V01","swiss-1457-F2-O0061","swiss-1457-F2-O0061","swiss-1457-F2-O0070","swiss-1457-F2-O0070"]}</x:v>
      </x:c>
      <x:c r="O1178" s="6"/>
      <x:c r="P1178" s="6" t="str">
        <x:v>README routing profile. Stairs and lifts allowed unless stated otherwise.</x:v>
      </x:c>
      <x:c r="Q1178" s="15" t="n">
        <x:v>31</x:v>
      </x:c>
      <x:c r="R1178" s="6" t="str">
        <x:v>m</x:v>
      </x:c>
      <x:c r="S1178" s="16"/>
      <x:c r="T1178" s="15"/>
      <x:c r="U1178" s="6"/>
      <x:c r="V1178" s="6"/>
      <x:c r="W1178" s="6" t="str">
        <x:v>Existing find_route and show_route implement the kit routing model.</x:v>
      </x:c>
      <x:c r="X1178" s="6" t="str">
        <x:v>data/train/swiss-1457/questions_basic.jsonl</x:v>
      </x:c>
      <x:c r="Y1178" s="14" t="n">
        <x:v>6</x:v>
      </x:c>
      <x:c r="Z1178" s="6" t="str">
        <x:v>https://github.com/hagenhaeussler/Industrial-Agents-Hackathon-2026/blob/f41616590b69f3ea0c1cbfb41d6c35edd9ce53df/data/train/swiss-1457/questions_basic.jsonl#L6</x:v>
      </x:c>
      <x:c r="AA1178" s="6" t="str">
        <x:v>swiss_dwellings</x:v>
      </x:c>
      <x:c r="AB1178" s="6" t="str">
        <x:v>CC-BY-4.0</x:v>
      </x:c>
    </x:row>
    <x:row r="1179" ht="110" customHeight="1">
      <x:c r="A1179" s="14" t="n">
        <x:v>1174</x:v>
      </x:c>
      <x:c r="B1179" s="6" t="str">
        <x:v>route</x:v>
      </x:c>
      <x:c r="C1179" s="6" t="str">
        <x:v>How do I get from Bathroom 4.17 (apartment 10) (Floor 4) to Bedroom 0.11 (apartment 2) (Ground floor)?</x:v>
      </x:c>
      <x:c r="D1179" s="6" t="str">
        <x:v>65.08 m
From: Bathroom 4.17 (apartment 10)
To: Bedroom 0.11 (apartment 2)
Ordered path (9 spaces): Bathroom 4.17 (apartment 10) → Corridor 4.15 (apartment 10) → Stair hall 4.19 → Stair hall 3.20 → Stair hall 2.20 → Stair hall 1.18 → Stair hall 0.17 → Corridor 0.10 (apartment 2) → Bedroom 0.11 (apartment 2)</x:v>
      </x:c>
      <x:c r="E1179" s="6" t="str">
        <x:v>Reference supplied</x:v>
      </x:c>
      <x:c r="F1179" s="6" t="str">
        <x:v>train</x:v>
      </x:c>
      <x:c r="G1179" s="6" t="str">
        <x:v>swiss-1463</x:v>
      </x:c>
      <x:c r="H1179" s="6" t="str">
        <x:v>swiss-1463-Q03</x:v>
      </x:c>
      <x:c r="I1179" s="6" t="str">
        <x:v>Route planning</x:v>
      </x:c>
      <x:c r="J1179" s="6" t="str">
        <x:v>Warm-up</x:v>
      </x:c>
      <x:c r="K1179" s="6" t="str">
        <x:v>Ordered space path and directions, plus total route-model distance in metres.</x:v>
      </x:c>
      <x:c r="L1179" s="6" t="str">
        <x:v>T02, T05, T13</x:v>
      </x:c>
      <x:c r="M1179" s="6" t="str">
        <x:v>Find a valid route between two rooms, including across floors.</x:v>
      </x:c>
      <x:c r="N1179" s="6" t="str">
        <x:v>{"from_space_id":"swiss-1463-F4-S017","to_space_id":"swiss-1463-F0-S011","optimal_length_m":65.08,"space_path":["swiss-1463-F4-S017","swiss-1463-F4-S015","swiss-1463-F4-S019","swiss-1463-F3-S020","swiss-1463-F2-S020","swiss-1463-F1-S018","swiss-1463-F0-S017","swiss-1463-F0-S010","swiss-1463-F0-S011"],"element_path":["swiss-1463-F4-O0087","swiss-1463-F4-O0087","swiss-1463-F4-O0084","swiss-1463-F4-O0084","swiss-1463-V01","swiss-1463-V01","swiss-1463-V01","swiss-1463-V01","swiss-1463-F0-O0012","swiss-1463-F0-O0012","swiss-1463-F0-O0013","swiss-1463-F0-O0013"]}</x:v>
      </x:c>
      <x:c r="O1179" s="6"/>
      <x:c r="P1179" s="6" t="str">
        <x:v>README routing profile. Stairs and lifts allowed unless stated otherwise.</x:v>
      </x:c>
      <x:c r="Q1179" s="15" t="n">
        <x:v>65.08</x:v>
      </x:c>
      <x:c r="R1179" s="6" t="str">
        <x:v>m</x:v>
      </x:c>
      <x:c r="S1179" s="16"/>
      <x:c r="T1179" s="15"/>
      <x:c r="U1179" s="6"/>
      <x:c r="V1179" s="6"/>
      <x:c r="W1179" s="6" t="str">
        <x:v>Existing find_route and show_route implement the kit routing model.</x:v>
      </x:c>
      <x:c r="X1179" s="6" t="str">
        <x:v>data/train/swiss-1463/questions_basic.jsonl</x:v>
      </x:c>
      <x:c r="Y1179" s="14" t="n">
        <x:v>3</x:v>
      </x:c>
      <x:c r="Z1179" s="6" t="str">
        <x:v>https://github.com/hagenhaeussler/Industrial-Agents-Hackathon-2026/blob/f41616590b69f3ea0c1cbfb41d6c35edd9ce53df/data/train/swiss-1463/questions_basic.jsonl#L3</x:v>
      </x:c>
      <x:c r="AA1179" s="6" t="str">
        <x:v>swiss_dwellings</x:v>
      </x:c>
      <x:c r="AB1179" s="6" t="str">
        <x:v>CC-BY-4.0</x:v>
      </x:c>
    </x:row>
    <x:row r="1180" ht="96" customHeight="1">
      <x:c r="A1180" s="14" t="n">
        <x:v>1175</x:v>
      </x:c>
      <x:c r="B1180" s="6" t="str">
        <x:v>route</x:v>
      </x:c>
      <x:c r="C1180" s="6" t="str">
        <x:v>How do I get from Bedroom 3.04 (apartment 7) (Floor 3) to Bedroom 4.06 (apartment 9) (Floor 4)?</x:v>
      </x:c>
      <x:c r="D1180" s="6" t="str">
        <x:v>32.66 m
From: Bedroom 3.04 (apartment 7)
To: Bedroom 4.06 (apartment 9)
Ordered path (6 spaces): Bedroom 3.04 (apartment 7) → Corridor 3.09 (apartment 7) → Stair hall 3.20 → Stair hall 4.19 → Corridor 4.09 (apartment 9) → Bedroom 4.06 (apartment 9)</x:v>
      </x:c>
      <x:c r="E1180" s="6" t="str">
        <x:v>Reference supplied</x:v>
      </x:c>
      <x:c r="F1180" s="6" t="str">
        <x:v>train</x:v>
      </x:c>
      <x:c r="G1180" s="6" t="str">
        <x:v>swiss-1463</x:v>
      </x:c>
      <x:c r="H1180" s="6" t="str">
        <x:v>swiss-1463-Q04</x:v>
      </x:c>
      <x:c r="I1180" s="6" t="str">
        <x:v>Route planning</x:v>
      </x:c>
      <x:c r="J1180" s="6" t="str">
        <x:v>Warm-up</x:v>
      </x:c>
      <x:c r="K1180" s="6" t="str">
        <x:v>Ordered space path and directions, plus total route-model distance in metres.</x:v>
      </x:c>
      <x:c r="L1180" s="6" t="str">
        <x:v>T02, T05, T13</x:v>
      </x:c>
      <x:c r="M1180" s="6" t="str">
        <x:v>Find a valid route between two rooms, including across floors.</x:v>
      </x:c>
      <x:c r="N1180" s="6" t="str">
        <x:v>{"from_space_id":"swiss-1463-F3-S004","to_space_id":"swiss-1463-F4-S006","optimal_length_m":32.66,"space_path":["swiss-1463-F3-S004","swiss-1463-F3-S009","swiss-1463-F3-S020","swiss-1463-F4-S019","swiss-1463-F4-S009","swiss-1463-F4-S006"],"element_path":["swiss-1463-F3-O0057","swiss-1463-F3-O0057","swiss-1463-F3-O0056","swiss-1463-F3-O0056","swiss-1463-V01","swiss-1463-F4-O0075","swiss-1463-F4-O0075","swiss-1463-F4-O0078","swiss-1463-F4-O0078"]}</x:v>
      </x:c>
      <x:c r="O1180" s="6"/>
      <x:c r="P1180" s="6" t="str">
        <x:v>README routing profile. Stairs and lifts allowed unless stated otherwise.</x:v>
      </x:c>
      <x:c r="Q1180" s="15" t="n">
        <x:v>32.66</x:v>
      </x:c>
      <x:c r="R1180" s="6" t="str">
        <x:v>m</x:v>
      </x:c>
      <x:c r="S1180" s="16"/>
      <x:c r="T1180" s="15"/>
      <x:c r="U1180" s="6"/>
      <x:c r="V1180" s="6"/>
      <x:c r="W1180" s="6" t="str">
        <x:v>Existing find_route and show_route implement the kit routing model.</x:v>
      </x:c>
      <x:c r="X1180" s="6" t="str">
        <x:v>data/train/swiss-1463/questions_basic.jsonl</x:v>
      </x:c>
      <x:c r="Y1180" s="14" t="n">
        <x:v>4</x:v>
      </x:c>
      <x:c r="Z1180" s="6" t="str">
        <x:v>https://github.com/hagenhaeussler/Industrial-Agents-Hackathon-2026/blob/f41616590b69f3ea0c1cbfb41d6c35edd9ce53df/data/train/swiss-1463/questions_basic.jsonl#L4</x:v>
      </x:c>
      <x:c r="AA1180" s="6" t="str">
        <x:v>swiss_dwellings</x:v>
      </x:c>
      <x:c r="AB1180" s="6" t="str">
        <x:v>CC-BY-4.0</x:v>
      </x:c>
    </x:row>
    <x:row r="1181" ht="96" customHeight="1">
      <x:c r="A1181" s="14" t="n">
        <x:v>1176</x:v>
      </x:c>
      <x:c r="B1181" s="6" t="str">
        <x:v>route</x:v>
      </x:c>
      <x:c r="C1181" s="6" t="str">
        <x:v>How do I get from Kitchen 4.14 (apartment 10) (Floor 4) to Bedroom 2.01 (apartment 5) (Floor 2)?</x:v>
      </x:c>
      <x:c r="D1181" s="6" t="str">
        <x:v>44.38 m
From: Kitchen 4.14 (apartment 10)
To: Bedroom 2.01 (apartment 5)
Ordered path (7 spaces): Kitchen 4.14 (apartment 10) → Corridor 4.15 (apartment 10) → Stair hall 4.19 → Stair hall 3.20 → Stair hall 2.20 → Corridor 2.05 (apartment 5) → Bedroom 2.01 (apartment 5)</x:v>
      </x:c>
      <x:c r="E1181" s="6" t="str">
        <x:v>Reference supplied</x:v>
      </x:c>
      <x:c r="F1181" s="6" t="str">
        <x:v>train</x:v>
      </x:c>
      <x:c r="G1181" s="6" t="str">
        <x:v>swiss-1463</x:v>
      </x:c>
      <x:c r="H1181" s="6" t="str">
        <x:v>swiss-1463-Q05</x:v>
      </x:c>
      <x:c r="I1181" s="6" t="str">
        <x:v>Route planning</x:v>
      </x:c>
      <x:c r="J1181" s="6" t="str">
        <x:v>Warm-up</x:v>
      </x:c>
      <x:c r="K1181" s="6" t="str">
        <x:v>Ordered space path and directions, plus total route-model distance in metres.</x:v>
      </x:c>
      <x:c r="L1181" s="6" t="str">
        <x:v>T02, T05, T13</x:v>
      </x:c>
      <x:c r="M1181" s="6" t="str">
        <x:v>Find a valid route between two rooms, including across floors.</x:v>
      </x:c>
      <x:c r="N1181" s="6" t="str">
        <x:v>{"from_space_id":"swiss-1463-F4-S014","to_space_id":"swiss-1463-F2-S001","optimal_length_m":44.38,"space_path":["swiss-1463-F4-S014","swiss-1463-F4-S015","swiss-1463-F4-S019","swiss-1463-F3-S020","swiss-1463-F2-S020","swiss-1463-F2-S005","swiss-1463-F2-S001"],"element_path":["swiss-1463-F4-O0090","swiss-1463-F4-O0090","swiss-1463-F4-O0084","swiss-1463-F4-O0084","swiss-1463-V01","swiss-1463-V01","swiss-1463-F2-O0037","swiss-1463-F2-O0037","swiss-1463-F2-O0036","swiss-1463-F2-O0036"]}</x:v>
      </x:c>
      <x:c r="O1181" s="6"/>
      <x:c r="P1181" s="6" t="str">
        <x:v>README routing profile. Stairs and lifts allowed unless stated otherwise.</x:v>
      </x:c>
      <x:c r="Q1181" s="15" t="n">
        <x:v>44.38</x:v>
      </x:c>
      <x:c r="R1181" s="6" t="str">
        <x:v>m</x:v>
      </x:c>
      <x:c r="S1181" s="16"/>
      <x:c r="T1181" s="15"/>
      <x:c r="U1181" s="6"/>
      <x:c r="V1181" s="6"/>
      <x:c r="W1181" s="6" t="str">
        <x:v>Existing find_route and show_route implement the kit routing model.</x:v>
      </x:c>
      <x:c r="X1181" s="6" t="str">
        <x:v>data/train/swiss-1463/questions_basic.jsonl</x:v>
      </x:c>
      <x:c r="Y1181" s="14" t="n">
        <x:v>5</x:v>
      </x:c>
      <x:c r="Z1181" s="6" t="str">
        <x:v>https://github.com/hagenhaeussler/Industrial-Agents-Hackathon-2026/blob/f41616590b69f3ea0c1cbfb41d6c35edd9ce53df/data/train/swiss-1463/questions_basic.jsonl#L5</x:v>
      </x:c>
      <x:c r="AA1181" s="6" t="str">
        <x:v>swiss_dwellings</x:v>
      </x:c>
      <x:c r="AB1181" s="6" t="str">
        <x:v>CC-BY-4.0</x:v>
      </x:c>
    </x:row>
    <x:row r="1182" ht="124" customHeight="1">
      <x:c r="A1182" s="14" t="n">
        <x:v>1177</x:v>
      </x:c>
      <x:c r="B1182" s="6" t="str">
        <x:v>route</x:v>
      </x:c>
      <x:c r="C1182" s="6" t="str">
        <x:v>How do I get from Bedroom 1.03 (apartment 3) (Floor 1) to Bedroom 0.17 (apartment 2) (Ground floor)?</x:v>
      </x:c>
      <x:c r="D1182" s="6" t="str">
        <x:v>42.59 m
From: Bedroom 1.03 (apartment 3)
To: Bedroom 0.17 (apartment 2)
Ordered path (10 spaces): Bedroom 1.03 (apartment 3) → Corridor 1.01 (apartment 3) → Corridor 1.09 (apartment 3) → Stair hall 1.25 → Landing 0.24 → outside → Landing 0.25 → Corridor 0.15 (apartment 2) → Corridor 0.22 (apartment 2) → Bedroom 0.17 (apartment 2)</x:v>
      </x:c>
      <x:c r="E1182" s="6" t="str">
        <x:v>Reference supplied</x:v>
      </x:c>
      <x:c r="F1182" s="6" t="str">
        <x:v>train</x:v>
      </x:c>
      <x:c r="G1182" s="6" t="str">
        <x:v>swiss-1470</x:v>
      </x:c>
      <x:c r="H1182" s="6" t="str">
        <x:v>swiss-1470-Q05</x:v>
      </x:c>
      <x:c r="I1182" s="6" t="str">
        <x:v>Route planning</x:v>
      </x:c>
      <x:c r="J1182" s="6" t="str">
        <x:v>Warm-up</x:v>
      </x:c>
      <x:c r="K1182" s="6" t="str">
        <x:v>Ordered space path and directions, plus total route-model distance in metres.</x:v>
      </x:c>
      <x:c r="L1182" s="6" t="str">
        <x:v>T02, T05, T13</x:v>
      </x:c>
      <x:c r="M1182" s="6" t="str">
        <x:v>Find a valid route between two rooms, including across floors.</x:v>
      </x:c>
      <x:c r="N1182" s="6" t="str">
        <x:v>{"from_space_id":"swiss-1470-F1-S003","to_space_id":"swiss-1470-F0-S017","optimal_length_m":42.59,"space_path":["swiss-1470-F1-S003","swiss-1470-F1-S001","swiss-1470-F1-S009","swiss-1470-F1-S025","swiss-1470-F0-S024","outside","swiss-1470-F0-S025","swiss-1470-F0-S015","swiss-1470-F0-S022","swiss-1470-F0-S017"],"element_path":["swiss-1470-F1-O0032","swiss-1470-F1-O0032","swiss-1470-F1-O0030","swiss-1470-F1-O0030","swiss-1470-F1-O0028","swiss-1470-F1-O0028","swiss-1470-V01","swiss-1470-F0-O0072","swiss-1470-F0-O0072","swiss-1470-F0-O0073","swiss-1470-F0-O0073","swiss-1470-F0-O0014","swiss-1470-F0-O0014","swiss-1470-F0-O0024","swiss-1470-F0-O0024","swiss-1470-F0-O0016","swiss-1470-F0-O0016"]}</x:v>
      </x:c>
      <x:c r="O1182" s="6"/>
      <x:c r="P1182" s="6" t="str">
        <x:v>README routing profile. Stairs and lifts allowed unless stated otherwise.</x:v>
      </x:c>
      <x:c r="Q1182" s="15" t="n">
        <x:v>42.59</x:v>
      </x:c>
      <x:c r="R1182" s="6" t="str">
        <x:v>m</x:v>
      </x:c>
      <x:c r="S1182" s="16"/>
      <x:c r="T1182" s="15"/>
      <x:c r="U1182" s="6"/>
      <x:c r="V1182" s="6"/>
      <x:c r="W1182" s="6" t="str">
        <x:v>Existing find_route and show_route implement the kit routing model.</x:v>
      </x:c>
      <x:c r="X1182" s="6" t="str">
        <x:v>data/train/swiss-1470/questions_basic.jsonl</x:v>
      </x:c>
      <x:c r="Y1182" s="14" t="n">
        <x:v>5</x:v>
      </x:c>
      <x:c r="Z1182" s="6" t="str">
        <x:v>https://github.com/hagenhaeussler/Industrial-Agents-Hackathon-2026/blob/f41616590b69f3ea0c1cbfb41d6c35edd9ce53df/data/train/swiss-1470/questions_basic.jsonl#L5</x:v>
      </x:c>
      <x:c r="AA1182" s="6" t="str">
        <x:v>swiss_dwellings</x:v>
      </x:c>
      <x:c r="AB1182" s="6" t="str">
        <x:v>CC-BY-4.0</x:v>
      </x:c>
    </x:row>
    <x:row r="1183" ht="124" customHeight="1">
      <x:c r="A1183" s="14" t="n">
        <x:v>1178</x:v>
      </x:c>
      <x:c r="B1183" s="6" t="str">
        <x:v>route</x:v>
      </x:c>
      <x:c r="C1183" s="6" t="str">
        <x:v>How do I get from Bedroom 2.14 (apartment 6) (Floor 2) to Bedroom 0.17 (apartment 2) (Ground floor)?</x:v>
      </x:c>
      <x:c r="D1183" s="6" t="str">
        <x:v>50.57 m
From: Bedroom 2.14 (apartment 6)
To: Bedroom 0.17 (apartment 2)
Ordered path (11 spaces): Bedroom 2.14 (apartment 6) → Corridor 2.13 (apartment 6) → Corridor 2.12 (apartment 6) → Stair hall 2.17 → Stair hall 1.25 → Landing 0.24 → outside → Landing 0.25 → Corridor 0.15 (apartment 2) → Corridor 0.22 (apartment 2) → Bedroom 0.17 (apartment 2)</x:v>
      </x:c>
      <x:c r="E1183" s="6" t="str">
        <x:v>Reference supplied</x:v>
      </x:c>
      <x:c r="F1183" s="6" t="str">
        <x:v>train</x:v>
      </x:c>
      <x:c r="G1183" s="6" t="str">
        <x:v>swiss-1470</x:v>
      </x:c>
      <x:c r="H1183" s="6" t="str">
        <x:v>swiss-1470-Q06</x:v>
      </x:c>
      <x:c r="I1183" s="6" t="str">
        <x:v>Route planning</x:v>
      </x:c>
      <x:c r="J1183" s="6" t="str">
        <x:v>Warm-up</x:v>
      </x:c>
      <x:c r="K1183" s="6" t="str">
        <x:v>Ordered space path and directions, plus total route-model distance in metres.</x:v>
      </x:c>
      <x:c r="L1183" s="6" t="str">
        <x:v>T02, T05, T13</x:v>
      </x:c>
      <x:c r="M1183" s="6" t="str">
        <x:v>Find a valid route between two rooms, including across floors.</x:v>
      </x:c>
      <x:c r="N1183" s="6" t="str">
        <x:v>{"from_space_id":"swiss-1470-F2-S014","to_space_id":"swiss-1470-F0-S017","optimal_length_m":50.57,"space_path":["swiss-1470-F2-S014","swiss-1470-F2-S013","swiss-1470-F2-S012","swiss-1470-F2-S017","swiss-1470-F1-S025","swiss-1470-F0-S024","outside","swiss-1470-F0-S025","swiss-1470-F0-S015","swiss-1470-F0-S022","swiss-1470-F0-S017"],"element_path":["swiss-1470-F2-O0064","swiss-1470-F2-O0064","swiss-1470-F2-O0071","swiss-1470-F2-O0071","swiss-1470-F2-O0062","swiss-1470-F2-O0062","swiss-1470-V01","swiss-1470-V01","swiss-1470-F0-O0072","swiss-1470-F0-O0072","swiss-1470-F0-O0073","swiss-1470-F0-O0073","swiss-1470-F0-O0014","swiss-1470-F0-O0014","swiss-1470-F0-O0024","swiss-1470-F0-O0024","swiss-1470-F0-O0016","swiss-1470-F0-O0016"]}</x:v>
      </x:c>
      <x:c r="O1183" s="6"/>
      <x:c r="P1183" s="6" t="str">
        <x:v>README routing profile. Stairs and lifts allowed unless stated otherwise.</x:v>
      </x:c>
      <x:c r="Q1183" s="15" t="n">
        <x:v>50.57</x:v>
      </x:c>
      <x:c r="R1183" s="6" t="str">
        <x:v>m</x:v>
      </x:c>
      <x:c r="S1183" s="16"/>
      <x:c r="T1183" s="15"/>
      <x:c r="U1183" s="6"/>
      <x:c r="V1183" s="6"/>
      <x:c r="W1183" s="6" t="str">
        <x:v>Existing find_route and show_route implement the kit routing model.</x:v>
      </x:c>
      <x:c r="X1183" s="6" t="str">
        <x:v>data/train/swiss-1470/questions_basic.jsonl</x:v>
      </x:c>
      <x:c r="Y1183" s="14" t="n">
        <x:v>6</x:v>
      </x:c>
      <x:c r="Z1183" s="6" t="str">
        <x:v>https://github.com/hagenhaeussler/Industrial-Agents-Hackathon-2026/blob/f41616590b69f3ea0c1cbfb41d6c35edd9ce53df/data/train/swiss-1470/questions_basic.jsonl#L6</x:v>
      </x:c>
      <x:c r="AA1183" s="6" t="str">
        <x:v>swiss_dwellings</x:v>
      </x:c>
      <x:c r="AB1183" s="6" t="str">
        <x:v>CC-BY-4.0</x:v>
      </x:c>
    </x:row>
    <x:row r="1184" ht="110" customHeight="1">
      <x:c r="A1184" s="14" t="n">
        <x:v>1179</x:v>
      </x:c>
      <x:c r="B1184" s="6" t="str">
        <x:v>route</x:v>
      </x:c>
      <x:c r="C1184" s="6" t="str">
        <x:v>How do I get from Bedroom 1.17 (apartment 4) (Floor 1) to Bedroom 0.06 (apartment 1) (Ground floor)?</x:v>
      </x:c>
      <x:c r="D1184" s="6" t="str">
        <x:v>46.43 m
From: Bedroom 1.17 (apartment 4)
To: Bedroom 0.06 (apartment 1)
Ordered path (8 spaces): Bedroom 1.17 (apartment 4) → Corridor 1.13 (apartment 4) → Corridor 1.23 (apartment 4) → Stair hall 1.25 → Landing 0.24 → Corridor 0.11 (apartment 1) → Corridor 0.05 (apartment 1) → Bedroom 0.06 (apartment 1)</x:v>
      </x:c>
      <x:c r="E1184" s="6" t="str">
        <x:v>Reference supplied</x:v>
      </x:c>
      <x:c r="F1184" s="6" t="str">
        <x:v>train</x:v>
      </x:c>
      <x:c r="G1184" s="6" t="str">
        <x:v>swiss-1470</x:v>
      </x:c>
      <x:c r="H1184" s="6" t="str">
        <x:v>swiss-1470-Q07</x:v>
      </x:c>
      <x:c r="I1184" s="6" t="str">
        <x:v>Route planning</x:v>
      </x:c>
      <x:c r="J1184" s="6" t="str">
        <x:v>Warm-up</x:v>
      </x:c>
      <x:c r="K1184" s="6" t="str">
        <x:v>Ordered space path and directions, plus total route-model distance in metres.</x:v>
      </x:c>
      <x:c r="L1184" s="6" t="str">
        <x:v>T02, T05, T13</x:v>
      </x:c>
      <x:c r="M1184" s="6" t="str">
        <x:v>Find a valid route between two rooms, including across floors.</x:v>
      </x:c>
      <x:c r="N1184" s="6" t="str">
        <x:v>{"from_space_id":"swiss-1470-F1-S017","to_space_id":"swiss-1470-F0-S006","optimal_length_m":46.43,"space_path":["swiss-1470-F1-S017","swiss-1470-F1-S013","swiss-1470-F1-S023","swiss-1470-F1-S025","swiss-1470-F0-S024","swiss-1470-F0-S011","swiss-1470-F0-S005","swiss-1470-F0-S006"],"element_path":["swiss-1470-F1-O0049","swiss-1470-F1-O0049","swiss-1470-F1-O0042","swiss-1470-F1-O0042","swiss-1470-F1-O0047","swiss-1470-F1-O0047","swiss-1470-V01","swiss-1470-F0-O0013","swiss-1470-F0-O0013","swiss-1470-F0-O0005","swiss-1470-F0-O0005","swiss-1470-F0-O0006","swiss-1470-F0-O0006"]}</x:v>
      </x:c>
      <x:c r="O1184" s="6"/>
      <x:c r="P1184" s="6" t="str">
        <x:v>README routing profile. Stairs and lifts allowed unless stated otherwise.</x:v>
      </x:c>
      <x:c r="Q1184" s="15" t="n">
        <x:v>46.43</x:v>
      </x:c>
      <x:c r="R1184" s="6" t="str">
        <x:v>m</x:v>
      </x:c>
      <x:c r="S1184" s="16"/>
      <x:c r="T1184" s="15"/>
      <x:c r="U1184" s="6"/>
      <x:c r="V1184" s="6"/>
      <x:c r="W1184" s="6" t="str">
        <x:v>Existing find_route and show_route implement the kit routing model.</x:v>
      </x:c>
      <x:c r="X1184" s="6" t="str">
        <x:v>data/train/swiss-1470/questions_basic.jsonl</x:v>
      </x:c>
      <x:c r="Y1184" s="14" t="n">
        <x:v>7</x:v>
      </x:c>
      <x:c r="Z1184" s="6" t="str">
        <x:v>https://github.com/hagenhaeussler/Industrial-Agents-Hackathon-2026/blob/f41616590b69f3ea0c1cbfb41d6c35edd9ce53df/data/train/swiss-1470/questions_basic.jsonl#L7</x:v>
      </x:c>
      <x:c r="AA1184" s="6" t="str">
        <x:v>swiss_dwellings</x:v>
      </x:c>
      <x:c r="AB1184" s="6" t="str">
        <x:v>CC-BY-4.0</x:v>
      </x:c>
    </x:row>
    <x:row r="1185" ht="96" customHeight="1">
      <x:c r="A1185" s="14" t="n">
        <x:v>1180</x:v>
      </x:c>
      <x:c r="B1185" s="6" t="str">
        <x:v>route</x:v>
      </x:c>
      <x:c r="C1185" s="6" t="str">
        <x:v>How do I get from Bathroom 0.18 (apartment 2) (Ground floor) to Bedroom 1.21 (apartment 4) (Floor 1)?</x:v>
      </x:c>
      <x:c r="D1185" s="6" t="str">
        <x:v>33.31 m
From: Bathroom 0.18 (apartment 2)
To: Bedroom 1.21 (apartment 4)
Ordered path (7 spaces): Bathroom 0.18 (apartment 2) → Bathroom 0.11 (apartment 2) → Corridor 0.22 (apartment 2) → Stair hall 0.23 → Stair hall 1.25 → Corridor 1.17 (apartment 4) → Bedroom 1.21 (apartment 4)</x:v>
      </x:c>
      <x:c r="E1185" s="6" t="str">
        <x:v>Reference supplied</x:v>
      </x:c>
      <x:c r="F1185" s="6" t="str">
        <x:v>train</x:v>
      </x:c>
      <x:c r="G1185" s="6" t="str">
        <x:v>swiss-148</x:v>
      </x:c>
      <x:c r="H1185" s="6" t="str">
        <x:v>swiss-148-Q04</x:v>
      </x:c>
      <x:c r="I1185" s="6" t="str">
        <x:v>Route planning</x:v>
      </x:c>
      <x:c r="J1185" s="6" t="str">
        <x:v>Warm-up</x:v>
      </x:c>
      <x:c r="K1185" s="6" t="str">
        <x:v>Ordered space path and directions, plus total route-model distance in metres.</x:v>
      </x:c>
      <x:c r="L1185" s="6" t="str">
        <x:v>T02, T05, T13</x:v>
      </x:c>
      <x:c r="M1185" s="6" t="str">
        <x:v>Find a valid route between two rooms, including across floors.</x:v>
      </x:c>
      <x:c r="N1185" s="6" t="str">
        <x:v>{"from_space_id":"swiss-148-F0-S018","to_space_id":"swiss-148-F1-S021","optimal_length_m":33.31,"space_path":["swiss-148-F0-S018","swiss-148-F0-S011","swiss-148-F0-S022","swiss-148-F0-S023","swiss-148-F1-S025","swiss-148-F1-S017","swiss-148-F1-S021"],"element_path":["swiss-148-F0-O0024","swiss-148-F0-O0024","swiss-148-F0-O0017","swiss-148-F0-O0017","swiss-148-F0-O0016","swiss-148-F0-O0016","swiss-148-V01","swiss-148-F1-O0060","swiss-148-F1-O0060","swiss-148-F1-O0029","swiss-148-F1-O0029"]}</x:v>
      </x:c>
      <x:c r="O1185" s="6"/>
      <x:c r="P1185" s="6" t="str">
        <x:v>README routing profile. Stairs and lifts allowed unless stated otherwise.</x:v>
      </x:c>
      <x:c r="Q1185" s="15" t="n">
        <x:v>33.31</x:v>
      </x:c>
      <x:c r="R1185" s="6" t="str">
        <x:v>m</x:v>
      </x:c>
      <x:c r="S1185" s="16"/>
      <x:c r="T1185" s="15"/>
      <x:c r="U1185" s="6"/>
      <x:c r="V1185" s="6"/>
      <x:c r="W1185" s="6" t="str">
        <x:v>Existing find_route and show_route implement the kit routing model.</x:v>
      </x:c>
      <x:c r="X1185" s="6" t="str">
        <x:v>data/train/swiss-148/questions_basic.jsonl</x:v>
      </x:c>
      <x:c r="Y1185" s="14" t="n">
        <x:v>4</x:v>
      </x:c>
      <x:c r="Z1185" s="6" t="str">
        <x:v>https://github.com/hagenhaeussler/Industrial-Agents-Hackathon-2026/blob/f41616590b69f3ea0c1cbfb41d6c35edd9ce53df/data/train/swiss-148/questions_basic.jsonl#L4</x:v>
      </x:c>
      <x:c r="AA1185" s="6" t="str">
        <x:v>swiss_dwellings</x:v>
      </x:c>
      <x:c r="AB1185" s="6" t="str">
        <x:v>CC-BY-4.0</x:v>
      </x:c>
    </x:row>
    <x:row r="1186" ht="96" customHeight="1">
      <x:c r="A1186" s="14" t="n">
        <x:v>1181</x:v>
      </x:c>
      <x:c r="B1186" s="6" t="str">
        <x:v>route</x:v>
      </x:c>
      <x:c r="C1186" s="6" t="str">
        <x:v>How do I get from Storage 3.11 (apartment 7) (Floor 3) to Bedroom 2.18 (apartment 6) (Floor 2)?</x:v>
      </x:c>
      <x:c r="D1186" s="6" t="str">
        <x:v>30.81 m
From: Storage 3.11 (apartment 7)
To: Bedroom 2.18 (apartment 6)
Ordered path (7 spaces): Storage 3.11 (apartment 7) → Corridor 3.12 (apartment 7) → Landing 3.14 → Stair hall 2.25 → Corridor 2.16 (apartment 6) → Bedroom 2.21 (apartment 6) → Bedroom 2.18 (apartment 6)</x:v>
      </x:c>
      <x:c r="E1186" s="6" t="str">
        <x:v>Reference supplied</x:v>
      </x:c>
      <x:c r="F1186" s="6" t="str">
        <x:v>train</x:v>
      </x:c>
      <x:c r="G1186" s="6" t="str">
        <x:v>swiss-148</x:v>
      </x:c>
      <x:c r="H1186" s="6" t="str">
        <x:v>swiss-148-Q05</x:v>
      </x:c>
      <x:c r="I1186" s="6" t="str">
        <x:v>Route planning</x:v>
      </x:c>
      <x:c r="J1186" s="6" t="str">
        <x:v>Warm-up</x:v>
      </x:c>
      <x:c r="K1186" s="6" t="str">
        <x:v>Ordered space path and directions, plus total route-model distance in metres.</x:v>
      </x:c>
      <x:c r="L1186" s="6" t="str">
        <x:v>T02, T05, T13</x:v>
      </x:c>
      <x:c r="M1186" s="6" t="str">
        <x:v>Find a valid route between two rooms, including across floors.</x:v>
      </x:c>
      <x:c r="N1186" s="6" t="str">
        <x:v>{"from_space_id":"swiss-148-F3-S011","to_space_id":"swiss-148-F2-S018","optimal_length_m":30.81,"space_path":["swiss-148-F3-S011","swiss-148-F3-S012","swiss-148-F3-S014","swiss-148-F2-S025","swiss-148-F2-S016","swiss-148-F2-S021","swiss-148-F2-S018"],"element_path":["swiss-148-F3-O0100","swiss-148-F3-O0100","swiss-148-F3-O0105","swiss-148-F3-O0105","swiss-148-V01","swiss-148-F2-O0088","swiss-148-F2-O0088","swiss-148-F2-O0074","swiss-148-F2-O0074","swiss-148-F2-O0093","swiss-148-F2-O0093"]}</x:v>
      </x:c>
      <x:c r="O1186" s="6"/>
      <x:c r="P1186" s="6" t="str">
        <x:v>README routing profile. Stairs and lifts allowed unless stated otherwise.</x:v>
      </x:c>
      <x:c r="Q1186" s="15" t="n">
        <x:v>30.81</x:v>
      </x:c>
      <x:c r="R1186" s="6" t="str">
        <x:v>m</x:v>
      </x:c>
      <x:c r="S1186" s="16"/>
      <x:c r="T1186" s="15"/>
      <x:c r="U1186" s="6"/>
      <x:c r="V1186" s="6"/>
      <x:c r="W1186" s="6" t="str">
        <x:v>Existing find_route and show_route implement the kit routing model.</x:v>
      </x:c>
      <x:c r="X1186" s="6" t="str">
        <x:v>data/train/swiss-148/questions_basic.jsonl</x:v>
      </x:c>
      <x:c r="Y1186" s="14" t="n">
        <x:v>5</x:v>
      </x:c>
      <x:c r="Z1186" s="6" t="str">
        <x:v>https://github.com/hagenhaeussler/Industrial-Agents-Hackathon-2026/blob/f41616590b69f3ea0c1cbfb41d6c35edd9ce53df/data/train/swiss-148/questions_basic.jsonl#L5</x:v>
      </x:c>
      <x:c r="AA1186" s="6" t="str">
        <x:v>swiss_dwellings</x:v>
      </x:c>
      <x:c r="AB1186" s="6" t="str">
        <x:v>CC-BY-4.0</x:v>
      </x:c>
    </x:row>
    <x:row r="1187" ht="96" customHeight="1">
      <x:c r="A1187" s="14" t="n">
        <x:v>1182</x:v>
      </x:c>
      <x:c r="B1187" s="6" t="str">
        <x:v>route</x:v>
      </x:c>
      <x:c r="C1187" s="6" t="str">
        <x:v>How do I get from Bedroom 1.14 (apartment 3) (Floor 1) to Bathroom 1.20 (apartment 4) (Floor 1)?</x:v>
      </x:c>
      <x:c r="D1187" s="6" t="str">
        <x:v>18.26 m
From: Bedroom 1.14 (apartment 3)
To: Bathroom 1.20 (apartment 4)
Ordered path (5 spaces): Bedroom 1.14 (apartment 3) → Corridor 1.12 (apartment 3) → Stair hall 1.25 → Corridor 1.17 (apartment 4) → Bathroom 1.20 (apartment 4)</x:v>
      </x:c>
      <x:c r="E1187" s="6" t="str">
        <x:v>Reference supplied</x:v>
      </x:c>
      <x:c r="F1187" s="6" t="str">
        <x:v>train</x:v>
      </x:c>
      <x:c r="G1187" s="6" t="str">
        <x:v>swiss-148</x:v>
      </x:c>
      <x:c r="H1187" s="6" t="str">
        <x:v>swiss-148-Q06</x:v>
      </x:c>
      <x:c r="I1187" s="6" t="str">
        <x:v>Route planning</x:v>
      </x:c>
      <x:c r="J1187" s="6" t="str">
        <x:v>Warm-up</x:v>
      </x:c>
      <x:c r="K1187" s="6" t="str">
        <x:v>Ordered space path and directions, plus total route-model distance in metres.</x:v>
      </x:c>
      <x:c r="L1187" s="6" t="str">
        <x:v>T02, T05, T13</x:v>
      </x:c>
      <x:c r="M1187" s="6" t="str">
        <x:v>Find a valid route between two rooms, including across floors.</x:v>
      </x:c>
      <x:c r="N1187" s="6" t="str">
        <x:v>{"from_space_id":"swiss-148-F1-S014","to_space_id":"swiss-148-F1-S020","optimal_length_m":18.26,"space_path":["swiss-148-F1-S014","swiss-148-F1-S012","swiss-148-F1-S025","swiss-148-F1-S017","swiss-148-F1-S020"],"element_path":["swiss-148-F1-O0041","swiss-148-F1-O0041","swiss-148-F1-O0046","swiss-148-F1-O0046","swiss-148-F1-O0060","swiss-148-F1-O0060","swiss-148-F1-O0059","swiss-148-F1-O0059"]}</x:v>
      </x:c>
      <x:c r="O1187" s="6"/>
      <x:c r="P1187" s="6" t="str">
        <x:v>README routing profile. Stairs and lifts allowed unless stated otherwise.</x:v>
      </x:c>
      <x:c r="Q1187" s="15" t="n">
        <x:v>18.26</x:v>
      </x:c>
      <x:c r="R1187" s="6" t="str">
        <x:v>m</x:v>
      </x:c>
      <x:c r="S1187" s="16"/>
      <x:c r="T1187" s="15"/>
      <x:c r="U1187" s="6"/>
      <x:c r="V1187" s="6"/>
      <x:c r="W1187" s="6" t="str">
        <x:v>Existing find_route and show_route implement the kit routing model.</x:v>
      </x:c>
      <x:c r="X1187" s="6" t="str">
        <x:v>data/train/swiss-148/questions_basic.jsonl</x:v>
      </x:c>
      <x:c r="Y1187" s="14" t="n">
        <x:v>6</x:v>
      </x:c>
      <x:c r="Z1187" s="6" t="str">
        <x:v>https://github.com/hagenhaeussler/Industrial-Agents-Hackathon-2026/blob/f41616590b69f3ea0c1cbfb41d6c35edd9ce53df/data/train/swiss-148/questions_basic.jsonl#L6</x:v>
      </x:c>
      <x:c r="AA1187" s="6" t="str">
        <x:v>swiss_dwellings</x:v>
      </x:c>
      <x:c r="AB1187" s="6" t="str">
        <x:v>CC-BY-4.0</x:v>
      </x:c>
    </x:row>
    <x:row r="1188" ht="110" customHeight="1">
      <x:c r="A1188" s="14" t="n">
        <x:v>1183</x:v>
      </x:c>
      <x:c r="B1188" s="6" t="str">
        <x:v>route</x:v>
      </x:c>
      <x:c r="C1188" s="6" t="str">
        <x:v>How do I get from Bedroom 3.06 (apartment 14) (Floor 3) to Bedroom 3.03 (apartment 13) (Floor 3)?</x:v>
      </x:c>
      <x:c r="D1188" s="6" t="str">
        <x:v>86.58 m
From: Bedroom 3.06 (apartment 14)
To: Bedroom 3.03 (apartment 13)
Ordered path (11 spaces): Bedroom 3.06 (apartment 14) → Corridor 3.10 (apartment 14) → Landing 3.13 → Landing 2.35 → Landing 1.35 → Landing 0.34 → Landing 1.36 → Landing 2.36 → Landing 3.12 → Corridor 3.02 (apartment 13) → Bedroom 3.03 (apartment 13)</x:v>
      </x:c>
      <x:c r="E1188" s="6" t="str">
        <x:v>Reference supplied</x:v>
      </x:c>
      <x:c r="F1188" s="6" t="str">
        <x:v>train</x:v>
      </x:c>
      <x:c r="G1188" s="6" t="str">
        <x:v>swiss-1543</x:v>
      </x:c>
      <x:c r="H1188" s="6" t="str">
        <x:v>swiss-1543-Q03</x:v>
      </x:c>
      <x:c r="I1188" s="6" t="str">
        <x:v>Route planning</x:v>
      </x:c>
      <x:c r="J1188" s="6" t="str">
        <x:v>Warm-up</x:v>
      </x:c>
      <x:c r="K1188" s="6" t="str">
        <x:v>Ordered space path and directions, plus total route-model distance in metres.</x:v>
      </x:c>
      <x:c r="L1188" s="6" t="str">
        <x:v>T02, T05, T13</x:v>
      </x:c>
      <x:c r="M1188" s="6" t="str">
        <x:v>Find a valid route between two rooms, including across floors.</x:v>
      </x:c>
      <x:c r="N1188" s="6" t="str">
        <x:v>{"from_space_id":"swiss-1543-F3-S006","to_space_id":"swiss-1543-F3-S003","optimal_length_m":86.58,"space_path":["swiss-1543-F3-S006","swiss-1543-F3-S010","swiss-1543-F3-S013","swiss-1543-F2-S035","swiss-1543-F1-S035","swiss-1543-F0-S034","swiss-1543-F1-S036","swiss-1543-F2-S036","swiss-1543-F3-S012","swiss-1543-F3-S002","swiss-1543-F3-S003"],"element_path":["swiss-1543-F3-O0110","swiss-1543-F3-O0110","swiss-1543-F3-O0111","swiss-1543-F3-O0111","swiss-1543-V01","swiss-1543-V01","swiss-1543-V01","swiss-1543-V04","swiss-1543-V07","swiss-1543-V08","swiss-1543-F3-O0106","swiss-1543-F3-O0106","swiss-1543-F3-O0105","swiss-1543-F3-O0105"]}</x:v>
      </x:c>
      <x:c r="O1188" s="6"/>
      <x:c r="P1188" s="6" t="str">
        <x:v>README routing profile. Stairs and lifts allowed unless stated otherwise.</x:v>
      </x:c>
      <x:c r="Q1188" s="15" t="n">
        <x:v>86.58</x:v>
      </x:c>
      <x:c r="R1188" s="6" t="str">
        <x:v>m</x:v>
      </x:c>
      <x:c r="S1188" s="16"/>
      <x:c r="T1188" s="15"/>
      <x:c r="U1188" s="6"/>
      <x:c r="V1188" s="6"/>
      <x:c r="W1188" s="6" t="str">
        <x:v>Existing find_route and show_route implement the kit routing model.</x:v>
      </x:c>
      <x:c r="X1188" s="6" t="str">
        <x:v>data/train/swiss-1543/questions_basic.jsonl</x:v>
      </x:c>
      <x:c r="Y1188" s="14" t="n">
        <x:v>3</x:v>
      </x:c>
      <x:c r="Z1188" s="6" t="str">
        <x:v>https://github.com/hagenhaeussler/Industrial-Agents-Hackathon-2026/blob/f41616590b69f3ea0c1cbfb41d6c35edd9ce53df/data/train/swiss-1543/questions_basic.jsonl#L3</x:v>
      </x:c>
      <x:c r="AA1188" s="6" t="str">
        <x:v>swiss_dwellings</x:v>
      </x:c>
      <x:c r="AB1188" s="6" t="str">
        <x:v>CC-BY-4.0</x:v>
      </x:c>
    </x:row>
    <x:row r="1189" ht="110" customHeight="1">
      <x:c r="A1189" s="14" t="n">
        <x:v>1184</x:v>
      </x:c>
      <x:c r="B1189" s="6" t="str">
        <x:v>route</x:v>
      </x:c>
      <x:c r="C1189" s="6" t="str">
        <x:v>How do I get from Bedroom 2.11 (apartment 10) (Floor 2) to Bathroom 1.10 (apartment 6) (Floor 1)?</x:v>
      </x:c>
      <x:c r="D1189" s="6" t="str">
        <x:v>48.21 m
From: Bedroom 2.11 (apartment 10)
To: Bathroom 1.10 (apartment 6)
Ordered path (10 spaces): Bedroom 2.11 (apartment 10) → Corridor 2.09 (apartment 10) → Landing 2.34 → Landing 1.33 → Landing 0.36 → outside → Landing 0.35 → Landing 1.34 → Corridor 1.14 (apartment 6) → Bathroom 1.10 (apartment 6)</x:v>
      </x:c>
      <x:c r="E1189" s="6" t="str">
        <x:v>Reference supplied</x:v>
      </x:c>
      <x:c r="F1189" s="6" t="str">
        <x:v>train</x:v>
      </x:c>
      <x:c r="G1189" s="6" t="str">
        <x:v>swiss-1543</x:v>
      </x:c>
      <x:c r="H1189" s="6" t="str">
        <x:v>swiss-1543-Q04</x:v>
      </x:c>
      <x:c r="I1189" s="6" t="str">
        <x:v>Route planning</x:v>
      </x:c>
      <x:c r="J1189" s="6" t="str">
        <x:v>Warm-up</x:v>
      </x:c>
      <x:c r="K1189" s="6" t="str">
        <x:v>Ordered space path and directions, plus total route-model distance in metres.</x:v>
      </x:c>
      <x:c r="L1189" s="6" t="str">
        <x:v>T02, T05, T13</x:v>
      </x:c>
      <x:c r="M1189" s="6" t="str">
        <x:v>Find a valid route between two rooms, including across floors.</x:v>
      </x:c>
      <x:c r="N1189" s="6" t="str">
        <x:v>{"from_space_id":"swiss-1543-F2-S011","to_space_id":"swiss-1543-F1-S010","optimal_length_m":48.21,"space_path":["swiss-1543-F2-S011","swiss-1543-F2-S009","swiss-1543-F2-S034","swiss-1543-F1-S033","swiss-1543-F0-S036","outside","swiss-1543-F0-S035","swiss-1543-F1-S034","swiss-1543-F1-S014","swiss-1543-F1-S010"],"element_path":["swiss-1543-F2-O0079","swiss-1543-F2-O0079","swiss-1543-F2-O0084","swiss-1543-F2-O0084","swiss-1543-V06","swiss-1543-V02","swiss-1543-F0-O0117","swiss-1543-F0-O0117","swiss-1543-F0-O0116","swiss-1543-F0-O0116","swiss-1543-V03","swiss-1543-F1-O0050","swiss-1543-F1-O0050","swiss-1543-F1-O0051","swiss-1543-F1-O0051"]}</x:v>
      </x:c>
      <x:c r="O1189" s="6"/>
      <x:c r="P1189" s="6" t="str">
        <x:v>README routing profile. Stairs and lifts allowed unless stated otherwise.</x:v>
      </x:c>
      <x:c r="Q1189" s="15" t="n">
        <x:v>48.21</x:v>
      </x:c>
      <x:c r="R1189" s="6" t="str">
        <x:v>m</x:v>
      </x:c>
      <x:c r="S1189" s="16"/>
      <x:c r="T1189" s="15"/>
      <x:c r="U1189" s="6"/>
      <x:c r="V1189" s="6"/>
      <x:c r="W1189" s="6" t="str">
        <x:v>Existing find_route and show_route implement the kit routing model.</x:v>
      </x:c>
      <x:c r="X1189" s="6" t="str">
        <x:v>data/train/swiss-1543/questions_basic.jsonl</x:v>
      </x:c>
      <x:c r="Y1189" s="14" t="n">
        <x:v>4</x:v>
      </x:c>
      <x:c r="Z1189" s="6" t="str">
        <x:v>https://github.com/hagenhaeussler/Industrial-Agents-Hackathon-2026/blob/f41616590b69f3ea0c1cbfb41d6c35edd9ce53df/data/train/swiss-1543/questions_basic.jsonl#L4</x:v>
      </x:c>
      <x:c r="AA1189" s="6" t="str">
        <x:v>swiss_dwellings</x:v>
      </x:c>
      <x:c r="AB1189" s="6" t="str">
        <x:v>CC-BY-4.0</x:v>
      </x:c>
    </x:row>
    <x:row r="1190" ht="110" customHeight="1">
      <x:c r="A1190" s="14" t="n">
        <x:v>1185</x:v>
      </x:c>
      <x:c r="B1190" s="6" t="str">
        <x:v>route</x:v>
      </x:c>
      <x:c r="C1190" s="6" t="str">
        <x:v>How do I get from Kitchen 0.21 (apartment 3) (Ground floor) to Living room 1.11 (apartment 6) (Floor 1)?</x:v>
      </x:c>
      <x:c r="D1190" s="6" t="str">
        <x:v>27.35 m
From: Kitchen 0.21 (apartment 3)
To: Living room 1.11 (apartment 6)
Ordered path (8 spaces): Kitchen 0.21 (apartment 3) → Corridor 0.19 (apartment 3) → Corridor 0.20 (apartment 3) → Landing 0.35 → Landing 1.34 → Corridor 1.14 (apartment 6) → Corridor 1.12 (apartment 6) → Living room 1.11 (apartment 6)</x:v>
      </x:c>
      <x:c r="E1190" s="6" t="str">
        <x:v>Reference supplied</x:v>
      </x:c>
      <x:c r="F1190" s="6" t="str">
        <x:v>train</x:v>
      </x:c>
      <x:c r="G1190" s="6" t="str">
        <x:v>swiss-1543</x:v>
      </x:c>
      <x:c r="H1190" s="6" t="str">
        <x:v>swiss-1543-Q05</x:v>
      </x:c>
      <x:c r="I1190" s="6" t="str">
        <x:v>Route planning</x:v>
      </x:c>
      <x:c r="J1190" s="6" t="str">
        <x:v>Warm-up</x:v>
      </x:c>
      <x:c r="K1190" s="6" t="str">
        <x:v>Ordered space path and directions, plus total route-model distance in metres.</x:v>
      </x:c>
      <x:c r="L1190" s="6" t="str">
        <x:v>T02, T05, T13</x:v>
      </x:c>
      <x:c r="M1190" s="6" t="str">
        <x:v>Find a valid route between two rooms, including across floors.</x:v>
      </x:c>
      <x:c r="N1190" s="6" t="str">
        <x:v>{"from_space_id":"swiss-1543-F0-S021","to_space_id":"swiss-1543-F1-S011","optimal_length_m":27.35,"space_path":["swiss-1543-F0-S021","swiss-1543-F0-S019","swiss-1543-F0-S020","swiss-1543-F0-S035","swiss-1543-F1-S034","swiss-1543-F1-S014","swiss-1543-F1-S012","swiss-1543-F1-S011"],"element_path":["swiss-1543-F0-O0020","swiss-1543-F0-O0020","swiss-1543-F0-O0025","swiss-1543-F0-O0025","swiss-1543-F0-O0021","swiss-1543-F0-O0021","swiss-1543-V03","swiss-1543-F1-O0050","swiss-1543-F1-O0050","swiss-1543-F1-O0052","swiss-1543-F1-O0052","swiss-1543-F1-O0049","swiss-1543-F1-O0049"]}</x:v>
      </x:c>
      <x:c r="O1190" s="6"/>
      <x:c r="P1190" s="6" t="str">
        <x:v>README routing profile. Stairs and lifts allowed unless stated otherwise.</x:v>
      </x:c>
      <x:c r="Q1190" s="15" t="n">
        <x:v>27.35</x:v>
      </x:c>
      <x:c r="R1190" s="6" t="str">
        <x:v>m</x:v>
      </x:c>
      <x:c r="S1190" s="16"/>
      <x:c r="T1190" s="15"/>
      <x:c r="U1190" s="6"/>
      <x:c r="V1190" s="6"/>
      <x:c r="W1190" s="6" t="str">
        <x:v>Existing find_route and show_route implement the kit routing model.</x:v>
      </x:c>
      <x:c r="X1190" s="6" t="str">
        <x:v>data/train/swiss-1543/questions_basic.jsonl</x:v>
      </x:c>
      <x:c r="Y1190" s="14" t="n">
        <x:v>5</x:v>
      </x:c>
      <x:c r="Z1190" s="6" t="str">
        <x:v>https://github.com/hagenhaeussler/Industrial-Agents-Hackathon-2026/blob/f41616590b69f3ea0c1cbfb41d6c35edd9ce53df/data/train/swiss-1543/questions_basic.jsonl#L5</x:v>
      </x:c>
      <x:c r="AA1190" s="6" t="str">
        <x:v>swiss_dwellings</x:v>
      </x:c>
      <x:c r="AB1190" s="6" t="str">
        <x:v>CC-BY-4.0</x:v>
      </x:c>
    </x:row>
    <x:row r="1191" ht="96" customHeight="1">
      <x:c r="A1191" s="14" t="n">
        <x:v>1186</x:v>
      </x:c>
      <x:c r="B1191" s="6" t="str">
        <x:v>route</x:v>
      </x:c>
      <x:c r="C1191" s="6" t="str">
        <x:v>How do I get from Kitchen 5.09 (apartment 14) (Floor 5) to Living room 3.05 (apartment 9) (Floor 3)?</x:v>
      </x:c>
      <x:c r="D1191" s="6" t="str">
        <x:v>37.03 m
From: Kitchen 5.09 (apartment 14)
To: Living room 3.05 (apartment 9)
Ordered path (6 spaces): Kitchen 5.09 (apartment 14) → Corridor 5.14 (apartment 14) → Stair hall 5.15 → Stair hall 4.15 → Stair hall 3.15 → Living room 3.05 (apartment 9)</x:v>
      </x:c>
      <x:c r="E1191" s="6" t="str">
        <x:v>Reference supplied</x:v>
      </x:c>
      <x:c r="F1191" s="6" t="str">
        <x:v>train</x:v>
      </x:c>
      <x:c r="G1191" s="6" t="str">
        <x:v>swiss-15503</x:v>
      </x:c>
      <x:c r="H1191" s="6" t="str">
        <x:v>swiss-15503-Q04</x:v>
      </x:c>
      <x:c r="I1191" s="6" t="str">
        <x:v>Route planning</x:v>
      </x:c>
      <x:c r="J1191" s="6" t="str">
        <x:v>Warm-up</x:v>
      </x:c>
      <x:c r="K1191" s="6" t="str">
        <x:v>Ordered space path and directions, plus total route-model distance in metres.</x:v>
      </x:c>
      <x:c r="L1191" s="6" t="str">
        <x:v>T02, T05, T13</x:v>
      </x:c>
      <x:c r="M1191" s="6" t="str">
        <x:v>Find a valid route between two rooms, including across floors.</x:v>
      </x:c>
      <x:c r="N1191" s="6" t="str">
        <x:v>{"from_space_id":"swiss-15503-F5-S009","to_space_id":"swiss-15503-F3-S005","optimal_length_m":37.03,"space_path":["swiss-15503-F5-S009","swiss-15503-F5-S014","swiss-15503-F5-S015","swiss-15503-F4-S015","swiss-15503-F3-S015","swiss-15503-F3-S005"],"element_path":["swiss-15503-F5-O0094","swiss-15503-F5-O0094","swiss-15503-F5-O0088","swiss-15503-F5-O0088","swiss-15503-V01","swiss-15503-V01","swiss-15503-F3-O0053","swiss-15503-F3-O0053"]}</x:v>
      </x:c>
      <x:c r="O1191" s="6"/>
      <x:c r="P1191" s="6" t="str">
        <x:v>README routing profile. Stairs and lifts allowed unless stated otherwise.</x:v>
      </x:c>
      <x:c r="Q1191" s="15" t="n">
        <x:v>37.03</x:v>
      </x:c>
      <x:c r="R1191" s="6" t="str">
        <x:v>m</x:v>
      </x:c>
      <x:c r="S1191" s="16"/>
      <x:c r="T1191" s="15"/>
      <x:c r="U1191" s="6"/>
      <x:c r="V1191" s="6"/>
      <x:c r="W1191" s="6" t="str">
        <x:v>Existing find_route and show_route implement the kit routing model.</x:v>
      </x:c>
      <x:c r="X1191" s="6" t="str">
        <x:v>data/train/swiss-15503/questions_basic.jsonl</x:v>
      </x:c>
      <x:c r="Y1191" s="14" t="n">
        <x:v>4</x:v>
      </x:c>
      <x:c r="Z1191" s="6" t="str">
        <x:v>https://github.com/hagenhaeussler/Industrial-Agents-Hackathon-2026/blob/f41616590b69f3ea0c1cbfb41d6c35edd9ce53df/data/train/swiss-15503/questions_basic.jsonl#L4</x:v>
      </x:c>
      <x:c r="AA1191" s="6" t="str">
        <x:v>swiss_dwellings</x:v>
      </x:c>
      <x:c r="AB1191" s="6" t="str">
        <x:v>CC-BY-4.0</x:v>
      </x:c>
    </x:row>
    <x:row r="1192" ht="82" customHeight="1">
      <x:c r="A1192" s="14" t="n">
        <x:v>1187</x:v>
      </x:c>
      <x:c r="B1192" s="6" t="str">
        <x:v>route</x:v>
      </x:c>
      <x:c r="C1192" s="6" t="str">
        <x:v>How do I get from Living room 2.13 (apartment 8) (Floor 2) to Bathroom 1.07 (apartment 5) (Floor 1)?</x:v>
      </x:c>
      <x:c r="D1192" s="6" t="str">
        <x:v>21.2 m
From: Living room 2.13 (apartment 8)
To: Bathroom 1.07 (apartment 5)
Ordered path (4 spaces): Living room 2.13 (apartment 8) → Stair hall 2.15 → Stair hall 1.15 → Bathroom 1.07 (apartment 5)</x:v>
      </x:c>
      <x:c r="E1192" s="6" t="str">
        <x:v>Reference supplied</x:v>
      </x:c>
      <x:c r="F1192" s="6" t="str">
        <x:v>train</x:v>
      </x:c>
      <x:c r="G1192" s="6" t="str">
        <x:v>swiss-15503</x:v>
      </x:c>
      <x:c r="H1192" s="6" t="str">
        <x:v>swiss-15503-Q05</x:v>
      </x:c>
      <x:c r="I1192" s="6" t="str">
        <x:v>Route planning</x:v>
      </x:c>
      <x:c r="J1192" s="6" t="str">
        <x:v>Warm-up</x:v>
      </x:c>
      <x:c r="K1192" s="6" t="str">
        <x:v>Ordered space path and directions, plus total route-model distance in metres.</x:v>
      </x:c>
      <x:c r="L1192" s="6" t="str">
        <x:v>T02, T05, T13</x:v>
      </x:c>
      <x:c r="M1192" s="6" t="str">
        <x:v>Find a valid route between two rooms, including across floors.</x:v>
      </x:c>
      <x:c r="N1192" s="6" t="str">
        <x:v>{"from_space_id":"swiss-15503-F2-S013","to_space_id":"swiss-15503-F1-S007","optimal_length_m":21.2,"space_path":["swiss-15503-F2-S013","swiss-15503-F2-S015","swiss-15503-F1-S015","swiss-15503-F1-S007"],"element_path":["swiss-15503-F2-O0045","swiss-15503-F2-O0045","swiss-15503-V01","swiss-15503-F1-O0022","swiss-15503-F1-O0022"]}</x:v>
      </x:c>
      <x:c r="O1192" s="6"/>
      <x:c r="P1192" s="6" t="str">
        <x:v>README routing profile. Stairs and lifts allowed unless stated otherwise.</x:v>
      </x:c>
      <x:c r="Q1192" s="15" t="n">
        <x:v>21.2</x:v>
      </x:c>
      <x:c r="R1192" s="6" t="str">
        <x:v>m</x:v>
      </x:c>
      <x:c r="S1192" s="16"/>
      <x:c r="T1192" s="15"/>
      <x:c r="U1192" s="6"/>
      <x:c r="V1192" s="6"/>
      <x:c r="W1192" s="6" t="str">
        <x:v>Existing find_route and show_route implement the kit routing model.</x:v>
      </x:c>
      <x:c r="X1192" s="6" t="str">
        <x:v>data/train/swiss-15503/questions_basic.jsonl</x:v>
      </x:c>
      <x:c r="Y1192" s="14" t="n">
        <x:v>5</x:v>
      </x:c>
      <x:c r="Z1192" s="6" t="str">
        <x:v>https://github.com/hagenhaeussler/Industrial-Agents-Hackathon-2026/blob/f41616590b69f3ea0c1cbfb41d6c35edd9ce53df/data/train/swiss-15503/questions_basic.jsonl#L5</x:v>
      </x:c>
      <x:c r="AA1192" s="6" t="str">
        <x:v>swiss_dwellings</x:v>
      </x:c>
      <x:c r="AB1192" s="6" t="str">
        <x:v>CC-BY-4.0</x:v>
      </x:c>
    </x:row>
    <x:row r="1193" ht="82" customHeight="1">
      <x:c r="A1193" s="14" t="n">
        <x:v>1188</x:v>
      </x:c>
      <x:c r="B1193" s="6" t="str">
        <x:v>route</x:v>
      </x:c>
      <x:c r="C1193" s="6" t="str">
        <x:v>How do I get from Kitchen 4.09 (apartment 12) (Floor 4) to Living room 4.12 (apartment 12) (Floor 4)?</x:v>
      </x:c>
      <x:c r="D1193" s="6" t="str">
        <x:v>1.86 m
From: Kitchen 4.09 (apartment 12)
To: Living room 4.12 (apartment 12)
Ordered path (2 spaces): Kitchen 4.09 (apartment 12) → Living room 4.12 (apartment 12)</x:v>
      </x:c>
      <x:c r="E1193" s="6" t="str">
        <x:v>Reference supplied</x:v>
      </x:c>
      <x:c r="F1193" s="6" t="str">
        <x:v>train</x:v>
      </x:c>
      <x:c r="G1193" s="6" t="str">
        <x:v>swiss-15503</x:v>
      </x:c>
      <x:c r="H1193" s="6" t="str">
        <x:v>swiss-15503-Q06</x:v>
      </x:c>
      <x:c r="I1193" s="6" t="str">
        <x:v>Route planning</x:v>
      </x:c>
      <x:c r="J1193" s="6" t="str">
        <x:v>Warm-up</x:v>
      </x:c>
      <x:c r="K1193" s="6" t="str">
        <x:v>Ordered space path and directions, plus total route-model distance in metres.</x:v>
      </x:c>
      <x:c r="L1193" s="6" t="str">
        <x:v>T02, T05, T13</x:v>
      </x:c>
      <x:c r="M1193" s="6" t="str">
        <x:v>Find a valid route between two rooms, including across floors.</x:v>
      </x:c>
      <x:c r="N1193" s="6" t="str">
        <x:v>{"from_space_id":"swiss-15503-F4-S009","to_space_id":"swiss-15503-F4-S012","optimal_length_m":1.86,"space_path":["swiss-15503-F4-S009","swiss-15503-F4-S012"],"element_path":["swiss-15503-F4-O0080","swiss-15503-F4-O0080"]}</x:v>
      </x:c>
      <x:c r="O1193" s="6"/>
      <x:c r="P1193" s="6" t="str">
        <x:v>README routing profile. Stairs and lifts allowed unless stated otherwise.</x:v>
      </x:c>
      <x:c r="Q1193" s="15" t="n">
        <x:v>1.86</x:v>
      </x:c>
      <x:c r="R1193" s="6" t="str">
        <x:v>m</x:v>
      </x:c>
      <x:c r="S1193" s="16"/>
      <x:c r="T1193" s="15"/>
      <x:c r="U1193" s="6"/>
      <x:c r="V1193" s="6"/>
      <x:c r="W1193" s="6" t="str">
        <x:v>Existing find_route and show_route implement the kit routing model.</x:v>
      </x:c>
      <x:c r="X1193" s="6" t="str">
        <x:v>data/train/swiss-15503/questions_basic.jsonl</x:v>
      </x:c>
      <x:c r="Y1193" s="14" t="n">
        <x:v>6</x:v>
      </x:c>
      <x:c r="Z1193" s="6" t="str">
        <x:v>https://github.com/hagenhaeussler/Industrial-Agents-Hackathon-2026/blob/f41616590b69f3ea0c1cbfb41d6c35edd9ce53df/data/train/swiss-15503/questions_basic.jsonl#L6</x:v>
      </x:c>
      <x:c r="AA1193" s="6" t="str">
        <x:v>swiss_dwellings</x:v>
      </x:c>
      <x:c r="AB1193" s="6" t="str">
        <x:v>CC-BY-4.0</x:v>
      </x:c>
    </x:row>
    <x:row r="1194" ht="138" customHeight="1">
      <x:c r="A1194" s="14" t="n">
        <x:v>1189</x:v>
      </x:c>
      <x:c r="B1194" s="6" t="str">
        <x:v>route</x:v>
      </x:c>
      <x:c r="C1194" s="6" t="str">
        <x:v>How do I get from Bedroom 1.29 (apartment 7) (Floor 1) to Bathroom 0.33 (apartment 4) (Ground floor)?</x:v>
      </x:c>
      <x:c r="D1194" s="6" t="str">
        <x:v>48.3 m
From: Bedroom 1.29 (apartment 7)
To: Bathroom 0.33 (apartment 4)
Ordered path (12 spaces): Bedroom 1.29 (apartment 7) → Corridor 1.27 (apartment 7) → Living room 1.20 (apartment 7) → Corridor 1.25 (apartment 7) → Stair hall 1.38 → Stair hall 0.38 → outside → Landing 0.40 → Corridor 0.37 (apartment 4) → Living room 0.28 (apartment 4) → Corridor 0.27 (apartment 4) → Bathroom 0.33 (apartment 4)</x:v>
      </x:c>
      <x:c r="E1194" s="6" t="str">
        <x:v>Reference supplied</x:v>
      </x:c>
      <x:c r="F1194" s="6" t="str">
        <x:v>train</x:v>
      </x:c>
      <x:c r="G1194" s="6" t="str">
        <x:v>swiss-1571</x:v>
      </x:c>
      <x:c r="H1194" s="6" t="str">
        <x:v>swiss-1571-Q04</x:v>
      </x:c>
      <x:c r="I1194" s="6" t="str">
        <x:v>Route planning</x:v>
      </x:c>
      <x:c r="J1194" s="6" t="str">
        <x:v>Warm-up</x:v>
      </x:c>
      <x:c r="K1194" s="6" t="str">
        <x:v>Ordered space path and directions, plus total route-model distance in metres.</x:v>
      </x:c>
      <x:c r="L1194" s="6" t="str">
        <x:v>T02, T05, T13</x:v>
      </x:c>
      <x:c r="M1194" s="6" t="str">
        <x:v>Find a valid route between two rooms, including across floors.</x:v>
      </x:c>
      <x:c r="N1194" s="6" t="str">
        <x:v>{"from_space_id":"swiss-1571-F1-S029","to_space_id":"swiss-1571-F0-S033","optimal_length_m":48.3,"space_path":["swiss-1571-F1-S029","swiss-1571-F1-S027","swiss-1571-F1-S020","swiss-1571-F1-S025","swiss-1571-F1-S038","swiss-1571-F0-S038","outside","swiss-1571-F0-S040","swiss-1571-F0-S037","swiss-1571-F0-S028","swiss-1571-F0-S027","swiss-1571-F0-S033"],"element_path":["swiss-1571-F1-O0057","swiss-1571-F1-O0057","swiss-1571-F1-O0073","swiss-1571-F1-O0073","swiss-1571-F1-O0074","swiss-1571-F1-O0074","swiss-1571-F1-O0058","swiss-1571-F1-O0058","swiss-1571-V01","swiss-1571-F0-O0111","swiss-1571-F0-O0111","swiss-1571-F0-O0113","swiss-1571-F0-O0113","swiss-1571-F0-O0033","swiss-1571-F0-O0033","swiss-1571-F0-O0038","swiss-1571-F0-O0038","swiss-1571-F0-O0037","swiss-1571-F0-O0037","swiss-1571-F0-O0026","swiss-1571-F0-O0026"]}</x:v>
      </x:c>
      <x:c r="O1194" s="6"/>
      <x:c r="P1194" s="6" t="str">
        <x:v>README routing profile. Stairs and lifts allowed unless stated otherwise.</x:v>
      </x:c>
      <x:c r="Q1194" s="15" t="n">
        <x:v>48.3</x:v>
      </x:c>
      <x:c r="R1194" s="6" t="str">
        <x:v>m</x:v>
      </x:c>
      <x:c r="S1194" s="16"/>
      <x:c r="T1194" s="15"/>
      <x:c r="U1194" s="6"/>
      <x:c r="V1194" s="6"/>
      <x:c r="W1194" s="6" t="str">
        <x:v>Existing find_route and show_route implement the kit routing model.</x:v>
      </x:c>
      <x:c r="X1194" s="6" t="str">
        <x:v>data/train/swiss-1571/questions_basic.jsonl</x:v>
      </x:c>
      <x:c r="Y1194" s="14" t="n">
        <x:v>4</x:v>
      </x:c>
      <x:c r="Z1194" s="6" t="str">
        <x:v>https://github.com/hagenhaeussler/Industrial-Agents-Hackathon-2026/blob/f41616590b69f3ea0c1cbfb41d6c35edd9ce53df/data/train/swiss-1571/questions_basic.jsonl#L4</x:v>
      </x:c>
      <x:c r="AA1194" s="6" t="str">
        <x:v>swiss_dwellings</x:v>
      </x:c>
      <x:c r="AB1194" s="6" t="str">
        <x:v>CC-BY-4.0</x:v>
      </x:c>
    </x:row>
    <x:row r="1195" ht="96" customHeight="1">
      <x:c r="A1195" s="14" t="n">
        <x:v>1190</x:v>
      </x:c>
      <x:c r="B1195" s="6" t="str">
        <x:v>route</x:v>
      </x:c>
      <x:c r="C1195" s="6" t="str">
        <x:v>How do I get from Bathroom 1.31 (apartment 8) (Floor 1) to Storage 1.34 (apartment 8) (Floor 1)?</x:v>
      </x:c>
      <x:c r="D1195" s="6" t="str">
        <x:v>12.75 m
From: Bathroom 1.31 (apartment 8)
To: Storage 1.34 (apartment 8)
Ordered path (4 spaces): Bathroom 1.31 (apartment 8) → Living room 1.32 (apartment 8) → Kitchen 1.33 (apartment 8) → Storage 1.34 (apartment 8)</x:v>
      </x:c>
      <x:c r="E1195" s="6" t="str">
        <x:v>Reference supplied</x:v>
      </x:c>
      <x:c r="F1195" s="6" t="str">
        <x:v>train</x:v>
      </x:c>
      <x:c r="G1195" s="6" t="str">
        <x:v>swiss-1571</x:v>
      </x:c>
      <x:c r="H1195" s="6" t="str">
        <x:v>swiss-1571-Q05</x:v>
      </x:c>
      <x:c r="I1195" s="6" t="str">
        <x:v>Route planning</x:v>
      </x:c>
      <x:c r="J1195" s="6" t="str">
        <x:v>Warm-up</x:v>
      </x:c>
      <x:c r="K1195" s="6" t="str">
        <x:v>Ordered space path and directions, plus total route-model distance in metres.</x:v>
      </x:c>
      <x:c r="L1195" s="6" t="str">
        <x:v>T02, T05, T13</x:v>
      </x:c>
      <x:c r="M1195" s="6" t="str">
        <x:v>Find a valid route between two rooms, including across floors.</x:v>
      </x:c>
      <x:c r="N1195" s="6" t="str">
        <x:v>{"from_space_id":"swiss-1571-F1-S031","to_space_id":"swiss-1571-F1-S034","optimal_length_m":12.75,"space_path":["swiss-1571-F1-S031","swiss-1571-F1-S032","swiss-1571-F1-S033","swiss-1571-F1-S034"],"element_path":["swiss-1571-F1-O0064","swiss-1571-F1-O0064","swiss-1571-F1-O0065","swiss-1571-F1-O0065","swiss-1571-F1-O0069","swiss-1571-F1-O0069"]}</x:v>
      </x:c>
      <x:c r="O1195" s="6"/>
      <x:c r="P1195" s="6" t="str">
        <x:v>README routing profile. Stairs and lifts allowed unless stated otherwise.</x:v>
      </x:c>
      <x:c r="Q1195" s="15" t="n">
        <x:v>12.75</x:v>
      </x:c>
      <x:c r="R1195" s="6" t="str">
        <x:v>m</x:v>
      </x:c>
      <x:c r="S1195" s="16"/>
      <x:c r="T1195" s="15"/>
      <x:c r="U1195" s="6"/>
      <x:c r="V1195" s="6"/>
      <x:c r="W1195" s="6" t="str">
        <x:v>Existing find_route and show_route implement the kit routing model.</x:v>
      </x:c>
      <x:c r="X1195" s="6" t="str">
        <x:v>data/train/swiss-1571/questions_basic.jsonl</x:v>
      </x:c>
      <x:c r="Y1195" s="14" t="n">
        <x:v>5</x:v>
      </x:c>
      <x:c r="Z1195" s="6" t="str">
        <x:v>https://github.com/hagenhaeussler/Industrial-Agents-Hackathon-2026/blob/f41616590b69f3ea0c1cbfb41d6c35edd9ce53df/data/train/swiss-1571/questions_basic.jsonl#L5</x:v>
      </x:c>
      <x:c r="AA1195" s="6" t="str">
        <x:v>swiss_dwellings</x:v>
      </x:c>
      <x:c r="AB1195" s="6" t="str">
        <x:v>CC-BY-4.0</x:v>
      </x:c>
    </x:row>
    <x:row r="1196" ht="124" customHeight="1">
      <x:c r="A1196" s="14" t="n">
        <x:v>1191</x:v>
      </x:c>
      <x:c r="B1196" s="6" t="str">
        <x:v>route</x:v>
      </x:c>
      <x:c r="C1196" s="6" t="str">
        <x:v>How do I get from Storage 0.13 (apartment 2) (Ground floor) to Kitchen 0.17 (apartment 3) (Ground floor)?</x:v>
      </x:c>
      <x:c r="D1196" s="6" t="str">
        <x:v>26.56 m
From: Storage 0.13 (apartment 2)
To: Kitchen 0.17 (apartment 3)
Ordered path (9 spaces): Storage 0.13 (apartment 2) → Kitchen 0.09 (apartment 2) → Living room 0.10 (apartment 2) → Corridor 0.16 (apartment 2) → Landing 0.39 → outside → Stair hall 0.38 → Living room 0.20 (apartment 3) → Kitchen 0.17 (apartment 3)</x:v>
      </x:c>
      <x:c r="E1196" s="6" t="str">
        <x:v>Reference supplied</x:v>
      </x:c>
      <x:c r="F1196" s="6" t="str">
        <x:v>train</x:v>
      </x:c>
      <x:c r="G1196" s="6" t="str">
        <x:v>swiss-1571</x:v>
      </x:c>
      <x:c r="H1196" s="6" t="str">
        <x:v>swiss-1571-Q06</x:v>
      </x:c>
      <x:c r="I1196" s="6" t="str">
        <x:v>Route planning</x:v>
      </x:c>
      <x:c r="J1196" s="6" t="str">
        <x:v>Warm-up</x:v>
      </x:c>
      <x:c r="K1196" s="6" t="str">
        <x:v>Ordered space path and directions, plus total route-model distance in metres.</x:v>
      </x:c>
      <x:c r="L1196" s="6" t="str">
        <x:v>T02, T05, T13</x:v>
      </x:c>
      <x:c r="M1196" s="6" t="str">
        <x:v>Find a valid route between two rooms, including across floors.</x:v>
      </x:c>
      <x:c r="N1196" s="6" t="str">
        <x:v>{"from_space_id":"swiss-1571-F0-S013","to_space_id":"swiss-1571-F0-S017","optimal_length_m":26.56,"space_path":["swiss-1571-F0-S013","swiss-1571-F0-S009","swiss-1571-F0-S010","swiss-1571-F0-S016","swiss-1571-F0-S039","outside","swiss-1571-F0-S038","swiss-1571-F0-S020","swiss-1571-F0-S017"],"element_path":["swiss-1571-F0-O0011","swiss-1571-F0-O0011","swiss-1571-F0-O0009","swiss-1571-F0-O0009","swiss-1571-F0-O0035","swiss-1571-F0-O0035","swiss-1571-F0-O0012","swiss-1571-F0-O0012","swiss-1571-F0-O0112","swiss-1571-F0-O0112","swiss-1571-F0-O0111","swiss-1571-F0-O0111","swiss-1571-F0-O0023","swiss-1571-F0-O0023","swiss-1571-F0-O0019","swiss-1571-F0-O0019"]}</x:v>
      </x:c>
      <x:c r="O1196" s="6"/>
      <x:c r="P1196" s="6" t="str">
        <x:v>README routing profile. Stairs and lifts allowed unless stated otherwise.</x:v>
      </x:c>
      <x:c r="Q1196" s="15" t="n">
        <x:v>26.56</x:v>
      </x:c>
      <x:c r="R1196" s="6" t="str">
        <x:v>m</x:v>
      </x:c>
      <x:c r="S1196" s="16"/>
      <x:c r="T1196" s="15"/>
      <x:c r="U1196" s="6"/>
      <x:c r="V1196" s="6"/>
      <x:c r="W1196" s="6" t="str">
        <x:v>Existing find_route and show_route implement the kit routing model.</x:v>
      </x:c>
      <x:c r="X1196" s="6" t="str">
        <x:v>data/train/swiss-1571/questions_basic.jsonl</x:v>
      </x:c>
      <x:c r="Y1196" s="14" t="n">
        <x:v>6</x:v>
      </x:c>
      <x:c r="Z1196" s="6" t="str">
        <x:v>https://github.com/hagenhaeussler/Industrial-Agents-Hackathon-2026/blob/f41616590b69f3ea0c1cbfb41d6c35edd9ce53df/data/train/swiss-1571/questions_basic.jsonl#L6</x:v>
      </x:c>
      <x:c r="AA1196" s="6" t="str">
        <x:v>swiss_dwellings</x:v>
      </x:c>
      <x:c r="AB1196" s="6" t="str">
        <x:v>CC-BY-4.0</x:v>
      </x:c>
    </x:row>
    <x:row r="1197" ht="96" customHeight="1">
      <x:c r="A1197" s="14" t="n">
        <x:v>1192</x:v>
      </x:c>
      <x:c r="B1197" s="6" t="str">
        <x:v>route</x:v>
      </x:c>
      <x:c r="C1197" s="6" t="str">
        <x:v>How do I get from Living room 1.03 (apartment 2) (Floor 1) to Bathroom 2.03 (apartment 3) (Floor 2)?</x:v>
      </x:c>
      <x:c r="D1197" s="6" t="str">
        <x:v>29.63 m
From: Living room 1.03 (apartment 2)
To: Bathroom 2.03 (apartment 3)
Ordered path (6 spaces): Living room 1.03 (apartment 2) → Corridor 1.02 (apartment 2) → Stair hall 1.08 → Stair hall 2.08 → Corridor 2.05 (apartment 3) → Bathroom 2.03 (apartment 3)</x:v>
      </x:c>
      <x:c r="E1197" s="6" t="str">
        <x:v>Reference supplied</x:v>
      </x:c>
      <x:c r="F1197" s="6" t="str">
        <x:v>train</x:v>
      </x:c>
      <x:c r="G1197" s="6" t="str">
        <x:v>swiss-16357</x:v>
      </x:c>
      <x:c r="H1197" s="6" t="str">
        <x:v>swiss-16357-Q05</x:v>
      </x:c>
      <x:c r="I1197" s="6" t="str">
        <x:v>Route planning</x:v>
      </x:c>
      <x:c r="J1197" s="6" t="str">
        <x:v>Warm-up</x:v>
      </x:c>
      <x:c r="K1197" s="6" t="str">
        <x:v>Ordered space path and directions, plus total route-model distance in metres.</x:v>
      </x:c>
      <x:c r="L1197" s="6" t="str">
        <x:v>T02, T05, T13</x:v>
      </x:c>
      <x:c r="M1197" s="6" t="str">
        <x:v>Find a valid route between two rooms, including across floors.</x:v>
      </x:c>
      <x:c r="N1197" s="6" t="str">
        <x:v>{"from_space_id":"swiss-16357-F1-S003","to_space_id":"swiss-16357-F2-S003","optimal_length_m":29.63,"space_path":["swiss-16357-F1-S003","swiss-16357-F1-S002","swiss-16357-F1-S008","swiss-16357-F2-S008","swiss-16357-F2-S005","swiss-16357-F2-S003"],"element_path":["swiss-16357-F1-O0006","swiss-16357-F1-O0006","swiss-16357-F1-O0010","swiss-16357-F1-O0010","swiss-16357-V01","swiss-16357-F2-O0012","swiss-16357-F2-O0012","swiss-16357-F2-O0017","swiss-16357-F2-O0017"]}</x:v>
      </x:c>
      <x:c r="O1197" s="6"/>
      <x:c r="P1197" s="6" t="str">
        <x:v>README routing profile. Stairs and lifts allowed unless stated otherwise.</x:v>
      </x:c>
      <x:c r="Q1197" s="15" t="n">
        <x:v>29.63</x:v>
      </x:c>
      <x:c r="R1197" s="6" t="str">
        <x:v>m</x:v>
      </x:c>
      <x:c r="S1197" s="16"/>
      <x:c r="T1197" s="15"/>
      <x:c r="U1197" s="6"/>
      <x:c r="V1197" s="6"/>
      <x:c r="W1197" s="6" t="str">
        <x:v>Existing find_route and show_route implement the kit routing model.</x:v>
      </x:c>
      <x:c r="X1197" s="6" t="str">
        <x:v>data/train/swiss-16357/questions_basic.jsonl</x:v>
      </x:c>
      <x:c r="Y1197" s="14" t="n">
        <x:v>5</x:v>
      </x:c>
      <x:c r="Z1197" s="6" t="str">
        <x:v>https://github.com/hagenhaeussler/Industrial-Agents-Hackathon-2026/blob/f41616590b69f3ea0c1cbfb41d6c35edd9ce53df/data/train/swiss-16357/questions_basic.jsonl#L5</x:v>
      </x:c>
      <x:c r="AA1197" s="6" t="str">
        <x:v>swiss_dwellings</x:v>
      </x:c>
      <x:c r="AB1197" s="6" t="str">
        <x:v>CC-BY-4.0</x:v>
      </x:c>
    </x:row>
    <x:row r="1198" ht="82" customHeight="1">
      <x:c r="A1198" s="14" t="n">
        <x:v>1193</x:v>
      </x:c>
      <x:c r="B1198" s="6" t="str">
        <x:v>route</x:v>
      </x:c>
      <x:c r="C1198" s="6" t="str">
        <x:v>How do I get from Bedroom 1.04 (apartment 2) (Floor 1) to Living room 1.03 (apartment 2) (Floor 1)?</x:v>
      </x:c>
      <x:c r="D1198" s="6" t="str">
        <x:v>9.81 m
From: Bedroom 1.04 (apartment 2)
To: Living room 1.03 (apartment 2)
Ordered path (3 spaces): Bedroom 1.04 (apartment 2) → Corridor 1.02 (apartment 2) → Living room 1.03 (apartment 2)</x:v>
      </x:c>
      <x:c r="E1198" s="6" t="str">
        <x:v>Reference supplied</x:v>
      </x:c>
      <x:c r="F1198" s="6" t="str">
        <x:v>train</x:v>
      </x:c>
      <x:c r="G1198" s="6" t="str">
        <x:v>swiss-16357</x:v>
      </x:c>
      <x:c r="H1198" s="6" t="str">
        <x:v>swiss-16357-Q06</x:v>
      </x:c>
      <x:c r="I1198" s="6" t="str">
        <x:v>Route planning</x:v>
      </x:c>
      <x:c r="J1198" s="6" t="str">
        <x:v>Warm-up</x:v>
      </x:c>
      <x:c r="K1198" s="6" t="str">
        <x:v>Ordered space path and directions, plus total route-model distance in metres.</x:v>
      </x:c>
      <x:c r="L1198" s="6" t="str">
        <x:v>T02, T05, T13</x:v>
      </x:c>
      <x:c r="M1198" s="6" t="str">
        <x:v>Find a valid route between two rooms, including across floors.</x:v>
      </x:c>
      <x:c r="N1198" s="6" t="str">
        <x:v>{"from_space_id":"swiss-16357-F1-S004","to_space_id":"swiss-16357-F1-S003","optimal_length_m":9.81,"space_path":["swiss-16357-F1-S004","swiss-16357-F1-S002","swiss-16357-F1-S003"],"element_path":["swiss-16357-F1-O0005","swiss-16357-F1-O0005","swiss-16357-F1-O0006","swiss-16357-F1-O0006"]}</x:v>
      </x:c>
      <x:c r="O1198" s="6"/>
      <x:c r="P1198" s="6" t="str">
        <x:v>README routing profile. Stairs and lifts allowed unless stated otherwise.</x:v>
      </x:c>
      <x:c r="Q1198" s="15" t="n">
        <x:v>9.81</x:v>
      </x:c>
      <x:c r="R1198" s="6" t="str">
        <x:v>m</x:v>
      </x:c>
      <x:c r="S1198" s="16"/>
      <x:c r="T1198" s="15"/>
      <x:c r="U1198" s="6"/>
      <x:c r="V1198" s="6"/>
      <x:c r="W1198" s="6" t="str">
        <x:v>Existing find_route and show_route implement the kit routing model.</x:v>
      </x:c>
      <x:c r="X1198" s="6" t="str">
        <x:v>data/train/swiss-16357/questions_basic.jsonl</x:v>
      </x:c>
      <x:c r="Y1198" s="14" t="n">
        <x:v>6</x:v>
      </x:c>
      <x:c r="Z1198" s="6" t="str">
        <x:v>https://github.com/hagenhaeussler/Industrial-Agents-Hackathon-2026/blob/f41616590b69f3ea0c1cbfb41d6c35edd9ce53df/data/train/swiss-16357/questions_basic.jsonl#L6</x:v>
      </x:c>
      <x:c r="AA1198" s="6" t="str">
        <x:v>swiss_dwellings</x:v>
      </x:c>
      <x:c r="AB1198" s="6" t="str">
        <x:v>CC-BY-4.0</x:v>
      </x:c>
    </x:row>
    <x:row r="1199" ht="96" customHeight="1">
      <x:c r="A1199" s="14" t="n">
        <x:v>1194</x:v>
      </x:c>
      <x:c r="B1199" s="6" t="str">
        <x:v>route</x:v>
      </x:c>
      <x:c r="C1199" s="6" t="str">
        <x:v>How do I get from Kitchen 2.07 (apartment 3) (Floor 2) to Kitchen 1.06 (apartment 2) (Floor 1)?</x:v>
      </x:c>
      <x:c r="D1199" s="6" t="str">
        <x:v>31.28 m
From: Kitchen 2.07 (apartment 3)
To: Kitchen 1.06 (apartment 2)
Ordered path (6 spaces): Kitchen 2.07 (apartment 3) → Corridor 2.05 (apartment 3) → Stair hall 2.08 → Stair hall 1.08 → Corridor 1.02 (apartment 2) → Kitchen 1.06 (apartment 2)</x:v>
      </x:c>
      <x:c r="E1199" s="6" t="str">
        <x:v>Reference supplied</x:v>
      </x:c>
      <x:c r="F1199" s="6" t="str">
        <x:v>train</x:v>
      </x:c>
      <x:c r="G1199" s="6" t="str">
        <x:v>swiss-16357</x:v>
      </x:c>
      <x:c r="H1199" s="6" t="str">
        <x:v>swiss-16357-Q07</x:v>
      </x:c>
      <x:c r="I1199" s="6" t="str">
        <x:v>Route planning</x:v>
      </x:c>
      <x:c r="J1199" s="6" t="str">
        <x:v>Warm-up</x:v>
      </x:c>
      <x:c r="K1199" s="6" t="str">
        <x:v>Ordered space path and directions, plus total route-model distance in metres.</x:v>
      </x:c>
      <x:c r="L1199" s="6" t="str">
        <x:v>T02, T05, T13</x:v>
      </x:c>
      <x:c r="M1199" s="6" t="str">
        <x:v>Find a valid route between two rooms, including across floors.</x:v>
      </x:c>
      <x:c r="N1199" s="6" t="str">
        <x:v>{"from_space_id":"swiss-16357-F2-S007","to_space_id":"swiss-16357-F1-S006","optimal_length_m":31.28,"space_path":["swiss-16357-F2-S007","swiss-16357-F2-S005","swiss-16357-F2-S008","swiss-16357-F1-S008","swiss-16357-F1-S002","swiss-16357-F1-S006"],"element_path":["swiss-16357-F2-O0014","swiss-16357-F2-O0014","swiss-16357-F2-O0012","swiss-16357-F2-O0012","swiss-16357-V01","swiss-16357-F1-O0010","swiss-16357-F1-O0010","swiss-16357-F1-O0008","swiss-16357-F1-O0008"]}</x:v>
      </x:c>
      <x:c r="O1199" s="6"/>
      <x:c r="P1199" s="6" t="str">
        <x:v>README routing profile. Stairs and lifts allowed unless stated otherwise.</x:v>
      </x:c>
      <x:c r="Q1199" s="15" t="n">
        <x:v>31.28</x:v>
      </x:c>
      <x:c r="R1199" s="6" t="str">
        <x:v>m</x:v>
      </x:c>
      <x:c r="S1199" s="16"/>
      <x:c r="T1199" s="15"/>
      <x:c r="U1199" s="6"/>
      <x:c r="V1199" s="6"/>
      <x:c r="W1199" s="6" t="str">
        <x:v>Existing find_route and show_route implement the kit routing model.</x:v>
      </x:c>
      <x:c r="X1199" s="6" t="str">
        <x:v>data/train/swiss-16357/questions_basic.jsonl</x:v>
      </x:c>
      <x:c r="Y1199" s="14" t="n">
        <x:v>7</x:v>
      </x:c>
      <x:c r="Z1199" s="6" t="str">
        <x:v>https://github.com/hagenhaeussler/Industrial-Agents-Hackathon-2026/blob/f41616590b69f3ea0c1cbfb41d6c35edd9ce53df/data/train/swiss-16357/questions_basic.jsonl#L7</x:v>
      </x:c>
      <x:c r="AA1199" s="6" t="str">
        <x:v>swiss_dwellings</x:v>
      </x:c>
      <x:c r="AB1199" s="6" t="str">
        <x:v>CC-BY-4.0</x:v>
      </x:c>
    </x:row>
    <x:row r="1200" ht="82" customHeight="1">
      <x:c r="A1200" s="14" t="n">
        <x:v>1195</x:v>
      </x:c>
      <x:c r="B1200" s="6" t="str">
        <x:v>route</x:v>
      </x:c>
      <x:c r="C1200" s="6" t="str">
        <x:v>How do I get from Bedroom 1.14 (apartment 2) (Floor 1) to Bathroom 1.05 (apartment 2) (Floor 1)?</x:v>
      </x:c>
      <x:c r="D1200" s="6" t="str">
        <x:v>12.15 m
From: Bedroom 1.14 (apartment 2)
To: Bathroom 1.05 (apartment 2)
Ordered path (4 spaces): Bedroom 1.14 (apartment 2) → Corridor 1.03 (apartment 2) → Corridor 1.12 (apartment 2) → Bathroom 1.05 (apartment 2)</x:v>
      </x:c>
      <x:c r="E1200" s="6" t="str">
        <x:v>Reference supplied</x:v>
      </x:c>
      <x:c r="F1200" s="6" t="str">
        <x:v>train</x:v>
      </x:c>
      <x:c r="G1200" s="6" t="str">
        <x:v>swiss-1650</x:v>
      </x:c>
      <x:c r="H1200" s="6" t="str">
        <x:v>swiss-1650-Q04</x:v>
      </x:c>
      <x:c r="I1200" s="6" t="str">
        <x:v>Route planning</x:v>
      </x:c>
      <x:c r="J1200" s="6" t="str">
        <x:v>Warm-up</x:v>
      </x:c>
      <x:c r="K1200" s="6" t="str">
        <x:v>Ordered space path and directions, plus total route-model distance in metres.</x:v>
      </x:c>
      <x:c r="L1200" s="6" t="str">
        <x:v>T02, T05, T13</x:v>
      </x:c>
      <x:c r="M1200" s="6" t="str">
        <x:v>Find a valid route between two rooms, including across floors.</x:v>
      </x:c>
      <x:c r="N1200" s="6" t="str">
        <x:v>{"from_space_id":"swiss-1650-F1-S014","to_space_id":"swiss-1650-F1-S005","optimal_length_m":12.15,"space_path":["swiss-1650-F1-S014","swiss-1650-F1-S003","swiss-1650-F1-S012","swiss-1650-F1-S005"],"element_path":["swiss-1650-F1-O0018","swiss-1650-F1-O0018","swiss-1650-F1-O0043","swiss-1650-F1-O0043","swiss-1650-F1-O0024","swiss-1650-F1-O0024"]}</x:v>
      </x:c>
      <x:c r="O1200" s="6"/>
      <x:c r="P1200" s="6" t="str">
        <x:v>README routing profile. Stairs and lifts allowed unless stated otherwise.</x:v>
      </x:c>
      <x:c r="Q1200" s="15" t="n">
        <x:v>12.15</x:v>
      </x:c>
      <x:c r="R1200" s="6" t="str">
        <x:v>m</x:v>
      </x:c>
      <x:c r="S1200" s="16"/>
      <x:c r="T1200" s="15"/>
      <x:c r="U1200" s="6"/>
      <x:c r="V1200" s="6"/>
      <x:c r="W1200" s="6" t="str">
        <x:v>Existing find_route and show_route implement the kit routing model.</x:v>
      </x:c>
      <x:c r="X1200" s="6" t="str">
        <x:v>data/train/swiss-1650/questions_basic.jsonl</x:v>
      </x:c>
      <x:c r="Y1200" s="14" t="n">
        <x:v>4</x:v>
      </x:c>
      <x:c r="Z1200" s="6" t="str">
        <x:v>https://github.com/hagenhaeussler/Industrial-Agents-Hackathon-2026/blob/f41616590b69f3ea0c1cbfb41d6c35edd9ce53df/data/train/swiss-1650/questions_basic.jsonl#L4</x:v>
      </x:c>
      <x:c r="AA1200" s="6" t="str">
        <x:v>swiss_dwellings</x:v>
      </x:c>
      <x:c r="AB1200" s="6" t="str">
        <x:v>CC-BY-4.0</x:v>
      </x:c>
    </x:row>
    <x:row r="1201" ht="96" customHeight="1">
      <x:c r="A1201" s="14" t="n">
        <x:v>1196</x:v>
      </x:c>
      <x:c r="B1201" s="6" t="str">
        <x:v>route</x:v>
      </x:c>
      <x:c r="C1201" s="6" t="str">
        <x:v>How do I get from Bathroom 1.05 (apartment 2) (Floor 1) to Bedroom 0.03 (apartment 1) (Ground floor)?</x:v>
      </x:c>
      <x:c r="D1201" s="6" t="str">
        <x:v>38.16 m
From: Bathroom 1.05 (apartment 2)
To: Bedroom 0.03 (apartment 1)
Ordered path (7 spaces): Bathroom 1.05 (apartment 2) → Corridor 1.12 (apartment 2) → Corridor 1.03 (apartment 2) → Stair hall 1.26 → Landing 0.09 → Corridor 0.07 (apartment 1) → Bedroom 0.03 (apartment 1)</x:v>
      </x:c>
      <x:c r="E1201" s="6" t="str">
        <x:v>Reference supplied</x:v>
      </x:c>
      <x:c r="F1201" s="6" t="str">
        <x:v>train</x:v>
      </x:c>
      <x:c r="G1201" s="6" t="str">
        <x:v>swiss-1650</x:v>
      </x:c>
      <x:c r="H1201" s="6" t="str">
        <x:v>swiss-1650-Q05</x:v>
      </x:c>
      <x:c r="I1201" s="6" t="str">
        <x:v>Route planning</x:v>
      </x:c>
      <x:c r="J1201" s="6" t="str">
        <x:v>Warm-up</x:v>
      </x:c>
      <x:c r="K1201" s="6" t="str">
        <x:v>Ordered space path and directions, plus total route-model distance in metres.</x:v>
      </x:c>
      <x:c r="L1201" s="6" t="str">
        <x:v>T02, T05, T13</x:v>
      </x:c>
      <x:c r="M1201" s="6" t="str">
        <x:v>Find a valid route between two rooms, including across floors.</x:v>
      </x:c>
      <x:c r="N1201" s="6" t="str">
        <x:v>{"from_space_id":"swiss-1650-F1-S005","to_space_id":"swiss-1650-F0-S003","optimal_length_m":38.16,"space_path":["swiss-1650-F1-S005","swiss-1650-F1-S012","swiss-1650-F1-S003","swiss-1650-F1-S026","swiss-1650-F0-S009","swiss-1650-F0-S007","swiss-1650-F0-S003"],"element_path":["swiss-1650-F1-O0024","swiss-1650-F1-O0024","swiss-1650-F1-O0043","swiss-1650-F1-O0043","swiss-1650-F1-O0022","swiss-1650-F1-O0022","swiss-1650-V01","swiss-1650-F0-O0011","swiss-1650-F0-O0011","swiss-1650-F0-O0005","swiss-1650-F0-O0005"]}</x:v>
      </x:c>
      <x:c r="O1201" s="6"/>
      <x:c r="P1201" s="6" t="str">
        <x:v>README routing profile. Stairs and lifts allowed unless stated otherwise.</x:v>
      </x:c>
      <x:c r="Q1201" s="15" t="n">
        <x:v>38.16</x:v>
      </x:c>
      <x:c r="R1201" s="6" t="str">
        <x:v>m</x:v>
      </x:c>
      <x:c r="S1201" s="16"/>
      <x:c r="T1201" s="15"/>
      <x:c r="U1201" s="6"/>
      <x:c r="V1201" s="6"/>
      <x:c r="W1201" s="6" t="str">
        <x:v>Existing find_route and show_route implement the kit routing model.</x:v>
      </x:c>
      <x:c r="X1201" s="6" t="str">
        <x:v>data/train/swiss-1650/questions_basic.jsonl</x:v>
      </x:c>
      <x:c r="Y1201" s="14" t="n">
        <x:v>5</x:v>
      </x:c>
      <x:c r="Z1201" s="6" t="str">
        <x:v>https://github.com/hagenhaeussler/Industrial-Agents-Hackathon-2026/blob/f41616590b69f3ea0c1cbfb41d6c35edd9ce53df/data/train/swiss-1650/questions_basic.jsonl#L5</x:v>
      </x:c>
      <x:c r="AA1201" s="6" t="str">
        <x:v>swiss_dwellings</x:v>
      </x:c>
      <x:c r="AB1201" s="6" t="str">
        <x:v>CC-BY-4.0</x:v>
      </x:c>
    </x:row>
    <x:row r="1202" ht="96" customHeight="1">
      <x:c r="A1202" s="14" t="n">
        <x:v>1197</x:v>
      </x:c>
      <x:c r="B1202" s="6" t="str">
        <x:v>route</x:v>
      </x:c>
      <x:c r="C1202" s="6" t="str">
        <x:v>How do I get from Bedroom 0.05 (apartment 1) (Ground floor) to Bedroom 1.22 (apartment 3) (Floor 1)?</x:v>
      </x:c>
      <x:c r="D1202" s="6" t="str">
        <x:v>32.65 m
From: Bedroom 0.05 (apartment 1)
To: Bedroom 1.22 (apartment 3)
Ordered path (6 spaces): Bedroom 0.05 (apartment 1) → Corridor 0.07 (apartment 1) → Landing 0.09 → Stair hall 1.26 → Corridor 1.25 (apartment 3) → Bedroom 1.22 (apartment 3)</x:v>
      </x:c>
      <x:c r="E1202" s="6" t="str">
        <x:v>Reference supplied</x:v>
      </x:c>
      <x:c r="F1202" s="6" t="str">
        <x:v>train</x:v>
      </x:c>
      <x:c r="G1202" s="6" t="str">
        <x:v>swiss-1650</x:v>
      </x:c>
      <x:c r="H1202" s="6" t="str">
        <x:v>swiss-1650-Q06</x:v>
      </x:c>
      <x:c r="I1202" s="6" t="str">
        <x:v>Route planning</x:v>
      </x:c>
      <x:c r="J1202" s="6" t="str">
        <x:v>Warm-up</x:v>
      </x:c>
      <x:c r="K1202" s="6" t="str">
        <x:v>Ordered space path and directions, plus total route-model distance in metres.</x:v>
      </x:c>
      <x:c r="L1202" s="6" t="str">
        <x:v>T02, T05, T13</x:v>
      </x:c>
      <x:c r="M1202" s="6" t="str">
        <x:v>Find a valid route between two rooms, including across floors.</x:v>
      </x:c>
      <x:c r="N1202" s="6" t="str">
        <x:v>{"from_space_id":"swiss-1650-F0-S005","to_space_id":"swiss-1650-F1-S022","optimal_length_m":32.65,"space_path":["swiss-1650-F0-S005","swiss-1650-F0-S007","swiss-1650-F0-S009","swiss-1650-F1-S026","swiss-1650-F1-S025","swiss-1650-F1-S022"],"element_path":["swiss-1650-F0-O0004","swiss-1650-F0-O0004","swiss-1650-F0-O0011","swiss-1650-F0-O0011","swiss-1650-V01","swiss-1650-F1-O0035","swiss-1650-F1-O0035","swiss-1650-F1-O0034","swiss-1650-F1-O0034"]}</x:v>
      </x:c>
      <x:c r="O1202" s="6"/>
      <x:c r="P1202" s="6" t="str">
        <x:v>README routing profile. Stairs and lifts allowed unless stated otherwise.</x:v>
      </x:c>
      <x:c r="Q1202" s="15" t="n">
        <x:v>32.65</x:v>
      </x:c>
      <x:c r="R1202" s="6" t="str">
        <x:v>m</x:v>
      </x:c>
      <x:c r="S1202" s="16"/>
      <x:c r="T1202" s="15"/>
      <x:c r="U1202" s="6"/>
      <x:c r="V1202" s="6"/>
      <x:c r="W1202" s="6" t="str">
        <x:v>Existing find_route and show_route implement the kit routing model.</x:v>
      </x:c>
      <x:c r="X1202" s="6" t="str">
        <x:v>data/train/swiss-1650/questions_basic.jsonl</x:v>
      </x:c>
      <x:c r="Y1202" s="14" t="n">
        <x:v>6</x:v>
      </x:c>
      <x:c r="Z1202" s="6" t="str">
        <x:v>https://github.com/hagenhaeussler/Industrial-Agents-Hackathon-2026/blob/f41616590b69f3ea0c1cbfb41d6c35edd9ce53df/data/train/swiss-1650/questions_basic.jsonl#L6</x:v>
      </x:c>
      <x:c r="AA1202" s="6" t="str">
        <x:v>swiss_dwellings</x:v>
      </x:c>
      <x:c r="AB1202" s="6" t="str">
        <x:v>CC-BY-4.0</x:v>
      </x:c>
    </x:row>
    <x:row r="1203" ht="96" customHeight="1">
      <x:c r="A1203" s="14" t="n">
        <x:v>1198</x:v>
      </x:c>
      <x:c r="B1203" s="6" t="str">
        <x:v>route</x:v>
      </x:c>
      <x:c r="C1203" s="6" t="str">
        <x:v>How do I get from Kitchen 2.03 (apartment 5) (Floor 2) to Kitchen 1.04 (apartment 2) (Floor 1)?</x:v>
      </x:c>
      <x:c r="D1203" s="6" t="str">
        <x:v>26.46 m
From: Kitchen 2.03 (apartment 5)
To: Kitchen 1.04 (apartment 2)
Ordered path (6 spaces): Kitchen 2.03 (apartment 5) → Corridor 2.05 (apartment 5) → Stair hall 2.17 → Stair hall 1.17 → Corridor 1.05 (apartment 2) → Kitchen 1.04 (apartment 2)</x:v>
      </x:c>
      <x:c r="E1203" s="6" t="str">
        <x:v>Reference supplied</x:v>
      </x:c>
      <x:c r="F1203" s="6" t="str">
        <x:v>train</x:v>
      </x:c>
      <x:c r="G1203" s="6" t="str">
        <x:v>swiss-18196</x:v>
      </x:c>
      <x:c r="H1203" s="6" t="str">
        <x:v>swiss-18196-Q04</x:v>
      </x:c>
      <x:c r="I1203" s="6" t="str">
        <x:v>Route planning</x:v>
      </x:c>
      <x:c r="J1203" s="6" t="str">
        <x:v>Warm-up</x:v>
      </x:c>
      <x:c r="K1203" s="6" t="str">
        <x:v>Ordered space path and directions, plus total route-model distance in metres.</x:v>
      </x:c>
      <x:c r="L1203" s="6" t="str">
        <x:v>T02, T05, T13</x:v>
      </x:c>
      <x:c r="M1203" s="6" t="str">
        <x:v>Find a valid route between two rooms, including across floors.</x:v>
      </x:c>
      <x:c r="N1203" s="6" t="str">
        <x:v>{"from_space_id":"swiss-18196-F2-S003","to_space_id":"swiss-18196-F1-S004","optimal_length_m":26.46,"space_path":["swiss-18196-F2-S003","swiss-18196-F2-S005","swiss-18196-F2-S017","swiss-18196-F1-S017","swiss-18196-F1-S005","swiss-18196-F1-S004"],"element_path":["swiss-18196-F2-O0029","swiss-18196-F2-O0029","swiss-18196-F2-O0025","swiss-18196-F2-O0025","swiss-18196-V01","swiss-18196-F1-O0013","swiss-18196-F1-O0013","swiss-18196-F1-O0012","swiss-18196-F1-O0012"]}</x:v>
      </x:c>
      <x:c r="O1203" s="6"/>
      <x:c r="P1203" s="6" t="str">
        <x:v>README routing profile. Stairs and lifts allowed unless stated otherwise.</x:v>
      </x:c>
      <x:c r="Q1203" s="15" t="n">
        <x:v>26.46</x:v>
      </x:c>
      <x:c r="R1203" s="6" t="str">
        <x:v>m</x:v>
      </x:c>
      <x:c r="S1203" s="16"/>
      <x:c r="T1203" s="15"/>
      <x:c r="U1203" s="6"/>
      <x:c r="V1203" s="6"/>
      <x:c r="W1203" s="6" t="str">
        <x:v>Existing find_route and show_route implement the kit routing model.</x:v>
      </x:c>
      <x:c r="X1203" s="6" t="str">
        <x:v>data/train/swiss-18196/questions_basic.jsonl</x:v>
      </x:c>
      <x:c r="Y1203" s="14" t="n">
        <x:v>4</x:v>
      </x:c>
      <x:c r="Z1203" s="6" t="str">
        <x:v>https://github.com/hagenhaeussler/Industrial-Agents-Hackathon-2026/blob/f41616590b69f3ea0c1cbfb41d6c35edd9ce53df/data/train/swiss-18196/questions_basic.jsonl#L4</x:v>
      </x:c>
      <x:c r="AA1203" s="6" t="str">
        <x:v>swiss_dwellings</x:v>
      </x:c>
      <x:c r="AB1203" s="6" t="str">
        <x:v>CC-BY-4.0</x:v>
      </x:c>
    </x:row>
    <x:row r="1204" ht="110" customHeight="1">
      <x:c r="A1204" s="14" t="n">
        <x:v>1199</x:v>
      </x:c>
      <x:c r="B1204" s="6" t="str">
        <x:v>route</x:v>
      </x:c>
      <x:c r="C1204" s="6" t="str">
        <x:v>How do I get from Kitchen 4.06 (apartment 12) (Floor 4) to Bathroom 1.08 (apartment 3) (Floor 1)?</x:v>
      </x:c>
      <x:c r="D1204" s="6" t="str">
        <x:v>49.22 m
From: Kitchen 4.06 (apartment 12)
To: Bathroom 1.08 (apartment 3)
Ordered path (8 spaces): Kitchen 4.06 (apartment 12) → Corridor 4.10 (apartment 12) → Stair hall 4.17 → Stair hall 3.17 → Stair hall 2.17 → Stair hall 1.17 → Corridor 1.07 (apartment 3) → Bathroom 1.08 (apartment 3)</x:v>
      </x:c>
      <x:c r="E1204" s="6" t="str">
        <x:v>Reference supplied</x:v>
      </x:c>
      <x:c r="F1204" s="6" t="str">
        <x:v>train</x:v>
      </x:c>
      <x:c r="G1204" s="6" t="str">
        <x:v>swiss-18196</x:v>
      </x:c>
      <x:c r="H1204" s="6" t="str">
        <x:v>swiss-18196-Q05</x:v>
      </x:c>
      <x:c r="I1204" s="6" t="str">
        <x:v>Route planning</x:v>
      </x:c>
      <x:c r="J1204" s="6" t="str">
        <x:v>Warm-up</x:v>
      </x:c>
      <x:c r="K1204" s="6" t="str">
        <x:v>Ordered space path and directions, plus total route-model distance in metres.</x:v>
      </x:c>
      <x:c r="L1204" s="6" t="str">
        <x:v>T02, T05, T13</x:v>
      </x:c>
      <x:c r="M1204" s="6" t="str">
        <x:v>Find a valid route between two rooms, including across floors.</x:v>
      </x:c>
      <x:c r="N1204" s="6" t="str">
        <x:v>{"from_space_id":"swiss-18196-F4-S006","to_space_id":"swiss-18196-F1-S008","optimal_length_m":49.22,"space_path":["swiss-18196-F4-S006","swiss-18196-F4-S010","swiss-18196-F4-S017","swiss-18196-F3-S017","swiss-18196-F2-S017","swiss-18196-F1-S017","swiss-18196-F1-S007","swiss-18196-F1-S008"],"element_path":["swiss-18196-F4-O0071","swiss-18196-F4-O0071","swiss-18196-F4-O0066","swiss-18196-F4-O0066","swiss-18196-V01","swiss-18196-V01","swiss-18196-V01","swiss-18196-F1-O0014","swiss-18196-F1-O0014","swiss-18196-F1-O0016","swiss-18196-F1-O0016"]}</x:v>
      </x:c>
      <x:c r="O1204" s="6"/>
      <x:c r="P1204" s="6" t="str">
        <x:v>README routing profile. Stairs and lifts allowed unless stated otherwise.</x:v>
      </x:c>
      <x:c r="Q1204" s="15" t="n">
        <x:v>49.22</x:v>
      </x:c>
      <x:c r="R1204" s="6" t="str">
        <x:v>m</x:v>
      </x:c>
      <x:c r="S1204" s="16"/>
      <x:c r="T1204" s="15"/>
      <x:c r="U1204" s="6"/>
      <x:c r="V1204" s="6"/>
      <x:c r="W1204" s="6" t="str">
        <x:v>Existing find_route and show_route implement the kit routing model.</x:v>
      </x:c>
      <x:c r="X1204" s="6" t="str">
        <x:v>data/train/swiss-18196/questions_basic.jsonl</x:v>
      </x:c>
      <x:c r="Y1204" s="14" t="n">
        <x:v>5</x:v>
      </x:c>
      <x:c r="Z1204" s="6" t="str">
        <x:v>https://github.com/hagenhaeussler/Industrial-Agents-Hackathon-2026/blob/f41616590b69f3ea0c1cbfb41d6c35edd9ce53df/data/train/swiss-18196/questions_basic.jsonl#L5</x:v>
      </x:c>
      <x:c r="AA1204" s="6" t="str">
        <x:v>swiss_dwellings</x:v>
      </x:c>
      <x:c r="AB1204" s="6" t="str">
        <x:v>CC-BY-4.0</x:v>
      </x:c>
    </x:row>
    <x:row r="1205" ht="96" customHeight="1">
      <x:c r="A1205" s="14" t="n">
        <x:v>1200</x:v>
      </x:c>
      <x:c r="B1205" s="6" t="str">
        <x:v>route</x:v>
      </x:c>
      <x:c r="C1205" s="6" t="str">
        <x:v>How do I get from Bedroom 2.10 (apartment 6) (Floor 2) to Kitchen 3.04 (apartment 8) (Floor 3)?</x:v>
      </x:c>
      <x:c r="D1205" s="6" t="str">
        <x:v>26.11 m
From: Bedroom 2.10 (apartment 6)
To: Kitchen 3.04 (apartment 8)
Ordered path (6 spaces): Bedroom 2.10 (apartment 6) → Corridor 2.09 (apartment 6) → Stair hall 2.17 → Stair hall 3.17 → Corridor 3.03 (apartment 8) → Kitchen 3.04 (apartment 8)</x:v>
      </x:c>
      <x:c r="E1205" s="6" t="str">
        <x:v>Reference supplied</x:v>
      </x:c>
      <x:c r="F1205" s="6" t="str">
        <x:v>train</x:v>
      </x:c>
      <x:c r="G1205" s="6" t="str">
        <x:v>swiss-18196</x:v>
      </x:c>
      <x:c r="H1205" s="6" t="str">
        <x:v>swiss-18196-Q06</x:v>
      </x:c>
      <x:c r="I1205" s="6" t="str">
        <x:v>Route planning</x:v>
      </x:c>
      <x:c r="J1205" s="6" t="str">
        <x:v>Warm-up</x:v>
      </x:c>
      <x:c r="K1205" s="6" t="str">
        <x:v>Ordered space path and directions, plus total route-model distance in metres.</x:v>
      </x:c>
      <x:c r="L1205" s="6" t="str">
        <x:v>T02, T05, T13</x:v>
      </x:c>
      <x:c r="M1205" s="6" t="str">
        <x:v>Find a valid route between two rooms, including across floors.</x:v>
      </x:c>
      <x:c r="N1205" s="6" t="str">
        <x:v>{"from_space_id":"swiss-18196-F2-S010","to_space_id":"swiss-18196-F3-S004","optimal_length_m":26.11,"space_path":["swiss-18196-F2-S010","swiss-18196-F2-S009","swiss-18196-F2-S017","swiss-18196-F3-S017","swiss-18196-F3-S003","swiss-18196-F3-S004"],"element_path":["swiss-18196-F2-O0032","swiss-18196-F2-O0032","swiss-18196-F2-O0034","swiss-18196-F2-O0034","swiss-18196-V01","swiss-18196-F3-O0049","swiss-18196-F3-O0049","swiss-18196-F3-O0045","swiss-18196-F3-O0045"]}</x:v>
      </x:c>
      <x:c r="O1205" s="6"/>
      <x:c r="P1205" s="6" t="str">
        <x:v>README routing profile. Stairs and lifts allowed unless stated otherwise.</x:v>
      </x:c>
      <x:c r="Q1205" s="15" t="n">
        <x:v>26.11</x:v>
      </x:c>
      <x:c r="R1205" s="6" t="str">
        <x:v>m</x:v>
      </x:c>
      <x:c r="S1205" s="16"/>
      <x:c r="T1205" s="15"/>
      <x:c r="U1205" s="6"/>
      <x:c r="V1205" s="6"/>
      <x:c r="W1205" s="6" t="str">
        <x:v>Existing find_route and show_route implement the kit routing model.</x:v>
      </x:c>
      <x:c r="X1205" s="6" t="str">
        <x:v>data/train/swiss-18196/questions_basic.jsonl</x:v>
      </x:c>
      <x:c r="Y1205" s="14" t="n">
        <x:v>6</x:v>
      </x:c>
      <x:c r="Z1205" s="6" t="str">
        <x:v>https://github.com/hagenhaeussler/Industrial-Agents-Hackathon-2026/blob/f41616590b69f3ea0c1cbfb41d6c35edd9ce53df/data/train/swiss-18196/questions_basic.jsonl#L6</x:v>
      </x:c>
      <x:c r="AA1205" s="6" t="str">
        <x:v>swiss_dwellings</x:v>
      </x:c>
      <x:c r="AB1205" s="6" t="str">
        <x:v>CC-BY-4.0</x:v>
      </x:c>
    </x:row>
    <x:row r="1206" ht="96" customHeight="1">
      <x:c r="A1206" s="14" t="n">
        <x:v>1201</x:v>
      </x:c>
      <x:c r="B1206" s="6" t="str">
        <x:v>route</x:v>
      </x:c>
      <x:c r="C1206" s="6" t="str">
        <x:v>How do I get from Bedroom 3.03 (apartment 10) (Floor 3) to Bedroom 2.18 (apartment 9) (Floor 2)?</x:v>
      </x:c>
      <x:c r="D1206" s="6" t="str">
        <x:v>29.74 m
From: Bedroom 3.03 (apartment 10)
To: Bedroom 2.18 (apartment 9)
Ordered path (6 spaces): Bedroom 3.03 (apartment 10) → Corridor 3.02 (apartment 10) → Stair hall 3.24 → Stair hall 2.24 → Corridor 2.20 (apartment 9) → Bedroom 2.18 (apartment 9)</x:v>
      </x:c>
      <x:c r="E1206" s="6" t="str">
        <x:v>Reference supplied</x:v>
      </x:c>
      <x:c r="F1206" s="6" t="str">
        <x:v>train</x:v>
      </x:c>
      <x:c r="G1206" s="6" t="str">
        <x:v>swiss-18256</x:v>
      </x:c>
      <x:c r="H1206" s="6" t="str">
        <x:v>swiss-18256-Q04</x:v>
      </x:c>
      <x:c r="I1206" s="6" t="str">
        <x:v>Route planning</x:v>
      </x:c>
      <x:c r="J1206" s="6" t="str">
        <x:v>Warm-up</x:v>
      </x:c>
      <x:c r="K1206" s="6" t="str">
        <x:v>Ordered space path and directions, plus total route-model distance in metres.</x:v>
      </x:c>
      <x:c r="L1206" s="6" t="str">
        <x:v>T02, T05, T13</x:v>
      </x:c>
      <x:c r="M1206" s="6" t="str">
        <x:v>Find a valid route between two rooms, including across floors.</x:v>
      </x:c>
      <x:c r="N1206" s="6" t="str">
        <x:v>{"from_space_id":"swiss-18256-F3-S003","to_space_id":"swiss-18256-F2-S018","optimal_length_m":29.74,"space_path":["swiss-18256-F3-S003","swiss-18256-F3-S002","swiss-18256-F3-S024","swiss-18256-F2-S024","swiss-18256-F2-S020","swiss-18256-F2-S018"],"element_path":["swiss-18256-F3-O0083","swiss-18256-F3-O0083","swiss-18256-F3-O0086","swiss-18256-F3-O0086","swiss-18256-V01","swiss-18256-F2-O0072","swiss-18256-F2-O0072","swiss-18256-F2-O0075","swiss-18256-F2-O0075"]}</x:v>
      </x:c>
      <x:c r="O1206" s="6"/>
      <x:c r="P1206" s="6" t="str">
        <x:v>README routing profile. Stairs and lifts allowed unless stated otherwise.</x:v>
      </x:c>
      <x:c r="Q1206" s="15" t="n">
        <x:v>29.74</x:v>
      </x:c>
      <x:c r="R1206" s="6" t="str">
        <x:v>m</x:v>
      </x:c>
      <x:c r="S1206" s="16"/>
      <x:c r="T1206" s="15"/>
      <x:c r="U1206" s="6"/>
      <x:c r="V1206" s="6"/>
      <x:c r="W1206" s="6" t="str">
        <x:v>Existing find_route and show_route implement the kit routing model.</x:v>
      </x:c>
      <x:c r="X1206" s="6" t="str">
        <x:v>data/train/swiss-18256/questions_basic.jsonl</x:v>
      </x:c>
      <x:c r="Y1206" s="14" t="n">
        <x:v>4</x:v>
      </x:c>
      <x:c r="Z1206" s="6" t="str">
        <x:v>https://github.com/hagenhaeussler/Industrial-Agents-Hackathon-2026/blob/f41616590b69f3ea0c1cbfb41d6c35edd9ce53df/data/train/swiss-18256/questions_basic.jsonl#L4</x:v>
      </x:c>
      <x:c r="AA1206" s="6" t="str">
        <x:v>swiss_dwellings</x:v>
      </x:c>
      <x:c r="AB1206" s="6" t="str">
        <x:v>CC-BY-4.0</x:v>
      </x:c>
    </x:row>
    <x:row r="1207" ht="96" customHeight="1">
      <x:c r="A1207" s="14" t="n">
        <x:v>1202</x:v>
      </x:c>
      <x:c r="B1207" s="6" t="str">
        <x:v>route</x:v>
      </x:c>
      <x:c r="C1207" s="6" t="str">
        <x:v>How do I get from Living room 2.21 (apartment 9) (Floor 2) to Kitchen 1.03 (apartment 4) (Floor 1)?</x:v>
      </x:c>
      <x:c r="D1207" s="6" t="str">
        <x:v>31.31 m
From: Living room 2.21 (apartment 9)
To: Kitchen 1.03 (apartment 4)
Ordered path (6 spaces): Living room 2.21 (apartment 9) → Corridor 2.20 (apartment 9) → Stair hall 2.24 → Stair hall 1.24 → Corridor 1.04 (apartment 4) → Kitchen 1.03 (apartment 4)</x:v>
      </x:c>
      <x:c r="E1207" s="6" t="str">
        <x:v>Reference supplied</x:v>
      </x:c>
      <x:c r="F1207" s="6" t="str">
        <x:v>train</x:v>
      </x:c>
      <x:c r="G1207" s="6" t="str">
        <x:v>swiss-18256</x:v>
      </x:c>
      <x:c r="H1207" s="6" t="str">
        <x:v>swiss-18256-Q05</x:v>
      </x:c>
      <x:c r="I1207" s="6" t="str">
        <x:v>Route planning</x:v>
      </x:c>
      <x:c r="J1207" s="6" t="str">
        <x:v>Warm-up</x:v>
      </x:c>
      <x:c r="K1207" s="6" t="str">
        <x:v>Ordered space path and directions, plus total route-model distance in metres.</x:v>
      </x:c>
      <x:c r="L1207" s="6" t="str">
        <x:v>T02, T05, T13</x:v>
      </x:c>
      <x:c r="M1207" s="6" t="str">
        <x:v>Find a valid route between two rooms, including across floors.</x:v>
      </x:c>
      <x:c r="N1207" s="6" t="str">
        <x:v>{"from_space_id":"swiss-18256-F2-S021","to_space_id":"swiss-18256-F1-S003","optimal_length_m":31.31,"space_path":["swiss-18256-F2-S021","swiss-18256-F2-S020","swiss-18256-F2-S024","swiss-18256-F1-S024","swiss-18256-F1-S004","swiss-18256-F1-S003"],"element_path":["swiss-18256-F2-O0076","swiss-18256-F2-O0076","swiss-18256-F2-O0072","swiss-18256-F2-O0072","swiss-18256-V01","swiss-18256-F1-O0033","swiss-18256-F1-O0033","swiss-18256-F1-O0032","swiss-18256-F1-O0032"]}</x:v>
      </x:c>
      <x:c r="O1207" s="6"/>
      <x:c r="P1207" s="6" t="str">
        <x:v>README routing profile. Stairs and lifts allowed unless stated otherwise.</x:v>
      </x:c>
      <x:c r="Q1207" s="15" t="n">
        <x:v>31.31</x:v>
      </x:c>
      <x:c r="R1207" s="6" t="str">
        <x:v>m</x:v>
      </x:c>
      <x:c r="S1207" s="16"/>
      <x:c r="T1207" s="15"/>
      <x:c r="U1207" s="6"/>
      <x:c r="V1207" s="6"/>
      <x:c r="W1207" s="6" t="str">
        <x:v>Existing find_route and show_route implement the kit routing model.</x:v>
      </x:c>
      <x:c r="X1207" s="6" t="str">
        <x:v>data/train/swiss-18256/questions_basic.jsonl</x:v>
      </x:c>
      <x:c r="Y1207" s="14" t="n">
        <x:v>5</x:v>
      </x:c>
      <x:c r="Z1207" s="6" t="str">
        <x:v>https://github.com/hagenhaeussler/Industrial-Agents-Hackathon-2026/blob/f41616590b69f3ea0c1cbfb41d6c35edd9ce53df/data/train/swiss-18256/questions_basic.jsonl#L5</x:v>
      </x:c>
      <x:c r="AA1207" s="6" t="str">
        <x:v>swiss_dwellings</x:v>
      </x:c>
      <x:c r="AB1207" s="6" t="str">
        <x:v>CC-BY-4.0</x:v>
      </x:c>
    </x:row>
    <x:row r="1208" ht="110" customHeight="1">
      <x:c r="A1208" s="14" t="n">
        <x:v>1203</x:v>
      </x:c>
      <x:c r="B1208" s="6" t="str">
        <x:v>route</x:v>
      </x:c>
      <x:c r="C1208" s="6" t="str">
        <x:v>How do I get from Kitchen 3.22 (apartment 12) (Floor 3) to Bedroom 0.21 (apartment 3) (Ground floor)?</x:v>
      </x:c>
      <x:c r="D1208" s="6" t="str">
        <x:v>56.58 m
From: Kitchen 3.22 (apartment 12)
To: Bedroom 0.21 (apartment 3)
Ordered path (8 spaces): Kitchen 3.22 (apartment 12) → Corridor 3.23 (apartment 12) → Stair hall 3.24 → Stair hall 2.24 → Stair hall 1.24 → Stair hall 0.24 → Corridor 0.18 (apartment 3) → Bedroom 0.21 (apartment 3)</x:v>
      </x:c>
      <x:c r="E1208" s="6" t="str">
        <x:v>Reference supplied</x:v>
      </x:c>
      <x:c r="F1208" s="6" t="str">
        <x:v>train</x:v>
      </x:c>
      <x:c r="G1208" s="6" t="str">
        <x:v>swiss-18256</x:v>
      </x:c>
      <x:c r="H1208" s="6" t="str">
        <x:v>swiss-18256-Q06</x:v>
      </x:c>
      <x:c r="I1208" s="6" t="str">
        <x:v>Route planning</x:v>
      </x:c>
      <x:c r="J1208" s="6" t="str">
        <x:v>Warm-up</x:v>
      </x:c>
      <x:c r="K1208" s="6" t="str">
        <x:v>Ordered space path and directions, plus total route-model distance in metres.</x:v>
      </x:c>
      <x:c r="L1208" s="6" t="str">
        <x:v>T02, T05, T13</x:v>
      </x:c>
      <x:c r="M1208" s="6" t="str">
        <x:v>Find a valid route between two rooms, including across floors.</x:v>
      </x:c>
      <x:c r="N1208" s="6" t="str">
        <x:v>{"from_space_id":"swiss-18256-F3-S022","to_space_id":"swiss-18256-F0-S021","optimal_length_m":56.58,"space_path":["swiss-18256-F3-S022","swiss-18256-F3-S023","swiss-18256-F3-S024","swiss-18256-F2-S024","swiss-18256-F1-S024","swiss-18256-F0-S024","swiss-18256-F0-S018","swiss-18256-F0-S021"],"element_path":["swiss-18256-F3-O0104","swiss-18256-F3-O0104","swiss-18256-F3-O0102","swiss-18256-F3-O0102","swiss-18256-V01","swiss-18256-V01","swiss-18256-V01","swiss-18256-F0-O0023","swiss-18256-F0-O0023","swiss-18256-F0-O0018","swiss-18256-F0-O0018"]}</x:v>
      </x:c>
      <x:c r="O1208" s="6"/>
      <x:c r="P1208" s="6" t="str">
        <x:v>README routing profile. Stairs and lifts allowed unless stated otherwise.</x:v>
      </x:c>
      <x:c r="Q1208" s="15" t="n">
        <x:v>56.58</x:v>
      </x:c>
      <x:c r="R1208" s="6" t="str">
        <x:v>m</x:v>
      </x:c>
      <x:c r="S1208" s="16"/>
      <x:c r="T1208" s="15"/>
      <x:c r="U1208" s="6"/>
      <x:c r="V1208" s="6"/>
      <x:c r="W1208" s="6" t="str">
        <x:v>Existing find_route and show_route implement the kit routing model.</x:v>
      </x:c>
      <x:c r="X1208" s="6" t="str">
        <x:v>data/train/swiss-18256/questions_basic.jsonl</x:v>
      </x:c>
      <x:c r="Y1208" s="14" t="n">
        <x:v>6</x:v>
      </x:c>
      <x:c r="Z1208" s="6" t="str">
        <x:v>https://github.com/hagenhaeussler/Industrial-Agents-Hackathon-2026/blob/f41616590b69f3ea0c1cbfb41d6c35edd9ce53df/data/train/swiss-18256/questions_basic.jsonl#L6</x:v>
      </x:c>
      <x:c r="AA1208" s="6" t="str">
        <x:v>swiss_dwellings</x:v>
      </x:c>
      <x:c r="AB1208" s="6" t="str">
        <x:v>CC-BY-4.0</x:v>
      </x:c>
    </x:row>
    <x:row r="1209" ht="96" customHeight="1">
      <x:c r="A1209" s="14" t="n">
        <x:v>1204</x:v>
      </x:c>
      <x:c r="B1209" s="6" t="str">
        <x:v>route</x:v>
      </x:c>
      <x:c r="C1209" s="6" t="str">
        <x:v>How do I get from Living room 2.01 (apartment 5) (Floor 2) to Living room 1.12 (apartment 4) (Floor 1)?</x:v>
      </x:c>
      <x:c r="D1209" s="6" t="str">
        <x:v>29.49 m
From: Living room 2.01 (apartment 5)
To: Living room 1.12 (apartment 4)
Ordered path (6 spaces): Living room 2.01 (apartment 5) → Corridor 2.04 (apartment 5) → Stair hall 2.17 → Stair hall 1.17 → Corridor 1.14 (apartment 4) → Living room 1.12 (apartment 4)</x:v>
      </x:c>
      <x:c r="E1209" s="6" t="str">
        <x:v>Reference supplied</x:v>
      </x:c>
      <x:c r="F1209" s="6" t="str">
        <x:v>train</x:v>
      </x:c>
      <x:c r="G1209" s="6" t="str">
        <x:v>swiss-18260</x:v>
      </x:c>
      <x:c r="H1209" s="6" t="str">
        <x:v>swiss-18260-Q05</x:v>
      </x:c>
      <x:c r="I1209" s="6" t="str">
        <x:v>Route planning</x:v>
      </x:c>
      <x:c r="J1209" s="6" t="str">
        <x:v>Warm-up</x:v>
      </x:c>
      <x:c r="K1209" s="6" t="str">
        <x:v>Ordered space path and directions, plus total route-model distance in metres.</x:v>
      </x:c>
      <x:c r="L1209" s="6" t="str">
        <x:v>T02, T05, T13</x:v>
      </x:c>
      <x:c r="M1209" s="6" t="str">
        <x:v>Find a valid route between two rooms, including across floors.</x:v>
      </x:c>
      <x:c r="N1209" s="6" t="str">
        <x:v>{"from_space_id":"swiss-18260-F2-S001","to_space_id":"swiss-18260-F1-S012","optimal_length_m":29.49,"space_path":["swiss-18260-F2-S001","swiss-18260-F2-S004","swiss-18260-F2-S017","swiss-18260-F1-S017","swiss-18260-F1-S014","swiss-18260-F1-S012"],"element_path":["swiss-18260-F2-O0045","swiss-18260-F2-O0045","swiss-18260-F2-O0036","swiss-18260-F2-O0036","swiss-18260-V01","swiss-18260-F1-O0017","swiss-18260-F1-O0017","swiss-18260-F1-O0032","swiss-18260-F1-O0032"]}</x:v>
      </x:c>
      <x:c r="O1209" s="6"/>
      <x:c r="P1209" s="6" t="str">
        <x:v>README routing profile. Stairs and lifts allowed unless stated otherwise.</x:v>
      </x:c>
      <x:c r="Q1209" s="15" t="n">
        <x:v>29.49</x:v>
      </x:c>
      <x:c r="R1209" s="6" t="str">
        <x:v>m</x:v>
      </x:c>
      <x:c r="S1209" s="16"/>
      <x:c r="T1209" s="15"/>
      <x:c r="U1209" s="6"/>
      <x:c r="V1209" s="6"/>
      <x:c r="W1209" s="6" t="str">
        <x:v>Existing find_route and show_route implement the kit routing model.</x:v>
      </x:c>
      <x:c r="X1209" s="6" t="str">
        <x:v>data/train/swiss-18260/questions_basic.jsonl</x:v>
      </x:c>
      <x:c r="Y1209" s="14" t="n">
        <x:v>5</x:v>
      </x:c>
      <x:c r="Z1209" s="6" t="str">
        <x:v>https://github.com/hagenhaeussler/Industrial-Agents-Hackathon-2026/blob/f41616590b69f3ea0c1cbfb41d6c35edd9ce53df/data/train/swiss-18260/questions_basic.jsonl#L5</x:v>
      </x:c>
      <x:c r="AA1209" s="6" t="str">
        <x:v>swiss_dwellings</x:v>
      </x:c>
      <x:c r="AB1209" s="6" t="str">
        <x:v>CC-BY-4.0</x:v>
      </x:c>
    </x:row>
    <x:row r="1210" ht="96" customHeight="1">
      <x:c r="A1210" s="14" t="n">
        <x:v>1205</x:v>
      </x:c>
      <x:c r="B1210" s="6" t="str">
        <x:v>route</x:v>
      </x:c>
      <x:c r="C1210" s="6" t="str">
        <x:v>How do I get from Living room 1.12 (apartment 4) (Floor 1) to Bedroom 0.13 (apartment 2) (Ground floor)?</x:v>
      </x:c>
      <x:c r="D1210" s="6" t="str">
        <x:v>29.05 m
From: Living room 1.12 (apartment 4)
To: Bedroom 0.13 (apartment 2)
Ordered path (6 spaces): Living room 1.12 (apartment 4) → Corridor 1.14 (apartment 4) → Stair hall 1.17 → Stair hall 0.17 → Corridor 0.09 (apartment 2) → Bedroom 0.13 (apartment 2)</x:v>
      </x:c>
      <x:c r="E1210" s="6" t="str">
        <x:v>Reference supplied</x:v>
      </x:c>
      <x:c r="F1210" s="6" t="str">
        <x:v>train</x:v>
      </x:c>
      <x:c r="G1210" s="6" t="str">
        <x:v>swiss-18260</x:v>
      </x:c>
      <x:c r="H1210" s="6" t="str">
        <x:v>swiss-18260-Q06</x:v>
      </x:c>
      <x:c r="I1210" s="6" t="str">
        <x:v>Route planning</x:v>
      </x:c>
      <x:c r="J1210" s="6" t="str">
        <x:v>Warm-up</x:v>
      </x:c>
      <x:c r="K1210" s="6" t="str">
        <x:v>Ordered space path and directions, plus total route-model distance in metres.</x:v>
      </x:c>
      <x:c r="L1210" s="6" t="str">
        <x:v>T02, T05, T13</x:v>
      </x:c>
      <x:c r="M1210" s="6" t="str">
        <x:v>Find a valid route between two rooms, including across floors.</x:v>
      </x:c>
      <x:c r="N1210" s="6" t="str">
        <x:v>{"from_space_id":"swiss-18260-F1-S012","to_space_id":"swiss-18260-F0-S013","optimal_length_m":29.05,"space_path":["swiss-18260-F1-S012","swiss-18260-F1-S014","swiss-18260-F1-S017","swiss-18260-F0-S017","swiss-18260-F0-S009","swiss-18260-F0-S013"],"element_path":["swiss-18260-F1-O0032","swiss-18260-F1-O0032","swiss-18260-F1-O0017","swiss-18260-F1-O0017","swiss-18260-V01","swiss-18260-F0-O0004","swiss-18260-F0-O0004","swiss-18260-F0-O0008","swiss-18260-F0-O0008"]}</x:v>
      </x:c>
      <x:c r="O1210" s="6"/>
      <x:c r="P1210" s="6" t="str">
        <x:v>README routing profile. Stairs and lifts allowed unless stated otherwise.</x:v>
      </x:c>
      <x:c r="Q1210" s="15" t="n">
        <x:v>29.05</x:v>
      </x:c>
      <x:c r="R1210" s="6" t="str">
        <x:v>m</x:v>
      </x:c>
      <x:c r="S1210" s="16"/>
      <x:c r="T1210" s="15"/>
      <x:c r="U1210" s="6"/>
      <x:c r="V1210" s="6"/>
      <x:c r="W1210" s="6" t="str">
        <x:v>Existing find_route and show_route implement the kit routing model.</x:v>
      </x:c>
      <x:c r="X1210" s="6" t="str">
        <x:v>data/train/swiss-18260/questions_basic.jsonl</x:v>
      </x:c>
      <x:c r="Y1210" s="14" t="n">
        <x:v>6</x:v>
      </x:c>
      <x:c r="Z1210" s="6" t="str">
        <x:v>https://github.com/hagenhaeussler/Industrial-Agents-Hackathon-2026/blob/f41616590b69f3ea0c1cbfb41d6c35edd9ce53df/data/train/swiss-18260/questions_basic.jsonl#L6</x:v>
      </x:c>
      <x:c r="AA1210" s="6" t="str">
        <x:v>swiss_dwellings</x:v>
      </x:c>
      <x:c r="AB1210" s="6" t="str">
        <x:v>CC-BY-4.0</x:v>
      </x:c>
    </x:row>
    <x:row r="1211" ht="82" customHeight="1">
      <x:c r="A1211" s="14" t="n">
        <x:v>1206</x:v>
      </x:c>
      <x:c r="B1211" s="6" t="str">
        <x:v>route</x:v>
      </x:c>
      <x:c r="C1211" s="6" t="str">
        <x:v>How do I get from Bedroom 0.08 (apartment 2) (Ground floor) to Bathroom 0.15 (apartment 2) (Ground floor)?</x:v>
      </x:c>
      <x:c r="D1211" s="6" t="str">
        <x:v>8.42 m
From: Bedroom 0.08 (apartment 2)
To: Bathroom 0.15 (apartment 2)
Ordered path (3 spaces): Bedroom 0.08 (apartment 2) → Corridor 0.09 (apartment 2) → Bathroom 0.15 (apartment 2)</x:v>
      </x:c>
      <x:c r="E1211" s="6" t="str">
        <x:v>Reference supplied</x:v>
      </x:c>
      <x:c r="F1211" s="6" t="str">
        <x:v>train</x:v>
      </x:c>
      <x:c r="G1211" s="6" t="str">
        <x:v>swiss-18260</x:v>
      </x:c>
      <x:c r="H1211" s="6" t="str">
        <x:v>swiss-18260-Q07</x:v>
      </x:c>
      <x:c r="I1211" s="6" t="str">
        <x:v>Route planning</x:v>
      </x:c>
      <x:c r="J1211" s="6" t="str">
        <x:v>Warm-up</x:v>
      </x:c>
      <x:c r="K1211" s="6" t="str">
        <x:v>Ordered space path and directions, plus total route-model distance in metres.</x:v>
      </x:c>
      <x:c r="L1211" s="6" t="str">
        <x:v>T02, T05, T13</x:v>
      </x:c>
      <x:c r="M1211" s="6" t="str">
        <x:v>Find a valid route between two rooms, including across floors.</x:v>
      </x:c>
      <x:c r="N1211" s="6" t="str">
        <x:v>{"from_space_id":"swiss-18260-F0-S008","to_space_id":"swiss-18260-F0-S015","optimal_length_m":8.42,"space_path":["swiss-18260-F0-S008","swiss-18260-F0-S009","swiss-18260-F0-S015"],"element_path":["swiss-18260-F0-O0012","swiss-18260-F0-O0012","swiss-18260-F0-O0010","swiss-18260-F0-O0010"]}</x:v>
      </x:c>
      <x:c r="O1211" s="6"/>
      <x:c r="P1211" s="6" t="str">
        <x:v>README routing profile. Stairs and lifts allowed unless stated otherwise.</x:v>
      </x:c>
      <x:c r="Q1211" s="15" t="n">
        <x:v>8.42</x:v>
      </x:c>
      <x:c r="R1211" s="6" t="str">
        <x:v>m</x:v>
      </x:c>
      <x:c r="S1211" s="16"/>
      <x:c r="T1211" s="15"/>
      <x:c r="U1211" s="6"/>
      <x:c r="V1211" s="6"/>
      <x:c r="W1211" s="6" t="str">
        <x:v>Existing find_route and show_route implement the kit routing model.</x:v>
      </x:c>
      <x:c r="X1211" s="6" t="str">
        <x:v>data/train/swiss-18260/questions_basic.jsonl</x:v>
      </x:c>
      <x:c r="Y1211" s="14" t="n">
        <x:v>7</x:v>
      </x:c>
      <x:c r="Z1211" s="6" t="str">
        <x:v>https://github.com/hagenhaeussler/Industrial-Agents-Hackathon-2026/blob/f41616590b69f3ea0c1cbfb41d6c35edd9ce53df/data/train/swiss-18260/questions_basic.jsonl#L7</x:v>
      </x:c>
      <x:c r="AA1211" s="6" t="str">
        <x:v>swiss_dwellings</x:v>
      </x:c>
      <x:c r="AB1211" s="6" t="str">
        <x:v>CC-BY-4.0</x:v>
      </x:c>
    </x:row>
    <x:row r="1212" ht="96" customHeight="1">
      <x:c r="A1212" s="14" t="n">
        <x:v>1207</x:v>
      </x:c>
      <x:c r="B1212" s="6" t="str">
        <x:v>route</x:v>
      </x:c>
      <x:c r="C1212" s="6" t="str">
        <x:v>How do I get from Bathroom 2.12 (apartment 6) (Floor 2) to Bathroom 3.11 (apartment 8) (Floor 3)?</x:v>
      </x:c>
      <x:c r="D1212" s="6" t="str">
        <x:v>27.04 m
From: Bathroom 2.12 (apartment 6)
To: Bathroom 3.11 (apartment 8)
Ordered path (6 spaces): Bathroom 2.12 (apartment 6) → Corridor 2.07 (apartment 6) → Stair hall 2.13 → Stair hall 3.13 → Corridor 3.07 (apartment 8) → Bathroom 3.11 (apartment 8)</x:v>
      </x:c>
      <x:c r="E1212" s="6" t="str">
        <x:v>Reference supplied</x:v>
      </x:c>
      <x:c r="F1212" s="6" t="str">
        <x:v>train</x:v>
      </x:c>
      <x:c r="G1212" s="6" t="str">
        <x:v>swiss-1828</x:v>
      </x:c>
      <x:c r="H1212" s="6" t="str">
        <x:v>swiss-1828-Q04</x:v>
      </x:c>
      <x:c r="I1212" s="6" t="str">
        <x:v>Route planning</x:v>
      </x:c>
      <x:c r="J1212" s="6" t="str">
        <x:v>Warm-up</x:v>
      </x:c>
      <x:c r="K1212" s="6" t="str">
        <x:v>Ordered space path and directions, plus total route-model distance in metres.</x:v>
      </x:c>
      <x:c r="L1212" s="6" t="str">
        <x:v>T02, T05, T13</x:v>
      </x:c>
      <x:c r="M1212" s="6" t="str">
        <x:v>Find a valid route between two rooms, including across floors.</x:v>
      </x:c>
      <x:c r="N1212" s="6" t="str">
        <x:v>{"from_space_id":"swiss-1828-F2-S012","to_space_id":"swiss-1828-F3-S011","optimal_length_m":27.04,"space_path":["swiss-1828-F2-S012","swiss-1828-F2-S007","swiss-1828-F2-S013","swiss-1828-F3-S013","swiss-1828-F3-S007","swiss-1828-F3-S011"],"element_path":["swiss-1828-F2-O0036","swiss-1828-F2-O0036","swiss-1828-F2-O0033","swiss-1828-F2-O0033","swiss-1828-V01","swiss-1828-F3-O0048","swiss-1828-F3-O0048","swiss-1828-F3-O0043","swiss-1828-F3-O0043"]}</x:v>
      </x:c>
      <x:c r="O1212" s="6"/>
      <x:c r="P1212" s="6" t="str">
        <x:v>README routing profile. Stairs and lifts allowed unless stated otherwise.</x:v>
      </x:c>
      <x:c r="Q1212" s="15" t="n">
        <x:v>27.04</x:v>
      </x:c>
      <x:c r="R1212" s="6" t="str">
        <x:v>m</x:v>
      </x:c>
      <x:c r="S1212" s="16"/>
      <x:c r="T1212" s="15"/>
      <x:c r="U1212" s="6"/>
      <x:c r="V1212" s="6"/>
      <x:c r="W1212" s="6" t="str">
        <x:v>Existing find_route and show_route implement the kit routing model.</x:v>
      </x:c>
      <x:c r="X1212" s="6" t="str">
        <x:v>data/train/swiss-1828/questions_basic.jsonl</x:v>
      </x:c>
      <x:c r="Y1212" s="14" t="n">
        <x:v>4</x:v>
      </x:c>
      <x:c r="Z1212" s="6" t="str">
        <x:v>https://github.com/hagenhaeussler/Industrial-Agents-Hackathon-2026/blob/f41616590b69f3ea0c1cbfb41d6c35edd9ce53df/data/train/swiss-1828/questions_basic.jsonl#L4</x:v>
      </x:c>
      <x:c r="AA1212" s="6" t="str">
        <x:v>swiss_dwellings</x:v>
      </x:c>
      <x:c r="AB1212" s="6" t="str">
        <x:v>CC-BY-4.0</x:v>
      </x:c>
    </x:row>
    <x:row r="1213" ht="96" customHeight="1">
      <x:c r="A1213" s="14" t="n">
        <x:v>1208</x:v>
      </x:c>
      <x:c r="B1213" s="6" t="str">
        <x:v>route</x:v>
      </x:c>
      <x:c r="C1213" s="6" t="str">
        <x:v>How do I get from Bedroom 1.02 (apartment 3) (Floor 1) to Kitchen 3.04 (apartment 7) (Floor 3)?</x:v>
      </x:c>
      <x:c r="D1213" s="6" t="str">
        <x:v>39.29 m
From: Bedroom 1.02 (apartment 3)
To: Kitchen 3.04 (apartment 7)
Ordered path (7 spaces): Bedroom 1.02 (apartment 3) → Corridor 1.01 (apartment 3) → Stair hall 1.13 → Stair hall 2.13 → Stair hall 3.13 → Corridor 3.05 (apartment 7) → Kitchen 3.04 (apartment 7)</x:v>
      </x:c>
      <x:c r="E1213" s="6" t="str">
        <x:v>Reference supplied</x:v>
      </x:c>
      <x:c r="F1213" s="6" t="str">
        <x:v>train</x:v>
      </x:c>
      <x:c r="G1213" s="6" t="str">
        <x:v>swiss-1828</x:v>
      </x:c>
      <x:c r="H1213" s="6" t="str">
        <x:v>swiss-1828-Q05</x:v>
      </x:c>
      <x:c r="I1213" s="6" t="str">
        <x:v>Route planning</x:v>
      </x:c>
      <x:c r="J1213" s="6" t="str">
        <x:v>Warm-up</x:v>
      </x:c>
      <x:c r="K1213" s="6" t="str">
        <x:v>Ordered space path and directions, plus total route-model distance in metres.</x:v>
      </x:c>
      <x:c r="L1213" s="6" t="str">
        <x:v>T02, T05, T13</x:v>
      </x:c>
      <x:c r="M1213" s="6" t="str">
        <x:v>Find a valid route between two rooms, including across floors.</x:v>
      </x:c>
      <x:c r="N1213" s="6" t="str">
        <x:v>{"from_space_id":"swiss-1828-F1-S002","to_space_id":"swiss-1828-F3-S004","optimal_length_m":39.29,"space_path":["swiss-1828-F1-S002","swiss-1828-F1-S001","swiss-1828-F1-S013","swiss-1828-F2-S013","swiss-1828-F3-S013","swiss-1828-F3-S005","swiss-1828-F3-S004"],"element_path":["swiss-1828-F1-O0014","swiss-1828-F1-O0014","swiss-1828-F1-O0013","swiss-1828-F1-O0013","swiss-1828-V01","swiss-1828-V01","swiss-1828-F3-O0040","swiss-1828-F3-O0040","swiss-1828-F3-O0042","swiss-1828-F3-O0042"]}</x:v>
      </x:c>
      <x:c r="O1213" s="6"/>
      <x:c r="P1213" s="6" t="str">
        <x:v>README routing profile. Stairs and lifts allowed unless stated otherwise.</x:v>
      </x:c>
      <x:c r="Q1213" s="15" t="n">
        <x:v>39.29</x:v>
      </x:c>
      <x:c r="R1213" s="6" t="str">
        <x:v>m</x:v>
      </x:c>
      <x:c r="S1213" s="16"/>
      <x:c r="T1213" s="15"/>
      <x:c r="U1213" s="6"/>
      <x:c r="V1213" s="6"/>
      <x:c r="W1213" s="6" t="str">
        <x:v>Existing find_route and show_route implement the kit routing model.</x:v>
      </x:c>
      <x:c r="X1213" s="6" t="str">
        <x:v>data/train/swiss-1828/questions_basic.jsonl</x:v>
      </x:c>
      <x:c r="Y1213" s="14" t="n">
        <x:v>5</x:v>
      </x:c>
      <x:c r="Z1213" s="6" t="str">
        <x:v>https://github.com/hagenhaeussler/Industrial-Agents-Hackathon-2026/blob/f41616590b69f3ea0c1cbfb41d6c35edd9ce53df/data/train/swiss-1828/questions_basic.jsonl#L5</x:v>
      </x:c>
      <x:c r="AA1213" s="6" t="str">
        <x:v>swiss_dwellings</x:v>
      </x:c>
      <x:c r="AB1213" s="6" t="str">
        <x:v>CC-BY-4.0</x:v>
      </x:c>
    </x:row>
    <x:row r="1214" ht="96" customHeight="1">
      <x:c r="A1214" s="14" t="n">
        <x:v>1209</x:v>
      </x:c>
      <x:c r="B1214" s="6" t="str">
        <x:v>route</x:v>
      </x:c>
      <x:c r="C1214" s="6" t="str">
        <x:v>How do I get from Kitchen 2.09 (apartment 6) (Floor 2) to Living room 0.02 (apartment 1) (Ground floor)?</x:v>
      </x:c>
      <x:c r="D1214" s="6" t="str">
        <x:v>37.66 m
From: Kitchen 2.09 (apartment 6)
To: Living room 0.02 (apartment 1)
Ordered path (7 spaces): Kitchen 2.09 (apartment 6) → Corridor 2.07 (apartment 6) → Stair hall 2.13 → Stair hall 1.13 → Stair hall 0.13 → Corridor 0.03 (apartment 1) → Living room 0.02 (apartment 1)</x:v>
      </x:c>
      <x:c r="E1214" s="6" t="str">
        <x:v>Reference supplied</x:v>
      </x:c>
      <x:c r="F1214" s="6" t="str">
        <x:v>train</x:v>
      </x:c>
      <x:c r="G1214" s="6" t="str">
        <x:v>swiss-1828</x:v>
      </x:c>
      <x:c r="H1214" s="6" t="str">
        <x:v>swiss-1828-Q06</x:v>
      </x:c>
      <x:c r="I1214" s="6" t="str">
        <x:v>Route planning</x:v>
      </x:c>
      <x:c r="J1214" s="6" t="str">
        <x:v>Warm-up</x:v>
      </x:c>
      <x:c r="K1214" s="6" t="str">
        <x:v>Ordered space path and directions, plus total route-model distance in metres.</x:v>
      </x:c>
      <x:c r="L1214" s="6" t="str">
        <x:v>T02, T05, T13</x:v>
      </x:c>
      <x:c r="M1214" s="6" t="str">
        <x:v>Find a valid route between two rooms, including across floors.</x:v>
      </x:c>
      <x:c r="N1214" s="6" t="str">
        <x:v>{"from_space_id":"swiss-1828-F2-S009","to_space_id":"swiss-1828-F0-S002","optimal_length_m":37.66,"space_path":["swiss-1828-F2-S009","swiss-1828-F2-S007","swiss-1828-F2-S013","swiss-1828-F1-S013","swiss-1828-F0-S013","swiss-1828-F0-S003","swiss-1828-F0-S002"],"element_path":["swiss-1828-F2-O0031","swiss-1828-F2-O0031","swiss-1828-F2-O0033","swiss-1828-F2-O0033","swiss-1828-V01","swiss-1828-V01","swiss-1828-F0-O0002","swiss-1828-F0-O0002","swiss-1828-F0-O0004","swiss-1828-F0-O0004"]}</x:v>
      </x:c>
      <x:c r="O1214" s="6"/>
      <x:c r="P1214" s="6" t="str">
        <x:v>README routing profile. Stairs and lifts allowed unless stated otherwise.</x:v>
      </x:c>
      <x:c r="Q1214" s="15" t="n">
        <x:v>37.66</x:v>
      </x:c>
      <x:c r="R1214" s="6" t="str">
        <x:v>m</x:v>
      </x:c>
      <x:c r="S1214" s="16"/>
      <x:c r="T1214" s="15"/>
      <x:c r="U1214" s="6"/>
      <x:c r="V1214" s="6"/>
      <x:c r="W1214" s="6" t="str">
        <x:v>Existing find_route and show_route implement the kit routing model.</x:v>
      </x:c>
      <x:c r="X1214" s="6" t="str">
        <x:v>data/train/swiss-1828/questions_basic.jsonl</x:v>
      </x:c>
      <x:c r="Y1214" s="14" t="n">
        <x:v>6</x:v>
      </x:c>
      <x:c r="Z1214" s="6" t="str">
        <x:v>https://github.com/hagenhaeussler/Industrial-Agents-Hackathon-2026/blob/f41616590b69f3ea0c1cbfb41d6c35edd9ce53df/data/train/swiss-1828/questions_basic.jsonl#L6</x:v>
      </x:c>
      <x:c r="AA1214" s="6" t="str">
        <x:v>swiss_dwellings</x:v>
      </x:c>
      <x:c r="AB1214" s="6" t="str">
        <x:v>CC-BY-4.0</x:v>
      </x:c>
    </x:row>
    <x:row r="1215" ht="96" customHeight="1">
      <x:c r="A1215" s="14" t="n">
        <x:v>1210</x:v>
      </x:c>
      <x:c r="B1215" s="6" t="str">
        <x:v>route</x:v>
      </x:c>
      <x:c r="C1215" s="6" t="str">
        <x:v>How do I get from Living room 0.14 (apartment 2) (Ground floor) to Bedroom 2.15 (apartment 6) (Floor 2)?</x:v>
      </x:c>
      <x:c r="D1215" s="6" t="str">
        <x:v>43.88 m
From: Living room 0.14 (apartment 2)
To: Bedroom 2.15 (apartment 6)
Ordered path (7 spaces): Living room 0.14 (apartment 2) → Corridor 0.10 (apartment 2) → Stair hall 0.20 → Stair hall 1.20 → Stair hall 2.20 → Corridor 2.14 (apartment 6) → Bedroom 2.15 (apartment 6)</x:v>
      </x:c>
      <x:c r="E1215" s="6" t="str">
        <x:v>Reference supplied</x:v>
      </x:c>
      <x:c r="F1215" s="6" t="str">
        <x:v>train</x:v>
      </x:c>
      <x:c r="G1215" s="6" t="str">
        <x:v>swiss-1829</x:v>
      </x:c>
      <x:c r="H1215" s="6" t="str">
        <x:v>swiss-1829-Q04</x:v>
      </x:c>
      <x:c r="I1215" s="6" t="str">
        <x:v>Route planning</x:v>
      </x:c>
      <x:c r="J1215" s="6" t="str">
        <x:v>Warm-up</x:v>
      </x:c>
      <x:c r="K1215" s="6" t="str">
        <x:v>Ordered space path and directions, plus total route-model distance in metres.</x:v>
      </x:c>
      <x:c r="L1215" s="6" t="str">
        <x:v>T02, T05, T13</x:v>
      </x:c>
      <x:c r="M1215" s="6" t="str">
        <x:v>Find a valid route between two rooms, including across floors.</x:v>
      </x:c>
      <x:c r="N1215" s="6" t="str">
        <x:v>{"from_space_id":"swiss-1829-F0-S014","to_space_id":"swiss-1829-F2-S015","optimal_length_m":43.88,"space_path":["swiss-1829-F0-S014","swiss-1829-F0-S010","swiss-1829-F0-S020","swiss-1829-F1-S020","swiss-1829-F2-S020","swiss-1829-F2-S014","swiss-1829-F2-S015"],"element_path":["swiss-1829-F0-O0011","swiss-1829-F0-O0011","swiss-1829-F0-O0009","swiss-1829-F0-O0009","swiss-1829-V01","swiss-1829-V01","swiss-1829-F2-O0056","swiss-1829-F2-O0056","swiss-1829-F2-O0053","swiss-1829-F2-O0053"]}</x:v>
      </x:c>
      <x:c r="O1215" s="6"/>
      <x:c r="P1215" s="6" t="str">
        <x:v>README routing profile. Stairs and lifts allowed unless stated otherwise.</x:v>
      </x:c>
      <x:c r="Q1215" s="15" t="n">
        <x:v>43.88</x:v>
      </x:c>
      <x:c r="R1215" s="6" t="str">
        <x:v>m</x:v>
      </x:c>
      <x:c r="S1215" s="16"/>
      <x:c r="T1215" s="15"/>
      <x:c r="U1215" s="6"/>
      <x:c r="V1215" s="6"/>
      <x:c r="W1215" s="6" t="str">
        <x:v>Existing find_route and show_route implement the kit routing model.</x:v>
      </x:c>
      <x:c r="X1215" s="6" t="str">
        <x:v>data/train/swiss-1829/questions_basic.jsonl</x:v>
      </x:c>
      <x:c r="Y1215" s="14" t="n">
        <x:v>4</x:v>
      </x:c>
      <x:c r="Z1215" s="6" t="str">
        <x:v>https://github.com/hagenhaeussler/Industrial-Agents-Hackathon-2026/blob/f41616590b69f3ea0c1cbfb41d6c35edd9ce53df/data/train/swiss-1829/questions_basic.jsonl#L4</x:v>
      </x:c>
      <x:c r="AA1215" s="6" t="str">
        <x:v>swiss_dwellings</x:v>
      </x:c>
      <x:c r="AB1215" s="6" t="str">
        <x:v>CC-BY-4.0</x:v>
      </x:c>
    </x:row>
    <x:row r="1216" ht="110" customHeight="1">
      <x:c r="A1216" s="14" t="n">
        <x:v>1211</x:v>
      </x:c>
      <x:c r="B1216" s="6" t="str">
        <x:v>route</x:v>
      </x:c>
      <x:c r="C1216" s="6" t="str">
        <x:v>How do I get from Bedroom 0.13 (apartment 2) (Ground floor) to Bedroom 5.02 (apartment 11) (Floor 5)?</x:v>
      </x:c>
      <x:c r="D1216" s="6" t="str">
        <x:v>75.64 m
From: Bedroom 0.13 (apartment 2)
To: Bedroom 5.02 (apartment 11)
Ordered path (10 spaces): Bedroom 0.13 (apartment 2) → Corridor 0.10 (apartment 2) → Stair hall 0.20 → Stair hall 1.20 → Stair hall 2.20 → Stair hall 3.20 → Stair hall 4.20 → Landing 5.09 → Corridor 5.08 (apartment 11) → Bedroom 5.02 (apartment 11)</x:v>
      </x:c>
      <x:c r="E1216" s="6" t="str">
        <x:v>Reference supplied</x:v>
      </x:c>
      <x:c r="F1216" s="6" t="str">
        <x:v>train</x:v>
      </x:c>
      <x:c r="G1216" s="6" t="str">
        <x:v>swiss-1829</x:v>
      </x:c>
      <x:c r="H1216" s="6" t="str">
        <x:v>swiss-1829-Q05</x:v>
      </x:c>
      <x:c r="I1216" s="6" t="str">
        <x:v>Route planning</x:v>
      </x:c>
      <x:c r="J1216" s="6" t="str">
        <x:v>Warm-up</x:v>
      </x:c>
      <x:c r="K1216" s="6" t="str">
        <x:v>Ordered space path and directions, plus total route-model distance in metres.</x:v>
      </x:c>
      <x:c r="L1216" s="6" t="str">
        <x:v>T02, T05, T13</x:v>
      </x:c>
      <x:c r="M1216" s="6" t="str">
        <x:v>Find a valid route between two rooms, including across floors.</x:v>
      </x:c>
      <x:c r="N1216" s="6" t="str">
        <x:v>{"from_space_id":"swiss-1829-F0-S013","to_space_id":"swiss-1829-F5-S002","optimal_length_m":75.64,"space_path":["swiss-1829-F0-S013","swiss-1829-F0-S010","swiss-1829-F0-S020","swiss-1829-F1-S020","swiss-1829-F2-S020","swiss-1829-F3-S020","swiss-1829-F4-S020","swiss-1829-F5-S009","swiss-1829-F5-S008","swiss-1829-F5-S002"],"element_path":["swiss-1829-F0-O0012","swiss-1829-F0-O0012","swiss-1829-F0-O0009","swiss-1829-F0-O0009","swiss-1829-V01","swiss-1829-V01","swiss-1829-V01","swiss-1829-V01","swiss-1829-V01","swiss-1829-F5-O0103","swiss-1829-F5-O0103","swiss-1829-F5-O0101","swiss-1829-F5-O0101"]}</x:v>
      </x:c>
      <x:c r="O1216" s="6"/>
      <x:c r="P1216" s="6" t="str">
        <x:v>README routing profile. Stairs and lifts allowed unless stated otherwise.</x:v>
      </x:c>
      <x:c r="Q1216" s="15" t="n">
        <x:v>75.64</x:v>
      </x:c>
      <x:c r="R1216" s="6" t="str">
        <x:v>m</x:v>
      </x:c>
      <x:c r="S1216" s="16"/>
      <x:c r="T1216" s="15"/>
      <x:c r="U1216" s="6"/>
      <x:c r="V1216" s="6"/>
      <x:c r="W1216" s="6" t="str">
        <x:v>Existing find_route and show_route implement the kit routing model.</x:v>
      </x:c>
      <x:c r="X1216" s="6" t="str">
        <x:v>data/train/swiss-1829/questions_basic.jsonl</x:v>
      </x:c>
      <x:c r="Y1216" s="14" t="n">
        <x:v>5</x:v>
      </x:c>
      <x:c r="Z1216" s="6" t="str">
        <x:v>https://github.com/hagenhaeussler/Industrial-Agents-Hackathon-2026/blob/f41616590b69f3ea0c1cbfb41d6c35edd9ce53df/data/train/swiss-1829/questions_basic.jsonl#L5</x:v>
      </x:c>
      <x:c r="AA1216" s="6" t="str">
        <x:v>swiss_dwellings</x:v>
      </x:c>
      <x:c r="AB1216" s="6" t="str">
        <x:v>CC-BY-4.0</x:v>
      </x:c>
    </x:row>
    <x:row r="1217" ht="96" customHeight="1">
      <x:c r="A1217" s="14" t="n">
        <x:v>1212</x:v>
      </x:c>
      <x:c r="B1217" s="6" t="str">
        <x:v>route</x:v>
      </x:c>
      <x:c r="C1217" s="6" t="str">
        <x:v>How do I get from Bedroom 1.14 (apartment 4) (Floor 1) to Bathroom 2.13 (apartment 6) (Floor 2)?</x:v>
      </x:c>
      <x:c r="D1217" s="6" t="str">
        <x:v>29.66 m
From: Bedroom 1.14 (apartment 4)
To: Bathroom 2.13 (apartment 6)
Ordered path (6 spaces): Bedroom 1.14 (apartment 4) → Corridor 1.10 (apartment 4) → Stair hall 1.20 → Stair hall 2.20 → Corridor 2.14 (apartment 6) → Bathroom 2.13 (apartment 6)</x:v>
      </x:c>
      <x:c r="E1217" s="6" t="str">
        <x:v>Reference supplied</x:v>
      </x:c>
      <x:c r="F1217" s="6" t="str">
        <x:v>train</x:v>
      </x:c>
      <x:c r="G1217" s="6" t="str">
        <x:v>swiss-1829</x:v>
      </x:c>
      <x:c r="H1217" s="6" t="str">
        <x:v>swiss-1829-Q06</x:v>
      </x:c>
      <x:c r="I1217" s="6" t="str">
        <x:v>Route planning</x:v>
      </x:c>
      <x:c r="J1217" s="6" t="str">
        <x:v>Warm-up</x:v>
      </x:c>
      <x:c r="K1217" s="6" t="str">
        <x:v>Ordered space path and directions, plus total route-model distance in metres.</x:v>
      </x:c>
      <x:c r="L1217" s="6" t="str">
        <x:v>T02, T05, T13</x:v>
      </x:c>
      <x:c r="M1217" s="6" t="str">
        <x:v>Find a valid route between two rooms, including across floors.</x:v>
      </x:c>
      <x:c r="N1217" s="6" t="str">
        <x:v>{"from_space_id":"swiss-1829-F1-S014","to_space_id":"swiss-1829-F2-S013","optimal_length_m":29.66,"space_path":["swiss-1829-F1-S014","swiss-1829-F1-S010","swiss-1829-F1-S020","swiss-1829-F2-S020","swiss-1829-F2-S014","swiss-1829-F2-S013"],"element_path":["swiss-1829-F1-O0039","swiss-1829-F1-O0039","swiss-1829-F1-O0036","swiss-1829-F1-O0036","swiss-1829-V01","swiss-1829-F2-O0056","swiss-1829-F2-O0056","swiss-1829-F2-O0059","swiss-1829-F2-O0059"]}</x:v>
      </x:c>
      <x:c r="O1217" s="6"/>
      <x:c r="P1217" s="6" t="str">
        <x:v>README routing profile. Stairs and lifts allowed unless stated otherwise.</x:v>
      </x:c>
      <x:c r="Q1217" s="15" t="n">
        <x:v>29.66</x:v>
      </x:c>
      <x:c r="R1217" s="6" t="str">
        <x:v>m</x:v>
      </x:c>
      <x:c r="S1217" s="16"/>
      <x:c r="T1217" s="15"/>
      <x:c r="U1217" s="6"/>
      <x:c r="V1217" s="6"/>
      <x:c r="W1217" s="6" t="str">
        <x:v>Existing find_route and show_route implement the kit routing model.</x:v>
      </x:c>
      <x:c r="X1217" s="6" t="str">
        <x:v>data/train/swiss-1829/questions_basic.jsonl</x:v>
      </x:c>
      <x:c r="Y1217" s="14" t="n">
        <x:v>6</x:v>
      </x:c>
      <x:c r="Z1217" s="6" t="str">
        <x:v>https://github.com/hagenhaeussler/Industrial-Agents-Hackathon-2026/blob/f41616590b69f3ea0c1cbfb41d6c35edd9ce53df/data/train/swiss-1829/questions_basic.jsonl#L6</x:v>
      </x:c>
      <x:c r="AA1217" s="6" t="str">
        <x:v>swiss_dwellings</x:v>
      </x:c>
      <x:c r="AB1217" s="6" t="str">
        <x:v>CC-BY-4.0</x:v>
      </x:c>
    </x:row>
    <x:row r="1218" ht="110" customHeight="1">
      <x:c r="A1218" s="14" t="n">
        <x:v>1213</x:v>
      </x:c>
      <x:c r="B1218" s="6" t="str">
        <x:v>route</x:v>
      </x:c>
      <x:c r="C1218" s="6" t="str">
        <x:v>How do I get from Bedroom 2.04 (apartment 7) (Floor 2) to Bedroom 1.24 (apartment 6) (Floor 1)?</x:v>
      </x:c>
      <x:c r="D1218" s="6" t="str">
        <x:v>31.98 m
From: Bedroom 2.04 (apartment 7)
To: Bedroom 1.24 (apartment 6)
Ordered path (9 spaces): Bedroom 2.04 (apartment 7) → Corridor 2.03 (apartment 7) → Bedroom 2.07 (apartment 7) → Corridor 2.02 (apartment 7) → Landing 2.33 → Landing 2.34 → Landing 1.34 → Corridor 1.29 (apartment 6) → Bedroom 1.24 (apartment 6)</x:v>
      </x:c>
      <x:c r="E1218" s="6" t="str">
        <x:v>Reference supplied</x:v>
      </x:c>
      <x:c r="F1218" s="6" t="str">
        <x:v>train</x:v>
      </x:c>
      <x:c r="G1218" s="6" t="str">
        <x:v>swiss-1860</x:v>
      </x:c>
      <x:c r="H1218" s="6" t="str">
        <x:v>swiss-1860-Q02</x:v>
      </x:c>
      <x:c r="I1218" s="6" t="str">
        <x:v>Route planning</x:v>
      </x:c>
      <x:c r="J1218" s="6" t="str">
        <x:v>Warm-up</x:v>
      </x:c>
      <x:c r="K1218" s="6" t="str">
        <x:v>Ordered space path and directions, plus total route-model distance in metres.</x:v>
      </x:c>
      <x:c r="L1218" s="6" t="str">
        <x:v>T02, T05, T13</x:v>
      </x:c>
      <x:c r="M1218" s="6" t="str">
        <x:v>Find a valid route between two rooms, including across floors.</x:v>
      </x:c>
      <x:c r="N1218" s="6" t="str">
        <x:v>{"from_space_id":"swiss-1860-F2-S004","to_space_id":"swiss-1860-F1-S024","optimal_length_m":31.98,"space_path":["swiss-1860-F2-S004","swiss-1860-F2-S003","swiss-1860-F2-S007","swiss-1860-F2-S002","swiss-1860-F2-S033","swiss-1860-F2-S034","swiss-1860-F1-S034","swiss-1860-F1-S029","swiss-1860-F1-S024"],"element_path":["swiss-1860-F2-O0054","swiss-1860-F2-O0054","swiss-1860-F2-O0052","swiss-1860-F2-O0052","swiss-1860-F2-O0059","swiss-1860-F2-O0059","swiss-1860-F2-O0053","swiss-1860-F2-O0053","swiss-1860-F2-O0049","swiss-1860-F2-O0049","swiss-1860-V01","swiss-1860-F1-O0041","swiss-1860-F1-O0041","swiss-1860-F1-O0043","swiss-1860-F1-O0043"]}</x:v>
      </x:c>
      <x:c r="O1218" s="6"/>
      <x:c r="P1218" s="6" t="str">
        <x:v>README routing profile. Stairs and lifts allowed unless stated otherwise.</x:v>
      </x:c>
      <x:c r="Q1218" s="15" t="n">
        <x:v>31.98</x:v>
      </x:c>
      <x:c r="R1218" s="6" t="str">
        <x:v>m</x:v>
      </x:c>
      <x:c r="S1218" s="16"/>
      <x:c r="T1218" s="15"/>
      <x:c r="U1218" s="6"/>
      <x:c r="V1218" s="6"/>
      <x:c r="W1218" s="6" t="str">
        <x:v>Existing find_route and show_route implement the kit routing model.</x:v>
      </x:c>
      <x:c r="X1218" s="6" t="str">
        <x:v>data/train/swiss-1860/questions_basic.jsonl</x:v>
      </x:c>
      <x:c r="Y1218" s="14" t="n">
        <x:v>2</x:v>
      </x:c>
      <x:c r="Z1218" s="6" t="str">
        <x:v>https://github.com/hagenhaeussler/Industrial-Agents-Hackathon-2026/blob/f41616590b69f3ea0c1cbfb41d6c35edd9ce53df/data/train/swiss-1860/questions_basic.jsonl#L2</x:v>
      </x:c>
      <x:c r="AA1218" s="6" t="str">
        <x:v>swiss_dwellings</x:v>
      </x:c>
      <x:c r="AB1218" s="6" t="str">
        <x:v>CC-BY-4.0</x:v>
      </x:c>
    </x:row>
    <x:row r="1219" ht="138" customHeight="1">
      <x:c r="A1219" s="14" t="n">
        <x:v>1214</x:v>
      </x:c>
      <x:c r="B1219" s="6" t="str">
        <x:v>route</x:v>
      </x:c>
      <x:c r="C1219" s="6" t="str">
        <x:v>How do I get from Bedroom 4.22 (apartment 17) (Floor 4) to Bedroom 3.04 (apartment 11) (Floor 3)?</x:v>
      </x:c>
      <x:c r="D1219" s="6" t="str">
        <x:v>38.94 m
From: Bedroom 4.22 (apartment 17)
To: Bedroom 3.04 (apartment 11)
Ordered path (11 spaces): Bedroom 4.22 (apartment 17) → Corridor 4.19 (apartment 17) → Bedroom 4.20 (apartment 17) → Corridor 4.21 (apartment 17) → Landing 4.33 → Landing 3.34 → Landing 3.33 → Corridor 3.08 (apartment 11) → Bedroom 3.09 (apartment 11) → Corridor 3.06 (apartment 11) → Bedroom 3.04 (apartment 11)</x:v>
      </x:c>
      <x:c r="E1219" s="6" t="str">
        <x:v>Reference supplied</x:v>
      </x:c>
      <x:c r="F1219" s="6" t="str">
        <x:v>train</x:v>
      </x:c>
      <x:c r="G1219" s="6" t="str">
        <x:v>swiss-1860</x:v>
      </x:c>
      <x:c r="H1219" s="6" t="str">
        <x:v>swiss-1860-Q03</x:v>
      </x:c>
      <x:c r="I1219" s="6" t="str">
        <x:v>Route planning</x:v>
      </x:c>
      <x:c r="J1219" s="6" t="str">
        <x:v>Warm-up</x:v>
      </x:c>
      <x:c r="K1219" s="6" t="str">
        <x:v>Ordered space path and directions, plus total route-model distance in metres.</x:v>
      </x:c>
      <x:c r="L1219" s="6" t="str">
        <x:v>T02, T05, T13</x:v>
      </x:c>
      <x:c r="M1219" s="6" t="str">
        <x:v>Find a valid route between two rooms, including across floors.</x:v>
      </x:c>
      <x:c r="N1219" s="6" t="str">
        <x:v>{"from_space_id":"swiss-1860-F4-S022","to_space_id":"swiss-1860-F3-S004","optimal_length_m":38.94,"space_path":["swiss-1860-F4-S022","swiss-1860-F4-S019","swiss-1860-F4-S020","swiss-1860-F4-S021","swiss-1860-F4-S033","swiss-1860-F3-S034","swiss-1860-F3-S033","swiss-1860-F3-S008","swiss-1860-F3-S009","swiss-1860-F3-S006","swiss-1860-F3-S004"],"element_path":["swiss-1860-F4-O0118","swiss-1860-F4-O0118","swiss-1860-F4-O0131","swiss-1860-F4-O0131","swiss-1860-F4-O0138","swiss-1860-F4-O0138","swiss-1860-F4-O0136","swiss-1860-F4-O0136","swiss-1860-V01","swiss-1860-F3-O0082","swiss-1860-F3-O0082","swiss-1860-F3-O0088","swiss-1860-F3-O0088","swiss-1860-F3-O0092","swiss-1860-F3-O0092","swiss-1860-F3-O0090","swiss-1860-F3-O0090","swiss-1860-F3-O0083","swiss-1860-F3-O0083"]}</x:v>
      </x:c>
      <x:c r="O1219" s="6"/>
      <x:c r="P1219" s="6" t="str">
        <x:v>README routing profile. Stairs and lifts allowed unless stated otherwise.</x:v>
      </x:c>
      <x:c r="Q1219" s="15" t="n">
        <x:v>38.94</x:v>
      </x:c>
      <x:c r="R1219" s="6" t="str">
        <x:v>m</x:v>
      </x:c>
      <x:c r="S1219" s="16"/>
      <x:c r="T1219" s="15"/>
      <x:c r="U1219" s="6"/>
      <x:c r="V1219" s="6"/>
      <x:c r="W1219" s="6" t="str">
        <x:v>Existing find_route and show_route implement the kit routing model.</x:v>
      </x:c>
      <x:c r="X1219" s="6" t="str">
        <x:v>data/train/swiss-1860/questions_basic.jsonl</x:v>
      </x:c>
      <x:c r="Y1219" s="14" t="n">
        <x:v>3</x:v>
      </x:c>
      <x:c r="Z1219" s="6" t="str">
        <x:v>https://github.com/hagenhaeussler/Industrial-Agents-Hackathon-2026/blob/f41616590b69f3ea0c1cbfb41d6c35edd9ce53df/data/train/swiss-1860/questions_basic.jsonl#L3</x:v>
      </x:c>
      <x:c r="AA1219" s="6" t="str">
        <x:v>swiss_dwellings</x:v>
      </x:c>
      <x:c r="AB1219" s="6" t="str">
        <x:v>CC-BY-4.0</x:v>
      </x:c>
    </x:row>
    <x:row r="1220" ht="110" customHeight="1">
      <x:c r="A1220" s="14" t="n">
        <x:v>1215</x:v>
      </x:c>
      <x:c r="B1220" s="6" t="str">
        <x:v>route</x:v>
      </x:c>
      <x:c r="C1220" s="6" t="str">
        <x:v>How do I get from Bedroom 4.13 (apartment 16) (Floor 4) to Bedroom 3.16 (apartment 12) (Floor 3)?</x:v>
      </x:c>
      <x:c r="D1220" s="6" t="str">
        <x:v>28.46 m
From: Bedroom 4.13 (apartment 16)
To: Bedroom 3.16 (apartment 12)
Ordered path (8 spaces): Bedroom 4.13 (apartment 16) → Corridor 4.08 (apartment 16) → Bedroom 4.12 (apartment 16) → Corridor 4.11 (apartment 16) → Landing 4.34 → Landing 3.34 → Corridor 3.15 (apartment 12) → Bedroom 3.16 (apartment 12)</x:v>
      </x:c>
      <x:c r="E1220" s="6" t="str">
        <x:v>Reference supplied</x:v>
      </x:c>
      <x:c r="F1220" s="6" t="str">
        <x:v>train</x:v>
      </x:c>
      <x:c r="G1220" s="6" t="str">
        <x:v>swiss-1860</x:v>
      </x:c>
      <x:c r="H1220" s="6" t="str">
        <x:v>swiss-1860-Q04</x:v>
      </x:c>
      <x:c r="I1220" s="6" t="str">
        <x:v>Route planning</x:v>
      </x:c>
      <x:c r="J1220" s="6" t="str">
        <x:v>Warm-up</x:v>
      </x:c>
      <x:c r="K1220" s="6" t="str">
        <x:v>Ordered space path and directions, plus total route-model distance in metres.</x:v>
      </x:c>
      <x:c r="L1220" s="6" t="str">
        <x:v>T02, T05, T13</x:v>
      </x:c>
      <x:c r="M1220" s="6" t="str">
        <x:v>Find a valid route between two rooms, including across floors.</x:v>
      </x:c>
      <x:c r="N1220" s="6" t="str">
        <x:v>{"from_space_id":"swiss-1860-F4-S013","to_space_id":"swiss-1860-F3-S016","optimal_length_m":28.46,"space_path":["swiss-1860-F4-S013","swiss-1860-F4-S008","swiss-1860-F4-S012","swiss-1860-F4-S011","swiss-1860-F4-S034","swiss-1860-F3-S034","swiss-1860-F3-S015","swiss-1860-F3-S016"],"element_path":["swiss-1860-F4-O0130","swiss-1860-F4-O0130","swiss-1860-F4-O0127","swiss-1860-F4-O0127","swiss-1860-F4-O0129","swiss-1860-F4-O0129","swiss-1860-F4-O0125","swiss-1860-F4-O0125","swiss-1860-V06","swiss-1860-F3-O0098","swiss-1860-F3-O0098","swiss-1860-F3-O0096","swiss-1860-F3-O0096"]}</x:v>
      </x:c>
      <x:c r="O1220" s="6"/>
      <x:c r="P1220" s="6" t="str">
        <x:v>README routing profile. Stairs and lifts allowed unless stated otherwise.</x:v>
      </x:c>
      <x:c r="Q1220" s="15" t="n">
        <x:v>28.46</x:v>
      </x:c>
      <x:c r="R1220" s="6" t="str">
        <x:v>m</x:v>
      </x:c>
      <x:c r="S1220" s="16"/>
      <x:c r="T1220" s="15"/>
      <x:c r="U1220" s="6"/>
      <x:c r="V1220" s="6"/>
      <x:c r="W1220" s="6" t="str">
        <x:v>Existing find_route and show_route implement the kit routing model.</x:v>
      </x:c>
      <x:c r="X1220" s="6" t="str">
        <x:v>data/train/swiss-1860/questions_basic.jsonl</x:v>
      </x:c>
      <x:c r="Y1220" s="14" t="n">
        <x:v>4</x:v>
      </x:c>
      <x:c r="Z1220" s="6" t="str">
        <x:v>https://github.com/hagenhaeussler/Industrial-Agents-Hackathon-2026/blob/f41616590b69f3ea0c1cbfb41d6c35edd9ce53df/data/train/swiss-1860/questions_basic.jsonl#L4</x:v>
      </x:c>
      <x:c r="AA1220" s="6" t="str">
        <x:v>swiss_dwellings</x:v>
      </x:c>
      <x:c r="AB1220" s="6" t="str">
        <x:v>CC-BY-4.0</x:v>
      </x:c>
    </x:row>
    <x:row r="1221" ht="110" customHeight="1">
      <x:c r="A1221" s="14" t="n">
        <x:v>1216</x:v>
      </x:c>
      <x:c r="B1221" s="6" t="str">
        <x:v>route</x:v>
      </x:c>
      <x:c r="C1221" s="6" t="str">
        <x:v>How do I get from Kitchen 3.32 (apartment 16) (Floor 3) to Bathroom 0.10 (apartment 2) (Ground floor)?</x:v>
      </x:c>
      <x:c r="D1221" s="6" t="str">
        <x:v>57.11 m
From: Kitchen 3.32 (apartment 16)
To: Bathroom 0.10 (apartment 2)
Ordered path (8 spaces): Kitchen 3.32 (apartment 16) → Corridor 3.31 (apartment 16) → Stair hall 3.35 → Stair hall 2.35 → Stair hall 1.35 → Stair hall 0.31 → Corridor 0.12 (apartment 2) → Bathroom 0.10 (apartment 2)</x:v>
      </x:c>
      <x:c r="E1221" s="6" t="str">
        <x:v>Reference supplied</x:v>
      </x:c>
      <x:c r="F1221" s="6" t="str">
        <x:v>train</x:v>
      </x:c>
      <x:c r="G1221" s="6" t="str">
        <x:v>swiss-1883</x:v>
      </x:c>
      <x:c r="H1221" s="6" t="str">
        <x:v>swiss-1883-Q02</x:v>
      </x:c>
      <x:c r="I1221" s="6" t="str">
        <x:v>Route planning</x:v>
      </x:c>
      <x:c r="J1221" s="6" t="str">
        <x:v>Warm-up</x:v>
      </x:c>
      <x:c r="K1221" s="6" t="str">
        <x:v>Ordered space path and directions, plus total route-model distance in metres.</x:v>
      </x:c>
      <x:c r="L1221" s="6" t="str">
        <x:v>T02, T05, T13</x:v>
      </x:c>
      <x:c r="M1221" s="6" t="str">
        <x:v>Find a valid route between two rooms, including across floors.</x:v>
      </x:c>
      <x:c r="N1221" s="6" t="str">
        <x:v>{"from_space_id":"swiss-1883-F3-S032","to_space_id":"swiss-1883-F0-S010","optimal_length_m":57.11,"space_path":["swiss-1883-F3-S032","swiss-1883-F3-S031","swiss-1883-F3-S035","swiss-1883-F2-S035","swiss-1883-F1-S035","swiss-1883-F0-S031","swiss-1883-F0-S012","swiss-1883-F0-S010"],"element_path":["swiss-1883-F3-O0132","swiss-1883-F3-O0132","swiss-1883-F3-O0124","swiss-1883-F3-O0124","swiss-1883-V01","swiss-1883-V01","swiss-1883-V01","swiss-1883-F0-O0014","swiss-1883-F0-O0014","swiss-1883-F0-O0016","swiss-1883-F0-O0016"]}</x:v>
      </x:c>
      <x:c r="O1221" s="6"/>
      <x:c r="P1221" s="6" t="str">
        <x:v>README routing profile. Stairs and lifts allowed unless stated otherwise.</x:v>
      </x:c>
      <x:c r="Q1221" s="15" t="n">
        <x:v>57.11</x:v>
      </x:c>
      <x:c r="R1221" s="6" t="str">
        <x:v>m</x:v>
      </x:c>
      <x:c r="S1221" s="16"/>
      <x:c r="T1221" s="15"/>
      <x:c r="U1221" s="6"/>
      <x:c r="V1221" s="6"/>
      <x:c r="W1221" s="6" t="str">
        <x:v>Existing find_route and show_route implement the kit routing model.</x:v>
      </x:c>
      <x:c r="X1221" s="6" t="str">
        <x:v>data/train/swiss-1883/questions_basic.jsonl</x:v>
      </x:c>
      <x:c r="Y1221" s="14" t="n">
        <x:v>2</x:v>
      </x:c>
      <x:c r="Z1221" s="6" t="str">
        <x:v>https://github.com/hagenhaeussler/Industrial-Agents-Hackathon-2026/blob/f41616590b69f3ea0c1cbfb41d6c35edd9ce53df/data/train/swiss-1883/questions_basic.jsonl#L2</x:v>
      </x:c>
      <x:c r="AA1221" s="6" t="str">
        <x:v>swiss_dwellings</x:v>
      </x:c>
      <x:c r="AB1221" s="6" t="str">
        <x:v>CC-BY-4.0</x:v>
      </x:c>
    </x:row>
    <x:row r="1222" ht="110" customHeight="1">
      <x:c r="A1222" s="14" t="n">
        <x:v>1217</x:v>
      </x:c>
      <x:c r="B1222" s="6" t="str">
        <x:v>route</x:v>
      </x:c>
      <x:c r="C1222" s="6" t="str">
        <x:v>How do I get from Bathroom 3.18 (apartment 15) (Floor 3) to Living room 0.16 (apartment 2) (Ground floor)?</x:v>
      </x:c>
      <x:c r="D1222" s="6" t="str">
        <x:v>57.18 m
From: Bathroom 3.18 (apartment 15)
To: Living room 0.16 (apartment 2)
Ordered path (8 spaces): Bathroom 3.18 (apartment 15) → Corridor 3.17 (apartment 15) → Stair hall 3.35 → Stair hall 2.35 → Stair hall 1.35 → Stair hall 0.31 → Corridor 0.12 (apartment 2) → Living room 0.16 (apartment 2)</x:v>
      </x:c>
      <x:c r="E1222" s="6" t="str">
        <x:v>Reference supplied</x:v>
      </x:c>
      <x:c r="F1222" s="6" t="str">
        <x:v>train</x:v>
      </x:c>
      <x:c r="G1222" s="6" t="str">
        <x:v>swiss-1883</x:v>
      </x:c>
      <x:c r="H1222" s="6" t="str">
        <x:v>swiss-1883-Q03</x:v>
      </x:c>
      <x:c r="I1222" s="6" t="str">
        <x:v>Route planning</x:v>
      </x:c>
      <x:c r="J1222" s="6" t="str">
        <x:v>Warm-up</x:v>
      </x:c>
      <x:c r="K1222" s="6" t="str">
        <x:v>Ordered space path and directions, plus total route-model distance in metres.</x:v>
      </x:c>
      <x:c r="L1222" s="6" t="str">
        <x:v>T02, T05, T13</x:v>
      </x:c>
      <x:c r="M1222" s="6" t="str">
        <x:v>Find a valid route between two rooms, including across floors.</x:v>
      </x:c>
      <x:c r="N1222" s="6" t="str">
        <x:v>{"from_space_id":"swiss-1883-F3-S018","to_space_id":"swiss-1883-F0-S016","optimal_length_m":57.18,"space_path":["swiss-1883-F3-S018","swiss-1883-F3-S017","swiss-1883-F3-S035","swiss-1883-F2-S035","swiss-1883-F1-S035","swiss-1883-F0-S031","swiss-1883-F0-S012","swiss-1883-F0-S016"],"element_path":["swiss-1883-F3-O0118","swiss-1883-F3-O0118","swiss-1883-F3-O0120","swiss-1883-F3-O0120","swiss-1883-V01","swiss-1883-V01","swiss-1883-V01","swiss-1883-F0-O0014","swiss-1883-F0-O0014","swiss-1883-F0-O0015","swiss-1883-F0-O0015"]}</x:v>
      </x:c>
      <x:c r="O1222" s="6"/>
      <x:c r="P1222" s="6" t="str">
        <x:v>README routing profile. Stairs and lifts allowed unless stated otherwise.</x:v>
      </x:c>
      <x:c r="Q1222" s="15" t="n">
        <x:v>57.18</x:v>
      </x:c>
      <x:c r="R1222" s="6" t="str">
        <x:v>m</x:v>
      </x:c>
      <x:c r="S1222" s="16"/>
      <x:c r="T1222" s="15"/>
      <x:c r="U1222" s="6"/>
      <x:c r="V1222" s="6"/>
      <x:c r="W1222" s="6" t="str">
        <x:v>Existing find_route and show_route implement the kit routing model.</x:v>
      </x:c>
      <x:c r="X1222" s="6" t="str">
        <x:v>data/train/swiss-1883/questions_basic.jsonl</x:v>
      </x:c>
      <x:c r="Y1222" s="14" t="n">
        <x:v>3</x:v>
      </x:c>
      <x:c r="Z1222" s="6" t="str">
        <x:v>https://github.com/hagenhaeussler/Industrial-Agents-Hackathon-2026/blob/f41616590b69f3ea0c1cbfb41d6c35edd9ce53df/data/train/swiss-1883/questions_basic.jsonl#L3</x:v>
      </x:c>
      <x:c r="AA1222" s="6" t="str">
        <x:v>swiss_dwellings</x:v>
      </x:c>
      <x:c r="AB1222" s="6" t="str">
        <x:v>CC-BY-4.0</x:v>
      </x:c>
    </x:row>
    <x:row r="1223" ht="96" customHeight="1">
      <x:c r="A1223" s="14" t="n">
        <x:v>1218</x:v>
      </x:c>
      <x:c r="B1223" s="6" t="str">
        <x:v>route</x:v>
      </x:c>
      <x:c r="C1223" s="6" t="str">
        <x:v>How do I get from Bedroom 2.28 (apartment 12) (Floor 2) to Bedroom 1.31 (apartment 8) (Floor 1)?</x:v>
      </x:c>
      <x:c r="D1223" s="6" t="str">
        <x:v>38.24 m
From: Bedroom 2.28 (apartment 12)
To: Bedroom 1.31 (apartment 8)
Ordered path (7 spaces): Bedroom 2.28 (apartment 12) → Bedroom 2.33 (apartment 12) → Corridor 2.26 (apartment 12) → Stair hall 2.35 → Stair hall 1.35 → Corridor 1.27 (apartment 8) → Bedroom 1.31 (apartment 8)</x:v>
      </x:c>
      <x:c r="E1223" s="6" t="str">
        <x:v>Reference supplied</x:v>
      </x:c>
      <x:c r="F1223" s="6" t="str">
        <x:v>train</x:v>
      </x:c>
      <x:c r="G1223" s="6" t="str">
        <x:v>swiss-1883</x:v>
      </x:c>
      <x:c r="H1223" s="6" t="str">
        <x:v>swiss-1883-Q04</x:v>
      </x:c>
      <x:c r="I1223" s="6" t="str">
        <x:v>Route planning</x:v>
      </x:c>
      <x:c r="J1223" s="6" t="str">
        <x:v>Warm-up</x:v>
      </x:c>
      <x:c r="K1223" s="6" t="str">
        <x:v>Ordered space path and directions, plus total route-model distance in metres.</x:v>
      </x:c>
      <x:c r="L1223" s="6" t="str">
        <x:v>T02, T05, T13</x:v>
      </x:c>
      <x:c r="M1223" s="6" t="str">
        <x:v>Find a valid route between two rooms, including across floors.</x:v>
      </x:c>
      <x:c r="N1223" s="6" t="str">
        <x:v>{"from_space_id":"swiss-1883-F2-S028","to_space_id":"swiss-1883-F1-S031","optimal_length_m":38.24,"space_path":["swiss-1883-F2-S028","swiss-1883-F2-S033","swiss-1883-F2-S026","swiss-1883-F2-S035","swiss-1883-F1-S035","swiss-1883-F1-S027","swiss-1883-F1-S031"],"element_path":["swiss-1883-F2-O0098","swiss-1883-F2-O0098","swiss-1883-F2-O0095","swiss-1883-F2-O0095","swiss-1883-F2-O0076","swiss-1883-F2-O0076","swiss-1883-V01","swiss-1883-F1-O0059","swiss-1883-F1-O0059","swiss-1883-F1-O0058","swiss-1883-F1-O0058"]}</x:v>
      </x:c>
      <x:c r="O1223" s="6"/>
      <x:c r="P1223" s="6" t="str">
        <x:v>README routing profile. Stairs and lifts allowed unless stated otherwise.</x:v>
      </x:c>
      <x:c r="Q1223" s="15" t="n">
        <x:v>38.24</x:v>
      </x:c>
      <x:c r="R1223" s="6" t="str">
        <x:v>m</x:v>
      </x:c>
      <x:c r="S1223" s="16"/>
      <x:c r="T1223" s="15"/>
      <x:c r="U1223" s="6"/>
      <x:c r="V1223" s="6"/>
      <x:c r="W1223" s="6" t="str">
        <x:v>Existing find_route and show_route implement the kit routing model.</x:v>
      </x:c>
      <x:c r="X1223" s="6" t="str">
        <x:v>data/train/swiss-1883/questions_basic.jsonl</x:v>
      </x:c>
      <x:c r="Y1223" s="14" t="n">
        <x:v>4</x:v>
      </x:c>
      <x:c r="Z1223" s="6" t="str">
        <x:v>https://github.com/hagenhaeussler/Industrial-Agents-Hackathon-2026/blob/f41616590b69f3ea0c1cbfb41d6c35edd9ce53df/data/train/swiss-1883/questions_basic.jsonl#L4</x:v>
      </x:c>
      <x:c r="AA1223" s="6" t="str">
        <x:v>swiss_dwellings</x:v>
      </x:c>
      <x:c r="AB1223" s="6" t="str">
        <x:v>CC-BY-4.0</x:v>
      </x:c>
    </x:row>
    <x:row r="1224" ht="96" customHeight="1">
      <x:c r="A1224" s="14" t="n">
        <x:v>1219</x:v>
      </x:c>
      <x:c r="B1224" s="6" t="str">
        <x:v>route</x:v>
      </x:c>
      <x:c r="C1224" s="6" t="str">
        <x:v>How do I get from Kitchen 2.13 (apartment 10) (Floor 2) to Kitchen 2.36 (apartment 12) (Floor 2)?</x:v>
      </x:c>
      <x:c r="D1224" s="6" t="str">
        <x:v>24.36 m
From: Kitchen 2.13 (apartment 10)
To: Kitchen 2.36 (apartment 12)
Ordered path (6 spaces): Kitchen 2.13 (apartment 10) → Living room 2.11 (apartment 10) → Corridor 2.12 (apartment 10) → Stair hall 2.37 → Corridor 2.30 (apartment 12) → Kitchen 2.36 (apartment 12)</x:v>
      </x:c>
      <x:c r="E1224" s="6" t="str">
        <x:v>Reference supplied</x:v>
      </x:c>
      <x:c r="F1224" s="6" t="str">
        <x:v>train</x:v>
      </x:c>
      <x:c r="G1224" s="6" t="str">
        <x:v>swiss-1889</x:v>
      </x:c>
      <x:c r="H1224" s="6" t="str">
        <x:v>swiss-1889-Q04</x:v>
      </x:c>
      <x:c r="I1224" s="6" t="str">
        <x:v>Route planning</x:v>
      </x:c>
      <x:c r="J1224" s="6" t="str">
        <x:v>Warm-up</x:v>
      </x:c>
      <x:c r="K1224" s="6" t="str">
        <x:v>Ordered space path and directions, plus total route-model distance in metres.</x:v>
      </x:c>
      <x:c r="L1224" s="6" t="str">
        <x:v>T02, T05, T13</x:v>
      </x:c>
      <x:c r="M1224" s="6" t="str">
        <x:v>Find a valid route between two rooms, including across floors.</x:v>
      </x:c>
      <x:c r="N1224" s="6" t="str">
        <x:v>{"from_space_id":"swiss-1889-F2-S013","to_space_id":"swiss-1889-F2-S036","optimal_length_m":24.36,"space_path":["swiss-1889-F2-S013","swiss-1889-F2-S011","swiss-1889-F2-S012","swiss-1889-F2-S037","swiss-1889-F2-S030","swiss-1889-F2-S036"],"element_path":["swiss-1889-F2-O0100","swiss-1889-F2-O0100","swiss-1889-F2-O0121","swiss-1889-F2-O0121","swiss-1889-F2-O0096","swiss-1889-F2-O0096","swiss-1889-F2-O0118","swiss-1889-F2-O0118","swiss-1889-F2-O0115","swiss-1889-F2-O0115"]}</x:v>
      </x:c>
      <x:c r="O1224" s="6"/>
      <x:c r="P1224" s="6" t="str">
        <x:v>README routing profile. Stairs and lifts allowed unless stated otherwise.</x:v>
      </x:c>
      <x:c r="Q1224" s="15" t="n">
        <x:v>24.36</x:v>
      </x:c>
      <x:c r="R1224" s="6" t="str">
        <x:v>m</x:v>
      </x:c>
      <x:c r="S1224" s="16"/>
      <x:c r="T1224" s="15"/>
      <x:c r="U1224" s="6"/>
      <x:c r="V1224" s="6"/>
      <x:c r="W1224" s="6" t="str">
        <x:v>Existing find_route and show_route implement the kit routing model.</x:v>
      </x:c>
      <x:c r="X1224" s="6" t="str">
        <x:v>data/train/swiss-1889/questions_basic.jsonl</x:v>
      </x:c>
      <x:c r="Y1224" s="14" t="n">
        <x:v>4</x:v>
      </x:c>
      <x:c r="Z1224" s="6" t="str">
        <x:v>https://github.com/hagenhaeussler/Industrial-Agents-Hackathon-2026/blob/f41616590b69f3ea0c1cbfb41d6c35edd9ce53df/data/train/swiss-1889/questions_basic.jsonl#L4</x:v>
      </x:c>
      <x:c r="AA1224" s="6" t="str">
        <x:v>swiss_dwellings</x:v>
      </x:c>
      <x:c r="AB1224" s="6" t="str">
        <x:v>CC-BY-4.0</x:v>
      </x:c>
    </x:row>
    <x:row r="1225" ht="96" customHeight="1">
      <x:c r="A1225" s="14" t="n">
        <x:v>1220</x:v>
      </x:c>
      <x:c r="B1225" s="6" t="str">
        <x:v>route</x:v>
      </x:c>
      <x:c r="C1225" s="6" t="str">
        <x:v>How do I get from Kitchen 1.19 (apartment 7) (Floor 1) to Bathroom 2.18 (apartment 10) (Floor 2)?</x:v>
      </x:c>
      <x:c r="D1225" s="6" t="str">
        <x:v>29.77 m
From: Kitchen 1.19 (apartment 7)
To: Bathroom 2.18 (apartment 10)
Ordered path (6 spaces): Kitchen 1.19 (apartment 7) → Corridor 1.25 (apartment 7) → Stair hall 1.37 → Stair hall 2.37 → Corridor 2.12 (apartment 10) → Bathroom 2.18 (apartment 10)</x:v>
      </x:c>
      <x:c r="E1225" s="6" t="str">
        <x:v>Reference supplied</x:v>
      </x:c>
      <x:c r="F1225" s="6" t="str">
        <x:v>train</x:v>
      </x:c>
      <x:c r="G1225" s="6" t="str">
        <x:v>swiss-1889</x:v>
      </x:c>
      <x:c r="H1225" s="6" t="str">
        <x:v>swiss-1889-Q05</x:v>
      </x:c>
      <x:c r="I1225" s="6" t="str">
        <x:v>Route planning</x:v>
      </x:c>
      <x:c r="J1225" s="6" t="str">
        <x:v>Warm-up</x:v>
      </x:c>
      <x:c r="K1225" s="6" t="str">
        <x:v>Ordered space path and directions, plus total route-model distance in metres.</x:v>
      </x:c>
      <x:c r="L1225" s="6" t="str">
        <x:v>T02, T05, T13</x:v>
      </x:c>
      <x:c r="M1225" s="6" t="str">
        <x:v>Find a valid route between two rooms, including across floors.</x:v>
      </x:c>
      <x:c r="N1225" s="6" t="str">
        <x:v>{"from_space_id":"swiss-1889-F1-S019","to_space_id":"swiss-1889-F2-S018","optimal_length_m":29.77,"space_path":["swiss-1889-F1-S019","swiss-1889-F1-S025","swiss-1889-F1-S037","swiss-1889-F2-S037","swiss-1889-F2-S012","swiss-1889-F2-S018"],"element_path":["swiss-1889-F1-O0060","swiss-1889-F1-O0060","swiss-1889-F1-O0067","swiss-1889-F1-O0067","swiss-1889-V01","swiss-1889-F2-O0096","swiss-1889-F2-O0096","swiss-1889-F2-O0097","swiss-1889-F2-O0097"]}</x:v>
      </x:c>
      <x:c r="O1225" s="6"/>
      <x:c r="P1225" s="6" t="str">
        <x:v>README routing profile. Stairs and lifts allowed unless stated otherwise.</x:v>
      </x:c>
      <x:c r="Q1225" s="15" t="n">
        <x:v>29.77</x:v>
      </x:c>
      <x:c r="R1225" s="6" t="str">
        <x:v>m</x:v>
      </x:c>
      <x:c r="S1225" s="16"/>
      <x:c r="T1225" s="15"/>
      <x:c r="U1225" s="6"/>
      <x:c r="V1225" s="6"/>
      <x:c r="W1225" s="6" t="str">
        <x:v>Existing find_route and show_route implement the kit routing model.</x:v>
      </x:c>
      <x:c r="X1225" s="6" t="str">
        <x:v>data/train/swiss-1889/questions_basic.jsonl</x:v>
      </x:c>
      <x:c r="Y1225" s="14" t="n">
        <x:v>5</x:v>
      </x:c>
      <x:c r="Z1225" s="6" t="str">
        <x:v>https://github.com/hagenhaeussler/Industrial-Agents-Hackathon-2026/blob/f41616590b69f3ea0c1cbfb41d6c35edd9ce53df/data/train/swiss-1889/questions_basic.jsonl#L5</x:v>
      </x:c>
      <x:c r="AA1225" s="6" t="str">
        <x:v>swiss_dwellings</x:v>
      </x:c>
      <x:c r="AB1225" s="6" t="str">
        <x:v>CC-BY-4.0</x:v>
      </x:c>
    </x:row>
    <x:row r="1226" ht="110" customHeight="1">
      <x:c r="A1226" s="14" t="n">
        <x:v>1221</x:v>
      </x:c>
      <x:c r="B1226" s="6" t="str">
        <x:v>route</x:v>
      </x:c>
      <x:c r="C1226" s="6" t="str">
        <x:v>How do I get from Bedroom 2.33 (apartment 12) (Floor 2) to Bedroom 1.09 (apartment 6) (Floor 1)?</x:v>
      </x:c>
      <x:c r="D1226" s="6" t="str">
        <x:v>54.23 m
From: Bedroom 2.33 (apartment 12)
To: Bedroom 1.09 (apartment 6)
Ordered path (10 spaces): Bedroom 2.33 (apartment 12) → Corridor 2.30 (apartment 12) → Stair hall 2.37 → Stair hall 1.37 → Stair hall 0.37 → outside → Landing 0.39 → Landing 1.38 → Corridor 1.12 (apartment 6) → Bedroom 1.09 (apartment 6)</x:v>
      </x:c>
      <x:c r="E1226" s="6" t="str">
        <x:v>Reference supplied</x:v>
      </x:c>
      <x:c r="F1226" s="6" t="str">
        <x:v>train</x:v>
      </x:c>
      <x:c r="G1226" s="6" t="str">
        <x:v>swiss-1889</x:v>
      </x:c>
      <x:c r="H1226" s="6" t="str">
        <x:v>swiss-1889-Q06</x:v>
      </x:c>
      <x:c r="I1226" s="6" t="str">
        <x:v>Route planning</x:v>
      </x:c>
      <x:c r="J1226" s="6" t="str">
        <x:v>Warm-up</x:v>
      </x:c>
      <x:c r="K1226" s="6" t="str">
        <x:v>Ordered space path and directions, plus total route-model distance in metres.</x:v>
      </x:c>
      <x:c r="L1226" s="6" t="str">
        <x:v>T02, T05, T13</x:v>
      </x:c>
      <x:c r="M1226" s="6" t="str">
        <x:v>Find a valid route between two rooms, including across floors.</x:v>
      </x:c>
      <x:c r="N1226" s="6" t="str">
        <x:v>{"from_space_id":"swiss-1889-F2-S033","to_space_id":"swiss-1889-F1-S009","optimal_length_m":54.23,"space_path":["swiss-1889-F2-S033","swiss-1889-F2-S030","swiss-1889-F2-S037","swiss-1889-F1-S037","swiss-1889-F0-S037","outside","swiss-1889-F0-S039","swiss-1889-F1-S038","swiss-1889-F1-S012","swiss-1889-F1-S009"],"element_path":["swiss-1889-F2-O0112","swiss-1889-F2-O0112","swiss-1889-F2-O0118","swiss-1889-F2-O0118","swiss-1889-V01","swiss-1889-V01","swiss-1889-F0-O0138","swiss-1889-F0-O0138","swiss-1889-F0-O0140","swiss-1889-F0-O0140","swiss-1889-V02","swiss-1889-F1-O0052","swiss-1889-F1-O0052","swiss-1889-F1-O0057","swiss-1889-F1-O0057"]}</x:v>
      </x:c>
      <x:c r="O1226" s="6"/>
      <x:c r="P1226" s="6" t="str">
        <x:v>README routing profile. Stairs and lifts allowed unless stated otherwise.</x:v>
      </x:c>
      <x:c r="Q1226" s="15" t="n">
        <x:v>54.23</x:v>
      </x:c>
      <x:c r="R1226" s="6" t="str">
        <x:v>m</x:v>
      </x:c>
      <x:c r="S1226" s="16"/>
      <x:c r="T1226" s="15"/>
      <x:c r="U1226" s="6"/>
      <x:c r="V1226" s="6"/>
      <x:c r="W1226" s="6" t="str">
        <x:v>Existing find_route and show_route implement the kit routing model.</x:v>
      </x:c>
      <x:c r="X1226" s="6" t="str">
        <x:v>data/train/swiss-1889/questions_basic.jsonl</x:v>
      </x:c>
      <x:c r="Y1226" s="14" t="n">
        <x:v>6</x:v>
      </x:c>
      <x:c r="Z1226" s="6" t="str">
        <x:v>https://github.com/hagenhaeussler/Industrial-Agents-Hackathon-2026/blob/f41616590b69f3ea0c1cbfb41d6c35edd9ce53df/data/train/swiss-1889/questions_basic.jsonl#L6</x:v>
      </x:c>
      <x:c r="AA1226" s="6" t="str">
        <x:v>swiss_dwellings</x:v>
      </x:c>
      <x:c r="AB1226" s="6" t="str">
        <x:v>CC-BY-4.0</x:v>
      </x:c>
    </x:row>
    <x:row r="1227" ht="96" customHeight="1">
      <x:c r="A1227" s="14" t="n">
        <x:v>1222</x:v>
      </x:c>
      <x:c r="B1227" s="6" t="str">
        <x:v>route</x:v>
      </x:c>
      <x:c r="C1227" s="6" t="str">
        <x:v>How do I get from Bedroom 0.16 (apartment 3) (Ground floor) to Bathroom 1.06 (apartment 4) (Floor 1)?</x:v>
      </x:c>
      <x:c r="D1227" s="6" t="str">
        <x:v>27.79 m
From: Bedroom 0.16 (apartment 3)
To: Bathroom 1.06 (apartment 4)
Ordered path (6 spaces): Bedroom 0.16 (apartment 3) → Corridor 0.18 (apartment 3) → Stair hall 0.22 → Stair hall 1.22 → Corridor 1.04 (apartment 4) → Bathroom 1.06 (apartment 4)</x:v>
      </x:c>
      <x:c r="E1227" s="6" t="str">
        <x:v>Reference supplied</x:v>
      </x:c>
      <x:c r="F1227" s="6" t="str">
        <x:v>train</x:v>
      </x:c>
      <x:c r="G1227" s="6" t="str">
        <x:v>swiss-1898</x:v>
      </x:c>
      <x:c r="H1227" s="6" t="str">
        <x:v>swiss-1898-Q04</x:v>
      </x:c>
      <x:c r="I1227" s="6" t="str">
        <x:v>Route planning</x:v>
      </x:c>
      <x:c r="J1227" s="6" t="str">
        <x:v>Warm-up</x:v>
      </x:c>
      <x:c r="K1227" s="6" t="str">
        <x:v>Ordered space path and directions, plus total route-model distance in metres.</x:v>
      </x:c>
      <x:c r="L1227" s="6" t="str">
        <x:v>T02, T05, T13</x:v>
      </x:c>
      <x:c r="M1227" s="6" t="str">
        <x:v>Find a valid route between two rooms, including across floors.</x:v>
      </x:c>
      <x:c r="N1227" s="6" t="str">
        <x:v>{"from_space_id":"swiss-1898-F0-S016","to_space_id":"swiss-1898-F1-S006","optimal_length_m":27.79,"space_path":["swiss-1898-F0-S016","swiss-1898-F0-S018","swiss-1898-F0-S022","swiss-1898-F1-S022","swiss-1898-F1-S004","swiss-1898-F1-S006"],"element_path":["swiss-1898-F0-O0021","swiss-1898-F0-O0021","swiss-1898-F0-O0012","swiss-1898-F0-O0012","swiss-1898-V01","swiss-1898-F1-O0024","swiss-1898-F1-O0024","swiss-1898-F1-O0025","swiss-1898-F1-O0025"]}</x:v>
      </x:c>
      <x:c r="O1227" s="6"/>
      <x:c r="P1227" s="6" t="str">
        <x:v>README routing profile. Stairs and lifts allowed unless stated otherwise.</x:v>
      </x:c>
      <x:c r="Q1227" s="15" t="n">
        <x:v>27.79</x:v>
      </x:c>
      <x:c r="R1227" s="6" t="str">
        <x:v>m</x:v>
      </x:c>
      <x:c r="S1227" s="16"/>
      <x:c r="T1227" s="15"/>
      <x:c r="U1227" s="6"/>
      <x:c r="V1227" s="6"/>
      <x:c r="W1227" s="6" t="str">
        <x:v>Existing find_route and show_route implement the kit routing model.</x:v>
      </x:c>
      <x:c r="X1227" s="6" t="str">
        <x:v>data/train/swiss-1898/questions_basic.jsonl</x:v>
      </x:c>
      <x:c r="Y1227" s="14" t="n">
        <x:v>4</x:v>
      </x:c>
      <x:c r="Z1227" s="6" t="str">
        <x:v>https://github.com/hagenhaeussler/Industrial-Agents-Hackathon-2026/blob/f41616590b69f3ea0c1cbfb41d6c35edd9ce53df/data/train/swiss-1898/questions_basic.jsonl#L4</x:v>
      </x:c>
      <x:c r="AA1227" s="6" t="str">
        <x:v>swiss_dwellings</x:v>
      </x:c>
      <x:c r="AB1227" s="6" t="str">
        <x:v>CC-BY-4.0</x:v>
      </x:c>
    </x:row>
    <x:row r="1228" ht="82" customHeight="1">
      <x:c r="A1228" s="14" t="n">
        <x:v>1223</x:v>
      </x:c>
      <x:c r="B1228" s="6" t="str">
        <x:v>route</x:v>
      </x:c>
      <x:c r="C1228" s="6" t="str">
        <x:v>How do I get from Bedroom 1.21 (apartment 6) (Floor 1) to Bathroom 1.15 (apartment 6) (Floor 1)?</x:v>
      </x:c>
      <x:c r="D1228" s="6" t="str">
        <x:v>8.17 m
From: Bedroom 1.21 (apartment 6)
To: Bathroom 1.15 (apartment 6)
Ordered path (3 spaces): Bedroom 1.21 (apartment 6) → Corridor 1.19 (apartment 6) → Bathroom 1.15 (apartment 6)</x:v>
      </x:c>
      <x:c r="E1228" s="6" t="str">
        <x:v>Reference supplied</x:v>
      </x:c>
      <x:c r="F1228" s="6" t="str">
        <x:v>train</x:v>
      </x:c>
      <x:c r="G1228" s="6" t="str">
        <x:v>swiss-1898</x:v>
      </x:c>
      <x:c r="H1228" s="6" t="str">
        <x:v>swiss-1898-Q05</x:v>
      </x:c>
      <x:c r="I1228" s="6" t="str">
        <x:v>Route planning</x:v>
      </x:c>
      <x:c r="J1228" s="6" t="str">
        <x:v>Warm-up</x:v>
      </x:c>
      <x:c r="K1228" s="6" t="str">
        <x:v>Ordered space path and directions, plus total route-model distance in metres.</x:v>
      </x:c>
      <x:c r="L1228" s="6" t="str">
        <x:v>T02, T05, T13</x:v>
      </x:c>
      <x:c r="M1228" s="6" t="str">
        <x:v>Find a valid route between two rooms, including across floors.</x:v>
      </x:c>
      <x:c r="N1228" s="6" t="str">
        <x:v>{"from_space_id":"swiss-1898-F1-S021","to_space_id":"swiss-1898-F1-S015","optimal_length_m":8.17,"space_path":["swiss-1898-F1-S021","swiss-1898-F1-S019","swiss-1898-F1-S015"],"element_path":["swiss-1898-F1-O0042","swiss-1898-F1-O0042","swiss-1898-F1-O0037","swiss-1898-F1-O0037"]}</x:v>
      </x:c>
      <x:c r="O1228" s="6"/>
      <x:c r="P1228" s="6" t="str">
        <x:v>README routing profile. Stairs and lifts allowed unless stated otherwise.</x:v>
      </x:c>
      <x:c r="Q1228" s="15" t="n">
        <x:v>8.17</x:v>
      </x:c>
      <x:c r="R1228" s="6" t="str">
        <x:v>m</x:v>
      </x:c>
      <x:c r="S1228" s="16"/>
      <x:c r="T1228" s="15"/>
      <x:c r="U1228" s="6"/>
      <x:c r="V1228" s="6"/>
      <x:c r="W1228" s="6" t="str">
        <x:v>Existing find_route and show_route implement the kit routing model.</x:v>
      </x:c>
      <x:c r="X1228" s="6" t="str">
        <x:v>data/train/swiss-1898/questions_basic.jsonl</x:v>
      </x:c>
      <x:c r="Y1228" s="14" t="n">
        <x:v>5</x:v>
      </x:c>
      <x:c r="Z1228" s="6" t="str">
        <x:v>https://github.com/hagenhaeussler/Industrial-Agents-Hackathon-2026/blob/f41616590b69f3ea0c1cbfb41d6c35edd9ce53df/data/train/swiss-1898/questions_basic.jsonl#L5</x:v>
      </x:c>
      <x:c r="AA1228" s="6" t="str">
        <x:v>swiss_dwellings</x:v>
      </x:c>
      <x:c r="AB1228" s="6" t="str">
        <x:v>CC-BY-4.0</x:v>
      </x:c>
    </x:row>
    <x:row r="1229" ht="96" customHeight="1">
      <x:c r="A1229" s="14" t="n">
        <x:v>1224</x:v>
      </x:c>
      <x:c r="B1229" s="6" t="str">
        <x:v>route</x:v>
      </x:c>
      <x:c r="C1229" s="6" t="str">
        <x:v>How do I get from Bedroom 0.11 (apartment 2) (Ground floor) to Kitchen 1.02 (apartment 4) (Floor 1)?</x:v>
      </x:c>
      <x:c r="D1229" s="6" t="str">
        <x:v>28.7 m
From: Bedroom 0.11 (apartment 2)
To: Kitchen 1.02 (apartment 4)
Ordered path (6 spaces): Bedroom 0.11 (apartment 2) → Corridor 0.10 (apartment 2) → Stair hall 0.22 → Stair hall 1.22 → Corridor 1.04 (apartment 4) → Kitchen 1.02 (apartment 4)</x:v>
      </x:c>
      <x:c r="E1229" s="6" t="str">
        <x:v>Reference supplied</x:v>
      </x:c>
      <x:c r="F1229" s="6" t="str">
        <x:v>train</x:v>
      </x:c>
      <x:c r="G1229" s="6" t="str">
        <x:v>swiss-1898</x:v>
      </x:c>
      <x:c r="H1229" s="6" t="str">
        <x:v>swiss-1898-Q06</x:v>
      </x:c>
      <x:c r="I1229" s="6" t="str">
        <x:v>Route planning</x:v>
      </x:c>
      <x:c r="J1229" s="6" t="str">
        <x:v>Warm-up</x:v>
      </x:c>
      <x:c r="K1229" s="6" t="str">
        <x:v>Ordered space path and directions, plus total route-model distance in metres.</x:v>
      </x:c>
      <x:c r="L1229" s="6" t="str">
        <x:v>T02, T05, T13</x:v>
      </x:c>
      <x:c r="M1229" s="6" t="str">
        <x:v>Find a valid route between two rooms, including across floors.</x:v>
      </x:c>
      <x:c r="N1229" s="6" t="str">
        <x:v>{"from_space_id":"swiss-1898-F0-S011","to_space_id":"swiss-1898-F1-S002","optimal_length_m":28.7,"space_path":["swiss-1898-F0-S011","swiss-1898-F0-S010","swiss-1898-F0-S022","swiss-1898-F1-S022","swiss-1898-F1-S004","swiss-1898-F1-S002"],"element_path":["swiss-1898-F0-O0009","swiss-1898-F0-O0009","swiss-1898-F0-O0013","swiss-1898-F0-O0013","swiss-1898-V01","swiss-1898-F1-O0024","swiss-1898-F1-O0024","swiss-1898-F1-O0023","swiss-1898-F1-O0023"]}</x:v>
      </x:c>
      <x:c r="O1229" s="6"/>
      <x:c r="P1229" s="6" t="str">
        <x:v>README routing profile. Stairs and lifts allowed unless stated otherwise.</x:v>
      </x:c>
      <x:c r="Q1229" s="15" t="n">
        <x:v>28.7</x:v>
      </x:c>
      <x:c r="R1229" s="6" t="str">
        <x:v>m</x:v>
      </x:c>
      <x:c r="S1229" s="16"/>
      <x:c r="T1229" s="15"/>
      <x:c r="U1229" s="6"/>
      <x:c r="V1229" s="6"/>
      <x:c r="W1229" s="6" t="str">
        <x:v>Existing find_route and show_route implement the kit routing model.</x:v>
      </x:c>
      <x:c r="X1229" s="6" t="str">
        <x:v>data/train/swiss-1898/questions_basic.jsonl</x:v>
      </x:c>
      <x:c r="Y1229" s="14" t="n">
        <x:v>6</x:v>
      </x:c>
      <x:c r="Z1229" s="6" t="str">
        <x:v>https://github.com/hagenhaeussler/Industrial-Agents-Hackathon-2026/blob/f41616590b69f3ea0c1cbfb41d6c35edd9ce53df/data/train/swiss-1898/questions_basic.jsonl#L6</x:v>
      </x:c>
      <x:c r="AA1229" s="6" t="str">
        <x:v>swiss_dwellings</x:v>
      </x:c>
      <x:c r="AB1229" s="6" t="str">
        <x:v>CC-BY-4.0</x:v>
      </x:c>
    </x:row>
    <x:row r="1230" ht="110" customHeight="1">
      <x:c r="A1230" s="14" t="n">
        <x:v>1225</x:v>
      </x:c>
      <x:c r="B1230" s="6" t="str">
        <x:v>route</x:v>
      </x:c>
      <x:c r="C1230" s="6" t="str">
        <x:v>How do I get from Kitchen 4.65 (apartment 59) (Floor 4) to Living room 2.05 (apartment 17) (Floor 2)?</x:v>
      </x:c>
      <x:c r="D1230" s="6" t="str">
        <x:v>90.41 m
From: Kitchen 4.65 (apartment 59)
To: Living room 2.05 (apartment 17)
Ordered path (11 spaces): Kitchen 4.65 (apartment 59) → Corridor 4.68 (apartment 59) → Stair hall 4.82 → Stair hall 3.75 → Stair hall 2.75 → Stair hall 1.75 → Landing 0.08 → Stair hall 1.74 → Stair hall 2.74 → Corridor 2.06 (apartment 17) → Living room 2.05 (apartment 17)</x:v>
      </x:c>
      <x:c r="E1230" s="6" t="str">
        <x:v>Reference supplied</x:v>
      </x:c>
      <x:c r="F1230" s="6" t="str">
        <x:v>train</x:v>
      </x:c>
      <x:c r="G1230" s="6" t="str">
        <x:v>swiss-1922</x:v>
      </x:c>
      <x:c r="H1230" s="6" t="str">
        <x:v>swiss-1922-Q03</x:v>
      </x:c>
      <x:c r="I1230" s="6" t="str">
        <x:v>Route planning</x:v>
      </x:c>
      <x:c r="J1230" s="6" t="str">
        <x:v>Warm-up</x:v>
      </x:c>
      <x:c r="K1230" s="6" t="str">
        <x:v>Ordered space path and directions, plus total route-model distance in metres.</x:v>
      </x:c>
      <x:c r="L1230" s="6" t="str">
        <x:v>T02, T05, T13</x:v>
      </x:c>
      <x:c r="M1230" s="6" t="str">
        <x:v>Find a valid route between two rooms, including across floors.</x:v>
      </x:c>
      <x:c r="N1230" s="6" t="str">
        <x:v>{"from_space_id":"swiss-1922-F4-S065","to_space_id":"swiss-1922-F2-S005","optimal_length_m":90.41,"space_path":["swiss-1922-F4-S065","swiss-1922-F4-S068","swiss-1922-F4-S082","swiss-1922-F3-S075","swiss-1922-F2-S075","swiss-1922-F1-S075","swiss-1922-F0-S008","swiss-1922-F1-S074","swiss-1922-F2-S074","swiss-1922-F2-S006","swiss-1922-F2-S005"],"element_path":["swiss-1922-F4-O0292","swiss-1922-F4-O0292","swiss-1922-F4-O0291","swiss-1922-F4-O0291","swiss-1922-V14","swiss-1922-V11","swiss-1922-V08","swiss-1922-V05","swiss-1922-V04","swiss-1922-V07","swiss-1922-F2-O0083","swiss-1922-F2-O0083","swiss-1922-F2-O0138","swiss-1922-F2-O0138"]}</x:v>
      </x:c>
      <x:c r="O1230" s="6"/>
      <x:c r="P1230" s="6" t="str">
        <x:v>README routing profile. Stairs and lifts allowed unless stated otherwise.</x:v>
      </x:c>
      <x:c r="Q1230" s="15" t="n">
        <x:v>90.41</x:v>
      </x:c>
      <x:c r="R1230" s="6" t="str">
        <x:v>m</x:v>
      </x:c>
      <x:c r="S1230" s="16"/>
      <x:c r="T1230" s="15"/>
      <x:c r="U1230" s="6"/>
      <x:c r="V1230" s="6"/>
      <x:c r="W1230" s="6" t="str">
        <x:v>Existing find_route and show_route implement the kit routing model.</x:v>
      </x:c>
      <x:c r="X1230" s="6" t="str">
        <x:v>data/train/swiss-1922/questions_basic.jsonl</x:v>
      </x:c>
      <x:c r="Y1230" s="14" t="n">
        <x:v>3</x:v>
      </x:c>
      <x:c r="Z1230" s="6" t="str">
        <x:v>https://github.com/hagenhaeussler/Industrial-Agents-Hackathon-2026/blob/f41616590b69f3ea0c1cbfb41d6c35edd9ce53df/data/train/swiss-1922/questions_basic.jsonl#L3</x:v>
      </x:c>
      <x:c r="AA1230" s="6" t="str">
        <x:v>swiss_dwellings</x:v>
      </x:c>
      <x:c r="AB1230" s="6" t="str">
        <x:v>CC-BY-4.0</x:v>
      </x:c>
    </x:row>
    <x:row r="1231" ht="96" customHeight="1">
      <x:c r="A1231" s="14" t="n">
        <x:v>1226</x:v>
      </x:c>
      <x:c r="B1231" s="6" t="str">
        <x:v>route</x:v>
      </x:c>
      <x:c r="C1231" s="6" t="str">
        <x:v>How do I get from Kitchen 2.13 (apartment 19) (Floor 2) to Kitchen 1.72 (apartment 16) (Floor 1)?</x:v>
      </x:c>
      <x:c r="D1231" s="6" t="str">
        <x:v>55.71 m
From: Kitchen 2.13 (apartment 19)
To: Kitchen 1.72 (apartment 16)
Ordered path (8 spaces): Kitchen 2.13 (apartment 19) → Corridor 2.17 (apartment 19) → Stair hall 2.75 → Stair hall 1.75 → Landing 0.08 → Stair hall 1.74 → Bedroom 1.70 (apartment 16) → Kitchen 1.72 (apartment 16)</x:v>
      </x:c>
      <x:c r="E1231" s="6" t="str">
        <x:v>Reference supplied</x:v>
      </x:c>
      <x:c r="F1231" s="6" t="str">
        <x:v>train</x:v>
      </x:c>
      <x:c r="G1231" s="6" t="str">
        <x:v>swiss-1922</x:v>
      </x:c>
      <x:c r="H1231" s="6" t="str">
        <x:v>swiss-1922-Q04</x:v>
      </x:c>
      <x:c r="I1231" s="6" t="str">
        <x:v>Route planning</x:v>
      </x:c>
      <x:c r="J1231" s="6" t="str">
        <x:v>Warm-up</x:v>
      </x:c>
      <x:c r="K1231" s="6" t="str">
        <x:v>Ordered space path and directions, plus total route-model distance in metres.</x:v>
      </x:c>
      <x:c r="L1231" s="6" t="str">
        <x:v>T02, T05, T13</x:v>
      </x:c>
      <x:c r="M1231" s="6" t="str">
        <x:v>Find a valid route between two rooms, including across floors.</x:v>
      </x:c>
      <x:c r="N1231" s="6" t="str">
        <x:v>{"from_space_id":"swiss-1922-F2-S013","to_space_id":"swiss-1922-F1-S072","optimal_length_m":55.71,"space_path":["swiss-1922-F2-S013","swiss-1922-F2-S017","swiss-1922-F2-S075","swiss-1922-F1-S075","swiss-1922-F0-S008","swiss-1922-F1-S074","swiss-1922-F1-S070","swiss-1922-F1-S072"],"element_path":["swiss-1922-F2-O0094","swiss-1922-F2-O0094","swiss-1922-F2-O0095","swiss-1922-F2-O0095","swiss-1922-V08","swiss-1922-V05","swiss-1922-V04","swiss-1922-F1-O0018","swiss-1922-F1-O0018","swiss-1922-F1-O0078","swiss-1922-F1-O0078"]}</x:v>
      </x:c>
      <x:c r="O1231" s="6"/>
      <x:c r="P1231" s="6" t="str">
        <x:v>README routing profile. Stairs and lifts allowed unless stated otherwise.</x:v>
      </x:c>
      <x:c r="Q1231" s="15" t="n">
        <x:v>55.71</x:v>
      </x:c>
      <x:c r="R1231" s="6" t="str">
        <x:v>m</x:v>
      </x:c>
      <x:c r="S1231" s="16"/>
      <x:c r="T1231" s="15"/>
      <x:c r="U1231" s="6"/>
      <x:c r="V1231" s="6"/>
      <x:c r="W1231" s="6" t="str">
        <x:v>Existing find_route and show_route implement the kit routing model.</x:v>
      </x:c>
      <x:c r="X1231" s="6" t="str">
        <x:v>data/train/swiss-1922/questions_basic.jsonl</x:v>
      </x:c>
      <x:c r="Y1231" s="14" t="n">
        <x:v>4</x:v>
      </x:c>
      <x:c r="Z1231" s="6" t="str">
        <x:v>https://github.com/hagenhaeussler/Industrial-Agents-Hackathon-2026/blob/f41616590b69f3ea0c1cbfb41d6c35edd9ce53df/data/train/swiss-1922/questions_basic.jsonl#L4</x:v>
      </x:c>
      <x:c r="AA1231" s="6" t="str">
        <x:v>swiss_dwellings</x:v>
      </x:c>
      <x:c r="AB1231" s="6" t="str">
        <x:v>CC-BY-4.0</x:v>
      </x:c>
    </x:row>
    <x:row r="1232" ht="110" customHeight="1">
      <x:c r="A1232" s="14" t="n">
        <x:v>1227</x:v>
      </x:c>
      <x:c r="B1232" s="6" t="str">
        <x:v>route</x:v>
      </x:c>
      <x:c r="C1232" s="6" t="str">
        <x:v>How do I get from Kitchen 2.67 (apartment 30) (Floor 2) to Bathroom 2.60 (apartment 27) (Floor 2)?</x:v>
      </x:c>
      <x:c r="D1232" s="6" t="str">
        <x:v>64.94 m
From: Kitchen 2.67 (apartment 30)
To: Bathroom 2.60 (apartment 27)
Ordered path (9 spaces): Kitchen 2.67 (apartment 30) → Bedroom 2.68 (apartment 30) → Stair hall 2.73 → Stair hall 1.73 → Landing 0.08 → Stair hall 1.75 → Stair hall 2.75 → Corridor 2.57 (apartment 27) → Bathroom 2.60 (apartment 27)</x:v>
      </x:c>
      <x:c r="E1232" s="6" t="str">
        <x:v>Reference supplied</x:v>
      </x:c>
      <x:c r="F1232" s="6" t="str">
        <x:v>train</x:v>
      </x:c>
      <x:c r="G1232" s="6" t="str">
        <x:v>swiss-1922</x:v>
      </x:c>
      <x:c r="H1232" s="6" t="str">
        <x:v>swiss-1922-Q05</x:v>
      </x:c>
      <x:c r="I1232" s="6" t="str">
        <x:v>Route planning</x:v>
      </x:c>
      <x:c r="J1232" s="6" t="str">
        <x:v>Warm-up</x:v>
      </x:c>
      <x:c r="K1232" s="6" t="str">
        <x:v>Ordered space path and directions, plus total route-model distance in metres.</x:v>
      </x:c>
      <x:c r="L1232" s="6" t="str">
        <x:v>T02, T05, T13</x:v>
      </x:c>
      <x:c r="M1232" s="6" t="str">
        <x:v>Find a valid route between two rooms, including across floors.</x:v>
      </x:c>
      <x:c r="N1232" s="6" t="str">
        <x:v>{"from_space_id":"swiss-1922-F2-S067","to_space_id":"swiss-1922-F2-S060","optimal_length_m":64.94,"space_path":["swiss-1922-F2-S067","swiss-1922-F2-S068","swiss-1922-F2-S073","swiss-1922-F1-S073","swiss-1922-F0-S008","swiss-1922-F1-S075","swiss-1922-F2-S075","swiss-1922-F2-S057","swiss-1922-F2-S060"],"element_path":["swiss-1922-F2-O0148","swiss-1922-F2-O0148","swiss-1922-F2-O0136","swiss-1922-F2-O0136","swiss-1922-V06","swiss-1922-V03","swiss-1922-V05","swiss-1922-V08","swiss-1922-F2-O0130","swiss-1922-F2-O0130","swiss-1922-F2-O0131","swiss-1922-F2-O0131"]}</x:v>
      </x:c>
      <x:c r="O1232" s="6"/>
      <x:c r="P1232" s="6" t="str">
        <x:v>README routing profile. Stairs and lifts allowed unless stated otherwise.</x:v>
      </x:c>
      <x:c r="Q1232" s="15" t="n">
        <x:v>64.94</x:v>
      </x:c>
      <x:c r="R1232" s="6" t="str">
        <x:v>m</x:v>
      </x:c>
      <x:c r="S1232" s="16"/>
      <x:c r="T1232" s="15"/>
      <x:c r="U1232" s="6"/>
      <x:c r="V1232" s="6"/>
      <x:c r="W1232" s="6" t="str">
        <x:v>Existing find_route and show_route implement the kit routing model.</x:v>
      </x:c>
      <x:c r="X1232" s="6" t="str">
        <x:v>data/train/swiss-1922/questions_basic.jsonl</x:v>
      </x:c>
      <x:c r="Y1232" s="14" t="n">
        <x:v>5</x:v>
      </x:c>
      <x:c r="Z1232" s="6" t="str">
        <x:v>https://github.com/hagenhaeussler/Industrial-Agents-Hackathon-2026/blob/f41616590b69f3ea0c1cbfb41d6c35edd9ce53df/data/train/swiss-1922/questions_basic.jsonl#L5</x:v>
      </x:c>
      <x:c r="AA1232" s="6" t="str">
        <x:v>swiss_dwellings</x:v>
      </x:c>
      <x:c r="AB1232" s="6" t="str">
        <x:v>CC-BY-4.0</x:v>
      </x:c>
    </x:row>
    <x:row r="1233" ht="96" customHeight="1">
      <x:c r="A1233" s="14" t="n">
        <x:v>1228</x:v>
      </x:c>
      <x:c r="B1233" s="6" t="str">
        <x:v>route</x:v>
      </x:c>
      <x:c r="C1233" s="6" t="str">
        <x:v>How do I get from Bedroom 0.07 (apartment 1) (Ground floor) to Kitchen 2.12 (apartment 6) (Floor 2)?</x:v>
      </x:c>
      <x:c r="D1233" s="6" t="str">
        <x:v>47.18 m
From: Bedroom 0.07 (apartment 1)
To: Kitchen 2.12 (apartment 6)
Ordered path (7 spaces): Bedroom 0.07 (apartment 1) → Corridor 0.03 (apartment 1) → Stair hall 0.16 → Stair hall 1.16 → Stair hall 2.16 → Corridor 2.14 (apartment 6) → Kitchen 2.12 (apartment 6)</x:v>
      </x:c>
      <x:c r="E1233" s="6" t="str">
        <x:v>Reference supplied</x:v>
      </x:c>
      <x:c r="F1233" s="6" t="str">
        <x:v>train</x:v>
      </x:c>
      <x:c r="G1233" s="6" t="str">
        <x:v>swiss-1928</x:v>
      </x:c>
      <x:c r="H1233" s="6" t="str">
        <x:v>swiss-1928-Q05</x:v>
      </x:c>
      <x:c r="I1233" s="6" t="str">
        <x:v>Route planning</x:v>
      </x:c>
      <x:c r="J1233" s="6" t="str">
        <x:v>Warm-up</x:v>
      </x:c>
      <x:c r="K1233" s="6" t="str">
        <x:v>Ordered space path and directions, plus total route-model distance in metres.</x:v>
      </x:c>
      <x:c r="L1233" s="6" t="str">
        <x:v>T02, T05, T13</x:v>
      </x:c>
      <x:c r="M1233" s="6" t="str">
        <x:v>Find a valid route between two rooms, including across floors.</x:v>
      </x:c>
      <x:c r="N1233" s="6" t="str">
        <x:v>{"from_space_id":"swiss-1928-F0-S007","to_space_id":"swiss-1928-F2-S012","optimal_length_m":47.18,"space_path":["swiss-1928-F0-S007","swiss-1928-F0-S003","swiss-1928-F0-S016","swiss-1928-F1-S016","swiss-1928-F2-S016","swiss-1928-F2-S014","swiss-1928-F2-S012"],"element_path":["swiss-1928-F0-O0006","swiss-1928-F0-O0006","swiss-1928-F0-O0004","swiss-1928-F0-O0004","swiss-1928-V01","swiss-1928-V01","swiss-1928-F2-O0044","swiss-1928-F2-O0044","swiss-1928-F2-O0039","swiss-1928-F2-O0039"]}</x:v>
      </x:c>
      <x:c r="O1233" s="6"/>
      <x:c r="P1233" s="6" t="str">
        <x:v>README routing profile. Stairs and lifts allowed unless stated otherwise.</x:v>
      </x:c>
      <x:c r="Q1233" s="15" t="n">
        <x:v>47.18</x:v>
      </x:c>
      <x:c r="R1233" s="6" t="str">
        <x:v>m</x:v>
      </x:c>
      <x:c r="S1233" s="16"/>
      <x:c r="T1233" s="15"/>
      <x:c r="U1233" s="6"/>
      <x:c r="V1233" s="6"/>
      <x:c r="W1233" s="6" t="str">
        <x:v>Existing find_route and show_route implement the kit routing model.</x:v>
      </x:c>
      <x:c r="X1233" s="6" t="str">
        <x:v>data/train/swiss-1928/questions_basic.jsonl</x:v>
      </x:c>
      <x:c r="Y1233" s="14" t="n">
        <x:v>5</x:v>
      </x:c>
      <x:c r="Z1233" s="6" t="str">
        <x:v>https://github.com/hagenhaeussler/Industrial-Agents-Hackathon-2026/blob/f41616590b69f3ea0c1cbfb41d6c35edd9ce53df/data/train/swiss-1928/questions_basic.jsonl#L5</x:v>
      </x:c>
      <x:c r="AA1233" s="6" t="str">
        <x:v>swiss_dwellings</x:v>
      </x:c>
      <x:c r="AB1233" s="6" t="str">
        <x:v>CC-BY-4.0</x:v>
      </x:c>
    </x:row>
    <x:row r="1234" ht="96" customHeight="1">
      <x:c r="A1234" s="14" t="n">
        <x:v>1229</x:v>
      </x:c>
      <x:c r="B1234" s="6" t="str">
        <x:v>route</x:v>
      </x:c>
      <x:c r="C1234" s="6" t="str">
        <x:v>How do I get from Living room 1.14 (apartment 4) (Floor 1) to Bedroom 2.06 (apartment 5) (Floor 2)?</x:v>
      </x:c>
      <x:c r="D1234" s="6" t="str">
        <x:v>32.44 m
From: Living room 1.14 (apartment 4)
To: Bedroom 2.06 (apartment 5)
Ordered path (6 spaces): Living room 1.14 (apartment 4) → Corridor 1.11 (apartment 4) → Stair hall 1.16 → Stair hall 2.16 → Corridor 2.07 (apartment 5) → Bedroom 2.06 (apartment 5)</x:v>
      </x:c>
      <x:c r="E1234" s="6" t="str">
        <x:v>Reference supplied</x:v>
      </x:c>
      <x:c r="F1234" s="6" t="str">
        <x:v>train</x:v>
      </x:c>
      <x:c r="G1234" s="6" t="str">
        <x:v>swiss-1928</x:v>
      </x:c>
      <x:c r="H1234" s="6" t="str">
        <x:v>swiss-1928-Q06</x:v>
      </x:c>
      <x:c r="I1234" s="6" t="str">
        <x:v>Route planning</x:v>
      </x:c>
      <x:c r="J1234" s="6" t="str">
        <x:v>Warm-up</x:v>
      </x:c>
      <x:c r="K1234" s="6" t="str">
        <x:v>Ordered space path and directions, plus total route-model distance in metres.</x:v>
      </x:c>
      <x:c r="L1234" s="6" t="str">
        <x:v>T02, T05, T13</x:v>
      </x:c>
      <x:c r="M1234" s="6" t="str">
        <x:v>Find a valid route between two rooms, including across floors.</x:v>
      </x:c>
      <x:c r="N1234" s="6" t="str">
        <x:v>{"from_space_id":"swiss-1928-F1-S014","to_space_id":"swiss-1928-F2-S006","optimal_length_m":32.44,"space_path":["swiss-1928-F1-S014","swiss-1928-F1-S011","swiss-1928-F1-S016","swiss-1928-F2-S016","swiss-1928-F2-S007","swiss-1928-F2-S006"],"element_path":["swiss-1928-F1-O0028","swiss-1928-F1-O0028","swiss-1928-F1-O0025","swiss-1928-F1-O0025","swiss-1928-V01","swiss-1928-F2-O0034","swiss-1928-F2-O0034","swiss-1928-F2-O0031","swiss-1928-F2-O0031"]}</x:v>
      </x:c>
      <x:c r="O1234" s="6"/>
      <x:c r="P1234" s="6" t="str">
        <x:v>README routing profile. Stairs and lifts allowed unless stated otherwise.</x:v>
      </x:c>
      <x:c r="Q1234" s="15" t="n">
        <x:v>32.44</x:v>
      </x:c>
      <x:c r="R1234" s="6" t="str">
        <x:v>m</x:v>
      </x:c>
      <x:c r="S1234" s="16"/>
      <x:c r="T1234" s="15"/>
      <x:c r="U1234" s="6"/>
      <x:c r="V1234" s="6"/>
      <x:c r="W1234" s="6" t="str">
        <x:v>Existing find_route and show_route implement the kit routing model.</x:v>
      </x:c>
      <x:c r="X1234" s="6" t="str">
        <x:v>data/train/swiss-1928/questions_basic.jsonl</x:v>
      </x:c>
      <x:c r="Y1234" s="14" t="n">
        <x:v>6</x:v>
      </x:c>
      <x:c r="Z1234" s="6" t="str">
        <x:v>https://github.com/hagenhaeussler/Industrial-Agents-Hackathon-2026/blob/f41616590b69f3ea0c1cbfb41d6c35edd9ce53df/data/train/swiss-1928/questions_basic.jsonl#L6</x:v>
      </x:c>
      <x:c r="AA1234" s="6" t="str">
        <x:v>swiss_dwellings</x:v>
      </x:c>
      <x:c r="AB1234" s="6" t="str">
        <x:v>CC-BY-4.0</x:v>
      </x:c>
    </x:row>
    <x:row r="1235" ht="96" customHeight="1">
      <x:c r="A1235" s="14" t="n">
        <x:v>1230</x:v>
      </x:c>
      <x:c r="B1235" s="6" t="str">
        <x:v>route</x:v>
      </x:c>
      <x:c r="C1235" s="6" t="str">
        <x:v>How do I get from Living room 2.01 (apartment 5) (Floor 2) to Living room 2.10 (apartment 6) (Floor 2)?</x:v>
      </x:c>
      <x:c r="D1235" s="6" t="str">
        <x:v>24.74 m
From: Living room 2.01 (apartment 5)
To: Living room 2.10 (apartment 6)
Ordered path (5 spaces): Living room 2.01 (apartment 5) → Corridor 2.07 (apartment 5) → Stair hall 2.16 → Corridor 2.14 (apartment 6) → Living room 2.10 (apartment 6)</x:v>
      </x:c>
      <x:c r="E1235" s="6" t="str">
        <x:v>Reference supplied</x:v>
      </x:c>
      <x:c r="F1235" s="6" t="str">
        <x:v>train</x:v>
      </x:c>
      <x:c r="G1235" s="6" t="str">
        <x:v>swiss-1928</x:v>
      </x:c>
      <x:c r="H1235" s="6" t="str">
        <x:v>swiss-1928-Q07</x:v>
      </x:c>
      <x:c r="I1235" s="6" t="str">
        <x:v>Route planning</x:v>
      </x:c>
      <x:c r="J1235" s="6" t="str">
        <x:v>Warm-up</x:v>
      </x:c>
      <x:c r="K1235" s="6" t="str">
        <x:v>Ordered space path and directions, plus total route-model distance in metres.</x:v>
      </x:c>
      <x:c r="L1235" s="6" t="str">
        <x:v>T02, T05, T13</x:v>
      </x:c>
      <x:c r="M1235" s="6" t="str">
        <x:v>Find a valid route between two rooms, including across floors.</x:v>
      </x:c>
      <x:c r="N1235" s="6" t="str">
        <x:v>{"from_space_id":"swiss-1928-F2-S001","to_space_id":"swiss-1928-F2-S010","optimal_length_m":24.74,"space_path":["swiss-1928-F2-S001","swiss-1928-F2-S007","swiss-1928-F2-S016","swiss-1928-F2-S014","swiss-1928-F2-S010"],"element_path":["swiss-1928-F2-O0035","swiss-1928-F2-O0035","swiss-1928-F2-O0034","swiss-1928-F2-O0034","swiss-1928-F2-O0044","swiss-1928-F2-O0044","swiss-1928-F2-O0042","swiss-1928-F2-O0042"]}</x:v>
      </x:c>
      <x:c r="O1235" s="6"/>
      <x:c r="P1235" s="6" t="str">
        <x:v>README routing profile. Stairs and lifts allowed unless stated otherwise.</x:v>
      </x:c>
      <x:c r="Q1235" s="15" t="n">
        <x:v>24.74</x:v>
      </x:c>
      <x:c r="R1235" s="6" t="str">
        <x:v>m</x:v>
      </x:c>
      <x:c r="S1235" s="16"/>
      <x:c r="T1235" s="15"/>
      <x:c r="U1235" s="6"/>
      <x:c r="V1235" s="6"/>
      <x:c r="W1235" s="6" t="str">
        <x:v>Existing find_route and show_route implement the kit routing model.</x:v>
      </x:c>
      <x:c r="X1235" s="6" t="str">
        <x:v>data/train/swiss-1928/questions_basic.jsonl</x:v>
      </x:c>
      <x:c r="Y1235" s="14" t="n">
        <x:v>7</x:v>
      </x:c>
      <x:c r="Z1235" s="6" t="str">
        <x:v>https://github.com/hagenhaeussler/Industrial-Agents-Hackathon-2026/blob/f41616590b69f3ea0c1cbfb41d6c35edd9ce53df/data/train/swiss-1928/questions_basic.jsonl#L7</x:v>
      </x:c>
      <x:c r="AA1235" s="6" t="str">
        <x:v>swiss_dwellings</x:v>
      </x:c>
      <x:c r="AB1235" s="6" t="str">
        <x:v>CC-BY-4.0</x:v>
      </x:c>
    </x:row>
    <x:row r="1236" ht="110" customHeight="1">
      <x:c r="A1236" s="14" t="n">
        <x:v>1231</x:v>
      </x:c>
      <x:c r="B1236" s="6" t="str">
        <x:v>route</x:v>
      </x:c>
      <x:c r="C1236" s="6" t="str">
        <x:v>How do I get from Kitchen 2.12 (apartment 6) (Floor 2) to Bedroom 0.11 (apartment 2) (Ground floor)?</x:v>
      </x:c>
      <x:c r="D1236" s="6" t="str">
        <x:v>42.87 m
From: Kitchen 2.12 (apartment 6)
To: Bedroom 0.11 (apartment 2)
Ordered path (9 spaces): Kitchen 2.12 (apartment 6) → Corridor 2.15 (apartment 6) → Landing 2.20 → Landing 1.20 → Landing 0.19 → outside → Landing 0.20 → Corridor 0.10 (apartment 2) → Bedroom 0.11 (apartment 2)</x:v>
      </x:c>
      <x:c r="E1236" s="6" t="str">
        <x:v>Reference supplied</x:v>
      </x:c>
      <x:c r="F1236" s="6" t="str">
        <x:v>train</x:v>
      </x:c>
      <x:c r="G1236" s="6" t="str">
        <x:v>swiss-1936</x:v>
      </x:c>
      <x:c r="H1236" s="6" t="str">
        <x:v>swiss-1936-Q03</x:v>
      </x:c>
      <x:c r="I1236" s="6" t="str">
        <x:v>Route planning</x:v>
      </x:c>
      <x:c r="J1236" s="6" t="str">
        <x:v>Warm-up</x:v>
      </x:c>
      <x:c r="K1236" s="6" t="str">
        <x:v>Ordered space path and directions, plus total route-model distance in metres.</x:v>
      </x:c>
      <x:c r="L1236" s="6" t="str">
        <x:v>T02, T05, T13</x:v>
      </x:c>
      <x:c r="M1236" s="6" t="str">
        <x:v>Find a valid route between two rooms, including across floors.</x:v>
      </x:c>
      <x:c r="N1236" s="6" t="str">
        <x:v>{"from_space_id":"swiss-1936-F2-S012","to_space_id":"swiss-1936-F0-S011","optimal_length_m":42.87,"space_path":["swiss-1936-F2-S012","swiss-1936-F2-S015","swiss-1936-F2-S020","swiss-1936-F1-S020","swiss-1936-F0-S019","outside","swiss-1936-F0-S020","swiss-1936-F0-S010","swiss-1936-F0-S011"],"element_path":["swiss-1936-F2-O0054","swiss-1936-F2-O0054","swiss-1936-F2-O0049","swiss-1936-F2-O0049","swiss-1936-V01","swiss-1936-V01","swiss-1936-F0-O0080","swiss-1936-F0-O0080","swiss-1936-F0-O0081","swiss-1936-F0-O0081","swiss-1936-F0-O0012","swiss-1936-F0-O0012","swiss-1936-F0-O0016","swiss-1936-F0-O0016"]}</x:v>
      </x:c>
      <x:c r="O1236" s="6"/>
      <x:c r="P1236" s="6" t="str">
        <x:v>README routing profile. Stairs and lifts allowed unless stated otherwise.</x:v>
      </x:c>
      <x:c r="Q1236" s="15" t="n">
        <x:v>42.87</x:v>
      </x:c>
      <x:c r="R1236" s="6" t="str">
        <x:v>m</x:v>
      </x:c>
      <x:c r="S1236" s="16"/>
      <x:c r="T1236" s="15"/>
      <x:c r="U1236" s="6"/>
      <x:c r="V1236" s="6"/>
      <x:c r="W1236" s="6" t="str">
        <x:v>Existing find_route and show_route implement the kit routing model.</x:v>
      </x:c>
      <x:c r="X1236" s="6" t="str">
        <x:v>data/train/swiss-1936/questions_basic.jsonl</x:v>
      </x:c>
      <x:c r="Y1236" s="14" t="n">
        <x:v>3</x:v>
      </x:c>
      <x:c r="Z1236" s="6" t="str">
        <x:v>https://github.com/hagenhaeussler/Industrial-Agents-Hackathon-2026/blob/f41616590b69f3ea0c1cbfb41d6c35edd9ce53df/data/train/swiss-1936/questions_basic.jsonl#L3</x:v>
      </x:c>
      <x:c r="AA1236" s="6" t="str">
        <x:v>swiss_dwellings</x:v>
      </x:c>
      <x:c r="AB1236" s="6" t="str">
        <x:v>CC-BY-4.0</x:v>
      </x:c>
    </x:row>
    <x:row r="1237" ht="96" customHeight="1">
      <x:c r="A1237" s="14" t="n">
        <x:v>1232</x:v>
      </x:c>
      <x:c r="B1237" s="6" t="str">
        <x:v>route</x:v>
      </x:c>
      <x:c r="C1237" s="6" t="str">
        <x:v>How do I get from Bedroom 1.06 (apartment 3) (Floor 1) to Bedroom 0.14 (apartment 2) (Ground floor)?</x:v>
      </x:c>
      <x:c r="D1237" s="6" t="str">
        <x:v>29.13 m
From: Bedroom 1.06 (apartment 3)
To: Bedroom 0.14 (apartment 2)
Ordered path (6 spaces): Bedroom 1.06 (apartment 3) → Corridor 1.01 (apartment 3) → Landing 1.19 → Landing 0.20 → Corridor 0.10 (apartment 2) → Bedroom 0.14 (apartment 2)</x:v>
      </x:c>
      <x:c r="E1237" s="6" t="str">
        <x:v>Reference supplied</x:v>
      </x:c>
      <x:c r="F1237" s="6" t="str">
        <x:v>train</x:v>
      </x:c>
      <x:c r="G1237" s="6" t="str">
        <x:v>swiss-1936</x:v>
      </x:c>
      <x:c r="H1237" s="6" t="str">
        <x:v>swiss-1936-Q04</x:v>
      </x:c>
      <x:c r="I1237" s="6" t="str">
        <x:v>Route planning</x:v>
      </x:c>
      <x:c r="J1237" s="6" t="str">
        <x:v>Warm-up</x:v>
      </x:c>
      <x:c r="K1237" s="6" t="str">
        <x:v>Ordered space path and directions, plus total route-model distance in metres.</x:v>
      </x:c>
      <x:c r="L1237" s="6" t="str">
        <x:v>T02, T05, T13</x:v>
      </x:c>
      <x:c r="M1237" s="6" t="str">
        <x:v>Find a valid route between two rooms, including across floors.</x:v>
      </x:c>
      <x:c r="N1237" s="6" t="str">
        <x:v>{"from_space_id":"swiss-1936-F1-S006","to_space_id":"swiss-1936-F0-S014","optimal_length_m":29.13,"space_path":["swiss-1936-F1-S006","swiss-1936-F1-S001","swiss-1936-F1-S019","swiss-1936-F0-S020","swiss-1936-F0-S010","swiss-1936-F0-S014"],"element_path":["swiss-1936-F1-O0026","swiss-1936-F1-O0026","swiss-1936-F1-O0022","swiss-1936-F1-O0022","swiss-1936-V03","swiss-1936-F0-O0012","swiss-1936-F0-O0012","swiss-1936-F0-O0017","swiss-1936-F0-O0017"]}</x:v>
      </x:c>
      <x:c r="O1237" s="6"/>
      <x:c r="P1237" s="6" t="str">
        <x:v>README routing profile. Stairs and lifts allowed unless stated otherwise.</x:v>
      </x:c>
      <x:c r="Q1237" s="15" t="n">
        <x:v>29.13</x:v>
      </x:c>
      <x:c r="R1237" s="6" t="str">
        <x:v>m</x:v>
      </x:c>
      <x:c r="S1237" s="16"/>
      <x:c r="T1237" s="15"/>
      <x:c r="U1237" s="6"/>
      <x:c r="V1237" s="6"/>
      <x:c r="W1237" s="6" t="str">
        <x:v>Existing find_route and show_route implement the kit routing model.</x:v>
      </x:c>
      <x:c r="X1237" s="6" t="str">
        <x:v>data/train/swiss-1936/questions_basic.jsonl</x:v>
      </x:c>
      <x:c r="Y1237" s="14" t="n">
        <x:v>4</x:v>
      </x:c>
      <x:c r="Z1237" s="6" t="str">
        <x:v>https://github.com/hagenhaeussler/Industrial-Agents-Hackathon-2026/blob/f41616590b69f3ea0c1cbfb41d6c35edd9ce53df/data/train/swiss-1936/questions_basic.jsonl#L4</x:v>
      </x:c>
      <x:c r="AA1237" s="6" t="str">
        <x:v>swiss_dwellings</x:v>
      </x:c>
      <x:c r="AB1237" s="6" t="str">
        <x:v>CC-BY-4.0</x:v>
      </x:c>
    </x:row>
    <x:row r="1238" ht="110" customHeight="1">
      <x:c r="A1238" s="14" t="n">
        <x:v>1233</x:v>
      </x:c>
      <x:c r="B1238" s="6" t="str">
        <x:v>route</x:v>
      </x:c>
      <x:c r="C1238" s="6" t="str">
        <x:v>How do I get from Living room 1.05 (apartment 3) (Floor 1) to Storage 3.14 (apartment 8) (Floor 3)?</x:v>
      </x:c>
      <x:c r="D1238" s="6" t="str">
        <x:v>48.43 m
From: Living room 1.05 (apartment 3)
To: Storage 3.14 (apartment 8)
Ordered path (9 spaces): Living room 1.05 (apartment 3) → Corridor 1.01 (apartment 3) → Landing 1.19 → Landing 1.20 → Landing 2.20 → Stair hall 3.21 → Corridor 3.18 (apartment 8) → Living room 3.12 (apartment 8) → Storage 3.14 (apartment 8)</x:v>
      </x:c>
      <x:c r="E1238" s="6" t="str">
        <x:v>Reference supplied</x:v>
      </x:c>
      <x:c r="F1238" s="6" t="str">
        <x:v>train</x:v>
      </x:c>
      <x:c r="G1238" s="6" t="str">
        <x:v>swiss-1936</x:v>
      </x:c>
      <x:c r="H1238" s="6" t="str">
        <x:v>swiss-1936-Q05</x:v>
      </x:c>
      <x:c r="I1238" s="6" t="str">
        <x:v>Route planning</x:v>
      </x:c>
      <x:c r="J1238" s="6" t="str">
        <x:v>Warm-up</x:v>
      </x:c>
      <x:c r="K1238" s="6" t="str">
        <x:v>Ordered space path and directions, plus total route-model distance in metres.</x:v>
      </x:c>
      <x:c r="L1238" s="6" t="str">
        <x:v>T02, T05, T13</x:v>
      </x:c>
      <x:c r="M1238" s="6" t="str">
        <x:v>Find a valid route between two rooms, including across floors.</x:v>
      </x:c>
      <x:c r="N1238" s="6" t="str">
        <x:v>{"from_space_id":"swiss-1936-F1-S005","to_space_id":"swiss-1936-F3-S014","optimal_length_m":48.43,"space_path":["swiss-1936-F1-S005","swiss-1936-F1-S001","swiss-1936-F1-S019","swiss-1936-F1-S020","swiss-1936-F2-S020","swiss-1936-F3-S021","swiss-1936-F3-S018","swiss-1936-F3-S012","swiss-1936-F3-S014"],"element_path":["swiss-1936-F1-O0029","swiss-1936-F1-O0029","swiss-1936-F1-O0022","swiss-1936-F1-O0022","swiss-1936-F1-O0020","swiss-1936-F1-O0020","swiss-1936-V01","swiss-1936-V01","swiss-1936-F3-O0067","swiss-1936-F3-O0067","swiss-1936-F3-O0079","swiss-1936-F3-O0079","swiss-1936-F3-O0071","swiss-1936-F3-O0071"]}</x:v>
      </x:c>
      <x:c r="O1238" s="6"/>
      <x:c r="P1238" s="6" t="str">
        <x:v>README routing profile. Stairs and lifts allowed unless stated otherwise.</x:v>
      </x:c>
      <x:c r="Q1238" s="15" t="n">
        <x:v>48.43</x:v>
      </x:c>
      <x:c r="R1238" s="6" t="str">
        <x:v>m</x:v>
      </x:c>
      <x:c r="S1238" s="16"/>
      <x:c r="T1238" s="15"/>
      <x:c r="U1238" s="6"/>
      <x:c r="V1238" s="6"/>
      <x:c r="W1238" s="6" t="str">
        <x:v>Existing find_route and show_route implement the kit routing model.</x:v>
      </x:c>
      <x:c r="X1238" s="6" t="str">
        <x:v>data/train/swiss-1936/questions_basic.jsonl</x:v>
      </x:c>
      <x:c r="Y1238" s="14" t="n">
        <x:v>5</x:v>
      </x:c>
      <x:c r="Z1238" s="6" t="str">
        <x:v>https://github.com/hagenhaeussler/Industrial-Agents-Hackathon-2026/blob/f41616590b69f3ea0c1cbfb41d6c35edd9ce53df/data/train/swiss-1936/questions_basic.jsonl#L5</x:v>
      </x:c>
      <x:c r="AA1238" s="6" t="str">
        <x:v>swiss_dwellings</x:v>
      </x:c>
      <x:c r="AB1238" s="6" t="str">
        <x:v>CC-BY-4.0</x:v>
      </x:c>
    </x:row>
    <x:row r="1239" ht="110" customHeight="1">
      <x:c r="A1239" s="14" t="n">
        <x:v>1234</x:v>
      </x:c>
      <x:c r="B1239" s="6" t="str">
        <x:v>route</x:v>
      </x:c>
      <x:c r="C1239" s="6" t="str">
        <x:v>How do I get from Bedroom 0.21 (apartment 4) (Ground floor) to Bedroom 3.22 (apartment 16) (Floor 3)?</x:v>
      </x:c>
      <x:c r="D1239" s="6" t="str">
        <x:v>58.72 m
From: Bedroom 0.21 (apartment 4)
To: Bedroom 3.22 (apartment 16)
Ordered path (8 spaces): Bedroom 0.21 (apartment 4) → Corridor 0.24 (apartment 4) → Stair hall 0.26 → Stair hall 1.27 → Stair hall 2.27 → Stair hall 3.27 → Corridor 3.21 (apartment 16) → Bedroom 3.22 (apartment 16)</x:v>
      </x:c>
      <x:c r="E1239" s="6" t="str">
        <x:v>Reference supplied</x:v>
      </x:c>
      <x:c r="F1239" s="6" t="str">
        <x:v>train</x:v>
      </x:c>
      <x:c r="G1239" s="6" t="str">
        <x:v>swiss-1956</x:v>
      </x:c>
      <x:c r="H1239" s="6" t="str">
        <x:v>swiss-1956-Q02</x:v>
      </x:c>
      <x:c r="I1239" s="6" t="str">
        <x:v>Route planning</x:v>
      </x:c>
      <x:c r="J1239" s="6" t="str">
        <x:v>Warm-up</x:v>
      </x:c>
      <x:c r="K1239" s="6" t="str">
        <x:v>Ordered space path and directions, plus total route-model distance in metres.</x:v>
      </x:c>
      <x:c r="L1239" s="6" t="str">
        <x:v>T02, T05, T13</x:v>
      </x:c>
      <x:c r="M1239" s="6" t="str">
        <x:v>Find a valid route between two rooms, including across floors.</x:v>
      </x:c>
      <x:c r="N1239" s="6" t="str">
        <x:v>{"from_space_id":"swiss-1956-F0-S021","to_space_id":"swiss-1956-F3-S022","optimal_length_m":58.72,"space_path":["swiss-1956-F0-S021","swiss-1956-F0-S024","swiss-1956-F0-S026","swiss-1956-F1-S027","swiss-1956-F2-S027","swiss-1956-F3-S027","swiss-1956-F3-S021","swiss-1956-F3-S022"],"element_path":["swiss-1956-F0-O0023","swiss-1956-F0-O0023","swiss-1956-F0-O0020","swiss-1956-F0-O0020","swiss-1956-V01","swiss-1956-V01","swiss-1956-V01","swiss-1956-F3-O0104","swiss-1956-F3-O0104","swiss-1956-F3-O0102","swiss-1956-F3-O0102"]}</x:v>
      </x:c>
      <x:c r="O1239" s="6"/>
      <x:c r="P1239" s="6" t="str">
        <x:v>README routing profile. Stairs and lifts allowed unless stated otherwise.</x:v>
      </x:c>
      <x:c r="Q1239" s="15" t="n">
        <x:v>58.72</x:v>
      </x:c>
      <x:c r="R1239" s="6" t="str">
        <x:v>m</x:v>
      </x:c>
      <x:c r="S1239" s="16"/>
      <x:c r="T1239" s="15"/>
      <x:c r="U1239" s="6"/>
      <x:c r="V1239" s="6"/>
      <x:c r="W1239" s="6" t="str">
        <x:v>Existing find_route and show_route implement the kit routing model.</x:v>
      </x:c>
      <x:c r="X1239" s="6" t="str">
        <x:v>data/train/swiss-1956/questions_basic.jsonl</x:v>
      </x:c>
      <x:c r="Y1239" s="14" t="n">
        <x:v>2</x:v>
      </x:c>
      <x:c r="Z1239" s="6" t="str">
        <x:v>https://github.com/hagenhaeussler/Industrial-Agents-Hackathon-2026/blob/f41616590b69f3ea0c1cbfb41d6c35edd9ce53df/data/train/swiss-1956/questions_basic.jsonl#L2</x:v>
      </x:c>
      <x:c r="AA1239" s="6" t="str">
        <x:v>swiss_dwellings</x:v>
      </x:c>
      <x:c r="AB1239" s="6" t="str">
        <x:v>CC-BY-4.0</x:v>
      </x:c>
    </x:row>
    <x:row r="1240" ht="96" customHeight="1">
      <x:c r="A1240" s="14" t="n">
        <x:v>1235</x:v>
      </x:c>
      <x:c r="B1240" s="6" t="str">
        <x:v>route</x:v>
      </x:c>
      <x:c r="C1240" s="6" t="str">
        <x:v>How do I get from Bathroom 2.26 (apartment 12) (Floor 2) to Bedroom 2.06 (apartment 9) (Floor 2)?</x:v>
      </x:c>
      <x:c r="D1240" s="6" t="str">
        <x:v>18.84 m
From: Bathroom 2.26 (apartment 12)
To: Bedroom 2.06 (apartment 9)
Ordered path (5 spaces): Bathroom 2.26 (apartment 12) → Corridor 2.23 (apartment 12) → Stair hall 2.27 → Corridor 2.04 (apartment 9) → Bedroom 2.06 (apartment 9)</x:v>
      </x:c>
      <x:c r="E1240" s="6" t="str">
        <x:v>Reference supplied</x:v>
      </x:c>
      <x:c r="F1240" s="6" t="str">
        <x:v>train</x:v>
      </x:c>
      <x:c r="G1240" s="6" t="str">
        <x:v>swiss-1956</x:v>
      </x:c>
      <x:c r="H1240" s="6" t="str">
        <x:v>swiss-1956-Q03</x:v>
      </x:c>
      <x:c r="I1240" s="6" t="str">
        <x:v>Route planning</x:v>
      </x:c>
      <x:c r="J1240" s="6" t="str">
        <x:v>Warm-up</x:v>
      </x:c>
      <x:c r="K1240" s="6" t="str">
        <x:v>Ordered space path and directions, plus total route-model distance in metres.</x:v>
      </x:c>
      <x:c r="L1240" s="6" t="str">
        <x:v>T02, T05, T13</x:v>
      </x:c>
      <x:c r="M1240" s="6" t="str">
        <x:v>Find a valid route between two rooms, including across floors.</x:v>
      </x:c>
      <x:c r="N1240" s="6" t="str">
        <x:v>{"from_space_id":"swiss-1956-F2-S026","to_space_id":"swiss-1956-F2-S006","optimal_length_m":18.84,"space_path":["swiss-1956-F2-S026","swiss-1956-F2-S023","swiss-1956-F2-S027","swiss-1956-F2-S004","swiss-1956-F2-S006"],"element_path":["swiss-1956-F2-O0075","swiss-1956-F2-O0075","swiss-1956-F2-O0072","swiss-1956-F2-O0072","swiss-1956-F2-O0056","swiss-1956-F2-O0056","swiss-1956-F2-O0054","swiss-1956-F2-O0054"]}</x:v>
      </x:c>
      <x:c r="O1240" s="6"/>
      <x:c r="P1240" s="6" t="str">
        <x:v>README routing profile. Stairs and lifts allowed unless stated otherwise.</x:v>
      </x:c>
      <x:c r="Q1240" s="15" t="n">
        <x:v>18.84</x:v>
      </x:c>
      <x:c r="R1240" s="6" t="str">
        <x:v>m</x:v>
      </x:c>
      <x:c r="S1240" s="16"/>
      <x:c r="T1240" s="15"/>
      <x:c r="U1240" s="6"/>
      <x:c r="V1240" s="6"/>
      <x:c r="W1240" s="6" t="str">
        <x:v>Existing find_route and show_route implement the kit routing model.</x:v>
      </x:c>
      <x:c r="X1240" s="6" t="str">
        <x:v>data/train/swiss-1956/questions_basic.jsonl</x:v>
      </x:c>
      <x:c r="Y1240" s="14" t="n">
        <x:v>3</x:v>
      </x:c>
      <x:c r="Z1240" s="6" t="str">
        <x:v>https://github.com/hagenhaeussler/Industrial-Agents-Hackathon-2026/blob/f41616590b69f3ea0c1cbfb41d6c35edd9ce53df/data/train/swiss-1956/questions_basic.jsonl#L3</x:v>
      </x:c>
      <x:c r="AA1240" s="6" t="str">
        <x:v>swiss_dwellings</x:v>
      </x:c>
      <x:c r="AB1240" s="6" t="str">
        <x:v>CC-BY-4.0</x:v>
      </x:c>
    </x:row>
    <x:row r="1241" ht="96" customHeight="1">
      <x:c r="A1241" s="14" t="n">
        <x:v>1236</x:v>
      </x:c>
      <x:c r="B1241" s="6" t="str">
        <x:v>route</x:v>
      </x:c>
      <x:c r="C1241" s="6" t="str">
        <x:v>How do I get from Bedroom 2.08 (apartment 10) (Floor 2) to Bedroom 2.19 (apartment 11) (Floor 2)?</x:v>
      </x:c>
      <x:c r="D1241" s="6" t="str">
        <x:v>20.19 m
From: Bedroom 2.08 (apartment 10)
To: Bedroom 2.19 (apartment 11)
Ordered path (5 spaces): Bedroom 2.08 (apartment 10) → Corridor 2.12 (apartment 10) → Stair hall 2.27 → Corridor 2.16 (apartment 11) → Bedroom 2.19 (apartment 11)</x:v>
      </x:c>
      <x:c r="E1241" s="6" t="str">
        <x:v>Reference supplied</x:v>
      </x:c>
      <x:c r="F1241" s="6" t="str">
        <x:v>train</x:v>
      </x:c>
      <x:c r="G1241" s="6" t="str">
        <x:v>swiss-1956</x:v>
      </x:c>
      <x:c r="H1241" s="6" t="str">
        <x:v>swiss-1956-Q04</x:v>
      </x:c>
      <x:c r="I1241" s="6" t="str">
        <x:v>Route planning</x:v>
      </x:c>
      <x:c r="J1241" s="6" t="str">
        <x:v>Warm-up</x:v>
      </x:c>
      <x:c r="K1241" s="6" t="str">
        <x:v>Ordered space path and directions, plus total route-model distance in metres.</x:v>
      </x:c>
      <x:c r="L1241" s="6" t="str">
        <x:v>T02, T05, T13</x:v>
      </x:c>
      <x:c r="M1241" s="6" t="str">
        <x:v>Find a valid route between two rooms, including across floors.</x:v>
      </x:c>
      <x:c r="N1241" s="6" t="str">
        <x:v>{"from_space_id":"swiss-1956-F2-S008","to_space_id":"swiss-1956-F2-S019","optimal_length_m":20.19,"space_path":["swiss-1956-F2-S008","swiss-1956-F2-S012","swiss-1956-F2-S027","swiss-1956-F2-S016","swiss-1956-F2-S019"],"element_path":["swiss-1956-F2-O0063","swiss-1956-F2-O0063","swiss-1956-F2-O0064","swiss-1956-F2-O0064","swiss-1956-F2-O0067","swiss-1956-F2-O0067","swiss-1956-F2-O0066","swiss-1956-F2-O0066"]}</x:v>
      </x:c>
      <x:c r="O1241" s="6"/>
      <x:c r="P1241" s="6" t="str">
        <x:v>README routing profile. Stairs and lifts allowed unless stated otherwise.</x:v>
      </x:c>
      <x:c r="Q1241" s="15" t="n">
        <x:v>20.19</x:v>
      </x:c>
      <x:c r="R1241" s="6" t="str">
        <x:v>m</x:v>
      </x:c>
      <x:c r="S1241" s="16"/>
      <x:c r="T1241" s="15"/>
      <x:c r="U1241" s="6"/>
      <x:c r="V1241" s="6"/>
      <x:c r="W1241" s="6" t="str">
        <x:v>Existing find_route and show_route implement the kit routing model.</x:v>
      </x:c>
      <x:c r="X1241" s="6" t="str">
        <x:v>data/train/swiss-1956/questions_basic.jsonl</x:v>
      </x:c>
      <x:c r="Y1241" s="14" t="n">
        <x:v>4</x:v>
      </x:c>
      <x:c r="Z1241" s="6" t="str">
        <x:v>https://github.com/hagenhaeussler/Industrial-Agents-Hackathon-2026/blob/f41616590b69f3ea0c1cbfb41d6c35edd9ce53df/data/train/swiss-1956/questions_basic.jsonl#L4</x:v>
      </x:c>
      <x:c r="AA1241" s="6" t="str">
        <x:v>swiss_dwellings</x:v>
      </x:c>
      <x:c r="AB1241" s="6" t="str">
        <x:v>CC-BY-4.0</x:v>
      </x:c>
    </x:row>
    <x:row r="1242" ht="124" customHeight="1">
      <x:c r="A1242" s="14" t="n">
        <x:v>1237</x:v>
      </x:c>
      <x:c r="B1242" s="6" t="str">
        <x:v>route</x:v>
      </x:c>
      <x:c r="C1242" s="6" t="str">
        <x:v>How do I get from Bathroom 1.29 (apartment 11) (Floor 1) to Living room 0.30 (apartment 7) (Ground floor)?</x:v>
      </x:c>
      <x:c r="D1242" s="6" t="str">
        <x:v>29.23 m
From: Bathroom 1.29 (apartment 11)
To: Living room 0.30 (apartment 7)
Ordered path (10 spaces): Bathroom 1.29 (apartment 11) → Corridor 1.26 (apartment 11) → Living room 1.33 (apartment 11) → Corridor 1.31 (apartment 11) → Landing 1.38 → Landing 0.37 → outside → Landing 0.38 → Corridor 0.31 (apartment 7) → Living room 0.30 (apartment 7)</x:v>
      </x:c>
      <x:c r="E1242" s="6" t="str">
        <x:v>Reference supplied</x:v>
      </x:c>
      <x:c r="F1242" s="6" t="str">
        <x:v>train</x:v>
      </x:c>
      <x:c r="G1242" s="6" t="str">
        <x:v>swiss-1970</x:v>
      </x:c>
      <x:c r="H1242" s="6" t="str">
        <x:v>swiss-1970-Q05</x:v>
      </x:c>
      <x:c r="I1242" s="6" t="str">
        <x:v>Route planning</x:v>
      </x:c>
      <x:c r="J1242" s="6" t="str">
        <x:v>Warm-up</x:v>
      </x:c>
      <x:c r="K1242" s="6" t="str">
        <x:v>Ordered space path and directions, plus total route-model distance in metres.</x:v>
      </x:c>
      <x:c r="L1242" s="6" t="str">
        <x:v>T02, T05, T13</x:v>
      </x:c>
      <x:c r="M1242" s="6" t="str">
        <x:v>Find a valid route between two rooms, including across floors.</x:v>
      </x:c>
      <x:c r="N1242" s="6" t="str">
        <x:v>{"from_space_id":"swiss-1970-F1-S029","to_space_id":"swiss-1970-F0-S030","optimal_length_m":29.23,"space_path":["swiss-1970-F1-S029","swiss-1970-F1-S026","swiss-1970-F1-S033","swiss-1970-F1-S031","swiss-1970-F1-S038","swiss-1970-F0-S037","outside","swiss-1970-F0-S038","swiss-1970-F0-S031","swiss-1970-F0-S030"],"element_path":["swiss-1970-F1-O0086","swiss-1970-F1-O0086","swiss-1970-F1-O0080","swiss-1970-F1-O0080","swiss-1970-F1-O0084","swiss-1970-F1-O0084","swiss-1970-F1-O0088","swiss-1970-F1-O0088","swiss-1970-V01","swiss-1970-F0-O0135","swiss-1970-F0-O0135","swiss-1970-F0-O0136","swiss-1970-F0-O0136","swiss-1970-F0-O0042","swiss-1970-F0-O0042","swiss-1970-F0-O0046","swiss-1970-F0-O0046"]}</x:v>
      </x:c>
      <x:c r="O1242" s="6"/>
      <x:c r="P1242" s="6" t="str">
        <x:v>README routing profile. Stairs and lifts allowed unless stated otherwise.</x:v>
      </x:c>
      <x:c r="Q1242" s="15" t="n">
        <x:v>29.23</x:v>
      </x:c>
      <x:c r="R1242" s="6" t="str">
        <x:v>m</x:v>
      </x:c>
      <x:c r="S1242" s="16"/>
      <x:c r="T1242" s="15"/>
      <x:c r="U1242" s="6"/>
      <x:c r="V1242" s="6"/>
      <x:c r="W1242" s="6" t="str">
        <x:v>Existing find_route and show_route implement the kit routing model.</x:v>
      </x:c>
      <x:c r="X1242" s="6" t="str">
        <x:v>data/train/swiss-1970/questions_basic.jsonl</x:v>
      </x:c>
      <x:c r="Y1242" s="14" t="n">
        <x:v>5</x:v>
      </x:c>
      <x:c r="Z1242" s="6" t="str">
        <x:v>https://github.com/hagenhaeussler/Industrial-Agents-Hackathon-2026/blob/f41616590b69f3ea0c1cbfb41d6c35edd9ce53df/data/train/swiss-1970/questions_basic.jsonl#L5</x:v>
      </x:c>
      <x:c r="AA1242" s="6" t="str">
        <x:v>swiss_dwellings</x:v>
      </x:c>
      <x:c r="AB1242" s="6" t="str">
        <x:v>CC-BY-4.0</x:v>
      </x:c>
    </x:row>
    <x:row r="1243" ht="110" customHeight="1">
      <x:c r="A1243" s="14" t="n">
        <x:v>1238</x:v>
      </x:c>
      <x:c r="B1243" s="6" t="str">
        <x:v>route</x:v>
      </x:c>
      <x:c r="C1243" s="6" t="str">
        <x:v>How do I get from Living room 2.14 (apartment 13) (Floor 2) to Bedroom 1.34 (apartment 11) (Floor 1)?</x:v>
      </x:c>
      <x:c r="D1243" s="6" t="str">
        <x:v>29.09 m
From: Living room 2.14 (apartment 13)
To: Bedroom 1.34 (apartment 11)
Ordered path (8 spaces): Living room 2.14 (apartment 13) → Corridor 2.16 (apartment 13) → Landing 2.36 → Landing 1.38 → Corridor 1.31 (apartment 11) → Living room 1.33 (apartment 11) → Corridor 1.26 (apartment 11) → Bedroom 1.34 (apartment 11)</x:v>
      </x:c>
      <x:c r="E1243" s="6" t="str">
        <x:v>Reference supplied</x:v>
      </x:c>
      <x:c r="F1243" s="6" t="str">
        <x:v>train</x:v>
      </x:c>
      <x:c r="G1243" s="6" t="str">
        <x:v>swiss-1970</x:v>
      </x:c>
      <x:c r="H1243" s="6" t="str">
        <x:v>swiss-1970-Q06</x:v>
      </x:c>
      <x:c r="I1243" s="6" t="str">
        <x:v>Route planning</x:v>
      </x:c>
      <x:c r="J1243" s="6" t="str">
        <x:v>Warm-up</x:v>
      </x:c>
      <x:c r="K1243" s="6" t="str">
        <x:v>Ordered space path and directions, plus total route-model distance in metres.</x:v>
      </x:c>
      <x:c r="L1243" s="6" t="str">
        <x:v>T02, T05, T13</x:v>
      </x:c>
      <x:c r="M1243" s="6" t="str">
        <x:v>Find a valid route between two rooms, including across floors.</x:v>
      </x:c>
      <x:c r="N1243" s="6" t="str">
        <x:v>{"from_space_id":"swiss-1970-F2-S014","to_space_id":"swiss-1970-F1-S034","optimal_length_m":29.09,"space_path":["swiss-1970-F2-S014","swiss-1970-F2-S016","swiss-1970-F2-S036","swiss-1970-F1-S038","swiss-1970-F1-S031","swiss-1970-F1-S033","swiss-1970-F1-S026","swiss-1970-F1-S034"],"element_path":["swiss-1970-F2-O0112","swiss-1970-F2-O0112","swiss-1970-F2-O0109","swiss-1970-F2-O0109","swiss-1970-V01","swiss-1970-F1-O0088","swiss-1970-F1-O0088","swiss-1970-F1-O0084","swiss-1970-F1-O0084","swiss-1970-F1-O0080","swiss-1970-F1-O0080","swiss-1970-F1-O0085","swiss-1970-F1-O0085"]}</x:v>
      </x:c>
      <x:c r="O1243" s="6"/>
      <x:c r="P1243" s="6" t="str">
        <x:v>README routing profile. Stairs and lifts allowed unless stated otherwise.</x:v>
      </x:c>
      <x:c r="Q1243" s="15" t="n">
        <x:v>29.09</x:v>
      </x:c>
      <x:c r="R1243" s="6" t="str">
        <x:v>m</x:v>
      </x:c>
      <x:c r="S1243" s="16"/>
      <x:c r="T1243" s="15"/>
      <x:c r="U1243" s="6"/>
      <x:c r="V1243" s="6"/>
      <x:c r="W1243" s="6" t="str">
        <x:v>Existing find_route and show_route implement the kit routing model.</x:v>
      </x:c>
      <x:c r="X1243" s="6" t="str">
        <x:v>data/train/swiss-1970/questions_basic.jsonl</x:v>
      </x:c>
      <x:c r="Y1243" s="14" t="n">
        <x:v>6</x:v>
      </x:c>
      <x:c r="Z1243" s="6" t="str">
        <x:v>https://github.com/hagenhaeussler/Industrial-Agents-Hackathon-2026/blob/f41616590b69f3ea0c1cbfb41d6c35edd9ce53df/data/train/swiss-1970/questions_basic.jsonl#L6</x:v>
      </x:c>
      <x:c r="AA1243" s="6" t="str">
        <x:v>swiss_dwellings</x:v>
      </x:c>
      <x:c r="AB1243" s="6" t="str">
        <x:v>CC-BY-4.0</x:v>
      </x:c>
    </x:row>
    <x:row r="1244" ht="138" customHeight="1">
      <x:c r="A1244" s="14" t="n">
        <x:v>1239</x:v>
      </x:c>
      <x:c r="B1244" s="6" t="str">
        <x:v>route</x:v>
      </x:c>
      <x:c r="C1244" s="6" t="str">
        <x:v>How do I get from Bedroom 2.19 (apartment 14) (Floor 2) to Kitchen 1.17 (apartment 10) (Floor 1)?</x:v>
      </x:c>
      <x:c r="D1244" s="6" t="str">
        <x:v>54.22 m
From: Bedroom 2.19 (apartment 14)
To: Kitchen 1.17 (apartment 10)
Ordered path (12 spaces): Bedroom 2.19 (apartment 14) → Corridor 2.22 (apartment 14) → Living room 2.25 (apartment 14) → Corridor 2.24 (apartment 14) → Landing 2.37 → Landing 1.36 → Landing 0.36 → outside → Landing 0.38 → Landing 1.37 → Corridor 1.18 (apartment 10) → Kitchen 1.17 (apartment 10)</x:v>
      </x:c>
      <x:c r="E1244" s="6" t="str">
        <x:v>Reference supplied</x:v>
      </x:c>
      <x:c r="F1244" s="6" t="str">
        <x:v>train</x:v>
      </x:c>
      <x:c r="G1244" s="6" t="str">
        <x:v>swiss-1970</x:v>
      </x:c>
      <x:c r="H1244" s="6" t="str">
        <x:v>swiss-1970-Q07</x:v>
      </x:c>
      <x:c r="I1244" s="6" t="str">
        <x:v>Route planning</x:v>
      </x:c>
      <x:c r="J1244" s="6" t="str">
        <x:v>Warm-up</x:v>
      </x:c>
      <x:c r="K1244" s="6" t="str">
        <x:v>Ordered space path and directions, plus total route-model distance in metres.</x:v>
      </x:c>
      <x:c r="L1244" s="6" t="str">
        <x:v>T02, T05, T13</x:v>
      </x:c>
      <x:c r="M1244" s="6" t="str">
        <x:v>Find a valid route between two rooms, including across floors.</x:v>
      </x:c>
      <x:c r="N1244" s="6" t="str">
        <x:v>{"from_space_id":"swiss-1970-F2-S019","to_space_id":"swiss-1970-F1-S017","optimal_length_m":54.22,"space_path":["swiss-1970-F2-S019","swiss-1970-F2-S022","swiss-1970-F2-S025","swiss-1970-F2-S024","swiss-1970-F2-S037","swiss-1970-F1-S036","swiss-1970-F0-S036","outside","swiss-1970-F0-S038","swiss-1970-F1-S037","swiss-1970-F1-S018","swiss-1970-F1-S017"],"element_path":["swiss-1970-F2-O0117","swiss-1970-F2-O0117","swiss-1970-F2-O0113","swiss-1970-F2-O0113","swiss-1970-F2-O0118","swiss-1970-F2-O0118","swiss-1970-F2-O0115","swiss-1970-F2-O0115","swiss-1970-V09","swiss-1970-V06","swiss-1970-F0-O0134","swiss-1970-F0-O0134","swiss-1970-F0-O0136","swiss-1970-F0-O0136","swiss-1970-V07","swiss-1970-F1-O0076","swiss-1970-F1-O0076","swiss-1970-F1-O0078","swiss-1970-F1-O0078"]}</x:v>
      </x:c>
      <x:c r="O1244" s="6"/>
      <x:c r="P1244" s="6" t="str">
        <x:v>README routing profile. Stairs and lifts allowed unless stated otherwise.</x:v>
      </x:c>
      <x:c r="Q1244" s="15" t="n">
        <x:v>54.22</x:v>
      </x:c>
      <x:c r="R1244" s="6" t="str">
        <x:v>m</x:v>
      </x:c>
      <x:c r="S1244" s="16"/>
      <x:c r="T1244" s="15"/>
      <x:c r="U1244" s="6"/>
      <x:c r="V1244" s="6"/>
      <x:c r="W1244" s="6" t="str">
        <x:v>Existing find_route and show_route implement the kit routing model.</x:v>
      </x:c>
      <x:c r="X1244" s="6" t="str">
        <x:v>data/train/swiss-1970/questions_basic.jsonl</x:v>
      </x:c>
      <x:c r="Y1244" s="14" t="n">
        <x:v>7</x:v>
      </x:c>
      <x:c r="Z1244" s="6" t="str">
        <x:v>https://github.com/hagenhaeussler/Industrial-Agents-Hackathon-2026/blob/f41616590b69f3ea0c1cbfb41d6c35edd9ce53df/data/train/swiss-1970/questions_basic.jsonl#L7</x:v>
      </x:c>
      <x:c r="AA1244" s="6" t="str">
        <x:v>swiss_dwellings</x:v>
      </x:c>
      <x:c r="AB1244" s="6" t="str">
        <x:v>CC-BY-4.0</x:v>
      </x:c>
    </x:row>
    <x:row r="1245" ht="138" customHeight="1">
      <x:c r="A1245" s="14" t="n">
        <x:v>1240</x:v>
      </x:c>
      <x:c r="B1245" s="6" t="str">
        <x:v>route</x:v>
      </x:c>
      <x:c r="C1245" s="6" t="str">
        <x:v>How do I get from Bedroom 2.07 (apartment 9) (Floor 2) to Living room 4.09 (apartment 18) (Floor 4)?</x:v>
      </x:c>
      <x:c r="D1245" s="6" t="str">
        <x:v>89.02 m
From: Bedroom 2.07 (apartment 9)
To: Living room 4.09 (apartment 18)
Ordered path (13 spaces): Bedroom 2.07 (apartment 9) → Corridor 2.06 (apartment 9) → Landing 2.35 → Landing 1.35 → Landing 0.37 → outside → Landing 0.38 → Landing 1.37 → Landing 2.37 → Landing 3.35 → Landing 4.36 → Corridor 4.10 (apartment 18) → Living room 4.09 (apartment 18)</x:v>
      </x:c>
      <x:c r="E1245" s="6" t="str">
        <x:v>Reference supplied</x:v>
      </x:c>
      <x:c r="F1245" s="6" t="str">
        <x:v>train</x:v>
      </x:c>
      <x:c r="G1245" s="6" t="str">
        <x:v>swiss-2049</x:v>
      </x:c>
      <x:c r="H1245" s="6" t="str">
        <x:v>swiss-2049-Q02</x:v>
      </x:c>
      <x:c r="I1245" s="6" t="str">
        <x:v>Route planning</x:v>
      </x:c>
      <x:c r="J1245" s="6" t="str">
        <x:v>Warm-up</x:v>
      </x:c>
      <x:c r="K1245" s="6" t="str">
        <x:v>Ordered space path and directions, plus total route-model distance in metres.</x:v>
      </x:c>
      <x:c r="L1245" s="6" t="str">
        <x:v>T02, T05, T13</x:v>
      </x:c>
      <x:c r="M1245" s="6" t="str">
        <x:v>Find a valid route between two rooms, including across floors.</x:v>
      </x:c>
      <x:c r="N1245" s="6" t="str">
        <x:v>{"from_space_id":"swiss-2049-F2-S007","to_space_id":"swiss-2049-F4-S009","optimal_length_m":89.02,"space_path":["swiss-2049-F2-S007","swiss-2049-F2-S006","swiss-2049-F2-S035","swiss-2049-F1-S035","swiss-2049-F0-S037","outside","swiss-2049-F0-S038","swiss-2049-F1-S037","swiss-2049-F2-S037","swiss-2049-F3-S035","swiss-2049-F4-S036","swiss-2049-F4-S010","swiss-2049-F4-S009"],"element_path":["swiss-2049-F2-O0081","swiss-2049-F2-O0081","swiss-2049-F2-O0080","swiss-2049-F2-O0080","swiss-2049-V06","swiss-2049-V03","swiss-2049-F0-O0183","swiss-2049-F0-O0183","swiss-2049-F0-O0184","swiss-2049-F0-O0184","swiss-2049-V05","swiss-2049-V07","swiss-2049-V09","swiss-2049-V12","swiss-2049-F4-O0156","swiss-2049-F4-O0156","swiss-2049-F4-O0158","swiss-2049-F4-O0158"]}</x:v>
      </x:c>
      <x:c r="O1245" s="6"/>
      <x:c r="P1245" s="6" t="str">
        <x:v>README routing profile. Stairs and lifts allowed unless stated otherwise.</x:v>
      </x:c>
      <x:c r="Q1245" s="15" t="n">
        <x:v>89.02</x:v>
      </x:c>
      <x:c r="R1245" s="6" t="str">
        <x:v>m</x:v>
      </x:c>
      <x:c r="S1245" s="16"/>
      <x:c r="T1245" s="15"/>
      <x:c r="U1245" s="6"/>
      <x:c r="V1245" s="6"/>
      <x:c r="W1245" s="6" t="str">
        <x:v>Existing find_route and show_route implement the kit routing model.</x:v>
      </x:c>
      <x:c r="X1245" s="6" t="str">
        <x:v>data/train/swiss-2049/questions_basic.jsonl</x:v>
      </x:c>
      <x:c r="Y1245" s="14" t="n">
        <x:v>2</x:v>
      </x:c>
      <x:c r="Z1245" s="6" t="str">
        <x:v>https://github.com/hagenhaeussler/Industrial-Agents-Hackathon-2026/blob/f41616590b69f3ea0c1cbfb41d6c35edd9ce53df/data/train/swiss-2049/questions_basic.jsonl#L2</x:v>
      </x:c>
      <x:c r="AA1245" s="6" t="str">
        <x:v>swiss_dwellings</x:v>
      </x:c>
      <x:c r="AB1245" s="6" t="str">
        <x:v>CC-BY-4.0</x:v>
      </x:c>
    </x:row>
    <x:row r="1246" ht="82" customHeight="1">
      <x:c r="A1246" s="14" t="n">
        <x:v>1241</x:v>
      </x:c>
      <x:c r="B1246" s="6" t="str">
        <x:v>route</x:v>
      </x:c>
      <x:c r="C1246" s="6" t="str">
        <x:v>How do I get from Kitchen 4.28 (apartment 20) (Floor 4) to Living room 4.27 (apartment 20) (Floor 4)?</x:v>
      </x:c>
      <x:c r="D1246" s="6" t="str">
        <x:v>10.27 m
From: Kitchen 4.28 (apartment 20)
To: Living room 4.27 (apartment 20)
Ordered path (3 spaces): Kitchen 4.28 (apartment 20) → Corridor 4.32 (apartment 20) → Living room 4.27 (apartment 20)</x:v>
      </x:c>
      <x:c r="E1246" s="6" t="str">
        <x:v>Reference supplied</x:v>
      </x:c>
      <x:c r="F1246" s="6" t="str">
        <x:v>train</x:v>
      </x:c>
      <x:c r="G1246" s="6" t="str">
        <x:v>swiss-2049</x:v>
      </x:c>
      <x:c r="H1246" s="6" t="str">
        <x:v>swiss-2049-Q03</x:v>
      </x:c>
      <x:c r="I1246" s="6" t="str">
        <x:v>Route planning</x:v>
      </x:c>
      <x:c r="J1246" s="6" t="str">
        <x:v>Warm-up</x:v>
      </x:c>
      <x:c r="K1246" s="6" t="str">
        <x:v>Ordered space path and directions, plus total route-model distance in metres.</x:v>
      </x:c>
      <x:c r="L1246" s="6" t="str">
        <x:v>T02, T05, T13</x:v>
      </x:c>
      <x:c r="M1246" s="6" t="str">
        <x:v>Find a valid route between two rooms, including across floors.</x:v>
      </x:c>
      <x:c r="N1246" s="6" t="str">
        <x:v>{"from_space_id":"swiss-2049-F4-S028","to_space_id":"swiss-2049-F4-S027","optimal_length_m":10.27,"space_path":["swiss-2049-F4-S028","swiss-2049-F4-S032","swiss-2049-F4-S027"],"element_path":["swiss-2049-F4-O0176","swiss-2049-F4-O0176","swiss-2049-F4-O0172","swiss-2049-F4-O0172"]}</x:v>
      </x:c>
      <x:c r="O1246" s="6"/>
      <x:c r="P1246" s="6" t="str">
        <x:v>README routing profile. Stairs and lifts allowed unless stated otherwise.</x:v>
      </x:c>
      <x:c r="Q1246" s="15" t="n">
        <x:v>10.27</x:v>
      </x:c>
      <x:c r="R1246" s="6" t="str">
        <x:v>m</x:v>
      </x:c>
      <x:c r="S1246" s="16"/>
      <x:c r="T1246" s="15"/>
      <x:c r="U1246" s="6"/>
      <x:c r="V1246" s="6"/>
      <x:c r="W1246" s="6" t="str">
        <x:v>Existing find_route and show_route implement the kit routing model.</x:v>
      </x:c>
      <x:c r="X1246" s="6" t="str">
        <x:v>data/train/swiss-2049/questions_basic.jsonl</x:v>
      </x:c>
      <x:c r="Y1246" s="14" t="n">
        <x:v>3</x:v>
      </x:c>
      <x:c r="Z1246" s="6" t="str">
        <x:v>https://github.com/hagenhaeussler/Industrial-Agents-Hackathon-2026/blob/f41616590b69f3ea0c1cbfb41d6c35edd9ce53df/data/train/swiss-2049/questions_basic.jsonl#L3</x:v>
      </x:c>
      <x:c r="AA1246" s="6" t="str">
        <x:v>swiss_dwellings</x:v>
      </x:c>
      <x:c r="AB1246" s="6" t="str">
        <x:v>CC-BY-4.0</x:v>
      </x:c>
    </x:row>
    <x:row r="1247" ht="152" customHeight="1">
      <x:c r="A1247" s="14" t="n">
        <x:v>1242</x:v>
      </x:c>
      <x:c r="B1247" s="6" t="str">
        <x:v>route</x:v>
      </x:c>
      <x:c r="C1247" s="6" t="str">
        <x:v>How do I get from Bedroom 4.17 (apartment 19) (Floor 4) to Bedroom 4.14 (apartment 18) (Floor 4)?</x:v>
      </x:c>
      <x:c r="D1247" s="6" t="str">
        <x:v>112.21 m
From: Bedroom 4.17 (apartment 19)
To: Bedroom 4.14 (apartment 18)
Ordered path (15 spaces): Bedroom 4.17 (apartment 19) → Corridor 4.22 (apartment 19) → Landing 4.37 → Landing 3.36 → Landing 2.35 → Landing 1.35 → Landing 0.37 → outside → Landing 0.38 → Landing 1.37 → Landing 2.37 → Landing 3.35 → Landing 4.36 → Corridor 4.10 (apartment 18) → Bedroom 4.14 (apartment 18)</x:v>
      </x:c>
      <x:c r="E1247" s="6" t="str">
        <x:v>Reference supplied</x:v>
      </x:c>
      <x:c r="F1247" s="6" t="str">
        <x:v>train</x:v>
      </x:c>
      <x:c r="G1247" s="6" t="str">
        <x:v>swiss-2049</x:v>
      </x:c>
      <x:c r="H1247" s="6" t="str">
        <x:v>swiss-2049-Q04</x:v>
      </x:c>
      <x:c r="I1247" s="6" t="str">
        <x:v>Route planning</x:v>
      </x:c>
      <x:c r="J1247" s="6" t="str">
        <x:v>Warm-up</x:v>
      </x:c>
      <x:c r="K1247" s="6" t="str">
        <x:v>Ordered space path and directions, plus total route-model distance in metres.</x:v>
      </x:c>
      <x:c r="L1247" s="6" t="str">
        <x:v>T02, T05, T13</x:v>
      </x:c>
      <x:c r="M1247" s="6" t="str">
        <x:v>Find a valid route between two rooms, including across floors.</x:v>
      </x:c>
      <x:c r="N1247" s="6" t="str">
        <x:v>{"from_space_id":"swiss-2049-F4-S017","to_space_id":"swiss-2049-F4-S014","optimal_length_m":112.21,"space_path":["swiss-2049-F4-S017","swiss-2049-F4-S022","swiss-2049-F4-S037","swiss-2049-F3-S036","swiss-2049-F2-S035","swiss-2049-F1-S035","swiss-2049-F0-S037","outside","swiss-2049-F0-S038","swiss-2049-F1-S037","swiss-2049-F2-S037","swiss-2049-F3-S035","swiss-2049-F4-S036","swiss-2049-F4-S010","swiss-2049-F4-S014"],"element_path":["swiss-2049-F4-O0171","swiss-2049-F4-O0171","swiss-2049-F4-O0164","swiss-2049-F4-O0164","swiss-2049-V13","swiss-2049-V10","swiss-2049-V06","swiss-2049-V03","swiss-2049-F0-O0183","swiss-2049-F0-O0183","swiss-2049-F0-O0184","swiss-2049-F0-O0184","swiss-2049-V05","swiss-2049-V07","swiss-2049-V09","swiss-2049-V12","swiss-2049-F4-O0156","swiss-2049-F4-O0156","swiss-2049-F4-O0159","swiss-2049-F4-O0159"]}</x:v>
      </x:c>
      <x:c r="O1247" s="6"/>
      <x:c r="P1247" s="6" t="str">
        <x:v>README routing profile. Stairs and lifts allowed unless stated otherwise.</x:v>
      </x:c>
      <x:c r="Q1247" s="15" t="n">
        <x:v>112.21</x:v>
      </x:c>
      <x:c r="R1247" s="6" t="str">
        <x:v>m</x:v>
      </x:c>
      <x:c r="S1247" s="16"/>
      <x:c r="T1247" s="15"/>
      <x:c r="U1247" s="6"/>
      <x:c r="V1247" s="6"/>
      <x:c r="W1247" s="6" t="str">
        <x:v>Existing find_route and show_route implement the kit routing model.</x:v>
      </x:c>
      <x:c r="X1247" s="6" t="str">
        <x:v>data/train/swiss-2049/questions_basic.jsonl</x:v>
      </x:c>
      <x:c r="Y1247" s="14" t="n">
        <x:v>4</x:v>
      </x:c>
      <x:c r="Z1247" s="6" t="str">
        <x:v>https://github.com/hagenhaeussler/Industrial-Agents-Hackathon-2026/blob/f41616590b69f3ea0c1cbfb41d6c35edd9ce53df/data/train/swiss-2049/questions_basic.jsonl#L4</x:v>
      </x:c>
      <x:c r="AA1247" s="6" t="str">
        <x:v>swiss_dwellings</x:v>
      </x:c>
      <x:c r="AB1247" s="6" t="str">
        <x:v>CC-BY-4.0</x:v>
      </x:c>
    </x:row>
    <x:row r="1248" ht="110" customHeight="1">
      <x:c r="A1248" s="14" t="n">
        <x:v>1243</x:v>
      </x:c>
      <x:c r="B1248" s="6" t="str">
        <x:v>route</x:v>
      </x:c>
      <x:c r="C1248" s="6" t="str">
        <x:v>How do I get from Storage 5.14 (apartment 12) (Floor 5) to Storage 2.25 (apartment 6) (Floor 2)?</x:v>
      </x:c>
      <x:c r="D1248" s="6" t="str">
        <x:v>56.6 m
From: Storage 5.14 (apartment 12)
To: Storage 2.25 (apartment 6)
Ordered path (9 spaces): Storage 5.14 (apartment 12) → Corridor 5.13 (apartment 12) → Landing 5.24 → Landing 4.27 → Stair hall 3.27 → Landing 3.28 → Landing 2.28 → Corridor 2.15 (apartment 6) → Storage 2.25 (apartment 6)</x:v>
      </x:c>
      <x:c r="E1248" s="6" t="str">
        <x:v>Reference supplied</x:v>
      </x:c>
      <x:c r="F1248" s="6" t="str">
        <x:v>train</x:v>
      </x:c>
      <x:c r="G1248" s="6" t="str">
        <x:v>swiss-2084</x:v>
      </x:c>
      <x:c r="H1248" s="6" t="str">
        <x:v>swiss-2084-Q02</x:v>
      </x:c>
      <x:c r="I1248" s="6" t="str">
        <x:v>Route planning</x:v>
      </x:c>
      <x:c r="J1248" s="6" t="str">
        <x:v>Warm-up</x:v>
      </x:c>
      <x:c r="K1248" s="6" t="str">
        <x:v>Ordered space path and directions, plus total route-model distance in metres.</x:v>
      </x:c>
      <x:c r="L1248" s="6" t="str">
        <x:v>T02, T05, T13</x:v>
      </x:c>
      <x:c r="M1248" s="6" t="str">
        <x:v>Find a valid route between two rooms, including across floors.</x:v>
      </x:c>
      <x:c r="N1248" s="6" t="str">
        <x:v>{"from_space_id":"swiss-2084-F5-S014","to_space_id":"swiss-2084-F2-S025","optimal_length_m":56.6,"space_path":["swiss-2084-F5-S014","swiss-2084-F5-S013","swiss-2084-F5-S024","swiss-2084-F4-S027","swiss-2084-F3-S027","swiss-2084-F3-S028","swiss-2084-F2-S028","swiss-2084-F2-S015","swiss-2084-F2-S025"],"element_path":["swiss-2084-F5-O0150","swiss-2084-F5-O0150","swiss-2084-F5-O0153","swiss-2084-F5-O0153","swiss-2084-V01","swiss-2084-V01","swiss-2084-F3-O0085","swiss-2084-F3-O0085","swiss-2084-V05","swiss-2084-F2-O0081","swiss-2084-F2-O0081","swiss-2084-F2-O0074","swiss-2084-F2-O0074"]}</x:v>
      </x:c>
      <x:c r="O1248" s="6"/>
      <x:c r="P1248" s="6" t="str">
        <x:v>README routing profile. Stairs and lifts allowed unless stated otherwise.</x:v>
      </x:c>
      <x:c r="Q1248" s="15" t="n">
        <x:v>56.6</x:v>
      </x:c>
      <x:c r="R1248" s="6" t="str">
        <x:v>m</x:v>
      </x:c>
      <x:c r="S1248" s="16"/>
      <x:c r="T1248" s="15"/>
      <x:c r="U1248" s="6"/>
      <x:c r="V1248" s="6"/>
      <x:c r="W1248" s="6" t="str">
        <x:v>Existing find_route and show_route implement the kit routing model.</x:v>
      </x:c>
      <x:c r="X1248" s="6" t="str">
        <x:v>data/train/swiss-2084/questions_basic.jsonl</x:v>
      </x:c>
      <x:c r="Y1248" s="14" t="n">
        <x:v>2</x:v>
      </x:c>
      <x:c r="Z1248" s="6" t="str">
        <x:v>https://github.com/hagenhaeussler/Industrial-Agents-Hackathon-2026/blob/f41616590b69f3ea0c1cbfb41d6c35edd9ce53df/data/train/swiss-2084/questions_basic.jsonl#L2</x:v>
      </x:c>
      <x:c r="AA1248" s="6" t="str">
        <x:v>swiss_dwellings</x:v>
      </x:c>
      <x:c r="AB1248" s="6" t="str">
        <x:v>CC-BY-4.0</x:v>
      </x:c>
    </x:row>
    <x:row r="1249" ht="138" customHeight="1">
      <x:c r="A1249" s="14" t="n">
        <x:v>1244</x:v>
      </x:c>
      <x:c r="B1249" s="6" t="str">
        <x:v>route</x:v>
      </x:c>
      <x:c r="C1249" s="6" t="str">
        <x:v>How do I get from Bathroom 3.19 (apartment 8) (Floor 3) to Bathroom 0.04 (apartment 1) (Ground floor)?</x:v>
      </x:c>
      <x:c r="D1249" s="6" t="str">
        <x:v>61.12 m
From: Bathroom 3.19 (apartment 8)
To: Bathroom 0.04 (apartment 1)
Ordered path (12 spaces): Bathroom 3.19 (apartment 8) → Corridor 3.16 (apartment 8) → Corridor 3.14 (apartment 8) → Landing 3.28 → Landing 2.28 → Landing 1.28 → Landing 0.27 → outside → Landing 0.26 → Corridor 0.01 (apartment 1) → Corridor 0.06 (apartment 1) → Bathroom 0.04 (apartment 1)</x:v>
      </x:c>
      <x:c r="E1249" s="6" t="str">
        <x:v>Reference supplied</x:v>
      </x:c>
      <x:c r="F1249" s="6" t="str">
        <x:v>train</x:v>
      </x:c>
      <x:c r="G1249" s="6" t="str">
        <x:v>swiss-2084</x:v>
      </x:c>
      <x:c r="H1249" s="6" t="str">
        <x:v>swiss-2084-Q03</x:v>
      </x:c>
      <x:c r="I1249" s="6" t="str">
        <x:v>Route planning</x:v>
      </x:c>
      <x:c r="J1249" s="6" t="str">
        <x:v>Warm-up</x:v>
      </x:c>
      <x:c r="K1249" s="6" t="str">
        <x:v>Ordered space path and directions, plus total route-model distance in metres.</x:v>
      </x:c>
      <x:c r="L1249" s="6" t="str">
        <x:v>T02, T05, T13</x:v>
      </x:c>
      <x:c r="M1249" s="6" t="str">
        <x:v>Find a valid route between two rooms, including across floors.</x:v>
      </x:c>
      <x:c r="N1249" s="6" t="str">
        <x:v>{"from_space_id":"swiss-2084-F3-S019","to_space_id":"swiss-2084-F0-S004","optimal_length_m":61.12,"space_path":["swiss-2084-F3-S019","swiss-2084-F3-S016","swiss-2084-F3-S014","swiss-2084-F3-S028","swiss-2084-F2-S028","swiss-2084-F1-S028","swiss-2084-F0-S027","outside","swiss-2084-F0-S026","swiss-2084-F0-S001","swiss-2084-F0-S006","swiss-2084-F0-S004"],"element_path":["swiss-2084-F3-O0108","swiss-2084-F3-O0108","swiss-2084-F3-O0113","swiss-2084-F3-O0113","swiss-2084-F3-O0111","swiss-2084-F3-O0111","swiss-2084-V05","swiss-2084-V04","swiss-2084-V03","swiss-2084-F0-O0166","swiss-2084-F0-O0166","swiss-2084-F0-O0165","swiss-2084-F0-O0165","swiss-2084-F0-O0007","swiss-2084-F0-O0007","swiss-2084-F0-O0024","swiss-2084-F0-O0024","swiss-2084-F0-O0004","swiss-2084-F0-O0004"]}</x:v>
      </x:c>
      <x:c r="O1249" s="6"/>
      <x:c r="P1249" s="6" t="str">
        <x:v>README routing profile. Stairs and lifts allowed unless stated otherwise.</x:v>
      </x:c>
      <x:c r="Q1249" s="15" t="n">
        <x:v>61.12</x:v>
      </x:c>
      <x:c r="R1249" s="6" t="str">
        <x:v>m</x:v>
      </x:c>
      <x:c r="S1249" s="16"/>
      <x:c r="T1249" s="15"/>
      <x:c r="U1249" s="6"/>
      <x:c r="V1249" s="6"/>
      <x:c r="W1249" s="6" t="str">
        <x:v>Existing find_route and show_route implement the kit routing model.</x:v>
      </x:c>
      <x:c r="X1249" s="6" t="str">
        <x:v>data/train/swiss-2084/questions_basic.jsonl</x:v>
      </x:c>
      <x:c r="Y1249" s="14" t="n">
        <x:v>3</x:v>
      </x:c>
      <x:c r="Z1249" s="6" t="str">
        <x:v>https://github.com/hagenhaeussler/Industrial-Agents-Hackathon-2026/blob/f41616590b69f3ea0c1cbfb41d6c35edd9ce53df/data/train/swiss-2084/questions_basic.jsonl#L3</x:v>
      </x:c>
      <x:c r="AA1249" s="6" t="str">
        <x:v>swiss_dwellings</x:v>
      </x:c>
      <x:c r="AB1249" s="6" t="str">
        <x:v>CC-BY-4.0</x:v>
      </x:c>
    </x:row>
    <x:row r="1250" ht="96" customHeight="1">
      <x:c r="A1250" s="14" t="n">
        <x:v>1245</x:v>
      </x:c>
      <x:c r="B1250" s="6" t="str">
        <x:v>route</x:v>
      </x:c>
      <x:c r="C1250" s="6" t="str">
        <x:v>How do I get from Bedroom 3.02 (apartment 7) (Floor 3) to Living room 4.21 (apartment 10) (Floor 4)?</x:v>
      </x:c>
      <x:c r="D1250" s="6" t="str">
        <x:v>39.33 m
From: Bedroom 3.02 (apartment 7)
To: Living room 4.21 (apartment 10)
Ordered path (7 spaces): Bedroom 3.02 (apartment 7) → Corridor 3.10 (apartment 7) → Landing 3.28 → Stair hall 3.27 → Landing 4.27 → Corridor 4.22 (apartment 10) → Living room 4.21 (apartment 10)</x:v>
      </x:c>
      <x:c r="E1250" s="6" t="str">
        <x:v>Reference supplied</x:v>
      </x:c>
      <x:c r="F1250" s="6" t="str">
        <x:v>train</x:v>
      </x:c>
      <x:c r="G1250" s="6" t="str">
        <x:v>swiss-2084</x:v>
      </x:c>
      <x:c r="H1250" s="6" t="str">
        <x:v>swiss-2084-Q04</x:v>
      </x:c>
      <x:c r="I1250" s="6" t="str">
        <x:v>Route planning</x:v>
      </x:c>
      <x:c r="J1250" s="6" t="str">
        <x:v>Warm-up</x:v>
      </x:c>
      <x:c r="K1250" s="6" t="str">
        <x:v>Ordered space path and directions, plus total route-model distance in metres.</x:v>
      </x:c>
      <x:c r="L1250" s="6" t="str">
        <x:v>T02, T05, T13</x:v>
      </x:c>
      <x:c r="M1250" s="6" t="str">
        <x:v>Find a valid route between two rooms, including across floors.</x:v>
      </x:c>
      <x:c r="N1250" s="6" t="str">
        <x:v>{"from_space_id":"swiss-2084-F3-S002","to_space_id":"swiss-2084-F4-S021","optimal_length_m":39.33,"space_path":["swiss-2084-F3-S002","swiss-2084-F3-S010","swiss-2084-F3-S028","swiss-2084-F3-S027","swiss-2084-F4-S027","swiss-2084-F4-S022","swiss-2084-F4-S021"],"element_path":["swiss-2084-F3-O0090","swiss-2084-F3-O0090","swiss-2084-F3-O0092","swiss-2084-F3-O0092","swiss-2084-F3-O0085","swiss-2084-F3-O0085","swiss-2084-V01","swiss-2084-F4-O0136","swiss-2084-F4-O0136","swiss-2084-F4-O0131","swiss-2084-F4-O0131"]}</x:v>
      </x:c>
      <x:c r="O1250" s="6"/>
      <x:c r="P1250" s="6" t="str">
        <x:v>README routing profile. Stairs and lifts allowed unless stated otherwise.</x:v>
      </x:c>
      <x:c r="Q1250" s="15" t="n">
        <x:v>39.33</x:v>
      </x:c>
      <x:c r="R1250" s="6" t="str">
        <x:v>m</x:v>
      </x:c>
      <x:c r="S1250" s="16"/>
      <x:c r="T1250" s="15"/>
      <x:c r="U1250" s="6"/>
      <x:c r="V1250" s="6"/>
      <x:c r="W1250" s="6" t="str">
        <x:v>Existing find_route and show_route implement the kit routing model.</x:v>
      </x:c>
      <x:c r="X1250" s="6" t="str">
        <x:v>data/train/swiss-2084/questions_basic.jsonl</x:v>
      </x:c>
      <x:c r="Y1250" s="14" t="n">
        <x:v>4</x:v>
      </x:c>
      <x:c r="Z1250" s="6" t="str">
        <x:v>https://github.com/hagenhaeussler/Industrial-Agents-Hackathon-2026/blob/f41616590b69f3ea0c1cbfb41d6c35edd9ce53df/data/train/swiss-2084/questions_basic.jsonl#L4</x:v>
      </x:c>
      <x:c r="AA1250" s="6" t="str">
        <x:v>swiss_dwellings</x:v>
      </x:c>
      <x:c r="AB1250" s="6" t="str">
        <x:v>CC-BY-4.0</x:v>
      </x:c>
    </x:row>
    <x:row r="1251" ht="96" customHeight="1">
      <x:c r="A1251" s="14" t="n">
        <x:v>1246</x:v>
      </x:c>
      <x:c r="B1251" s="6" t="str">
        <x:v>route</x:v>
      </x:c>
      <x:c r="C1251" s="6" t="str">
        <x:v>How do I get from Storage 1.12 (apartment 8) (Floor 1) to Bathroom 1.42 (apartment 11) (Floor 1)?</x:v>
      </x:c>
      <x:c r="D1251" s="6" t="str">
        <x:v>24.11 m
From: Storage 1.12 (apartment 8)
To: Bathroom 1.42 (apartment 11)
Ordered path (5 spaces): Storage 1.12 (apartment 8) → Corridor 1.20 (apartment 8) → Stair hall 1.55 → Corridor 1.39 (apartment 11) → Bathroom 1.42 (apartment 11)</x:v>
      </x:c>
      <x:c r="E1251" s="6" t="str">
        <x:v>Reference supplied</x:v>
      </x:c>
      <x:c r="F1251" s="6" t="str">
        <x:v>train</x:v>
      </x:c>
      <x:c r="G1251" s="6" t="str">
        <x:v>swiss-210</x:v>
      </x:c>
      <x:c r="H1251" s="6" t="str">
        <x:v>swiss-210-Q03</x:v>
      </x:c>
      <x:c r="I1251" s="6" t="str">
        <x:v>Route planning</x:v>
      </x:c>
      <x:c r="J1251" s="6" t="str">
        <x:v>Warm-up</x:v>
      </x:c>
      <x:c r="K1251" s="6" t="str">
        <x:v>Ordered space path and directions, plus total route-model distance in metres.</x:v>
      </x:c>
      <x:c r="L1251" s="6" t="str">
        <x:v>T02, T05, T13</x:v>
      </x:c>
      <x:c r="M1251" s="6" t="str">
        <x:v>Find a valid route between two rooms, including across floors.</x:v>
      </x:c>
      <x:c r="N1251" s="6" t="str">
        <x:v>{"from_space_id":"swiss-210-F1-S012","to_space_id":"swiss-210-F1-S042","optimal_length_m":24.11,"space_path":["swiss-210-F1-S012","swiss-210-F1-S020","swiss-210-F1-S055","swiss-210-F1-S039","swiss-210-F1-S042"],"element_path":["swiss-210-F1-O0077","swiss-210-F1-O0077","swiss-210-F1-O0073","swiss-210-F1-O0073","swiss-210-F1-O0104","swiss-210-F1-O0104","swiss-210-F1-O0114","swiss-210-F1-O0114"]}</x:v>
      </x:c>
      <x:c r="O1251" s="6"/>
      <x:c r="P1251" s="6" t="str">
        <x:v>README routing profile. Stairs and lifts allowed unless stated otherwise.</x:v>
      </x:c>
      <x:c r="Q1251" s="15" t="n">
        <x:v>24.11</x:v>
      </x:c>
      <x:c r="R1251" s="6" t="str">
        <x:v>m</x:v>
      </x:c>
      <x:c r="S1251" s="16"/>
      <x:c r="T1251" s="15"/>
      <x:c r="U1251" s="6"/>
      <x:c r="V1251" s="6"/>
      <x:c r="W1251" s="6" t="str">
        <x:v>Existing find_route and show_route implement the kit routing model.</x:v>
      </x:c>
      <x:c r="X1251" s="6" t="str">
        <x:v>data/train/swiss-210/questions_basic.jsonl</x:v>
      </x:c>
      <x:c r="Y1251" s="14" t="n">
        <x:v>3</x:v>
      </x:c>
      <x:c r="Z1251" s="6" t="str">
        <x:v>https://github.com/hagenhaeussler/Industrial-Agents-Hackathon-2026/blob/f41616590b69f3ea0c1cbfb41d6c35edd9ce53df/data/train/swiss-210/questions_basic.jsonl#L3</x:v>
      </x:c>
      <x:c r="AA1251" s="6" t="str">
        <x:v>swiss_dwellings</x:v>
      </x:c>
      <x:c r="AB1251" s="6" t="str">
        <x:v>CC-BY-4.0</x:v>
      </x:c>
    </x:row>
    <x:row r="1252" ht="96" customHeight="1">
      <x:c r="A1252" s="14" t="n">
        <x:v>1247</x:v>
      </x:c>
      <x:c r="B1252" s="6" t="str">
        <x:v>route</x:v>
      </x:c>
      <x:c r="C1252" s="6" t="str">
        <x:v>How do I get from Living room 0.02 (apartment 1) (Ground floor) to Bedroom 2.33 (apartment 16) (Floor 2)?</x:v>
      </x:c>
      <x:c r="D1252" s="6" t="str">
        <x:v>50.14 m
From: Living room 0.02 (apartment 1)
To: Bedroom 2.33 (apartment 16)
Ordered path (7 spaces): Living room 0.02 (apartment 1) → Corridor 0.09 (apartment 1) → Stair hall 0.54 → Stair hall 1.55 → Stair hall 2.55 → Corridor 2.29 (apartment 16) → Bedroom 2.33 (apartment 16)</x:v>
      </x:c>
      <x:c r="E1252" s="6" t="str">
        <x:v>Reference supplied</x:v>
      </x:c>
      <x:c r="F1252" s="6" t="str">
        <x:v>train</x:v>
      </x:c>
      <x:c r="G1252" s="6" t="str">
        <x:v>swiss-210</x:v>
      </x:c>
      <x:c r="H1252" s="6" t="str">
        <x:v>swiss-210-Q04</x:v>
      </x:c>
      <x:c r="I1252" s="6" t="str">
        <x:v>Route planning</x:v>
      </x:c>
      <x:c r="J1252" s="6" t="str">
        <x:v>Warm-up</x:v>
      </x:c>
      <x:c r="K1252" s="6" t="str">
        <x:v>Ordered space path and directions, plus total route-model distance in metres.</x:v>
      </x:c>
      <x:c r="L1252" s="6" t="str">
        <x:v>T02, T05, T13</x:v>
      </x:c>
      <x:c r="M1252" s="6" t="str">
        <x:v>Find a valid route between two rooms, including across floors.</x:v>
      </x:c>
      <x:c r="N1252" s="6" t="str">
        <x:v>{"from_space_id":"swiss-210-F0-S002","to_space_id":"swiss-210-F2-S033","optimal_length_m":50.14,"space_path":["swiss-210-F0-S002","swiss-210-F0-S009","swiss-210-F0-S054","swiss-210-F1-S055","swiss-210-F2-S055","swiss-210-F2-S029","swiss-210-F2-S033"],"element_path":["swiss-210-F0-O0056","swiss-210-F0-O0056","swiss-210-F0-O0010","swiss-210-F0-O0010","swiss-210-V01","swiss-210-V01","swiss-210-F2-O0149","swiss-210-F2-O0149","swiss-210-F2-O0161","swiss-210-F2-O0161"]}</x:v>
      </x:c>
      <x:c r="O1252" s="6"/>
      <x:c r="P1252" s="6" t="str">
        <x:v>README routing profile. Stairs and lifts allowed unless stated otherwise.</x:v>
      </x:c>
      <x:c r="Q1252" s="15" t="n">
        <x:v>50.14</x:v>
      </x:c>
      <x:c r="R1252" s="6" t="str">
        <x:v>m</x:v>
      </x:c>
      <x:c r="S1252" s="16"/>
      <x:c r="T1252" s="15"/>
      <x:c r="U1252" s="6"/>
      <x:c r="V1252" s="6"/>
      <x:c r="W1252" s="6" t="str">
        <x:v>Existing find_route and show_route implement the kit routing model.</x:v>
      </x:c>
      <x:c r="X1252" s="6" t="str">
        <x:v>data/train/swiss-210/questions_basic.jsonl</x:v>
      </x:c>
      <x:c r="Y1252" s="14" t="n">
        <x:v>4</x:v>
      </x:c>
      <x:c r="Z1252" s="6" t="str">
        <x:v>https://github.com/hagenhaeussler/Industrial-Agents-Hackathon-2026/blob/f41616590b69f3ea0c1cbfb41d6c35edd9ce53df/data/train/swiss-210/questions_basic.jsonl#L4</x:v>
      </x:c>
      <x:c r="AA1252" s="6" t="str">
        <x:v>swiss_dwellings</x:v>
      </x:c>
      <x:c r="AB1252" s="6" t="str">
        <x:v>CC-BY-4.0</x:v>
      </x:c>
    </x:row>
    <x:row r="1253" ht="96" customHeight="1">
      <x:c r="A1253" s="14" t="n">
        <x:v>1248</x:v>
      </x:c>
      <x:c r="B1253" s="6" t="str">
        <x:v>route</x:v>
      </x:c>
      <x:c r="C1253" s="6" t="str">
        <x:v>How do I get from Bedroom 2.54 (apartment 18) (Floor 2) to Bedroom 3.02 (apartment 19) (Floor 3)?</x:v>
      </x:c>
      <x:c r="D1253" s="6" t="str">
        <x:v>37.43 m
From: Bedroom 2.54 (apartment 18)
To: Bedroom 3.02 (apartment 19)
Ordered path (6 spaces): Bedroom 2.54 (apartment 18) → Corridor 2.52 (apartment 18) → Stair hall 2.55 → Stair hall 3.55 → Corridor 3.05 (apartment 19) → Bedroom 3.02 (apartment 19)</x:v>
      </x:c>
      <x:c r="E1253" s="6" t="str">
        <x:v>Reference supplied</x:v>
      </x:c>
      <x:c r="F1253" s="6" t="str">
        <x:v>train</x:v>
      </x:c>
      <x:c r="G1253" s="6" t="str">
        <x:v>swiss-210</x:v>
      </x:c>
      <x:c r="H1253" s="6" t="str">
        <x:v>swiss-210-Q05</x:v>
      </x:c>
      <x:c r="I1253" s="6" t="str">
        <x:v>Route planning</x:v>
      </x:c>
      <x:c r="J1253" s="6" t="str">
        <x:v>Warm-up</x:v>
      </x:c>
      <x:c r="K1253" s="6" t="str">
        <x:v>Ordered space path and directions, plus total route-model distance in metres.</x:v>
      </x:c>
      <x:c r="L1253" s="6" t="str">
        <x:v>T02, T05, T13</x:v>
      </x:c>
      <x:c r="M1253" s="6" t="str">
        <x:v>Find a valid route between two rooms, including across floors.</x:v>
      </x:c>
      <x:c r="N1253" s="6" t="str">
        <x:v>{"from_space_id":"swiss-210-F2-S054","to_space_id":"swiss-210-F3-S002","optimal_length_m":37.43,"space_path":["swiss-210-F2-S054","swiss-210-F2-S052","swiss-210-F2-S055","swiss-210-F3-S055","swiss-210-F3-S005","swiss-210-F3-S002"],"element_path":["swiss-210-F2-O0183","swiss-210-F2-O0183","swiss-210-F2-O0178","swiss-210-F2-O0178","swiss-210-V01","swiss-210-F3-O0204","swiss-210-F3-O0204","swiss-210-F3-O0199","swiss-210-F3-O0199"]}</x:v>
      </x:c>
      <x:c r="O1253" s="6"/>
      <x:c r="P1253" s="6" t="str">
        <x:v>README routing profile. Stairs and lifts allowed unless stated otherwise.</x:v>
      </x:c>
      <x:c r="Q1253" s="15" t="n">
        <x:v>37.43</x:v>
      </x:c>
      <x:c r="R1253" s="6" t="str">
        <x:v>m</x:v>
      </x:c>
      <x:c r="S1253" s="16"/>
      <x:c r="T1253" s="15"/>
      <x:c r="U1253" s="6"/>
      <x:c r="V1253" s="6"/>
      <x:c r="W1253" s="6" t="str">
        <x:v>Existing find_route and show_route implement the kit routing model.</x:v>
      </x:c>
      <x:c r="X1253" s="6" t="str">
        <x:v>data/train/swiss-210/questions_basic.jsonl</x:v>
      </x:c>
      <x:c r="Y1253" s="14" t="n">
        <x:v>5</x:v>
      </x:c>
      <x:c r="Z1253" s="6" t="str">
        <x:v>https://github.com/hagenhaeussler/Industrial-Agents-Hackathon-2026/blob/f41616590b69f3ea0c1cbfb41d6c35edd9ce53df/data/train/swiss-210/questions_basic.jsonl#L5</x:v>
      </x:c>
      <x:c r="AA1253" s="6" t="str">
        <x:v>swiss_dwellings</x:v>
      </x:c>
      <x:c r="AB1253" s="6" t="str">
        <x:v>CC-BY-4.0</x:v>
      </x:c>
    </x:row>
    <x:row r="1254" ht="96" customHeight="1">
      <x:c r="A1254" s="14" t="n">
        <x:v>1249</x:v>
      </x:c>
      <x:c r="B1254" s="6" t="str">
        <x:v>route</x:v>
      </x:c>
      <x:c r="C1254" s="6" t="str">
        <x:v>How do I get from Bedroom 1.19 (apartment 6) (Floor 1) to Living room 2.11 (apartment 8) (Floor 2)?</x:v>
      </x:c>
      <x:c r="D1254" s="6" t="str">
        <x:v>29.14 m
From: Bedroom 1.19 (apartment 6)
To: Living room 2.11 (apartment 8)
Ordered path (6 spaces): Bedroom 1.19 (apartment 6) → Corridor 1.16 (apartment 6) → Stair hall 1.21 → Stair hall 2.21 → Corridor 2.08 (apartment 8) → Living room 2.11 (apartment 8)</x:v>
      </x:c>
      <x:c r="E1254" s="6" t="str">
        <x:v>Reference supplied</x:v>
      </x:c>
      <x:c r="F1254" s="6" t="str">
        <x:v>train</x:v>
      </x:c>
      <x:c r="G1254" s="6" t="str">
        <x:v>swiss-22</x:v>
      </x:c>
      <x:c r="H1254" s="6" t="str">
        <x:v>swiss-22-Q02</x:v>
      </x:c>
      <x:c r="I1254" s="6" t="str">
        <x:v>Route planning</x:v>
      </x:c>
      <x:c r="J1254" s="6" t="str">
        <x:v>Warm-up</x:v>
      </x:c>
      <x:c r="K1254" s="6" t="str">
        <x:v>Ordered space path and directions, plus total route-model distance in metres.</x:v>
      </x:c>
      <x:c r="L1254" s="6" t="str">
        <x:v>T02, T05, T13</x:v>
      </x:c>
      <x:c r="M1254" s="6" t="str">
        <x:v>Find a valid route between two rooms, including across floors.</x:v>
      </x:c>
      <x:c r="N1254" s="6" t="str">
        <x:v>{"from_space_id":"swiss-22-F1-S019","to_space_id":"swiss-22-F2-S011","optimal_length_m":29.14,"space_path":["swiss-22-F1-S019","swiss-22-F1-S016","swiss-22-F1-S021","swiss-22-F2-S021","swiss-22-F2-S008","swiss-22-F2-S011"],"element_path":["swiss-22-F1-O0022","swiss-22-F1-O0022","swiss-22-F1-O0024","swiss-22-F1-O0024","swiss-22-V01","swiss-22-F2-O0056","swiss-22-F2-O0056","swiss-22-F2-O0050","swiss-22-F2-O0050"]}</x:v>
      </x:c>
      <x:c r="O1254" s="6"/>
      <x:c r="P1254" s="6" t="str">
        <x:v>README routing profile. Stairs and lifts allowed unless stated otherwise.</x:v>
      </x:c>
      <x:c r="Q1254" s="15" t="n">
        <x:v>29.14</x:v>
      </x:c>
      <x:c r="R1254" s="6" t="str">
        <x:v>m</x:v>
      </x:c>
      <x:c r="S1254" s="16"/>
      <x:c r="T1254" s="15"/>
      <x:c r="U1254" s="6"/>
      <x:c r="V1254" s="6"/>
      <x:c r="W1254" s="6" t="str">
        <x:v>Existing find_route and show_route implement the kit routing model.</x:v>
      </x:c>
      <x:c r="X1254" s="6" t="str">
        <x:v>data/train/swiss-22/questions_basic.jsonl</x:v>
      </x:c>
      <x:c r="Y1254" s="14" t="n">
        <x:v>2</x:v>
      </x:c>
      <x:c r="Z1254" s="6" t="str">
        <x:v>https://github.com/hagenhaeussler/Industrial-Agents-Hackathon-2026/blob/f41616590b69f3ea0c1cbfb41d6c35edd9ce53df/data/train/swiss-22/questions_basic.jsonl#L2</x:v>
      </x:c>
      <x:c r="AA1254" s="6" t="str">
        <x:v>swiss_dwellings</x:v>
      </x:c>
      <x:c r="AB1254" s="6" t="str">
        <x:v>CC-BY-4.0</x:v>
      </x:c>
    </x:row>
    <x:row r="1255" ht="96" customHeight="1">
      <x:c r="A1255" s="14" t="n">
        <x:v>1250</x:v>
      </x:c>
      <x:c r="B1255" s="6" t="str">
        <x:v>route</x:v>
      </x:c>
      <x:c r="C1255" s="6" t="str">
        <x:v>How do I get from Bathroom 0.15 (apartment 3) (Ground floor) to Bedroom 2.05 (apartment 7) (Floor 2)?</x:v>
      </x:c>
      <x:c r="D1255" s="6" t="str">
        <x:v>42.93 m
From: Bathroom 0.15 (apartment 3)
To: Bedroom 2.05 (apartment 7)
Ordered path (7 spaces): Bathroom 0.15 (apartment 3) → Corridor 0.17 (apartment 3) → Stair hall 0.21 → Stair hall 1.21 → Stair hall 2.21 → Corridor 2.04 (apartment 7) → Bedroom 2.05 (apartment 7)</x:v>
      </x:c>
      <x:c r="E1255" s="6" t="str">
        <x:v>Reference supplied</x:v>
      </x:c>
      <x:c r="F1255" s="6" t="str">
        <x:v>train</x:v>
      </x:c>
      <x:c r="G1255" s="6" t="str">
        <x:v>swiss-22</x:v>
      </x:c>
      <x:c r="H1255" s="6" t="str">
        <x:v>swiss-22-Q03</x:v>
      </x:c>
      <x:c r="I1255" s="6" t="str">
        <x:v>Route planning</x:v>
      </x:c>
      <x:c r="J1255" s="6" t="str">
        <x:v>Warm-up</x:v>
      </x:c>
      <x:c r="K1255" s="6" t="str">
        <x:v>Ordered space path and directions, plus total route-model distance in metres.</x:v>
      </x:c>
      <x:c r="L1255" s="6" t="str">
        <x:v>T02, T05, T13</x:v>
      </x:c>
      <x:c r="M1255" s="6" t="str">
        <x:v>Find a valid route between two rooms, including across floors.</x:v>
      </x:c>
      <x:c r="N1255" s="6" t="str">
        <x:v>{"from_space_id":"swiss-22-F0-S015","to_space_id":"swiss-22-F2-S005","optimal_length_m":42.93,"space_path":["swiss-22-F0-S015","swiss-22-F0-S017","swiss-22-F0-S021","swiss-22-F1-S021","swiss-22-F2-S021","swiss-22-F2-S004","swiss-22-F2-S005"],"element_path":["swiss-22-F0-O0017","swiss-22-F0-O0017","swiss-22-F0-O0018","swiss-22-F0-O0018","swiss-22-V01","swiss-22-V01","swiss-22-F2-O0049","swiss-22-F2-O0049","swiss-22-F2-O0046","swiss-22-F2-O0046"]}</x:v>
      </x:c>
      <x:c r="O1255" s="6"/>
      <x:c r="P1255" s="6" t="str">
        <x:v>README routing profile. Stairs and lifts allowed unless stated otherwise.</x:v>
      </x:c>
      <x:c r="Q1255" s="15" t="n">
        <x:v>42.93</x:v>
      </x:c>
      <x:c r="R1255" s="6" t="str">
        <x:v>m</x:v>
      </x:c>
      <x:c r="S1255" s="16"/>
      <x:c r="T1255" s="15"/>
      <x:c r="U1255" s="6"/>
      <x:c r="V1255" s="6"/>
      <x:c r="W1255" s="6" t="str">
        <x:v>Existing find_route and show_route implement the kit routing model.</x:v>
      </x:c>
      <x:c r="X1255" s="6" t="str">
        <x:v>data/train/swiss-22/questions_basic.jsonl</x:v>
      </x:c>
      <x:c r="Y1255" s="14" t="n">
        <x:v>3</x:v>
      </x:c>
      <x:c r="Z1255" s="6" t="str">
        <x:v>https://github.com/hagenhaeussler/Industrial-Agents-Hackathon-2026/blob/f41616590b69f3ea0c1cbfb41d6c35edd9ce53df/data/train/swiss-22/questions_basic.jsonl#L3</x:v>
      </x:c>
      <x:c r="AA1255" s="6" t="str">
        <x:v>swiss_dwellings</x:v>
      </x:c>
      <x:c r="AB1255" s="6" t="str">
        <x:v>CC-BY-4.0</x:v>
      </x:c>
    </x:row>
    <x:row r="1256" ht="96" customHeight="1">
      <x:c r="A1256" s="14" t="n">
        <x:v>1251</x:v>
      </x:c>
      <x:c r="B1256" s="6" t="str">
        <x:v>route</x:v>
      </x:c>
      <x:c r="C1256" s="6" t="str">
        <x:v>How do I get from Bedroom 1.19 (apartment 6) (Floor 1) to Bedroom 3.11 (apartment 11) (Floor 3)?</x:v>
      </x:c>
      <x:c r="D1256" s="6" t="str">
        <x:v>42.92 m
From: Bedroom 1.19 (apartment 6)
To: Bedroom 3.11 (apartment 11)
Ordered path (7 spaces): Bedroom 1.19 (apartment 6) → Corridor 1.16 (apartment 6) → Stair hall 1.21 → Stair hall 2.21 → Stair hall 3.21 → Corridor 3.12 (apartment 11) → Bedroom 3.11 (apartment 11)</x:v>
      </x:c>
      <x:c r="E1256" s="6" t="str">
        <x:v>Reference supplied</x:v>
      </x:c>
      <x:c r="F1256" s="6" t="str">
        <x:v>train</x:v>
      </x:c>
      <x:c r="G1256" s="6" t="str">
        <x:v>swiss-22</x:v>
      </x:c>
      <x:c r="H1256" s="6" t="str">
        <x:v>swiss-22-Q04</x:v>
      </x:c>
      <x:c r="I1256" s="6" t="str">
        <x:v>Route planning</x:v>
      </x:c>
      <x:c r="J1256" s="6" t="str">
        <x:v>Warm-up</x:v>
      </x:c>
      <x:c r="K1256" s="6" t="str">
        <x:v>Ordered space path and directions, plus total route-model distance in metres.</x:v>
      </x:c>
      <x:c r="L1256" s="6" t="str">
        <x:v>T02, T05, T13</x:v>
      </x:c>
      <x:c r="M1256" s="6" t="str">
        <x:v>Find a valid route between two rooms, including across floors.</x:v>
      </x:c>
      <x:c r="N1256" s="6" t="str">
        <x:v>{"from_space_id":"swiss-22-F1-S019","to_space_id":"swiss-22-F3-S011","optimal_length_m":42.92,"space_path":["swiss-22-F1-S019","swiss-22-F1-S016","swiss-22-F1-S021","swiss-22-F2-S021","swiss-22-F3-S021","swiss-22-F3-S012","swiss-22-F3-S011"],"element_path":["swiss-22-F1-O0022","swiss-22-F1-O0022","swiss-22-F1-O0024","swiss-22-F1-O0024","swiss-22-V01","swiss-22-V01","swiss-22-F3-O0069","swiss-22-F3-O0069","swiss-22-F3-O0068","swiss-22-F3-O0068"]}</x:v>
      </x:c>
      <x:c r="O1256" s="6"/>
      <x:c r="P1256" s="6" t="str">
        <x:v>README routing profile. Stairs and lifts allowed unless stated otherwise.</x:v>
      </x:c>
      <x:c r="Q1256" s="15" t="n">
        <x:v>42.92</x:v>
      </x:c>
      <x:c r="R1256" s="6" t="str">
        <x:v>m</x:v>
      </x:c>
      <x:c r="S1256" s="16"/>
      <x:c r="T1256" s="15"/>
      <x:c r="U1256" s="6"/>
      <x:c r="V1256" s="6"/>
      <x:c r="W1256" s="6" t="str">
        <x:v>Existing find_route and show_route implement the kit routing model.</x:v>
      </x:c>
      <x:c r="X1256" s="6" t="str">
        <x:v>data/train/swiss-22/questions_basic.jsonl</x:v>
      </x:c>
      <x:c r="Y1256" s="14" t="n">
        <x:v>4</x:v>
      </x:c>
      <x:c r="Z1256" s="6" t="str">
        <x:v>https://github.com/hagenhaeussler/Industrial-Agents-Hackathon-2026/blob/f41616590b69f3ea0c1cbfb41d6c35edd9ce53df/data/train/swiss-22/questions_basic.jsonl#L4</x:v>
      </x:c>
      <x:c r="AA1256" s="6" t="str">
        <x:v>swiss_dwellings</x:v>
      </x:c>
      <x:c r="AB1256" s="6" t="str">
        <x:v>CC-BY-4.0</x:v>
      </x:c>
    </x:row>
    <x:row r="1257" ht="124" customHeight="1">
      <x:c r="A1257" s="14" t="n">
        <x:v>1252</x:v>
      </x:c>
      <x:c r="B1257" s="6" t="str">
        <x:v>route</x:v>
      </x:c>
      <x:c r="C1257" s="6" t="str">
        <x:v>How do I get from Kitchen 2.46 (apartment 19) (Floor 2) to Living room 0.25 (apartment 4) (Ground floor)?</x:v>
      </x:c>
      <x:c r="D1257" s="6" t="str">
        <x:v>47.95 m
From: Kitchen 2.46 (apartment 19)
To: Living room 0.25 (apartment 4)
Ordered path (11 spaces): Kitchen 2.46 (apartment 19) → Corridor 2.49 (apartment 19) → Corridor 2.41 (apartment 19) → Landing 2.64 → Landing 1.65 → Landing 0.54 → outside → Landing 0.52 → Corridor 0.27 (apartment 4) → Corridor 0.26 (apartment 4) → Living room 0.25 (apartment 4)</x:v>
      </x:c>
      <x:c r="E1257" s="6" t="str">
        <x:v>Reference supplied</x:v>
      </x:c>
      <x:c r="F1257" s="6" t="str">
        <x:v>train</x:v>
      </x:c>
      <x:c r="G1257" s="6" t="str">
        <x:v>swiss-2214</x:v>
      </x:c>
      <x:c r="H1257" s="6" t="str">
        <x:v>swiss-2214-Q02</x:v>
      </x:c>
      <x:c r="I1257" s="6" t="str">
        <x:v>Route planning</x:v>
      </x:c>
      <x:c r="J1257" s="6" t="str">
        <x:v>Warm-up</x:v>
      </x:c>
      <x:c r="K1257" s="6" t="str">
        <x:v>Ordered space path and directions, plus total route-model distance in metres.</x:v>
      </x:c>
      <x:c r="L1257" s="6" t="str">
        <x:v>T02, T05, T13</x:v>
      </x:c>
      <x:c r="M1257" s="6" t="str">
        <x:v>Find a valid route between two rooms, including across floors.</x:v>
      </x:c>
      <x:c r="N1257" s="6" t="str">
        <x:v>{"from_space_id":"swiss-2214-F2-S046","to_space_id":"swiss-2214-F0-S025","optimal_length_m":47.95,"space_path":["swiss-2214-F2-S046","swiss-2214-F2-S049","swiss-2214-F2-S041","swiss-2214-F2-S064","swiss-2214-F1-S065","swiss-2214-F0-S054","outside","swiss-2214-F0-S052","swiss-2214-F0-S027","swiss-2214-F0-S026","swiss-2214-F0-S025"],"element_path":["swiss-2214-F2-O0153","swiss-2214-F2-O0153","swiss-2214-F2-O0177","swiss-2214-F2-O0177","swiss-2214-F2-O0157","swiss-2214-F2-O0157","swiss-2214-V11","swiss-2214-V07","swiss-2214-F0-O0261","swiss-2214-F0-O0261","swiss-2214-F0-O0259","swiss-2214-F0-O0259","swiss-2214-F0-O0023","swiss-2214-F0-O0023","swiss-2214-F0-O0048","swiss-2214-F0-O0048","swiss-2214-F0-O0018","swiss-2214-F0-O0018"]}</x:v>
      </x:c>
      <x:c r="O1257" s="6"/>
      <x:c r="P1257" s="6" t="str">
        <x:v>README routing profile. Stairs and lifts allowed unless stated otherwise.</x:v>
      </x:c>
      <x:c r="Q1257" s="15" t="n">
        <x:v>47.95</x:v>
      </x:c>
      <x:c r="R1257" s="6" t="str">
        <x:v>m</x:v>
      </x:c>
      <x:c r="S1257" s="16"/>
      <x:c r="T1257" s="15"/>
      <x:c r="U1257" s="6"/>
      <x:c r="V1257" s="6"/>
      <x:c r="W1257" s="6" t="str">
        <x:v>Existing find_route and show_route implement the kit routing model.</x:v>
      </x:c>
      <x:c r="X1257" s="6" t="str">
        <x:v>data/train/swiss-2214/questions_basic.jsonl</x:v>
      </x:c>
      <x:c r="Y1257" s="14" t="n">
        <x:v>2</x:v>
      </x:c>
      <x:c r="Z1257" s="6" t="str">
        <x:v>https://github.com/hagenhaeussler/Industrial-Agents-Hackathon-2026/blob/f41616590b69f3ea0c1cbfb41d6c35edd9ce53df/data/train/swiss-2214/questions_basic.jsonl#L2</x:v>
      </x:c>
      <x:c r="AA1257" s="6" t="str">
        <x:v>swiss_dwellings</x:v>
      </x:c>
      <x:c r="AB1257" s="6" t="str">
        <x:v>CC-BY-4.0</x:v>
      </x:c>
    </x:row>
    <x:row r="1258" ht="124" customHeight="1">
      <x:c r="A1258" s="14" t="n">
        <x:v>1253</x:v>
      </x:c>
      <x:c r="B1258" s="6" t="str">
        <x:v>route</x:v>
      </x:c>
      <x:c r="C1258" s="6" t="str">
        <x:v>How do I get from Bedroom 2.28 (apartment 17) (Floor 2) to Bedroom 1.42 (apartment 11) (Floor 1)?</x:v>
      </x:c>
      <x:c r="D1258" s="6" t="str">
        <x:v>54.88 m
From: Bedroom 2.28 (apartment 17)
To: Bedroom 1.42 (apartment 11)
Ordered path (11 spaces): Bedroom 2.28 (apartment 17) → Corridor 2.24 (apartment 17) → Landing 2.63 → Landing 1.60 → Landing 0.52 → outside → Landing 0.53 → Landing 1.64 → Corridor 1.40 (apartment 11) → Corridor 1.38 (apartment 11) → Bedroom 1.42 (apartment 11)</x:v>
      </x:c>
      <x:c r="E1258" s="6" t="str">
        <x:v>Reference supplied</x:v>
      </x:c>
      <x:c r="F1258" s="6" t="str">
        <x:v>train</x:v>
      </x:c>
      <x:c r="G1258" s="6" t="str">
        <x:v>swiss-2214</x:v>
      </x:c>
      <x:c r="H1258" s="6" t="str">
        <x:v>swiss-2214-Q03</x:v>
      </x:c>
      <x:c r="I1258" s="6" t="str">
        <x:v>Route planning</x:v>
      </x:c>
      <x:c r="J1258" s="6" t="str">
        <x:v>Warm-up</x:v>
      </x:c>
      <x:c r="K1258" s="6" t="str">
        <x:v>Ordered space path and directions, plus total route-model distance in metres.</x:v>
      </x:c>
      <x:c r="L1258" s="6" t="str">
        <x:v>T02, T05, T13</x:v>
      </x:c>
      <x:c r="M1258" s="6" t="str">
        <x:v>Find a valid route between two rooms, including across floors.</x:v>
      </x:c>
      <x:c r="N1258" s="6" t="str">
        <x:v>{"from_space_id":"swiss-2214-F2-S028","to_space_id":"swiss-2214-F1-S042","optimal_length_m":54.88,"space_path":["swiss-2214-F2-S028","swiss-2214-F2-S024","swiss-2214-F2-S063","swiss-2214-F1-S060","swiss-2214-F0-S052","outside","swiss-2214-F0-S053","swiss-2214-F1-S064","swiss-2214-F1-S040","swiss-2214-F1-S038","swiss-2214-F1-S042"],"element_path":["swiss-2214-F2-O0143","swiss-2214-F2-O0143","swiss-2214-F2-O0142","swiss-2214-F2-O0142","swiss-2214-V10","swiss-2214-V03","swiss-2214-F0-O0259","swiss-2214-F0-O0259","swiss-2214-F0-O0260","swiss-2214-F0-O0260","swiss-2214-V06","swiss-2214-F1-O0089","swiss-2214-F1-O0089","swiss-2214-F1-O0112","swiss-2214-F1-O0112","swiss-2214-F1-O0091","swiss-2214-F1-O0091"]}</x:v>
      </x:c>
      <x:c r="O1258" s="6"/>
      <x:c r="P1258" s="6" t="str">
        <x:v>README routing profile. Stairs and lifts allowed unless stated otherwise.</x:v>
      </x:c>
      <x:c r="Q1258" s="15" t="n">
        <x:v>54.88</x:v>
      </x:c>
      <x:c r="R1258" s="6" t="str">
        <x:v>m</x:v>
      </x:c>
      <x:c r="S1258" s="16"/>
      <x:c r="T1258" s="15"/>
      <x:c r="U1258" s="6"/>
      <x:c r="V1258" s="6"/>
      <x:c r="W1258" s="6" t="str">
        <x:v>Existing find_route and show_route implement the kit routing model.</x:v>
      </x:c>
      <x:c r="X1258" s="6" t="str">
        <x:v>data/train/swiss-2214/questions_basic.jsonl</x:v>
      </x:c>
      <x:c r="Y1258" s="14" t="n">
        <x:v>3</x:v>
      </x:c>
      <x:c r="Z1258" s="6" t="str">
        <x:v>https://github.com/hagenhaeussler/Industrial-Agents-Hackathon-2026/blob/f41616590b69f3ea0c1cbfb41d6c35edd9ce53df/data/train/swiss-2214/questions_basic.jsonl#L3</x:v>
      </x:c>
      <x:c r="AA1258" s="6" t="str">
        <x:v>swiss_dwellings</x:v>
      </x:c>
      <x:c r="AB1258" s="6" t="str">
        <x:v>CC-BY-4.0</x:v>
      </x:c>
    </x:row>
    <x:row r="1259" ht="138" customHeight="1">
      <x:c r="A1259" s="14" t="n">
        <x:v>1254</x:v>
      </x:c>
      <x:c r="B1259" s="6" t="str">
        <x:v>route</x:v>
      </x:c>
      <x:c r="C1259" s="6" t="str">
        <x:v>How do I get from Kitchen 0.10 (apartment 2) (Ground floor) to Bedroom 4.02 (apartment 27) (Floor 4)?</x:v>
      </x:c>
      <x:c r="D1259" s="6" t="str">
        <x:v>65.79 m
From: Kitchen 0.10 (apartment 2)
To: Bedroom 4.02 (apartment 27)
Ordered path (12 spaces): Kitchen 0.10 (apartment 2) → Corridor 0.07 (apartment 2) → Corridor 0.08 (apartment 2) → Landing 0.50 → outside → Landing 0.52 → Landing 1.60 → Landing 2.63 → Landing 3.52 → Landing 4.24 → Corridor 4.05 (apartment 27) → Bedroom 4.02 (apartment 27)</x:v>
      </x:c>
      <x:c r="E1259" s="6" t="str">
        <x:v>Reference supplied</x:v>
      </x:c>
      <x:c r="F1259" s="6" t="str">
        <x:v>train</x:v>
      </x:c>
      <x:c r="G1259" s="6" t="str">
        <x:v>swiss-2214</x:v>
      </x:c>
      <x:c r="H1259" s="6" t="str">
        <x:v>swiss-2214-Q04</x:v>
      </x:c>
      <x:c r="I1259" s="6" t="str">
        <x:v>Route planning</x:v>
      </x:c>
      <x:c r="J1259" s="6" t="str">
        <x:v>Warm-up</x:v>
      </x:c>
      <x:c r="K1259" s="6" t="str">
        <x:v>Ordered space path and directions, plus total route-model distance in metres.</x:v>
      </x:c>
      <x:c r="L1259" s="6" t="str">
        <x:v>T02, T05, T13</x:v>
      </x:c>
      <x:c r="M1259" s="6" t="str">
        <x:v>Find a valid route between two rooms, including across floors.</x:v>
      </x:c>
      <x:c r="N1259" s="6" t="str">
        <x:v>{"from_space_id":"swiss-2214-F0-S010","to_space_id":"swiss-2214-F4-S002","optimal_length_m":65.79,"space_path":["swiss-2214-F0-S010","swiss-2214-F0-S007","swiss-2214-F0-S008","swiss-2214-F0-S050","outside","swiss-2214-F0-S052","swiss-2214-F1-S060","swiss-2214-F2-S063","swiss-2214-F3-S052","swiss-2214-F4-S024","swiss-2214-F4-S005","swiss-2214-F4-S002"],"element_path":["swiss-2214-F0-O0009","swiss-2214-F0-O0009","swiss-2214-F0-O0046","swiss-2214-F0-O0046","swiss-2214-F0-O0005","swiss-2214-F0-O0005","swiss-2214-F0-O0257","swiss-2214-F0-O0257","swiss-2214-F0-O0259","swiss-2214-F0-O0259","swiss-2214-V03","swiss-2214-V10","swiss-2214-V13","swiss-2214-V15","swiss-2214-F4-O0240","swiss-2214-F4-O0240","swiss-2214-F4-O0234","swiss-2214-F4-O0234"]}</x:v>
      </x:c>
      <x:c r="O1259" s="6"/>
      <x:c r="P1259" s="6" t="str">
        <x:v>README routing profile. Stairs and lifts allowed unless stated otherwise.</x:v>
      </x:c>
      <x:c r="Q1259" s="15" t="n">
        <x:v>65.79</x:v>
      </x:c>
      <x:c r="R1259" s="6" t="str">
        <x:v>m</x:v>
      </x:c>
      <x:c r="S1259" s="16"/>
      <x:c r="T1259" s="15"/>
      <x:c r="U1259" s="6"/>
      <x:c r="V1259" s="6"/>
      <x:c r="W1259" s="6" t="str">
        <x:v>Existing find_route and show_route implement the kit routing model.</x:v>
      </x:c>
      <x:c r="X1259" s="6" t="str">
        <x:v>data/train/swiss-2214/questions_basic.jsonl</x:v>
      </x:c>
      <x:c r="Y1259" s="14" t="n">
        <x:v>4</x:v>
      </x:c>
      <x:c r="Z1259" s="6" t="str">
        <x:v>https://github.com/hagenhaeussler/Industrial-Agents-Hackathon-2026/blob/f41616590b69f3ea0c1cbfb41d6c35edd9ce53df/data/train/swiss-2214/questions_basic.jsonl#L4</x:v>
      </x:c>
      <x:c r="AA1259" s="6" t="str">
        <x:v>swiss_dwellings</x:v>
      </x:c>
      <x:c r="AB1259" s="6" t="str">
        <x:v>CC-BY-4.0</x:v>
      </x:c>
    </x:row>
    <x:row r="1260" ht="110" customHeight="1">
      <x:c r="A1260" s="14" t="n">
        <x:v>1255</x:v>
      </x:c>
      <x:c r="B1260" s="6" t="str">
        <x:v>route</x:v>
      </x:c>
      <x:c r="C1260" s="6" t="str">
        <x:v>How do I get from Kitchen 1.29 (apartment 8) (Floor 1) to Bathroom 5.21 (apartment 25) (Floor 5)?</x:v>
      </x:c>
      <x:c r="D1260" s="6" t="str">
        <x:v>62.25 m
From: Kitchen 1.29 (apartment 8)
To: Bathroom 5.21 (apartment 25)
Ordered path (9 spaces): Kitchen 1.29 (apartment 8) → Corridor 1.30 (apartment 8) → Stair hall 1.32 → Stair hall 2.32 → Stair hall 3.32 → Stair hall 4.32 → Landing 5.27 → Corridor 5.20 (apartment 25) → Bathroom 5.21 (apartment 25)</x:v>
      </x:c>
      <x:c r="E1260" s="6" t="str">
        <x:v>Reference supplied</x:v>
      </x:c>
      <x:c r="F1260" s="6" t="str">
        <x:v>train</x:v>
      </x:c>
      <x:c r="G1260" s="6" t="str">
        <x:v>swiss-2216</x:v>
      </x:c>
      <x:c r="H1260" s="6" t="str">
        <x:v>swiss-2216-Q03</x:v>
      </x:c>
      <x:c r="I1260" s="6" t="str">
        <x:v>Route planning</x:v>
      </x:c>
      <x:c r="J1260" s="6" t="str">
        <x:v>Warm-up</x:v>
      </x:c>
      <x:c r="K1260" s="6" t="str">
        <x:v>Ordered space path and directions, plus total route-model distance in metres.</x:v>
      </x:c>
      <x:c r="L1260" s="6" t="str">
        <x:v>T02, T05, T13</x:v>
      </x:c>
      <x:c r="M1260" s="6" t="str">
        <x:v>Find a valid route between two rooms, including across floors.</x:v>
      </x:c>
      <x:c r="N1260" s="6" t="str">
        <x:v>{"from_space_id":"swiss-2216-F1-S029","to_space_id":"swiss-2216-F5-S021","optimal_length_m":62.25,"space_path":["swiss-2216-F1-S029","swiss-2216-F1-S030","swiss-2216-F1-S032","swiss-2216-F2-S032","swiss-2216-F3-S032","swiss-2216-F4-S032","swiss-2216-F5-S027","swiss-2216-F5-S020","swiss-2216-F5-S021"],"element_path":["swiss-2216-F1-O0054","swiss-2216-F1-O0054","swiss-2216-F1-O0056","swiss-2216-F1-O0056","swiss-2216-V01","swiss-2216-V01","swiss-2216-V01","swiss-2216-V10","swiss-2216-F5-O0169","swiss-2216-F5-O0169","swiss-2216-F5-O0174","swiss-2216-F5-O0174"]}</x:v>
      </x:c>
      <x:c r="O1260" s="6"/>
      <x:c r="P1260" s="6" t="str">
        <x:v>README routing profile. Stairs and lifts allowed unless stated otherwise.</x:v>
      </x:c>
      <x:c r="Q1260" s="15" t="n">
        <x:v>62.25</x:v>
      </x:c>
      <x:c r="R1260" s="6" t="str">
        <x:v>m</x:v>
      </x:c>
      <x:c r="S1260" s="16"/>
      <x:c r="T1260" s="15"/>
      <x:c r="U1260" s="6"/>
      <x:c r="V1260" s="6"/>
      <x:c r="W1260" s="6" t="str">
        <x:v>Existing find_route and show_route implement the kit routing model.</x:v>
      </x:c>
      <x:c r="X1260" s="6" t="str">
        <x:v>data/train/swiss-2216/questions_basic.jsonl</x:v>
      </x:c>
      <x:c r="Y1260" s="14" t="n">
        <x:v>3</x:v>
      </x:c>
      <x:c r="Z1260" s="6" t="str">
        <x:v>https://github.com/hagenhaeussler/Industrial-Agents-Hackathon-2026/blob/f41616590b69f3ea0c1cbfb41d6c35edd9ce53df/data/train/swiss-2216/questions_basic.jsonl#L3</x:v>
      </x:c>
      <x:c r="AA1260" s="6" t="str">
        <x:v>swiss_dwellings</x:v>
      </x:c>
      <x:c r="AB1260" s="6" t="str">
        <x:v>CC-BY-4.0</x:v>
      </x:c>
    </x:row>
    <x:row r="1261" ht="96" customHeight="1">
      <x:c r="A1261" s="14" t="n">
        <x:v>1256</x:v>
      </x:c>
      <x:c r="B1261" s="6" t="str">
        <x:v>route</x:v>
      </x:c>
      <x:c r="C1261" s="6" t="str">
        <x:v>How do I get from Bathroom 0.15 (apartment 2) (Ground floor) to Bathroom 2.05 (apartment 9) (Floor 2)?</x:v>
      </x:c>
      <x:c r="D1261" s="6" t="str">
        <x:v>41.24 m
From: Bathroom 0.15 (apartment 2)
To: Bathroom 2.05 (apartment 9)
Ordered path (7 spaces): Bathroom 0.15 (apartment 2) → Corridor 0.09 (apartment 2) → Stair hall 0.31 → Stair hall 1.31 → Stair hall 2.31 → Corridor 2.08 (apartment 9) → Bathroom 2.05 (apartment 9)</x:v>
      </x:c>
      <x:c r="E1261" s="6" t="str">
        <x:v>Reference supplied</x:v>
      </x:c>
      <x:c r="F1261" s="6" t="str">
        <x:v>train</x:v>
      </x:c>
      <x:c r="G1261" s="6" t="str">
        <x:v>swiss-2216</x:v>
      </x:c>
      <x:c r="H1261" s="6" t="str">
        <x:v>swiss-2216-Q04</x:v>
      </x:c>
      <x:c r="I1261" s="6" t="str">
        <x:v>Route planning</x:v>
      </x:c>
      <x:c r="J1261" s="6" t="str">
        <x:v>Warm-up</x:v>
      </x:c>
      <x:c r="K1261" s="6" t="str">
        <x:v>Ordered space path and directions, plus total route-model distance in metres.</x:v>
      </x:c>
      <x:c r="L1261" s="6" t="str">
        <x:v>T02, T05, T13</x:v>
      </x:c>
      <x:c r="M1261" s="6" t="str">
        <x:v>Find a valid route between two rooms, including across floors.</x:v>
      </x:c>
      <x:c r="N1261" s="6" t="str">
        <x:v>{"from_space_id":"swiss-2216-F0-S015","to_space_id":"swiss-2216-F2-S005","optimal_length_m":41.24,"space_path":["swiss-2216-F0-S015","swiss-2216-F0-S009","swiss-2216-F0-S031","swiss-2216-F1-S031","swiss-2216-F2-S031","swiss-2216-F2-S008","swiss-2216-F2-S005"],"element_path":["swiss-2216-F0-O0009","swiss-2216-F0-O0009","swiss-2216-F0-O0007","swiss-2216-F0-O0007","swiss-2216-V02","swiss-2216-V03","swiss-2216-F2-O0065","swiss-2216-F2-O0065","swiss-2216-F2-O0064","swiss-2216-F2-O0064"]}</x:v>
      </x:c>
      <x:c r="O1261" s="6"/>
      <x:c r="P1261" s="6" t="str">
        <x:v>README routing profile. Stairs and lifts allowed unless stated otherwise.</x:v>
      </x:c>
      <x:c r="Q1261" s="15" t="n">
        <x:v>41.24</x:v>
      </x:c>
      <x:c r="R1261" s="6" t="str">
        <x:v>m</x:v>
      </x:c>
      <x:c r="S1261" s="16"/>
      <x:c r="T1261" s="15"/>
      <x:c r="U1261" s="6"/>
      <x:c r="V1261" s="6"/>
      <x:c r="W1261" s="6" t="str">
        <x:v>Existing find_route and show_route implement the kit routing model.</x:v>
      </x:c>
      <x:c r="X1261" s="6" t="str">
        <x:v>data/train/swiss-2216/questions_basic.jsonl</x:v>
      </x:c>
      <x:c r="Y1261" s="14" t="n">
        <x:v>4</x:v>
      </x:c>
      <x:c r="Z1261" s="6" t="str">
        <x:v>https://github.com/hagenhaeussler/Industrial-Agents-Hackathon-2026/blob/f41616590b69f3ea0c1cbfb41d6c35edd9ce53df/data/train/swiss-2216/questions_basic.jsonl#L4</x:v>
      </x:c>
      <x:c r="AA1261" s="6" t="str">
        <x:v>swiss_dwellings</x:v>
      </x:c>
      <x:c r="AB1261" s="6" t="str">
        <x:v>CC-BY-4.0</x:v>
      </x:c>
    </x:row>
    <x:row r="1262" ht="124" customHeight="1">
      <x:c r="A1262" s="14" t="n">
        <x:v>1257</x:v>
      </x:c>
      <x:c r="B1262" s="6" t="str">
        <x:v>route</x:v>
      </x:c>
      <x:c r="C1262" s="6" t="str">
        <x:v>How do I get from Bedroom 2.04 (apartment 9) (Floor 2) to Bedroom 3.28 (apartment 16) (Floor 3)?</x:v>
      </x:c>
      <x:c r="D1262" s="6" t="str">
        <x:v>81.5 m
From: Bedroom 2.04 (apartment 9)
To: Bedroom 3.28 (apartment 16)
Ordered path (11 spaces): Bedroom 2.04 (apartment 9) → Corridor 2.08 (apartment 9) → Stair hall 2.31 → Stair hall 3.31 → Stair hall 4.31 → Landing 5.24 → Landing 5.28 → Stair hall 4.32 → Stair hall 3.32 → Corridor 3.23 (apartment 16) → Bedroom 3.28 (apartment 16)</x:v>
      </x:c>
      <x:c r="E1262" s="6" t="str">
        <x:v>Reference supplied</x:v>
      </x:c>
      <x:c r="F1262" s="6" t="str">
        <x:v>train</x:v>
      </x:c>
      <x:c r="G1262" s="6" t="str">
        <x:v>swiss-2216</x:v>
      </x:c>
      <x:c r="H1262" s="6" t="str">
        <x:v>swiss-2216-Q05</x:v>
      </x:c>
      <x:c r="I1262" s="6" t="str">
        <x:v>Route planning</x:v>
      </x:c>
      <x:c r="J1262" s="6" t="str">
        <x:v>Warm-up</x:v>
      </x:c>
      <x:c r="K1262" s="6" t="str">
        <x:v>Ordered space path and directions, plus total route-model distance in metres.</x:v>
      </x:c>
      <x:c r="L1262" s="6" t="str">
        <x:v>T02, T05, T13</x:v>
      </x:c>
      <x:c r="M1262" s="6" t="str">
        <x:v>Find a valid route between two rooms, including across floors.</x:v>
      </x:c>
      <x:c r="N1262" s="6" t="str">
        <x:v>{"from_space_id":"swiss-2216-F2-S004","to_space_id":"swiss-2216-F3-S028","optimal_length_m":81.5,"space_path":["swiss-2216-F2-S004","swiss-2216-F2-S008","swiss-2216-F2-S031","swiss-2216-F3-S031","swiss-2216-F4-S031","swiss-2216-F5-S024","swiss-2216-F5-S028","swiss-2216-F4-S032","swiss-2216-F3-S032","swiss-2216-F3-S023","swiss-2216-F3-S028"],"element_path":["swiss-2216-F2-O0068","swiss-2216-F2-O0068","swiss-2216-F2-O0065","swiss-2216-F2-O0065","swiss-2216-V04","swiss-2216-V05","swiss-2216-V07","swiss-2216-F5-O0152","swiss-2216-F5-O0152","swiss-2216-V01","swiss-2216-V01","swiss-2216-F3-O0116","swiss-2216-F3-O0116","swiss-2216-F3-O0118","swiss-2216-F3-O0118"]}</x:v>
      </x:c>
      <x:c r="O1262" s="6"/>
      <x:c r="P1262" s="6" t="str">
        <x:v>README routing profile. Stairs and lifts allowed unless stated otherwise.</x:v>
      </x:c>
      <x:c r="Q1262" s="15" t="n">
        <x:v>81.5</x:v>
      </x:c>
      <x:c r="R1262" s="6" t="str">
        <x:v>m</x:v>
      </x:c>
      <x:c r="S1262" s="16"/>
      <x:c r="T1262" s="15"/>
      <x:c r="U1262" s="6"/>
      <x:c r="V1262" s="6"/>
      <x:c r="W1262" s="6" t="str">
        <x:v>Existing find_route and show_route implement the kit routing model.</x:v>
      </x:c>
      <x:c r="X1262" s="6" t="str">
        <x:v>data/train/swiss-2216/questions_basic.jsonl</x:v>
      </x:c>
      <x:c r="Y1262" s="14" t="n">
        <x:v>5</x:v>
      </x:c>
      <x:c r="Z1262" s="6" t="str">
        <x:v>https://github.com/hagenhaeussler/Industrial-Agents-Hackathon-2026/blob/f41616590b69f3ea0c1cbfb41d6c35edd9ce53df/data/train/swiss-2216/questions_basic.jsonl#L5</x:v>
      </x:c>
      <x:c r="AA1262" s="6" t="str">
        <x:v>swiss_dwellings</x:v>
      </x:c>
      <x:c r="AB1262" s="6" t="str">
        <x:v>CC-BY-4.0</x:v>
      </x:c>
    </x:row>
    <x:row r="1263" ht="110" customHeight="1">
      <x:c r="A1263" s="14" t="n">
        <x:v>1258</x:v>
      </x:c>
      <x:c r="B1263" s="6" t="str">
        <x:v>route</x:v>
      </x:c>
      <x:c r="C1263" s="6" t="str">
        <x:v>How do I get from Kitchen 3.08 (apartment 8) (Floor 3) to Kitchen 0.10 (apartment 2) (Ground floor)?</x:v>
      </x:c>
      <x:c r="D1263" s="6" t="str">
        <x:v>50.59 m
From: Kitchen 3.08 (apartment 8)
To: Kitchen 0.10 (apartment 2)
Ordered path (10 spaces): Kitchen 3.08 (apartment 8) → Corridor 3.15 (apartment 8) → Stair hall 3.16 → Stair hall 2.17 → Stair hall 1.17 → Landing 0.15 → outside → Landing 0.16 → Corridor 0.12 (apartment 2) → Kitchen 0.10 (apartment 2)</x:v>
      </x:c>
      <x:c r="E1263" s="6" t="str">
        <x:v>Reference supplied</x:v>
      </x:c>
      <x:c r="F1263" s="6" t="str">
        <x:v>train</x:v>
      </x:c>
      <x:c r="G1263" s="6" t="str">
        <x:v>swiss-2221</x:v>
      </x:c>
      <x:c r="H1263" s="6" t="str">
        <x:v>swiss-2221-Q05</x:v>
      </x:c>
      <x:c r="I1263" s="6" t="str">
        <x:v>Route planning</x:v>
      </x:c>
      <x:c r="J1263" s="6" t="str">
        <x:v>Warm-up</x:v>
      </x:c>
      <x:c r="K1263" s="6" t="str">
        <x:v>Ordered space path and directions, plus total route-model distance in metres.</x:v>
      </x:c>
      <x:c r="L1263" s="6" t="str">
        <x:v>T02, T05, T13</x:v>
      </x:c>
      <x:c r="M1263" s="6" t="str">
        <x:v>Find a valid route between two rooms, including across floors.</x:v>
      </x:c>
      <x:c r="N1263" s="6" t="str">
        <x:v>{"from_space_id":"swiss-2221-F3-S008","to_space_id":"swiss-2221-F0-S010","optimal_length_m":50.59,"space_path":["swiss-2221-F3-S008","swiss-2221-F3-S015","swiss-2221-F3-S016","swiss-2221-F2-S017","swiss-2221-F1-S017","swiss-2221-F0-S015","outside","swiss-2221-F0-S016","swiss-2221-F0-S012","swiss-2221-F0-S010"],"element_path":["swiss-2221-F3-O0067","swiss-2221-F3-O0067","swiss-2221-F3-O0066","swiss-2221-F3-O0066","swiss-2221-V01","swiss-2221-V01","swiss-2221-V01","swiss-2221-F0-O0070","swiss-2221-F0-O0070","swiss-2221-F0-O0071","swiss-2221-F0-O0071","swiss-2221-F0-O0013","swiss-2221-F0-O0013","swiss-2221-F0-O0011","swiss-2221-F0-O0011"]}</x:v>
      </x:c>
      <x:c r="O1263" s="6"/>
      <x:c r="P1263" s="6" t="str">
        <x:v>README routing profile. Stairs and lifts allowed unless stated otherwise.</x:v>
      </x:c>
      <x:c r="Q1263" s="15" t="n">
        <x:v>50.59</x:v>
      </x:c>
      <x:c r="R1263" s="6" t="str">
        <x:v>m</x:v>
      </x:c>
      <x:c r="S1263" s="16"/>
      <x:c r="T1263" s="15"/>
      <x:c r="U1263" s="6"/>
      <x:c r="V1263" s="6"/>
      <x:c r="W1263" s="6" t="str">
        <x:v>Existing find_route and show_route implement the kit routing model.</x:v>
      </x:c>
      <x:c r="X1263" s="6" t="str">
        <x:v>data/train/swiss-2221/questions_basic.jsonl</x:v>
      </x:c>
      <x:c r="Y1263" s="14" t="n">
        <x:v>5</x:v>
      </x:c>
      <x:c r="Z1263" s="6" t="str">
        <x:v>https://github.com/hagenhaeussler/Industrial-Agents-Hackathon-2026/blob/f41616590b69f3ea0c1cbfb41d6c35edd9ce53df/data/train/swiss-2221/questions_basic.jsonl#L5</x:v>
      </x:c>
      <x:c r="AA1263" s="6" t="str">
        <x:v>swiss_dwellings</x:v>
      </x:c>
      <x:c r="AB1263" s="6" t="str">
        <x:v>CC-BY-4.0</x:v>
      </x:c>
    </x:row>
    <x:row r="1264" ht="96" customHeight="1">
      <x:c r="A1264" s="14" t="n">
        <x:v>1259</x:v>
      </x:c>
      <x:c r="B1264" s="6" t="str">
        <x:v>route</x:v>
      </x:c>
      <x:c r="C1264" s="6" t="str">
        <x:v>How do I get from Bedroom 3.13 (apartment 8) (Floor 3) to Bedroom 2.09 (apartment 5) (Floor 2)?</x:v>
      </x:c>
      <x:c r="D1264" s="6" t="str">
        <x:v>28.25 m
From: Bedroom 3.13 (apartment 8)
To: Bedroom 2.09 (apartment 5)
Ordered path (6 spaces): Bedroom 3.13 (apartment 8) → Corridor 3.15 (apartment 8) → Stair hall 3.16 → Stair hall 2.17 → Corridor 2.05 (apartment 5) → Bedroom 2.09 (apartment 5)</x:v>
      </x:c>
      <x:c r="E1264" s="6" t="str">
        <x:v>Reference supplied</x:v>
      </x:c>
      <x:c r="F1264" s="6" t="str">
        <x:v>train</x:v>
      </x:c>
      <x:c r="G1264" s="6" t="str">
        <x:v>swiss-2221</x:v>
      </x:c>
      <x:c r="H1264" s="6" t="str">
        <x:v>swiss-2221-Q06</x:v>
      </x:c>
      <x:c r="I1264" s="6" t="str">
        <x:v>Route planning</x:v>
      </x:c>
      <x:c r="J1264" s="6" t="str">
        <x:v>Warm-up</x:v>
      </x:c>
      <x:c r="K1264" s="6" t="str">
        <x:v>Ordered space path and directions, plus total route-model distance in metres.</x:v>
      </x:c>
      <x:c r="L1264" s="6" t="str">
        <x:v>T02, T05, T13</x:v>
      </x:c>
      <x:c r="M1264" s="6" t="str">
        <x:v>Find a valid route between two rooms, including across floors.</x:v>
      </x:c>
      <x:c r="N1264" s="6" t="str">
        <x:v>{"from_space_id":"swiss-2221-F3-S013","to_space_id":"swiss-2221-F2-S009","optimal_length_m":28.25,"space_path":["swiss-2221-F3-S013","swiss-2221-F3-S015","swiss-2221-F3-S016","swiss-2221-F2-S017","swiss-2221-F2-S005","swiss-2221-F2-S009"],"element_path":["swiss-2221-F3-O0069","swiss-2221-F3-O0069","swiss-2221-F3-O0066","swiss-2221-F3-O0066","swiss-2221-V01","swiss-2221-F2-O0042","swiss-2221-F2-O0042","swiss-2221-F2-O0041","swiss-2221-F2-O0041"]}</x:v>
      </x:c>
      <x:c r="O1264" s="6"/>
      <x:c r="P1264" s="6" t="str">
        <x:v>README routing profile. Stairs and lifts allowed unless stated otherwise.</x:v>
      </x:c>
      <x:c r="Q1264" s="15" t="n">
        <x:v>28.25</x:v>
      </x:c>
      <x:c r="R1264" s="6" t="str">
        <x:v>m</x:v>
      </x:c>
      <x:c r="S1264" s="16"/>
      <x:c r="T1264" s="15"/>
      <x:c r="U1264" s="6"/>
      <x:c r="V1264" s="6"/>
      <x:c r="W1264" s="6" t="str">
        <x:v>Existing find_route and show_route implement the kit routing model.</x:v>
      </x:c>
      <x:c r="X1264" s="6" t="str">
        <x:v>data/train/swiss-2221/questions_basic.jsonl</x:v>
      </x:c>
      <x:c r="Y1264" s="14" t="n">
        <x:v>6</x:v>
      </x:c>
      <x:c r="Z1264" s="6" t="str">
        <x:v>https://github.com/hagenhaeussler/Industrial-Agents-Hackathon-2026/blob/f41616590b69f3ea0c1cbfb41d6c35edd9ce53df/data/train/swiss-2221/questions_basic.jsonl#L6</x:v>
      </x:c>
      <x:c r="AA1264" s="6" t="str">
        <x:v>swiss_dwellings</x:v>
      </x:c>
      <x:c r="AB1264" s="6" t="str">
        <x:v>CC-BY-4.0</x:v>
      </x:c>
    </x:row>
    <x:row r="1265" ht="96" customHeight="1">
      <x:c r="A1265" s="14" t="n">
        <x:v>1260</x:v>
      </x:c>
      <x:c r="B1265" s="6" t="str">
        <x:v>route</x:v>
      </x:c>
      <x:c r="C1265" s="6" t="str">
        <x:v>How do I get from Bathroom 3.14 (apartment 8) (Floor 3) to Bedroom 1.09 (apartment 3) (Floor 1)?</x:v>
      </x:c>
      <x:c r="D1265" s="6" t="str">
        <x:v>39.47 m
From: Bathroom 3.14 (apartment 8)
To: Bedroom 1.09 (apartment 3)
Ordered path (7 spaces): Bathroom 3.14 (apartment 8) → Corridor 3.15 (apartment 8) → Stair hall 3.16 → Stair hall 2.17 → Stair hall 1.17 → Corridor 1.01 (apartment 3) → Bedroom 1.09 (apartment 3)</x:v>
      </x:c>
      <x:c r="E1265" s="6" t="str">
        <x:v>Reference supplied</x:v>
      </x:c>
      <x:c r="F1265" s="6" t="str">
        <x:v>train</x:v>
      </x:c>
      <x:c r="G1265" s="6" t="str">
        <x:v>swiss-2221</x:v>
      </x:c>
      <x:c r="H1265" s="6" t="str">
        <x:v>swiss-2221-Q07</x:v>
      </x:c>
      <x:c r="I1265" s="6" t="str">
        <x:v>Route planning</x:v>
      </x:c>
      <x:c r="J1265" s="6" t="str">
        <x:v>Warm-up</x:v>
      </x:c>
      <x:c r="K1265" s="6" t="str">
        <x:v>Ordered space path and directions, plus total route-model distance in metres.</x:v>
      </x:c>
      <x:c r="L1265" s="6" t="str">
        <x:v>T02, T05, T13</x:v>
      </x:c>
      <x:c r="M1265" s="6" t="str">
        <x:v>Find a valid route between two rooms, including across floors.</x:v>
      </x:c>
      <x:c r="N1265" s="6" t="str">
        <x:v>{"from_space_id":"swiss-2221-F3-S014","to_space_id":"swiss-2221-F1-S009","optimal_length_m":39.47,"space_path":["swiss-2221-F3-S014","swiss-2221-F3-S015","swiss-2221-F3-S016","swiss-2221-F2-S017","swiss-2221-F1-S017","swiss-2221-F1-S001","swiss-2221-F1-S009"],"element_path":["swiss-2221-F3-O0064","swiss-2221-F3-O0064","swiss-2221-F3-O0066","swiss-2221-F3-O0066","swiss-2221-V01","swiss-2221-V01","swiss-2221-F1-O0018","swiss-2221-F1-O0018","swiss-2221-F1-O0027","swiss-2221-F1-O0027"]}</x:v>
      </x:c>
      <x:c r="O1265" s="6"/>
      <x:c r="P1265" s="6" t="str">
        <x:v>README routing profile. Stairs and lifts allowed unless stated otherwise.</x:v>
      </x:c>
      <x:c r="Q1265" s="15" t="n">
        <x:v>39.47</x:v>
      </x:c>
      <x:c r="R1265" s="6" t="str">
        <x:v>m</x:v>
      </x:c>
      <x:c r="S1265" s="16"/>
      <x:c r="T1265" s="15"/>
      <x:c r="U1265" s="6"/>
      <x:c r="V1265" s="6"/>
      <x:c r="W1265" s="6" t="str">
        <x:v>Existing find_route and show_route implement the kit routing model.</x:v>
      </x:c>
      <x:c r="X1265" s="6" t="str">
        <x:v>data/train/swiss-2221/questions_basic.jsonl</x:v>
      </x:c>
      <x:c r="Y1265" s="14" t="n">
        <x:v>7</x:v>
      </x:c>
      <x:c r="Z1265" s="6" t="str">
        <x:v>https://github.com/hagenhaeussler/Industrial-Agents-Hackathon-2026/blob/f41616590b69f3ea0c1cbfb41d6c35edd9ce53df/data/train/swiss-2221/questions_basic.jsonl#L7</x:v>
      </x:c>
      <x:c r="AA1265" s="6" t="str">
        <x:v>swiss_dwellings</x:v>
      </x:c>
      <x:c r="AB1265" s="6" t="str">
        <x:v>CC-BY-4.0</x:v>
      </x:c>
    </x:row>
    <x:row r="1266" ht="124" customHeight="1">
      <x:c r="A1266" s="14" t="n">
        <x:v>1261</x:v>
      </x:c>
      <x:c r="B1266" s="6" t="str">
        <x:v>route</x:v>
      </x:c>
      <x:c r="C1266" s="6" t="str">
        <x:v>How do I get from Bathroom 3.35 (apartment 23) (Floor 3) to Kitchen 1.20 (apartment 9) (Floor 1)?</x:v>
      </x:c>
      <x:c r="D1266" s="6" t="str">
        <x:v>69.8 m
From: Bathroom 3.35 (apartment 23)
To: Kitchen 1.20 (apartment 9)
Ordered path (11 spaces): Bathroom 3.35 (apartment 23) → Corridor 3.37 (apartment 23) → Stair hall 3.49 → Stair hall 2.49 → Stair hall 1.49 → Stair hall 0.49 → outside → Stair hall 0.48 → Stair hall 1.48 → Corridor 1.24 (apartment 9) → Kitchen 1.20 (apartment 9)</x:v>
      </x:c>
      <x:c r="E1266" s="6" t="str">
        <x:v>Reference supplied</x:v>
      </x:c>
      <x:c r="F1266" s="6" t="str">
        <x:v>train</x:v>
      </x:c>
      <x:c r="G1266" s="6" t="str">
        <x:v>swiss-2235</x:v>
      </x:c>
      <x:c r="H1266" s="6" t="str">
        <x:v>swiss-2235-Q03</x:v>
      </x:c>
      <x:c r="I1266" s="6" t="str">
        <x:v>Route planning</x:v>
      </x:c>
      <x:c r="J1266" s="6" t="str">
        <x:v>Warm-up</x:v>
      </x:c>
      <x:c r="K1266" s="6" t="str">
        <x:v>Ordered space path and directions, plus total route-model distance in metres.</x:v>
      </x:c>
      <x:c r="L1266" s="6" t="str">
        <x:v>T02, T05, T13</x:v>
      </x:c>
      <x:c r="M1266" s="6" t="str">
        <x:v>Find a valid route between two rooms, including across floors.</x:v>
      </x:c>
      <x:c r="N1266" s="6" t="str">
        <x:v>{"from_space_id":"swiss-2235-F3-S035","to_space_id":"swiss-2235-F1-S020","optimal_length_m":69.8,"space_path":["swiss-2235-F3-S035","swiss-2235-F3-S037","swiss-2235-F3-S049","swiss-2235-F2-S049","swiss-2235-F1-S049","swiss-2235-F0-S049","outside","swiss-2235-F0-S048","swiss-2235-F1-S048","swiss-2235-F1-S024","swiss-2235-F1-S020"],"element_path":["swiss-2235-F3-O0189","swiss-2235-F3-O0189","swiss-2235-F3-O0188","swiss-2235-F3-O0188","swiss-2235-V04","swiss-2235-V03","swiss-2235-V02","swiss-2235-F0-O0198","swiss-2235-F0-O0198","swiss-2235-F0-O0197","swiss-2235-F0-O0197","swiss-2235-V01","swiss-2235-F1-O0072","swiss-2235-F1-O0072","swiss-2235-F1-O0068","swiss-2235-F1-O0068"]}</x:v>
      </x:c>
      <x:c r="O1266" s="6"/>
      <x:c r="P1266" s="6" t="str">
        <x:v>README routing profile. Stairs and lifts allowed unless stated otherwise.</x:v>
      </x:c>
      <x:c r="Q1266" s="15" t="n">
        <x:v>69.8</x:v>
      </x:c>
      <x:c r="R1266" s="6" t="str">
        <x:v>m</x:v>
      </x:c>
      <x:c r="S1266" s="16"/>
      <x:c r="T1266" s="15"/>
      <x:c r="U1266" s="6"/>
      <x:c r="V1266" s="6"/>
      <x:c r="W1266" s="6" t="str">
        <x:v>Existing find_route and show_route implement the kit routing model.</x:v>
      </x:c>
      <x:c r="X1266" s="6" t="str">
        <x:v>data/train/swiss-2235/questions_basic.jsonl</x:v>
      </x:c>
      <x:c r="Y1266" s="14" t="n">
        <x:v>3</x:v>
      </x:c>
      <x:c r="Z1266" s="6" t="str">
        <x:v>https://github.com/hagenhaeussler/Industrial-Agents-Hackathon-2026/blob/f41616590b69f3ea0c1cbfb41d6c35edd9ce53df/data/train/swiss-2235/questions_basic.jsonl#L3</x:v>
      </x:c>
      <x:c r="AA1266" s="6" t="str">
        <x:v>swiss_dwellings</x:v>
      </x:c>
      <x:c r="AB1266" s="6" t="str">
        <x:v>CC-BY-4.0</x:v>
      </x:c>
    </x:row>
    <x:row r="1267" ht="124" customHeight="1">
      <x:c r="A1267" s="14" t="n">
        <x:v>1262</x:v>
      </x:c>
      <x:c r="B1267" s="6" t="str">
        <x:v>route</x:v>
      </x:c>
      <x:c r="C1267" s="6" t="str">
        <x:v>How do I get from Bedroom 3.05 (apartment 19) (Floor 3) to Bathroom 1.45 (apartment 12) (Floor 1)?</x:v>
      </x:c>
      <x:c r="D1267" s="6" t="str">
        <x:v>69.08 m
From: Bedroom 3.05 (apartment 19)
To: Bathroom 1.45 (apartment 12)
Ordered path (11 spaces): Bedroom 3.05 (apartment 19) → Corridor 3.10 (apartment 19) → Stair hall 3.48 → Stair hall 2.48 → Stair hall 1.48 → Stair hall 0.48 → outside → Stair hall 0.49 → Stair hall 1.49 → Corridor 1.43 (apartment 12) → Bathroom 1.45 (apartment 12)</x:v>
      </x:c>
      <x:c r="E1267" s="6" t="str">
        <x:v>Reference supplied</x:v>
      </x:c>
      <x:c r="F1267" s="6" t="str">
        <x:v>train</x:v>
      </x:c>
      <x:c r="G1267" s="6" t="str">
        <x:v>swiss-2235</x:v>
      </x:c>
      <x:c r="H1267" s="6" t="str">
        <x:v>swiss-2235-Q04</x:v>
      </x:c>
      <x:c r="I1267" s="6" t="str">
        <x:v>Route planning</x:v>
      </x:c>
      <x:c r="J1267" s="6" t="str">
        <x:v>Warm-up</x:v>
      </x:c>
      <x:c r="K1267" s="6" t="str">
        <x:v>Ordered space path and directions, plus total route-model distance in metres.</x:v>
      </x:c>
      <x:c r="L1267" s="6" t="str">
        <x:v>T02, T05, T13</x:v>
      </x:c>
      <x:c r="M1267" s="6" t="str">
        <x:v>Find a valid route between two rooms, including across floors.</x:v>
      </x:c>
      <x:c r="N1267" s="6" t="str">
        <x:v>{"from_space_id":"swiss-2235-F3-S005","to_space_id":"swiss-2235-F1-S045","optimal_length_m":69.08,"space_path":["swiss-2235-F3-S005","swiss-2235-F3-S010","swiss-2235-F3-S048","swiss-2235-F2-S048","swiss-2235-F1-S048","swiss-2235-F0-S048","outside","swiss-2235-F0-S049","swiss-2235-F1-S049","swiss-2235-F1-S043","swiss-2235-F1-S045"],"element_path":["swiss-2235-F3-O0154","swiss-2235-F3-O0154","swiss-2235-F3-O0149","swiss-2235-F3-O0149","swiss-2235-V01","swiss-2235-V01","swiss-2235-V01","swiss-2235-F0-O0197","swiss-2235-F0-O0197","swiss-2235-F0-O0198","swiss-2235-F0-O0198","swiss-2235-V02","swiss-2235-F1-O0093","swiss-2235-F1-O0093","swiss-2235-F1-O0094","swiss-2235-F1-O0094"]}</x:v>
      </x:c>
      <x:c r="O1267" s="6"/>
      <x:c r="P1267" s="6" t="str">
        <x:v>README routing profile. Stairs and lifts allowed unless stated otherwise.</x:v>
      </x:c>
      <x:c r="Q1267" s="15" t="n">
        <x:v>69.08</x:v>
      </x:c>
      <x:c r="R1267" s="6" t="str">
        <x:v>m</x:v>
      </x:c>
      <x:c r="S1267" s="16"/>
      <x:c r="T1267" s="15"/>
      <x:c r="U1267" s="6"/>
      <x:c r="V1267" s="6"/>
      <x:c r="W1267" s="6" t="str">
        <x:v>Existing find_route and show_route implement the kit routing model.</x:v>
      </x:c>
      <x:c r="X1267" s="6" t="str">
        <x:v>data/train/swiss-2235/questions_basic.jsonl</x:v>
      </x:c>
      <x:c r="Y1267" s="14" t="n">
        <x:v>4</x:v>
      </x:c>
      <x:c r="Z1267" s="6" t="str">
        <x:v>https://github.com/hagenhaeussler/Industrial-Agents-Hackathon-2026/blob/f41616590b69f3ea0c1cbfb41d6c35edd9ce53df/data/train/swiss-2235/questions_basic.jsonl#L4</x:v>
      </x:c>
      <x:c r="AA1267" s="6" t="str">
        <x:v>swiss_dwellings</x:v>
      </x:c>
      <x:c r="AB1267" s="6" t="str">
        <x:v>CC-BY-4.0</x:v>
      </x:c>
    </x:row>
    <x:row r="1268" ht="110" customHeight="1">
      <x:c r="A1268" s="14" t="n">
        <x:v>1263</x:v>
      </x:c>
      <x:c r="B1268" s="6" t="str">
        <x:v>route</x:v>
      </x:c>
      <x:c r="C1268" s="6" t="str">
        <x:v>How do I get from Bedroom 2.14 (apartment 14) (Floor 2) to Bedroom 0.13 (apartment 2) (Ground floor)?</x:v>
      </x:c>
      <x:c r="D1268" s="6" t="str">
        <x:v>49.68 m
From: Bedroom 2.14 (apartment 14)
To: Bedroom 0.13 (apartment 2)
Ordered path (9 spaces): Bedroom 2.14 (apartment 14) → Corridor 2.16 (apartment 14) → Stair hall 2.49 → Stair hall 1.49 → Stair hall 0.49 → outside → Stair hall 0.48 → Corridor 0.09 (apartment 2) → Bedroom 0.13 (apartment 2)</x:v>
      </x:c>
      <x:c r="E1268" s="6" t="str">
        <x:v>Reference supplied</x:v>
      </x:c>
      <x:c r="F1268" s="6" t="str">
        <x:v>train</x:v>
      </x:c>
      <x:c r="G1268" s="6" t="str">
        <x:v>swiss-2235</x:v>
      </x:c>
      <x:c r="H1268" s="6" t="str">
        <x:v>swiss-2235-Q05</x:v>
      </x:c>
      <x:c r="I1268" s="6" t="str">
        <x:v>Route planning</x:v>
      </x:c>
      <x:c r="J1268" s="6" t="str">
        <x:v>Warm-up</x:v>
      </x:c>
      <x:c r="K1268" s="6" t="str">
        <x:v>Ordered space path and directions, plus total route-model distance in metres.</x:v>
      </x:c>
      <x:c r="L1268" s="6" t="str">
        <x:v>T02, T05, T13</x:v>
      </x:c>
      <x:c r="M1268" s="6" t="str">
        <x:v>Find a valid route between two rooms, including across floors.</x:v>
      </x:c>
      <x:c r="N1268" s="6" t="str">
        <x:v>{"from_space_id":"swiss-2235-F2-S014","to_space_id":"swiss-2235-F0-S013","optimal_length_m":49.68,"space_path":["swiss-2235-F2-S014","swiss-2235-F2-S016","swiss-2235-F2-S049","swiss-2235-F1-S049","swiss-2235-F0-S049","outside","swiss-2235-F0-S048","swiss-2235-F0-S009","swiss-2235-F0-S013"],"element_path":["swiss-2235-F2-O0112","swiss-2235-F2-O0112","swiss-2235-F2-O0115","swiss-2235-F2-O0115","swiss-2235-V03","swiss-2235-V02","swiss-2235-F0-O0198","swiss-2235-F0-O0198","swiss-2235-F0-O0197","swiss-2235-F0-O0197","swiss-2235-F0-O0009","swiss-2235-F0-O0009","swiss-2235-F0-O0013","swiss-2235-F0-O0013"]}</x:v>
      </x:c>
      <x:c r="O1268" s="6"/>
      <x:c r="P1268" s="6" t="str">
        <x:v>README routing profile. Stairs and lifts allowed unless stated otherwise.</x:v>
      </x:c>
      <x:c r="Q1268" s="15" t="n">
        <x:v>49.68</x:v>
      </x:c>
      <x:c r="R1268" s="6" t="str">
        <x:v>m</x:v>
      </x:c>
      <x:c r="S1268" s="16"/>
      <x:c r="T1268" s="15"/>
      <x:c r="U1268" s="6"/>
      <x:c r="V1268" s="6"/>
      <x:c r="W1268" s="6" t="str">
        <x:v>Existing find_route and show_route implement the kit routing model.</x:v>
      </x:c>
      <x:c r="X1268" s="6" t="str">
        <x:v>data/train/swiss-2235/questions_basic.jsonl</x:v>
      </x:c>
      <x:c r="Y1268" s="14" t="n">
        <x:v>5</x:v>
      </x:c>
      <x:c r="Z1268" s="6" t="str">
        <x:v>https://github.com/hagenhaeussler/Industrial-Agents-Hackathon-2026/blob/f41616590b69f3ea0c1cbfb41d6c35edd9ce53df/data/train/swiss-2235/questions_basic.jsonl#L5</x:v>
      </x:c>
      <x:c r="AA1268" s="6" t="str">
        <x:v>swiss_dwellings</x:v>
      </x:c>
      <x:c r="AB1268" s="6" t="str">
        <x:v>CC-BY-4.0</x:v>
      </x:c>
    </x:row>
    <x:row r="1269" ht="110" customHeight="1">
      <x:c r="A1269" s="14" t="n">
        <x:v>1264</x:v>
      </x:c>
      <x:c r="B1269" s="6" t="str">
        <x:v>route</x:v>
      </x:c>
      <x:c r="C1269" s="6" t="str">
        <x:v>How do I get from Kitchen 2.50 (apartment 20) (Floor 2) to Living room 0.25 (apartment 4) (Ground floor)?</x:v>
      </x:c>
      <x:c r="D1269" s="6" t="str">
        <x:v>38.2 m
From: Kitchen 2.50 (apartment 20)
To: Living room 0.25 (apartment 4)
Ordered path (9 spaces): Kitchen 2.50 (apartment 20) → Corridor 2.49 (apartment 20) → Landing 2.62 → Landing 1.61 → Landing 0.60 → outside → Landing 0.57 → Corridor 0.26 (apartment 4) → Living room 0.25 (apartment 4)</x:v>
      </x:c>
      <x:c r="E1269" s="6" t="str">
        <x:v>Reference supplied</x:v>
      </x:c>
      <x:c r="F1269" s="6" t="str">
        <x:v>train</x:v>
      </x:c>
      <x:c r="G1269" s="6" t="str">
        <x:v>swiss-2274</x:v>
      </x:c>
      <x:c r="H1269" s="6" t="str">
        <x:v>swiss-2274-Q03</x:v>
      </x:c>
      <x:c r="I1269" s="6" t="str">
        <x:v>Route planning</x:v>
      </x:c>
      <x:c r="J1269" s="6" t="str">
        <x:v>Warm-up</x:v>
      </x:c>
      <x:c r="K1269" s="6" t="str">
        <x:v>Ordered space path and directions, plus total route-model distance in metres.</x:v>
      </x:c>
      <x:c r="L1269" s="6" t="str">
        <x:v>T02, T05, T13</x:v>
      </x:c>
      <x:c r="M1269" s="6" t="str">
        <x:v>Find a valid route between two rooms, including across floors.</x:v>
      </x:c>
      <x:c r="N1269" s="6" t="str">
        <x:v>{"from_space_id":"swiss-2274-F2-S050","to_space_id":"swiss-2274-F0-S025","optimal_length_m":38.2,"space_path":["swiss-2274-F2-S050","swiss-2274-F2-S049","swiss-2274-F2-S062","swiss-2274-F1-S061","swiss-2274-F0-S060","outside","swiss-2274-F0-S057","swiss-2274-F0-S026","swiss-2274-F0-S025"],"element_path":["swiss-2274-F2-O0180","swiss-2274-F2-O0180","swiss-2274-F2-O0179","swiss-2274-F2-O0179","swiss-2274-V08","swiss-2274-V04","swiss-2274-F0-O0203","swiss-2274-F0-O0203","swiss-2274-F0-O0200","swiss-2274-F0-O0200","swiss-2274-F0-O0029","swiss-2274-F0-O0029","swiss-2274-F0-O0031","swiss-2274-F0-O0031"]}</x:v>
      </x:c>
      <x:c r="O1269" s="6"/>
      <x:c r="P1269" s="6" t="str">
        <x:v>README routing profile. Stairs and lifts allowed unless stated otherwise.</x:v>
      </x:c>
      <x:c r="Q1269" s="15" t="n">
        <x:v>38.2</x:v>
      </x:c>
      <x:c r="R1269" s="6" t="str">
        <x:v>m</x:v>
      </x:c>
      <x:c r="S1269" s="16"/>
      <x:c r="T1269" s="15"/>
      <x:c r="U1269" s="6"/>
      <x:c r="V1269" s="6"/>
      <x:c r="W1269" s="6" t="str">
        <x:v>Existing find_route and show_route implement the kit routing model.</x:v>
      </x:c>
      <x:c r="X1269" s="6" t="str">
        <x:v>data/train/swiss-2274/questions_basic.jsonl</x:v>
      </x:c>
      <x:c r="Y1269" s="14" t="n">
        <x:v>3</x:v>
      </x:c>
      <x:c r="Z1269" s="6" t="str">
        <x:v>https://github.com/hagenhaeussler/Industrial-Agents-Hackathon-2026/blob/f41616590b69f3ea0c1cbfb41d6c35edd9ce53df/data/train/swiss-2274/questions_basic.jsonl#L3</x:v>
      </x:c>
      <x:c r="AA1269" s="6" t="str">
        <x:v>swiss_dwellings</x:v>
      </x:c>
      <x:c r="AB1269" s="6" t="str">
        <x:v>CC-BY-4.0</x:v>
      </x:c>
    </x:row>
    <x:row r="1270" ht="110" customHeight="1">
      <x:c r="A1270" s="14" t="n">
        <x:v>1265</x:v>
      </x:c>
      <x:c r="B1270" s="6" t="str">
        <x:v>route</x:v>
      </x:c>
      <x:c r="C1270" s="6" t="str">
        <x:v>How do I get from Bathroom 0.15 (apartment 3) (Ground floor) to Bathroom 2.09 (apartment 15) (Floor 2)?</x:v>
      </x:c>
      <x:c r="D1270" s="6" t="str">
        <x:v>53.15 m
From: Bathroom 0.15 (apartment 3)
To: Bathroom 2.09 (apartment 15)
Ordered path (8 spaces): Bathroom 0.15 (apartment 3) → Corridor 0.17 (apartment 3) → Landing 0.56 → Landing 1.62 → Landing 2.61 → Corridor 2.08 (apartment 15) → Bedroom 2.06 (apartment 15) → Bathroom 2.09 (apartment 15)</x:v>
      </x:c>
      <x:c r="E1270" s="6" t="str">
        <x:v>Reference supplied</x:v>
      </x:c>
      <x:c r="F1270" s="6" t="str">
        <x:v>train</x:v>
      </x:c>
      <x:c r="G1270" s="6" t="str">
        <x:v>swiss-2274</x:v>
      </x:c>
      <x:c r="H1270" s="6" t="str">
        <x:v>swiss-2274-Q04</x:v>
      </x:c>
      <x:c r="I1270" s="6" t="str">
        <x:v>Route planning</x:v>
      </x:c>
      <x:c r="J1270" s="6" t="str">
        <x:v>Warm-up</x:v>
      </x:c>
      <x:c r="K1270" s="6" t="str">
        <x:v>Ordered space path and directions, plus total route-model distance in metres.</x:v>
      </x:c>
      <x:c r="L1270" s="6" t="str">
        <x:v>T02, T05, T13</x:v>
      </x:c>
      <x:c r="M1270" s="6" t="str">
        <x:v>Find a valid route between two rooms, including across floors.</x:v>
      </x:c>
      <x:c r="N1270" s="6" t="str">
        <x:v>{"from_space_id":"swiss-2274-F0-S015","to_space_id":"swiss-2274-F2-S009","optimal_length_m":53.15,"space_path":["swiss-2274-F0-S015","swiss-2274-F0-S017","swiss-2274-F0-S056","swiss-2274-F1-S062","swiss-2274-F2-S061","swiss-2274-F2-S008","swiss-2274-F2-S006","swiss-2274-F2-S009"],"element_path":["swiss-2274-F0-O0023","swiss-2274-F0-O0023","swiss-2274-F0-O0027","swiss-2274-F0-O0027","swiss-2274-V05","swiss-2274-V07","swiss-2274-F2-O0139","swiss-2274-F2-O0139","swiss-2274-F2-O0140","swiss-2274-F2-O0140","swiss-2274-F2-O0133","swiss-2274-F2-O0133"]}</x:v>
      </x:c>
      <x:c r="O1270" s="6"/>
      <x:c r="P1270" s="6" t="str">
        <x:v>README routing profile. Stairs and lifts allowed unless stated otherwise.</x:v>
      </x:c>
      <x:c r="Q1270" s="15" t="n">
        <x:v>53.15</x:v>
      </x:c>
      <x:c r="R1270" s="6" t="str">
        <x:v>m</x:v>
      </x:c>
      <x:c r="S1270" s="16"/>
      <x:c r="T1270" s="15"/>
      <x:c r="U1270" s="6"/>
      <x:c r="V1270" s="6"/>
      <x:c r="W1270" s="6" t="str">
        <x:v>Existing find_route and show_route implement the kit routing model.</x:v>
      </x:c>
      <x:c r="X1270" s="6" t="str">
        <x:v>data/train/swiss-2274/questions_basic.jsonl</x:v>
      </x:c>
      <x:c r="Y1270" s="14" t="n">
        <x:v>4</x:v>
      </x:c>
      <x:c r="Z1270" s="6" t="str">
        <x:v>https://github.com/hagenhaeussler/Industrial-Agents-Hackathon-2026/blob/f41616590b69f3ea0c1cbfb41d6c35edd9ce53df/data/train/swiss-2274/questions_basic.jsonl#L4</x:v>
      </x:c>
      <x:c r="AA1270" s="6" t="str">
        <x:v>swiss_dwellings</x:v>
      </x:c>
      <x:c r="AB1270" s="6" t="str">
        <x:v>CC-BY-4.0</x:v>
      </x:c>
    </x:row>
    <x:row r="1271" ht="110" customHeight="1">
      <x:c r="A1271" s="14" t="n">
        <x:v>1266</x:v>
      </x:c>
      <x:c r="B1271" s="6" t="str">
        <x:v>route</x:v>
      </x:c>
      <x:c r="C1271" s="6" t="str">
        <x:v>How do I get from Bathroom 0.09 (apartment 2) (Ground floor) to Living room 2.38 (apartment 19) (Floor 2)?</x:v>
      </x:c>
      <x:c r="D1271" s="6" t="str">
        <x:v>40.51 m
From: Bathroom 0.09 (apartment 2)
To: Living room 2.38 (apartment 19)
Ordered path (9 spaces): Bathroom 0.09 (apartment 2) → Corridor 0.13 (apartment 2) → Landing 0.55 → outside → Landing 0.59 → Stair hall 1.59 → Stair hall 2.59 → Corridor 2.41 (apartment 19) → Living room 2.38 (apartment 19)</x:v>
      </x:c>
      <x:c r="E1271" s="6" t="str">
        <x:v>Reference supplied</x:v>
      </x:c>
      <x:c r="F1271" s="6" t="str">
        <x:v>train</x:v>
      </x:c>
      <x:c r="G1271" s="6" t="str">
        <x:v>swiss-2274</x:v>
      </x:c>
      <x:c r="H1271" s="6" t="str">
        <x:v>swiss-2274-Q05</x:v>
      </x:c>
      <x:c r="I1271" s="6" t="str">
        <x:v>Route planning</x:v>
      </x:c>
      <x:c r="J1271" s="6" t="str">
        <x:v>Warm-up</x:v>
      </x:c>
      <x:c r="K1271" s="6" t="str">
        <x:v>Ordered space path and directions, plus total route-model distance in metres.</x:v>
      </x:c>
      <x:c r="L1271" s="6" t="str">
        <x:v>T02, T05, T13</x:v>
      </x:c>
      <x:c r="M1271" s="6" t="str">
        <x:v>Find a valid route between two rooms, including across floors.</x:v>
      </x:c>
      <x:c r="N1271" s="6" t="str">
        <x:v>{"from_space_id":"swiss-2274-F0-S009","to_space_id":"swiss-2274-F2-S038","optimal_length_m":40.51,"space_path":["swiss-2274-F0-S009","swiss-2274-F0-S013","swiss-2274-F0-S055","outside","swiss-2274-F0-S059","swiss-2274-F1-S059","swiss-2274-F2-S059","swiss-2274-F2-S041","swiss-2274-F2-S038"],"element_path":["swiss-2274-F0-O0015","swiss-2274-F0-O0015","swiss-2274-F0-O0018","swiss-2274-F0-O0018","swiss-2274-F0-O0198","swiss-2274-F0-O0198","swiss-2274-F0-O0202","swiss-2274-F0-O0202","swiss-2274-V03","swiss-2274-V06","swiss-2274-F2-O0171","swiss-2274-F2-O0171","swiss-2274-F2-O0169","swiss-2274-F2-O0169"]}</x:v>
      </x:c>
      <x:c r="O1271" s="6"/>
      <x:c r="P1271" s="6" t="str">
        <x:v>README routing profile. Stairs and lifts allowed unless stated otherwise.</x:v>
      </x:c>
      <x:c r="Q1271" s="15" t="n">
        <x:v>40.51</x:v>
      </x:c>
      <x:c r="R1271" s="6" t="str">
        <x:v>m</x:v>
      </x:c>
      <x:c r="S1271" s="16"/>
      <x:c r="T1271" s="15"/>
      <x:c r="U1271" s="6"/>
      <x:c r="V1271" s="6"/>
      <x:c r="W1271" s="6" t="str">
        <x:v>Existing find_route and show_route implement the kit routing model.</x:v>
      </x:c>
      <x:c r="X1271" s="6" t="str">
        <x:v>data/train/swiss-2274/questions_basic.jsonl</x:v>
      </x:c>
      <x:c r="Y1271" s="14" t="n">
        <x:v>5</x:v>
      </x:c>
      <x:c r="Z1271" s="6" t="str">
        <x:v>https://github.com/hagenhaeussler/Industrial-Agents-Hackathon-2026/blob/f41616590b69f3ea0c1cbfb41d6c35edd9ce53df/data/train/swiss-2274/questions_basic.jsonl#L5</x:v>
      </x:c>
      <x:c r="AA1271" s="6" t="str">
        <x:v>swiss_dwellings</x:v>
      </x:c>
      <x:c r="AB1271" s="6" t="str">
        <x:v>CC-BY-4.0</x:v>
      </x:c>
    </x:row>
    <x:row r="1272" ht="110" customHeight="1">
      <x:c r="A1272" s="14" t="n">
        <x:v>1267</x:v>
      </x:c>
      <x:c r="B1272" s="6" t="str">
        <x:v>route</x:v>
      </x:c>
      <x:c r="C1272" s="6" t="str">
        <x:v>How do I get from Bedroom 2.19 (apartment 15) (Floor 2) to Bedroom 1.11 (apartment 8) (Floor 1)?</x:v>
      </x:c>
      <x:c r="D1272" s="6" t="str">
        <x:v>54.93 m
From: Bedroom 2.19 (apartment 15)
To: Bedroom 1.11 (apartment 8)
Ordered path (8 spaces): Bedroom 2.19 (apartment 15) → Corridor 2.17 (apartment 15) → Stair hall 2.22 → Stair hall 1.43 → Stair hall 0.44 → Stair hall 1.44 → Corridor 1.14 (apartment 8) → Bedroom 1.11 (apartment 8)</x:v>
      </x:c>
      <x:c r="E1272" s="6" t="str">
        <x:v>Reference supplied</x:v>
      </x:c>
      <x:c r="F1272" s="6" t="str">
        <x:v>train</x:v>
      </x:c>
      <x:c r="G1272" s="6" t="str">
        <x:v>swiss-2314</x:v>
      </x:c>
      <x:c r="H1272" s="6" t="str">
        <x:v>swiss-2314-Q03</x:v>
      </x:c>
      <x:c r="I1272" s="6" t="str">
        <x:v>Route planning</x:v>
      </x:c>
      <x:c r="J1272" s="6" t="str">
        <x:v>Warm-up</x:v>
      </x:c>
      <x:c r="K1272" s="6" t="str">
        <x:v>Ordered space path and directions, plus total route-model distance in metres.</x:v>
      </x:c>
      <x:c r="L1272" s="6" t="str">
        <x:v>T02, T05, T13</x:v>
      </x:c>
      <x:c r="M1272" s="6" t="str">
        <x:v>Find a valid route between two rooms, including across floors.</x:v>
      </x:c>
      <x:c r="N1272" s="6" t="str">
        <x:v>{"from_space_id":"swiss-2314-F2-S019","to_space_id":"swiss-2314-F1-S011","optimal_length_m":54.93,"space_path":["swiss-2314-F2-S019","swiss-2314-F2-S017","swiss-2314-F2-S022","swiss-2314-F1-S043","swiss-2314-F0-S044","swiss-2314-F1-S044","swiss-2314-F1-S014","swiss-2314-F1-S011"],"element_path":["swiss-2314-F2-O0103","swiss-2314-F2-O0103","swiss-2314-F2-O0109","swiss-2314-F2-O0109","swiss-2314-V01","swiss-2314-V01","swiss-2314-V02","swiss-2314-F1-O0055","swiss-2314-F1-O0055","swiss-2314-F1-O0059","swiss-2314-F1-O0059"]}</x:v>
      </x:c>
      <x:c r="O1272" s="6"/>
      <x:c r="P1272" s="6" t="str">
        <x:v>README routing profile. Stairs and lifts allowed unless stated otherwise.</x:v>
      </x:c>
      <x:c r="Q1272" s="15" t="n">
        <x:v>54.93</x:v>
      </x:c>
      <x:c r="R1272" s="6" t="str">
        <x:v>m</x:v>
      </x:c>
      <x:c r="S1272" s="16"/>
      <x:c r="T1272" s="15"/>
      <x:c r="U1272" s="6"/>
      <x:c r="V1272" s="6"/>
      <x:c r="W1272" s="6" t="str">
        <x:v>Existing find_route and show_route implement the kit routing model.</x:v>
      </x:c>
      <x:c r="X1272" s="6" t="str">
        <x:v>data/train/swiss-2314/questions_basic.jsonl</x:v>
      </x:c>
      <x:c r="Y1272" s="14" t="n">
        <x:v>3</x:v>
      </x:c>
      <x:c r="Z1272" s="6" t="str">
        <x:v>https://github.com/hagenhaeussler/Industrial-Agents-Hackathon-2026/blob/f41616590b69f3ea0c1cbfb41d6c35edd9ce53df/data/train/swiss-2314/questions_basic.jsonl#L3</x:v>
      </x:c>
      <x:c r="AA1272" s="6" t="str">
        <x:v>swiss_dwellings</x:v>
      </x:c>
      <x:c r="AB1272" s="6" t="str">
        <x:v>CC-BY-4.0</x:v>
      </x:c>
    </x:row>
    <x:row r="1273" ht="110" customHeight="1">
      <x:c r="A1273" s="14" t="n">
        <x:v>1268</x:v>
      </x:c>
      <x:c r="B1273" s="6" t="str">
        <x:v>route</x:v>
      </x:c>
      <x:c r="C1273" s="6" t="str">
        <x:v>How do I get from Bedroom 1.01 (apartment 7) (Floor 1) to Bathroom 2.01 (apartment 13) (Floor 2)?</x:v>
      </x:c>
      <x:c r="D1273" s="6" t="str">
        <x:v>54.35 m
From: Bedroom 1.01 (apartment 7)
To: Bathroom 2.01 (apartment 13)
Ordered path (8 spaces): Bedroom 1.01 (apartment 7) → Corridor 1.04 (apartment 7) → Stair hall 1.44 → Stair hall 0.44 → Stair hall 1.43 → Stair hall 2.22 → Corridor 2.08 (apartment 13) → Bathroom 2.01 (apartment 13)</x:v>
      </x:c>
      <x:c r="E1273" s="6" t="str">
        <x:v>Reference supplied</x:v>
      </x:c>
      <x:c r="F1273" s="6" t="str">
        <x:v>train</x:v>
      </x:c>
      <x:c r="G1273" s="6" t="str">
        <x:v>swiss-2314</x:v>
      </x:c>
      <x:c r="H1273" s="6" t="str">
        <x:v>swiss-2314-Q04</x:v>
      </x:c>
      <x:c r="I1273" s="6" t="str">
        <x:v>Route planning</x:v>
      </x:c>
      <x:c r="J1273" s="6" t="str">
        <x:v>Warm-up</x:v>
      </x:c>
      <x:c r="K1273" s="6" t="str">
        <x:v>Ordered space path and directions, plus total route-model distance in metres.</x:v>
      </x:c>
      <x:c r="L1273" s="6" t="str">
        <x:v>T02, T05, T13</x:v>
      </x:c>
      <x:c r="M1273" s="6" t="str">
        <x:v>Find a valid route between two rooms, including across floors.</x:v>
      </x:c>
      <x:c r="N1273" s="6" t="str">
        <x:v>{"from_space_id":"swiss-2314-F1-S001","to_space_id":"swiss-2314-F2-S001","optimal_length_m":54.35,"space_path":["swiss-2314-F1-S001","swiss-2314-F1-S004","swiss-2314-F1-S044","swiss-2314-F0-S044","swiss-2314-F1-S043","swiss-2314-F2-S022","swiss-2314-F2-S008","swiss-2314-F2-S001"],"element_path":["swiss-2314-F1-O0045","swiss-2314-F1-O0045","swiss-2314-F1-O0046","swiss-2314-F1-O0046","swiss-2314-V02","swiss-2314-V01","swiss-2314-V01","swiss-2314-F2-O0092","swiss-2314-F2-O0092","swiss-2314-F2-O0093","swiss-2314-F2-O0093"]}</x:v>
      </x:c>
      <x:c r="O1273" s="6"/>
      <x:c r="P1273" s="6" t="str">
        <x:v>README routing profile. Stairs and lifts allowed unless stated otherwise.</x:v>
      </x:c>
      <x:c r="Q1273" s="15" t="n">
        <x:v>54.35</x:v>
      </x:c>
      <x:c r="R1273" s="6" t="str">
        <x:v>m</x:v>
      </x:c>
      <x:c r="S1273" s="16"/>
      <x:c r="T1273" s="15"/>
      <x:c r="U1273" s="6"/>
      <x:c r="V1273" s="6"/>
      <x:c r="W1273" s="6" t="str">
        <x:v>Existing find_route and show_route implement the kit routing model.</x:v>
      </x:c>
      <x:c r="X1273" s="6" t="str">
        <x:v>data/train/swiss-2314/questions_basic.jsonl</x:v>
      </x:c>
      <x:c r="Y1273" s="14" t="n">
        <x:v>4</x:v>
      </x:c>
      <x:c r="Z1273" s="6" t="str">
        <x:v>https://github.com/hagenhaeussler/Industrial-Agents-Hackathon-2026/blob/f41616590b69f3ea0c1cbfb41d6c35edd9ce53df/data/train/swiss-2314/questions_basic.jsonl#L4</x:v>
      </x:c>
      <x:c r="AA1273" s="6" t="str">
        <x:v>swiss_dwellings</x:v>
      </x:c>
      <x:c r="AB1273" s="6" t="str">
        <x:v>CC-BY-4.0</x:v>
      </x:c>
    </x:row>
    <x:row r="1274" ht="110" customHeight="1">
      <x:c r="A1274" s="14" t="n">
        <x:v>1269</x:v>
      </x:c>
      <x:c r="B1274" s="6" t="str">
        <x:v>route</x:v>
      </x:c>
      <x:c r="C1274" s="6" t="str">
        <x:v>How do I get from Bathroom 1.35 (apartment 11) (Floor 1) to Bedroom 0.33 (apartment 5) (Ground floor)?</x:v>
      </x:c>
      <x:c r="D1274" s="6" t="str">
        <x:v>32.94 m
From: Bathroom 1.35 (apartment 11)
To: Bedroom 0.33 (apartment 5)
Ordered path (8 spaces): Bathroom 1.35 (apartment 11) → Corridor 1.34 (apartment 11) → Stair hall 1.44 → Stair hall 0.44 → outside → Stair hall 0.43 → Corridor 0.28 (apartment 5) → Bedroom 0.33 (apartment 5)</x:v>
      </x:c>
      <x:c r="E1274" s="6" t="str">
        <x:v>Reference supplied</x:v>
      </x:c>
      <x:c r="F1274" s="6" t="str">
        <x:v>train</x:v>
      </x:c>
      <x:c r="G1274" s="6" t="str">
        <x:v>swiss-2314</x:v>
      </x:c>
      <x:c r="H1274" s="6" t="str">
        <x:v>swiss-2314-Q05</x:v>
      </x:c>
      <x:c r="I1274" s="6" t="str">
        <x:v>Route planning</x:v>
      </x:c>
      <x:c r="J1274" s="6" t="str">
        <x:v>Warm-up</x:v>
      </x:c>
      <x:c r="K1274" s="6" t="str">
        <x:v>Ordered space path and directions, plus total route-model distance in metres.</x:v>
      </x:c>
      <x:c r="L1274" s="6" t="str">
        <x:v>T02, T05, T13</x:v>
      </x:c>
      <x:c r="M1274" s="6" t="str">
        <x:v>Find a valid route between two rooms, including across floors.</x:v>
      </x:c>
      <x:c r="N1274" s="6" t="str">
        <x:v>{"from_space_id":"swiss-2314-F1-S035","to_space_id":"swiss-2314-F0-S033","optimal_length_m":32.94,"space_path":["swiss-2314-F1-S035","swiss-2314-F1-S034","swiss-2314-F1-S044","swiss-2314-F0-S044","outside","swiss-2314-F0-S043","swiss-2314-F0-S028","swiss-2314-F0-S033"],"element_path":["swiss-2314-F1-O0081","swiss-2314-F1-O0081","swiss-2314-F1-O0083","swiss-2314-F1-O0083","swiss-2314-V02","swiss-2314-F0-O0113","swiss-2314-F0-O0113","swiss-2314-F0-O0112","swiss-2314-F0-O0112","swiss-2314-F0-O0025","swiss-2314-F0-O0025","swiss-2314-F0-O0030","swiss-2314-F0-O0030"]}</x:v>
      </x:c>
      <x:c r="O1274" s="6"/>
      <x:c r="P1274" s="6" t="str">
        <x:v>README routing profile. Stairs and lifts allowed unless stated otherwise.</x:v>
      </x:c>
      <x:c r="Q1274" s="15" t="n">
        <x:v>32.94</x:v>
      </x:c>
      <x:c r="R1274" s="6" t="str">
        <x:v>m</x:v>
      </x:c>
      <x:c r="S1274" s="16"/>
      <x:c r="T1274" s="15"/>
      <x:c r="U1274" s="6"/>
      <x:c r="V1274" s="6"/>
      <x:c r="W1274" s="6" t="str">
        <x:v>Existing find_route and show_route implement the kit routing model.</x:v>
      </x:c>
      <x:c r="X1274" s="6" t="str">
        <x:v>data/train/swiss-2314/questions_basic.jsonl</x:v>
      </x:c>
      <x:c r="Y1274" s="14" t="n">
        <x:v>5</x:v>
      </x:c>
      <x:c r="Z1274" s="6" t="str">
        <x:v>https://github.com/hagenhaeussler/Industrial-Agents-Hackathon-2026/blob/f41616590b69f3ea0c1cbfb41d6c35edd9ce53df/data/train/swiss-2314/questions_basic.jsonl#L5</x:v>
      </x:c>
      <x:c r="AA1274" s="6" t="str">
        <x:v>swiss_dwellings</x:v>
      </x:c>
      <x:c r="AB1274" s="6" t="str">
        <x:v>CC-BY-4.0</x:v>
      </x:c>
    </x:row>
    <x:row r="1275" ht="96" customHeight="1">
      <x:c r="A1275" s="14" t="n">
        <x:v>1270</x:v>
      </x:c>
      <x:c r="B1275" s="6" t="str">
        <x:v>route</x:v>
      </x:c>
      <x:c r="C1275" s="6" t="str">
        <x:v>How do I get from Living room 1.23 (apartment 8) (Floor 1) to Bathroom 3.28 (apartment 16) (Floor 3)?</x:v>
      </x:c>
      <x:c r="D1275" s="6" t="str">
        <x:v>39.43 m
From: Living room 1.23 (apartment 8)
To: Bathroom 3.28 (apartment 16)
Ordered path (8 spaces): Living room 1.23 (apartment 8) → Corridor 1.25 (apartment 8) → Landing 1.32 → Landing 1.29 → Landing 2.31 → Landing 3.32 → Corridor 3.26 (apartment 16) → Bathroom 3.28 (apartment 16)</x:v>
      </x:c>
      <x:c r="E1275" s="6" t="str">
        <x:v>Reference supplied</x:v>
      </x:c>
      <x:c r="F1275" s="6" t="str">
        <x:v>train</x:v>
      </x:c>
      <x:c r="G1275" s="6" t="str">
        <x:v>swiss-2390</x:v>
      </x:c>
      <x:c r="H1275" s="6" t="str">
        <x:v>swiss-2390-Q03</x:v>
      </x:c>
      <x:c r="I1275" s="6" t="str">
        <x:v>Route planning</x:v>
      </x:c>
      <x:c r="J1275" s="6" t="str">
        <x:v>Warm-up</x:v>
      </x:c>
      <x:c r="K1275" s="6" t="str">
        <x:v>Ordered space path and directions, plus total route-model distance in metres.</x:v>
      </x:c>
      <x:c r="L1275" s="6" t="str">
        <x:v>T02, T05, T13</x:v>
      </x:c>
      <x:c r="M1275" s="6" t="str">
        <x:v>Find a valid route between two rooms, including across floors.</x:v>
      </x:c>
      <x:c r="N1275" s="6" t="str">
        <x:v>{"from_space_id":"swiss-2390-F1-S023","to_space_id":"swiss-2390-F3-S028","optimal_length_m":39.43,"space_path":["swiss-2390-F1-S023","swiss-2390-F1-S025","swiss-2390-F1-S032","swiss-2390-F1-S029","swiss-2390-F2-S031","swiss-2390-F3-S032","swiss-2390-F3-S026","swiss-2390-F3-S028"],"element_path":["swiss-2390-F1-O0056","swiss-2390-F1-O0056","swiss-2390-F1-O0054","swiss-2390-F1-O0054","swiss-2390-F1-O0031","swiss-2390-F1-O0031","swiss-2390-V06","swiss-2390-V10","swiss-2390-F3-O0117","swiss-2390-F3-O0117","swiss-2390-F3-O0120","swiss-2390-F3-O0120"]}</x:v>
      </x:c>
      <x:c r="O1275" s="6"/>
      <x:c r="P1275" s="6" t="str">
        <x:v>README routing profile. Stairs and lifts allowed unless stated otherwise.</x:v>
      </x:c>
      <x:c r="Q1275" s="15" t="n">
        <x:v>39.43</x:v>
      </x:c>
      <x:c r="R1275" s="6" t="str">
        <x:v>m</x:v>
      </x:c>
      <x:c r="S1275" s="16"/>
      <x:c r="T1275" s="15"/>
      <x:c r="U1275" s="6"/>
      <x:c r="V1275" s="6"/>
      <x:c r="W1275" s="6" t="str">
        <x:v>Existing find_route and show_route implement the kit routing model.</x:v>
      </x:c>
      <x:c r="X1275" s="6" t="str">
        <x:v>data/train/swiss-2390/questions_basic.jsonl</x:v>
      </x:c>
      <x:c r="Y1275" s="14" t="n">
        <x:v>3</x:v>
      </x:c>
      <x:c r="Z1275" s="6" t="str">
        <x:v>https://github.com/hagenhaeussler/Industrial-Agents-Hackathon-2026/blob/f41616590b69f3ea0c1cbfb41d6c35edd9ce53df/data/train/swiss-2390/questions_basic.jsonl#L3</x:v>
      </x:c>
      <x:c r="AA1275" s="6" t="str">
        <x:v>swiss_dwellings</x:v>
      </x:c>
      <x:c r="AB1275" s="6" t="str">
        <x:v>CC-BY-4.0</x:v>
      </x:c>
    </x:row>
    <x:row r="1276" ht="138" customHeight="1">
      <x:c r="A1276" s="14" t="n">
        <x:v>1271</x:v>
      </x:c>
      <x:c r="B1276" s="6" t="str">
        <x:v>route</x:v>
      </x:c>
      <x:c r="C1276" s="6" t="str">
        <x:v>How do I get from Bedroom 0.03 (apartment 1) (Ground floor) to Bedroom 4.02 (apartment 17) (Floor 4)?</x:v>
      </x:c>
      <x:c r="D1276" s="6" t="str">
        <x:v>67.74 m
From: Bedroom 0.03 (apartment 1)
To: Bedroom 4.02 (apartment 17)
Ordered path (12 spaces): Bedroom 0.03 (apartment 1) → Corridor 0.06 (apartment 1) → Landing 0.29 → outside → Landing 0.31 → Landing 1.30 → Landing 2.30 → Landing 3.30 → Landing 4.13 → Corridor 4.05 (apartment 17) → Living room 4.06 (apartment 17) → Bedroom 4.02 (apartment 17)</x:v>
      </x:c>
      <x:c r="E1276" s="6" t="str">
        <x:v>Reference supplied</x:v>
      </x:c>
      <x:c r="F1276" s="6" t="str">
        <x:v>train</x:v>
      </x:c>
      <x:c r="G1276" s="6" t="str">
        <x:v>swiss-2390</x:v>
      </x:c>
      <x:c r="H1276" s="6" t="str">
        <x:v>swiss-2390-Q04</x:v>
      </x:c>
      <x:c r="I1276" s="6" t="str">
        <x:v>Route planning</x:v>
      </x:c>
      <x:c r="J1276" s="6" t="str">
        <x:v>Warm-up</x:v>
      </x:c>
      <x:c r="K1276" s="6" t="str">
        <x:v>Ordered space path and directions, plus total route-model distance in metres.</x:v>
      </x:c>
      <x:c r="L1276" s="6" t="str">
        <x:v>T02, T05, T13</x:v>
      </x:c>
      <x:c r="M1276" s="6" t="str">
        <x:v>Find a valid route between two rooms, including across floors.</x:v>
      </x:c>
      <x:c r="N1276" s="6" t="str">
        <x:v>{"from_space_id":"swiss-2390-F0-S003","to_space_id":"swiss-2390-F4-S002","optimal_length_m":67.74,"space_path":["swiss-2390-F0-S003","swiss-2390-F0-S006","swiss-2390-F0-S029","outside","swiss-2390-F0-S031","swiss-2390-F1-S030","swiss-2390-F2-S030","swiss-2390-F3-S030","swiss-2390-F4-S013","swiss-2390-F4-S005","swiss-2390-F4-S006","swiss-2390-F4-S002"],"element_path":["swiss-2390-F0-O0006","swiss-2390-F0-O0006","swiss-2390-F0-O0005","swiss-2390-F0-O0005","swiss-2390-F0-O0133","swiss-2390-F0-O0133","swiss-2390-F0-O0135","swiss-2390-F0-O0135","swiss-2390-V01","swiss-2390-V01","swiss-2390-V01","swiss-2390-V01","swiss-2390-F4-O0124","swiss-2390-F4-O0124","swiss-2390-F4-O0121","swiss-2390-F4-O0121","swiss-2390-F4-O0122","swiss-2390-F4-O0122"]}</x:v>
      </x:c>
      <x:c r="O1276" s="6"/>
      <x:c r="P1276" s="6" t="str">
        <x:v>README routing profile. Stairs and lifts allowed unless stated otherwise.</x:v>
      </x:c>
      <x:c r="Q1276" s="15" t="n">
        <x:v>67.74</x:v>
      </x:c>
      <x:c r="R1276" s="6" t="str">
        <x:v>m</x:v>
      </x:c>
      <x:c r="S1276" s="16"/>
      <x:c r="T1276" s="15"/>
      <x:c r="U1276" s="6"/>
      <x:c r="V1276" s="6"/>
      <x:c r="W1276" s="6" t="str">
        <x:v>Existing find_route and show_route implement the kit routing model.</x:v>
      </x:c>
      <x:c r="X1276" s="6" t="str">
        <x:v>data/train/swiss-2390/questions_basic.jsonl</x:v>
      </x:c>
      <x:c r="Y1276" s="14" t="n">
        <x:v>4</x:v>
      </x:c>
      <x:c r="Z1276" s="6" t="str">
        <x:v>https://github.com/hagenhaeussler/Industrial-Agents-Hackathon-2026/blob/f41616590b69f3ea0c1cbfb41d6c35edd9ce53df/data/train/swiss-2390/questions_basic.jsonl#L4</x:v>
      </x:c>
      <x:c r="AA1276" s="6" t="str">
        <x:v>swiss_dwellings</x:v>
      </x:c>
      <x:c r="AB1276" s="6" t="str">
        <x:v>CC-BY-4.0</x:v>
      </x:c>
    </x:row>
    <x:row r="1277" ht="110" customHeight="1">
      <x:c r="A1277" s="14" t="n">
        <x:v>1272</x:v>
      </x:c>
      <x:c r="B1277" s="6" t="str">
        <x:v>route</x:v>
      </x:c>
      <x:c r="C1277" s="6" t="str">
        <x:v>How do I get from Kitchen 0.16 (apartment 3) (Ground floor) to Bathroom 2.23 (apartment 12) (Floor 2)?</x:v>
      </x:c>
      <x:c r="D1277" s="6" t="str">
        <x:v>38.03 m
From: Kitchen 0.16 (apartment 3)
To: Bathroom 2.23 (apartment 12)
Ordered path (9 spaces): Kitchen 0.16 (apartment 3) → Corridor 0.21 (apartment 3) → Landing 0.31 → outside → Landing 0.29 → Landing 1.32 → Landing 2.32 → Corridor 2.24 (apartment 12) → Bathroom 2.23 (apartment 12)</x:v>
      </x:c>
      <x:c r="E1277" s="6" t="str">
        <x:v>Reference supplied</x:v>
      </x:c>
      <x:c r="F1277" s="6" t="str">
        <x:v>train</x:v>
      </x:c>
      <x:c r="G1277" s="6" t="str">
        <x:v>swiss-2390</x:v>
      </x:c>
      <x:c r="H1277" s="6" t="str">
        <x:v>swiss-2390-Q05</x:v>
      </x:c>
      <x:c r="I1277" s="6" t="str">
        <x:v>Route planning</x:v>
      </x:c>
      <x:c r="J1277" s="6" t="str">
        <x:v>Warm-up</x:v>
      </x:c>
      <x:c r="K1277" s="6" t="str">
        <x:v>Ordered space path and directions, plus total route-model distance in metres.</x:v>
      </x:c>
      <x:c r="L1277" s="6" t="str">
        <x:v>T02, T05, T13</x:v>
      </x:c>
      <x:c r="M1277" s="6" t="str">
        <x:v>Find a valid route between two rooms, including across floors.</x:v>
      </x:c>
      <x:c r="N1277" s="6" t="str">
        <x:v>{"from_space_id":"swiss-2390-F0-S016","to_space_id":"swiss-2390-F2-S023","optimal_length_m":38.03,"space_path":["swiss-2390-F0-S016","swiss-2390-F0-S021","swiss-2390-F0-S031","outside","swiss-2390-F0-S029","swiss-2390-F1-S032","swiss-2390-F2-S032","swiss-2390-F2-S024","swiss-2390-F2-S023"],"element_path":["swiss-2390-F0-O0018","swiss-2390-F0-O0018","swiss-2390-F0-O0019","swiss-2390-F0-O0019","swiss-2390-F0-O0135","swiss-2390-F0-O0135","swiss-2390-F0-O0133","swiss-2390-F0-O0133","swiss-2390-V04","swiss-2390-V07","swiss-2390-F2-O0084","swiss-2390-F2-O0084","swiss-2390-F2-O0088","swiss-2390-F2-O0088"]}</x:v>
      </x:c>
      <x:c r="O1277" s="6"/>
      <x:c r="P1277" s="6" t="str">
        <x:v>README routing profile. Stairs and lifts allowed unless stated otherwise.</x:v>
      </x:c>
      <x:c r="Q1277" s="15" t="n">
        <x:v>38.03</x:v>
      </x:c>
      <x:c r="R1277" s="6" t="str">
        <x:v>m</x:v>
      </x:c>
      <x:c r="S1277" s="16"/>
      <x:c r="T1277" s="15"/>
      <x:c r="U1277" s="6"/>
      <x:c r="V1277" s="6"/>
      <x:c r="W1277" s="6" t="str">
        <x:v>Existing find_route and show_route implement the kit routing model.</x:v>
      </x:c>
      <x:c r="X1277" s="6" t="str">
        <x:v>data/train/swiss-2390/questions_basic.jsonl</x:v>
      </x:c>
      <x:c r="Y1277" s="14" t="n">
        <x:v>5</x:v>
      </x:c>
      <x:c r="Z1277" s="6" t="str">
        <x:v>https://github.com/hagenhaeussler/Industrial-Agents-Hackathon-2026/blob/f41616590b69f3ea0c1cbfb41d6c35edd9ce53df/data/train/swiss-2390/questions_basic.jsonl#L5</x:v>
      </x:c>
      <x:c r="AA1277" s="6" t="str">
        <x:v>swiss_dwellings</x:v>
      </x:c>
      <x:c r="AB1277" s="6" t="str">
        <x:v>CC-BY-4.0</x:v>
      </x:c>
    </x:row>
    <x:row r="1278" ht="96" customHeight="1">
      <x:c r="A1278" s="14" t="n">
        <x:v>1273</x:v>
      </x:c>
      <x:c r="B1278" s="6" t="str">
        <x:v>route</x:v>
      </x:c>
      <x:c r="C1278" s="6" t="str">
        <x:v>How do I get from Bedroom 2.07 (apartment 8) (Floor 2) to Bedroom 0.03 (apartment 1) (Ground floor)?</x:v>
      </x:c>
      <x:c r="D1278" s="6" t="str">
        <x:v>37.44 m
From: Bedroom 2.07 (apartment 8)
To: Bedroom 0.03 (apartment 1)
Ordered path (7 spaces): Bedroom 2.07 (apartment 8) → Corridor 2.15 (apartment 8) → Landing 2.23 → Landing 1.23 → Landing 0.22 → Corridor 0.01 (apartment 1) → Bedroom 0.03 (apartment 1)</x:v>
      </x:c>
      <x:c r="E1278" s="6" t="str">
        <x:v>Reference supplied</x:v>
      </x:c>
      <x:c r="F1278" s="6" t="str">
        <x:v>train</x:v>
      </x:c>
      <x:c r="G1278" s="6" t="str">
        <x:v>swiss-2476</x:v>
      </x:c>
      <x:c r="H1278" s="6" t="str">
        <x:v>swiss-2476-Q03</x:v>
      </x:c>
      <x:c r="I1278" s="6" t="str">
        <x:v>Route planning</x:v>
      </x:c>
      <x:c r="J1278" s="6" t="str">
        <x:v>Warm-up</x:v>
      </x:c>
      <x:c r="K1278" s="6" t="str">
        <x:v>Ordered space path and directions, plus total route-model distance in metres.</x:v>
      </x:c>
      <x:c r="L1278" s="6" t="str">
        <x:v>T02, T05, T13</x:v>
      </x:c>
      <x:c r="M1278" s="6" t="str">
        <x:v>Find a valid route between two rooms, including across floors.</x:v>
      </x:c>
      <x:c r="N1278" s="6" t="str">
        <x:v>{"from_space_id":"swiss-2476-F2-S007","to_space_id":"swiss-2476-F0-S003","optimal_length_m":37.44,"space_path":["swiss-2476-F2-S007","swiss-2476-F2-S015","swiss-2476-F2-S023","swiss-2476-F1-S023","swiss-2476-F0-S022","swiss-2476-F0-S001","swiss-2476-F0-S003"],"element_path":["swiss-2476-F2-O0052","swiss-2476-F2-O0052","swiss-2476-F2-O0049","swiss-2476-F2-O0049","swiss-2476-V03","swiss-2476-V02","swiss-2476-F0-O0002","swiss-2476-F0-O0002","swiss-2476-F0-O0006","swiss-2476-F0-O0006"]}</x:v>
      </x:c>
      <x:c r="O1278" s="6"/>
      <x:c r="P1278" s="6" t="str">
        <x:v>README routing profile. Stairs and lifts allowed unless stated otherwise.</x:v>
      </x:c>
      <x:c r="Q1278" s="15" t="n">
        <x:v>37.44</x:v>
      </x:c>
      <x:c r="R1278" s="6" t="str">
        <x:v>m</x:v>
      </x:c>
      <x:c r="S1278" s="16"/>
      <x:c r="T1278" s="15"/>
      <x:c r="U1278" s="6"/>
      <x:c r="V1278" s="6"/>
      <x:c r="W1278" s="6" t="str">
        <x:v>Existing find_route and show_route implement the kit routing model.</x:v>
      </x:c>
      <x:c r="X1278" s="6" t="str">
        <x:v>data/train/swiss-2476/questions_basic.jsonl</x:v>
      </x:c>
      <x:c r="Y1278" s="14" t="n">
        <x:v>3</x:v>
      </x:c>
      <x:c r="Z1278" s="6" t="str">
        <x:v>https://github.com/hagenhaeussler/Industrial-Agents-Hackathon-2026/blob/f41616590b69f3ea0c1cbfb41d6c35edd9ce53df/data/train/swiss-2476/questions_basic.jsonl#L3</x:v>
      </x:c>
      <x:c r="AA1278" s="6" t="str">
        <x:v>swiss_dwellings</x:v>
      </x:c>
      <x:c r="AB1278" s="6" t="str">
        <x:v>CC-BY-4.0</x:v>
      </x:c>
    </x:row>
    <x:row r="1279" ht="96" customHeight="1">
      <x:c r="A1279" s="14" t="n">
        <x:v>1274</x:v>
      </x:c>
      <x:c r="B1279" s="6" t="str">
        <x:v>route</x:v>
      </x:c>
      <x:c r="C1279" s="6" t="str">
        <x:v>How do I get from Kitchen 1.03 (apartment 4) (Floor 1) to Bathroom 2.10 (apartment 8) (Floor 2)?</x:v>
      </x:c>
      <x:c r="D1279" s="6" t="str">
        <x:v>53.02 m
From: Kitchen 1.03 (apartment 4)
To: Bathroom 2.10 (apartment 8)
Ordered path (8 spaces): Kitchen 1.03 (apartment 4) → Corridor 1.06 (apartment 4) → Landing 1.22 → Landing 0.22 → Landing 1.23 → Landing 2.23 → Corridor 2.15 (apartment 8) → Bathroom 2.10 (apartment 8)</x:v>
      </x:c>
      <x:c r="E1279" s="6" t="str">
        <x:v>Reference supplied</x:v>
      </x:c>
      <x:c r="F1279" s="6" t="str">
        <x:v>train</x:v>
      </x:c>
      <x:c r="G1279" s="6" t="str">
        <x:v>swiss-2476</x:v>
      </x:c>
      <x:c r="H1279" s="6" t="str">
        <x:v>swiss-2476-Q04</x:v>
      </x:c>
      <x:c r="I1279" s="6" t="str">
        <x:v>Route planning</x:v>
      </x:c>
      <x:c r="J1279" s="6" t="str">
        <x:v>Warm-up</x:v>
      </x:c>
      <x:c r="K1279" s="6" t="str">
        <x:v>Ordered space path and directions, plus total route-model distance in metres.</x:v>
      </x:c>
      <x:c r="L1279" s="6" t="str">
        <x:v>T02, T05, T13</x:v>
      </x:c>
      <x:c r="M1279" s="6" t="str">
        <x:v>Find a valid route between two rooms, including across floors.</x:v>
      </x:c>
      <x:c r="N1279" s="6" t="str">
        <x:v>{"from_space_id":"swiss-2476-F1-S003","to_space_id":"swiss-2476-F2-S010","optimal_length_m":53.02,"space_path":["swiss-2476-F1-S003","swiss-2476-F1-S006","swiss-2476-F1-S022","swiss-2476-F0-S022","swiss-2476-F1-S023","swiss-2476-F2-S023","swiss-2476-F2-S015","swiss-2476-F2-S010"],"element_path":["swiss-2476-F1-O0025","swiss-2476-F1-O0025","swiss-2476-F1-O0023","swiss-2476-F1-O0023","swiss-2476-V01","swiss-2476-V02","swiss-2476-V03","swiss-2476-F2-O0049","swiss-2476-F2-O0049","swiss-2476-F2-O0055","swiss-2476-F2-O0055"]}</x:v>
      </x:c>
      <x:c r="O1279" s="6"/>
      <x:c r="P1279" s="6" t="str">
        <x:v>README routing profile. Stairs and lifts allowed unless stated otherwise.</x:v>
      </x:c>
      <x:c r="Q1279" s="15" t="n">
        <x:v>53.02</x:v>
      </x:c>
      <x:c r="R1279" s="6" t="str">
        <x:v>m</x:v>
      </x:c>
      <x:c r="S1279" s="16"/>
      <x:c r="T1279" s="15"/>
      <x:c r="U1279" s="6"/>
      <x:c r="V1279" s="6"/>
      <x:c r="W1279" s="6" t="str">
        <x:v>Existing find_route and show_route implement the kit routing model.</x:v>
      </x:c>
      <x:c r="X1279" s="6" t="str">
        <x:v>data/train/swiss-2476/questions_basic.jsonl</x:v>
      </x:c>
      <x:c r="Y1279" s="14" t="n">
        <x:v>4</x:v>
      </x:c>
      <x:c r="Z1279" s="6" t="str">
        <x:v>https://github.com/hagenhaeussler/Industrial-Agents-Hackathon-2026/blob/f41616590b69f3ea0c1cbfb41d6c35edd9ce53df/data/train/swiss-2476/questions_basic.jsonl#L4</x:v>
      </x:c>
      <x:c r="AA1279" s="6" t="str">
        <x:v>swiss_dwellings</x:v>
      </x:c>
      <x:c r="AB1279" s="6" t="str">
        <x:v>CC-BY-4.0</x:v>
      </x:c>
    </x:row>
    <x:row r="1280" ht="96" customHeight="1">
      <x:c r="A1280" s="14" t="n">
        <x:v>1275</x:v>
      </x:c>
      <x:c r="B1280" s="6" t="str">
        <x:v>route</x:v>
      </x:c>
      <x:c r="C1280" s="6" t="str">
        <x:v>How do I get from Kitchen 1.16 (apartment 6) (Floor 1) to Bathroom 1.01 (apartment 4) (Floor 1)?</x:v>
      </x:c>
      <x:c r="D1280" s="6" t="str">
        <x:v>13.38 m
From: Kitchen 1.16 (apartment 6)
To: Bathroom 1.01 (apartment 4)
Ordered path (5 spaces): Kitchen 1.16 (apartment 6) → Corridor 1.21 (apartment 6) → Landing 1.22 → Corridor 1.06 (apartment 4) → Bathroom 1.01 (apartment 4)</x:v>
      </x:c>
      <x:c r="E1280" s="6" t="str">
        <x:v>Reference supplied</x:v>
      </x:c>
      <x:c r="F1280" s="6" t="str">
        <x:v>train</x:v>
      </x:c>
      <x:c r="G1280" s="6" t="str">
        <x:v>swiss-2476</x:v>
      </x:c>
      <x:c r="H1280" s="6" t="str">
        <x:v>swiss-2476-Q05</x:v>
      </x:c>
      <x:c r="I1280" s="6" t="str">
        <x:v>Route planning</x:v>
      </x:c>
      <x:c r="J1280" s="6" t="str">
        <x:v>Warm-up</x:v>
      </x:c>
      <x:c r="K1280" s="6" t="str">
        <x:v>Ordered space path and directions, plus total route-model distance in metres.</x:v>
      </x:c>
      <x:c r="L1280" s="6" t="str">
        <x:v>T02, T05, T13</x:v>
      </x:c>
      <x:c r="M1280" s="6" t="str">
        <x:v>Find a valid route between two rooms, including across floors.</x:v>
      </x:c>
      <x:c r="N1280" s="6" t="str">
        <x:v>{"from_space_id":"swiss-2476-F1-S016","to_space_id":"swiss-2476-F1-S001","optimal_length_m":13.38,"space_path":["swiss-2476-F1-S016","swiss-2476-F1-S021","swiss-2476-F1-S022","swiss-2476-F1-S006","swiss-2476-F1-S001"],"element_path":["swiss-2476-F1-O0038","swiss-2476-F1-O0038","swiss-2476-F1-O0040","swiss-2476-F1-O0040","swiss-2476-F1-O0023","swiss-2476-F1-O0023","swiss-2476-F1-O0026","swiss-2476-F1-O0026"]}</x:v>
      </x:c>
      <x:c r="O1280" s="6"/>
      <x:c r="P1280" s="6" t="str">
        <x:v>README routing profile. Stairs and lifts allowed unless stated otherwise.</x:v>
      </x:c>
      <x:c r="Q1280" s="15" t="n">
        <x:v>13.38</x:v>
      </x:c>
      <x:c r="R1280" s="6" t="str">
        <x:v>m</x:v>
      </x:c>
      <x:c r="S1280" s="16"/>
      <x:c r="T1280" s="15"/>
      <x:c r="U1280" s="6"/>
      <x:c r="V1280" s="6"/>
      <x:c r="W1280" s="6" t="str">
        <x:v>Existing find_route and show_route implement the kit routing model.</x:v>
      </x:c>
      <x:c r="X1280" s="6" t="str">
        <x:v>data/train/swiss-2476/questions_basic.jsonl</x:v>
      </x:c>
      <x:c r="Y1280" s="14" t="n">
        <x:v>5</x:v>
      </x:c>
      <x:c r="Z1280" s="6" t="str">
        <x:v>https://github.com/hagenhaeussler/Industrial-Agents-Hackathon-2026/blob/f41616590b69f3ea0c1cbfb41d6c35edd9ce53df/data/train/swiss-2476/questions_basic.jsonl#L5</x:v>
      </x:c>
      <x:c r="AA1280" s="6" t="str">
        <x:v>swiss_dwellings</x:v>
      </x:c>
      <x:c r="AB1280" s="6" t="str">
        <x:v>CC-BY-4.0</x:v>
      </x:c>
    </x:row>
    <x:row r="1281" ht="110" customHeight="1">
      <x:c r="A1281" s="14" t="n">
        <x:v>1276</x:v>
      </x:c>
      <x:c r="B1281" s="6" t="str">
        <x:v>route</x:v>
      </x:c>
      <x:c r="C1281" s="6" t="str">
        <x:v>How do I get from Bedroom 2.18 (apartment 9) (Floor 2) to Kitchen 0.11 (apartment 2) (Ground floor)?</x:v>
      </x:c>
      <x:c r="D1281" s="6" t="str">
        <x:v>47.54 m
From: Bedroom 2.18 (apartment 9)
To: Kitchen 0.11 (apartment 2)
Ordered path (8 spaces): Bedroom 2.18 (apartment 9) → Corridor 2.19 (apartment 9) → Stair hall 2.22 → Stair hall 1.22 → Stair hall 0.22 → Corridor 0.09 (apartment 2) → Living room 0.08 (apartment 2) → Kitchen 0.11 (apartment 2)</x:v>
      </x:c>
      <x:c r="E1281" s="6" t="str">
        <x:v>Reference supplied</x:v>
      </x:c>
      <x:c r="F1281" s="6" t="str">
        <x:v>train</x:v>
      </x:c>
      <x:c r="G1281" s="6" t="str">
        <x:v>swiss-2482</x:v>
      </x:c>
      <x:c r="H1281" s="6" t="str">
        <x:v>swiss-2482-Q04</x:v>
      </x:c>
      <x:c r="I1281" s="6" t="str">
        <x:v>Route planning</x:v>
      </x:c>
      <x:c r="J1281" s="6" t="str">
        <x:v>Warm-up</x:v>
      </x:c>
      <x:c r="K1281" s="6" t="str">
        <x:v>Ordered space path and directions, plus total route-model distance in metres.</x:v>
      </x:c>
      <x:c r="L1281" s="6" t="str">
        <x:v>T02, T05, T13</x:v>
      </x:c>
      <x:c r="M1281" s="6" t="str">
        <x:v>Find a valid route between two rooms, including across floors.</x:v>
      </x:c>
      <x:c r="N1281" s="6" t="str">
        <x:v>{"from_space_id":"swiss-2482-F2-S018","to_space_id":"swiss-2482-F0-S011","optimal_length_m":47.54,"space_path":["swiss-2482-F2-S018","swiss-2482-F2-S019","swiss-2482-F2-S022","swiss-2482-F1-S022","swiss-2482-F0-S022","swiss-2482-F0-S009","swiss-2482-F0-S008","swiss-2482-F0-S011"],"element_path":["swiss-2482-F2-O0062","swiss-2482-F2-O0062","swiss-2482-F2-O0061","swiss-2482-F2-O0061","swiss-2482-V01","swiss-2482-V01","swiss-2482-F0-O0012","swiss-2482-F0-O0012","swiss-2482-F0-O0013","swiss-2482-F0-O0013","swiss-2482-F0-O0011","swiss-2482-F0-O0011"]}</x:v>
      </x:c>
      <x:c r="O1281" s="6"/>
      <x:c r="P1281" s="6" t="str">
        <x:v>README routing profile. Stairs and lifts allowed unless stated otherwise.</x:v>
      </x:c>
      <x:c r="Q1281" s="15" t="n">
        <x:v>47.54</x:v>
      </x:c>
      <x:c r="R1281" s="6" t="str">
        <x:v>m</x:v>
      </x:c>
      <x:c r="S1281" s="16"/>
      <x:c r="T1281" s="15"/>
      <x:c r="U1281" s="6"/>
      <x:c r="V1281" s="6"/>
      <x:c r="W1281" s="6" t="str">
        <x:v>Existing find_route and show_route implement the kit routing model.</x:v>
      </x:c>
      <x:c r="X1281" s="6" t="str">
        <x:v>data/train/swiss-2482/questions_basic.jsonl</x:v>
      </x:c>
      <x:c r="Y1281" s="14" t="n">
        <x:v>4</x:v>
      </x:c>
      <x:c r="Z1281" s="6" t="str">
        <x:v>https://github.com/hagenhaeussler/Industrial-Agents-Hackathon-2026/blob/f41616590b69f3ea0c1cbfb41d6c35edd9ce53df/data/train/swiss-2482/questions_basic.jsonl#L4</x:v>
      </x:c>
      <x:c r="AA1281" s="6" t="str">
        <x:v>swiss_dwellings</x:v>
      </x:c>
      <x:c r="AB1281" s="6" t="str">
        <x:v>CC-BY-4.0</x:v>
      </x:c>
    </x:row>
    <x:row r="1282" ht="96" customHeight="1">
      <x:c r="A1282" s="14" t="n">
        <x:v>1277</x:v>
      </x:c>
      <x:c r="B1282" s="6" t="str">
        <x:v>route</x:v>
      </x:c>
      <x:c r="C1282" s="6" t="str">
        <x:v>How do I get from Bedroom 1.16 (apartment 6) (Floor 1) to Bedroom 0.15 (apartment 3) (Ground floor)?</x:v>
      </x:c>
      <x:c r="D1282" s="6" t="str">
        <x:v>35.19 m
From: Bedroom 1.16 (apartment 6)
To: Bedroom 0.15 (apartment 3)
Ordered path (6 spaces): Bedroom 1.16 (apartment 6) → Corridor 1.18 (apartment 6) → Stair hall 1.22 → Stair hall 0.22 → Corridor 0.16 (apartment 3) → Bedroom 0.15 (apartment 3)</x:v>
      </x:c>
      <x:c r="E1282" s="6" t="str">
        <x:v>Reference supplied</x:v>
      </x:c>
      <x:c r="F1282" s="6" t="str">
        <x:v>train</x:v>
      </x:c>
      <x:c r="G1282" s="6" t="str">
        <x:v>swiss-2482</x:v>
      </x:c>
      <x:c r="H1282" s="6" t="str">
        <x:v>swiss-2482-Q05</x:v>
      </x:c>
      <x:c r="I1282" s="6" t="str">
        <x:v>Route planning</x:v>
      </x:c>
      <x:c r="J1282" s="6" t="str">
        <x:v>Warm-up</x:v>
      </x:c>
      <x:c r="K1282" s="6" t="str">
        <x:v>Ordered space path and directions, plus total route-model distance in metres.</x:v>
      </x:c>
      <x:c r="L1282" s="6" t="str">
        <x:v>T02, T05, T13</x:v>
      </x:c>
      <x:c r="M1282" s="6" t="str">
        <x:v>Find a valid route between two rooms, including across floors.</x:v>
      </x:c>
      <x:c r="N1282" s="6" t="str">
        <x:v>{"from_space_id":"swiss-2482-F1-S016","to_space_id":"swiss-2482-F0-S015","optimal_length_m":35.19,"space_path":["swiss-2482-F1-S016","swiss-2482-F1-S018","swiss-2482-F1-S022","swiss-2482-F0-S022","swiss-2482-F0-S016","swiss-2482-F0-S015"],"element_path":["swiss-2482-F1-O0042","swiss-2482-F1-O0042","swiss-2482-F1-O0037","swiss-2482-F1-O0037","swiss-2482-V01","swiss-2482-F0-O0019","swiss-2482-F0-O0019","swiss-2482-F0-O0016","swiss-2482-F0-O0016"]}</x:v>
      </x:c>
      <x:c r="O1282" s="6"/>
      <x:c r="P1282" s="6" t="str">
        <x:v>README routing profile. Stairs and lifts allowed unless stated otherwise.</x:v>
      </x:c>
      <x:c r="Q1282" s="15" t="n">
        <x:v>35.19</x:v>
      </x:c>
      <x:c r="R1282" s="6" t="str">
        <x:v>m</x:v>
      </x:c>
      <x:c r="S1282" s="16"/>
      <x:c r="T1282" s="15"/>
      <x:c r="U1282" s="6"/>
      <x:c r="V1282" s="6"/>
      <x:c r="W1282" s="6" t="str">
        <x:v>Existing find_route and show_route implement the kit routing model.</x:v>
      </x:c>
      <x:c r="X1282" s="6" t="str">
        <x:v>data/train/swiss-2482/questions_basic.jsonl</x:v>
      </x:c>
      <x:c r="Y1282" s="14" t="n">
        <x:v>5</x:v>
      </x:c>
      <x:c r="Z1282" s="6" t="str">
        <x:v>https://github.com/hagenhaeussler/Industrial-Agents-Hackathon-2026/blob/f41616590b69f3ea0c1cbfb41d6c35edd9ce53df/data/train/swiss-2482/questions_basic.jsonl#L5</x:v>
      </x:c>
      <x:c r="AA1282" s="6" t="str">
        <x:v>swiss_dwellings</x:v>
      </x:c>
      <x:c r="AB1282" s="6" t="str">
        <x:v>CC-BY-4.0</x:v>
      </x:c>
    </x:row>
    <x:row r="1283" ht="96" customHeight="1">
      <x:c r="A1283" s="14" t="n">
        <x:v>1278</x:v>
      </x:c>
      <x:c r="B1283" s="6" t="str">
        <x:v>route</x:v>
      </x:c>
      <x:c r="C1283" s="6" t="str">
        <x:v>How do I get from Kitchen 1.02 (apartment 4) (Floor 1) to Living room 2.10 (apartment 8) (Floor 2)?</x:v>
      </x:c>
      <x:c r="D1283" s="6" t="str">
        <x:v>37.31 m
From: Kitchen 1.02 (apartment 4)
To: Living room 2.10 (apartment 8)
Ordered path (7 spaces): Kitchen 1.02 (apartment 4) → Living room 1.04 (apartment 4) → Corridor 1.06 (apartment 4) → Stair hall 1.22 → Stair hall 2.22 → Corridor 2.09 (apartment 8) → Living room 2.10 (apartment 8)</x:v>
      </x:c>
      <x:c r="E1283" s="6" t="str">
        <x:v>Reference supplied</x:v>
      </x:c>
      <x:c r="F1283" s="6" t="str">
        <x:v>train</x:v>
      </x:c>
      <x:c r="G1283" s="6" t="str">
        <x:v>swiss-2482</x:v>
      </x:c>
      <x:c r="H1283" s="6" t="str">
        <x:v>swiss-2482-Q06</x:v>
      </x:c>
      <x:c r="I1283" s="6" t="str">
        <x:v>Route planning</x:v>
      </x:c>
      <x:c r="J1283" s="6" t="str">
        <x:v>Warm-up</x:v>
      </x:c>
      <x:c r="K1283" s="6" t="str">
        <x:v>Ordered space path and directions, plus total route-model distance in metres.</x:v>
      </x:c>
      <x:c r="L1283" s="6" t="str">
        <x:v>T02, T05, T13</x:v>
      </x:c>
      <x:c r="M1283" s="6" t="str">
        <x:v>Find a valid route between two rooms, including across floors.</x:v>
      </x:c>
      <x:c r="N1283" s="6" t="str">
        <x:v>{"from_space_id":"swiss-2482-F1-S002","to_space_id":"swiss-2482-F2-S010","optimal_length_m":37.31,"space_path":["swiss-2482-F1-S002","swiss-2482-F1-S004","swiss-2482-F1-S006","swiss-2482-F1-S022","swiss-2482-F2-S022","swiss-2482-F2-S009","swiss-2482-F2-S010"],"element_path":["swiss-2482-F1-O0024","swiss-2482-F1-O0024","swiss-2482-F1-O0026","swiss-2482-F1-O0026","swiss-2482-F1-O0022","swiss-2482-F1-O0022","swiss-2482-V01","swiss-2482-F2-O0053","swiss-2482-F2-O0053","swiss-2482-F2-O0055","swiss-2482-F2-O0055"]}</x:v>
      </x:c>
      <x:c r="O1283" s="6"/>
      <x:c r="P1283" s="6" t="str">
        <x:v>README routing profile. Stairs and lifts allowed unless stated otherwise.</x:v>
      </x:c>
      <x:c r="Q1283" s="15" t="n">
        <x:v>37.31</x:v>
      </x:c>
      <x:c r="R1283" s="6" t="str">
        <x:v>m</x:v>
      </x:c>
      <x:c r="S1283" s="16"/>
      <x:c r="T1283" s="15"/>
      <x:c r="U1283" s="6"/>
      <x:c r="V1283" s="6"/>
      <x:c r="W1283" s="6" t="str">
        <x:v>Existing find_route and show_route implement the kit routing model.</x:v>
      </x:c>
      <x:c r="X1283" s="6" t="str">
        <x:v>data/train/swiss-2482/questions_basic.jsonl</x:v>
      </x:c>
      <x:c r="Y1283" s="14" t="n">
        <x:v>6</x:v>
      </x:c>
      <x:c r="Z1283" s="6" t="str">
        <x:v>https://github.com/hagenhaeussler/Industrial-Agents-Hackathon-2026/blob/f41616590b69f3ea0c1cbfb41d6c35edd9ce53df/data/train/swiss-2482/questions_basic.jsonl#L6</x:v>
      </x:c>
      <x:c r="AA1283" s="6" t="str">
        <x:v>swiss_dwellings</x:v>
      </x:c>
      <x:c r="AB1283" s="6" t="str">
        <x:v>CC-BY-4.0</x:v>
      </x:c>
    </x:row>
    <x:row r="1284" ht="110" customHeight="1">
      <x:c r="A1284" s="14" t="n">
        <x:v>1279</x:v>
      </x:c>
      <x:c r="B1284" s="6" t="str">
        <x:v>route</x:v>
      </x:c>
      <x:c r="C1284" s="6" t="str">
        <x:v>How do I get from Kitchen 0.40 (apartment 4) (Ground floor) to Living room 1.21 (apartment 6) (Floor 1)?</x:v>
      </x:c>
      <x:c r="D1284" s="6" t="str">
        <x:v>27.93 m
From: Kitchen 0.40 (apartment 4)
To: Living room 1.21 (apartment 6)
Ordered path (9 spaces): Kitchen 0.40 (apartment 4) → Living room 0.42 (apartment 4) → Corridor 0.36 (apartment 4) → Landing 0.43 → outside → Landing 0.44 → Landing 1.44 → Corridor 1.17 (apartment 6) → Living room 1.21 (apartment 6)</x:v>
      </x:c>
      <x:c r="E1284" s="6" t="str">
        <x:v>Reference supplied</x:v>
      </x:c>
      <x:c r="F1284" s="6" t="str">
        <x:v>train</x:v>
      </x:c>
      <x:c r="G1284" s="6" t="str">
        <x:v>swiss-256</x:v>
      </x:c>
      <x:c r="H1284" s="6" t="str">
        <x:v>swiss-256-Q02</x:v>
      </x:c>
      <x:c r="I1284" s="6" t="str">
        <x:v>Route planning</x:v>
      </x:c>
      <x:c r="J1284" s="6" t="str">
        <x:v>Warm-up</x:v>
      </x:c>
      <x:c r="K1284" s="6" t="str">
        <x:v>Ordered space path and directions, plus total route-model distance in metres.</x:v>
      </x:c>
      <x:c r="L1284" s="6" t="str">
        <x:v>T02, T05, T13</x:v>
      </x:c>
      <x:c r="M1284" s="6" t="str">
        <x:v>Find a valid route between two rooms, including across floors.</x:v>
      </x:c>
      <x:c r="N1284" s="6" t="str">
        <x:v>{"from_space_id":"swiss-256-F0-S040","to_space_id":"swiss-256-F1-S021","optimal_length_m":27.93,"space_path":["swiss-256-F0-S040","swiss-256-F0-S042","swiss-256-F0-S036","swiss-256-F0-S043","outside","swiss-256-F0-S044","swiss-256-F1-S044","swiss-256-F1-S017","swiss-256-F1-S021"],"element_path":["swiss-256-F0-O0031","swiss-256-F0-O0031","swiss-256-F0-O0042","swiss-256-F0-O0042","swiss-256-F0-O0028","swiss-256-F0-O0028","swiss-256-F0-O0171","swiss-256-F0-O0171","swiss-256-F0-O0172","swiss-256-F0-O0172","swiss-256-V02","swiss-256-F1-O0057","swiss-256-F1-O0057","swiss-256-F1-O0080","swiss-256-F1-O0080"]}</x:v>
      </x:c>
      <x:c r="O1284" s="6"/>
      <x:c r="P1284" s="6" t="str">
        <x:v>README routing profile. Stairs and lifts allowed unless stated otherwise.</x:v>
      </x:c>
      <x:c r="Q1284" s="15" t="n">
        <x:v>27.93</x:v>
      </x:c>
      <x:c r="R1284" s="6" t="str">
        <x:v>m</x:v>
      </x:c>
      <x:c r="S1284" s="16"/>
      <x:c r="T1284" s="15"/>
      <x:c r="U1284" s="6"/>
      <x:c r="V1284" s="6"/>
      <x:c r="W1284" s="6" t="str">
        <x:v>Existing find_route and show_route implement the kit routing model.</x:v>
      </x:c>
      <x:c r="X1284" s="6" t="str">
        <x:v>data/train/swiss-256/questions_basic.jsonl</x:v>
      </x:c>
      <x:c r="Y1284" s="14" t="n">
        <x:v>2</x:v>
      </x:c>
      <x:c r="Z1284" s="6" t="str">
        <x:v>https://github.com/hagenhaeussler/Industrial-Agents-Hackathon-2026/blob/f41616590b69f3ea0c1cbfb41d6c35edd9ce53df/data/train/swiss-256/questions_basic.jsonl#L2</x:v>
      </x:c>
      <x:c r="AA1284" s="6" t="str">
        <x:v>swiss_dwellings</x:v>
      </x:c>
      <x:c r="AB1284" s="6" t="str">
        <x:v>CC-BY-4.0</x:v>
      </x:c>
    </x:row>
    <x:row r="1285" ht="96" customHeight="1">
      <x:c r="A1285" s="14" t="n">
        <x:v>1280</x:v>
      </x:c>
      <x:c r="B1285" s="6" t="str">
        <x:v>route</x:v>
      </x:c>
      <x:c r="C1285" s="6" t="str">
        <x:v>How do I get from Bedroom 0.33 (apartment 4) (Ground floor) to Bathroom 0.10 (apartment 1) (Ground floor)?</x:v>
      </x:c>
      <x:c r="D1285" s="6" t="str">
        <x:v>18.61 m
From: Bedroom 0.33 (apartment 4)
To: Bathroom 0.10 (apartment 1)
Ordered path (6 spaces): Bedroom 0.33 (apartment 4) → Corridor 0.39 (apartment 4) → Corridor 0.36 (apartment 4) → Landing 0.43 → Corridor 0.09 (apartment 1) → Bathroom 0.10 (apartment 1)</x:v>
      </x:c>
      <x:c r="E1285" s="6" t="str">
        <x:v>Reference supplied</x:v>
      </x:c>
      <x:c r="F1285" s="6" t="str">
        <x:v>train</x:v>
      </x:c>
      <x:c r="G1285" s="6" t="str">
        <x:v>swiss-256</x:v>
      </x:c>
      <x:c r="H1285" s="6" t="str">
        <x:v>swiss-256-Q03</x:v>
      </x:c>
      <x:c r="I1285" s="6" t="str">
        <x:v>Route planning</x:v>
      </x:c>
      <x:c r="J1285" s="6" t="str">
        <x:v>Warm-up</x:v>
      </x:c>
      <x:c r="K1285" s="6" t="str">
        <x:v>Ordered space path and directions, plus total route-model distance in metres.</x:v>
      </x:c>
      <x:c r="L1285" s="6" t="str">
        <x:v>T02, T05, T13</x:v>
      </x:c>
      <x:c r="M1285" s="6" t="str">
        <x:v>Find a valid route between two rooms, including across floors.</x:v>
      </x:c>
      <x:c r="N1285" s="6" t="str">
        <x:v>{"from_space_id":"swiss-256-F0-S033","to_space_id":"swiss-256-F0-S010","optimal_length_m":18.61,"space_path":["swiss-256-F0-S033","swiss-256-F0-S039","swiss-256-F0-S036","swiss-256-F0-S043","swiss-256-F0-S009","swiss-256-F0-S010"],"element_path":["swiss-256-F0-O0034","swiss-256-F0-O0034","swiss-256-F0-O0027","swiss-256-F0-O0027","swiss-256-F0-O0028","swiss-256-F0-O0028","swiss-256-F0-O0005","swiss-256-F0-O0005","swiss-256-F0-O0008","swiss-256-F0-O0008"]}</x:v>
      </x:c>
      <x:c r="O1285" s="6"/>
      <x:c r="P1285" s="6" t="str">
        <x:v>README routing profile. Stairs and lifts allowed unless stated otherwise.</x:v>
      </x:c>
      <x:c r="Q1285" s="15" t="n">
        <x:v>18.61</x:v>
      </x:c>
      <x:c r="R1285" s="6" t="str">
        <x:v>m</x:v>
      </x:c>
      <x:c r="S1285" s="16"/>
      <x:c r="T1285" s="15"/>
      <x:c r="U1285" s="6"/>
      <x:c r="V1285" s="6"/>
      <x:c r="W1285" s="6" t="str">
        <x:v>Existing find_route and show_route implement the kit routing model.</x:v>
      </x:c>
      <x:c r="X1285" s="6" t="str">
        <x:v>data/train/swiss-256/questions_basic.jsonl</x:v>
      </x:c>
      <x:c r="Y1285" s="14" t="n">
        <x:v>3</x:v>
      </x:c>
      <x:c r="Z1285" s="6" t="str">
        <x:v>https://github.com/hagenhaeussler/Industrial-Agents-Hackathon-2026/blob/f41616590b69f3ea0c1cbfb41d6c35edd9ce53df/data/train/swiss-256/questions_basic.jsonl#L3</x:v>
      </x:c>
      <x:c r="AA1285" s="6" t="str">
        <x:v>swiss_dwellings</x:v>
      </x:c>
      <x:c r="AB1285" s="6" t="str">
        <x:v>CC-BY-4.0</x:v>
      </x:c>
    </x:row>
    <x:row r="1286" ht="96" customHeight="1">
      <x:c r="A1286" s="14" t="n">
        <x:v>1281</x:v>
      </x:c>
      <x:c r="B1286" s="6" t="str">
        <x:v>route</x:v>
      </x:c>
      <x:c r="C1286" s="6" t="str">
        <x:v>How do I get from Bathroom 0.11 (apartment 2) (Ground floor) to Living room 1.32 (apartment 7) (Floor 1)?</x:v>
      </x:c>
      <x:c r="D1286" s="6" t="str">
        <x:v>29.1 m
From: Bathroom 0.11 (apartment 2)
To: Living room 1.32 (apartment 7)
Ordered path (7 spaces): Bathroom 0.11 (apartment 2) → Corridor 0.14 (apartment 2) → Corridor 0.19 (apartment 2) → Landing 0.44 → Landing 1.43 → Corridor 1.23 (apartment 7) → Living room 1.32 (apartment 7)</x:v>
      </x:c>
      <x:c r="E1286" s="6" t="str">
        <x:v>Reference supplied</x:v>
      </x:c>
      <x:c r="F1286" s="6" t="str">
        <x:v>train</x:v>
      </x:c>
      <x:c r="G1286" s="6" t="str">
        <x:v>swiss-256</x:v>
      </x:c>
      <x:c r="H1286" s="6" t="str">
        <x:v>swiss-256-Q04</x:v>
      </x:c>
      <x:c r="I1286" s="6" t="str">
        <x:v>Route planning</x:v>
      </x:c>
      <x:c r="J1286" s="6" t="str">
        <x:v>Warm-up</x:v>
      </x:c>
      <x:c r="K1286" s="6" t="str">
        <x:v>Ordered space path and directions, plus total route-model distance in metres.</x:v>
      </x:c>
      <x:c r="L1286" s="6" t="str">
        <x:v>T02, T05, T13</x:v>
      </x:c>
      <x:c r="M1286" s="6" t="str">
        <x:v>Find a valid route between two rooms, including across floors.</x:v>
      </x:c>
      <x:c r="N1286" s="6" t="str">
        <x:v>{"from_space_id":"swiss-256-F0-S011","to_space_id":"swiss-256-F1-S032","optimal_length_m":29.1,"space_path":["swiss-256-F0-S011","swiss-256-F0-S014","swiss-256-F0-S019","swiss-256-F0-S044","swiss-256-F1-S043","swiss-256-F1-S023","swiss-256-F1-S032"],"element_path":["swiss-256-F0-O0017","swiss-256-F0-O0017","swiss-256-F0-O0014","swiss-256-F0-O0014","swiss-256-F0-O0010","swiss-256-F0-O0010","swiss-256-V01","swiss-256-F1-O0064","swiss-256-F1-O0064","swiss-256-F1-O0082","swiss-256-F1-O0082"]}</x:v>
      </x:c>
      <x:c r="O1286" s="6"/>
      <x:c r="P1286" s="6" t="str">
        <x:v>README routing profile. Stairs and lifts allowed unless stated otherwise.</x:v>
      </x:c>
      <x:c r="Q1286" s="15" t="n">
        <x:v>29.1</x:v>
      </x:c>
      <x:c r="R1286" s="6" t="str">
        <x:v>m</x:v>
      </x:c>
      <x:c r="S1286" s="16"/>
      <x:c r="T1286" s="15"/>
      <x:c r="U1286" s="6"/>
      <x:c r="V1286" s="6"/>
      <x:c r="W1286" s="6" t="str">
        <x:v>Existing find_route and show_route implement the kit routing model.</x:v>
      </x:c>
      <x:c r="X1286" s="6" t="str">
        <x:v>data/train/swiss-256/questions_basic.jsonl</x:v>
      </x:c>
      <x:c r="Y1286" s="14" t="n">
        <x:v>4</x:v>
      </x:c>
      <x:c r="Z1286" s="6" t="str">
        <x:v>https://github.com/hagenhaeussler/Industrial-Agents-Hackathon-2026/blob/f41616590b69f3ea0c1cbfb41d6c35edd9ce53df/data/train/swiss-256/questions_basic.jsonl#L4</x:v>
      </x:c>
      <x:c r="AA1286" s="6" t="str">
        <x:v>swiss_dwellings</x:v>
      </x:c>
      <x:c r="AB1286" s="6" t="str">
        <x:v>CC-BY-4.0</x:v>
      </x:c>
    </x:row>
    <x:row r="1287" ht="96" customHeight="1">
      <x:c r="A1287" s="14" t="n">
        <x:v>1282</x:v>
      </x:c>
      <x:c r="B1287" s="6" t="str">
        <x:v>route</x:v>
      </x:c>
      <x:c r="C1287" s="6" t="str">
        <x:v>How do I get from Bedroom 2.02 (apartment 29) (Floor 2) to Bedroom 1.49 (apartment 28) (Floor 1)?</x:v>
      </x:c>
      <x:c r="D1287" s="6" t="str">
        <x:v>25.39 m
From: Bedroom 2.02 (apartment 29)
To: Bedroom 1.49 (apartment 28)
Ordered path (6 spaces): Bedroom 2.02 (apartment 29) → Kitchen 2.03 (apartment 29) → Stair hall 2.53 → Stair hall 1.53 → Kitchen 1.50 (apartment 28) → Bedroom 1.49 (apartment 28)</x:v>
      </x:c>
      <x:c r="E1287" s="6" t="str">
        <x:v>Reference supplied</x:v>
      </x:c>
      <x:c r="F1287" s="6" t="str">
        <x:v>train</x:v>
      </x:c>
      <x:c r="G1287" s="6" t="str">
        <x:v>swiss-2798</x:v>
      </x:c>
      <x:c r="H1287" s="6" t="str">
        <x:v>swiss-2798-Q03</x:v>
      </x:c>
      <x:c r="I1287" s="6" t="str">
        <x:v>Route planning</x:v>
      </x:c>
      <x:c r="J1287" s="6" t="str">
        <x:v>Warm-up</x:v>
      </x:c>
      <x:c r="K1287" s="6" t="str">
        <x:v>Ordered space path and directions, plus total route-model distance in metres.</x:v>
      </x:c>
      <x:c r="L1287" s="6" t="str">
        <x:v>T02, T05, T13</x:v>
      </x:c>
      <x:c r="M1287" s="6" t="str">
        <x:v>Find a valid route between two rooms, including across floors.</x:v>
      </x:c>
      <x:c r="N1287" s="6" t="str">
        <x:v>{"from_space_id":"swiss-2798-F2-S002","to_space_id":"swiss-2798-F1-S049","optimal_length_m":25.39,"space_path":["swiss-2798-F2-S002","swiss-2798-F2-S003","swiss-2798-F2-S053","swiss-2798-F1-S053","swiss-2798-F1-S050","swiss-2798-F1-S049"],"element_path":["swiss-2798-F2-O0157","swiss-2798-F2-O0157","swiss-2798-F2-O0119","swiss-2798-F2-O0119","swiss-2798-V07","swiss-2798-F1-O0100","swiss-2798-F1-O0100","swiss-2798-F1-O0115","swiss-2798-F1-O0115"]}</x:v>
      </x:c>
      <x:c r="O1287" s="6"/>
      <x:c r="P1287" s="6" t="str">
        <x:v>README routing profile. Stairs and lifts allowed unless stated otherwise.</x:v>
      </x:c>
      <x:c r="Q1287" s="15" t="n">
        <x:v>25.39</x:v>
      </x:c>
      <x:c r="R1287" s="6" t="str">
        <x:v>m</x:v>
      </x:c>
      <x:c r="S1287" s="16"/>
      <x:c r="T1287" s="15"/>
      <x:c r="U1287" s="6"/>
      <x:c r="V1287" s="6"/>
      <x:c r="W1287" s="6" t="str">
        <x:v>Existing find_route and show_route implement the kit routing model.</x:v>
      </x:c>
      <x:c r="X1287" s="6" t="str">
        <x:v>data/train/swiss-2798/questions_basic.jsonl</x:v>
      </x:c>
      <x:c r="Y1287" s="14" t="n">
        <x:v>3</x:v>
      </x:c>
      <x:c r="Z1287" s="6" t="str">
        <x:v>https://github.com/hagenhaeussler/Industrial-Agents-Hackathon-2026/blob/f41616590b69f3ea0c1cbfb41d6c35edd9ce53df/data/train/swiss-2798/questions_basic.jsonl#L3</x:v>
      </x:c>
      <x:c r="AA1287" s="6" t="str">
        <x:v>swiss_dwellings</x:v>
      </x:c>
      <x:c r="AB1287" s="6" t="str">
        <x:v>CC-BY-4.0</x:v>
      </x:c>
    </x:row>
    <x:row r="1288" ht="96" customHeight="1">
      <x:c r="A1288" s="14" t="n">
        <x:v>1283</x:v>
      </x:c>
      <x:c r="B1288" s="6" t="str">
        <x:v>route</x:v>
      </x:c>
      <x:c r="C1288" s="6" t="str">
        <x:v>How do I get from Bathroom 2.28 (apartment 35) (Floor 2) to Bathroom 2.43 (apartment 39) (Floor 2)?</x:v>
      </x:c>
      <x:c r="D1288" s="6" t="str">
        <x:v>12.87 m
From: Bathroom 2.28 (apartment 35)
To: Bathroom 2.43 (apartment 39)
Ordered path (5 spaces): Bathroom 2.28 (apartment 35) → Kitchen 2.26 (apartment 35) → Stair hall 2.54 → Kitchen 2.44 (apartment 39) → Bathroom 2.43 (apartment 39)</x:v>
      </x:c>
      <x:c r="E1288" s="6" t="str">
        <x:v>Reference supplied</x:v>
      </x:c>
      <x:c r="F1288" s="6" t="str">
        <x:v>train</x:v>
      </x:c>
      <x:c r="G1288" s="6" t="str">
        <x:v>swiss-2798</x:v>
      </x:c>
      <x:c r="H1288" s="6" t="str">
        <x:v>swiss-2798-Q04</x:v>
      </x:c>
      <x:c r="I1288" s="6" t="str">
        <x:v>Route planning</x:v>
      </x:c>
      <x:c r="J1288" s="6" t="str">
        <x:v>Warm-up</x:v>
      </x:c>
      <x:c r="K1288" s="6" t="str">
        <x:v>Ordered space path and directions, plus total route-model distance in metres.</x:v>
      </x:c>
      <x:c r="L1288" s="6" t="str">
        <x:v>T02, T05, T13</x:v>
      </x:c>
      <x:c r="M1288" s="6" t="str">
        <x:v>Find a valid route between two rooms, including across floors.</x:v>
      </x:c>
      <x:c r="N1288" s="6" t="str">
        <x:v>{"from_space_id":"swiss-2798-F2-S028","to_space_id":"swiss-2798-F2-S043","optimal_length_m":12.87,"space_path":["swiss-2798-F2-S028","swiss-2798-F2-S026","swiss-2798-F2-S054","swiss-2798-F2-S044","swiss-2798-F2-S043"],"element_path":["swiss-2798-F2-O0138","swiss-2798-F2-O0138","swiss-2798-F2-O0137","swiss-2798-F2-O0137","swiss-2798-F2-O0150","swiss-2798-F2-O0150","swiss-2798-F2-O0149","swiss-2798-F2-O0149"]}</x:v>
      </x:c>
      <x:c r="O1288" s="6"/>
      <x:c r="P1288" s="6" t="str">
        <x:v>README routing profile. Stairs and lifts allowed unless stated otherwise.</x:v>
      </x:c>
      <x:c r="Q1288" s="15" t="n">
        <x:v>12.87</x:v>
      </x:c>
      <x:c r="R1288" s="6" t="str">
        <x:v>m</x:v>
      </x:c>
      <x:c r="S1288" s="16"/>
      <x:c r="T1288" s="15"/>
      <x:c r="U1288" s="6"/>
      <x:c r="V1288" s="6"/>
      <x:c r="W1288" s="6" t="str">
        <x:v>Existing find_route and show_route implement the kit routing model.</x:v>
      </x:c>
      <x:c r="X1288" s="6" t="str">
        <x:v>data/train/swiss-2798/questions_basic.jsonl</x:v>
      </x:c>
      <x:c r="Y1288" s="14" t="n">
        <x:v>4</x:v>
      </x:c>
      <x:c r="Z1288" s="6" t="str">
        <x:v>https://github.com/hagenhaeussler/Industrial-Agents-Hackathon-2026/blob/f41616590b69f3ea0c1cbfb41d6c35edd9ce53df/data/train/swiss-2798/questions_basic.jsonl#L4</x:v>
      </x:c>
      <x:c r="AA1288" s="6" t="str">
        <x:v>swiss_dwellings</x:v>
      </x:c>
      <x:c r="AB1288" s="6" t="str">
        <x:v>CC-BY-4.0</x:v>
      </x:c>
    </x:row>
    <x:row r="1289" ht="96" customHeight="1">
      <x:c r="A1289" s="14" t="n">
        <x:v>1284</x:v>
      </x:c>
      <x:c r="B1289" s="6" t="str">
        <x:v>route</x:v>
      </x:c>
      <x:c r="C1289" s="6" t="str">
        <x:v>How do I get from Bedroom 2.37 (apartment 38) (Floor 2) to Bedroom 2.25 (apartment 35) (Floor 2)?</x:v>
      </x:c>
      <x:c r="D1289" s="6" t="str">
        <x:v>27.13 m
From: Bedroom 2.37 (apartment 38)
To: Bedroom 2.25 (apartment 35)
Ordered path (7 spaces): Bedroom 2.37 (apartment 38) → Kitchen 2.39 (apartment 38) → Stair hall 2.53 → Landing 2.55 → Stair hall 2.54 → Kitchen 2.26 (apartment 35) → Bedroom 2.25 (apartment 35)</x:v>
      </x:c>
      <x:c r="E1289" s="6" t="str">
        <x:v>Reference supplied</x:v>
      </x:c>
      <x:c r="F1289" s="6" t="str">
        <x:v>train</x:v>
      </x:c>
      <x:c r="G1289" s="6" t="str">
        <x:v>swiss-2798</x:v>
      </x:c>
      <x:c r="H1289" s="6" t="str">
        <x:v>swiss-2798-Q05</x:v>
      </x:c>
      <x:c r="I1289" s="6" t="str">
        <x:v>Route planning</x:v>
      </x:c>
      <x:c r="J1289" s="6" t="str">
        <x:v>Warm-up</x:v>
      </x:c>
      <x:c r="K1289" s="6" t="str">
        <x:v>Ordered space path and directions, plus total route-model distance in metres.</x:v>
      </x:c>
      <x:c r="L1289" s="6" t="str">
        <x:v>T02, T05, T13</x:v>
      </x:c>
      <x:c r="M1289" s="6" t="str">
        <x:v>Find a valid route between two rooms, including across floors.</x:v>
      </x:c>
      <x:c r="N1289" s="6" t="str">
        <x:v>{"from_space_id":"swiss-2798-F2-S037","to_space_id":"swiss-2798-F2-S025","optimal_length_m":27.13,"space_path":["swiss-2798-F2-S037","swiss-2798-F2-S039","swiss-2798-F2-S053","swiss-2798-F2-S055","swiss-2798-F2-S054","swiss-2798-F2-S026","swiss-2798-F2-S025"],"element_path":["swiss-2798-F2-O0166","swiss-2798-F2-O0166","swiss-2798-F2-O0145","swiss-2798-F2-O0145","swiss-2798-F2-O0116","swiss-2798-F2-O0116","swiss-2798-F2-O0117","swiss-2798-F2-O0117","swiss-2798-F2-O0137","swiss-2798-F2-O0137","swiss-2798-F2-O0163","swiss-2798-F2-O0163"]}</x:v>
      </x:c>
      <x:c r="O1289" s="6"/>
      <x:c r="P1289" s="6" t="str">
        <x:v>README routing profile. Stairs and lifts allowed unless stated otherwise.</x:v>
      </x:c>
      <x:c r="Q1289" s="15" t="n">
        <x:v>27.13</x:v>
      </x:c>
      <x:c r="R1289" s="6" t="str">
        <x:v>m</x:v>
      </x:c>
      <x:c r="S1289" s="16"/>
      <x:c r="T1289" s="15"/>
      <x:c r="U1289" s="6"/>
      <x:c r="V1289" s="6"/>
      <x:c r="W1289" s="6" t="str">
        <x:v>Existing find_route and show_route implement the kit routing model.</x:v>
      </x:c>
      <x:c r="X1289" s="6" t="str">
        <x:v>data/train/swiss-2798/questions_basic.jsonl</x:v>
      </x:c>
      <x:c r="Y1289" s="14" t="n">
        <x:v>5</x:v>
      </x:c>
      <x:c r="Z1289" s="6" t="str">
        <x:v>https://github.com/hagenhaeussler/Industrial-Agents-Hackathon-2026/blob/f41616590b69f3ea0c1cbfb41d6c35edd9ce53df/data/train/swiss-2798/questions_basic.jsonl#L5</x:v>
      </x:c>
      <x:c r="AA1289" s="6" t="str">
        <x:v>swiss_dwellings</x:v>
      </x:c>
      <x:c r="AB1289" s="6" t="str">
        <x:v>CC-BY-4.0</x:v>
      </x:c>
    </x:row>
    <x:row r="1290" ht="96" customHeight="1">
      <x:c r="A1290" s="14" t="n">
        <x:v>1285</x:v>
      </x:c>
      <x:c r="B1290" s="6" t="str">
        <x:v>route</x:v>
      </x:c>
      <x:c r="C1290" s="6" t="str">
        <x:v>How do I get from Living room 2.11 (apartment 6) (Floor 2) to Bedroom 4.11 (apartment 9) (Floor 4)?</x:v>
      </x:c>
      <x:c r="D1290" s="6" t="str">
        <x:v>39.25 m
From: Living room 2.11 (apartment 6)
To: Bedroom 4.11 (apartment 9)
Ordered path (7 spaces): Living room 2.11 (apartment 6) → Corridor 2.18 (apartment 6) → Stair hall 2.19 → Stair hall 3.19 → Stair hall 4.14 → Corridor 4.02 (apartment 9) → Bedroom 4.11 (apartment 9)</x:v>
      </x:c>
      <x:c r="E1290" s="6" t="str">
        <x:v>Reference supplied</x:v>
      </x:c>
      <x:c r="F1290" s="6" t="str">
        <x:v>train</x:v>
      </x:c>
      <x:c r="G1290" s="6" t="str">
        <x:v>swiss-28</x:v>
      </x:c>
      <x:c r="H1290" s="6" t="str">
        <x:v>swiss-28-Q05</x:v>
      </x:c>
      <x:c r="I1290" s="6" t="str">
        <x:v>Route planning</x:v>
      </x:c>
      <x:c r="J1290" s="6" t="str">
        <x:v>Warm-up</x:v>
      </x:c>
      <x:c r="K1290" s="6" t="str">
        <x:v>Ordered space path and directions, plus total route-model distance in metres.</x:v>
      </x:c>
      <x:c r="L1290" s="6" t="str">
        <x:v>T02, T05, T13</x:v>
      </x:c>
      <x:c r="M1290" s="6" t="str">
        <x:v>Find a valid route between two rooms, including across floors.</x:v>
      </x:c>
      <x:c r="N1290" s="6" t="str">
        <x:v>{"from_space_id":"swiss-28-F2-S011","to_space_id":"swiss-28-F4-S011","optimal_length_m":39.25,"space_path":["swiss-28-F2-S011","swiss-28-F2-S018","swiss-28-F2-S019","swiss-28-F3-S019","swiss-28-F4-S014","swiss-28-F4-S002","swiss-28-F4-S011"],"element_path":["swiss-28-F2-O0060","swiss-28-F2-O0060","swiss-28-F2-O0058","swiss-28-F2-O0058","swiss-28-V01","swiss-28-V01","swiss-28-F4-O0089","swiss-28-F4-O0089","swiss-28-F4-O0088","swiss-28-F4-O0088"]}</x:v>
      </x:c>
      <x:c r="O1290" s="6"/>
      <x:c r="P1290" s="6" t="str">
        <x:v>README routing profile. Stairs and lifts allowed unless stated otherwise.</x:v>
      </x:c>
      <x:c r="Q1290" s="15" t="n">
        <x:v>39.25</x:v>
      </x:c>
      <x:c r="R1290" s="6" t="str">
        <x:v>m</x:v>
      </x:c>
      <x:c r="S1290" s="16"/>
      <x:c r="T1290" s="15"/>
      <x:c r="U1290" s="6"/>
      <x:c r="V1290" s="6"/>
      <x:c r="W1290" s="6" t="str">
        <x:v>Existing find_route and show_route implement the kit routing model.</x:v>
      </x:c>
      <x:c r="X1290" s="6" t="str">
        <x:v>data/train/swiss-28/questions_basic.jsonl</x:v>
      </x:c>
      <x:c r="Y1290" s="14" t="n">
        <x:v>5</x:v>
      </x:c>
      <x:c r="Z1290" s="6" t="str">
        <x:v>https://github.com/hagenhaeussler/Industrial-Agents-Hackathon-2026/blob/f41616590b69f3ea0c1cbfb41d6c35edd9ce53df/data/train/swiss-28/questions_basic.jsonl#L5</x:v>
      </x:c>
      <x:c r="AA1290" s="6" t="str">
        <x:v>swiss_dwellings</x:v>
      </x:c>
      <x:c r="AB1290" s="6" t="str">
        <x:v>CC-BY-4.0</x:v>
      </x:c>
    </x:row>
    <x:row r="1291" ht="96" customHeight="1">
      <x:c r="A1291" s="14" t="n">
        <x:v>1286</x:v>
      </x:c>
      <x:c r="B1291" s="6" t="str">
        <x:v>route</x:v>
      </x:c>
      <x:c r="C1291" s="6" t="str">
        <x:v>How do I get from Bedroom 3.05 (apartment 7) (Floor 3) to Bathroom 4.09 (apartment 9) (Floor 4)?</x:v>
      </x:c>
      <x:c r="D1291" s="6" t="str">
        <x:v>30.21 m
From: Bedroom 3.05 (apartment 7)
To: Bathroom 4.09 (apartment 9)
Ordered path (7 spaces): Bedroom 3.05 (apartment 7) → Corridor 3.02 (apartment 7) → Stair hall 3.19 → Stair hall 4.14 → Corridor 4.02 (apartment 9) → Corridor 4.10 (apartment 9) → Bathroom 4.09 (apartment 9)</x:v>
      </x:c>
      <x:c r="E1291" s="6" t="str">
        <x:v>Reference supplied</x:v>
      </x:c>
      <x:c r="F1291" s="6" t="str">
        <x:v>train</x:v>
      </x:c>
      <x:c r="G1291" s="6" t="str">
        <x:v>swiss-28</x:v>
      </x:c>
      <x:c r="H1291" s="6" t="str">
        <x:v>swiss-28-Q06</x:v>
      </x:c>
      <x:c r="I1291" s="6" t="str">
        <x:v>Route planning</x:v>
      </x:c>
      <x:c r="J1291" s="6" t="str">
        <x:v>Warm-up</x:v>
      </x:c>
      <x:c r="K1291" s="6" t="str">
        <x:v>Ordered space path and directions, plus total route-model distance in metres.</x:v>
      </x:c>
      <x:c r="L1291" s="6" t="str">
        <x:v>T02, T05, T13</x:v>
      </x:c>
      <x:c r="M1291" s="6" t="str">
        <x:v>Find a valid route between two rooms, including across floors.</x:v>
      </x:c>
      <x:c r="N1291" s="6" t="str">
        <x:v>{"from_space_id":"swiss-28-F3-S005","to_space_id":"swiss-28-F4-S009","optimal_length_m":30.21,"space_path":["swiss-28-F3-S005","swiss-28-F3-S002","swiss-28-F3-S019","swiss-28-F4-S014","swiss-28-F4-S002","swiss-28-F4-S010","swiss-28-F4-S009"],"element_path":["swiss-28-F3-O0069","swiss-28-F3-O0069","swiss-28-F3-O0064","swiss-28-F3-O0064","swiss-28-V01","swiss-28-F4-O0089","swiss-28-F4-O0089","swiss-28-F4-O0092","swiss-28-F4-O0092","swiss-28-F4-O0082","swiss-28-F4-O0082"]}</x:v>
      </x:c>
      <x:c r="O1291" s="6"/>
      <x:c r="P1291" s="6" t="str">
        <x:v>README routing profile. Stairs and lifts allowed unless stated otherwise.</x:v>
      </x:c>
      <x:c r="Q1291" s="15" t="n">
        <x:v>30.21</x:v>
      </x:c>
      <x:c r="R1291" s="6" t="str">
        <x:v>m</x:v>
      </x:c>
      <x:c r="S1291" s="16"/>
      <x:c r="T1291" s="15"/>
      <x:c r="U1291" s="6"/>
      <x:c r="V1291" s="6"/>
      <x:c r="W1291" s="6" t="str">
        <x:v>Existing find_route and show_route implement the kit routing model.</x:v>
      </x:c>
      <x:c r="X1291" s="6" t="str">
        <x:v>data/train/swiss-28/questions_basic.jsonl</x:v>
      </x:c>
      <x:c r="Y1291" s="14" t="n">
        <x:v>6</x:v>
      </x:c>
      <x:c r="Z1291" s="6" t="str">
        <x:v>https://github.com/hagenhaeussler/Industrial-Agents-Hackathon-2026/blob/f41616590b69f3ea0c1cbfb41d6c35edd9ce53df/data/train/swiss-28/questions_basic.jsonl#L6</x:v>
      </x:c>
      <x:c r="AA1291" s="6" t="str">
        <x:v>swiss_dwellings</x:v>
      </x:c>
      <x:c r="AB1291" s="6" t="str">
        <x:v>CC-BY-4.0</x:v>
      </x:c>
    </x:row>
    <x:row r="1292" ht="96" customHeight="1">
      <x:c r="A1292" s="14" t="n">
        <x:v>1287</x:v>
      </x:c>
      <x:c r="B1292" s="6" t="str">
        <x:v>route</x:v>
      </x:c>
      <x:c r="C1292" s="6" t="str">
        <x:v>How do I get from Kitchen 1.01 (apartment 3) (Floor 1) to Bedroom 2.04 (apartment 5) (Floor 2)?</x:v>
      </x:c>
      <x:c r="D1292" s="6" t="str">
        <x:v>28.06 m
From: Kitchen 1.01 (apartment 3)
To: Bedroom 2.04 (apartment 5)
Ordered path (6 spaces): Kitchen 1.01 (apartment 3) → Corridor 1.08 (apartment 3) → Stair hall 1.19 → Stair hall 2.19 → Corridor 2.01 (apartment 5) → Bedroom 2.04 (apartment 5)</x:v>
      </x:c>
      <x:c r="E1292" s="6" t="str">
        <x:v>Reference supplied</x:v>
      </x:c>
      <x:c r="F1292" s="6" t="str">
        <x:v>train</x:v>
      </x:c>
      <x:c r="G1292" s="6" t="str">
        <x:v>swiss-28</x:v>
      </x:c>
      <x:c r="H1292" s="6" t="str">
        <x:v>swiss-28-Q07</x:v>
      </x:c>
      <x:c r="I1292" s="6" t="str">
        <x:v>Route planning</x:v>
      </x:c>
      <x:c r="J1292" s="6" t="str">
        <x:v>Warm-up</x:v>
      </x:c>
      <x:c r="K1292" s="6" t="str">
        <x:v>Ordered space path and directions, plus total route-model distance in metres.</x:v>
      </x:c>
      <x:c r="L1292" s="6" t="str">
        <x:v>T02, T05, T13</x:v>
      </x:c>
      <x:c r="M1292" s="6" t="str">
        <x:v>Find a valid route between two rooms, including across floors.</x:v>
      </x:c>
      <x:c r="N1292" s="6" t="str">
        <x:v>{"from_space_id":"swiss-28-F1-S001","to_space_id":"swiss-28-F2-S004","optimal_length_m":28.06,"space_path":["swiss-28-F1-S001","swiss-28-F1-S008","swiss-28-F1-S019","swiss-28-F2-S019","swiss-28-F2-S001","swiss-28-F2-S004"],"element_path":["swiss-28-F1-O0024","swiss-28-F1-O0024","swiss-28-F1-O0022","swiss-28-F1-O0022","swiss-28-V01","swiss-28-F2-O0047","swiss-28-F2-O0047","swiss-28-F2-O0042","swiss-28-F2-O0042"]}</x:v>
      </x:c>
      <x:c r="O1292" s="6"/>
      <x:c r="P1292" s="6" t="str">
        <x:v>README routing profile. Stairs and lifts allowed unless stated otherwise.</x:v>
      </x:c>
      <x:c r="Q1292" s="15" t="n">
        <x:v>28.06</x:v>
      </x:c>
      <x:c r="R1292" s="6" t="str">
        <x:v>m</x:v>
      </x:c>
      <x:c r="S1292" s="16"/>
      <x:c r="T1292" s="15"/>
      <x:c r="U1292" s="6"/>
      <x:c r="V1292" s="6"/>
      <x:c r="W1292" s="6" t="str">
        <x:v>Existing find_route and show_route implement the kit routing model.</x:v>
      </x:c>
      <x:c r="X1292" s="6" t="str">
        <x:v>data/train/swiss-28/questions_basic.jsonl</x:v>
      </x:c>
      <x:c r="Y1292" s="14" t="n">
        <x:v>7</x:v>
      </x:c>
      <x:c r="Z1292" s="6" t="str">
        <x:v>https://github.com/hagenhaeussler/Industrial-Agents-Hackathon-2026/blob/f41616590b69f3ea0c1cbfb41d6c35edd9ce53df/data/train/swiss-28/questions_basic.jsonl#L7</x:v>
      </x:c>
      <x:c r="AA1292" s="6" t="str">
        <x:v>swiss_dwellings</x:v>
      </x:c>
      <x:c r="AB1292" s="6" t="str">
        <x:v>CC-BY-4.0</x:v>
      </x:c>
    </x:row>
    <x:row r="1293" ht="96" customHeight="1">
      <x:c r="A1293" s="14" t="n">
        <x:v>1288</x:v>
      </x:c>
      <x:c r="B1293" s="6" t="str">
        <x:v>route</x:v>
      </x:c>
      <x:c r="C1293" s="6" t="str">
        <x:v>How do I get from Kitchen 3.13 (apartment 15) (Floor 3) to Kitchen 1.16 (apartment 7) (Floor 1)?</x:v>
      </x:c>
      <x:c r="D1293" s="6" t="str">
        <x:v>43.49 m
From: Kitchen 3.13 (apartment 15)
To: Kitchen 1.16 (apartment 7)
Ordered path (7 spaces): Kitchen 3.13 (apartment 15) → Corridor 3.12 (apartment 15) → Stair hall 3.25 → Stair hall 2.25 → Stair hall 1.25 → Corridor 1.18 (apartment 7) → Kitchen 1.16 (apartment 7)</x:v>
      </x:c>
      <x:c r="E1293" s="6" t="str">
        <x:v>Reference supplied</x:v>
      </x:c>
      <x:c r="F1293" s="6" t="str">
        <x:v>train</x:v>
      </x:c>
      <x:c r="G1293" s="6" t="str">
        <x:v>swiss-2974</x:v>
      </x:c>
      <x:c r="H1293" s="6" t="str">
        <x:v>swiss-2974-Q03</x:v>
      </x:c>
      <x:c r="I1293" s="6" t="str">
        <x:v>Route planning</x:v>
      </x:c>
      <x:c r="J1293" s="6" t="str">
        <x:v>Warm-up</x:v>
      </x:c>
      <x:c r="K1293" s="6" t="str">
        <x:v>Ordered space path and directions, plus total route-model distance in metres.</x:v>
      </x:c>
      <x:c r="L1293" s="6" t="str">
        <x:v>T02, T05, T13</x:v>
      </x:c>
      <x:c r="M1293" s="6" t="str">
        <x:v>Find a valid route between two rooms, including across floors.</x:v>
      </x:c>
      <x:c r="N1293" s="6" t="str">
        <x:v>{"from_space_id":"swiss-2974-F3-S013","to_space_id":"swiss-2974-F1-S016","optimal_length_m":43.49,"space_path":["swiss-2974-F3-S013","swiss-2974-F3-S012","swiss-2974-F3-S025","swiss-2974-F2-S025","swiss-2974-F1-S025","swiss-2974-F1-S018","swiss-2974-F1-S016"],"element_path":["swiss-2974-F3-O0087","swiss-2974-F3-O0087","swiss-2974-F3-O0086","swiss-2974-F3-O0086","swiss-2974-V01","swiss-2974-V01","swiss-2974-F1-O0037","swiss-2974-F1-O0037","swiss-2974-F1-O0036","swiss-2974-F1-O0036"]}</x:v>
      </x:c>
      <x:c r="O1293" s="6"/>
      <x:c r="P1293" s="6" t="str">
        <x:v>README routing profile. Stairs and lifts allowed unless stated otherwise.</x:v>
      </x:c>
      <x:c r="Q1293" s="15" t="n">
        <x:v>43.49</x:v>
      </x:c>
      <x:c r="R1293" s="6" t="str">
        <x:v>m</x:v>
      </x:c>
      <x:c r="S1293" s="16"/>
      <x:c r="T1293" s="15"/>
      <x:c r="U1293" s="6"/>
      <x:c r="V1293" s="6"/>
      <x:c r="W1293" s="6" t="str">
        <x:v>Existing find_route and show_route implement the kit routing model.</x:v>
      </x:c>
      <x:c r="X1293" s="6" t="str">
        <x:v>data/train/swiss-2974/questions_basic.jsonl</x:v>
      </x:c>
      <x:c r="Y1293" s="14" t="n">
        <x:v>3</x:v>
      </x:c>
      <x:c r="Z1293" s="6" t="str">
        <x:v>https://github.com/hagenhaeussler/Industrial-Agents-Hackathon-2026/blob/f41616590b69f3ea0c1cbfb41d6c35edd9ce53df/data/train/swiss-2974/questions_basic.jsonl#L3</x:v>
      </x:c>
      <x:c r="AA1293" s="6" t="str">
        <x:v>swiss_dwellings</x:v>
      </x:c>
      <x:c r="AB1293" s="6" t="str">
        <x:v>CC-BY-4.0</x:v>
      </x:c>
    </x:row>
    <x:row r="1294" ht="96" customHeight="1">
      <x:c r="A1294" s="14" t="n">
        <x:v>1289</x:v>
      </x:c>
      <x:c r="B1294" s="6" t="str">
        <x:v>route</x:v>
      </x:c>
      <x:c r="C1294" s="6" t="str">
        <x:v>How do I get from Bedroom 2.10 (apartment 10) (Floor 2) to Living room 4.01 (apartment 17) (Floor 4)?</x:v>
      </x:c>
      <x:c r="D1294" s="6" t="str">
        <x:v>40.23 m
From: Bedroom 2.10 (apartment 10)
To: Living room 4.01 (apartment 17)
Ordered path (7 spaces): Bedroom 2.10 (apartment 10) → Corridor 2.12 (apartment 10) → Stair hall 2.25 → Stair hall 3.25 → Stair hall 4.25 → Corridor 4.04 (apartment 17) → Living room 4.01 (apartment 17)</x:v>
      </x:c>
      <x:c r="E1294" s="6" t="str">
        <x:v>Reference supplied</x:v>
      </x:c>
      <x:c r="F1294" s="6" t="str">
        <x:v>train</x:v>
      </x:c>
      <x:c r="G1294" s="6" t="str">
        <x:v>swiss-2974</x:v>
      </x:c>
      <x:c r="H1294" s="6" t="str">
        <x:v>swiss-2974-Q04</x:v>
      </x:c>
      <x:c r="I1294" s="6" t="str">
        <x:v>Route planning</x:v>
      </x:c>
      <x:c r="J1294" s="6" t="str">
        <x:v>Warm-up</x:v>
      </x:c>
      <x:c r="K1294" s="6" t="str">
        <x:v>Ordered space path and directions, plus total route-model distance in metres.</x:v>
      </x:c>
      <x:c r="L1294" s="6" t="str">
        <x:v>T02, T05, T13</x:v>
      </x:c>
      <x:c r="M1294" s="6" t="str">
        <x:v>Find a valid route between two rooms, including across floors.</x:v>
      </x:c>
      <x:c r="N1294" s="6" t="str">
        <x:v>{"from_space_id":"swiss-2974-F2-S010","to_space_id":"swiss-2974-F4-S001","optimal_length_m":40.23,"space_path":["swiss-2974-F2-S010","swiss-2974-F2-S012","swiss-2974-F2-S025","swiss-2974-F3-S025","swiss-2974-F4-S025","swiss-2974-F4-S004","swiss-2974-F4-S001"],"element_path":["swiss-2974-F2-O0056","swiss-2974-F2-O0056","swiss-2974-F2-O0058","swiss-2974-F2-O0058","swiss-2974-V01","swiss-2974-V01","swiss-2974-F4-O0102","swiss-2974-F4-O0102","swiss-2974-F4-O0105","swiss-2974-F4-O0105"]}</x:v>
      </x:c>
      <x:c r="O1294" s="6"/>
      <x:c r="P1294" s="6" t="str">
        <x:v>README routing profile. Stairs and lifts allowed unless stated otherwise.</x:v>
      </x:c>
      <x:c r="Q1294" s="15" t="n">
        <x:v>40.23</x:v>
      </x:c>
      <x:c r="R1294" s="6" t="str">
        <x:v>m</x:v>
      </x:c>
      <x:c r="S1294" s="16"/>
      <x:c r="T1294" s="15"/>
      <x:c r="U1294" s="6"/>
      <x:c r="V1294" s="6"/>
      <x:c r="W1294" s="6" t="str">
        <x:v>Existing find_route and show_route implement the kit routing model.</x:v>
      </x:c>
      <x:c r="X1294" s="6" t="str">
        <x:v>data/train/swiss-2974/questions_basic.jsonl</x:v>
      </x:c>
      <x:c r="Y1294" s="14" t="n">
        <x:v>4</x:v>
      </x:c>
      <x:c r="Z1294" s="6" t="str">
        <x:v>https://github.com/hagenhaeussler/Industrial-Agents-Hackathon-2026/blob/f41616590b69f3ea0c1cbfb41d6c35edd9ce53df/data/train/swiss-2974/questions_basic.jsonl#L4</x:v>
      </x:c>
      <x:c r="AA1294" s="6" t="str">
        <x:v>swiss_dwellings</x:v>
      </x:c>
      <x:c r="AB1294" s="6" t="str">
        <x:v>CC-BY-4.0</x:v>
      </x:c>
    </x:row>
    <x:row r="1295" ht="110" customHeight="1">
      <x:c r="A1295" s="14" t="n">
        <x:v>1290</x:v>
      </x:c>
      <x:c r="B1295" s="6" t="str">
        <x:v>route</x:v>
      </x:c>
      <x:c r="C1295" s="6" t="str">
        <x:v>How do I get from Bedroom 3.23 (apartment 16) (Floor 3) to Kitchen 2.16 (apartment 11) (Floor 2)?</x:v>
      </x:c>
      <x:c r="D1295" s="6" t="str">
        <x:v>33.8 m
From: Bedroom 3.23 (apartment 16)
To: Kitchen 2.16 (apartment 11)
Ordered path (7 spaces): Bedroom 3.23 (apartment 16) → Corridor 3.24 (apartment 16) → Stair hall 3.25 → Stair hall 2.25 → Corridor 2.14 (apartment 11) → Living room 2.17 (apartment 11) → Kitchen 2.16 (apartment 11)</x:v>
      </x:c>
      <x:c r="E1295" s="6" t="str">
        <x:v>Reference supplied</x:v>
      </x:c>
      <x:c r="F1295" s="6" t="str">
        <x:v>train</x:v>
      </x:c>
      <x:c r="G1295" s="6" t="str">
        <x:v>swiss-2974</x:v>
      </x:c>
      <x:c r="H1295" s="6" t="str">
        <x:v>swiss-2974-Q05</x:v>
      </x:c>
      <x:c r="I1295" s="6" t="str">
        <x:v>Route planning</x:v>
      </x:c>
      <x:c r="J1295" s="6" t="str">
        <x:v>Warm-up</x:v>
      </x:c>
      <x:c r="K1295" s="6" t="str">
        <x:v>Ordered space path and directions, plus total route-model distance in metres.</x:v>
      </x:c>
      <x:c r="L1295" s="6" t="str">
        <x:v>T02, T05, T13</x:v>
      </x:c>
      <x:c r="M1295" s="6" t="str">
        <x:v>Find a valid route between two rooms, including across floors.</x:v>
      </x:c>
      <x:c r="N1295" s="6" t="str">
        <x:v>{"from_space_id":"swiss-2974-F3-S023","to_space_id":"swiss-2974-F2-S016","optimal_length_m":33.8,"space_path":["swiss-2974-F3-S023","swiss-2974-F3-S024","swiss-2974-F3-S025","swiss-2974-F2-S025","swiss-2974-F2-S014","swiss-2974-F2-S017","swiss-2974-F2-S016"],"element_path":["swiss-2974-F3-O0089","swiss-2974-F3-O0089","swiss-2974-F3-O0095","swiss-2974-F3-O0095","swiss-2974-V01","swiss-2974-F2-O0062","swiss-2974-F2-O0062","swiss-2974-F2-O0061","swiss-2974-F2-O0061","swiss-2974-F2-O0060","swiss-2974-F2-O0060"]}</x:v>
      </x:c>
      <x:c r="O1295" s="6"/>
      <x:c r="P1295" s="6" t="str">
        <x:v>README routing profile. Stairs and lifts allowed unless stated otherwise.</x:v>
      </x:c>
      <x:c r="Q1295" s="15" t="n">
        <x:v>33.8</x:v>
      </x:c>
      <x:c r="R1295" s="6" t="str">
        <x:v>m</x:v>
      </x:c>
      <x:c r="S1295" s="16"/>
      <x:c r="T1295" s="15"/>
      <x:c r="U1295" s="6"/>
      <x:c r="V1295" s="6"/>
      <x:c r="W1295" s="6" t="str">
        <x:v>Existing find_route and show_route implement the kit routing model.</x:v>
      </x:c>
      <x:c r="X1295" s="6" t="str">
        <x:v>data/train/swiss-2974/questions_basic.jsonl</x:v>
      </x:c>
      <x:c r="Y1295" s="14" t="n">
        <x:v>5</x:v>
      </x:c>
      <x:c r="Z1295" s="6" t="str">
        <x:v>https://github.com/hagenhaeussler/Industrial-Agents-Hackathon-2026/blob/f41616590b69f3ea0c1cbfb41d6c35edd9ce53df/data/train/swiss-2974/questions_basic.jsonl#L5</x:v>
      </x:c>
      <x:c r="AA1295" s="6" t="str">
        <x:v>swiss_dwellings</x:v>
      </x:c>
      <x:c r="AB1295" s="6" t="str">
        <x:v>CC-BY-4.0</x:v>
      </x:c>
    </x:row>
    <x:row r="1296" ht="110" customHeight="1">
      <x:c r="A1296" s="14" t="n">
        <x:v>1291</x:v>
      </x:c>
      <x:c r="B1296" s="6" t="str">
        <x:v>route</x:v>
      </x:c>
      <x:c r="C1296" s="6" t="str">
        <x:v>How do I get from Living room 1.38 (apartment 11) (Floor 1) to Living room 4.06 (apartment 25) (Floor 4)?</x:v>
      </x:c>
      <x:c r="D1296" s="6" t="str">
        <x:v>51.37 m
From: Living room 1.38 (apartment 11)
To: Living room 4.06 (apartment 25)
Ordered path (8 spaces): Living room 1.38 (apartment 11) → Corridor 1.36 (apartment 11) → Corridor 1.39 (apartment 11) → Stair hall 1.51 → Stair hall 2.51 → Stair hall 3.51 → Stair hall 4.18 → Living room 4.06 (apartment 25)</x:v>
      </x:c>
      <x:c r="E1296" s="6" t="str">
        <x:v>Reference supplied</x:v>
      </x:c>
      <x:c r="F1296" s="6" t="str">
        <x:v>train</x:v>
      </x:c>
      <x:c r="G1296" s="6" t="str">
        <x:v>swiss-2975</x:v>
      </x:c>
      <x:c r="H1296" s="6" t="str">
        <x:v>swiss-2975-Q04</x:v>
      </x:c>
      <x:c r="I1296" s="6" t="str">
        <x:v>Route planning</x:v>
      </x:c>
      <x:c r="J1296" s="6" t="str">
        <x:v>Warm-up</x:v>
      </x:c>
      <x:c r="K1296" s="6" t="str">
        <x:v>Ordered space path and directions, plus total route-model distance in metres.</x:v>
      </x:c>
      <x:c r="L1296" s="6" t="str">
        <x:v>T02, T05, T13</x:v>
      </x:c>
      <x:c r="M1296" s="6" t="str">
        <x:v>Find a valid route between two rooms, including across floors.</x:v>
      </x:c>
      <x:c r="N1296" s="6" t="str">
        <x:v>{"from_space_id":"swiss-2975-F1-S038","to_space_id":"swiss-2975-F4-S006","optimal_length_m":51.37,"space_path":["swiss-2975-F1-S038","swiss-2975-F1-S036","swiss-2975-F1-S039","swiss-2975-F1-S051","swiss-2975-F2-S051","swiss-2975-F3-S051","swiss-2975-F4-S018","swiss-2975-F4-S006"],"element_path":["swiss-2975-F1-O0090","swiss-2975-F1-O0090","swiss-2975-F1-O0088","swiss-2975-F1-O0088","swiss-2975-F1-O0091","swiss-2975-F1-O0091","swiss-2975-V01","swiss-2975-V01","swiss-2975-V05","swiss-2975-F4-O0209","swiss-2975-F4-O0209"]}</x:v>
      </x:c>
      <x:c r="O1296" s="6"/>
      <x:c r="P1296" s="6" t="str">
        <x:v>README routing profile. Stairs and lifts allowed unless stated otherwise.</x:v>
      </x:c>
      <x:c r="Q1296" s="15" t="n">
        <x:v>51.37</x:v>
      </x:c>
      <x:c r="R1296" s="6" t="str">
        <x:v>m</x:v>
      </x:c>
      <x:c r="S1296" s="16"/>
      <x:c r="T1296" s="15"/>
      <x:c r="U1296" s="6"/>
      <x:c r="V1296" s="6"/>
      <x:c r="W1296" s="6" t="str">
        <x:v>Existing find_route and show_route implement the kit routing model.</x:v>
      </x:c>
      <x:c r="X1296" s="6" t="str">
        <x:v>data/train/swiss-2975/questions_basic.jsonl</x:v>
      </x:c>
      <x:c r="Y1296" s="14" t="n">
        <x:v>4</x:v>
      </x:c>
      <x:c r="Z1296" s="6" t="str">
        <x:v>https://github.com/hagenhaeussler/Industrial-Agents-Hackathon-2026/blob/f41616590b69f3ea0c1cbfb41d6c35edd9ce53df/data/train/swiss-2975/questions_basic.jsonl#L4</x:v>
      </x:c>
      <x:c r="AA1296" s="6" t="str">
        <x:v>swiss_dwellings</x:v>
      </x:c>
      <x:c r="AB1296" s="6" t="str">
        <x:v>CC-BY-4.0</x:v>
      </x:c>
    </x:row>
    <x:row r="1297" ht="110" customHeight="1">
      <x:c r="A1297" s="14" t="n">
        <x:v>1292</x:v>
      </x:c>
      <x:c r="B1297" s="6" t="str">
        <x:v>route</x:v>
      </x:c>
      <x:c r="C1297" s="6" t="str">
        <x:v>How do I get from Living room 3.35 (apartment 22) (Floor 3) to Living room 3.22 (apartment 21) (Floor 3)?</x:v>
      </x:c>
      <x:c r="D1297" s="6" t="str">
        <x:v>25.61 m
From: Living room 3.35 (apartment 22)
To: Living room 3.22 (apartment 21)
Ordered path (8 spaces): Living room 3.35 (apartment 22) → Corridor 3.37 (apartment 22) → Corridor 3.38 (apartment 22) → Stair hall 3.50 → Corridor 3.24 (apartment 21) → Corridor 3.29 (apartment 21) → Kitchen 3.27 (apartment 21) → Living room 3.22 (apartment 21)</x:v>
      </x:c>
      <x:c r="E1297" s="6" t="str">
        <x:v>Reference supplied</x:v>
      </x:c>
      <x:c r="F1297" s="6" t="str">
        <x:v>train</x:v>
      </x:c>
      <x:c r="G1297" s="6" t="str">
        <x:v>swiss-2975</x:v>
      </x:c>
      <x:c r="H1297" s="6" t="str">
        <x:v>swiss-2975-Q05</x:v>
      </x:c>
      <x:c r="I1297" s="6" t="str">
        <x:v>Route planning</x:v>
      </x:c>
      <x:c r="J1297" s="6" t="str">
        <x:v>Warm-up</x:v>
      </x:c>
      <x:c r="K1297" s="6" t="str">
        <x:v>Ordered space path and directions, plus total route-model distance in metres.</x:v>
      </x:c>
      <x:c r="L1297" s="6" t="str">
        <x:v>T02, T05, T13</x:v>
      </x:c>
      <x:c r="M1297" s="6" t="str">
        <x:v>Find a valid route between two rooms, including across floors.</x:v>
      </x:c>
      <x:c r="N1297" s="6" t="str">
        <x:v>{"from_space_id":"swiss-2975-F3-S035","to_space_id":"swiss-2975-F3-S022","optimal_length_m":25.61,"space_path":["swiss-2975-F3-S035","swiss-2975-F3-S037","swiss-2975-F3-S038","swiss-2975-F3-S050","swiss-2975-F3-S024","swiss-2975-F3-S029","swiss-2975-F3-S027","swiss-2975-F3-S022"],"element_path":["swiss-2975-F3-O0191","swiss-2975-F3-O0191","swiss-2975-F3-O0186","swiss-2975-F3-O0186","swiss-2975-F3-O0187","swiss-2975-F3-O0187","swiss-2975-F3-O0180","swiss-2975-F3-O0180","swiss-2975-F3-O0177","swiss-2975-F3-O0177","swiss-2975-F3-O0182","swiss-2975-F3-O0182","swiss-2975-F3-O0184","swiss-2975-F3-O0184"]}</x:v>
      </x:c>
      <x:c r="O1297" s="6"/>
      <x:c r="P1297" s="6" t="str">
        <x:v>README routing profile. Stairs and lifts allowed unless stated otherwise.</x:v>
      </x:c>
      <x:c r="Q1297" s="15" t="n">
        <x:v>25.61</x:v>
      </x:c>
      <x:c r="R1297" s="6" t="str">
        <x:v>m</x:v>
      </x:c>
      <x:c r="S1297" s="16"/>
      <x:c r="T1297" s="15"/>
      <x:c r="U1297" s="6"/>
      <x:c r="V1297" s="6"/>
      <x:c r="W1297" s="6" t="str">
        <x:v>Existing find_route and show_route implement the kit routing model.</x:v>
      </x:c>
      <x:c r="X1297" s="6" t="str">
        <x:v>data/train/swiss-2975/questions_basic.jsonl</x:v>
      </x:c>
      <x:c r="Y1297" s="14" t="n">
        <x:v>5</x:v>
      </x:c>
      <x:c r="Z1297" s="6" t="str">
        <x:v>https://github.com/hagenhaeussler/Industrial-Agents-Hackathon-2026/blob/f41616590b69f3ea0c1cbfb41d6c35edd9ce53df/data/train/swiss-2975/questions_basic.jsonl#L5</x:v>
      </x:c>
      <x:c r="AA1297" s="6" t="str">
        <x:v>swiss_dwellings</x:v>
      </x:c>
      <x:c r="AB1297" s="6" t="str">
        <x:v>CC-BY-4.0</x:v>
      </x:c>
    </x:row>
    <x:row r="1298" ht="124" customHeight="1">
      <x:c r="A1298" s="14" t="n">
        <x:v>1293</x:v>
      </x:c>
      <x:c r="B1298" s="6" t="str">
        <x:v>route</x:v>
      </x:c>
      <x:c r="C1298" s="6" t="str">
        <x:v>How do I get from Kitchen 3.39 (apartment 23) (Floor 3) to Living room 2.16 (apartment 15) (Floor 2)?</x:v>
      </x:c>
      <x:c r="D1298" s="6" t="str">
        <x:v>78.39 m
From: Kitchen 3.39 (apartment 23)
To: Living room 2.16 (apartment 15)
Ordered path (11 spaces): Kitchen 3.39 (apartment 23) → Corridor 3.44 (apartment 23) → Stair hall 3.50 → Stair hall 2.51 → Stair hall 1.51 → Stair hall 0.49 → Stair hall 1.52 → Stair hall 2.52 → Corridor 2.15 (apartment 15) → Corridor 2.20 (apartment 15) → Living room 2.16 (apartment 15)</x:v>
      </x:c>
      <x:c r="E1298" s="6" t="str">
        <x:v>Reference supplied</x:v>
      </x:c>
      <x:c r="F1298" s="6" t="str">
        <x:v>train</x:v>
      </x:c>
      <x:c r="G1298" s="6" t="str">
        <x:v>swiss-2975</x:v>
      </x:c>
      <x:c r="H1298" s="6" t="str">
        <x:v>swiss-2975-Q06</x:v>
      </x:c>
      <x:c r="I1298" s="6" t="str">
        <x:v>Route planning</x:v>
      </x:c>
      <x:c r="J1298" s="6" t="str">
        <x:v>Warm-up</x:v>
      </x:c>
      <x:c r="K1298" s="6" t="str">
        <x:v>Ordered space path and directions, plus total route-model distance in metres.</x:v>
      </x:c>
      <x:c r="L1298" s="6" t="str">
        <x:v>T02, T05, T13</x:v>
      </x:c>
      <x:c r="M1298" s="6" t="str">
        <x:v>Find a valid route between two rooms, including across floors.</x:v>
      </x:c>
      <x:c r="N1298" s="6" t="str">
        <x:v>{"from_space_id":"swiss-2975-F3-S039","to_space_id":"swiss-2975-F2-S016","optimal_length_m":78.39,"space_path":["swiss-2975-F3-S039","swiss-2975-F3-S044","swiss-2975-F3-S050","swiss-2975-F2-S051","swiss-2975-F1-S051","swiss-2975-F0-S049","swiss-2975-F1-S052","swiss-2975-F2-S052","swiss-2975-F2-S015","swiss-2975-F2-S020","swiss-2975-F2-S016"],"element_path":["swiss-2975-F3-O0197","swiss-2975-F3-O0197","swiss-2975-F3-O0195","swiss-2975-F3-O0195","swiss-2975-V04","swiss-2975-V01","swiss-2975-V01","swiss-2975-V02","swiss-2975-V03","swiss-2975-F2-O0111","swiss-2975-F2-O0111","swiss-2975-F2-O0104","swiss-2975-F2-O0104","swiss-2975-F2-O0122","swiss-2975-F2-O0122"]}</x:v>
      </x:c>
      <x:c r="O1298" s="6"/>
      <x:c r="P1298" s="6" t="str">
        <x:v>README routing profile. Stairs and lifts allowed unless stated otherwise.</x:v>
      </x:c>
      <x:c r="Q1298" s="15" t="n">
        <x:v>78.39</x:v>
      </x:c>
      <x:c r="R1298" s="6" t="str">
        <x:v>m</x:v>
      </x:c>
      <x:c r="S1298" s="16"/>
      <x:c r="T1298" s="15"/>
      <x:c r="U1298" s="6"/>
      <x:c r="V1298" s="6"/>
      <x:c r="W1298" s="6" t="str">
        <x:v>Existing find_route and show_route implement the kit routing model.</x:v>
      </x:c>
      <x:c r="X1298" s="6" t="str">
        <x:v>data/train/swiss-2975/questions_basic.jsonl</x:v>
      </x:c>
      <x:c r="Y1298" s="14" t="n">
        <x:v>6</x:v>
      </x:c>
      <x:c r="Z1298" s="6" t="str">
        <x:v>https://github.com/hagenhaeussler/Industrial-Agents-Hackathon-2026/blob/f41616590b69f3ea0c1cbfb41d6c35edd9ce53df/data/train/swiss-2975/questions_basic.jsonl#L6</x:v>
      </x:c>
      <x:c r="AA1298" s="6" t="str">
        <x:v>swiss_dwellings</x:v>
      </x:c>
      <x:c r="AB1298" s="6" t="str">
        <x:v>CC-BY-4.0</x:v>
      </x:c>
    </x:row>
    <x:row r="1299" ht="96" customHeight="1">
      <x:c r="A1299" s="14" t="n">
        <x:v>1294</x:v>
      </x:c>
      <x:c r="B1299" s="6" t="str">
        <x:v>route</x:v>
      </x:c>
      <x:c r="C1299" s="6" t="str">
        <x:v>How do I get from Bedroom 0.30 (apartment 3) (Ground floor) to Living room 0.40 (apartment 4) (Ground floor)?</x:v>
      </x:c>
      <x:c r="D1299" s="6" t="str">
        <x:v>17.34 m
From: Bedroom 0.30 (apartment 3)
To: Living room 0.40 (apartment 4)
Ordered path (7 spaces): Bedroom 0.30 (apartment 3) → Corridor 0.29 (apartment 3) → Landing 0.43 → outside → Landing 0.44 → Corridor 0.35 (apartment 4) → Living room 0.40 (apartment 4)</x:v>
      </x:c>
      <x:c r="E1299" s="6" t="str">
        <x:v>Reference supplied</x:v>
      </x:c>
      <x:c r="F1299" s="6" t="str">
        <x:v>train</x:v>
      </x:c>
      <x:c r="G1299" s="6" t="str">
        <x:v>swiss-3066</x:v>
      </x:c>
      <x:c r="H1299" s="6" t="str">
        <x:v>swiss-3066-Q04</x:v>
      </x:c>
      <x:c r="I1299" s="6" t="str">
        <x:v>Route planning</x:v>
      </x:c>
      <x:c r="J1299" s="6" t="str">
        <x:v>Warm-up</x:v>
      </x:c>
      <x:c r="K1299" s="6" t="str">
        <x:v>Ordered space path and directions, plus total route-model distance in metres.</x:v>
      </x:c>
      <x:c r="L1299" s="6" t="str">
        <x:v>T02, T05, T13</x:v>
      </x:c>
      <x:c r="M1299" s="6" t="str">
        <x:v>Find a valid route between two rooms, including across floors.</x:v>
      </x:c>
      <x:c r="N1299" s="6" t="str">
        <x:v>{"from_space_id":"swiss-3066-F0-S030","to_space_id":"swiss-3066-F0-S040","optimal_length_m":17.34,"space_path":["swiss-3066-F0-S030","swiss-3066-F0-S029","swiss-3066-F0-S043","outside","swiss-3066-F0-S044","swiss-3066-F0-S035","swiss-3066-F0-S040"],"element_path":["swiss-3066-F0-O0028","swiss-3066-F0-O0028","swiss-3066-F0-O0024","swiss-3066-F0-O0024","swiss-3066-F0-O0097","swiss-3066-F0-O0097","swiss-3066-F0-O0098","swiss-3066-F0-O0098","swiss-3066-F0-O0031","swiss-3066-F0-O0031","swiss-3066-F0-O0045","swiss-3066-F0-O0045"]}</x:v>
      </x:c>
      <x:c r="O1299" s="6"/>
      <x:c r="P1299" s="6" t="str">
        <x:v>README routing profile. Stairs and lifts allowed unless stated otherwise.</x:v>
      </x:c>
      <x:c r="Q1299" s="15" t="n">
        <x:v>17.34</x:v>
      </x:c>
      <x:c r="R1299" s="6" t="str">
        <x:v>m</x:v>
      </x:c>
      <x:c r="S1299" s="16"/>
      <x:c r="T1299" s="15"/>
      <x:c r="U1299" s="6"/>
      <x:c r="V1299" s="6"/>
      <x:c r="W1299" s="6" t="str">
        <x:v>Existing find_route and show_route implement the kit routing model.</x:v>
      </x:c>
      <x:c r="X1299" s="6" t="str">
        <x:v>data/train/swiss-3066/questions_basic.jsonl</x:v>
      </x:c>
      <x:c r="Y1299" s="14" t="n">
        <x:v>4</x:v>
      </x:c>
      <x:c r="Z1299" s="6" t="str">
        <x:v>https://github.com/hagenhaeussler/Industrial-Agents-Hackathon-2026/blob/f41616590b69f3ea0c1cbfb41d6c35edd9ce53df/data/train/swiss-3066/questions_basic.jsonl#L4</x:v>
      </x:c>
      <x:c r="AA1299" s="6" t="str">
        <x:v>swiss_dwellings</x:v>
      </x:c>
      <x:c r="AB1299" s="6" t="str">
        <x:v>CC-BY-4.0</x:v>
      </x:c>
    </x:row>
    <x:row r="1300" ht="110" customHeight="1">
      <x:c r="A1300" s="14" t="n">
        <x:v>1295</x:v>
      </x:c>
      <x:c r="B1300" s="6" t="str">
        <x:v>route</x:v>
      </x:c>
      <x:c r="C1300" s="6" t="str">
        <x:v>How do I get from Kitchen 0.20 (apartment 2) (Ground floor) to Storage 1.08 (apartment 5) (Floor 1)?</x:v>
      </x:c>
      <x:c r="D1300" s="6" t="str">
        <x:v>27.43 m
From: Kitchen 0.20 (apartment 2)
To: Storage 1.08 (apartment 5)
Ordered path (8 spaces): Kitchen 0.20 (apartment 2) → Corridor 0.16 (apartment 2) → Landing 0.42 → outside → Landing 0.43 → Landing 1.43 → Corridor 1.07 (apartment 5) → Storage 1.08 (apartment 5)</x:v>
      </x:c>
      <x:c r="E1300" s="6" t="str">
        <x:v>Reference supplied</x:v>
      </x:c>
      <x:c r="F1300" s="6" t="str">
        <x:v>train</x:v>
      </x:c>
      <x:c r="G1300" s="6" t="str">
        <x:v>swiss-3066</x:v>
      </x:c>
      <x:c r="H1300" s="6" t="str">
        <x:v>swiss-3066-Q05</x:v>
      </x:c>
      <x:c r="I1300" s="6" t="str">
        <x:v>Route planning</x:v>
      </x:c>
      <x:c r="J1300" s="6" t="str">
        <x:v>Warm-up</x:v>
      </x:c>
      <x:c r="K1300" s="6" t="str">
        <x:v>Ordered space path and directions, plus total route-model distance in metres.</x:v>
      </x:c>
      <x:c r="L1300" s="6" t="str">
        <x:v>T02, T05, T13</x:v>
      </x:c>
      <x:c r="M1300" s="6" t="str">
        <x:v>Find a valid route between two rooms, including across floors.</x:v>
      </x:c>
      <x:c r="N1300" s="6" t="str">
        <x:v>{"from_space_id":"swiss-3066-F0-S020","to_space_id":"swiss-3066-F1-S008","optimal_length_m":27.43,"space_path":["swiss-3066-F0-S020","swiss-3066-F0-S016","swiss-3066-F0-S042","outside","swiss-3066-F0-S043","swiss-3066-F1-S043","swiss-3066-F1-S007","swiss-3066-F1-S008"],"element_path":["swiss-3066-F0-O0020","swiss-3066-F0-O0020","swiss-3066-F0-O0021","swiss-3066-F0-O0021","swiss-3066-F0-O0096","swiss-3066-F0-O0096","swiss-3066-F0-O0097","swiss-3066-F0-O0097","swiss-3066-V02","swiss-3066-F1-O0054","swiss-3066-F1-O0054","swiss-3066-F1-O0086","swiss-3066-F1-O0086"]}</x:v>
      </x:c>
      <x:c r="O1300" s="6"/>
      <x:c r="P1300" s="6" t="str">
        <x:v>README routing profile. Stairs and lifts allowed unless stated otherwise.</x:v>
      </x:c>
      <x:c r="Q1300" s="15" t="n">
        <x:v>27.43</x:v>
      </x:c>
      <x:c r="R1300" s="6" t="str">
        <x:v>m</x:v>
      </x:c>
      <x:c r="S1300" s="16"/>
      <x:c r="T1300" s="15"/>
      <x:c r="U1300" s="6"/>
      <x:c r="V1300" s="6"/>
      <x:c r="W1300" s="6" t="str">
        <x:v>Existing find_route and show_route implement the kit routing model.</x:v>
      </x:c>
      <x:c r="X1300" s="6" t="str">
        <x:v>data/train/swiss-3066/questions_basic.jsonl</x:v>
      </x:c>
      <x:c r="Y1300" s="14" t="n">
        <x:v>5</x:v>
      </x:c>
      <x:c r="Z1300" s="6" t="str">
        <x:v>https://github.com/hagenhaeussler/Industrial-Agents-Hackathon-2026/blob/f41616590b69f3ea0c1cbfb41d6c35edd9ce53df/data/train/swiss-3066/questions_basic.jsonl#L5</x:v>
      </x:c>
      <x:c r="AA1300" s="6" t="str">
        <x:v>swiss_dwellings</x:v>
      </x:c>
      <x:c r="AB1300" s="6" t="str">
        <x:v>CC-BY-4.0</x:v>
      </x:c>
    </x:row>
    <x:row r="1301" ht="96" customHeight="1">
      <x:c r="A1301" s="14" t="n">
        <x:v>1296</x:v>
      </x:c>
      <x:c r="B1301" s="6" t="str">
        <x:v>route</x:v>
      </x:c>
      <x:c r="C1301" s="6" t="str">
        <x:v>How do I get from Bedroom 0.09 (apartment 1) (Ground floor) to Bathroom 0.38 (apartment 4) (Ground floor)?</x:v>
      </x:c>
      <x:c r="D1301" s="6" t="str">
        <x:v>16.77 m
From: Bedroom 0.09 (apartment 1)
To: Bathroom 0.38 (apartment 4)
Ordered path (7 spaces): Bedroom 0.09 (apartment 1) → Corridor 0.08 (apartment 1) → Landing 0.41 → outside → Landing 0.44 → Corridor 0.35 (apartment 4) → Bathroom 0.38 (apartment 4)</x:v>
      </x:c>
      <x:c r="E1301" s="6" t="str">
        <x:v>Reference supplied</x:v>
      </x:c>
      <x:c r="F1301" s="6" t="str">
        <x:v>train</x:v>
      </x:c>
      <x:c r="G1301" s="6" t="str">
        <x:v>swiss-3066</x:v>
      </x:c>
      <x:c r="H1301" s="6" t="str">
        <x:v>swiss-3066-Q06</x:v>
      </x:c>
      <x:c r="I1301" s="6" t="str">
        <x:v>Route planning</x:v>
      </x:c>
      <x:c r="J1301" s="6" t="str">
        <x:v>Warm-up</x:v>
      </x:c>
      <x:c r="K1301" s="6" t="str">
        <x:v>Ordered space path and directions, plus total route-model distance in metres.</x:v>
      </x:c>
      <x:c r="L1301" s="6" t="str">
        <x:v>T02, T05, T13</x:v>
      </x:c>
      <x:c r="M1301" s="6" t="str">
        <x:v>Find a valid route between two rooms, including across floors.</x:v>
      </x:c>
      <x:c r="N1301" s="6" t="str">
        <x:v>{"from_space_id":"swiss-3066-F0-S009","to_space_id":"swiss-3066-F0-S038","optimal_length_m":16.77,"space_path":["swiss-3066-F0-S009","swiss-3066-F0-S008","swiss-3066-F0-S041","outside","swiss-3066-F0-S044","swiss-3066-F0-S035","swiss-3066-F0-S038"],"element_path":["swiss-3066-F0-O0008","swiss-3066-F0-O0008","swiss-3066-F0-O0012","swiss-3066-F0-O0012","swiss-3066-F0-O0095","swiss-3066-F0-O0095","swiss-3066-F0-O0098","swiss-3066-F0-O0098","swiss-3066-F0-O0031","swiss-3066-F0-O0031","swiss-3066-F0-O0035","swiss-3066-F0-O0035"]}</x:v>
      </x:c>
      <x:c r="O1301" s="6"/>
      <x:c r="P1301" s="6" t="str">
        <x:v>README routing profile. Stairs and lifts allowed unless stated otherwise.</x:v>
      </x:c>
      <x:c r="Q1301" s="15" t="n">
        <x:v>16.77</x:v>
      </x:c>
      <x:c r="R1301" s="6" t="str">
        <x:v>m</x:v>
      </x:c>
      <x:c r="S1301" s="16"/>
      <x:c r="T1301" s="15"/>
      <x:c r="U1301" s="6"/>
      <x:c r="V1301" s="6"/>
      <x:c r="W1301" s="6" t="str">
        <x:v>Existing find_route and show_route implement the kit routing model.</x:v>
      </x:c>
      <x:c r="X1301" s="6" t="str">
        <x:v>data/train/swiss-3066/questions_basic.jsonl</x:v>
      </x:c>
      <x:c r="Y1301" s="14" t="n">
        <x:v>6</x:v>
      </x:c>
      <x:c r="Z1301" s="6" t="str">
        <x:v>https://github.com/hagenhaeussler/Industrial-Agents-Hackathon-2026/blob/f41616590b69f3ea0c1cbfb41d6c35edd9ce53df/data/train/swiss-3066/questions_basic.jsonl#L6</x:v>
      </x:c>
      <x:c r="AA1301" s="6" t="str">
        <x:v>swiss_dwellings</x:v>
      </x:c>
      <x:c r="AB1301" s="6" t="str">
        <x:v>CC-BY-4.0</x:v>
      </x:c>
    </x:row>
    <x:row r="1302" ht="96" customHeight="1">
      <x:c r="A1302" s="14" t="n">
        <x:v>1297</x:v>
      </x:c>
      <x:c r="B1302" s="6" t="str">
        <x:v>route</x:v>
      </x:c>
      <x:c r="C1302" s="6" t="str">
        <x:v>How do I get from Bedroom 0.06 (apartment 1) (Ground floor) to Living room 2.11 (apartment 12) (Floor 2)?</x:v>
      </x:c>
      <x:c r="D1302" s="6" t="str">
        <x:v>51.82 m
From: Bedroom 0.06 (apartment 1)
To: Living room 2.11 (apartment 12)
Ordered path (8 spaces): Bedroom 0.06 (apartment 1) → Living room 0.01 (apartment 1) → Stair hall 0.44 → outside → Stair hall 0.43 → Stair hall 1.43 → Stair hall 2.43 → Living room 2.11 (apartment 12)</x:v>
      </x:c>
      <x:c r="E1302" s="6" t="str">
        <x:v>Reference supplied</x:v>
      </x:c>
      <x:c r="F1302" s="6" t="str">
        <x:v>train</x:v>
      </x:c>
      <x:c r="G1302" s="6" t="str">
        <x:v>swiss-3092</x:v>
      </x:c>
      <x:c r="H1302" s="6" t="str">
        <x:v>swiss-3092-Q02</x:v>
      </x:c>
      <x:c r="I1302" s="6" t="str">
        <x:v>Route planning</x:v>
      </x:c>
      <x:c r="J1302" s="6" t="str">
        <x:v>Warm-up</x:v>
      </x:c>
      <x:c r="K1302" s="6" t="str">
        <x:v>Ordered space path and directions, plus total route-model distance in metres.</x:v>
      </x:c>
      <x:c r="L1302" s="6" t="str">
        <x:v>T02, T05, T13</x:v>
      </x:c>
      <x:c r="M1302" s="6" t="str">
        <x:v>Find a valid route between two rooms, including across floors.</x:v>
      </x:c>
      <x:c r="N1302" s="6" t="str">
        <x:v>{"from_space_id":"swiss-3092-F0-S006","to_space_id":"swiss-3092-F2-S011","optimal_length_m":51.82,"space_path":["swiss-3092-F0-S006","swiss-3092-F0-S001","swiss-3092-F0-S044","outside","swiss-3092-F0-S043","swiss-3092-F1-S043","swiss-3092-F2-S043","swiss-3092-F2-S011"],"element_path":["swiss-3092-F0-O0005","swiss-3092-F0-O0005","swiss-3092-F0-O0004","swiss-3092-F0-O0004","swiss-3092-F0-O0174","swiss-3092-F0-O0174","swiss-3092-F0-O0173","swiss-3092-F0-O0173","swiss-3092-V02","swiss-3092-V03","swiss-3092-F2-O0097","swiss-3092-F2-O0097"]}</x:v>
      </x:c>
      <x:c r="O1302" s="6"/>
      <x:c r="P1302" s="6" t="str">
        <x:v>README routing profile. Stairs and lifts allowed unless stated otherwise.</x:v>
      </x:c>
      <x:c r="Q1302" s="15" t="n">
        <x:v>51.82</x:v>
      </x:c>
      <x:c r="R1302" s="6" t="str">
        <x:v>m</x:v>
      </x:c>
      <x:c r="S1302" s="16"/>
      <x:c r="T1302" s="15"/>
      <x:c r="U1302" s="6"/>
      <x:c r="V1302" s="6"/>
      <x:c r="W1302" s="6" t="str">
        <x:v>Existing find_route and show_route implement the kit routing model.</x:v>
      </x:c>
      <x:c r="X1302" s="6" t="str">
        <x:v>data/train/swiss-3092/questions_basic.jsonl</x:v>
      </x:c>
      <x:c r="Y1302" s="14" t="n">
        <x:v>2</x:v>
      </x:c>
      <x:c r="Z1302" s="6" t="str">
        <x:v>https://github.com/hagenhaeussler/Industrial-Agents-Hackathon-2026/blob/f41616590b69f3ea0c1cbfb41d6c35edd9ce53df/data/train/swiss-3092/questions_basic.jsonl#L2</x:v>
      </x:c>
      <x:c r="AA1302" s="6" t="str">
        <x:v>swiss_dwellings</x:v>
      </x:c>
      <x:c r="AB1302" s="6" t="str">
        <x:v>CC-BY-4.0</x:v>
      </x:c>
    </x:row>
    <x:row r="1303" ht="96" customHeight="1">
      <x:c r="A1303" s="14" t="n">
        <x:v>1298</x:v>
      </x:c>
      <x:c r="B1303" s="6" t="str">
        <x:v>route</x:v>
      </x:c>
      <x:c r="C1303" s="6" t="str">
        <x:v>How do I get from Kitchen 2.07 (apartment 11) (Floor 2) to Bathroom 1.42 (apartment 10) (Floor 1)?</x:v>
      </x:c>
      <x:c r="D1303" s="6" t="str">
        <x:v>44.95 m
From: Kitchen 2.07 (apartment 11)
To: Bathroom 1.42 (apartment 10)
Ordered path (6 spaces): Kitchen 2.07 (apartment 11) → Living room 2.09 (apartment 11) → Stair hall 2.44 → Stair hall 1.44 → Living room 1.39 (apartment 10) → Bathroom 1.42 (apartment 10)</x:v>
      </x:c>
      <x:c r="E1303" s="6" t="str">
        <x:v>Reference supplied</x:v>
      </x:c>
      <x:c r="F1303" s="6" t="str">
        <x:v>train</x:v>
      </x:c>
      <x:c r="G1303" s="6" t="str">
        <x:v>swiss-3092</x:v>
      </x:c>
      <x:c r="H1303" s="6" t="str">
        <x:v>swiss-3092-Q03</x:v>
      </x:c>
      <x:c r="I1303" s="6" t="str">
        <x:v>Route planning</x:v>
      </x:c>
      <x:c r="J1303" s="6" t="str">
        <x:v>Warm-up</x:v>
      </x:c>
      <x:c r="K1303" s="6" t="str">
        <x:v>Ordered space path and directions, plus total route-model distance in metres.</x:v>
      </x:c>
      <x:c r="L1303" s="6" t="str">
        <x:v>T02, T05, T13</x:v>
      </x:c>
      <x:c r="M1303" s="6" t="str">
        <x:v>Find a valid route between two rooms, including across floors.</x:v>
      </x:c>
      <x:c r="N1303" s="6" t="str">
        <x:v>{"from_space_id":"swiss-3092-F2-S007","to_space_id":"swiss-3092-F1-S042","optimal_length_m":44.95,"space_path":["swiss-3092-F2-S007","swiss-3092-F2-S009","swiss-3092-F2-S044","swiss-3092-F1-S044","swiss-3092-F1-S039","swiss-3092-F1-S042"],"element_path":["swiss-3092-F2-O0090","swiss-3092-F2-O0090","swiss-3092-F2-O0088","swiss-3092-F2-O0088","swiss-3092-V01","swiss-3092-F1-O0084","swiss-3092-F1-O0084","swiss-3092-F1-O0082","swiss-3092-F1-O0082"]}</x:v>
      </x:c>
      <x:c r="O1303" s="6"/>
      <x:c r="P1303" s="6" t="str">
        <x:v>README routing profile. Stairs and lifts allowed unless stated otherwise.</x:v>
      </x:c>
      <x:c r="Q1303" s="15" t="n">
        <x:v>44.95</x:v>
      </x:c>
      <x:c r="R1303" s="6" t="str">
        <x:v>m</x:v>
      </x:c>
      <x:c r="S1303" s="16"/>
      <x:c r="T1303" s="15"/>
      <x:c r="U1303" s="6"/>
      <x:c r="V1303" s="6"/>
      <x:c r="W1303" s="6" t="str">
        <x:v>Existing find_route and show_route implement the kit routing model.</x:v>
      </x:c>
      <x:c r="X1303" s="6" t="str">
        <x:v>data/train/swiss-3092/questions_basic.jsonl</x:v>
      </x:c>
      <x:c r="Y1303" s="14" t="n">
        <x:v>3</x:v>
      </x:c>
      <x:c r="Z1303" s="6" t="str">
        <x:v>https://github.com/hagenhaeussler/Industrial-Agents-Hackathon-2026/blob/f41616590b69f3ea0c1cbfb41d6c35edd9ce53df/data/train/swiss-3092/questions_basic.jsonl#L3</x:v>
      </x:c>
      <x:c r="AA1303" s="6" t="str">
        <x:v>swiss_dwellings</x:v>
      </x:c>
      <x:c r="AB1303" s="6" t="str">
        <x:v>CC-BY-4.0</x:v>
      </x:c>
    </x:row>
    <x:row r="1304" ht="124" customHeight="1">
      <x:c r="A1304" s="14" t="n">
        <x:v>1299</x:v>
      </x:c>
      <x:c r="B1304" s="6" t="str">
        <x:v>route</x:v>
      </x:c>
      <x:c r="C1304" s="6" t="str">
        <x:v>How do I get from Living room 2.34 (apartment 15) (Floor 2) to Storage 2.12 (apartment 12) (Floor 2)?</x:v>
      </x:c>
      <x:c r="D1304" s="6" t="str">
        <x:v>80.12 m
From: Living room 2.34 (apartment 15)
To: Storage 2.12 (apartment 12)
Ordered path (11 spaces): Living room 2.34 (apartment 15) → Stair hall 2.44 → Stair hall 1.44 → Stair hall 0.44 → outside → Stair hall 0.43 → Stair hall 1.43 → Stair hall 2.43 → Living room 2.11 (apartment 12) → Balcony 2.16 (apartment 12) → Storage 2.12 (apartment 12)</x:v>
      </x:c>
      <x:c r="E1304" s="6" t="str">
        <x:v>Reference supplied</x:v>
      </x:c>
      <x:c r="F1304" s="6" t="str">
        <x:v>train</x:v>
      </x:c>
      <x:c r="G1304" s="6" t="str">
        <x:v>swiss-3092</x:v>
      </x:c>
      <x:c r="H1304" s="6" t="str">
        <x:v>swiss-3092-Q04</x:v>
      </x:c>
      <x:c r="I1304" s="6" t="str">
        <x:v>Route planning</x:v>
      </x:c>
      <x:c r="J1304" s="6" t="str">
        <x:v>Warm-up</x:v>
      </x:c>
      <x:c r="K1304" s="6" t="str">
        <x:v>Ordered space path and directions, plus total route-model distance in metres.</x:v>
      </x:c>
      <x:c r="L1304" s="6" t="str">
        <x:v>T02, T05, T13</x:v>
      </x:c>
      <x:c r="M1304" s="6" t="str">
        <x:v>Find a valid route between two rooms, including across floors.</x:v>
      </x:c>
      <x:c r="N1304" s="6" t="str">
        <x:v>{"from_space_id":"swiss-3092-F2-S034","to_space_id":"swiss-3092-F2-S012","optimal_length_m":80.12,"space_path":["swiss-3092-F2-S034","swiss-3092-F2-S044","swiss-3092-F1-S044","swiss-3092-F0-S044","outside","swiss-3092-F0-S043","swiss-3092-F1-S043","swiss-3092-F2-S043","swiss-3092-F2-S011","swiss-3092-F2-S016","swiss-3092-F2-S012"],"element_path":["swiss-3092-F2-O0124","swiss-3092-F2-O0124","swiss-3092-V01","swiss-3092-V01","swiss-3092-F0-O0174","swiss-3092-F0-O0174","swiss-3092-F0-O0173","swiss-3092-F0-O0173","swiss-3092-V02","swiss-3092-V03","swiss-3092-F2-O0097","swiss-3092-F2-O0097","swiss-3092-F2-O0102","swiss-3092-F2-O0102","swiss-3092-F2-O0096","swiss-3092-F2-O0096"]}</x:v>
      </x:c>
      <x:c r="O1304" s="6"/>
      <x:c r="P1304" s="6" t="str">
        <x:v>README routing profile. Stairs and lifts allowed unless stated otherwise.</x:v>
      </x:c>
      <x:c r="Q1304" s="15" t="n">
        <x:v>80.12</x:v>
      </x:c>
      <x:c r="R1304" s="6" t="str">
        <x:v>m</x:v>
      </x:c>
      <x:c r="S1304" s="16"/>
      <x:c r="T1304" s="15"/>
      <x:c r="U1304" s="6"/>
      <x:c r="V1304" s="6"/>
      <x:c r="W1304" s="6" t="str">
        <x:v>Existing find_route and show_route implement the kit routing model.</x:v>
      </x:c>
      <x:c r="X1304" s="6" t="str">
        <x:v>data/train/swiss-3092/questions_basic.jsonl</x:v>
      </x:c>
      <x:c r="Y1304" s="14" t="n">
        <x:v>4</x:v>
      </x:c>
      <x:c r="Z1304" s="6" t="str">
        <x:v>https://github.com/hagenhaeussler/Industrial-Agents-Hackathon-2026/blob/f41616590b69f3ea0c1cbfb41d6c35edd9ce53df/data/train/swiss-3092/questions_basic.jsonl#L4</x:v>
      </x:c>
      <x:c r="AA1304" s="6" t="str">
        <x:v>swiss_dwellings</x:v>
      </x:c>
      <x:c r="AB1304" s="6" t="str">
        <x:v>CC-BY-4.0</x:v>
      </x:c>
    </x:row>
    <x:row r="1305" ht="96" customHeight="1">
      <x:c r="A1305" s="14" t="n">
        <x:v>1300</x:v>
      </x:c>
      <x:c r="B1305" s="6" t="str">
        <x:v>route</x:v>
      </x:c>
      <x:c r="C1305" s="6" t="str">
        <x:v>How do I get from Living room 3.10 (apartment 8) (Floor 3) to Bedroom 2.16 (apartment 6) (Floor 2)?</x:v>
      </x:c>
      <x:c r="D1305" s="6" t="str">
        <x:v>33.98 m
From: Living room 3.10 (apartment 8)
To: Bedroom 2.16 (apartment 6)
Ordered path (6 spaces): Living room 3.10 (apartment 8) → Corridor 3.17 (apartment 8) → Stair hall 3.18 → Landing 2.24 → Corridor 2.18 (apartment 6) → Bedroom 2.16 (apartment 6)</x:v>
      </x:c>
      <x:c r="E1305" s="6" t="str">
        <x:v>Reference supplied</x:v>
      </x:c>
      <x:c r="F1305" s="6" t="str">
        <x:v>train</x:v>
      </x:c>
      <x:c r="G1305" s="6" t="str">
        <x:v>swiss-3096</x:v>
      </x:c>
      <x:c r="H1305" s="6" t="str">
        <x:v>swiss-3096-Q05</x:v>
      </x:c>
      <x:c r="I1305" s="6" t="str">
        <x:v>Route planning</x:v>
      </x:c>
      <x:c r="J1305" s="6" t="str">
        <x:v>Warm-up</x:v>
      </x:c>
      <x:c r="K1305" s="6" t="str">
        <x:v>Ordered space path and directions, plus total route-model distance in metres.</x:v>
      </x:c>
      <x:c r="L1305" s="6" t="str">
        <x:v>T02, T05, T13</x:v>
      </x:c>
      <x:c r="M1305" s="6" t="str">
        <x:v>Find a valid route between two rooms, including across floors.</x:v>
      </x:c>
      <x:c r="N1305" s="6" t="str">
        <x:v>{"from_space_id":"swiss-3096-F3-S010","to_space_id":"swiss-3096-F2-S016","optimal_length_m":33.98,"space_path":["swiss-3096-F3-S010","swiss-3096-F3-S017","swiss-3096-F3-S018","swiss-3096-F2-S024","swiss-3096-F2-S018","swiss-3096-F2-S016"],"element_path":["swiss-3096-F3-O0088","swiss-3096-F3-O0088","swiss-3096-F3-O0084","swiss-3096-F3-O0084","swiss-3096-V01","swiss-3096-F2-O0065","swiss-3096-F2-O0065","swiss-3096-F2-O0067","swiss-3096-F2-O0067"]}</x:v>
      </x:c>
      <x:c r="O1305" s="6"/>
      <x:c r="P1305" s="6" t="str">
        <x:v>README routing profile. Stairs and lifts allowed unless stated otherwise.</x:v>
      </x:c>
      <x:c r="Q1305" s="15" t="n">
        <x:v>33.98</x:v>
      </x:c>
      <x:c r="R1305" s="6" t="str">
        <x:v>m</x:v>
      </x:c>
      <x:c r="S1305" s="16"/>
      <x:c r="T1305" s="15"/>
      <x:c r="U1305" s="6"/>
      <x:c r="V1305" s="6"/>
      <x:c r="W1305" s="6" t="str">
        <x:v>Existing find_route and show_route implement the kit routing model.</x:v>
      </x:c>
      <x:c r="X1305" s="6" t="str">
        <x:v>data/train/swiss-3096/questions_basic.jsonl</x:v>
      </x:c>
      <x:c r="Y1305" s="14" t="n">
        <x:v>5</x:v>
      </x:c>
      <x:c r="Z1305" s="6" t="str">
        <x:v>https://github.com/hagenhaeussler/Industrial-Agents-Hackathon-2026/blob/f41616590b69f3ea0c1cbfb41d6c35edd9ce53df/data/train/swiss-3096/questions_basic.jsonl#L5</x:v>
      </x:c>
      <x:c r="AA1305" s="6" t="str">
        <x:v>swiss_dwellings</x:v>
      </x:c>
      <x:c r="AB1305" s="6" t="str">
        <x:v>CC-BY-4.0</x:v>
      </x:c>
    </x:row>
    <x:row r="1306" ht="96" customHeight="1">
      <x:c r="A1306" s="14" t="n">
        <x:v>1301</x:v>
      </x:c>
      <x:c r="B1306" s="6" t="str">
        <x:v>route</x:v>
      </x:c>
      <x:c r="C1306" s="6" t="str">
        <x:v>How do I get from Bedroom 1.16 (apartment 4) (Floor 1) to Bedroom 3.04 (apartment 7) (Floor 3)?</x:v>
      </x:c>
      <x:c r="D1306" s="6" t="str">
        <x:v>42.93 m
From: Bedroom 1.16 (apartment 4)
To: Bedroom 3.04 (apartment 7)
Ordered path (7 spaces): Bedroom 1.16 (apartment 4) → Corridor 1.18 (apartment 4) → Landing 1.24 → Landing 2.24 → Stair hall 3.18 → Corridor 3.06 (apartment 7) → Bedroom 3.04 (apartment 7)</x:v>
      </x:c>
      <x:c r="E1306" s="6" t="str">
        <x:v>Reference supplied</x:v>
      </x:c>
      <x:c r="F1306" s="6" t="str">
        <x:v>train</x:v>
      </x:c>
      <x:c r="G1306" s="6" t="str">
        <x:v>swiss-3096</x:v>
      </x:c>
      <x:c r="H1306" s="6" t="str">
        <x:v>swiss-3096-Q06</x:v>
      </x:c>
      <x:c r="I1306" s="6" t="str">
        <x:v>Route planning</x:v>
      </x:c>
      <x:c r="J1306" s="6" t="str">
        <x:v>Warm-up</x:v>
      </x:c>
      <x:c r="K1306" s="6" t="str">
        <x:v>Ordered space path and directions, plus total route-model distance in metres.</x:v>
      </x:c>
      <x:c r="L1306" s="6" t="str">
        <x:v>T02, T05, T13</x:v>
      </x:c>
      <x:c r="M1306" s="6" t="str">
        <x:v>Find a valid route between two rooms, including across floors.</x:v>
      </x:c>
      <x:c r="N1306" s="6" t="str">
        <x:v>{"from_space_id":"swiss-3096-F1-S016","to_space_id":"swiss-3096-F3-S004","optimal_length_m":42.93,"space_path":["swiss-3096-F1-S016","swiss-3096-F1-S018","swiss-3096-F1-S024","swiss-3096-F2-S024","swiss-3096-F3-S018","swiss-3096-F3-S006","swiss-3096-F3-S004"],"element_path":["swiss-3096-F1-O0037","swiss-3096-F1-O0037","swiss-3096-F1-O0038","swiss-3096-F1-O0038","swiss-3096-V01","swiss-3096-V01","swiss-3096-F3-O0075","swiss-3096-F3-O0075","swiss-3096-F3-O0077","swiss-3096-F3-O0077"]}</x:v>
      </x:c>
      <x:c r="O1306" s="6"/>
      <x:c r="P1306" s="6" t="str">
        <x:v>README routing profile. Stairs and lifts allowed unless stated otherwise.</x:v>
      </x:c>
      <x:c r="Q1306" s="15" t="n">
        <x:v>42.93</x:v>
      </x:c>
      <x:c r="R1306" s="6" t="str">
        <x:v>m</x:v>
      </x:c>
      <x:c r="S1306" s="16"/>
      <x:c r="T1306" s="15"/>
      <x:c r="U1306" s="6"/>
      <x:c r="V1306" s="6"/>
      <x:c r="W1306" s="6" t="str">
        <x:v>Existing find_route and show_route implement the kit routing model.</x:v>
      </x:c>
      <x:c r="X1306" s="6" t="str">
        <x:v>data/train/swiss-3096/questions_basic.jsonl</x:v>
      </x:c>
      <x:c r="Y1306" s="14" t="n">
        <x:v>6</x:v>
      </x:c>
      <x:c r="Z1306" s="6" t="str">
        <x:v>https://github.com/hagenhaeussler/Industrial-Agents-Hackathon-2026/blob/f41616590b69f3ea0c1cbfb41d6c35edd9ce53df/data/train/swiss-3096/questions_basic.jsonl#L6</x:v>
      </x:c>
      <x:c r="AA1306" s="6" t="str">
        <x:v>swiss_dwellings</x:v>
      </x:c>
      <x:c r="AB1306" s="6" t="str">
        <x:v>CC-BY-4.0</x:v>
      </x:c>
    </x:row>
    <x:row r="1307" ht="110" customHeight="1">
      <x:c r="A1307" s="14" t="n">
        <x:v>1302</x:v>
      </x:c>
      <x:c r="B1307" s="6" t="str">
        <x:v>route</x:v>
      </x:c>
      <x:c r="C1307" s="6" t="str">
        <x:v>How do I get from Kitchen 1.04 (apartment 3) (Floor 1) to Living room 0.21 (apartment 2) (Ground floor)?</x:v>
      </x:c>
      <x:c r="D1307" s="6" t="str">
        <x:v>29.6 m
From: Kitchen 1.04 (apartment 3)
To: Living room 0.21 (apartment 2)
Ordered path (9 spaces): Kitchen 1.04 (apartment 3) → Living room 1.05 (apartment 3) → Corridor 1.01 (apartment 3) → Landing 1.23 → Landing 0.23 → outside → Landing 0.24 → Corridor 0.20 (apartment 2) → Living room 0.21 (apartment 2)</x:v>
      </x:c>
      <x:c r="E1307" s="6" t="str">
        <x:v>Reference supplied</x:v>
      </x:c>
      <x:c r="F1307" s="6" t="str">
        <x:v>train</x:v>
      </x:c>
      <x:c r="G1307" s="6" t="str">
        <x:v>swiss-3096</x:v>
      </x:c>
      <x:c r="H1307" s="6" t="str">
        <x:v>swiss-3096-Q07</x:v>
      </x:c>
      <x:c r="I1307" s="6" t="str">
        <x:v>Route planning</x:v>
      </x:c>
      <x:c r="J1307" s="6" t="str">
        <x:v>Warm-up</x:v>
      </x:c>
      <x:c r="K1307" s="6" t="str">
        <x:v>Ordered space path and directions, plus total route-model distance in metres.</x:v>
      </x:c>
      <x:c r="L1307" s="6" t="str">
        <x:v>T02, T05, T13</x:v>
      </x:c>
      <x:c r="M1307" s="6" t="str">
        <x:v>Find a valid route between two rooms, including across floors.</x:v>
      </x:c>
      <x:c r="N1307" s="6" t="str">
        <x:v>{"from_space_id":"swiss-3096-F1-S004","to_space_id":"swiss-3096-F0-S021","optimal_length_m":29.6,"space_path":["swiss-3096-F1-S004","swiss-3096-F1-S005","swiss-3096-F1-S001","swiss-3096-F1-S023","swiss-3096-F0-S023","outside","swiss-3096-F0-S024","swiss-3096-F0-S020","swiss-3096-F0-S021"],"element_path":["swiss-3096-F1-O0035","swiss-3096-F1-O0035","swiss-3096-F1-O0045","swiss-3096-F1-O0045","swiss-3096-F1-O0027","swiss-3096-F1-O0027","swiss-3096-V03","swiss-3096-F0-O0090","swiss-3096-F0-O0090","swiss-3096-F0-O0091","swiss-3096-F0-O0091","swiss-3096-F0-O0015","swiss-3096-F0-O0015","swiss-3096-F0-O0024","swiss-3096-F0-O0024"]}</x:v>
      </x:c>
      <x:c r="O1307" s="6"/>
      <x:c r="P1307" s="6" t="str">
        <x:v>README routing profile. Stairs and lifts allowed unless stated otherwise.</x:v>
      </x:c>
      <x:c r="Q1307" s="15" t="n">
        <x:v>29.6</x:v>
      </x:c>
      <x:c r="R1307" s="6" t="str">
        <x:v>m</x:v>
      </x:c>
      <x:c r="S1307" s="16"/>
      <x:c r="T1307" s="15"/>
      <x:c r="U1307" s="6"/>
      <x:c r="V1307" s="6"/>
      <x:c r="W1307" s="6" t="str">
        <x:v>Existing find_route and show_route implement the kit routing model.</x:v>
      </x:c>
      <x:c r="X1307" s="6" t="str">
        <x:v>data/train/swiss-3096/questions_basic.jsonl</x:v>
      </x:c>
      <x:c r="Y1307" s="14" t="n">
        <x:v>7</x:v>
      </x:c>
      <x:c r="Z1307" s="6" t="str">
        <x:v>https://github.com/hagenhaeussler/Industrial-Agents-Hackathon-2026/blob/f41616590b69f3ea0c1cbfb41d6c35edd9ce53df/data/train/swiss-3096/questions_basic.jsonl#L7</x:v>
      </x:c>
      <x:c r="AA1307" s="6" t="str">
        <x:v>swiss_dwellings</x:v>
      </x:c>
      <x:c r="AB1307" s="6" t="str">
        <x:v>CC-BY-4.0</x:v>
      </x:c>
    </x:row>
    <x:row r="1308" ht="96" customHeight="1">
      <x:c r="A1308" s="14" t="n">
        <x:v>1303</x:v>
      </x:c>
      <x:c r="B1308" s="6" t="str">
        <x:v>route</x:v>
      </x:c>
      <x:c r="C1308" s="6" t="str">
        <x:v>How do I get from Bedroom 2.15 (apartment 8) (Floor 2) to Bedroom 4.02 (apartment 12) (Floor 4)?</x:v>
      </x:c>
      <x:c r="D1308" s="6" t="str">
        <x:v>43.77 m
From: Bedroom 2.15 (apartment 8)
To: Bedroom 4.02 (apartment 12)
Ordered path (7 spaces): Bedroom 2.15 (apartment 8) → Corridor 2.16 (apartment 8) → Stair hall 2.22 → Stair hall 3.22 → Stair hall 4.22 → Bedroom 4.03 (apartment 12) → Bedroom 4.02 (apartment 12)</x:v>
      </x:c>
      <x:c r="E1308" s="6" t="str">
        <x:v>Reference supplied</x:v>
      </x:c>
      <x:c r="F1308" s="6" t="str">
        <x:v>train</x:v>
      </x:c>
      <x:c r="G1308" s="6" t="str">
        <x:v>swiss-3197</x:v>
      </x:c>
      <x:c r="H1308" s="6" t="str">
        <x:v>swiss-3197-Q03</x:v>
      </x:c>
      <x:c r="I1308" s="6" t="str">
        <x:v>Route planning</x:v>
      </x:c>
      <x:c r="J1308" s="6" t="str">
        <x:v>Warm-up</x:v>
      </x:c>
      <x:c r="K1308" s="6" t="str">
        <x:v>Ordered space path and directions, plus total route-model distance in metres.</x:v>
      </x:c>
      <x:c r="L1308" s="6" t="str">
        <x:v>T02, T05, T13</x:v>
      </x:c>
      <x:c r="M1308" s="6" t="str">
        <x:v>Find a valid route between two rooms, including across floors.</x:v>
      </x:c>
      <x:c r="N1308" s="6" t="str">
        <x:v>{"from_space_id":"swiss-3197-F2-S015","to_space_id":"swiss-3197-F4-S002","optimal_length_m":43.77,"space_path":["swiss-3197-F2-S015","swiss-3197-F2-S016","swiss-3197-F2-S022","swiss-3197-F3-S022","swiss-3197-F4-S022","swiss-3197-F4-S003","swiss-3197-F4-S002"],"element_path":["swiss-3197-F2-O0053","swiss-3197-F2-O0053","swiss-3197-F2-O0051","swiss-3197-F2-O0051","swiss-3197-V01","swiss-3197-V01","swiss-3197-F4-O0081","swiss-3197-F4-O0081","swiss-3197-F4-O0083","swiss-3197-F4-O0083"]}</x:v>
      </x:c>
      <x:c r="O1308" s="6"/>
      <x:c r="P1308" s="6" t="str">
        <x:v>README routing profile. Stairs and lifts allowed unless stated otherwise.</x:v>
      </x:c>
      <x:c r="Q1308" s="15" t="n">
        <x:v>43.77</x:v>
      </x:c>
      <x:c r="R1308" s="6" t="str">
        <x:v>m</x:v>
      </x:c>
      <x:c r="S1308" s="16"/>
      <x:c r="T1308" s="15"/>
      <x:c r="U1308" s="6"/>
      <x:c r="V1308" s="6"/>
      <x:c r="W1308" s="6" t="str">
        <x:v>Existing find_route and show_route implement the kit routing model.</x:v>
      </x:c>
      <x:c r="X1308" s="6" t="str">
        <x:v>data/train/swiss-3197/questions_basic.jsonl</x:v>
      </x:c>
      <x:c r="Y1308" s="14" t="n">
        <x:v>3</x:v>
      </x:c>
      <x:c r="Z1308" s="6" t="str">
        <x:v>https://github.com/hagenhaeussler/Industrial-Agents-Hackathon-2026/blob/f41616590b69f3ea0c1cbfb41d6c35edd9ce53df/data/train/swiss-3197/questions_basic.jsonl#L3</x:v>
      </x:c>
      <x:c r="AA1308" s="6" t="str">
        <x:v>swiss_dwellings</x:v>
      </x:c>
      <x:c r="AB1308" s="6" t="str">
        <x:v>CC-BY-4.0</x:v>
      </x:c>
    </x:row>
    <x:row r="1309" ht="110" customHeight="1">
      <x:c r="A1309" s="14" t="n">
        <x:v>1304</x:v>
      </x:c>
      <x:c r="B1309" s="6" t="str">
        <x:v>route</x:v>
      </x:c>
      <x:c r="C1309" s="6" t="str">
        <x:v>How do I get from Bedroom 1.05 (apartment 3) (Floor 1) to Bathroom 3.03 (apartment 9) (Floor 3)?</x:v>
      </x:c>
      <x:c r="D1309" s="6" t="str">
        <x:v>50.8 m
From: Bedroom 1.05 (apartment 3)
To: Bathroom 3.03 (apartment 9)
Ordered path (8 spaces): Bedroom 1.05 (apartment 3) → Bedroom 1.04 (apartment 3) → Stair hall 1.22 → Stair hall 2.22 → Stair hall 3.22 → Corridor 3.01 (apartment 9) → Bedroom 3.08 (apartment 9) → Bathroom 3.03 (apartment 9)</x:v>
      </x:c>
      <x:c r="E1309" s="6" t="str">
        <x:v>Reference supplied</x:v>
      </x:c>
      <x:c r="F1309" s="6" t="str">
        <x:v>train</x:v>
      </x:c>
      <x:c r="G1309" s="6" t="str">
        <x:v>swiss-3197</x:v>
      </x:c>
      <x:c r="H1309" s="6" t="str">
        <x:v>swiss-3197-Q04</x:v>
      </x:c>
      <x:c r="I1309" s="6" t="str">
        <x:v>Route planning</x:v>
      </x:c>
      <x:c r="J1309" s="6" t="str">
        <x:v>Warm-up</x:v>
      </x:c>
      <x:c r="K1309" s="6" t="str">
        <x:v>Ordered space path and directions, plus total route-model distance in metres.</x:v>
      </x:c>
      <x:c r="L1309" s="6" t="str">
        <x:v>T02, T05, T13</x:v>
      </x:c>
      <x:c r="M1309" s="6" t="str">
        <x:v>Find a valid route between two rooms, including across floors.</x:v>
      </x:c>
      <x:c r="N1309" s="6" t="str">
        <x:v>{"from_space_id":"swiss-3197-F1-S005","to_space_id":"swiss-3197-F3-S003","optimal_length_m":50.8,"space_path":["swiss-3197-F1-S005","swiss-3197-F1-S004","swiss-3197-F1-S022","swiss-3197-F2-S022","swiss-3197-F3-S022","swiss-3197-F3-S001","swiss-3197-F3-S008","swiss-3197-F3-S003"],"element_path":["swiss-3197-F1-O0020","swiss-3197-F1-O0020","swiss-3197-F1-O0019","swiss-3197-F1-O0019","swiss-3197-V01","swiss-3197-V01","swiss-3197-F3-O0066","swiss-3197-F3-O0066","swiss-3197-F3-O0068","swiss-3197-F3-O0068","swiss-3197-F3-O0061","swiss-3197-F3-O0061"]}</x:v>
      </x:c>
      <x:c r="O1309" s="6"/>
      <x:c r="P1309" s="6" t="str">
        <x:v>README routing profile. Stairs and lifts allowed unless stated otherwise.</x:v>
      </x:c>
      <x:c r="Q1309" s="15" t="n">
        <x:v>50.8</x:v>
      </x:c>
      <x:c r="R1309" s="6" t="str">
        <x:v>m</x:v>
      </x:c>
      <x:c r="S1309" s="16"/>
      <x:c r="T1309" s="15"/>
      <x:c r="U1309" s="6"/>
      <x:c r="V1309" s="6"/>
      <x:c r="W1309" s="6" t="str">
        <x:v>Existing find_route and show_route implement the kit routing model.</x:v>
      </x:c>
      <x:c r="X1309" s="6" t="str">
        <x:v>data/train/swiss-3197/questions_basic.jsonl</x:v>
      </x:c>
      <x:c r="Y1309" s="14" t="n">
        <x:v>4</x:v>
      </x:c>
      <x:c r="Z1309" s="6" t="str">
        <x:v>https://github.com/hagenhaeussler/Industrial-Agents-Hackathon-2026/blob/f41616590b69f3ea0c1cbfb41d6c35edd9ce53df/data/train/swiss-3197/questions_basic.jsonl#L4</x:v>
      </x:c>
      <x:c r="AA1309" s="6" t="str">
        <x:v>swiss_dwellings</x:v>
      </x:c>
      <x:c r="AB1309" s="6" t="str">
        <x:v>CC-BY-4.0</x:v>
      </x:c>
    </x:row>
    <x:row r="1310" ht="96" customHeight="1">
      <x:c r="A1310" s="14" t="n">
        <x:v>1305</x:v>
      </x:c>
      <x:c r="B1310" s="6" t="str">
        <x:v>route</x:v>
      </x:c>
      <x:c r="C1310" s="6" t="str">
        <x:v>How do I get from Bedroom 2.19 (apartment 8) (Floor 2) to Bathroom 1.15 (apartment 4) (Floor 1)?</x:v>
      </x:c>
      <x:c r="D1310" s="6" t="str">
        <x:v>28.95 m
From: Bedroom 2.19 (apartment 8)
To: Bathroom 1.15 (apartment 4)
Ordered path (6 spaces): Bedroom 2.19 (apartment 8) → Corridor 2.16 (apartment 8) → Stair hall 2.22 → Stair hall 1.22 → Corridor 1.14 (apartment 4) → Bathroom 1.15 (apartment 4)</x:v>
      </x:c>
      <x:c r="E1310" s="6" t="str">
        <x:v>Reference supplied</x:v>
      </x:c>
      <x:c r="F1310" s="6" t="str">
        <x:v>train</x:v>
      </x:c>
      <x:c r="G1310" s="6" t="str">
        <x:v>swiss-3197</x:v>
      </x:c>
      <x:c r="H1310" s="6" t="str">
        <x:v>swiss-3197-Q05</x:v>
      </x:c>
      <x:c r="I1310" s="6" t="str">
        <x:v>Route planning</x:v>
      </x:c>
      <x:c r="J1310" s="6" t="str">
        <x:v>Warm-up</x:v>
      </x:c>
      <x:c r="K1310" s="6" t="str">
        <x:v>Ordered space path and directions, plus total route-model distance in metres.</x:v>
      </x:c>
      <x:c r="L1310" s="6" t="str">
        <x:v>T02, T05, T13</x:v>
      </x:c>
      <x:c r="M1310" s="6" t="str">
        <x:v>Find a valid route between two rooms, including across floors.</x:v>
      </x:c>
      <x:c r="N1310" s="6" t="str">
        <x:v>{"from_space_id":"swiss-3197-F2-S019","to_space_id":"swiss-3197-F1-S015","optimal_length_m":28.95,"space_path":["swiss-3197-F2-S019","swiss-3197-F2-S016","swiss-3197-F2-S022","swiss-3197-F1-S022","swiss-3197-F1-S014","swiss-3197-F1-S015"],"element_path":["swiss-3197-F2-O0055","swiss-3197-F2-O0055","swiss-3197-F2-O0051","swiss-3197-F2-O0051","swiss-3197-V01","swiss-3197-F1-O0022","swiss-3197-F1-O0022","swiss-3197-F1-O0024","swiss-3197-F1-O0024"]}</x:v>
      </x:c>
      <x:c r="O1310" s="6"/>
      <x:c r="P1310" s="6" t="str">
        <x:v>README routing profile. Stairs and lifts allowed unless stated otherwise.</x:v>
      </x:c>
      <x:c r="Q1310" s="15" t="n">
        <x:v>28.95</x:v>
      </x:c>
      <x:c r="R1310" s="6" t="str">
        <x:v>m</x:v>
      </x:c>
      <x:c r="S1310" s="16"/>
      <x:c r="T1310" s="15"/>
      <x:c r="U1310" s="6"/>
      <x:c r="V1310" s="6"/>
      <x:c r="W1310" s="6" t="str">
        <x:v>Existing find_route and show_route implement the kit routing model.</x:v>
      </x:c>
      <x:c r="X1310" s="6" t="str">
        <x:v>data/train/swiss-3197/questions_basic.jsonl</x:v>
      </x:c>
      <x:c r="Y1310" s="14" t="n">
        <x:v>5</x:v>
      </x:c>
      <x:c r="Z1310" s="6" t="str">
        <x:v>https://github.com/hagenhaeussler/Industrial-Agents-Hackathon-2026/blob/f41616590b69f3ea0c1cbfb41d6c35edd9ce53df/data/train/swiss-3197/questions_basic.jsonl#L5</x:v>
      </x:c>
      <x:c r="AA1310" s="6" t="str">
        <x:v>swiss_dwellings</x:v>
      </x:c>
      <x:c r="AB1310" s="6" t="str">
        <x:v>CC-BY-4.0</x:v>
      </x:c>
    </x:row>
    <x:row r="1311" ht="96" customHeight="1">
      <x:c r="A1311" s="14" t="n">
        <x:v>1306</x:v>
      </x:c>
      <x:c r="B1311" s="6" t="str">
        <x:v>route</x:v>
      </x:c>
      <x:c r="C1311" s="6" t="str">
        <x:v>How do I get from Living room 1.20 (apartment 5) (Floor 1) to Bedroom 0.03 (apartment 2) (Ground floor)?</x:v>
      </x:c>
      <x:c r="D1311" s="6" t="str">
        <x:v>27.86 m
From: Living room 1.20 (apartment 5)
To: Bedroom 0.03 (apartment 2)
Ordered path (6 spaces): Living room 1.20 (apartment 5) → Corridor 1.19 (apartment 5) → Stair hall 1.21 → Stair hall 0.20 → Corridor 0.04 (apartment 2) → Bedroom 0.03 (apartment 2)</x:v>
      </x:c>
      <x:c r="E1311" s="6" t="str">
        <x:v>Reference supplied</x:v>
      </x:c>
      <x:c r="F1311" s="6" t="str">
        <x:v>train</x:v>
      </x:c>
      <x:c r="G1311" s="6" t="str">
        <x:v>swiss-325</x:v>
      </x:c>
      <x:c r="H1311" s="6" t="str">
        <x:v>swiss-325-Q04</x:v>
      </x:c>
      <x:c r="I1311" s="6" t="str">
        <x:v>Route planning</x:v>
      </x:c>
      <x:c r="J1311" s="6" t="str">
        <x:v>Warm-up</x:v>
      </x:c>
      <x:c r="K1311" s="6" t="str">
        <x:v>Ordered space path and directions, plus total route-model distance in metres.</x:v>
      </x:c>
      <x:c r="L1311" s="6" t="str">
        <x:v>T02, T05, T13</x:v>
      </x:c>
      <x:c r="M1311" s="6" t="str">
        <x:v>Find a valid route between two rooms, including across floors.</x:v>
      </x:c>
      <x:c r="N1311" s="6" t="str">
        <x:v>{"from_space_id":"swiss-325-F1-S020","to_space_id":"swiss-325-F0-S003","optimal_length_m":27.86,"space_path":["swiss-325-F1-S020","swiss-325-F1-S019","swiss-325-F1-S021","swiss-325-F0-S020","swiss-325-F0-S004","swiss-325-F0-S003"],"element_path":["swiss-325-F1-O0043","swiss-325-F1-O0043","swiss-325-F1-O0035","swiss-325-F1-O0035","swiss-325-V01","swiss-325-F0-O0011","swiss-325-F0-O0011","swiss-325-F0-O0006","swiss-325-F0-O0006"]}</x:v>
      </x:c>
      <x:c r="O1311" s="6"/>
      <x:c r="P1311" s="6" t="str">
        <x:v>README routing profile. Stairs and lifts allowed unless stated otherwise.</x:v>
      </x:c>
      <x:c r="Q1311" s="15" t="n">
        <x:v>27.86</x:v>
      </x:c>
      <x:c r="R1311" s="6" t="str">
        <x:v>m</x:v>
      </x:c>
      <x:c r="S1311" s="16"/>
      <x:c r="T1311" s="15"/>
      <x:c r="U1311" s="6"/>
      <x:c r="V1311" s="6"/>
      <x:c r="W1311" s="6" t="str">
        <x:v>Existing find_route and show_route implement the kit routing model.</x:v>
      </x:c>
      <x:c r="X1311" s="6" t="str">
        <x:v>data/train/swiss-325/questions_basic.jsonl</x:v>
      </x:c>
      <x:c r="Y1311" s="14" t="n">
        <x:v>4</x:v>
      </x:c>
      <x:c r="Z1311" s="6" t="str">
        <x:v>https://github.com/hagenhaeussler/Industrial-Agents-Hackathon-2026/blob/f41616590b69f3ea0c1cbfb41d6c35edd9ce53df/data/train/swiss-325/questions_basic.jsonl#L4</x:v>
      </x:c>
      <x:c r="AA1311" s="6" t="str">
        <x:v>swiss_dwellings</x:v>
      </x:c>
      <x:c r="AB1311" s="6" t="str">
        <x:v>CC-BY-4.0</x:v>
      </x:c>
    </x:row>
    <x:row r="1312" ht="96" customHeight="1">
      <x:c r="A1312" s="14" t="n">
        <x:v>1307</x:v>
      </x:c>
      <x:c r="B1312" s="6" t="str">
        <x:v>route</x:v>
      </x:c>
      <x:c r="C1312" s="6" t="str">
        <x:v>How do I get from Living room 1.20 (apartment 5) (Floor 1) to Bedroom 0.17 (apartment 3) (Ground floor)?</x:v>
      </x:c>
      <x:c r="D1312" s="6" t="str">
        <x:v>28.1 m
From: Living room 1.20 (apartment 5)
To: Bedroom 0.17 (apartment 3)
Ordered path (6 spaces): Living room 1.20 (apartment 5) → Corridor 1.19 (apartment 5) → Stair hall 1.21 → Stair hall 0.20 → Corridor 0.15 (apartment 3) → Bedroom 0.17 (apartment 3)</x:v>
      </x:c>
      <x:c r="E1312" s="6" t="str">
        <x:v>Reference supplied</x:v>
      </x:c>
      <x:c r="F1312" s="6" t="str">
        <x:v>train</x:v>
      </x:c>
      <x:c r="G1312" s="6" t="str">
        <x:v>swiss-325</x:v>
      </x:c>
      <x:c r="H1312" s="6" t="str">
        <x:v>swiss-325-Q05</x:v>
      </x:c>
      <x:c r="I1312" s="6" t="str">
        <x:v>Route planning</x:v>
      </x:c>
      <x:c r="J1312" s="6" t="str">
        <x:v>Warm-up</x:v>
      </x:c>
      <x:c r="K1312" s="6" t="str">
        <x:v>Ordered space path and directions, plus total route-model distance in metres.</x:v>
      </x:c>
      <x:c r="L1312" s="6" t="str">
        <x:v>T02, T05, T13</x:v>
      </x:c>
      <x:c r="M1312" s="6" t="str">
        <x:v>Find a valid route between two rooms, including across floors.</x:v>
      </x:c>
      <x:c r="N1312" s="6" t="str">
        <x:v>{"from_space_id":"swiss-325-F1-S020","to_space_id":"swiss-325-F0-S017","optimal_length_m":28.1,"space_path":["swiss-325-F1-S020","swiss-325-F1-S019","swiss-325-F1-S021","swiss-325-F0-S020","swiss-325-F0-S015","swiss-325-F0-S017"],"element_path":["swiss-325-F1-O0043","swiss-325-F1-O0043","swiss-325-F1-O0035","swiss-325-F1-O0035","swiss-325-V01","swiss-325-F0-O0022","swiss-325-F0-O0022","swiss-325-F0-O0017","swiss-325-F0-O0017"]}</x:v>
      </x:c>
      <x:c r="O1312" s="6"/>
      <x:c r="P1312" s="6" t="str">
        <x:v>README routing profile. Stairs and lifts allowed unless stated otherwise.</x:v>
      </x:c>
      <x:c r="Q1312" s="15" t="n">
        <x:v>28.1</x:v>
      </x:c>
      <x:c r="R1312" s="6" t="str">
        <x:v>m</x:v>
      </x:c>
      <x:c r="S1312" s="16"/>
      <x:c r="T1312" s="15"/>
      <x:c r="U1312" s="6"/>
      <x:c r="V1312" s="6"/>
      <x:c r="W1312" s="6" t="str">
        <x:v>Existing find_route and show_route implement the kit routing model.</x:v>
      </x:c>
      <x:c r="X1312" s="6" t="str">
        <x:v>data/train/swiss-325/questions_basic.jsonl</x:v>
      </x:c>
      <x:c r="Y1312" s="14" t="n">
        <x:v>5</x:v>
      </x:c>
      <x:c r="Z1312" s="6" t="str">
        <x:v>https://github.com/hagenhaeussler/Industrial-Agents-Hackathon-2026/blob/f41616590b69f3ea0c1cbfb41d6c35edd9ce53df/data/train/swiss-325/questions_basic.jsonl#L5</x:v>
      </x:c>
      <x:c r="AA1312" s="6" t="str">
        <x:v>swiss_dwellings</x:v>
      </x:c>
      <x:c r="AB1312" s="6" t="str">
        <x:v>CC-BY-4.0</x:v>
      </x:c>
    </x:row>
    <x:row r="1313" ht="96" customHeight="1">
      <x:c r="A1313" s="14" t="n">
        <x:v>1308</x:v>
      </x:c>
      <x:c r="B1313" s="6" t="str">
        <x:v>route</x:v>
      </x:c>
      <x:c r="C1313" s="6" t="str">
        <x:v>How do I get from Bedroom 1.11 (apartment 5) (Floor 1) to Bedroom 1.06 (apartment 4) (Floor 1)?</x:v>
      </x:c>
      <x:c r="D1313" s="6" t="str">
        <x:v>15.48 m
From: Bedroom 1.11 (apartment 5)
To: Bedroom 1.06 (apartment 4)
Ordered path (5 spaces): Bedroom 1.11 (apartment 5) → Corridor 1.19 (apartment 5) → Stair hall 1.21 → Corridor 1.09 (apartment 4) → Bedroom 1.06 (apartment 4)</x:v>
      </x:c>
      <x:c r="E1313" s="6" t="str">
        <x:v>Reference supplied</x:v>
      </x:c>
      <x:c r="F1313" s="6" t="str">
        <x:v>train</x:v>
      </x:c>
      <x:c r="G1313" s="6" t="str">
        <x:v>swiss-325</x:v>
      </x:c>
      <x:c r="H1313" s="6" t="str">
        <x:v>swiss-325-Q06</x:v>
      </x:c>
      <x:c r="I1313" s="6" t="str">
        <x:v>Route planning</x:v>
      </x:c>
      <x:c r="J1313" s="6" t="str">
        <x:v>Warm-up</x:v>
      </x:c>
      <x:c r="K1313" s="6" t="str">
        <x:v>Ordered space path and directions, plus total route-model distance in metres.</x:v>
      </x:c>
      <x:c r="L1313" s="6" t="str">
        <x:v>T02, T05, T13</x:v>
      </x:c>
      <x:c r="M1313" s="6" t="str">
        <x:v>Find a valid route between two rooms, including across floors.</x:v>
      </x:c>
      <x:c r="N1313" s="6" t="str">
        <x:v>{"from_space_id":"swiss-325-F1-S011","to_space_id":"swiss-325-F1-S006","optimal_length_m":15.48,"space_path":["swiss-325-F1-S011","swiss-325-F1-S019","swiss-325-F1-S021","swiss-325-F1-S009","swiss-325-F1-S006"],"element_path":["swiss-325-F1-O0033","swiss-325-F1-O0033","swiss-325-F1-O0035","swiss-325-F1-O0035","swiss-325-F1-O0027","swiss-325-F1-O0027","swiss-325-F1-O0029","swiss-325-F1-O0029"]}</x:v>
      </x:c>
      <x:c r="O1313" s="6"/>
      <x:c r="P1313" s="6" t="str">
        <x:v>README routing profile. Stairs and lifts allowed unless stated otherwise.</x:v>
      </x:c>
      <x:c r="Q1313" s="15" t="n">
        <x:v>15.48</x:v>
      </x:c>
      <x:c r="R1313" s="6" t="str">
        <x:v>m</x:v>
      </x:c>
      <x:c r="S1313" s="16"/>
      <x:c r="T1313" s="15"/>
      <x:c r="U1313" s="6"/>
      <x:c r="V1313" s="6"/>
      <x:c r="W1313" s="6" t="str">
        <x:v>Existing find_route and show_route implement the kit routing model.</x:v>
      </x:c>
      <x:c r="X1313" s="6" t="str">
        <x:v>data/train/swiss-325/questions_basic.jsonl</x:v>
      </x:c>
      <x:c r="Y1313" s="14" t="n">
        <x:v>6</x:v>
      </x:c>
      <x:c r="Z1313" s="6" t="str">
        <x:v>https://github.com/hagenhaeussler/Industrial-Agents-Hackathon-2026/blob/f41616590b69f3ea0c1cbfb41d6c35edd9ce53df/data/train/swiss-325/questions_basic.jsonl#L6</x:v>
      </x:c>
      <x:c r="AA1313" s="6" t="str">
        <x:v>swiss_dwellings</x:v>
      </x:c>
      <x:c r="AB1313" s="6" t="str">
        <x:v>CC-BY-4.0</x:v>
      </x:c>
    </x:row>
    <x:row r="1314" ht="82" customHeight="1">
      <x:c r="A1314" s="14" t="n">
        <x:v>1309</x:v>
      </x:c>
      <x:c r="B1314" s="6" t="str">
        <x:v>route</x:v>
      </x:c>
      <x:c r="C1314" s="6" t="str">
        <x:v>How do I get from Bathroom 1.07 (apartment 5) (Floor 1) to Bedroom 1.05 (apartment 5) (Floor 1)?</x:v>
      </x:c>
      <x:c r="D1314" s="6" t="str">
        <x:v>8.41 m
From: Bathroom 1.07 (apartment 5)
To: Bedroom 1.05 (apartment 5)
Ordered path (3 spaces): Bathroom 1.07 (apartment 5) → Corridor 1.04 (apartment 5) → Bedroom 1.05 (apartment 5)</x:v>
      </x:c>
      <x:c r="E1314" s="6" t="str">
        <x:v>Reference supplied</x:v>
      </x:c>
      <x:c r="F1314" s="6" t="str">
        <x:v>train</x:v>
      </x:c>
      <x:c r="G1314" s="6" t="str">
        <x:v>swiss-328</x:v>
      </x:c>
      <x:c r="H1314" s="6" t="str">
        <x:v>swiss-328-Q02</x:v>
      </x:c>
      <x:c r="I1314" s="6" t="str">
        <x:v>Route planning</x:v>
      </x:c>
      <x:c r="J1314" s="6" t="str">
        <x:v>Warm-up</x:v>
      </x:c>
      <x:c r="K1314" s="6" t="str">
        <x:v>Ordered space path and directions, plus total route-model distance in metres.</x:v>
      </x:c>
      <x:c r="L1314" s="6" t="str">
        <x:v>T02, T05, T13</x:v>
      </x:c>
      <x:c r="M1314" s="6" t="str">
        <x:v>Find a valid route between two rooms, including across floors.</x:v>
      </x:c>
      <x:c r="N1314" s="6" t="str">
        <x:v>{"from_space_id":"swiss-328-F1-S007","to_space_id":"swiss-328-F1-S005","optimal_length_m":8.41,"space_path":["swiss-328-F1-S007","swiss-328-F1-S004","swiss-328-F1-S005"],"element_path":["swiss-328-F1-O0032","swiss-328-F1-O0032","swiss-328-F1-O0031","swiss-328-F1-O0031"]}</x:v>
      </x:c>
      <x:c r="O1314" s="6"/>
      <x:c r="P1314" s="6" t="str">
        <x:v>README routing profile. Stairs and lifts allowed unless stated otherwise.</x:v>
      </x:c>
      <x:c r="Q1314" s="15" t="n">
        <x:v>8.41</x:v>
      </x:c>
      <x:c r="R1314" s="6" t="str">
        <x:v>m</x:v>
      </x:c>
      <x:c r="S1314" s="16"/>
      <x:c r="T1314" s="15"/>
      <x:c r="U1314" s="6"/>
      <x:c r="V1314" s="6"/>
      <x:c r="W1314" s="6" t="str">
        <x:v>Existing find_route and show_route implement the kit routing model.</x:v>
      </x:c>
      <x:c r="X1314" s="6" t="str">
        <x:v>data/train/swiss-328/questions_basic.jsonl</x:v>
      </x:c>
      <x:c r="Y1314" s="14" t="n">
        <x:v>2</x:v>
      </x:c>
      <x:c r="Z1314" s="6" t="str">
        <x:v>https://github.com/hagenhaeussler/Industrial-Agents-Hackathon-2026/blob/f41616590b69f3ea0c1cbfb41d6c35edd9ce53df/data/train/swiss-328/questions_basic.jsonl#L2</x:v>
      </x:c>
      <x:c r="AA1314" s="6" t="str">
        <x:v>swiss_dwellings</x:v>
      </x:c>
      <x:c r="AB1314" s="6" t="str">
        <x:v>CC-BY-4.0</x:v>
      </x:c>
    </x:row>
    <x:row r="1315" ht="110" customHeight="1">
      <x:c r="A1315" s="14" t="n">
        <x:v>1310</x:v>
      </x:c>
      <x:c r="B1315" s="6" t="str">
        <x:v>route</x:v>
      </x:c>
      <x:c r="C1315" s="6" t="str">
        <x:v>How do I get from Bathroom 1.21 (apartment 7) (Floor 1) to Bathroom 1.25 (apartment 8) (Floor 1)?</x:v>
      </x:c>
      <x:c r="D1315" s="6" t="str">
        <x:v>44.55 m
From: Bathroom 1.21 (apartment 7)
To: Bathroom 1.25 (apartment 8)
Ordered path (9 spaces): Bathroom 1.21 (apartment 7) → Corridor 1.18 (apartment 7) → Stair hall 1.29 → Stair hall 0.29 → outside → Stair hall 0.30 → Stair hall 1.30 → Corridor 1.28 (apartment 8) → Bathroom 1.25 (apartment 8)</x:v>
      </x:c>
      <x:c r="E1315" s="6" t="str">
        <x:v>Reference supplied</x:v>
      </x:c>
      <x:c r="F1315" s="6" t="str">
        <x:v>train</x:v>
      </x:c>
      <x:c r="G1315" s="6" t="str">
        <x:v>swiss-328</x:v>
      </x:c>
      <x:c r="H1315" s="6" t="str">
        <x:v>swiss-328-Q03</x:v>
      </x:c>
      <x:c r="I1315" s="6" t="str">
        <x:v>Route planning</x:v>
      </x:c>
      <x:c r="J1315" s="6" t="str">
        <x:v>Warm-up</x:v>
      </x:c>
      <x:c r="K1315" s="6" t="str">
        <x:v>Ordered space path and directions, plus total route-model distance in metres.</x:v>
      </x:c>
      <x:c r="L1315" s="6" t="str">
        <x:v>T02, T05, T13</x:v>
      </x:c>
      <x:c r="M1315" s="6" t="str">
        <x:v>Find a valid route between two rooms, including across floors.</x:v>
      </x:c>
      <x:c r="N1315" s="6" t="str">
        <x:v>{"from_space_id":"swiss-328-F1-S021","to_space_id":"swiss-328-F1-S025","optimal_length_m":44.55,"space_path":["swiss-328-F1-S021","swiss-328-F1-S018","swiss-328-F1-S029","swiss-328-F0-S029","outside","swiss-328-F0-S030","swiss-328-F1-S030","swiss-328-F1-S028","swiss-328-F1-S025"],"element_path":["swiss-328-F1-O0045","swiss-328-F1-O0045","swiss-328-F1-O0049","swiss-328-F1-O0049","swiss-328-V01","swiss-328-F0-O0088","swiss-328-F0-O0088","swiss-328-F0-O0089","swiss-328-F0-O0089","swiss-328-V02","swiss-328-F1-O0053","swiss-328-F1-O0053","swiss-328-F1-O0056","swiss-328-F1-O0056"]}</x:v>
      </x:c>
      <x:c r="O1315" s="6"/>
      <x:c r="P1315" s="6" t="str">
        <x:v>README routing profile. Stairs and lifts allowed unless stated otherwise.</x:v>
      </x:c>
      <x:c r="Q1315" s="15" t="n">
        <x:v>44.55</x:v>
      </x:c>
      <x:c r="R1315" s="6" t="str">
        <x:v>m</x:v>
      </x:c>
      <x:c r="S1315" s="16"/>
      <x:c r="T1315" s="15"/>
      <x:c r="U1315" s="6"/>
      <x:c r="V1315" s="6"/>
      <x:c r="W1315" s="6" t="str">
        <x:v>Existing find_route and show_route implement the kit routing model.</x:v>
      </x:c>
      <x:c r="X1315" s="6" t="str">
        <x:v>data/train/swiss-328/questions_basic.jsonl</x:v>
      </x:c>
      <x:c r="Y1315" s="14" t="n">
        <x:v>3</x:v>
      </x:c>
      <x:c r="Z1315" s="6" t="str">
        <x:v>https://github.com/hagenhaeussler/Industrial-Agents-Hackathon-2026/blob/f41616590b69f3ea0c1cbfb41d6c35edd9ce53df/data/train/swiss-328/questions_basic.jsonl#L3</x:v>
      </x:c>
      <x:c r="AA1315" s="6" t="str">
        <x:v>swiss_dwellings</x:v>
      </x:c>
      <x:c r="AB1315" s="6" t="str">
        <x:v>CC-BY-4.0</x:v>
      </x:c>
    </x:row>
    <x:row r="1316" ht="96" customHeight="1">
      <x:c r="A1316" s="14" t="n">
        <x:v>1311</x:v>
      </x:c>
      <x:c r="B1316" s="6" t="str">
        <x:v>route</x:v>
      </x:c>
      <x:c r="C1316" s="6" t="str">
        <x:v>How do I get from Bedroom 2.23 (apartment 12) (Floor 2) to Kitchen 0.22 (apartment 4) (Ground floor)?</x:v>
      </x:c>
      <x:c r="D1316" s="6" t="str">
        <x:v>39.8 m
From: Bedroom 2.23 (apartment 12)
To: Kitchen 0.22 (apartment 4)
Ordered path (7 spaces): Bedroom 2.23 (apartment 12) → Corridor 2.27 (apartment 12) → Stair hall 2.30 → Stair hall 1.30 → Stair hall 0.30 → Corridor 0.28 (apartment 4) → Kitchen 0.22 (apartment 4)</x:v>
      </x:c>
      <x:c r="E1316" s="6" t="str">
        <x:v>Reference supplied</x:v>
      </x:c>
      <x:c r="F1316" s="6" t="str">
        <x:v>train</x:v>
      </x:c>
      <x:c r="G1316" s="6" t="str">
        <x:v>swiss-328</x:v>
      </x:c>
      <x:c r="H1316" s="6" t="str">
        <x:v>swiss-328-Q04</x:v>
      </x:c>
      <x:c r="I1316" s="6" t="str">
        <x:v>Route planning</x:v>
      </x:c>
      <x:c r="J1316" s="6" t="str">
        <x:v>Warm-up</x:v>
      </x:c>
      <x:c r="K1316" s="6" t="str">
        <x:v>Ordered space path and directions, plus total route-model distance in metres.</x:v>
      </x:c>
      <x:c r="L1316" s="6" t="str">
        <x:v>T02, T05, T13</x:v>
      </x:c>
      <x:c r="M1316" s="6" t="str">
        <x:v>Find a valid route between two rooms, including across floors.</x:v>
      </x:c>
      <x:c r="N1316" s="6" t="str">
        <x:v>{"from_space_id":"swiss-328-F2-S023","to_space_id":"swiss-328-F0-S022","optimal_length_m":39.8,"space_path":["swiss-328-F2-S023","swiss-328-F2-S027","swiss-328-F2-S030","swiss-328-F1-S030","swiss-328-F0-S030","swiss-328-F0-S028","swiss-328-F0-S022"],"element_path":["swiss-328-F2-O0081","swiss-328-F2-O0081","swiss-328-F2-O0077","swiss-328-F2-O0077","swiss-328-V03","swiss-328-V02","swiss-328-F0-O0022","swiss-328-F0-O0022","swiss-328-F0-O0020","swiss-328-F0-O0020"]}</x:v>
      </x:c>
      <x:c r="O1316" s="6"/>
      <x:c r="P1316" s="6" t="str">
        <x:v>README routing profile. Stairs and lifts allowed unless stated otherwise.</x:v>
      </x:c>
      <x:c r="Q1316" s="15" t="n">
        <x:v>39.8</x:v>
      </x:c>
      <x:c r="R1316" s="6" t="str">
        <x:v>m</x:v>
      </x:c>
      <x:c r="S1316" s="16"/>
      <x:c r="T1316" s="15"/>
      <x:c r="U1316" s="6"/>
      <x:c r="V1316" s="6"/>
      <x:c r="W1316" s="6" t="str">
        <x:v>Existing find_route and show_route implement the kit routing model.</x:v>
      </x:c>
      <x:c r="X1316" s="6" t="str">
        <x:v>data/train/swiss-328/questions_basic.jsonl</x:v>
      </x:c>
      <x:c r="Y1316" s="14" t="n">
        <x:v>4</x:v>
      </x:c>
      <x:c r="Z1316" s="6" t="str">
        <x:v>https://github.com/hagenhaeussler/Industrial-Agents-Hackathon-2026/blob/f41616590b69f3ea0c1cbfb41d6c35edd9ce53df/data/train/swiss-328/questions_basic.jsonl#L4</x:v>
      </x:c>
      <x:c r="AA1316" s="6" t="str">
        <x:v>swiss_dwellings</x:v>
      </x:c>
      <x:c r="AB1316" s="6" t="str">
        <x:v>CC-BY-4.0</x:v>
      </x:c>
    </x:row>
    <x:row r="1317" ht="82" customHeight="1">
      <x:c r="A1317" s="14" t="n">
        <x:v>1312</x:v>
      </x:c>
      <x:c r="B1317" s="6" t="str">
        <x:v>route</x:v>
      </x:c>
      <x:c r="C1317" s="6" t="str">
        <x:v>How do I get from Bedroom 3.14 (apartment 14) (Floor 3) to Bedroom 3.17 (apartment 14) (Floor 3)?</x:v>
      </x:c>
      <x:c r="D1317" s="6" t="str">
        <x:v>9.31 m
From: Bedroom 3.14 (apartment 14)
To: Bedroom 3.17 (apartment 14)
Ordered path (3 spaces): Bedroom 3.14 (apartment 14) → Corridor 3.21 (apartment 14) → Bedroom 3.17 (apartment 14)</x:v>
      </x:c>
      <x:c r="E1317" s="6" t="str">
        <x:v>Reference supplied</x:v>
      </x:c>
      <x:c r="F1317" s="6" t="str">
        <x:v>train</x:v>
      </x:c>
      <x:c r="G1317" s="6" t="str">
        <x:v>swiss-3284</x:v>
      </x:c>
      <x:c r="H1317" s="6" t="str">
        <x:v>swiss-3284-Q03</x:v>
      </x:c>
      <x:c r="I1317" s="6" t="str">
        <x:v>Route planning</x:v>
      </x:c>
      <x:c r="J1317" s="6" t="str">
        <x:v>Warm-up</x:v>
      </x:c>
      <x:c r="K1317" s="6" t="str">
        <x:v>Ordered space path and directions, plus total route-model distance in metres.</x:v>
      </x:c>
      <x:c r="L1317" s="6" t="str">
        <x:v>T02, T05, T13</x:v>
      </x:c>
      <x:c r="M1317" s="6" t="str">
        <x:v>Find a valid route between two rooms, including across floors.</x:v>
      </x:c>
      <x:c r="N1317" s="6" t="str">
        <x:v>{"from_space_id":"swiss-3284-F3-S014","to_space_id":"swiss-3284-F3-S017","optimal_length_m":9.31,"space_path":["swiss-3284-F3-S014","swiss-3284-F3-S021","swiss-3284-F3-S017"],"element_path":["swiss-3284-F3-O0158","swiss-3284-F3-O0158","swiss-3284-F3-O0156","swiss-3284-F3-O0156"]}</x:v>
      </x:c>
      <x:c r="O1317" s="6"/>
      <x:c r="P1317" s="6" t="str">
        <x:v>README routing profile. Stairs and lifts allowed unless stated otherwise.</x:v>
      </x:c>
      <x:c r="Q1317" s="15" t="n">
        <x:v>9.31</x:v>
      </x:c>
      <x:c r="R1317" s="6" t="str">
        <x:v>m</x:v>
      </x:c>
      <x:c r="S1317" s="16"/>
      <x:c r="T1317" s="15"/>
      <x:c r="U1317" s="6"/>
      <x:c r="V1317" s="6"/>
      <x:c r="W1317" s="6" t="str">
        <x:v>Existing find_route and show_route implement the kit routing model.</x:v>
      </x:c>
      <x:c r="X1317" s="6" t="str">
        <x:v>data/train/swiss-3284/questions_basic.jsonl</x:v>
      </x:c>
      <x:c r="Y1317" s="14" t="n">
        <x:v>3</x:v>
      </x:c>
      <x:c r="Z1317" s="6" t="str">
        <x:v>https://github.com/hagenhaeussler/Industrial-Agents-Hackathon-2026/blob/f41616590b69f3ea0c1cbfb41d6c35edd9ce53df/data/train/swiss-3284/questions_basic.jsonl#L3</x:v>
      </x:c>
      <x:c r="AA1317" s="6" t="str">
        <x:v>swiss_dwellings</x:v>
      </x:c>
      <x:c r="AB1317" s="6" t="str">
        <x:v>CC-BY-4.0</x:v>
      </x:c>
    </x:row>
    <x:row r="1318" ht="96" customHeight="1">
      <x:c r="A1318" s="14" t="n">
        <x:v>1313</x:v>
      </x:c>
      <x:c r="B1318" s="6" t="str">
        <x:v>route</x:v>
      </x:c>
      <x:c r="C1318" s="6" t="str">
        <x:v>How do I get from Kitchen 1.38 (apartment 8) (Floor 1) to Bedroom 2.27 (apartment 11) (Floor 2)?</x:v>
      </x:c>
      <x:c r="D1318" s="6" t="str">
        <x:v>40.82 m
From: Kitchen 1.38 (apartment 8)
To: Bedroom 2.27 (apartment 11)
Ordered path (7 spaces): Kitchen 1.38 (apartment 8) → Bedroom 1.37 (apartment 8) → Corridor 1.39 (apartment 8) → Stair hall 1.46 → Stair hall 2.46 → Corridor 2.28 (apartment 11) → Bedroom 2.27 (apartment 11)</x:v>
      </x:c>
      <x:c r="E1318" s="6" t="str">
        <x:v>Reference supplied</x:v>
      </x:c>
      <x:c r="F1318" s="6" t="str">
        <x:v>train</x:v>
      </x:c>
      <x:c r="G1318" s="6" t="str">
        <x:v>swiss-3284</x:v>
      </x:c>
      <x:c r="H1318" s="6" t="str">
        <x:v>swiss-3284-Q04</x:v>
      </x:c>
      <x:c r="I1318" s="6" t="str">
        <x:v>Route planning</x:v>
      </x:c>
      <x:c r="J1318" s="6" t="str">
        <x:v>Warm-up</x:v>
      </x:c>
      <x:c r="K1318" s="6" t="str">
        <x:v>Ordered space path and directions, plus total route-model distance in metres.</x:v>
      </x:c>
      <x:c r="L1318" s="6" t="str">
        <x:v>T02, T05, T13</x:v>
      </x:c>
      <x:c r="M1318" s="6" t="str">
        <x:v>Find a valid route between two rooms, including across floors.</x:v>
      </x:c>
      <x:c r="N1318" s="6" t="str">
        <x:v>{"from_space_id":"swiss-3284-F1-S038","to_space_id":"swiss-3284-F2-S027","optimal_length_m":40.82,"space_path":["swiss-3284-F1-S038","swiss-3284-F1-S037","swiss-3284-F1-S039","swiss-3284-F1-S046","swiss-3284-F2-S046","swiss-3284-F2-S028","swiss-3284-F2-S027"],"element_path":["swiss-3284-F1-O0079","swiss-3284-F1-O0079","swiss-3284-F1-O0092","swiss-3284-F1-O0092","swiss-3284-F1-O0082","swiss-3284-F1-O0082","swiss-3284-V01","swiss-3284-F2-O0116","swiss-3284-F2-O0116","swiss-3284-F2-O0136","swiss-3284-F2-O0136"]}</x:v>
      </x:c>
      <x:c r="O1318" s="6"/>
      <x:c r="P1318" s="6" t="str">
        <x:v>README routing profile. Stairs and lifts allowed unless stated otherwise.</x:v>
      </x:c>
      <x:c r="Q1318" s="15" t="n">
        <x:v>40.82</x:v>
      </x:c>
      <x:c r="R1318" s="6" t="str">
        <x:v>m</x:v>
      </x:c>
      <x:c r="S1318" s="16"/>
      <x:c r="T1318" s="15"/>
      <x:c r="U1318" s="6"/>
      <x:c r="V1318" s="6"/>
      <x:c r="W1318" s="6" t="str">
        <x:v>Existing find_route and show_route implement the kit routing model.</x:v>
      </x:c>
      <x:c r="X1318" s="6" t="str">
        <x:v>data/train/swiss-3284/questions_basic.jsonl</x:v>
      </x:c>
      <x:c r="Y1318" s="14" t="n">
        <x:v>4</x:v>
      </x:c>
      <x:c r="Z1318" s="6" t="str">
        <x:v>https://github.com/hagenhaeussler/Industrial-Agents-Hackathon-2026/blob/f41616590b69f3ea0c1cbfb41d6c35edd9ce53df/data/train/swiss-3284/questions_basic.jsonl#L4</x:v>
      </x:c>
      <x:c r="AA1318" s="6" t="str">
        <x:v>swiss_dwellings</x:v>
      </x:c>
      <x:c r="AB1318" s="6" t="str">
        <x:v>CC-BY-4.0</x:v>
      </x:c>
    </x:row>
    <x:row r="1319" ht="110" customHeight="1">
      <x:c r="A1319" s="14" t="n">
        <x:v>1314</x:v>
      </x:c>
      <x:c r="B1319" s="6" t="str">
        <x:v>route</x:v>
      </x:c>
      <x:c r="C1319" s="6" t="str">
        <x:v>How do I get from Living room 2.02 (apartment 9) (Floor 2) to Bathroom 0.13 (apartment 2) (Ground floor)?</x:v>
      </x:c>
      <x:c r="D1319" s="6" t="str">
        <x:v>48.33 m
From: Living room 2.02 (apartment 9)
To: Bathroom 0.13 (apartment 2)
Ordered path (8 spaces): Living room 2.02 (apartment 9) → Bedroom 2.06 (apartment 9) → Corridor 2.07 (apartment 9) → Stair hall 2.45 → Stair hall 1.45 → Stair hall 0.45 → Corridor 0.14 (apartment 2) → Bathroom 0.13 (apartment 2)</x:v>
      </x:c>
      <x:c r="E1319" s="6" t="str">
        <x:v>Reference supplied</x:v>
      </x:c>
      <x:c r="F1319" s="6" t="str">
        <x:v>train</x:v>
      </x:c>
      <x:c r="G1319" s="6" t="str">
        <x:v>swiss-3284</x:v>
      </x:c>
      <x:c r="H1319" s="6" t="str">
        <x:v>swiss-3284-Q05</x:v>
      </x:c>
      <x:c r="I1319" s="6" t="str">
        <x:v>Route planning</x:v>
      </x:c>
      <x:c r="J1319" s="6" t="str">
        <x:v>Warm-up</x:v>
      </x:c>
      <x:c r="K1319" s="6" t="str">
        <x:v>Ordered space path and directions, plus total route-model distance in metres.</x:v>
      </x:c>
      <x:c r="L1319" s="6" t="str">
        <x:v>T02, T05, T13</x:v>
      </x:c>
      <x:c r="M1319" s="6" t="str">
        <x:v>Find a valid route between two rooms, including across floors.</x:v>
      </x:c>
      <x:c r="N1319" s="6" t="str">
        <x:v>{"from_space_id":"swiss-3284-F2-S002","to_space_id":"swiss-3284-F0-S013","optimal_length_m":48.33,"space_path":["swiss-3284-F2-S002","swiss-3284-F2-S006","swiss-3284-F2-S007","swiss-3284-F2-S045","swiss-3284-F1-S045","swiss-3284-F0-S045","swiss-3284-F0-S014","swiss-3284-F0-S013"],"element_path":["swiss-3284-F2-O0131","swiss-3284-F2-O0131","swiss-3284-F2-O0132","swiss-3284-F2-O0132","swiss-3284-F2-O0100","swiss-3284-F2-O0100","swiss-3284-V04","swiss-3284-V03","swiss-3284-F0-O0016","swiss-3284-F0-O0016","swiss-3284-F0-O0012","swiss-3284-F0-O0012"]}</x:v>
      </x:c>
      <x:c r="O1319" s="6"/>
      <x:c r="P1319" s="6" t="str">
        <x:v>README routing profile. Stairs and lifts allowed unless stated otherwise.</x:v>
      </x:c>
      <x:c r="Q1319" s="15" t="n">
        <x:v>48.33</x:v>
      </x:c>
      <x:c r="R1319" s="6" t="str">
        <x:v>m</x:v>
      </x:c>
      <x:c r="S1319" s="16"/>
      <x:c r="T1319" s="15"/>
      <x:c r="U1319" s="6"/>
      <x:c r="V1319" s="6"/>
      <x:c r="W1319" s="6" t="str">
        <x:v>Existing find_route and show_route implement the kit routing model.</x:v>
      </x:c>
      <x:c r="X1319" s="6" t="str">
        <x:v>data/train/swiss-3284/questions_basic.jsonl</x:v>
      </x:c>
      <x:c r="Y1319" s="14" t="n">
        <x:v>5</x:v>
      </x:c>
      <x:c r="Z1319" s="6" t="str">
        <x:v>https://github.com/hagenhaeussler/Industrial-Agents-Hackathon-2026/blob/f41616590b69f3ea0c1cbfb41d6c35edd9ce53df/data/train/swiss-3284/questions_basic.jsonl#L5</x:v>
      </x:c>
      <x:c r="AA1319" s="6" t="str">
        <x:v>swiss_dwellings</x:v>
      </x:c>
      <x:c r="AB1319" s="6" t="str">
        <x:v>CC-BY-4.0</x:v>
      </x:c>
    </x:row>
    <x:row r="1320" ht="96" customHeight="1">
      <x:c r="A1320" s="14" t="n">
        <x:v>1315</x:v>
      </x:c>
      <x:c r="B1320" s="6" t="str">
        <x:v>route</x:v>
      </x:c>
      <x:c r="C1320" s="6" t="str">
        <x:v>How do I get from Kitchen 1.05 (apartment 3) (Floor 1) to Bedroom 3.09 (apartment 8) (Floor 3)?</x:v>
      </x:c>
      <x:c r="D1320" s="6" t="str">
        <x:v>40.3 m
From: Kitchen 1.05 (apartment 3)
To: Bedroom 3.09 (apartment 8)
Ordered path (7 spaces): Kitchen 1.05 (apartment 3) → Corridor 1.02 (apartment 3) → Stair hall 1.16 → Stair hall 2.16 → Stair hall 3.16 → Corridor 3.13 (apartment 8) → Bedroom 3.09 (apartment 8)</x:v>
      </x:c>
      <x:c r="E1320" s="6" t="str">
        <x:v>Reference supplied</x:v>
      </x:c>
      <x:c r="F1320" s="6" t="str">
        <x:v>train</x:v>
      </x:c>
      <x:c r="G1320" s="6" t="str">
        <x:v>swiss-333</x:v>
      </x:c>
      <x:c r="H1320" s="6" t="str">
        <x:v>swiss-333-Q04</x:v>
      </x:c>
      <x:c r="I1320" s="6" t="str">
        <x:v>Route planning</x:v>
      </x:c>
      <x:c r="J1320" s="6" t="str">
        <x:v>Warm-up</x:v>
      </x:c>
      <x:c r="K1320" s="6" t="str">
        <x:v>Ordered space path and directions, plus total route-model distance in metres.</x:v>
      </x:c>
      <x:c r="L1320" s="6" t="str">
        <x:v>T02, T05, T13</x:v>
      </x:c>
      <x:c r="M1320" s="6" t="str">
        <x:v>Find a valid route between two rooms, including across floors.</x:v>
      </x:c>
      <x:c r="N1320" s="6" t="str">
        <x:v>{"from_space_id":"swiss-333-F1-S005","to_space_id":"swiss-333-F3-S009","optimal_length_m":40.3,"space_path":["swiss-333-F1-S005","swiss-333-F1-S002","swiss-333-F1-S016","swiss-333-F2-S016","swiss-333-F3-S016","swiss-333-F3-S013","swiss-333-F3-S009"],"element_path":["swiss-333-F1-O0025","swiss-333-F1-O0025","swiss-333-F1-O0024","swiss-333-F1-O0024","swiss-333-V01","swiss-333-V01","swiss-333-F3-O0053","swiss-333-F3-O0053","swiss-333-F3-O0063","swiss-333-F3-O0063"]}</x:v>
      </x:c>
      <x:c r="O1320" s="6"/>
      <x:c r="P1320" s="6" t="str">
        <x:v>README routing profile. Stairs and lifts allowed unless stated otherwise.</x:v>
      </x:c>
      <x:c r="Q1320" s="15" t="n">
        <x:v>40.3</x:v>
      </x:c>
      <x:c r="R1320" s="6" t="str">
        <x:v>m</x:v>
      </x:c>
      <x:c r="S1320" s="16"/>
      <x:c r="T1320" s="15"/>
      <x:c r="U1320" s="6"/>
      <x:c r="V1320" s="6"/>
      <x:c r="W1320" s="6" t="str">
        <x:v>Existing find_route and show_route implement the kit routing model.</x:v>
      </x:c>
      <x:c r="X1320" s="6" t="str">
        <x:v>data/train/swiss-333/questions_basic.jsonl</x:v>
      </x:c>
      <x:c r="Y1320" s="14" t="n">
        <x:v>4</x:v>
      </x:c>
      <x:c r="Z1320" s="6" t="str">
        <x:v>https://github.com/hagenhaeussler/Industrial-Agents-Hackathon-2026/blob/f41616590b69f3ea0c1cbfb41d6c35edd9ce53df/data/train/swiss-333/questions_basic.jsonl#L4</x:v>
      </x:c>
      <x:c r="AA1320" s="6" t="str">
        <x:v>swiss_dwellings</x:v>
      </x:c>
      <x:c r="AB1320" s="6" t="str">
        <x:v>CC-BY-4.0</x:v>
      </x:c>
    </x:row>
    <x:row r="1321" ht="96" customHeight="1">
      <x:c r="A1321" s="14" t="n">
        <x:v>1316</x:v>
      </x:c>
      <x:c r="B1321" s="6" t="str">
        <x:v>route</x:v>
      </x:c>
      <x:c r="C1321" s="6" t="str">
        <x:v>How do I get from Kitchen 2.13 (apartment 6) (Floor 2) to Kitchen 0.08 (apartment 1) (Ground floor)?</x:v>
      </x:c>
      <x:c r="D1321" s="6" t="str">
        <x:v>38.69 m
From: Kitchen 2.13 (apartment 6)
To: Kitchen 0.08 (apartment 1)
Ordered path (7 spaces): Kitchen 2.13 (apartment 6) → Corridor 2.10 (apartment 6) → Stair hall 2.16 → Stair hall 1.16 → Stair hall 0.16 → Corridor 0.02 (apartment 1) → Kitchen 0.08 (apartment 1)</x:v>
      </x:c>
      <x:c r="E1321" s="6" t="str">
        <x:v>Reference supplied</x:v>
      </x:c>
      <x:c r="F1321" s="6" t="str">
        <x:v>train</x:v>
      </x:c>
      <x:c r="G1321" s="6" t="str">
        <x:v>swiss-333</x:v>
      </x:c>
      <x:c r="H1321" s="6" t="str">
        <x:v>swiss-333-Q05</x:v>
      </x:c>
      <x:c r="I1321" s="6" t="str">
        <x:v>Route planning</x:v>
      </x:c>
      <x:c r="J1321" s="6" t="str">
        <x:v>Warm-up</x:v>
      </x:c>
      <x:c r="K1321" s="6" t="str">
        <x:v>Ordered space path and directions, plus total route-model distance in metres.</x:v>
      </x:c>
      <x:c r="L1321" s="6" t="str">
        <x:v>T02, T05, T13</x:v>
      </x:c>
      <x:c r="M1321" s="6" t="str">
        <x:v>Find a valid route between two rooms, including across floors.</x:v>
      </x:c>
      <x:c r="N1321" s="6" t="str">
        <x:v>{"from_space_id":"swiss-333-F2-S013","to_space_id":"swiss-333-F0-S008","optimal_length_m":38.69,"space_path":["swiss-333-F2-S013","swiss-333-F2-S010","swiss-333-F2-S016","swiss-333-F1-S016","swiss-333-F0-S016","swiss-333-F0-S002","swiss-333-F0-S008"],"element_path":["swiss-333-F2-O0043","swiss-333-F2-O0043","swiss-333-F2-O0048","swiss-333-F2-O0048","swiss-333-V01","swiss-333-V01","swiss-333-F0-O0003","swiss-333-F0-O0003","swiss-333-F0-O0001","swiss-333-F0-O0001"]}</x:v>
      </x:c>
      <x:c r="O1321" s="6"/>
      <x:c r="P1321" s="6" t="str">
        <x:v>README routing profile. Stairs and lifts allowed unless stated otherwise.</x:v>
      </x:c>
      <x:c r="Q1321" s="15" t="n">
        <x:v>38.69</x:v>
      </x:c>
      <x:c r="R1321" s="6" t="str">
        <x:v>m</x:v>
      </x:c>
      <x:c r="S1321" s="16"/>
      <x:c r="T1321" s="15"/>
      <x:c r="U1321" s="6"/>
      <x:c r="V1321" s="6"/>
      <x:c r="W1321" s="6" t="str">
        <x:v>Existing find_route and show_route implement the kit routing model.</x:v>
      </x:c>
      <x:c r="X1321" s="6" t="str">
        <x:v>data/train/swiss-333/questions_basic.jsonl</x:v>
      </x:c>
      <x:c r="Y1321" s="14" t="n">
        <x:v>5</x:v>
      </x:c>
      <x:c r="Z1321" s="6" t="str">
        <x:v>https://github.com/hagenhaeussler/Industrial-Agents-Hackathon-2026/blob/f41616590b69f3ea0c1cbfb41d6c35edd9ce53df/data/train/swiss-333/questions_basic.jsonl#L5</x:v>
      </x:c>
      <x:c r="AA1321" s="6" t="str">
        <x:v>swiss_dwellings</x:v>
      </x:c>
      <x:c r="AB1321" s="6" t="str">
        <x:v>CC-BY-4.0</x:v>
      </x:c>
    </x:row>
    <x:row r="1322" ht="82" customHeight="1">
      <x:c r="A1322" s="14" t="n">
        <x:v>1317</x:v>
      </x:c>
      <x:c r="B1322" s="6" t="str">
        <x:v>route</x:v>
      </x:c>
      <x:c r="C1322" s="6" t="str">
        <x:v>How do I get from Kitchen 2.13 (apartment 6) (Floor 2) to Bathroom 2.12 (apartment 6) (Floor 2)?</x:v>
      </x:c>
      <x:c r="D1322" s="6" t="str">
        <x:v>5.89 m
From: Kitchen 2.13 (apartment 6)
To: Bathroom 2.12 (apartment 6)
Ordered path (3 spaces): Kitchen 2.13 (apartment 6) → Corridor 2.10 (apartment 6) → Bathroom 2.12 (apartment 6)</x:v>
      </x:c>
      <x:c r="E1322" s="6" t="str">
        <x:v>Reference supplied</x:v>
      </x:c>
      <x:c r="F1322" s="6" t="str">
        <x:v>train</x:v>
      </x:c>
      <x:c r="G1322" s="6" t="str">
        <x:v>swiss-333</x:v>
      </x:c>
      <x:c r="H1322" s="6" t="str">
        <x:v>swiss-333-Q06</x:v>
      </x:c>
      <x:c r="I1322" s="6" t="str">
        <x:v>Route planning</x:v>
      </x:c>
      <x:c r="J1322" s="6" t="str">
        <x:v>Warm-up</x:v>
      </x:c>
      <x:c r="K1322" s="6" t="str">
        <x:v>Ordered space path and directions, plus total route-model distance in metres.</x:v>
      </x:c>
      <x:c r="L1322" s="6" t="str">
        <x:v>T02, T05, T13</x:v>
      </x:c>
      <x:c r="M1322" s="6" t="str">
        <x:v>Find a valid route between two rooms, including across floors.</x:v>
      </x:c>
      <x:c r="N1322" s="6" t="str">
        <x:v>{"from_space_id":"swiss-333-F2-S013","to_space_id":"swiss-333-F2-S012","optimal_length_m":5.89,"space_path":["swiss-333-F2-S013","swiss-333-F2-S010","swiss-333-F2-S012"],"element_path":["swiss-333-F2-O0043","swiss-333-F2-O0043","swiss-333-F2-O0051","swiss-333-F2-O0051"]}</x:v>
      </x:c>
      <x:c r="O1322" s="6"/>
      <x:c r="P1322" s="6" t="str">
        <x:v>README routing profile. Stairs and lifts allowed unless stated otherwise.</x:v>
      </x:c>
      <x:c r="Q1322" s="15" t="n">
        <x:v>5.89</x:v>
      </x:c>
      <x:c r="R1322" s="6" t="str">
        <x:v>m</x:v>
      </x:c>
      <x:c r="S1322" s="16"/>
      <x:c r="T1322" s="15"/>
      <x:c r="U1322" s="6"/>
      <x:c r="V1322" s="6"/>
      <x:c r="W1322" s="6" t="str">
        <x:v>Existing find_route and show_route implement the kit routing model.</x:v>
      </x:c>
      <x:c r="X1322" s="6" t="str">
        <x:v>data/train/swiss-333/questions_basic.jsonl</x:v>
      </x:c>
      <x:c r="Y1322" s="14" t="n">
        <x:v>6</x:v>
      </x:c>
      <x:c r="Z1322" s="6" t="str">
        <x:v>https://github.com/hagenhaeussler/Industrial-Agents-Hackathon-2026/blob/f41616590b69f3ea0c1cbfb41d6c35edd9ce53df/data/train/swiss-333/questions_basic.jsonl#L6</x:v>
      </x:c>
      <x:c r="AA1322" s="6" t="str">
        <x:v>swiss_dwellings</x:v>
      </x:c>
      <x:c r="AB1322" s="6" t="str">
        <x:v>CC-BY-4.0</x:v>
      </x:c>
    </x:row>
    <x:row r="1323" ht="110" customHeight="1">
      <x:c r="A1323" s="14" t="n">
        <x:v>1318</x:v>
      </x:c>
      <x:c r="B1323" s="6" t="str">
        <x:v>route</x:v>
      </x:c>
      <x:c r="C1323" s="6" t="str">
        <x:v>How do I get from Kitchen 0.01 (apartment 1) (Ground floor) to Bathroom 0.33 (apartment 4) (Ground floor)?</x:v>
      </x:c>
      <x:c r="D1323" s="6" t="str">
        <x:v>20.31 m
From: Kitchen 0.01 (apartment 1)
To: Bathroom 0.33 (apartment 4)
Ordered path (8 spaces): Kitchen 0.01 (apartment 1) → Corridor 0.09 (apartment 1) → Stair hall 0.37 → outside → Landing 0.44 → Bedroom 0.35 (apartment 4) → Corridor 0.36 (apartment 4) → Bathroom 0.33 (apartment 4)</x:v>
      </x:c>
      <x:c r="E1323" s="6" t="str">
        <x:v>Reference supplied</x:v>
      </x:c>
      <x:c r="F1323" s="6" t="str">
        <x:v>train</x:v>
      </x:c>
      <x:c r="G1323" s="6" t="str">
        <x:v>swiss-3338</x:v>
      </x:c>
      <x:c r="H1323" s="6" t="str">
        <x:v>swiss-3338-Q03</x:v>
      </x:c>
      <x:c r="I1323" s="6" t="str">
        <x:v>Route planning</x:v>
      </x:c>
      <x:c r="J1323" s="6" t="str">
        <x:v>Warm-up</x:v>
      </x:c>
      <x:c r="K1323" s="6" t="str">
        <x:v>Ordered space path and directions, plus total route-model distance in metres.</x:v>
      </x:c>
      <x:c r="L1323" s="6" t="str">
        <x:v>T02, T05, T13</x:v>
      </x:c>
      <x:c r="M1323" s="6" t="str">
        <x:v>Find a valid route between two rooms, including across floors.</x:v>
      </x:c>
      <x:c r="N1323" s="6" t="str">
        <x:v>{"from_space_id":"swiss-3338-F0-S001","to_space_id":"swiss-3338-F0-S033","optimal_length_m":20.31,"space_path":["swiss-3338-F0-S001","swiss-3338-F0-S009","swiss-3338-F0-S037","outside","swiss-3338-F0-S044","swiss-3338-F0-S035","swiss-3338-F0-S036","swiss-3338-F0-S033"],"element_path":["swiss-3338-F0-O0003","swiss-3338-F0-O0003","swiss-3338-F0-O0005","swiss-3338-F0-O0005","swiss-3338-F0-O0109","swiss-3338-F0-O0109","swiss-3338-F0-O0116","swiss-3338-F0-O0116","swiss-3338-F0-O0040","swiss-3338-F0-O0040","swiss-3338-F0-O0039","swiss-3338-F0-O0039","swiss-3338-F0-O0035","swiss-3338-F0-O0035"]}</x:v>
      </x:c>
      <x:c r="O1323" s="6"/>
      <x:c r="P1323" s="6" t="str">
        <x:v>README routing profile. Stairs and lifts allowed unless stated otherwise.</x:v>
      </x:c>
      <x:c r="Q1323" s="15" t="n">
        <x:v>20.31</x:v>
      </x:c>
      <x:c r="R1323" s="6" t="str">
        <x:v>m</x:v>
      </x:c>
      <x:c r="S1323" s="16"/>
      <x:c r="T1323" s="15"/>
      <x:c r="U1323" s="6"/>
      <x:c r="V1323" s="6"/>
      <x:c r="W1323" s="6" t="str">
        <x:v>Existing find_route and show_route implement the kit routing model.</x:v>
      </x:c>
      <x:c r="X1323" s="6" t="str">
        <x:v>data/train/swiss-3338/questions_basic.jsonl</x:v>
      </x:c>
      <x:c r="Y1323" s="14" t="n">
        <x:v>3</x:v>
      </x:c>
      <x:c r="Z1323" s="6" t="str">
        <x:v>https://github.com/hagenhaeussler/Industrial-Agents-Hackathon-2026/blob/f41616590b69f3ea0c1cbfb41d6c35edd9ce53df/data/train/swiss-3338/questions_basic.jsonl#L3</x:v>
      </x:c>
      <x:c r="AA1323" s="6" t="str">
        <x:v>swiss_dwellings</x:v>
      </x:c>
      <x:c r="AB1323" s="6" t="str">
        <x:v>CC-BY-4.0</x:v>
      </x:c>
    </x:row>
    <x:row r="1324" ht="110" customHeight="1">
      <x:c r="A1324" s="14" t="n">
        <x:v>1319</x:v>
      </x:c>
      <x:c r="B1324" s="6" t="str">
        <x:v>route</x:v>
      </x:c>
      <x:c r="C1324" s="6" t="str">
        <x:v>How do I get from Living room 1.37 (apartment 8) (Floor 1) to Bathroom 0.27 (apartment 3) (Ground floor)?</x:v>
      </x:c>
      <x:c r="D1324" s="6" t="str">
        <x:v>33.65 m
From: Living room 1.37 (apartment 8)
To: Bathroom 0.27 (apartment 3)
Ordered path (9 spaces): Living room 1.37 (apartment 8) → Corridor 1.39 (apartment 8) → Stair hall 1.44 → Stair hall 0.37 → outside → Stair hall 0.38 → Corridor 0.21 (apartment 3) → Corridor 0.19 (apartment 3) → Bathroom 0.27 (apartment 3)</x:v>
      </x:c>
      <x:c r="E1324" s="6" t="str">
        <x:v>Reference supplied</x:v>
      </x:c>
      <x:c r="F1324" s="6" t="str">
        <x:v>train</x:v>
      </x:c>
      <x:c r="G1324" s="6" t="str">
        <x:v>swiss-3338</x:v>
      </x:c>
      <x:c r="H1324" s="6" t="str">
        <x:v>swiss-3338-Q04</x:v>
      </x:c>
      <x:c r="I1324" s="6" t="str">
        <x:v>Route planning</x:v>
      </x:c>
      <x:c r="J1324" s="6" t="str">
        <x:v>Warm-up</x:v>
      </x:c>
      <x:c r="K1324" s="6" t="str">
        <x:v>Ordered space path and directions, plus total route-model distance in metres.</x:v>
      </x:c>
      <x:c r="L1324" s="6" t="str">
        <x:v>T02, T05, T13</x:v>
      </x:c>
      <x:c r="M1324" s="6" t="str">
        <x:v>Find a valid route between two rooms, including across floors.</x:v>
      </x:c>
      <x:c r="N1324" s="6" t="str">
        <x:v>{"from_space_id":"swiss-3338-F1-S037","to_space_id":"swiss-3338-F0-S027","optimal_length_m":33.65,"space_path":["swiss-3338-F1-S037","swiss-3338-F1-S039","swiss-3338-F1-S044","swiss-3338-F0-S037","outside","swiss-3338-F0-S038","swiss-3338-F0-S021","swiss-3338-F0-S019","swiss-3338-F0-S027"],"element_path":["swiss-3338-F1-O0084","swiss-3338-F1-O0084","swiss-3338-F1-O0078","swiss-3338-F1-O0078","swiss-3338-V01","swiss-3338-F0-O0109","swiss-3338-F0-O0109","swiss-3338-F0-O0110","swiss-3338-F0-O0110","swiss-3338-F0-O0022","swiss-3338-F0-O0022","swiss-3338-F0-O0025","swiss-3338-F0-O0025","swiss-3338-F0-O0029","swiss-3338-F0-O0029"]}</x:v>
      </x:c>
      <x:c r="O1324" s="6"/>
      <x:c r="P1324" s="6" t="str">
        <x:v>README routing profile. Stairs and lifts allowed unless stated otherwise.</x:v>
      </x:c>
      <x:c r="Q1324" s="15" t="n">
        <x:v>33.65</x:v>
      </x:c>
      <x:c r="R1324" s="6" t="str">
        <x:v>m</x:v>
      </x:c>
      <x:c r="S1324" s="16"/>
      <x:c r="T1324" s="15"/>
      <x:c r="U1324" s="6"/>
      <x:c r="V1324" s="6"/>
      <x:c r="W1324" s="6" t="str">
        <x:v>Existing find_route and show_route implement the kit routing model.</x:v>
      </x:c>
      <x:c r="X1324" s="6" t="str">
        <x:v>data/train/swiss-3338/questions_basic.jsonl</x:v>
      </x:c>
      <x:c r="Y1324" s="14" t="n">
        <x:v>4</x:v>
      </x:c>
      <x:c r="Z1324" s="6" t="str">
        <x:v>https://github.com/hagenhaeussler/Industrial-Agents-Hackathon-2026/blob/f41616590b69f3ea0c1cbfb41d6c35edd9ce53df/data/train/swiss-3338/questions_basic.jsonl#L4</x:v>
      </x:c>
      <x:c r="AA1324" s="6" t="str">
        <x:v>swiss_dwellings</x:v>
      </x:c>
      <x:c r="AB1324" s="6" t="str">
        <x:v>CC-BY-4.0</x:v>
      </x:c>
    </x:row>
    <x:row r="1325" ht="138" customHeight="1">
      <x:c r="A1325" s="14" t="n">
        <x:v>1320</x:v>
      </x:c>
      <x:c r="B1325" s="6" t="str">
        <x:v>route</x:v>
      </x:c>
      <x:c r="C1325" s="6" t="str">
        <x:v>How do I get from Kitchen 2.14 (apartment 10) (Floor 2) to Bedroom 1.41 (apartment 8) (Floor 1)?</x:v>
      </x:c>
      <x:c r="D1325" s="6" t="str">
        <x:v>61.82 m
From: Kitchen 2.14 (apartment 10)
To: Bedroom 1.41 (apartment 8)
Ordered path (12 spaces): Kitchen 2.14 (apartment 10) → Living room 2.18 (apartment 10) → Corridor 2.13 (apartment 10) → Landing 2.22 → Stair hall 1.43 → Landing 0.40 → outside → Stair hall 0.37 → Stair hall 1.44 → Corridor 1.39 (apartment 8) → Corridor 1.36 (apartment 8) → Bedroom 1.41 (apartment 8)</x:v>
      </x:c>
      <x:c r="E1325" s="6" t="str">
        <x:v>Reference supplied</x:v>
      </x:c>
      <x:c r="F1325" s="6" t="str">
        <x:v>train</x:v>
      </x:c>
      <x:c r="G1325" s="6" t="str">
        <x:v>swiss-3338</x:v>
      </x:c>
      <x:c r="H1325" s="6" t="str">
        <x:v>swiss-3338-Q05</x:v>
      </x:c>
      <x:c r="I1325" s="6" t="str">
        <x:v>Route planning</x:v>
      </x:c>
      <x:c r="J1325" s="6" t="str">
        <x:v>Warm-up</x:v>
      </x:c>
      <x:c r="K1325" s="6" t="str">
        <x:v>Ordered space path and directions, plus total route-model distance in metres.</x:v>
      </x:c>
      <x:c r="L1325" s="6" t="str">
        <x:v>T02, T05, T13</x:v>
      </x:c>
      <x:c r="M1325" s="6" t="str">
        <x:v>Find a valid route between two rooms, including across floors.</x:v>
      </x:c>
      <x:c r="N1325" s="6" t="str">
        <x:v>{"from_space_id":"swiss-3338-F2-S014","to_space_id":"swiss-3338-F1-S041","optimal_length_m":61.82,"space_path":["swiss-3338-F2-S014","swiss-3338-F2-S018","swiss-3338-F2-S013","swiss-3338-F2-S022","swiss-3338-F1-S043","swiss-3338-F0-S040","outside","swiss-3338-F0-S037","swiss-3338-F1-S044","swiss-3338-F1-S039","swiss-3338-F1-S036","swiss-3338-F1-S041"],"element_path":["swiss-3338-F2-O0098","swiss-3338-F2-O0098","swiss-3338-F2-O0107","swiss-3338-F2-O0107","swiss-3338-F2-O0106","swiss-3338-F2-O0106","swiss-3338-V03","swiss-3338-V02","swiss-3338-F0-O0112","swiss-3338-F0-O0112","swiss-3338-F0-O0109","swiss-3338-F0-O0109","swiss-3338-V01","swiss-3338-F1-O0078","swiss-3338-F1-O0078","swiss-3338-F1-O0080","swiss-3338-F1-O0080","swiss-3338-F1-O0077","swiss-3338-F1-O0077"]}</x:v>
      </x:c>
      <x:c r="O1325" s="6"/>
      <x:c r="P1325" s="6" t="str">
        <x:v>README routing profile. Stairs and lifts allowed unless stated otherwise.</x:v>
      </x:c>
      <x:c r="Q1325" s="15" t="n">
        <x:v>61.82</x:v>
      </x:c>
      <x:c r="R1325" s="6" t="str">
        <x:v>m</x:v>
      </x:c>
      <x:c r="S1325" s="16"/>
      <x:c r="T1325" s="15"/>
      <x:c r="U1325" s="6"/>
      <x:c r="V1325" s="6"/>
      <x:c r="W1325" s="6" t="str">
        <x:v>Existing find_route and show_route implement the kit routing model.</x:v>
      </x:c>
      <x:c r="X1325" s="6" t="str">
        <x:v>data/train/swiss-3338/questions_basic.jsonl</x:v>
      </x:c>
      <x:c r="Y1325" s="14" t="n">
        <x:v>5</x:v>
      </x:c>
      <x:c r="Z1325" s="6" t="str">
        <x:v>https://github.com/hagenhaeussler/Industrial-Agents-Hackathon-2026/blob/f41616590b69f3ea0c1cbfb41d6c35edd9ce53df/data/train/swiss-3338/questions_basic.jsonl#L5</x:v>
      </x:c>
      <x:c r="AA1325" s="6" t="str">
        <x:v>swiss_dwellings</x:v>
      </x:c>
      <x:c r="AB1325" s="6" t="str">
        <x:v>CC-BY-4.0</x:v>
      </x:c>
    </x:row>
    <x:row r="1326" ht="110" customHeight="1">
      <x:c r="A1326" s="14" t="n">
        <x:v>1321</x:v>
      </x:c>
      <x:c r="B1326" s="6" t="str">
        <x:v>route</x:v>
      </x:c>
      <x:c r="C1326" s="6" t="str">
        <x:v>How do I get from Bedroom 1.10 (apartment 6) (Floor 1) to Bedroom 2.25 (apartment 10) (Floor 2)?</x:v>
      </x:c>
      <x:c r="D1326" s="6" t="str">
        <x:v>37.35 m
From: Bedroom 1.10 (apartment 6)
To: Bedroom 2.25 (apartment 10)
Ordered path (8 spaces): Bedroom 1.10 (apartment 6) → Corridor 1.11 (apartment 6) → Bedroom 1.06 (apartment 6) → Corridor 1.16 (apartment 6) → Landing 1.28 → Landing 2.29 → Bedroom 2.23 (apartment 10) → Bedroom 2.25 (apartment 10)</x:v>
      </x:c>
      <x:c r="E1326" s="6" t="str">
        <x:v>Reference supplied</x:v>
      </x:c>
      <x:c r="F1326" s="6" t="str">
        <x:v>train</x:v>
      </x:c>
      <x:c r="G1326" s="6" t="str">
        <x:v>swiss-3355</x:v>
      </x:c>
      <x:c r="H1326" s="6" t="str">
        <x:v>swiss-3355-Q04</x:v>
      </x:c>
      <x:c r="I1326" s="6" t="str">
        <x:v>Route planning</x:v>
      </x:c>
      <x:c r="J1326" s="6" t="str">
        <x:v>Warm-up</x:v>
      </x:c>
      <x:c r="K1326" s="6" t="str">
        <x:v>Ordered space path and directions, plus total route-model distance in metres.</x:v>
      </x:c>
      <x:c r="L1326" s="6" t="str">
        <x:v>T02, T05, T13</x:v>
      </x:c>
      <x:c r="M1326" s="6" t="str">
        <x:v>Find a valid route between two rooms, including across floors.</x:v>
      </x:c>
      <x:c r="N1326" s="6" t="str">
        <x:v>{"from_space_id":"swiss-3355-F1-S010","to_space_id":"swiss-3355-F2-S025","optimal_length_m":37.35,"space_path":["swiss-3355-F1-S010","swiss-3355-F1-S011","swiss-3355-F1-S006","swiss-3355-F1-S016","swiss-3355-F1-S028","swiss-3355-F2-S029","swiss-3355-F2-S023","swiss-3355-F2-S025"],"element_path":["swiss-3355-F1-O0045","swiss-3355-F1-O0045","swiss-3355-F1-O0061","swiss-3355-F1-O0061","swiss-3355-F1-O0060","swiss-3355-F1-O0060","swiss-3355-F1-O0039","swiss-3355-F1-O0039","swiss-3355-V01","swiss-3355-F2-O0083","swiss-3355-F2-O0083","swiss-3355-F2-O0087","swiss-3355-F2-O0087"]}</x:v>
      </x:c>
      <x:c r="O1326" s="6"/>
      <x:c r="P1326" s="6" t="str">
        <x:v>README routing profile. Stairs and lifts allowed unless stated otherwise.</x:v>
      </x:c>
      <x:c r="Q1326" s="15" t="n">
        <x:v>37.35</x:v>
      </x:c>
      <x:c r="R1326" s="6" t="str">
        <x:v>m</x:v>
      </x:c>
      <x:c r="S1326" s="16"/>
      <x:c r="T1326" s="15"/>
      <x:c r="U1326" s="6"/>
      <x:c r="V1326" s="6"/>
      <x:c r="W1326" s="6" t="str">
        <x:v>Existing find_route and show_route implement the kit routing model.</x:v>
      </x:c>
      <x:c r="X1326" s="6" t="str">
        <x:v>data/train/swiss-3355/questions_basic.jsonl</x:v>
      </x:c>
      <x:c r="Y1326" s="14" t="n">
        <x:v>4</x:v>
      </x:c>
      <x:c r="Z1326" s="6" t="str">
        <x:v>https://github.com/hagenhaeussler/Industrial-Agents-Hackathon-2026/blob/f41616590b69f3ea0c1cbfb41d6c35edd9ce53df/data/train/swiss-3355/questions_basic.jsonl#L4</x:v>
      </x:c>
      <x:c r="AA1326" s="6" t="str">
        <x:v>swiss_dwellings</x:v>
      </x:c>
      <x:c r="AB1326" s="6" t="str">
        <x:v>CC-BY-4.0</x:v>
      </x:c>
    </x:row>
    <x:row r="1327" ht="124" customHeight="1">
      <x:c r="A1327" s="14" t="n">
        <x:v>1322</x:v>
      </x:c>
      <x:c r="B1327" s="6" t="str">
        <x:v>route</x:v>
      </x:c>
      <x:c r="C1327" s="6" t="str">
        <x:v>How do I get from Bathroom 1.09 (apartment 6) (Floor 1) to Bedroom 3.25 (apartment 13) (Floor 3)?</x:v>
      </x:c>
      <x:c r="D1327" s="6" t="str">
        <x:v>43.83 m
From: Bathroom 1.09 (apartment 6)
To: Bedroom 3.25 (apartment 13)
Ordered path (10 spaces): Bathroom 1.09 (apartment 6) → Corridor 1.16 (apartment 6) → Landing 1.28 → Landing 1.29 → Landing 2.28 → Landing 3.29 → Corridor 3.18 (apartment 13) → Bedroom 3.24 (apartment 13) → Corridor 3.21 (apartment 13) → Bedroom 3.25 (apartment 13)</x:v>
      </x:c>
      <x:c r="E1327" s="6" t="str">
        <x:v>Reference supplied</x:v>
      </x:c>
      <x:c r="F1327" s="6" t="str">
        <x:v>train</x:v>
      </x:c>
      <x:c r="G1327" s="6" t="str">
        <x:v>swiss-3355</x:v>
      </x:c>
      <x:c r="H1327" s="6" t="str">
        <x:v>swiss-3355-Q05</x:v>
      </x:c>
      <x:c r="I1327" s="6" t="str">
        <x:v>Route planning</x:v>
      </x:c>
      <x:c r="J1327" s="6" t="str">
        <x:v>Warm-up</x:v>
      </x:c>
      <x:c r="K1327" s="6" t="str">
        <x:v>Ordered space path and directions, plus total route-model distance in metres.</x:v>
      </x:c>
      <x:c r="L1327" s="6" t="str">
        <x:v>T02, T05, T13</x:v>
      </x:c>
      <x:c r="M1327" s="6" t="str">
        <x:v>Find a valid route between two rooms, including across floors.</x:v>
      </x:c>
      <x:c r="N1327" s="6" t="str">
        <x:v>{"from_space_id":"swiss-3355-F1-S009","to_space_id":"swiss-3355-F3-S025","optimal_length_m":43.83,"space_path":["swiss-3355-F1-S009","swiss-3355-F1-S016","swiss-3355-F1-S028","swiss-3355-F1-S029","swiss-3355-F2-S028","swiss-3355-F3-S029","swiss-3355-F3-S018","swiss-3355-F3-S024","swiss-3355-F3-S021","swiss-3355-F3-S025"],"element_path":["swiss-3355-F1-O0038","swiss-3355-F1-O0038","swiss-3355-F1-O0039","swiss-3355-F1-O0039","swiss-3355-F1-O0036","swiss-3355-F1-O0036","swiss-3355-V04","swiss-3355-V05","swiss-3355-F3-O0111","swiss-3355-F3-O0111","swiss-3355-F3-O0120","swiss-3355-F3-O0120","swiss-3355-F3-O0121","swiss-3355-F3-O0121","swiss-3355-F3-O0112","swiss-3355-F3-O0112"]}</x:v>
      </x:c>
      <x:c r="O1327" s="6"/>
      <x:c r="P1327" s="6" t="str">
        <x:v>README routing profile. Stairs and lifts allowed unless stated otherwise.</x:v>
      </x:c>
      <x:c r="Q1327" s="15" t="n">
        <x:v>43.83</x:v>
      </x:c>
      <x:c r="R1327" s="6" t="str">
        <x:v>m</x:v>
      </x:c>
      <x:c r="S1327" s="16"/>
      <x:c r="T1327" s="15"/>
      <x:c r="U1327" s="6"/>
      <x:c r="V1327" s="6"/>
      <x:c r="W1327" s="6" t="str">
        <x:v>Existing find_route and show_route implement the kit routing model.</x:v>
      </x:c>
      <x:c r="X1327" s="6" t="str">
        <x:v>data/train/swiss-3355/questions_basic.jsonl</x:v>
      </x:c>
      <x:c r="Y1327" s="14" t="n">
        <x:v>5</x:v>
      </x:c>
      <x:c r="Z1327" s="6" t="str">
        <x:v>https://github.com/hagenhaeussler/Industrial-Agents-Hackathon-2026/blob/f41616590b69f3ea0c1cbfb41d6c35edd9ce53df/data/train/swiss-3355/questions_basic.jsonl#L5</x:v>
      </x:c>
      <x:c r="AA1327" s="6" t="str">
        <x:v>swiss_dwellings</x:v>
      </x:c>
      <x:c r="AB1327" s="6" t="str">
        <x:v>CC-BY-4.0</x:v>
      </x:c>
    </x:row>
    <x:row r="1328" ht="124" customHeight="1">
      <x:c r="A1328" s="14" t="n">
        <x:v>1323</x:v>
      </x:c>
      <x:c r="B1328" s="6" t="str">
        <x:v>route</x:v>
      </x:c>
      <x:c r="C1328" s="6" t="str">
        <x:v>How do I get from Bathroom 0.03 (apartment 2) (Ground floor) to Bedroom 0.22 (apartment 3) (Ground floor)?</x:v>
      </x:c>
      <x:c r="D1328" s="6" t="str">
        <x:v>16.72 m
From: Bathroom 0.03 (apartment 2)
To: Bedroom 0.22 (apartment 3)
Ordered path (9 spaces): Bathroom 0.03 (apartment 2) → Corridor 0.09 (apartment 2) → Landing 0.28 → outside → Landing 0.29 → Corridor 0.14 (apartment 3) → Bedroom 0.16 (apartment 3) → Corridor 0.12 (apartment 3) → Bedroom 0.22 (apartment 3)</x:v>
      </x:c>
      <x:c r="E1328" s="6" t="str">
        <x:v>Reference supplied</x:v>
      </x:c>
      <x:c r="F1328" s="6" t="str">
        <x:v>train</x:v>
      </x:c>
      <x:c r="G1328" s="6" t="str">
        <x:v>swiss-3355</x:v>
      </x:c>
      <x:c r="H1328" s="6" t="str">
        <x:v>swiss-3355-Q06</x:v>
      </x:c>
      <x:c r="I1328" s="6" t="str">
        <x:v>Route planning</x:v>
      </x:c>
      <x:c r="J1328" s="6" t="str">
        <x:v>Warm-up</x:v>
      </x:c>
      <x:c r="K1328" s="6" t="str">
        <x:v>Ordered space path and directions, plus total route-model distance in metres.</x:v>
      </x:c>
      <x:c r="L1328" s="6" t="str">
        <x:v>T02, T05, T13</x:v>
      </x:c>
      <x:c r="M1328" s="6" t="str">
        <x:v>Find a valid route between two rooms, including across floors.</x:v>
      </x:c>
      <x:c r="N1328" s="6" t="str">
        <x:v>{"from_space_id":"swiss-3355-F0-S003","to_space_id":"swiss-3355-F0-S022","optimal_length_m":16.72,"space_path":["swiss-3355-F0-S003","swiss-3355-F0-S009","swiss-3355-F0-S028","outside","swiss-3355-F0-S029","swiss-3355-F0-S014","swiss-3355-F0-S016","swiss-3355-F0-S012","swiss-3355-F0-S022"],"element_path":["swiss-3355-F0-O0014","swiss-3355-F0-O0014","swiss-3355-F0-O0009","swiss-3355-F0-O0009","swiss-3355-F0-O0123","swiss-3355-F0-O0123","swiss-3355-F0-O0124","swiss-3355-F0-O0124","swiss-3355-F0-O0016","swiss-3355-F0-O0016","swiss-3355-F0-O0034","swiss-3355-F0-O0034","swiss-3355-F0-O0033","swiss-3355-F0-O0033","swiss-3355-F0-O0017","swiss-3355-F0-O0017"]}</x:v>
      </x:c>
      <x:c r="O1328" s="6"/>
      <x:c r="P1328" s="6" t="str">
        <x:v>README routing profile. Stairs and lifts allowed unless stated otherwise.</x:v>
      </x:c>
      <x:c r="Q1328" s="15" t="n">
        <x:v>16.72</x:v>
      </x:c>
      <x:c r="R1328" s="6" t="str">
        <x:v>m</x:v>
      </x:c>
      <x:c r="S1328" s="16"/>
      <x:c r="T1328" s="15"/>
      <x:c r="U1328" s="6"/>
      <x:c r="V1328" s="6"/>
      <x:c r="W1328" s="6" t="str">
        <x:v>Existing find_route and show_route implement the kit routing model.</x:v>
      </x:c>
      <x:c r="X1328" s="6" t="str">
        <x:v>data/train/swiss-3355/questions_basic.jsonl</x:v>
      </x:c>
      <x:c r="Y1328" s="14" t="n">
        <x:v>6</x:v>
      </x:c>
      <x:c r="Z1328" s="6" t="str">
        <x:v>https://github.com/hagenhaeussler/Industrial-Agents-Hackathon-2026/blob/f41616590b69f3ea0c1cbfb41d6c35edd9ce53df/data/train/swiss-3355/questions_basic.jsonl#L6</x:v>
      </x:c>
      <x:c r="AA1328" s="6" t="str">
        <x:v>swiss_dwellings</x:v>
      </x:c>
      <x:c r="AB1328" s="6" t="str">
        <x:v>CC-BY-4.0</x:v>
      </x:c>
    </x:row>
    <x:row r="1329" ht="96" customHeight="1">
      <x:c r="A1329" s="14" t="n">
        <x:v>1324</x:v>
      </x:c>
      <x:c r="B1329" s="6" t="str">
        <x:v>route</x:v>
      </x:c>
      <x:c r="C1329" s="6" t="str">
        <x:v>How do I get from Bedroom 3.11 (apartment 8) (Floor 3) to Bedroom 0.19 (apartment 2) (Ground floor)?</x:v>
      </x:c>
      <x:c r="D1329" s="6" t="str">
        <x:v>50.72 m
From: Bedroom 3.11 (apartment 8)
To: Bedroom 0.19 (apartment 2)
Ordered path (8 spaces): Bedroom 3.11 (apartment 8) → Corridor 3.08 (apartment 8) → Stair hall 3.15 → Stair hall 2.23 → Stair hall 1.21 → Stair hall 0.21 → Corridor 0.14 (apartment 2) → Bedroom 0.19 (apartment 2)</x:v>
      </x:c>
      <x:c r="E1329" s="6" t="str">
        <x:v>Reference supplied</x:v>
      </x:c>
      <x:c r="F1329" s="6" t="str">
        <x:v>train</x:v>
      </x:c>
      <x:c r="G1329" s="6" t="str">
        <x:v>swiss-3418</x:v>
      </x:c>
      <x:c r="H1329" s="6" t="str">
        <x:v>swiss-3418-Q03</x:v>
      </x:c>
      <x:c r="I1329" s="6" t="str">
        <x:v>Route planning</x:v>
      </x:c>
      <x:c r="J1329" s="6" t="str">
        <x:v>Warm-up</x:v>
      </x:c>
      <x:c r="K1329" s="6" t="str">
        <x:v>Ordered space path and directions, plus total route-model distance in metres.</x:v>
      </x:c>
      <x:c r="L1329" s="6" t="str">
        <x:v>T02, T05, T13</x:v>
      </x:c>
      <x:c r="M1329" s="6" t="str">
        <x:v>Find a valid route between two rooms, including across floors.</x:v>
      </x:c>
      <x:c r="N1329" s="6" t="str">
        <x:v>{"from_space_id":"swiss-3418-F3-S011","to_space_id":"swiss-3418-F0-S019","optimal_length_m":50.72,"space_path":["swiss-3418-F3-S011","swiss-3418-F3-S008","swiss-3418-F3-S015","swiss-3418-F2-S023","swiss-3418-F1-S021","swiss-3418-F0-S021","swiss-3418-F0-S014","swiss-3418-F0-S019"],"element_path":["swiss-3418-F3-O0096","swiss-3418-F3-O0096","swiss-3418-F3-O0088","swiss-3418-F3-O0088","swiss-3418-V01","swiss-3418-V01","swiss-3418-V01","swiss-3418-F0-O0020","swiss-3418-F0-O0020","swiss-3418-F0-O0019","swiss-3418-F0-O0019"]}</x:v>
      </x:c>
      <x:c r="O1329" s="6"/>
      <x:c r="P1329" s="6" t="str">
        <x:v>README routing profile. Stairs and lifts allowed unless stated otherwise.</x:v>
      </x:c>
      <x:c r="Q1329" s="15" t="n">
        <x:v>50.72</x:v>
      </x:c>
      <x:c r="R1329" s="6" t="str">
        <x:v>m</x:v>
      </x:c>
      <x:c r="S1329" s="16"/>
      <x:c r="T1329" s="15"/>
      <x:c r="U1329" s="6"/>
      <x:c r="V1329" s="6"/>
      <x:c r="W1329" s="6" t="str">
        <x:v>Existing find_route and show_route implement the kit routing model.</x:v>
      </x:c>
      <x:c r="X1329" s="6" t="str">
        <x:v>data/train/swiss-3418/questions_basic.jsonl</x:v>
      </x:c>
      <x:c r="Y1329" s="14" t="n">
        <x:v>3</x:v>
      </x:c>
      <x:c r="Z1329" s="6" t="str">
        <x:v>https://github.com/hagenhaeussler/Industrial-Agents-Hackathon-2026/blob/f41616590b69f3ea0c1cbfb41d6c35edd9ce53df/data/train/swiss-3418/questions_basic.jsonl#L3</x:v>
      </x:c>
      <x:c r="AA1329" s="6" t="str">
        <x:v>swiss_dwellings</x:v>
      </x:c>
      <x:c r="AB1329" s="6" t="str">
        <x:v>CC-BY-4.0</x:v>
      </x:c>
    </x:row>
    <x:row r="1330" ht="96" customHeight="1">
      <x:c r="A1330" s="14" t="n">
        <x:v>1325</x:v>
      </x:c>
      <x:c r="B1330" s="6" t="str">
        <x:v>route</x:v>
      </x:c>
      <x:c r="C1330" s="6" t="str">
        <x:v>How do I get from Bedroom 2.08 (apartment 5) (Floor 2) to Storage 2.18 (apartment 6) (Floor 2)?</x:v>
      </x:c>
      <x:c r="D1330" s="6" t="str">
        <x:v>21.2 m
From: Bedroom 2.08 (apartment 5)
To: Storage 2.18 (apartment 6)
Ordered path (6 spaces): Bedroom 2.08 (apartment 5) → Corridor 2.06 (apartment 5) → Stair hall 2.23 → Corridor 2.15 (apartment 6) → Kitchen 2.17 (apartment 6) → Storage 2.18 (apartment 6)</x:v>
      </x:c>
      <x:c r="E1330" s="6" t="str">
        <x:v>Reference supplied</x:v>
      </x:c>
      <x:c r="F1330" s="6" t="str">
        <x:v>train</x:v>
      </x:c>
      <x:c r="G1330" s="6" t="str">
        <x:v>swiss-3418</x:v>
      </x:c>
      <x:c r="H1330" s="6" t="str">
        <x:v>swiss-3418-Q04</x:v>
      </x:c>
      <x:c r="I1330" s="6" t="str">
        <x:v>Route planning</x:v>
      </x:c>
      <x:c r="J1330" s="6" t="str">
        <x:v>Warm-up</x:v>
      </x:c>
      <x:c r="K1330" s="6" t="str">
        <x:v>Ordered space path and directions, plus total route-model distance in metres.</x:v>
      </x:c>
      <x:c r="L1330" s="6" t="str">
        <x:v>T02, T05, T13</x:v>
      </x:c>
      <x:c r="M1330" s="6" t="str">
        <x:v>Find a valid route between two rooms, including across floors.</x:v>
      </x:c>
      <x:c r="N1330" s="6" t="str">
        <x:v>{"from_space_id":"swiss-3418-F2-S008","to_space_id":"swiss-3418-F2-S018","optimal_length_m":21.2,"space_path":["swiss-3418-F2-S008","swiss-3418-F2-S006","swiss-3418-F2-S023","swiss-3418-F2-S015","swiss-3418-F2-S017","swiss-3418-F2-S018"],"element_path":["swiss-3418-F2-O0061","swiss-3418-F2-O0061","swiss-3418-F2-O0057","swiss-3418-F2-O0057","swiss-3418-F2-O0079","swiss-3418-F2-O0079","swiss-3418-F2-O0071","swiss-3418-F2-O0071","swiss-3418-F2-O0080","swiss-3418-F2-O0080"]}</x:v>
      </x:c>
      <x:c r="O1330" s="6"/>
      <x:c r="P1330" s="6" t="str">
        <x:v>README routing profile. Stairs and lifts allowed unless stated otherwise.</x:v>
      </x:c>
      <x:c r="Q1330" s="15" t="n">
        <x:v>21.2</x:v>
      </x:c>
      <x:c r="R1330" s="6" t="str">
        <x:v>m</x:v>
      </x:c>
      <x:c r="S1330" s="16"/>
      <x:c r="T1330" s="15"/>
      <x:c r="U1330" s="6"/>
      <x:c r="V1330" s="6"/>
      <x:c r="W1330" s="6" t="str">
        <x:v>Existing find_route and show_route implement the kit routing model.</x:v>
      </x:c>
      <x:c r="X1330" s="6" t="str">
        <x:v>data/train/swiss-3418/questions_basic.jsonl</x:v>
      </x:c>
      <x:c r="Y1330" s="14" t="n">
        <x:v>4</x:v>
      </x:c>
      <x:c r="Z1330" s="6" t="str">
        <x:v>https://github.com/hagenhaeussler/Industrial-Agents-Hackathon-2026/blob/f41616590b69f3ea0c1cbfb41d6c35edd9ce53df/data/train/swiss-3418/questions_basic.jsonl#L4</x:v>
      </x:c>
      <x:c r="AA1330" s="6" t="str">
        <x:v>swiss_dwellings</x:v>
      </x:c>
      <x:c r="AB1330" s="6" t="str">
        <x:v>CC-BY-4.0</x:v>
      </x:c>
    </x:row>
    <x:row r="1331" ht="96" customHeight="1">
      <x:c r="A1331" s="14" t="n">
        <x:v>1326</x:v>
      </x:c>
      <x:c r="B1331" s="6" t="str">
        <x:v>route</x:v>
      </x:c>
      <x:c r="C1331" s="6" t="str">
        <x:v>How do I get from Bedroom 2.12 (apartment 6) (Floor 2) to Kitchen 2.09 (apartment 5) (Floor 2)?</x:v>
      </x:c>
      <x:c r="D1331" s="6" t="str">
        <x:v>18.79 m
From: Bedroom 2.12 (apartment 6)
To: Kitchen 2.09 (apartment 5)
Ordered path (5 spaces): Bedroom 2.12 (apartment 6) → Corridor 2.15 (apartment 6) → Stair hall 2.23 → Corridor 2.06 (apartment 5) → Kitchen 2.09 (apartment 5)</x:v>
      </x:c>
      <x:c r="E1331" s="6" t="str">
        <x:v>Reference supplied</x:v>
      </x:c>
      <x:c r="F1331" s="6" t="str">
        <x:v>train</x:v>
      </x:c>
      <x:c r="G1331" s="6" t="str">
        <x:v>swiss-3418</x:v>
      </x:c>
      <x:c r="H1331" s="6" t="str">
        <x:v>swiss-3418-Q05</x:v>
      </x:c>
      <x:c r="I1331" s="6" t="str">
        <x:v>Route planning</x:v>
      </x:c>
      <x:c r="J1331" s="6" t="str">
        <x:v>Warm-up</x:v>
      </x:c>
      <x:c r="K1331" s="6" t="str">
        <x:v>Ordered space path and directions, plus total route-model distance in metres.</x:v>
      </x:c>
      <x:c r="L1331" s="6" t="str">
        <x:v>T02, T05, T13</x:v>
      </x:c>
      <x:c r="M1331" s="6" t="str">
        <x:v>Find a valid route between two rooms, including across floors.</x:v>
      </x:c>
      <x:c r="N1331" s="6" t="str">
        <x:v>{"from_space_id":"swiss-3418-F2-S012","to_space_id":"swiss-3418-F2-S009","optimal_length_m":18.79,"space_path":["swiss-3418-F2-S012","swiss-3418-F2-S015","swiss-3418-F2-S023","swiss-3418-F2-S006","swiss-3418-F2-S009"],"element_path":["swiss-3418-F2-O0077","swiss-3418-F2-O0077","swiss-3418-F2-O0079","swiss-3418-F2-O0079","swiss-3418-F2-O0057","swiss-3418-F2-O0057","swiss-3418-F2-O0060","swiss-3418-F2-O0060"]}</x:v>
      </x:c>
      <x:c r="O1331" s="6"/>
      <x:c r="P1331" s="6" t="str">
        <x:v>README routing profile. Stairs and lifts allowed unless stated otherwise.</x:v>
      </x:c>
      <x:c r="Q1331" s="15" t="n">
        <x:v>18.79</x:v>
      </x:c>
      <x:c r="R1331" s="6" t="str">
        <x:v>m</x:v>
      </x:c>
      <x:c r="S1331" s="16"/>
      <x:c r="T1331" s="15"/>
      <x:c r="U1331" s="6"/>
      <x:c r="V1331" s="6"/>
      <x:c r="W1331" s="6" t="str">
        <x:v>Existing find_route and show_route implement the kit routing model.</x:v>
      </x:c>
      <x:c r="X1331" s="6" t="str">
        <x:v>data/train/swiss-3418/questions_basic.jsonl</x:v>
      </x:c>
      <x:c r="Y1331" s="14" t="n">
        <x:v>5</x:v>
      </x:c>
      <x:c r="Z1331" s="6" t="str">
        <x:v>https://github.com/hagenhaeussler/Industrial-Agents-Hackathon-2026/blob/f41616590b69f3ea0c1cbfb41d6c35edd9ce53df/data/train/swiss-3418/questions_basic.jsonl#L5</x:v>
      </x:c>
      <x:c r="AA1331" s="6" t="str">
        <x:v>swiss_dwellings</x:v>
      </x:c>
      <x:c r="AB1331" s="6" t="str">
        <x:v>CC-BY-4.0</x:v>
      </x:c>
    </x:row>
    <x:row r="1332" ht="82" customHeight="1">
      <x:c r="A1332" s="14" t="n">
        <x:v>1327</x:v>
      </x:c>
      <x:c r="B1332" s="6" t="str">
        <x:v>route</x:v>
      </x:c>
      <x:c r="C1332" s="6" t="str">
        <x:v>How do I get from Bedroom 0.02 (apartment 1) (Ground floor) to Bedroom 0.01 (apartment 1) (Ground floor)?</x:v>
      </x:c>
      <x:c r="D1332" s="6" t="str">
        <x:v>9.77 m
From: Bedroom 0.02 (apartment 1)
To: Bedroom 0.01 (apartment 1)
Ordered path (3 spaces): Bedroom 0.02 (apartment 1) → Corridor 0.06 (apartment 1) → Bedroom 0.01 (apartment 1)</x:v>
      </x:c>
      <x:c r="E1332" s="6" t="str">
        <x:v>Reference supplied</x:v>
      </x:c>
      <x:c r="F1332" s="6" t="str">
        <x:v>train</x:v>
      </x:c>
      <x:c r="G1332" s="6" t="str">
        <x:v>swiss-373</x:v>
      </x:c>
      <x:c r="H1332" s="6" t="str">
        <x:v>swiss-373-Q05</x:v>
      </x:c>
      <x:c r="I1332" s="6" t="str">
        <x:v>Route planning</x:v>
      </x:c>
      <x:c r="J1332" s="6" t="str">
        <x:v>Warm-up</x:v>
      </x:c>
      <x:c r="K1332" s="6" t="str">
        <x:v>Ordered space path and directions, plus total route-model distance in metres.</x:v>
      </x:c>
      <x:c r="L1332" s="6" t="str">
        <x:v>T02, T05, T13</x:v>
      </x:c>
      <x:c r="M1332" s="6" t="str">
        <x:v>Find a valid route between two rooms, including across floors.</x:v>
      </x:c>
      <x:c r="N1332" s="6" t="str">
        <x:v>{"from_space_id":"swiss-373-F0-S002","to_space_id":"swiss-373-F0-S001","optimal_length_m":9.77,"space_path":["swiss-373-F0-S002","swiss-373-F0-S006","swiss-373-F0-S001"],"element_path":["swiss-373-F0-O0005","swiss-373-F0-O0005","swiss-373-F0-O0009","swiss-373-F0-O0009"]}</x:v>
      </x:c>
      <x:c r="O1332" s="6"/>
      <x:c r="P1332" s="6" t="str">
        <x:v>README routing profile. Stairs and lifts allowed unless stated otherwise.</x:v>
      </x:c>
      <x:c r="Q1332" s="15" t="n">
        <x:v>9.77</x:v>
      </x:c>
      <x:c r="R1332" s="6" t="str">
        <x:v>m</x:v>
      </x:c>
      <x:c r="S1332" s="16"/>
      <x:c r="T1332" s="15"/>
      <x:c r="U1332" s="6"/>
      <x:c r="V1332" s="6"/>
      <x:c r="W1332" s="6" t="str">
        <x:v>Existing find_route and show_route implement the kit routing model.</x:v>
      </x:c>
      <x:c r="X1332" s="6" t="str">
        <x:v>data/train/swiss-373/questions_basic.jsonl</x:v>
      </x:c>
      <x:c r="Y1332" s="14" t="n">
        <x:v>5</x:v>
      </x:c>
      <x:c r="Z1332" s="6" t="str">
        <x:v>https://github.com/hagenhaeussler/Industrial-Agents-Hackathon-2026/blob/f41616590b69f3ea0c1cbfb41d6c35edd9ce53df/data/train/swiss-373/questions_basic.jsonl#L5</x:v>
      </x:c>
      <x:c r="AA1332" s="6" t="str">
        <x:v>swiss_dwellings</x:v>
      </x:c>
      <x:c r="AB1332" s="6" t="str">
        <x:v>CC-BY-4.0</x:v>
      </x:c>
    </x:row>
    <x:row r="1333" ht="82" customHeight="1">
      <x:c r="A1333" s="14" t="n">
        <x:v>1328</x:v>
      </x:c>
      <x:c r="B1333" s="6" t="str">
        <x:v>route</x:v>
      </x:c>
      <x:c r="C1333" s="6" t="str">
        <x:v>How do I get from Bedroom 1.08 (apartment 2) (Floor 1) to Bedroom 1.01 (apartment 2) (Floor 1)?</x:v>
      </x:c>
      <x:c r="D1333" s="6" t="str">
        <x:v>9.44 m
From: Bedroom 1.08 (apartment 2)
To: Bedroom 1.01 (apartment 2)
Ordered path (3 spaces): Bedroom 1.08 (apartment 2) → Corridor 1.05 (apartment 2) → Bedroom 1.01 (apartment 2)</x:v>
      </x:c>
      <x:c r="E1333" s="6" t="str">
        <x:v>Reference supplied</x:v>
      </x:c>
      <x:c r="F1333" s="6" t="str">
        <x:v>train</x:v>
      </x:c>
      <x:c r="G1333" s="6" t="str">
        <x:v>swiss-373</x:v>
      </x:c>
      <x:c r="H1333" s="6" t="str">
        <x:v>swiss-373-Q06</x:v>
      </x:c>
      <x:c r="I1333" s="6" t="str">
        <x:v>Route planning</x:v>
      </x:c>
      <x:c r="J1333" s="6" t="str">
        <x:v>Warm-up</x:v>
      </x:c>
      <x:c r="K1333" s="6" t="str">
        <x:v>Ordered space path and directions, plus total route-model distance in metres.</x:v>
      </x:c>
      <x:c r="L1333" s="6" t="str">
        <x:v>T02, T05, T13</x:v>
      </x:c>
      <x:c r="M1333" s="6" t="str">
        <x:v>Find a valid route between two rooms, including across floors.</x:v>
      </x:c>
      <x:c r="N1333" s="6" t="str">
        <x:v>{"from_space_id":"swiss-373-F1-S008","to_space_id":"swiss-373-F1-S001","optimal_length_m":9.44,"space_path":["swiss-373-F1-S008","swiss-373-F1-S005","swiss-373-F1-S001"],"element_path":["swiss-373-F1-O0015","swiss-373-F1-O0015","swiss-373-F1-O0012","swiss-373-F1-O0012"]}</x:v>
      </x:c>
      <x:c r="O1333" s="6"/>
      <x:c r="P1333" s="6" t="str">
        <x:v>README routing profile. Stairs and lifts allowed unless stated otherwise.</x:v>
      </x:c>
      <x:c r="Q1333" s="15" t="n">
        <x:v>9.44</x:v>
      </x:c>
      <x:c r="R1333" s="6" t="str">
        <x:v>m</x:v>
      </x:c>
      <x:c r="S1333" s="16"/>
      <x:c r="T1333" s="15"/>
      <x:c r="U1333" s="6"/>
      <x:c r="V1333" s="6"/>
      <x:c r="W1333" s="6" t="str">
        <x:v>Existing find_route and show_route implement the kit routing model.</x:v>
      </x:c>
      <x:c r="X1333" s="6" t="str">
        <x:v>data/train/swiss-373/questions_basic.jsonl</x:v>
      </x:c>
      <x:c r="Y1333" s="14" t="n">
        <x:v>6</x:v>
      </x:c>
      <x:c r="Z1333" s="6" t="str">
        <x:v>https://github.com/hagenhaeussler/Industrial-Agents-Hackathon-2026/blob/f41616590b69f3ea0c1cbfb41d6c35edd9ce53df/data/train/swiss-373/questions_basic.jsonl#L6</x:v>
      </x:c>
      <x:c r="AA1333" s="6" t="str">
        <x:v>swiss_dwellings</x:v>
      </x:c>
      <x:c r="AB1333" s="6" t="str">
        <x:v>CC-BY-4.0</x:v>
      </x:c>
    </x:row>
    <x:row r="1334" ht="82" customHeight="1">
      <x:c r="A1334" s="14" t="n">
        <x:v>1329</x:v>
      </x:c>
      <x:c r="B1334" s="6" t="str">
        <x:v>route</x:v>
      </x:c>
      <x:c r="C1334" s="6" t="str">
        <x:v>How do I get from Bedroom 2.04 (apartment 3) (Floor 2) to Bedroom 2.07 (apartment 3) (Floor 2)?</x:v>
      </x:c>
      <x:c r="D1334" s="6" t="str">
        <x:v>10.33 m
From: Bedroom 2.04 (apartment 3)
To: Bedroom 2.07 (apartment 3)
Ordered path (3 spaces): Bedroom 2.04 (apartment 3) → Corridor 2.05 (apartment 3) → Bedroom 2.07 (apartment 3)</x:v>
      </x:c>
      <x:c r="E1334" s="6" t="str">
        <x:v>Reference supplied</x:v>
      </x:c>
      <x:c r="F1334" s="6" t="str">
        <x:v>train</x:v>
      </x:c>
      <x:c r="G1334" s="6" t="str">
        <x:v>swiss-373</x:v>
      </x:c>
      <x:c r="H1334" s="6" t="str">
        <x:v>swiss-373-Q07</x:v>
      </x:c>
      <x:c r="I1334" s="6" t="str">
        <x:v>Route planning</x:v>
      </x:c>
      <x:c r="J1334" s="6" t="str">
        <x:v>Warm-up</x:v>
      </x:c>
      <x:c r="K1334" s="6" t="str">
        <x:v>Ordered space path and directions, plus total route-model distance in metres.</x:v>
      </x:c>
      <x:c r="L1334" s="6" t="str">
        <x:v>T02, T05, T13</x:v>
      </x:c>
      <x:c r="M1334" s="6" t="str">
        <x:v>Find a valid route between two rooms, including across floors.</x:v>
      </x:c>
      <x:c r="N1334" s="6" t="str">
        <x:v>{"from_space_id":"swiss-373-F2-S004","to_space_id":"swiss-373-F2-S007","optimal_length_m":10.33,"space_path":["swiss-373-F2-S004","swiss-373-F2-S005","swiss-373-F2-S007"],"element_path":["swiss-373-F2-O0024","swiss-373-F2-O0024","swiss-373-F2-O0025","swiss-373-F2-O0025"]}</x:v>
      </x:c>
      <x:c r="O1334" s="6"/>
      <x:c r="P1334" s="6" t="str">
        <x:v>README routing profile. Stairs and lifts allowed unless stated otherwise.</x:v>
      </x:c>
      <x:c r="Q1334" s="15" t="n">
        <x:v>10.33</x:v>
      </x:c>
      <x:c r="R1334" s="6" t="str">
        <x:v>m</x:v>
      </x:c>
      <x:c r="S1334" s="16"/>
      <x:c r="T1334" s="15"/>
      <x:c r="U1334" s="6"/>
      <x:c r="V1334" s="6"/>
      <x:c r="W1334" s="6" t="str">
        <x:v>Existing find_route and show_route implement the kit routing model.</x:v>
      </x:c>
      <x:c r="X1334" s="6" t="str">
        <x:v>data/train/swiss-373/questions_basic.jsonl</x:v>
      </x:c>
      <x:c r="Y1334" s="14" t="n">
        <x:v>7</x:v>
      </x:c>
      <x:c r="Z1334" s="6" t="str">
        <x:v>https://github.com/hagenhaeussler/Industrial-Agents-Hackathon-2026/blob/f41616590b69f3ea0c1cbfb41d6c35edd9ce53df/data/train/swiss-373/questions_basic.jsonl#L7</x:v>
      </x:c>
      <x:c r="AA1334" s="6" t="str">
        <x:v>swiss_dwellings</x:v>
      </x:c>
      <x:c r="AB1334" s="6" t="str">
        <x:v>CC-BY-4.0</x:v>
      </x:c>
    </x:row>
    <x:row r="1335" ht="110" customHeight="1">
      <x:c r="A1335" s="14" t="n">
        <x:v>1330</x:v>
      </x:c>
      <x:c r="B1335" s="6" t="str">
        <x:v>route</x:v>
      </x:c>
      <x:c r="C1335" s="6" t="str">
        <x:v>How do I get from Bathroom 4.04 (apartment 5) (Floor 4) to Bathroom 3.08 (apartment 4) (Floor 3)?</x:v>
      </x:c>
      <x:c r="D1335" s="6" t="str">
        <x:v>30.89 m
From: Bathroom 4.04 (apartment 5)
To: Bathroom 3.08 (apartment 4)
Ordered path (8 spaces): Bathroom 4.04 (apartment 5) → Bedroom 4.01 (apartment 5) → Corridor 4.06 (apartment 5) → Corridor 4.08 (apartment 5) → Landing 4.09 → Landing 3.09 → Corridor 3.01 (apartment 4) → Bathroom 3.08 (apartment 4)</x:v>
      </x:c>
      <x:c r="E1335" s="6" t="str">
        <x:v>Reference supplied</x:v>
      </x:c>
      <x:c r="F1335" s="6" t="str">
        <x:v>train</x:v>
      </x:c>
      <x:c r="G1335" s="6" t="str">
        <x:v>swiss-390</x:v>
      </x:c>
      <x:c r="H1335" s="6" t="str">
        <x:v>swiss-390-Q05</x:v>
      </x:c>
      <x:c r="I1335" s="6" t="str">
        <x:v>Route planning</x:v>
      </x:c>
      <x:c r="J1335" s="6" t="str">
        <x:v>Warm-up</x:v>
      </x:c>
      <x:c r="K1335" s="6" t="str">
        <x:v>Ordered space path and directions, plus total route-model distance in metres.</x:v>
      </x:c>
      <x:c r="L1335" s="6" t="str">
        <x:v>T02, T05, T13</x:v>
      </x:c>
      <x:c r="M1335" s="6" t="str">
        <x:v>Find a valid route between two rooms, including across floors.</x:v>
      </x:c>
      <x:c r="N1335" s="6" t="str">
        <x:v>{"from_space_id":"swiss-390-F4-S004","to_space_id":"swiss-390-F3-S008","optimal_length_m":30.89,"space_path":["swiss-390-F4-S004","swiss-390-F4-S001","swiss-390-F4-S006","swiss-390-F4-S008","swiss-390-F4-S009","swiss-390-F3-S009","swiss-390-F3-S001","swiss-390-F3-S008"],"element_path":["swiss-390-F4-O0036","swiss-390-F4-O0036","swiss-390-F4-O0037","swiss-390-F4-O0037","swiss-390-F4-O0042","swiss-390-F4-O0042","swiss-390-F4-O0035","swiss-390-F4-O0035","swiss-390-V01","swiss-390-F3-O0034","swiss-390-F3-O0034","swiss-390-F3-O0031","swiss-390-F3-O0031"]}</x:v>
      </x:c>
      <x:c r="O1335" s="6"/>
      <x:c r="P1335" s="6" t="str">
        <x:v>README routing profile. Stairs and lifts allowed unless stated otherwise.</x:v>
      </x:c>
      <x:c r="Q1335" s="15" t="n">
        <x:v>30.89</x:v>
      </x:c>
      <x:c r="R1335" s="6" t="str">
        <x:v>m</x:v>
      </x:c>
      <x:c r="S1335" s="16"/>
      <x:c r="T1335" s="15"/>
      <x:c r="U1335" s="6"/>
      <x:c r="V1335" s="6"/>
      <x:c r="W1335" s="6" t="str">
        <x:v>Existing find_route and show_route implement the kit routing model.</x:v>
      </x:c>
      <x:c r="X1335" s="6" t="str">
        <x:v>data/train/swiss-390/questions_basic.jsonl</x:v>
      </x:c>
      <x:c r="Y1335" s="14" t="n">
        <x:v>5</x:v>
      </x:c>
      <x:c r="Z1335" s="6" t="str">
        <x:v>https://github.com/hagenhaeussler/Industrial-Agents-Hackathon-2026/blob/f41616590b69f3ea0c1cbfb41d6c35edd9ce53df/data/train/swiss-390/questions_basic.jsonl#L5</x:v>
      </x:c>
      <x:c r="AA1335" s="6" t="str">
        <x:v>swiss_dwellings</x:v>
      </x:c>
      <x:c r="AB1335" s="6" t="str">
        <x:v>CC-BY-4.0</x:v>
      </x:c>
    </x:row>
    <x:row r="1336" ht="110" customHeight="1">
      <x:c r="A1336" s="14" t="n">
        <x:v>1331</x:v>
      </x:c>
      <x:c r="B1336" s="6" t="str">
        <x:v>route</x:v>
      </x:c>
      <x:c r="C1336" s="6" t="str">
        <x:v>How do I get from Bathroom 4.05 (apartment 5) (Floor 4) to Bathroom 2.02 (apartment 3) (Floor 2)?</x:v>
      </x:c>
      <x:c r="D1336" s="6" t="str">
        <x:v>36.65 m
From: Bathroom 4.05 (apartment 5)
To: Bathroom 2.02 (apartment 3)
Ordered path (8 spaces): Bathroom 4.05 (apartment 5) → Corridor 4.06 (apartment 5) → Corridor 4.08 (apartment 5) → Landing 4.09 → Landing 3.09 → Landing 2.09 → Corridor 2.05 (apartment 3) → Bathroom 2.02 (apartment 3)</x:v>
      </x:c>
      <x:c r="E1336" s="6" t="str">
        <x:v>Reference supplied</x:v>
      </x:c>
      <x:c r="F1336" s="6" t="str">
        <x:v>train</x:v>
      </x:c>
      <x:c r="G1336" s="6" t="str">
        <x:v>swiss-390</x:v>
      </x:c>
      <x:c r="H1336" s="6" t="str">
        <x:v>swiss-390-Q06</x:v>
      </x:c>
      <x:c r="I1336" s="6" t="str">
        <x:v>Route planning</x:v>
      </x:c>
      <x:c r="J1336" s="6" t="str">
        <x:v>Warm-up</x:v>
      </x:c>
      <x:c r="K1336" s="6" t="str">
        <x:v>Ordered space path and directions, plus total route-model distance in metres.</x:v>
      </x:c>
      <x:c r="L1336" s="6" t="str">
        <x:v>T02, T05, T13</x:v>
      </x:c>
      <x:c r="M1336" s="6" t="str">
        <x:v>Find a valid route between two rooms, including across floors.</x:v>
      </x:c>
      <x:c r="N1336" s="6" t="str">
        <x:v>{"from_space_id":"swiss-390-F4-S005","to_space_id":"swiss-390-F2-S002","optimal_length_m":36.65,"space_path":["swiss-390-F4-S005","swiss-390-F4-S006","swiss-390-F4-S008","swiss-390-F4-S009","swiss-390-F3-S009","swiss-390-F2-S009","swiss-390-F2-S005","swiss-390-F2-S002"],"element_path":["swiss-390-F4-O0039","swiss-390-F4-O0039","swiss-390-F4-O0042","swiss-390-F4-O0042","swiss-390-F4-O0035","swiss-390-F4-O0035","swiss-390-V01","swiss-390-V01","swiss-390-F2-O0020","swiss-390-F2-O0020","swiss-390-F2-O0021","swiss-390-F2-O0021"]}</x:v>
      </x:c>
      <x:c r="O1336" s="6"/>
      <x:c r="P1336" s="6" t="str">
        <x:v>README routing profile. Stairs and lifts allowed unless stated otherwise.</x:v>
      </x:c>
      <x:c r="Q1336" s="15" t="n">
        <x:v>36.65</x:v>
      </x:c>
      <x:c r="R1336" s="6" t="str">
        <x:v>m</x:v>
      </x:c>
      <x:c r="S1336" s="16"/>
      <x:c r="T1336" s="15"/>
      <x:c r="U1336" s="6"/>
      <x:c r="V1336" s="6"/>
      <x:c r="W1336" s="6" t="str">
        <x:v>Existing find_route and show_route implement the kit routing model.</x:v>
      </x:c>
      <x:c r="X1336" s="6" t="str">
        <x:v>data/train/swiss-390/questions_basic.jsonl</x:v>
      </x:c>
      <x:c r="Y1336" s="14" t="n">
        <x:v>6</x:v>
      </x:c>
      <x:c r="Z1336" s="6" t="str">
        <x:v>https://github.com/hagenhaeussler/Industrial-Agents-Hackathon-2026/blob/f41616590b69f3ea0c1cbfb41d6c35edd9ce53df/data/train/swiss-390/questions_basic.jsonl#L6</x:v>
      </x:c>
      <x:c r="AA1336" s="6" t="str">
        <x:v>swiss_dwellings</x:v>
      </x:c>
      <x:c r="AB1336" s="6" t="str">
        <x:v>CC-BY-4.0</x:v>
      </x:c>
    </x:row>
    <x:row r="1337" ht="96" customHeight="1">
      <x:c r="A1337" s="14" t="n">
        <x:v>1332</x:v>
      </x:c>
      <x:c r="B1337" s="6" t="str">
        <x:v>route</x:v>
      </x:c>
      <x:c r="C1337" s="6" t="str">
        <x:v>How do I get from Kitchen 1.07 (apartment 2) (Floor 1) to Bedroom 3.05 (apartment 4) (Floor 3)?</x:v>
      </x:c>
      <x:c r="D1337" s="6" t="str">
        <x:v>38.58 m
From: Kitchen 1.07 (apartment 2)
To: Bedroom 3.05 (apartment 4)
Ordered path (7 spaces): Kitchen 1.07 (apartment 2) → Corridor 1.08 (apartment 2) → Landing 1.09 → Landing 2.09 → Landing 3.09 → Corridor 3.01 (apartment 4) → Bedroom 3.05 (apartment 4)</x:v>
      </x:c>
      <x:c r="E1337" s="6" t="str">
        <x:v>Reference supplied</x:v>
      </x:c>
      <x:c r="F1337" s="6" t="str">
        <x:v>train</x:v>
      </x:c>
      <x:c r="G1337" s="6" t="str">
        <x:v>swiss-390</x:v>
      </x:c>
      <x:c r="H1337" s="6" t="str">
        <x:v>swiss-390-Q07</x:v>
      </x:c>
      <x:c r="I1337" s="6" t="str">
        <x:v>Route planning</x:v>
      </x:c>
      <x:c r="J1337" s="6" t="str">
        <x:v>Warm-up</x:v>
      </x:c>
      <x:c r="K1337" s="6" t="str">
        <x:v>Ordered space path and directions, plus total route-model distance in metres.</x:v>
      </x:c>
      <x:c r="L1337" s="6" t="str">
        <x:v>T02, T05, T13</x:v>
      </x:c>
      <x:c r="M1337" s="6" t="str">
        <x:v>Find a valid route between two rooms, including across floors.</x:v>
      </x:c>
      <x:c r="N1337" s="6" t="str">
        <x:v>{"from_space_id":"swiss-390-F1-S007","to_space_id":"swiss-390-F3-S005","optimal_length_m":38.58,"space_path":["swiss-390-F1-S007","swiss-390-F1-S008","swiss-390-F1-S009","swiss-390-F2-S009","swiss-390-F3-S009","swiss-390-F3-S001","swiss-390-F3-S005"],"element_path":["swiss-390-F1-O0013","swiss-390-F1-O0013","swiss-390-F1-O0011","swiss-390-F1-O0011","swiss-390-V01","swiss-390-V01","swiss-390-F3-O0034","swiss-390-F3-O0034","swiss-390-F3-O0032","swiss-390-F3-O0032"]}</x:v>
      </x:c>
      <x:c r="O1337" s="6"/>
      <x:c r="P1337" s="6" t="str">
        <x:v>README routing profile. Stairs and lifts allowed unless stated otherwise.</x:v>
      </x:c>
      <x:c r="Q1337" s="15" t="n">
        <x:v>38.58</x:v>
      </x:c>
      <x:c r="R1337" s="6" t="str">
        <x:v>m</x:v>
      </x:c>
      <x:c r="S1337" s="16"/>
      <x:c r="T1337" s="15"/>
      <x:c r="U1337" s="6"/>
      <x:c r="V1337" s="6"/>
      <x:c r="W1337" s="6" t="str">
        <x:v>Existing find_route and show_route implement the kit routing model.</x:v>
      </x:c>
      <x:c r="X1337" s="6" t="str">
        <x:v>data/train/swiss-390/questions_basic.jsonl</x:v>
      </x:c>
      <x:c r="Y1337" s="14" t="n">
        <x:v>7</x:v>
      </x:c>
      <x:c r="Z1337" s="6" t="str">
        <x:v>https://github.com/hagenhaeussler/Industrial-Agents-Hackathon-2026/blob/f41616590b69f3ea0c1cbfb41d6c35edd9ce53df/data/train/swiss-390/questions_basic.jsonl#L7</x:v>
      </x:c>
      <x:c r="AA1337" s="6" t="str">
        <x:v>swiss_dwellings</x:v>
      </x:c>
      <x:c r="AB1337" s="6" t="str">
        <x:v>CC-BY-4.0</x:v>
      </x:c>
    </x:row>
    <x:row r="1338" ht="96" customHeight="1">
      <x:c r="A1338" s="14" t="n">
        <x:v>1333</x:v>
      </x:c>
      <x:c r="B1338" s="6" t="str">
        <x:v>route</x:v>
      </x:c>
      <x:c r="C1338" s="6" t="str">
        <x:v>How do I get from Bathroom 1.17 (apartment 4) (Floor 1) to Bathroom 0.12 (apartment 2) (Ground floor)?</x:v>
      </x:c>
      <x:c r="D1338" s="6" t="str">
        <x:v>36.8 m
From: Bathroom 1.17 (apartment 4)
To: Bathroom 0.12 (apartment 2)
Ordered path (6 spaces): Bathroom 1.17 (apartment 4) → Corridor 1.11 (apartment 4) → Stair hall 1.20 → Stair hall 0.20 → Corridor 0.14 (apartment 2) → Bathroom 0.12 (apartment 2)</x:v>
      </x:c>
      <x:c r="E1338" s="6" t="str">
        <x:v>Reference supplied</x:v>
      </x:c>
      <x:c r="F1338" s="6" t="str">
        <x:v>train</x:v>
      </x:c>
      <x:c r="G1338" s="6" t="str">
        <x:v>swiss-401</x:v>
      </x:c>
      <x:c r="H1338" s="6" t="str">
        <x:v>swiss-401-Q05</x:v>
      </x:c>
      <x:c r="I1338" s="6" t="str">
        <x:v>Route planning</x:v>
      </x:c>
      <x:c r="J1338" s="6" t="str">
        <x:v>Warm-up</x:v>
      </x:c>
      <x:c r="K1338" s="6" t="str">
        <x:v>Ordered space path and directions, plus total route-model distance in metres.</x:v>
      </x:c>
      <x:c r="L1338" s="6" t="str">
        <x:v>T02, T05, T13</x:v>
      </x:c>
      <x:c r="M1338" s="6" t="str">
        <x:v>Find a valid route between two rooms, including across floors.</x:v>
      </x:c>
      <x:c r="N1338" s="6" t="str">
        <x:v>{"from_space_id":"swiss-401-F1-S017","to_space_id":"swiss-401-F0-S012","optimal_length_m":36.8,"space_path":["swiss-401-F1-S017","swiss-401-F1-S011","swiss-401-F1-S020","swiss-401-F0-S020","swiss-401-F0-S014","swiss-401-F0-S012"],"element_path":["swiss-401-F1-O0043","swiss-401-F1-O0043","swiss-401-F1-O0044","swiss-401-F1-O0044","swiss-401-V01","swiss-401-F0-O0021","swiss-401-F0-O0021","swiss-401-F0-O0020","swiss-401-F0-O0020"]}</x:v>
      </x:c>
      <x:c r="O1338" s="6"/>
      <x:c r="P1338" s="6" t="str">
        <x:v>README routing profile. Stairs and lifts allowed unless stated otherwise.</x:v>
      </x:c>
      <x:c r="Q1338" s="15" t="n">
        <x:v>36.8</x:v>
      </x:c>
      <x:c r="R1338" s="6" t="str">
        <x:v>m</x:v>
      </x:c>
      <x:c r="S1338" s="16"/>
      <x:c r="T1338" s="15"/>
      <x:c r="U1338" s="6"/>
      <x:c r="V1338" s="6"/>
      <x:c r="W1338" s="6" t="str">
        <x:v>Existing find_route and show_route implement the kit routing model.</x:v>
      </x:c>
      <x:c r="X1338" s="6" t="str">
        <x:v>data/train/swiss-401/questions_basic.jsonl</x:v>
      </x:c>
      <x:c r="Y1338" s="14" t="n">
        <x:v>5</x:v>
      </x:c>
      <x:c r="Z1338" s="6" t="str">
        <x:v>https://github.com/hagenhaeussler/Industrial-Agents-Hackathon-2026/blob/f41616590b69f3ea0c1cbfb41d6c35edd9ce53df/data/train/swiss-401/questions_basic.jsonl#L5</x:v>
      </x:c>
      <x:c r="AA1338" s="6" t="str">
        <x:v>swiss_dwellings</x:v>
      </x:c>
      <x:c r="AB1338" s="6" t="str">
        <x:v>CC-BY-4.0</x:v>
      </x:c>
    </x:row>
    <x:row r="1339" ht="96" customHeight="1">
      <x:c r="A1339" s="14" t="n">
        <x:v>1334</x:v>
      </x:c>
      <x:c r="B1339" s="6" t="str">
        <x:v>route</x:v>
      </x:c>
      <x:c r="C1339" s="6" t="str">
        <x:v>How do I get from Storage 2.06 (apartment 6) (Floor 2) to Bedroom 0.05 (apartment 1) (Ground floor)?</x:v>
      </x:c>
      <x:c r="D1339" s="6" t="str">
        <x:v>38.25 m
From: Storage 2.06 (apartment 6)
To: Bedroom 0.05 (apartment 1)
Ordered path (7 spaces): Storage 2.06 (apartment 6) → Bedroom 2.09 (apartment 6) → Landing 2.13 → Stair hall 1.20 → Stair hall 0.20 → Corridor 0.03 (apartment 1) → Bedroom 0.05 (apartment 1)</x:v>
      </x:c>
      <x:c r="E1339" s="6" t="str">
        <x:v>Reference supplied</x:v>
      </x:c>
      <x:c r="F1339" s="6" t="str">
        <x:v>train</x:v>
      </x:c>
      <x:c r="G1339" s="6" t="str">
        <x:v>swiss-401</x:v>
      </x:c>
      <x:c r="H1339" s="6" t="str">
        <x:v>swiss-401-Q06</x:v>
      </x:c>
      <x:c r="I1339" s="6" t="str">
        <x:v>Route planning</x:v>
      </x:c>
      <x:c r="J1339" s="6" t="str">
        <x:v>Warm-up</x:v>
      </x:c>
      <x:c r="K1339" s="6" t="str">
        <x:v>Ordered space path and directions, plus total route-model distance in metres.</x:v>
      </x:c>
      <x:c r="L1339" s="6" t="str">
        <x:v>T02, T05, T13</x:v>
      </x:c>
      <x:c r="M1339" s="6" t="str">
        <x:v>Find a valid route between two rooms, including across floors.</x:v>
      </x:c>
      <x:c r="N1339" s="6" t="str">
        <x:v>{"from_space_id":"swiss-401-F2-S006","to_space_id":"swiss-401-F0-S005","optimal_length_m":38.25,"space_path":["swiss-401-F2-S006","swiss-401-F2-S009","swiss-401-F2-S013","swiss-401-F1-S020","swiss-401-F0-S020","swiss-401-F0-S003","swiss-401-F0-S005"],"element_path":["swiss-401-F2-O0059","swiss-401-F2-O0059","swiss-401-F2-O0062","swiss-401-F2-O0062","swiss-401-V03","swiss-401-V01","swiss-401-F0-O0005","swiss-401-F0-O0005","swiss-401-F0-O0012","swiss-401-F0-O0012"]}</x:v>
      </x:c>
      <x:c r="O1339" s="6"/>
      <x:c r="P1339" s="6" t="str">
        <x:v>README routing profile. Stairs and lifts allowed unless stated otherwise.</x:v>
      </x:c>
      <x:c r="Q1339" s="15" t="n">
        <x:v>38.25</x:v>
      </x:c>
      <x:c r="R1339" s="6" t="str">
        <x:v>m</x:v>
      </x:c>
      <x:c r="S1339" s="16"/>
      <x:c r="T1339" s="15"/>
      <x:c r="U1339" s="6"/>
      <x:c r="V1339" s="6"/>
      <x:c r="W1339" s="6" t="str">
        <x:v>Existing find_route and show_route implement the kit routing model.</x:v>
      </x:c>
      <x:c r="X1339" s="6" t="str">
        <x:v>data/train/swiss-401/questions_basic.jsonl</x:v>
      </x:c>
      <x:c r="Y1339" s="14" t="n">
        <x:v>6</x:v>
      </x:c>
      <x:c r="Z1339" s="6" t="str">
        <x:v>https://github.com/hagenhaeussler/Industrial-Agents-Hackathon-2026/blob/f41616590b69f3ea0c1cbfb41d6c35edd9ce53df/data/train/swiss-401/questions_basic.jsonl#L6</x:v>
      </x:c>
      <x:c r="AA1339" s="6" t="str">
        <x:v>swiss_dwellings</x:v>
      </x:c>
      <x:c r="AB1339" s="6" t="str">
        <x:v>CC-BY-4.0</x:v>
      </x:c>
    </x:row>
    <x:row r="1340" ht="96" customHeight="1">
      <x:c r="A1340" s="14" t="n">
        <x:v>1335</x:v>
      </x:c>
      <x:c r="B1340" s="6" t="str">
        <x:v>route</x:v>
      </x:c>
      <x:c r="C1340" s="6" t="str">
        <x:v>How do I get from Kitchen 0.10 (apartment 2) (Ground floor) to Living room 1.13 (apartment 4) (Floor 1)?</x:v>
      </x:c>
      <x:c r="D1340" s="6" t="str">
        <x:v>38.44 m
From: Kitchen 0.10 (apartment 2)
To: Living room 1.13 (apartment 4)
Ordered path (7 spaces): Kitchen 0.10 (apartment 2) → Living room 0.18 (apartment 2) → Corridor 0.14 (apartment 2) → Stair hall 0.20 → Stair hall 1.20 → Corridor 1.11 (apartment 4) → Living room 1.13 (apartment 4)</x:v>
      </x:c>
      <x:c r="E1340" s="6" t="str">
        <x:v>Reference supplied</x:v>
      </x:c>
      <x:c r="F1340" s="6" t="str">
        <x:v>train</x:v>
      </x:c>
      <x:c r="G1340" s="6" t="str">
        <x:v>swiss-401</x:v>
      </x:c>
      <x:c r="H1340" s="6" t="str">
        <x:v>swiss-401-Q07</x:v>
      </x:c>
      <x:c r="I1340" s="6" t="str">
        <x:v>Route planning</x:v>
      </x:c>
      <x:c r="J1340" s="6" t="str">
        <x:v>Warm-up</x:v>
      </x:c>
      <x:c r="K1340" s="6" t="str">
        <x:v>Ordered space path and directions, plus total route-model distance in metres.</x:v>
      </x:c>
      <x:c r="L1340" s="6" t="str">
        <x:v>T02, T05, T13</x:v>
      </x:c>
      <x:c r="M1340" s="6" t="str">
        <x:v>Find a valid route between two rooms, including across floors.</x:v>
      </x:c>
      <x:c r="N1340" s="6" t="str">
        <x:v>{"from_space_id":"swiss-401-F0-S010","to_space_id":"swiss-401-F1-S013","optimal_length_m":38.44,"space_path":["swiss-401-F0-S010","swiss-401-F0-S018","swiss-401-F0-S014","swiss-401-F0-S020","swiss-401-F1-S020","swiss-401-F1-S011","swiss-401-F1-S013"],"element_path":["swiss-401-F0-O0019","swiss-401-F0-O0019","swiss-401-F0-O0016","swiss-401-F0-O0016","swiss-401-F0-O0021","swiss-401-F0-O0021","swiss-401-V01","swiss-401-F1-O0044","swiss-401-F1-O0044","swiss-401-F1-O0039","swiss-401-F1-O0039"]}</x:v>
      </x:c>
      <x:c r="O1340" s="6"/>
      <x:c r="P1340" s="6" t="str">
        <x:v>README routing profile. Stairs and lifts allowed unless stated otherwise.</x:v>
      </x:c>
      <x:c r="Q1340" s="15" t="n">
        <x:v>38.44</x:v>
      </x:c>
      <x:c r="R1340" s="6" t="str">
        <x:v>m</x:v>
      </x:c>
      <x:c r="S1340" s="16"/>
      <x:c r="T1340" s="15"/>
      <x:c r="U1340" s="6"/>
      <x:c r="V1340" s="6"/>
      <x:c r="W1340" s="6" t="str">
        <x:v>Existing find_route and show_route implement the kit routing model.</x:v>
      </x:c>
      <x:c r="X1340" s="6" t="str">
        <x:v>data/train/swiss-401/questions_basic.jsonl</x:v>
      </x:c>
      <x:c r="Y1340" s="14" t="n">
        <x:v>7</x:v>
      </x:c>
      <x:c r="Z1340" s="6" t="str">
        <x:v>https://github.com/hagenhaeussler/Industrial-Agents-Hackathon-2026/blob/f41616590b69f3ea0c1cbfb41d6c35edd9ce53df/data/train/swiss-401/questions_basic.jsonl#L7</x:v>
      </x:c>
      <x:c r="AA1340" s="6" t="str">
        <x:v>swiss_dwellings</x:v>
      </x:c>
      <x:c r="AB1340" s="6" t="str">
        <x:v>CC-BY-4.0</x:v>
      </x:c>
    </x:row>
    <x:row r="1341" ht="96" customHeight="1">
      <x:c r="A1341" s="14" t="n">
        <x:v>1336</x:v>
      </x:c>
      <x:c r="B1341" s="6" t="str">
        <x:v>route</x:v>
      </x:c>
      <x:c r="C1341" s="6" t="str">
        <x:v>How do I get from Bathroom 3.06 (apartment 7) (Floor 3) to Bedroom 2.01 (apartment 5) (Floor 2)?</x:v>
      </x:c>
      <x:c r="D1341" s="6" t="str">
        <x:v>28.79 m
From: Bathroom 3.06 (apartment 7)
To: Bedroom 2.01 (apartment 5)
Ordered path (6 spaces): Bathroom 3.06 (apartment 7) → Corridor 3.09 (apartment 7) → Landing 3.19 → Stair hall 2.19 → Corridor 2.03 (apartment 5) → Bedroom 2.01 (apartment 5)</x:v>
      </x:c>
      <x:c r="E1341" s="6" t="str">
        <x:v>Reference supplied</x:v>
      </x:c>
      <x:c r="F1341" s="6" t="str">
        <x:v>train</x:v>
      </x:c>
      <x:c r="G1341" s="6" t="str">
        <x:v>swiss-430</x:v>
      </x:c>
      <x:c r="H1341" s="6" t="str">
        <x:v>swiss-430-Q05</x:v>
      </x:c>
      <x:c r="I1341" s="6" t="str">
        <x:v>Route planning</x:v>
      </x:c>
      <x:c r="J1341" s="6" t="str">
        <x:v>Warm-up</x:v>
      </x:c>
      <x:c r="K1341" s="6" t="str">
        <x:v>Ordered space path and directions, plus total route-model distance in metres.</x:v>
      </x:c>
      <x:c r="L1341" s="6" t="str">
        <x:v>T02, T05, T13</x:v>
      </x:c>
      <x:c r="M1341" s="6" t="str">
        <x:v>Find a valid route between two rooms, including across floors.</x:v>
      </x:c>
      <x:c r="N1341" s="6" t="str">
        <x:v>{"from_space_id":"swiss-430-F3-S006","to_space_id":"swiss-430-F2-S001","optimal_length_m":28.79,"space_path":["swiss-430-F3-S006","swiss-430-F3-S009","swiss-430-F3-S019","swiss-430-F2-S019","swiss-430-F2-S003","swiss-430-F2-S001"],"element_path":["swiss-430-F3-O0072","swiss-430-F3-O0072","swiss-430-F3-O0074","swiss-430-F3-O0074","swiss-430-V02","swiss-430-F2-O0052","swiss-430-F2-O0052","swiss-430-F2-O0046","swiss-430-F2-O0046"]}</x:v>
      </x:c>
      <x:c r="O1341" s="6"/>
      <x:c r="P1341" s="6" t="str">
        <x:v>README routing profile. Stairs and lifts allowed unless stated otherwise.</x:v>
      </x:c>
      <x:c r="Q1341" s="15" t="n">
        <x:v>28.79</x:v>
      </x:c>
      <x:c r="R1341" s="6" t="str">
        <x:v>m</x:v>
      </x:c>
      <x:c r="S1341" s="16"/>
      <x:c r="T1341" s="15"/>
      <x:c r="U1341" s="6"/>
      <x:c r="V1341" s="6"/>
      <x:c r="W1341" s="6" t="str">
        <x:v>Existing find_route and show_route implement the kit routing model.</x:v>
      </x:c>
      <x:c r="X1341" s="6" t="str">
        <x:v>data/train/swiss-430/questions_basic.jsonl</x:v>
      </x:c>
      <x:c r="Y1341" s="14" t="n">
        <x:v>5</x:v>
      </x:c>
      <x:c r="Z1341" s="6" t="str">
        <x:v>https://github.com/hagenhaeussler/Industrial-Agents-Hackathon-2026/blob/f41616590b69f3ea0c1cbfb41d6c35edd9ce53df/data/train/swiss-430/questions_basic.jsonl#L5</x:v>
      </x:c>
      <x:c r="AA1341" s="6" t="str">
        <x:v>swiss_dwellings</x:v>
      </x:c>
      <x:c r="AB1341" s="6" t="str">
        <x:v>CC-BY-4.0</x:v>
      </x:c>
    </x:row>
    <x:row r="1342" ht="82" customHeight="1">
      <x:c r="A1342" s="14" t="n">
        <x:v>1337</x:v>
      </x:c>
      <x:c r="B1342" s="6" t="str">
        <x:v>route</x:v>
      </x:c>
      <x:c r="C1342" s="6" t="str">
        <x:v>How do I get from Bathroom 2.02 (apartment 5) (Floor 2) to Bedroom 2.01 (apartment 5) (Floor 2)?</x:v>
      </x:c>
      <x:c r="D1342" s="6" t="str">
        <x:v>7.58 m
From: Bathroom 2.02 (apartment 5)
To: Bedroom 2.01 (apartment 5)
Ordered path (3 spaces): Bathroom 2.02 (apartment 5) → Corridor 2.03 (apartment 5) → Bedroom 2.01 (apartment 5)</x:v>
      </x:c>
      <x:c r="E1342" s="6" t="str">
        <x:v>Reference supplied</x:v>
      </x:c>
      <x:c r="F1342" s="6" t="str">
        <x:v>train</x:v>
      </x:c>
      <x:c r="G1342" s="6" t="str">
        <x:v>swiss-430</x:v>
      </x:c>
      <x:c r="H1342" s="6" t="str">
        <x:v>swiss-430-Q06</x:v>
      </x:c>
      <x:c r="I1342" s="6" t="str">
        <x:v>Route planning</x:v>
      </x:c>
      <x:c r="J1342" s="6" t="str">
        <x:v>Warm-up</x:v>
      </x:c>
      <x:c r="K1342" s="6" t="str">
        <x:v>Ordered space path and directions, plus total route-model distance in metres.</x:v>
      </x:c>
      <x:c r="L1342" s="6" t="str">
        <x:v>T02, T05, T13</x:v>
      </x:c>
      <x:c r="M1342" s="6" t="str">
        <x:v>Find a valid route between two rooms, including across floors.</x:v>
      </x:c>
      <x:c r="N1342" s="6" t="str">
        <x:v>{"from_space_id":"swiss-430-F2-S002","to_space_id":"swiss-430-F2-S001","optimal_length_m":7.58,"space_path":["swiss-430-F2-S002","swiss-430-F2-S003","swiss-430-F2-S001"],"element_path":["swiss-430-F2-O0056","swiss-430-F2-O0056","swiss-430-F2-O0046","swiss-430-F2-O0046"]}</x:v>
      </x:c>
      <x:c r="O1342" s="6"/>
      <x:c r="P1342" s="6" t="str">
        <x:v>README routing profile. Stairs and lifts allowed unless stated otherwise.</x:v>
      </x:c>
      <x:c r="Q1342" s="15" t="n">
        <x:v>7.58</x:v>
      </x:c>
      <x:c r="R1342" s="6" t="str">
        <x:v>m</x:v>
      </x:c>
      <x:c r="S1342" s="16"/>
      <x:c r="T1342" s="15"/>
      <x:c r="U1342" s="6"/>
      <x:c r="V1342" s="6"/>
      <x:c r="W1342" s="6" t="str">
        <x:v>Existing find_route and show_route implement the kit routing model.</x:v>
      </x:c>
      <x:c r="X1342" s="6" t="str">
        <x:v>data/train/swiss-430/questions_basic.jsonl</x:v>
      </x:c>
      <x:c r="Y1342" s="14" t="n">
        <x:v>6</x:v>
      </x:c>
      <x:c r="Z1342" s="6" t="str">
        <x:v>https://github.com/hagenhaeussler/Industrial-Agents-Hackathon-2026/blob/f41616590b69f3ea0c1cbfb41d6c35edd9ce53df/data/train/swiss-430/questions_basic.jsonl#L6</x:v>
      </x:c>
      <x:c r="AA1342" s="6" t="str">
        <x:v>swiss_dwellings</x:v>
      </x:c>
      <x:c r="AB1342" s="6" t="str">
        <x:v>CC-BY-4.0</x:v>
      </x:c>
    </x:row>
    <x:row r="1343" ht="96" customHeight="1">
      <x:c r="A1343" s="14" t="n">
        <x:v>1338</x:v>
      </x:c>
      <x:c r="B1343" s="6" t="str">
        <x:v>route</x:v>
      </x:c>
      <x:c r="C1343" s="6" t="str">
        <x:v>How do I get from Bedroom 0.03 (apartment 1) (Ground floor) to Bedroom 0.17 (apartment 2) (Ground floor)?</x:v>
      </x:c>
      <x:c r="D1343" s="6" t="str">
        <x:v>22.97 m
From: Bedroom 0.03 (apartment 1)
To: Bedroom 0.17 (apartment 2)
Ordered path (6 spaces): Bedroom 0.03 (apartment 1) → Corridor 0.09 (apartment 1) → Stair hall 0.19 → Corridor 0.12 (apartment 2) → Bedroom 0.16 (apartment 2) → Bedroom 0.17 (apartment 2)</x:v>
      </x:c>
      <x:c r="E1343" s="6" t="str">
        <x:v>Reference supplied</x:v>
      </x:c>
      <x:c r="F1343" s="6" t="str">
        <x:v>train</x:v>
      </x:c>
      <x:c r="G1343" s="6" t="str">
        <x:v>swiss-430</x:v>
      </x:c>
      <x:c r="H1343" s="6" t="str">
        <x:v>swiss-430-Q07</x:v>
      </x:c>
      <x:c r="I1343" s="6" t="str">
        <x:v>Route planning</x:v>
      </x:c>
      <x:c r="J1343" s="6" t="str">
        <x:v>Warm-up</x:v>
      </x:c>
      <x:c r="K1343" s="6" t="str">
        <x:v>Ordered space path and directions, plus total route-model distance in metres.</x:v>
      </x:c>
      <x:c r="L1343" s="6" t="str">
        <x:v>T02, T05, T13</x:v>
      </x:c>
      <x:c r="M1343" s="6" t="str">
        <x:v>Find a valid route between two rooms, including across floors.</x:v>
      </x:c>
      <x:c r="N1343" s="6" t="str">
        <x:v>{"from_space_id":"swiss-430-F0-S003","to_space_id":"swiss-430-F0-S017","optimal_length_m":22.97,"space_path":["swiss-430-F0-S003","swiss-430-F0-S009","swiss-430-F0-S019","swiss-430-F0-S012","swiss-430-F0-S016","swiss-430-F0-S017"],"element_path":["swiss-430-F0-O0004","swiss-430-F0-O0004","swiss-430-F0-O0006","swiss-430-F0-O0006","swiss-430-F0-O0022","swiss-430-F0-O0022","swiss-430-F0-O0014","swiss-430-F0-O0014","swiss-430-F0-O0020","swiss-430-F0-O0020"]}</x:v>
      </x:c>
      <x:c r="O1343" s="6"/>
      <x:c r="P1343" s="6" t="str">
        <x:v>README routing profile. Stairs and lifts allowed unless stated otherwise.</x:v>
      </x:c>
      <x:c r="Q1343" s="15" t="n">
        <x:v>22.97</x:v>
      </x:c>
      <x:c r="R1343" s="6" t="str">
        <x:v>m</x:v>
      </x:c>
      <x:c r="S1343" s="16"/>
      <x:c r="T1343" s="15"/>
      <x:c r="U1343" s="6"/>
      <x:c r="V1343" s="6"/>
      <x:c r="W1343" s="6" t="str">
        <x:v>Existing find_route and show_route implement the kit routing model.</x:v>
      </x:c>
      <x:c r="X1343" s="6" t="str">
        <x:v>data/train/swiss-430/questions_basic.jsonl</x:v>
      </x:c>
      <x:c r="Y1343" s="14" t="n">
        <x:v>7</x:v>
      </x:c>
      <x:c r="Z1343" s="6" t="str">
        <x:v>https://github.com/hagenhaeussler/Industrial-Agents-Hackathon-2026/blob/f41616590b69f3ea0c1cbfb41d6c35edd9ce53df/data/train/swiss-430/questions_basic.jsonl#L7</x:v>
      </x:c>
      <x:c r="AA1343" s="6" t="str">
        <x:v>swiss_dwellings</x:v>
      </x:c>
      <x:c r="AB1343" s="6" t="str">
        <x:v>CC-BY-4.0</x:v>
      </x:c>
    </x:row>
    <x:row r="1344" ht="110" customHeight="1">
      <x:c r="A1344" s="14" t="n">
        <x:v>1339</x:v>
      </x:c>
      <x:c r="B1344" s="6" t="str">
        <x:v>route</x:v>
      </x:c>
      <x:c r="C1344" s="6" t="str">
        <x:v>How do I get from Living room 2.10 (apartment 8) (Floor 2) to Living room 5.16 (apartment 17) (Floor 5)?</x:v>
      </x:c>
      <x:c r="D1344" s="6" t="str">
        <x:v>58.8 m
From: Living room 2.10 (apartment 8)
To: Living room 5.16 (apartment 17)
Ordered path (10 spaces): Living room 2.10 (apartment 8) → Kitchen 2.14 (apartment 8) → Corridor 2.11 (apartment 8) → Stair hall 2.24 → Stair hall 3.24 → Stair hall 4.24 → Stair hall 5.24 → Corridor 5.09 (apartment 17) → Kitchen 5.12 (apartment 17) → Living room 5.16 (apartment 17)</x:v>
      </x:c>
      <x:c r="E1344" s="6" t="str">
        <x:v>Reference supplied</x:v>
      </x:c>
      <x:c r="F1344" s="6" t="str">
        <x:v>train</x:v>
      </x:c>
      <x:c r="G1344" s="6" t="str">
        <x:v>swiss-433</x:v>
      </x:c>
      <x:c r="H1344" s="6" t="str">
        <x:v>swiss-433-Q02</x:v>
      </x:c>
      <x:c r="I1344" s="6" t="str">
        <x:v>Route planning</x:v>
      </x:c>
      <x:c r="J1344" s="6" t="str">
        <x:v>Warm-up</x:v>
      </x:c>
      <x:c r="K1344" s="6" t="str">
        <x:v>Ordered space path and directions, plus total route-model distance in metres.</x:v>
      </x:c>
      <x:c r="L1344" s="6" t="str">
        <x:v>T02, T05, T13</x:v>
      </x:c>
      <x:c r="M1344" s="6" t="str">
        <x:v>Find a valid route between two rooms, including across floors.</x:v>
      </x:c>
      <x:c r="N1344" s="6" t="str">
        <x:v>{"from_space_id":"swiss-433-F2-S010","to_space_id":"swiss-433-F5-S016","optimal_length_m":58.8,"space_path":["swiss-433-F2-S010","swiss-433-F2-S014","swiss-433-F2-S011","swiss-433-F2-S024","swiss-433-F3-S024","swiss-433-F4-S024","swiss-433-F5-S024","swiss-433-F5-S009","swiss-433-F5-S012","swiss-433-F5-S016"],"element_path":["swiss-433-F2-O0064","swiss-433-F2-O0064","swiss-433-F2-O0066","swiss-433-F2-O0066","swiss-433-F2-O0061","swiss-433-F2-O0061","swiss-433-V01","swiss-433-V01","swiss-433-V01","swiss-433-F5-O0148","swiss-433-F5-O0148","swiss-433-F5-O0144","swiss-433-F5-O0144","swiss-433-F5-O0143","swiss-433-F5-O0143"]}</x:v>
      </x:c>
      <x:c r="O1344" s="6"/>
      <x:c r="P1344" s="6" t="str">
        <x:v>README routing profile. Stairs and lifts allowed unless stated otherwise.</x:v>
      </x:c>
      <x:c r="Q1344" s="15" t="n">
        <x:v>58.8</x:v>
      </x:c>
      <x:c r="R1344" s="6" t="str">
        <x:v>m</x:v>
      </x:c>
      <x:c r="S1344" s="16"/>
      <x:c r="T1344" s="15"/>
      <x:c r="U1344" s="6"/>
      <x:c r="V1344" s="6"/>
      <x:c r="W1344" s="6" t="str">
        <x:v>Existing find_route and show_route implement the kit routing model.</x:v>
      </x:c>
      <x:c r="X1344" s="6" t="str">
        <x:v>data/train/swiss-433/questions_basic.jsonl</x:v>
      </x:c>
      <x:c r="Y1344" s="14" t="n">
        <x:v>2</x:v>
      </x:c>
      <x:c r="Z1344" s="6" t="str">
        <x:v>https://github.com/hagenhaeussler/Industrial-Agents-Hackathon-2026/blob/f41616590b69f3ea0c1cbfb41d6c35edd9ce53df/data/train/swiss-433/questions_basic.jsonl#L2</x:v>
      </x:c>
      <x:c r="AA1344" s="6" t="str">
        <x:v>swiss_dwellings</x:v>
      </x:c>
      <x:c r="AB1344" s="6" t="str">
        <x:v>CC-BY-4.0</x:v>
      </x:c>
    </x:row>
    <x:row r="1345" ht="110" customHeight="1">
      <x:c r="A1345" s="14" t="n">
        <x:v>1340</x:v>
      </x:c>
      <x:c r="B1345" s="6" t="str">
        <x:v>route</x:v>
      </x:c>
      <x:c r="C1345" s="6" t="str">
        <x:v>How do I get from Bathroom 0.14 (apartment 3) (Ground floor) to Living room 4.12 (apartment 14) (Floor 4)?</x:v>
      </x:c>
      <x:c r="D1345" s="6" t="str">
        <x:v>65.49 m
From: Bathroom 0.14 (apartment 3)
To: Living room 4.12 (apartment 14)
Ordered path (9 spaces): Bathroom 0.14 (apartment 3) → Corridor 0.16 (apartment 3) → Landing 0.18 → Stair hall 1.24 → Stair hall 2.24 → Stair hall 3.24 → Stair hall 4.24 → Corridor 4.08 (apartment 14) → Living room 4.12 (apartment 14)</x:v>
      </x:c>
      <x:c r="E1345" s="6" t="str">
        <x:v>Reference supplied</x:v>
      </x:c>
      <x:c r="F1345" s="6" t="str">
        <x:v>train</x:v>
      </x:c>
      <x:c r="G1345" s="6" t="str">
        <x:v>swiss-433</x:v>
      </x:c>
      <x:c r="H1345" s="6" t="str">
        <x:v>swiss-433-Q03</x:v>
      </x:c>
      <x:c r="I1345" s="6" t="str">
        <x:v>Route planning</x:v>
      </x:c>
      <x:c r="J1345" s="6" t="str">
        <x:v>Warm-up</x:v>
      </x:c>
      <x:c r="K1345" s="6" t="str">
        <x:v>Ordered space path and directions, plus total route-model distance in metres.</x:v>
      </x:c>
      <x:c r="L1345" s="6" t="str">
        <x:v>T02, T05, T13</x:v>
      </x:c>
      <x:c r="M1345" s="6" t="str">
        <x:v>Find a valid route between two rooms, including across floors.</x:v>
      </x:c>
      <x:c r="N1345" s="6" t="str">
        <x:v>{"from_space_id":"swiss-433-F0-S014","to_space_id":"swiss-433-F4-S012","optimal_length_m":65.49,"space_path":["swiss-433-F0-S014","swiss-433-F0-S016","swiss-433-F0-S018","swiss-433-F1-S024","swiss-433-F2-S024","swiss-433-F3-S024","swiss-433-F4-S024","swiss-433-F4-S008","swiss-433-F4-S012"],"element_path":["swiss-433-F0-O0017","swiss-433-F0-O0017","swiss-433-F0-O0018","swiss-433-F0-O0018","swiss-433-V01","swiss-433-V01","swiss-433-V01","swiss-433-V01","swiss-433-F4-O0115","swiss-433-F4-O0115","swiss-433-F4-O0120","swiss-433-F4-O0120"]}</x:v>
      </x:c>
      <x:c r="O1345" s="6"/>
      <x:c r="P1345" s="6" t="str">
        <x:v>README routing profile. Stairs and lifts allowed unless stated otherwise.</x:v>
      </x:c>
      <x:c r="Q1345" s="15" t="n">
        <x:v>65.49</x:v>
      </x:c>
      <x:c r="R1345" s="6" t="str">
        <x:v>m</x:v>
      </x:c>
      <x:c r="S1345" s="16"/>
      <x:c r="T1345" s="15"/>
      <x:c r="U1345" s="6"/>
      <x:c r="V1345" s="6"/>
      <x:c r="W1345" s="6" t="str">
        <x:v>Existing find_route and show_route implement the kit routing model.</x:v>
      </x:c>
      <x:c r="X1345" s="6" t="str">
        <x:v>data/train/swiss-433/questions_basic.jsonl</x:v>
      </x:c>
      <x:c r="Y1345" s="14" t="n">
        <x:v>3</x:v>
      </x:c>
      <x:c r="Z1345" s="6" t="str">
        <x:v>https://github.com/hagenhaeussler/Industrial-Agents-Hackathon-2026/blob/f41616590b69f3ea0c1cbfb41d6c35edd9ce53df/data/train/swiss-433/questions_basic.jsonl#L3</x:v>
      </x:c>
      <x:c r="AA1345" s="6" t="str">
        <x:v>swiss_dwellings</x:v>
      </x:c>
      <x:c r="AB1345" s="6" t="str">
        <x:v>CC-BY-4.0</x:v>
      </x:c>
    </x:row>
    <x:row r="1346" ht="82" customHeight="1">
      <x:c r="A1346" s="14" t="n">
        <x:v>1341</x:v>
      </x:c>
      <x:c r="B1346" s="6" t="str">
        <x:v>route</x:v>
      </x:c>
      <x:c r="C1346" s="6" t="str">
        <x:v>How do I get from Bathroom 1.21 (apartment 6) (Floor 1) to Bedroom 1.20 (apartment 6) (Floor 1)?</x:v>
      </x:c>
      <x:c r="D1346" s="6" t="str">
        <x:v>6.94 m
From: Bathroom 1.21 (apartment 6)
To: Bedroom 1.20 (apartment 6)
Ordered path (3 spaces): Bathroom 1.21 (apartment 6) → Corridor 1.22 (apartment 6) → Bedroom 1.20 (apartment 6)</x:v>
      </x:c>
      <x:c r="E1346" s="6" t="str">
        <x:v>Reference supplied</x:v>
      </x:c>
      <x:c r="F1346" s="6" t="str">
        <x:v>train</x:v>
      </x:c>
      <x:c r="G1346" s="6" t="str">
        <x:v>swiss-433</x:v>
      </x:c>
      <x:c r="H1346" s="6" t="str">
        <x:v>swiss-433-Q04</x:v>
      </x:c>
      <x:c r="I1346" s="6" t="str">
        <x:v>Route planning</x:v>
      </x:c>
      <x:c r="J1346" s="6" t="str">
        <x:v>Warm-up</x:v>
      </x:c>
      <x:c r="K1346" s="6" t="str">
        <x:v>Ordered space path and directions, plus total route-model distance in metres.</x:v>
      </x:c>
      <x:c r="L1346" s="6" t="str">
        <x:v>T02, T05, T13</x:v>
      </x:c>
      <x:c r="M1346" s="6" t="str">
        <x:v>Find a valid route between two rooms, including across floors.</x:v>
      </x:c>
      <x:c r="N1346" s="6" t="str">
        <x:v>{"from_space_id":"swiss-433-F1-S021","to_space_id":"swiss-433-F1-S020","optimal_length_m":6.94,"space_path":["swiss-433-F1-S021","swiss-433-F1-S022","swiss-433-F1-S020"],"element_path":["swiss-433-F1-O0045","swiss-433-F1-O0045","swiss-433-F1-O0047","swiss-433-F1-O0047"]}</x:v>
      </x:c>
      <x:c r="O1346" s="6"/>
      <x:c r="P1346" s="6" t="str">
        <x:v>README routing profile. Stairs and lifts allowed unless stated otherwise.</x:v>
      </x:c>
      <x:c r="Q1346" s="15" t="n">
        <x:v>6.94</x:v>
      </x:c>
      <x:c r="R1346" s="6" t="str">
        <x:v>m</x:v>
      </x:c>
      <x:c r="S1346" s="16"/>
      <x:c r="T1346" s="15"/>
      <x:c r="U1346" s="6"/>
      <x:c r="V1346" s="6"/>
      <x:c r="W1346" s="6" t="str">
        <x:v>Existing find_route and show_route implement the kit routing model.</x:v>
      </x:c>
      <x:c r="X1346" s="6" t="str">
        <x:v>data/train/swiss-433/questions_basic.jsonl</x:v>
      </x:c>
      <x:c r="Y1346" s="14" t="n">
        <x:v>4</x:v>
      </x:c>
      <x:c r="Z1346" s="6" t="str">
        <x:v>https://github.com/hagenhaeussler/Industrial-Agents-Hackathon-2026/blob/f41616590b69f3ea0c1cbfb41d6c35edd9ce53df/data/train/swiss-433/questions_basic.jsonl#L4</x:v>
      </x:c>
      <x:c r="AA1346" s="6" t="str">
        <x:v>swiss_dwellings</x:v>
      </x:c>
      <x:c r="AB1346" s="6" t="str">
        <x:v>CC-BY-4.0</x:v>
      </x:c>
    </x:row>
    <x:row r="1347" ht="138" customHeight="1">
      <x:c r="A1347" s="14" t="n">
        <x:v>1342</x:v>
      </x:c>
      <x:c r="B1347" s="6" t="str">
        <x:v>route</x:v>
      </x:c>
      <x:c r="C1347" s="6" t="str">
        <x:v>How do I get from Bedroom 0.12 (apartment 2) (Ground floor) to Bedroom 3.09 (apartment 13) (Floor 3)?</x:v>
      </x:c>
      <x:c r="D1347" s="6" t="str">
        <x:v>60.42 m
From: Bedroom 0.12 (apartment 2)
To: Bedroom 3.09 (apartment 13)
Ordered path (13 spaces): Bedroom 0.12 (apartment 2) → Storage 0.08 (apartment 2) → Corridor 0.09 (apartment 2) → Landing 0.27 → outside → Landing 0.26 → Stair hall 1.39 → Stair hall 2.39 → Stair hall 3.39 → Corridor 3.11 (apartment 13) → Living room 3.07 (apartment 13) → Corridor 3.04 (apartment 13) → Bedroom 3.09 (apartment 13)</x:v>
      </x:c>
      <x:c r="E1347" s="6" t="str">
        <x:v>Reference supplied</x:v>
      </x:c>
      <x:c r="F1347" s="6" t="str">
        <x:v>train</x:v>
      </x:c>
      <x:c r="G1347" s="6" t="str">
        <x:v>swiss-437</x:v>
      </x:c>
      <x:c r="H1347" s="6" t="str">
        <x:v>swiss-437-Q03</x:v>
      </x:c>
      <x:c r="I1347" s="6" t="str">
        <x:v>Route planning</x:v>
      </x:c>
      <x:c r="J1347" s="6" t="str">
        <x:v>Warm-up</x:v>
      </x:c>
      <x:c r="K1347" s="6" t="str">
        <x:v>Ordered space path and directions, plus total route-model distance in metres.</x:v>
      </x:c>
      <x:c r="L1347" s="6" t="str">
        <x:v>T02, T05, T13</x:v>
      </x:c>
      <x:c r="M1347" s="6" t="str">
        <x:v>Find a valid route between two rooms, including across floors.</x:v>
      </x:c>
      <x:c r="N1347" s="6" t="str">
        <x:v>{"from_space_id":"swiss-437-F0-S012","to_space_id":"swiss-437-F3-S009","optimal_length_m":60.42,"space_path":["swiss-437-F0-S012","swiss-437-F0-S008","swiss-437-F0-S009","swiss-437-F0-S027","outside","swiss-437-F0-S026","swiss-437-F1-S039","swiss-437-F2-S039","swiss-437-F3-S039","swiss-437-F3-S011","swiss-437-F3-S007","swiss-437-F3-S004","swiss-437-F3-S009"],"element_path":["swiss-437-F0-O0012","swiss-437-F0-O0012","swiss-437-F0-O0020","swiss-437-F0-O0020","swiss-437-F0-O0009","swiss-437-F0-O0009","swiss-437-F0-O0207","swiss-437-F0-O0207","swiss-437-F0-O0206","swiss-437-F0-O0206","swiss-437-V01","swiss-437-V01","swiss-437-V01","swiss-437-F3-O0110","swiss-437-F3-O0110","swiss-437-F3-O0143","swiss-437-F3-O0143","swiss-437-F3-O0142","swiss-437-F3-O0142","swiss-437-F3-O0115","swiss-437-F3-O0115"]}</x:v>
      </x:c>
      <x:c r="O1347" s="6"/>
      <x:c r="P1347" s="6" t="str">
        <x:v>README routing profile. Stairs and lifts allowed unless stated otherwise.</x:v>
      </x:c>
      <x:c r="Q1347" s="15" t="n">
        <x:v>60.42</x:v>
      </x:c>
      <x:c r="R1347" s="6" t="str">
        <x:v>m</x:v>
      </x:c>
      <x:c r="S1347" s="16"/>
      <x:c r="T1347" s="15"/>
      <x:c r="U1347" s="6"/>
      <x:c r="V1347" s="6"/>
      <x:c r="W1347" s="6" t="str">
        <x:v>Existing find_route and show_route implement the kit routing model.</x:v>
      </x:c>
      <x:c r="X1347" s="6" t="str">
        <x:v>data/train/swiss-437/questions_basic.jsonl</x:v>
      </x:c>
      <x:c r="Y1347" s="14" t="n">
        <x:v>3</x:v>
      </x:c>
      <x:c r="Z1347" s="6" t="str">
        <x:v>https://github.com/hagenhaeussler/Industrial-Agents-Hackathon-2026/blob/f41616590b69f3ea0c1cbfb41d6c35edd9ce53df/data/train/swiss-437/questions_basic.jsonl#L3</x:v>
      </x:c>
      <x:c r="AA1347" s="6" t="str">
        <x:v>swiss_dwellings</x:v>
      </x:c>
      <x:c r="AB1347" s="6" t="str">
        <x:v>CC-BY-4.0</x:v>
      </x:c>
    </x:row>
    <x:row r="1348" ht="138" customHeight="1">
      <x:c r="A1348" s="14" t="n">
        <x:v>1343</x:v>
      </x:c>
      <x:c r="B1348" s="6" t="str">
        <x:v>route</x:v>
      </x:c>
      <x:c r="C1348" s="6" t="str">
        <x:v>How do I get from Bathroom 1.37 (apartment 8) (Floor 1) to Bathroom 5.14 (apartment 20) (Floor 5)?</x:v>
      </x:c>
      <x:c r="D1348" s="6" t="str">
        <x:v>74.1 m
From: Bathroom 1.37 (apartment 8)
To: Bathroom 5.14 (apartment 20)
Ordered path (13 spaces): Bathroom 1.37 (apartment 8) → Corridor 1.35 (apartment 8) → Living room 1.32 (apartment 8) → Corridor 1.36 (apartment 8) → Stair hall 1.39 → Stair hall 2.39 → Stair hall 3.39 → Stair hall 4.21 → Stair hall 5.38 → Corridor 5.12 (apartment 20) → Living room 5.20 (apartment 20) → Corridor 5.18 (apartment 20) → Bathroom 5.14 (apartment 20)</x:v>
      </x:c>
      <x:c r="E1348" s="6" t="str">
        <x:v>Reference supplied</x:v>
      </x:c>
      <x:c r="F1348" s="6" t="str">
        <x:v>train</x:v>
      </x:c>
      <x:c r="G1348" s="6" t="str">
        <x:v>swiss-437</x:v>
      </x:c>
      <x:c r="H1348" s="6" t="str">
        <x:v>swiss-437-Q04</x:v>
      </x:c>
      <x:c r="I1348" s="6" t="str">
        <x:v>Route planning</x:v>
      </x:c>
      <x:c r="J1348" s="6" t="str">
        <x:v>Warm-up</x:v>
      </x:c>
      <x:c r="K1348" s="6" t="str">
        <x:v>Ordered space path and directions, plus total route-model distance in metres.</x:v>
      </x:c>
      <x:c r="L1348" s="6" t="str">
        <x:v>T02, T05, T13</x:v>
      </x:c>
      <x:c r="M1348" s="6" t="str">
        <x:v>Find a valid route between two rooms, including across floors.</x:v>
      </x:c>
      <x:c r="N1348" s="6" t="str">
        <x:v>{"from_space_id":"swiss-437-F1-S037","to_space_id":"swiss-437-F5-S014","optimal_length_m":74.1,"space_path":["swiss-437-F1-S037","swiss-437-F1-S035","swiss-437-F1-S032","swiss-437-F1-S036","swiss-437-F1-S039","swiss-437-F2-S039","swiss-437-F3-S039","swiss-437-F4-S021","swiss-437-F5-S038","swiss-437-F5-S012","swiss-437-F5-S020","swiss-437-F5-S018","swiss-437-F5-S014"],"element_path":["swiss-437-F1-O0052","swiss-437-F1-O0052","swiss-437-F1-O0065","swiss-437-F1-O0065","swiss-437-F1-O0066","swiss-437-F1-O0066","swiss-437-F1-O0053","swiss-437-F1-O0053","swiss-437-V01","swiss-437-V01","swiss-437-V01","swiss-437-V07","swiss-437-F5-O0179","swiss-437-F5-O0179","swiss-437-F5-O0199","swiss-437-F5-O0199","swiss-437-F5-O0177","swiss-437-F5-O0177","swiss-437-F5-O0182","swiss-437-F5-O0182"]}</x:v>
      </x:c>
      <x:c r="O1348" s="6"/>
      <x:c r="P1348" s="6" t="str">
        <x:v>README routing profile. Stairs and lifts allowed unless stated otherwise.</x:v>
      </x:c>
      <x:c r="Q1348" s="15" t="n">
        <x:v>74.1</x:v>
      </x:c>
      <x:c r="R1348" s="6" t="str">
        <x:v>m</x:v>
      </x:c>
      <x:c r="S1348" s="16"/>
      <x:c r="T1348" s="15"/>
      <x:c r="U1348" s="6"/>
      <x:c r="V1348" s="6"/>
      <x:c r="W1348" s="6" t="str">
        <x:v>Existing find_route and show_route implement the kit routing model.</x:v>
      </x:c>
      <x:c r="X1348" s="6" t="str">
        <x:v>data/train/swiss-437/questions_basic.jsonl</x:v>
      </x:c>
      <x:c r="Y1348" s="14" t="n">
        <x:v>4</x:v>
      </x:c>
      <x:c r="Z1348" s="6" t="str">
        <x:v>https://github.com/hagenhaeussler/Industrial-Agents-Hackathon-2026/blob/f41616590b69f3ea0c1cbfb41d6c35edd9ce53df/data/train/swiss-437/questions_basic.jsonl#L4</x:v>
      </x:c>
      <x:c r="AA1348" s="6" t="str">
        <x:v>swiss_dwellings</x:v>
      </x:c>
      <x:c r="AB1348" s="6" t="str">
        <x:v>CC-BY-4.0</x:v>
      </x:c>
    </x:row>
    <x:row r="1349" ht="96" customHeight="1">
      <x:c r="A1349" s="14" t="n">
        <x:v>1344</x:v>
      </x:c>
      <x:c r="B1349" s="6" t="str">
        <x:v>route</x:v>
      </x:c>
      <x:c r="C1349" s="6" t="str">
        <x:v>How do I get from Bathroom 3.26 (apartment 15) (Floor 3) to Bedroom 3.30 (apartment 15) (Floor 3)?</x:v>
      </x:c>
      <x:c r="D1349" s="6" t="str">
        <x:v>13.11 m
From: Bathroom 3.26 (apartment 15)
To: Bedroom 3.30 (apartment 15)
Ordered path (5 spaces): Bathroom 3.26 (apartment 15) → Corridor 3.21 (apartment 15) → Living room 3.22 (apartment 15) → Corridor 3.24 (apartment 15) → Bedroom 3.30 (apartment 15)</x:v>
      </x:c>
      <x:c r="E1349" s="6" t="str">
        <x:v>Reference supplied</x:v>
      </x:c>
      <x:c r="F1349" s="6" t="str">
        <x:v>train</x:v>
      </x:c>
      <x:c r="G1349" s="6" t="str">
        <x:v>swiss-437</x:v>
      </x:c>
      <x:c r="H1349" s="6" t="str">
        <x:v>swiss-437-Q05</x:v>
      </x:c>
      <x:c r="I1349" s="6" t="str">
        <x:v>Route planning</x:v>
      </x:c>
      <x:c r="J1349" s="6" t="str">
        <x:v>Warm-up</x:v>
      </x:c>
      <x:c r="K1349" s="6" t="str">
        <x:v>Ordered space path and directions, plus total route-model distance in metres.</x:v>
      </x:c>
      <x:c r="L1349" s="6" t="str">
        <x:v>T02, T05, T13</x:v>
      </x:c>
      <x:c r="M1349" s="6" t="str">
        <x:v>Find a valid route between two rooms, including across floors.</x:v>
      </x:c>
      <x:c r="N1349" s="6" t="str">
        <x:v>{"from_space_id":"swiss-437-F3-S026","to_space_id":"swiss-437-F3-S030","optimal_length_m":13.11,"space_path":["swiss-437-F3-S026","swiss-437-F3-S021","swiss-437-F3-S022","swiss-437-F3-S024","swiss-437-F3-S030"],"element_path":["swiss-437-F3-O0132","swiss-437-F3-O0132","swiss-437-F3-O0145","swiss-437-F3-O0145","swiss-437-F3-O0146","swiss-437-F3-O0146","swiss-437-F3-O0133","swiss-437-F3-O0133"]}</x:v>
      </x:c>
      <x:c r="O1349" s="6"/>
      <x:c r="P1349" s="6" t="str">
        <x:v>README routing profile. Stairs and lifts allowed unless stated otherwise.</x:v>
      </x:c>
      <x:c r="Q1349" s="15" t="n">
        <x:v>13.11</x:v>
      </x:c>
      <x:c r="R1349" s="6" t="str">
        <x:v>m</x:v>
      </x:c>
      <x:c r="S1349" s="16"/>
      <x:c r="T1349" s="15"/>
      <x:c r="U1349" s="6"/>
      <x:c r="V1349" s="6"/>
      <x:c r="W1349" s="6" t="str">
        <x:v>Existing find_route and show_route implement the kit routing model.</x:v>
      </x:c>
      <x:c r="X1349" s="6" t="str">
        <x:v>data/train/swiss-437/questions_basic.jsonl</x:v>
      </x:c>
      <x:c r="Y1349" s="14" t="n">
        <x:v>5</x:v>
      </x:c>
      <x:c r="Z1349" s="6" t="str">
        <x:v>https://github.com/hagenhaeussler/Industrial-Agents-Hackathon-2026/blob/f41616590b69f3ea0c1cbfb41d6c35edd9ce53df/data/train/swiss-437/questions_basic.jsonl#L5</x:v>
      </x:c>
      <x:c r="AA1349" s="6" t="str">
        <x:v>swiss_dwellings</x:v>
      </x:c>
      <x:c r="AB1349" s="6" t="str">
        <x:v>CC-BY-4.0</x:v>
      </x:c>
    </x:row>
    <x:row r="1350" ht="110" customHeight="1">
      <x:c r="A1350" s="14" t="n">
        <x:v>1345</x:v>
      </x:c>
      <x:c r="B1350" s="6" t="str">
        <x:v>route</x:v>
      </x:c>
      <x:c r="C1350" s="6" t="str">
        <x:v>How do I get from Kitchen 2.20 (apartment 16) (Floor 2) to Living room 1.14 (apartment 10) (Floor 1)?</x:v>
      </x:c>
      <x:c r="D1350" s="6" t="str">
        <x:v>52.8 m
From: Kitchen 2.20 (apartment 16)
To: Living room 1.14 (apartment 10)
Ordered path (9 spaces): Kitchen 2.20 (apartment 16) → Corridor 2.21 (apartment 16) → Stair hall 2.32 → Stair hall 1.32 → Stair hall 0.32 → outside → Stair hall 0.31 → Stair hall 1.31 → Living room 1.14 (apartment 10)</x:v>
      </x:c>
      <x:c r="E1350" s="6" t="str">
        <x:v>Reference supplied</x:v>
      </x:c>
      <x:c r="F1350" s="6" t="str">
        <x:v>train</x:v>
      </x:c>
      <x:c r="G1350" s="6" t="str">
        <x:v>swiss-442</x:v>
      </x:c>
      <x:c r="H1350" s="6" t="str">
        <x:v>swiss-442-Q02</x:v>
      </x:c>
      <x:c r="I1350" s="6" t="str">
        <x:v>Route planning</x:v>
      </x:c>
      <x:c r="J1350" s="6" t="str">
        <x:v>Warm-up</x:v>
      </x:c>
      <x:c r="K1350" s="6" t="str">
        <x:v>Ordered space path and directions, plus total route-model distance in metres.</x:v>
      </x:c>
      <x:c r="L1350" s="6" t="str">
        <x:v>T02, T05, T13</x:v>
      </x:c>
      <x:c r="M1350" s="6" t="str">
        <x:v>Find a valid route between two rooms, including across floors.</x:v>
      </x:c>
      <x:c r="N1350" s="6" t="str">
        <x:v>{"from_space_id":"swiss-442-F2-S020","to_space_id":"swiss-442-F1-S014","optimal_length_m":52.8,"space_path":["swiss-442-F2-S020","swiss-442-F2-S021","swiss-442-F2-S032","swiss-442-F1-S032","swiss-442-F0-S032","outside","swiss-442-F0-S031","swiss-442-F1-S031","swiss-442-F1-S014"],"element_path":["swiss-442-F2-O0098","swiss-442-F2-O0098","swiss-442-F2-O0102","swiss-442-F2-O0102","swiss-442-V07","swiss-442-V05","swiss-442-F0-O0145","swiss-442-F0-O0145","swiss-442-F0-O0144","swiss-442-F0-O0144","swiss-442-V04","swiss-442-F1-O0063","swiss-442-F1-O0063"]}</x:v>
      </x:c>
      <x:c r="O1350" s="6"/>
      <x:c r="P1350" s="6" t="str">
        <x:v>README routing profile. Stairs and lifts allowed unless stated otherwise.</x:v>
      </x:c>
      <x:c r="Q1350" s="15" t="n">
        <x:v>52.8</x:v>
      </x:c>
      <x:c r="R1350" s="6" t="str">
        <x:v>m</x:v>
      </x:c>
      <x:c r="S1350" s="16"/>
      <x:c r="T1350" s="15"/>
      <x:c r="U1350" s="6"/>
      <x:c r="V1350" s="6"/>
      <x:c r="W1350" s="6" t="str">
        <x:v>Existing find_route and show_route implement the kit routing model.</x:v>
      </x:c>
      <x:c r="X1350" s="6" t="str">
        <x:v>data/train/swiss-442/questions_basic.jsonl</x:v>
      </x:c>
      <x:c r="Y1350" s="14" t="n">
        <x:v>2</x:v>
      </x:c>
      <x:c r="Z1350" s="6" t="str">
        <x:v>https://github.com/hagenhaeussler/Industrial-Agents-Hackathon-2026/blob/f41616590b69f3ea0c1cbfb41d6c35edd9ce53df/data/train/swiss-442/questions_basic.jsonl#L2</x:v>
      </x:c>
      <x:c r="AA1350" s="6" t="str">
        <x:v>swiss_dwellings</x:v>
      </x:c>
      <x:c r="AB1350" s="6" t="str">
        <x:v>CC-BY-4.0</x:v>
      </x:c>
    </x:row>
    <x:row r="1351" ht="124" customHeight="1">
      <x:c r="A1351" s="14" t="n">
        <x:v>1346</x:v>
      </x:c>
      <x:c r="B1351" s="6" t="str">
        <x:v>route</x:v>
      </x:c>
      <x:c r="C1351" s="6" t="str">
        <x:v>How do I get from Kitchen 1.21 (apartment 11) (Floor 1) to Bathroom 3.23 (apartment 22) (Floor 3)?</x:v>
      </x:c>
      <x:c r="D1351" s="6" t="str">
        <x:v>73.49 m
From: Kitchen 1.21 (apartment 11)
To: Bathroom 3.23 (apartment 22)
Ordered path (11 spaces): Kitchen 1.21 (apartment 11) → Corridor 1.23 (apartment 11) → Stair hall 1.31 → Stair hall 0.31 → outside → Stair hall 0.33 → Stair hall 1.33 → Stair hall 2.33 → Stair hall 3.30 → Living room 3.26 (apartment 22) → Bathroom 3.23 (apartment 22)</x:v>
      </x:c>
      <x:c r="E1351" s="6" t="str">
        <x:v>Reference supplied</x:v>
      </x:c>
      <x:c r="F1351" s="6" t="str">
        <x:v>train</x:v>
      </x:c>
      <x:c r="G1351" s="6" t="str">
        <x:v>swiss-442</x:v>
      </x:c>
      <x:c r="H1351" s="6" t="str">
        <x:v>swiss-442-Q03</x:v>
      </x:c>
      <x:c r="I1351" s="6" t="str">
        <x:v>Route planning</x:v>
      </x:c>
      <x:c r="J1351" s="6" t="str">
        <x:v>Warm-up</x:v>
      </x:c>
      <x:c r="K1351" s="6" t="str">
        <x:v>Ordered space path and directions, plus total route-model distance in metres.</x:v>
      </x:c>
      <x:c r="L1351" s="6" t="str">
        <x:v>T02, T05, T13</x:v>
      </x:c>
      <x:c r="M1351" s="6" t="str">
        <x:v>Find a valid route between two rooms, including across floors.</x:v>
      </x:c>
      <x:c r="N1351" s="6" t="str">
        <x:v>{"from_space_id":"swiss-442-F1-S021","to_space_id":"swiss-442-F3-S023","optimal_length_m":73.49,"space_path":["swiss-442-F1-S021","swiss-442-F1-S023","swiss-442-F1-S031","swiss-442-F0-S031","outside","swiss-442-F0-S033","swiss-442-F1-S033","swiss-442-F2-S033","swiss-442-F3-S030","swiss-442-F3-S026","swiss-442-F3-S023"],"element_path":["swiss-442-F1-O0065","swiss-442-F1-O0065","swiss-442-F1-O0070","swiss-442-F1-O0070","swiss-442-V04","swiss-442-F0-O0144","swiss-442-F0-O0144","swiss-442-F0-O0146","swiss-442-F0-O0146","swiss-442-V01","swiss-442-V01","swiss-442-V01","swiss-442-F3-O0136","swiss-442-F3-O0136","swiss-442-F3-O0140","swiss-442-F3-O0140"]}</x:v>
      </x:c>
      <x:c r="O1351" s="6"/>
      <x:c r="P1351" s="6" t="str">
        <x:v>README routing profile. Stairs and lifts allowed unless stated otherwise.</x:v>
      </x:c>
      <x:c r="Q1351" s="15" t="n">
        <x:v>73.49</x:v>
      </x:c>
      <x:c r="R1351" s="6" t="str">
        <x:v>m</x:v>
      </x:c>
      <x:c r="S1351" s="16"/>
      <x:c r="T1351" s="15"/>
      <x:c r="U1351" s="6"/>
      <x:c r="V1351" s="6"/>
      <x:c r="W1351" s="6" t="str">
        <x:v>Existing find_route and show_route implement the kit routing model.</x:v>
      </x:c>
      <x:c r="X1351" s="6" t="str">
        <x:v>data/train/swiss-442/questions_basic.jsonl</x:v>
      </x:c>
      <x:c r="Y1351" s="14" t="n">
        <x:v>3</x:v>
      </x:c>
      <x:c r="Z1351" s="6" t="str">
        <x:v>https://github.com/hagenhaeussler/Industrial-Agents-Hackathon-2026/blob/f41616590b69f3ea0c1cbfb41d6c35edd9ce53df/data/train/swiss-442/questions_basic.jsonl#L3</x:v>
      </x:c>
      <x:c r="AA1351" s="6" t="str">
        <x:v>swiss_dwellings</x:v>
      </x:c>
      <x:c r="AB1351" s="6" t="str">
        <x:v>CC-BY-4.0</x:v>
      </x:c>
    </x:row>
    <x:row r="1352" ht="124" customHeight="1">
      <x:c r="A1352" s="14" t="n">
        <x:v>1347</x:v>
      </x:c>
      <x:c r="B1352" s="6" t="str">
        <x:v>route</x:v>
      </x:c>
      <x:c r="C1352" s="6" t="str">
        <x:v>How do I get from Living room 3.18 (apartment 21) (Floor 3) to Kitchen 1.28 (apartment 12) (Floor 1)?</x:v>
      </x:c>
      <x:c r="D1352" s="6" t="str">
        <x:v>68.73 m
From: Living room 3.18 (apartment 21)
To: Kitchen 1.28 (apartment 12)
Ordered path (11 spaces): Living room 3.18 (apartment 21) → Corridor 3.19 (apartment 21) → Stair hall 3.28 → Stair hall 2.31 → Stair hall 1.31 → Stair hall 0.31 → outside → Stair hall 0.33 → Stair hall 1.33 → Corridor 1.30 (apartment 12) → Kitchen 1.28 (apartment 12)</x:v>
      </x:c>
      <x:c r="E1352" s="6" t="str">
        <x:v>Reference supplied</x:v>
      </x:c>
      <x:c r="F1352" s="6" t="str">
        <x:v>train</x:v>
      </x:c>
      <x:c r="G1352" s="6" t="str">
        <x:v>swiss-442</x:v>
      </x:c>
      <x:c r="H1352" s="6" t="str">
        <x:v>swiss-442-Q04</x:v>
      </x:c>
      <x:c r="I1352" s="6" t="str">
        <x:v>Route planning</x:v>
      </x:c>
      <x:c r="J1352" s="6" t="str">
        <x:v>Warm-up</x:v>
      </x:c>
      <x:c r="K1352" s="6" t="str">
        <x:v>Ordered space path and directions, plus total route-model distance in metres.</x:v>
      </x:c>
      <x:c r="L1352" s="6" t="str">
        <x:v>T02, T05, T13</x:v>
      </x:c>
      <x:c r="M1352" s="6" t="str">
        <x:v>Find a valid route between two rooms, including across floors.</x:v>
      </x:c>
      <x:c r="N1352" s="6" t="str">
        <x:v>{"from_space_id":"swiss-442-F3-S018","to_space_id":"swiss-442-F1-S028","optimal_length_m":68.73,"space_path":["swiss-442-F3-S018","swiss-442-F3-S019","swiss-442-F3-S028","swiss-442-F2-S031","swiss-442-F1-S031","swiss-442-F0-S031","outside","swiss-442-F0-S033","swiss-442-F1-S033","swiss-442-F1-S030","swiss-442-F1-S028"],"element_path":["swiss-442-F3-O0132","swiss-442-F3-O0132","swiss-442-F3-O0131","swiss-442-F3-O0131","swiss-442-V08","swiss-442-V06","swiss-442-V04","swiss-442-F0-O0144","swiss-442-F0-O0144","swiss-442-F0-O0146","swiss-442-F0-O0146","swiss-442-V01","swiss-442-F1-O0073","swiss-442-F1-O0073","swiss-442-F1-O0072","swiss-442-F1-O0072"]}</x:v>
      </x:c>
      <x:c r="O1352" s="6"/>
      <x:c r="P1352" s="6" t="str">
        <x:v>README routing profile. Stairs and lifts allowed unless stated otherwise.</x:v>
      </x:c>
      <x:c r="Q1352" s="15" t="n">
        <x:v>68.73</x:v>
      </x:c>
      <x:c r="R1352" s="6" t="str">
        <x:v>m</x:v>
      </x:c>
      <x:c r="S1352" s="16"/>
      <x:c r="T1352" s="15"/>
      <x:c r="U1352" s="6"/>
      <x:c r="V1352" s="6"/>
      <x:c r="W1352" s="6" t="str">
        <x:v>Existing find_route and show_route implement the kit routing model.</x:v>
      </x:c>
      <x:c r="X1352" s="6" t="str">
        <x:v>data/train/swiss-442/questions_basic.jsonl</x:v>
      </x:c>
      <x:c r="Y1352" s="14" t="n">
        <x:v>4</x:v>
      </x:c>
      <x:c r="Z1352" s="6" t="str">
        <x:v>https://github.com/hagenhaeussler/Industrial-Agents-Hackathon-2026/blob/f41616590b69f3ea0c1cbfb41d6c35edd9ce53df/data/train/swiss-442/questions_basic.jsonl#L4</x:v>
      </x:c>
      <x:c r="AA1352" s="6" t="str">
        <x:v>swiss_dwellings</x:v>
      </x:c>
      <x:c r="AB1352" s="6" t="str">
        <x:v>CC-BY-4.0</x:v>
      </x:c>
    </x:row>
    <x:row r="1353" ht="124" customHeight="1">
      <x:c r="A1353" s="14" t="n">
        <x:v>1348</x:v>
      </x:c>
      <x:c r="B1353" s="6" t="str">
        <x:v>route</x:v>
      </x:c>
      <x:c r="C1353" s="6" t="str">
        <x:v>How do I get from Kitchen 1.08 (apartment 10) (Floor 1) to Bedroom 2.12 (apartment 19) (Floor 2)?</x:v>
      </x:c>
      <x:c r="D1353" s="6" t="str">
        <x:v>55.81 m
From: Kitchen 1.08 (apartment 10)
To: Bedroom 2.12 (apartment 19)
Ordered path (11 spaces): Kitchen 1.08 (apartment 10) → Living room 1.11 (apartment 10) → Corridor 1.10 (apartment 10) → Landing 1.56 → Landing 0.56 → outside → Stair hall 0.54 → Stair hall 1.54 → Stair hall 2.54 → Corridor 2.16 (apartment 19) → Bedroom 2.12 (apartment 19)</x:v>
      </x:c>
      <x:c r="E1353" s="6" t="str">
        <x:v>Reference supplied</x:v>
      </x:c>
      <x:c r="F1353" s="6" t="str">
        <x:v>train</x:v>
      </x:c>
      <x:c r="G1353" s="6" t="str">
        <x:v>swiss-474</x:v>
      </x:c>
      <x:c r="H1353" s="6" t="str">
        <x:v>swiss-474-Q02</x:v>
      </x:c>
      <x:c r="I1353" s="6" t="str">
        <x:v>Route planning</x:v>
      </x:c>
      <x:c r="J1353" s="6" t="str">
        <x:v>Warm-up</x:v>
      </x:c>
      <x:c r="K1353" s="6" t="str">
        <x:v>Ordered space path and directions, plus total route-model distance in metres.</x:v>
      </x:c>
      <x:c r="L1353" s="6" t="str">
        <x:v>T02, T05, T13</x:v>
      </x:c>
      <x:c r="M1353" s="6" t="str">
        <x:v>Find a valid route between two rooms, including across floors.</x:v>
      </x:c>
      <x:c r="N1353" s="6" t="str">
        <x:v>{"from_space_id":"swiss-474-F1-S008","to_space_id":"swiss-474-F2-S012","optimal_length_m":55.81,"space_path":["swiss-474-F1-S008","swiss-474-F1-S011","swiss-474-F1-S010","swiss-474-F1-S056","swiss-474-F0-S056","outside","swiss-474-F0-S054","swiss-474-F1-S054","swiss-474-F2-S054","swiss-474-F2-S016","swiss-474-F2-S012"],"element_path":["swiss-474-F1-O0108","swiss-474-F1-O0108","swiss-474-F1-O0068","swiss-474-F1-O0068","swiss-474-F1-O0067","swiss-474-F1-O0067","swiss-474-V03","swiss-474-F0-O0174","swiss-474-F0-O0174","swiss-474-F0-O0172","swiss-474-F0-O0172","swiss-474-V01","swiss-474-V01","swiss-474-F2-O0126","swiss-474-F2-O0126","swiss-474-F2-O0129","swiss-474-F2-O0129"]}</x:v>
      </x:c>
      <x:c r="O1353" s="6"/>
      <x:c r="P1353" s="6" t="str">
        <x:v>README routing profile. Stairs and lifts allowed unless stated otherwise.</x:v>
      </x:c>
      <x:c r="Q1353" s="15" t="n">
        <x:v>55.81</x:v>
      </x:c>
      <x:c r="R1353" s="6" t="str">
        <x:v>m</x:v>
      </x:c>
      <x:c r="S1353" s="16"/>
      <x:c r="T1353" s="15"/>
      <x:c r="U1353" s="6"/>
      <x:c r="V1353" s="6"/>
      <x:c r="W1353" s="6" t="str">
        <x:v>Existing find_route and show_route implement the kit routing model.</x:v>
      </x:c>
      <x:c r="X1353" s="6" t="str">
        <x:v>data/train/swiss-474/questions_basic.jsonl</x:v>
      </x:c>
      <x:c r="Y1353" s="14" t="n">
        <x:v>2</x:v>
      </x:c>
      <x:c r="Z1353" s="6" t="str">
        <x:v>https://github.com/hagenhaeussler/Industrial-Agents-Hackathon-2026/blob/f41616590b69f3ea0c1cbfb41d6c35edd9ce53df/data/train/swiss-474/questions_basic.jsonl#L2</x:v>
      </x:c>
      <x:c r="AA1353" s="6" t="str">
        <x:v>swiss_dwellings</x:v>
      </x:c>
      <x:c r="AB1353" s="6" t="str">
        <x:v>CC-BY-4.0</x:v>
      </x:c>
    </x:row>
    <x:row r="1354" ht="110" customHeight="1">
      <x:c r="A1354" s="14" t="n">
        <x:v>1349</x:v>
      </x:c>
      <x:c r="B1354" s="6" t="str">
        <x:v>route</x:v>
      </x:c>
      <x:c r="C1354" s="6" t="str">
        <x:v>How do I get from Kitchen 0.52 (apartment 8) (Ground floor) to Bedroom 1.19 (apartment 12) (Floor 1)?</x:v>
      </x:c>
      <x:c r="D1354" s="6" t="str">
        <x:v>30.31 m
From: Kitchen 0.52 (apartment 8)
To: Bedroom 1.19 (apartment 12)
Ordered path (9 spaces): Kitchen 0.52 (apartment 8) → Living room 0.49 (apartment 8) → Corridor 0.51 (apartment 8) → Landing 0.58 → outside → Landing 0.56 → Landing 1.56 → Corridor 1.24 (apartment 12) → Bedroom 1.19 (apartment 12)</x:v>
      </x:c>
      <x:c r="E1354" s="6" t="str">
        <x:v>Reference supplied</x:v>
      </x:c>
      <x:c r="F1354" s="6" t="str">
        <x:v>train</x:v>
      </x:c>
      <x:c r="G1354" s="6" t="str">
        <x:v>swiss-474</x:v>
      </x:c>
      <x:c r="H1354" s="6" t="str">
        <x:v>swiss-474-Q03</x:v>
      </x:c>
      <x:c r="I1354" s="6" t="str">
        <x:v>Route planning</x:v>
      </x:c>
      <x:c r="J1354" s="6" t="str">
        <x:v>Warm-up</x:v>
      </x:c>
      <x:c r="K1354" s="6" t="str">
        <x:v>Ordered space path and directions, plus total route-model distance in metres.</x:v>
      </x:c>
      <x:c r="L1354" s="6" t="str">
        <x:v>T02, T05, T13</x:v>
      </x:c>
      <x:c r="M1354" s="6" t="str">
        <x:v>Find a valid route between two rooms, including across floors.</x:v>
      </x:c>
      <x:c r="N1354" s="6" t="str">
        <x:v>{"from_space_id":"swiss-474-F0-S052","to_space_id":"swiss-474-F1-S019","optimal_length_m":30.31,"space_path":["swiss-474-F0-S052","swiss-474-F0-S049","swiss-474-F0-S051","swiss-474-F0-S058","outside","swiss-474-F0-S056","swiss-474-F1-S056","swiss-474-F1-S024","swiss-474-F1-S019"],"element_path":["swiss-474-F0-O0057","swiss-474-F0-O0057","swiss-474-F0-O0046","swiss-474-F0-O0046","swiss-474-F0-O0049","swiss-474-F0-O0049","swiss-474-F0-O0176","swiss-474-F0-O0176","swiss-474-F0-O0174","swiss-474-F0-O0174","swiss-474-V03","swiss-474-F1-O0078","swiss-474-F1-O0078","swiss-474-F1-O0082","swiss-474-F1-O0082"]}</x:v>
      </x:c>
      <x:c r="O1354" s="6"/>
      <x:c r="P1354" s="6" t="str">
        <x:v>README routing profile. Stairs and lifts allowed unless stated otherwise.</x:v>
      </x:c>
      <x:c r="Q1354" s="15" t="n">
        <x:v>30.31</x:v>
      </x:c>
      <x:c r="R1354" s="6" t="str">
        <x:v>m</x:v>
      </x:c>
      <x:c r="S1354" s="16"/>
      <x:c r="T1354" s="15"/>
      <x:c r="U1354" s="6"/>
      <x:c r="V1354" s="6"/>
      <x:c r="W1354" s="6" t="str">
        <x:v>Existing find_route and show_route implement the kit routing model.</x:v>
      </x:c>
      <x:c r="X1354" s="6" t="str">
        <x:v>data/train/swiss-474/questions_basic.jsonl</x:v>
      </x:c>
      <x:c r="Y1354" s="14" t="n">
        <x:v>3</x:v>
      </x:c>
      <x:c r="Z1354" s="6" t="str">
        <x:v>https://github.com/hagenhaeussler/Industrial-Agents-Hackathon-2026/blob/f41616590b69f3ea0c1cbfb41d6c35edd9ce53df/data/train/swiss-474/questions_basic.jsonl#L3</x:v>
      </x:c>
      <x:c r="AA1354" s="6" t="str">
        <x:v>swiss_dwellings</x:v>
      </x:c>
      <x:c r="AB1354" s="6" t="str">
        <x:v>CC-BY-4.0</x:v>
      </x:c>
    </x:row>
    <x:row r="1355" ht="110" customHeight="1">
      <x:c r="A1355" s="14" t="n">
        <x:v>1350</x:v>
      </x:c>
      <x:c r="B1355" s="6" t="str">
        <x:v>route</x:v>
      </x:c>
      <x:c r="C1355" s="6" t="str">
        <x:v>How do I get from Bathroom 0.19 (apartment 3) (Ground floor) to Bathroom 2.51 (apartment 24) (Floor 2)?</x:v>
      </x:c>
      <x:c r="D1355" s="6" t="str">
        <x:v>42.7 m
From: Bathroom 0.19 (apartment 3)
To: Bathroom 2.51 (apartment 24)
Ordered path (9 spaces): Bathroom 0.19 (apartment 3) → Corridor 0.13 (apartment 3) → Landing 0.56 → outside → Landing 0.58 → Landing 1.58 → Landing 2.58 → Corridor 2.47 (apartment 24) → Bathroom 2.51 (apartment 24)</x:v>
      </x:c>
      <x:c r="E1355" s="6" t="str">
        <x:v>Reference supplied</x:v>
      </x:c>
      <x:c r="F1355" s="6" t="str">
        <x:v>train</x:v>
      </x:c>
      <x:c r="G1355" s="6" t="str">
        <x:v>swiss-474</x:v>
      </x:c>
      <x:c r="H1355" s="6" t="str">
        <x:v>swiss-474-Q04</x:v>
      </x:c>
      <x:c r="I1355" s="6" t="str">
        <x:v>Route planning</x:v>
      </x:c>
      <x:c r="J1355" s="6" t="str">
        <x:v>Warm-up</x:v>
      </x:c>
      <x:c r="K1355" s="6" t="str">
        <x:v>Ordered space path and directions, plus total route-model distance in metres.</x:v>
      </x:c>
      <x:c r="L1355" s="6" t="str">
        <x:v>T02, T05, T13</x:v>
      </x:c>
      <x:c r="M1355" s="6" t="str">
        <x:v>Find a valid route between two rooms, including across floors.</x:v>
      </x:c>
      <x:c r="N1355" s="6" t="str">
        <x:v>{"from_space_id":"swiss-474-F0-S019","to_space_id":"swiss-474-F2-S051","optimal_length_m":42.7,"space_path":["swiss-474-F0-S019","swiss-474-F0-S013","swiss-474-F0-S056","outside","swiss-474-F0-S058","swiss-474-F1-S058","swiss-474-F2-S058","swiss-474-F2-S047","swiss-474-F2-S051"],"element_path":["swiss-474-F0-O0017","swiss-474-F0-O0017","swiss-474-F0-O0012","swiss-474-F0-O0012","swiss-474-F0-O0174","swiss-474-F0-O0174","swiss-474-F0-O0176","swiss-474-F0-O0176","swiss-474-V05","swiss-474-V09","swiss-474-F2-O0163","swiss-474-F2-O0163","swiss-474-F2-O0158","swiss-474-F2-O0158"]}</x:v>
      </x:c>
      <x:c r="O1355" s="6"/>
      <x:c r="P1355" s="6" t="str">
        <x:v>README routing profile. Stairs and lifts allowed unless stated otherwise.</x:v>
      </x:c>
      <x:c r="Q1355" s="15" t="n">
        <x:v>42.7</x:v>
      </x:c>
      <x:c r="R1355" s="6" t="str">
        <x:v>m</x:v>
      </x:c>
      <x:c r="S1355" s="16"/>
      <x:c r="T1355" s="15"/>
      <x:c r="U1355" s="6"/>
      <x:c r="V1355" s="6"/>
      <x:c r="W1355" s="6" t="str">
        <x:v>Existing find_route and show_route implement the kit routing model.</x:v>
      </x:c>
      <x:c r="X1355" s="6" t="str">
        <x:v>data/train/swiss-474/questions_basic.jsonl</x:v>
      </x:c>
      <x:c r="Y1355" s="14" t="n">
        <x:v>4</x:v>
      </x:c>
      <x:c r="Z1355" s="6" t="str">
        <x:v>https://github.com/hagenhaeussler/Industrial-Agents-Hackathon-2026/blob/f41616590b69f3ea0c1cbfb41d6c35edd9ce53df/data/train/swiss-474/questions_basic.jsonl#L4</x:v>
      </x:c>
      <x:c r="AA1355" s="6" t="str">
        <x:v>swiss_dwellings</x:v>
      </x:c>
      <x:c r="AB1355" s="6" t="str">
        <x:v>CC-BY-4.0</x:v>
      </x:c>
    </x:row>
    <x:row r="1356" ht="96" customHeight="1">
      <x:c r="A1356" s="14" t="n">
        <x:v>1351</x:v>
      </x:c>
      <x:c r="B1356" s="6" t="str">
        <x:v>route</x:v>
      </x:c>
      <x:c r="C1356" s="6" t="str">
        <x:v>How do I get from Bedroom 3.04 (apartment 4) (Floor 3) to Bedroom 1.08 (apartment 2) (Floor 1)?</x:v>
      </x:c>
      <x:c r="D1356" s="6" t="str">
        <x:v>40.18 m
From: Bedroom 3.04 (apartment 4)
To: Bedroom 1.08 (apartment 2)
Ordered path (7 spaces): Bedroom 3.04 (apartment 4) → Bedroom 3.02 (apartment 4) → Landing 3.09 → Landing 2.09 → Landing 1.10 → Corridor 1.01 (apartment 2) → Bedroom 1.08 (apartment 2)</x:v>
      </x:c>
      <x:c r="E1356" s="6" t="str">
        <x:v>Reference supplied</x:v>
      </x:c>
      <x:c r="F1356" s="6" t="str">
        <x:v>train</x:v>
      </x:c>
      <x:c r="G1356" s="6" t="str">
        <x:v>swiss-4967</x:v>
      </x:c>
      <x:c r="H1356" s="6" t="str">
        <x:v>swiss-4967-Q05</x:v>
      </x:c>
      <x:c r="I1356" s="6" t="str">
        <x:v>Route planning</x:v>
      </x:c>
      <x:c r="J1356" s="6" t="str">
        <x:v>Warm-up</x:v>
      </x:c>
      <x:c r="K1356" s="6" t="str">
        <x:v>Ordered space path and directions, plus total route-model distance in metres.</x:v>
      </x:c>
      <x:c r="L1356" s="6" t="str">
        <x:v>T02, T05, T13</x:v>
      </x:c>
      <x:c r="M1356" s="6" t="str">
        <x:v>Find a valid route between two rooms, including across floors.</x:v>
      </x:c>
      <x:c r="N1356" s="6" t="str">
        <x:v>{"from_space_id":"swiss-4967-F3-S004","to_space_id":"swiss-4967-F1-S008","optimal_length_m":40.18,"space_path":["swiss-4967-F3-S004","swiss-4967-F3-S002","swiss-4967-F3-S009","swiss-4967-F2-S009","swiss-4967-F1-S010","swiss-4967-F1-S001","swiss-4967-F1-S008"],"element_path":["swiss-4967-F3-O0028","swiss-4967-F3-O0028","swiss-4967-F3-O0029","swiss-4967-F3-O0029","swiss-4967-V01","swiss-4967-V01","swiss-4967-F1-O0015","swiss-4967-F1-O0015","swiss-4967-F1-O0011","swiss-4967-F1-O0011"]}</x:v>
      </x:c>
      <x:c r="O1356" s="6"/>
      <x:c r="P1356" s="6" t="str">
        <x:v>README routing profile. Stairs and lifts allowed unless stated otherwise.</x:v>
      </x:c>
      <x:c r="Q1356" s="15" t="n">
        <x:v>40.18</x:v>
      </x:c>
      <x:c r="R1356" s="6" t="str">
        <x:v>m</x:v>
      </x:c>
      <x:c r="S1356" s="16"/>
      <x:c r="T1356" s="15"/>
      <x:c r="U1356" s="6"/>
      <x:c r="V1356" s="6"/>
      <x:c r="W1356" s="6" t="str">
        <x:v>Existing find_route and show_route implement the kit routing model.</x:v>
      </x:c>
      <x:c r="X1356" s="6" t="str">
        <x:v>data/train/swiss-4967/questions_basic.jsonl</x:v>
      </x:c>
      <x:c r="Y1356" s="14" t="n">
        <x:v>5</x:v>
      </x:c>
      <x:c r="Z1356" s="6" t="str">
        <x:v>https://github.com/hagenhaeussler/Industrial-Agents-Hackathon-2026/blob/f41616590b69f3ea0c1cbfb41d6c35edd9ce53df/data/train/swiss-4967/questions_basic.jsonl#L5</x:v>
      </x:c>
      <x:c r="AA1356" s="6" t="str">
        <x:v>swiss_dwellings</x:v>
      </x:c>
      <x:c r="AB1356" s="6" t="str">
        <x:v>CC-BY-4.0</x:v>
      </x:c>
    </x:row>
    <x:row r="1357" ht="96" customHeight="1">
      <x:c r="A1357" s="14" t="n">
        <x:v>1352</x:v>
      </x:c>
      <x:c r="B1357" s="6" t="str">
        <x:v>route</x:v>
      </x:c>
      <x:c r="C1357" s="6" t="str">
        <x:v>How do I get from Bedroom 3.03 (apartment 4) (Floor 3) to Bathroom 4.03 (apartment 5) (Floor 4)?</x:v>
      </x:c>
      <x:c r="D1357" s="6" t="str">
        <x:v>27.66 m
From: Bedroom 3.03 (apartment 4)
To: Bathroom 4.03 (apartment 5)
Ordered path (6 spaces): Bedroom 3.03 (apartment 4) → Corridor 3.08 (apartment 4) → Landing 3.09 → Landing 4.08 → Corridor 4.06 (apartment 5) → Bathroom 4.03 (apartment 5)</x:v>
      </x:c>
      <x:c r="E1357" s="6" t="str">
        <x:v>Reference supplied</x:v>
      </x:c>
      <x:c r="F1357" s="6" t="str">
        <x:v>train</x:v>
      </x:c>
      <x:c r="G1357" s="6" t="str">
        <x:v>swiss-4967</x:v>
      </x:c>
      <x:c r="H1357" s="6" t="str">
        <x:v>swiss-4967-Q06</x:v>
      </x:c>
      <x:c r="I1357" s="6" t="str">
        <x:v>Route planning</x:v>
      </x:c>
      <x:c r="J1357" s="6" t="str">
        <x:v>Warm-up</x:v>
      </x:c>
      <x:c r="K1357" s="6" t="str">
        <x:v>Ordered space path and directions, plus total route-model distance in metres.</x:v>
      </x:c>
      <x:c r="L1357" s="6" t="str">
        <x:v>T02, T05, T13</x:v>
      </x:c>
      <x:c r="M1357" s="6" t="str">
        <x:v>Find a valid route between two rooms, including across floors.</x:v>
      </x:c>
      <x:c r="N1357" s="6" t="str">
        <x:v>{"from_space_id":"swiss-4967-F3-S003","to_space_id":"swiss-4967-F4-S003","optimal_length_m":27.66,"space_path":["swiss-4967-F3-S003","swiss-4967-F3-S008","swiss-4967-F3-S009","swiss-4967-F4-S008","swiss-4967-F4-S006","swiss-4967-F4-S003"],"element_path":["swiss-4967-F3-O0033","swiss-4967-F3-O0033","swiss-4967-F3-O0027","swiss-4967-F3-O0027","swiss-4967-V01","swiss-4967-F4-O0042","swiss-4967-F4-O0042","swiss-4967-F4-O0039","swiss-4967-F4-O0039"]}</x:v>
      </x:c>
      <x:c r="O1357" s="6"/>
      <x:c r="P1357" s="6" t="str">
        <x:v>README routing profile. Stairs and lifts allowed unless stated otherwise.</x:v>
      </x:c>
      <x:c r="Q1357" s="15" t="n">
        <x:v>27.66</x:v>
      </x:c>
      <x:c r="R1357" s="6" t="str">
        <x:v>m</x:v>
      </x:c>
      <x:c r="S1357" s="16"/>
      <x:c r="T1357" s="15"/>
      <x:c r="U1357" s="6"/>
      <x:c r="V1357" s="6"/>
      <x:c r="W1357" s="6" t="str">
        <x:v>Existing find_route and show_route implement the kit routing model.</x:v>
      </x:c>
      <x:c r="X1357" s="6" t="str">
        <x:v>data/train/swiss-4967/questions_basic.jsonl</x:v>
      </x:c>
      <x:c r="Y1357" s="14" t="n">
        <x:v>6</x:v>
      </x:c>
      <x:c r="Z1357" s="6" t="str">
        <x:v>https://github.com/hagenhaeussler/Industrial-Agents-Hackathon-2026/blob/f41616590b69f3ea0c1cbfb41d6c35edd9ce53df/data/train/swiss-4967/questions_basic.jsonl#L6</x:v>
      </x:c>
      <x:c r="AA1357" s="6" t="str">
        <x:v>swiss_dwellings</x:v>
      </x:c>
      <x:c r="AB1357" s="6" t="str">
        <x:v>CC-BY-4.0</x:v>
      </x:c>
    </x:row>
    <x:row r="1358" ht="82" customHeight="1">
      <x:c r="A1358" s="14" t="n">
        <x:v>1353</x:v>
      </x:c>
      <x:c r="B1358" s="6" t="str">
        <x:v>route</x:v>
      </x:c>
      <x:c r="C1358" s="6" t="str">
        <x:v>How do I get from Bathroom 1.05 (apartment 2) (Floor 1) to Bedroom 1.09 (apartment 2) (Floor 1)?</x:v>
      </x:c>
      <x:c r="D1358" s="6" t="str">
        <x:v>7.24 m
From: Bathroom 1.05 (apartment 2)
To: Bedroom 1.09 (apartment 2)
Ordered path (3 spaces): Bathroom 1.05 (apartment 2) → Corridor 1.01 (apartment 2) → Bedroom 1.09 (apartment 2)</x:v>
      </x:c>
      <x:c r="E1358" s="6" t="str">
        <x:v>Reference supplied</x:v>
      </x:c>
      <x:c r="F1358" s="6" t="str">
        <x:v>train</x:v>
      </x:c>
      <x:c r="G1358" s="6" t="str">
        <x:v>swiss-4967</x:v>
      </x:c>
      <x:c r="H1358" s="6" t="str">
        <x:v>swiss-4967-Q07</x:v>
      </x:c>
      <x:c r="I1358" s="6" t="str">
        <x:v>Route planning</x:v>
      </x:c>
      <x:c r="J1358" s="6" t="str">
        <x:v>Warm-up</x:v>
      </x:c>
      <x:c r="K1358" s="6" t="str">
        <x:v>Ordered space path and directions, plus total route-model distance in metres.</x:v>
      </x:c>
      <x:c r="L1358" s="6" t="str">
        <x:v>T02, T05, T13</x:v>
      </x:c>
      <x:c r="M1358" s="6" t="str">
        <x:v>Find a valid route between two rooms, including across floors.</x:v>
      </x:c>
      <x:c r="N1358" s="6" t="str">
        <x:v>{"from_space_id":"swiss-4967-F1-S005","to_space_id":"swiss-4967-F1-S009","optimal_length_m":7.24,"space_path":["swiss-4967-F1-S005","swiss-4967-F1-S001","swiss-4967-F1-S009"],"element_path":["swiss-4967-F1-O0016","swiss-4967-F1-O0016","swiss-4967-F1-O0009","swiss-4967-F1-O0009"]}</x:v>
      </x:c>
      <x:c r="O1358" s="6"/>
      <x:c r="P1358" s="6" t="str">
        <x:v>README routing profile. Stairs and lifts allowed unless stated otherwise.</x:v>
      </x:c>
      <x:c r="Q1358" s="15" t="n">
        <x:v>7.24</x:v>
      </x:c>
      <x:c r="R1358" s="6" t="str">
        <x:v>m</x:v>
      </x:c>
      <x:c r="S1358" s="16"/>
      <x:c r="T1358" s="15"/>
      <x:c r="U1358" s="6"/>
      <x:c r="V1358" s="6"/>
      <x:c r="W1358" s="6" t="str">
        <x:v>Existing find_route and show_route implement the kit routing model.</x:v>
      </x:c>
      <x:c r="X1358" s="6" t="str">
        <x:v>data/train/swiss-4967/questions_basic.jsonl</x:v>
      </x:c>
      <x:c r="Y1358" s="14" t="n">
        <x:v>7</x:v>
      </x:c>
      <x:c r="Z1358" s="6" t="str">
        <x:v>https://github.com/hagenhaeussler/Industrial-Agents-Hackathon-2026/blob/f41616590b69f3ea0c1cbfb41d6c35edd9ce53df/data/train/swiss-4967/questions_basic.jsonl#L7</x:v>
      </x:c>
      <x:c r="AA1358" s="6" t="str">
        <x:v>swiss_dwellings</x:v>
      </x:c>
      <x:c r="AB1358" s="6" t="str">
        <x:v>CC-BY-4.0</x:v>
      </x:c>
    </x:row>
    <x:row r="1359" ht="96" customHeight="1">
      <x:c r="A1359" s="14" t="n">
        <x:v>1354</x:v>
      </x:c>
      <x:c r="B1359" s="6" t="str">
        <x:v>route</x:v>
      </x:c>
      <x:c r="C1359" s="6" t="str">
        <x:v>How do I get from Bathroom 0.03 (apartment 1) (Ground floor) to Bathroom 2.06 (apartment 5) (Floor 2)?</x:v>
      </x:c>
      <x:c r="D1359" s="6" t="str">
        <x:v>39.29 m
From: Bathroom 0.03 (apartment 1)
To: Bathroom 2.06 (apartment 5)
Ordered path (7 spaces): Bathroom 0.03 (apartment 1) → Corridor 0.04 (apartment 1) → Landing 0.16 → Landing 1.18 → Landing 2.18 → Corridor 2.04 (apartment 5) → Bathroom 2.06 (apartment 5)</x:v>
      </x:c>
      <x:c r="E1359" s="6" t="str">
        <x:v>Reference supplied</x:v>
      </x:c>
      <x:c r="F1359" s="6" t="str">
        <x:v>train</x:v>
      </x:c>
      <x:c r="G1359" s="6" t="str">
        <x:v>swiss-5354</x:v>
      </x:c>
      <x:c r="H1359" s="6" t="str">
        <x:v>swiss-5354-Q03</x:v>
      </x:c>
      <x:c r="I1359" s="6" t="str">
        <x:v>Route planning</x:v>
      </x:c>
      <x:c r="J1359" s="6" t="str">
        <x:v>Warm-up</x:v>
      </x:c>
      <x:c r="K1359" s="6" t="str">
        <x:v>Ordered space path and directions, plus total route-model distance in metres.</x:v>
      </x:c>
      <x:c r="L1359" s="6" t="str">
        <x:v>T02, T05, T13</x:v>
      </x:c>
      <x:c r="M1359" s="6" t="str">
        <x:v>Find a valid route between two rooms, including across floors.</x:v>
      </x:c>
      <x:c r="N1359" s="6" t="str">
        <x:v>{"from_space_id":"swiss-5354-F0-S003","to_space_id":"swiss-5354-F2-S006","optimal_length_m":39.29,"space_path":["swiss-5354-F0-S003","swiss-5354-F0-S004","swiss-5354-F0-S016","swiss-5354-F1-S018","swiss-5354-F2-S018","swiss-5354-F2-S004","swiss-5354-F2-S006"],"element_path":["swiss-5354-F0-O0003","swiss-5354-F0-O0003","swiss-5354-F0-O0004","swiss-5354-F0-O0004","swiss-5354-V03","swiss-5354-V04","swiss-5354-F2-O0041","swiss-5354-F2-O0041","swiss-5354-F2-O0043","swiss-5354-F2-O0043"]}</x:v>
      </x:c>
      <x:c r="O1359" s="6"/>
      <x:c r="P1359" s="6" t="str">
        <x:v>README routing profile. Stairs and lifts allowed unless stated otherwise.</x:v>
      </x:c>
      <x:c r="Q1359" s="15" t="n">
        <x:v>39.29</x:v>
      </x:c>
      <x:c r="R1359" s="6" t="str">
        <x:v>m</x:v>
      </x:c>
      <x:c r="S1359" s="16"/>
      <x:c r="T1359" s="15"/>
      <x:c r="U1359" s="6"/>
      <x:c r="V1359" s="6"/>
      <x:c r="W1359" s="6" t="str">
        <x:v>Existing find_route and show_route implement the kit routing model.</x:v>
      </x:c>
      <x:c r="X1359" s="6" t="str">
        <x:v>data/train/swiss-5354/questions_basic.jsonl</x:v>
      </x:c>
      <x:c r="Y1359" s="14" t="n">
        <x:v>3</x:v>
      </x:c>
      <x:c r="Z1359" s="6" t="str">
        <x:v>https://github.com/hagenhaeussler/Industrial-Agents-Hackathon-2026/blob/f41616590b69f3ea0c1cbfb41d6c35edd9ce53df/data/train/swiss-5354/questions_basic.jsonl#L3</x:v>
      </x:c>
      <x:c r="AA1359" s="6" t="str">
        <x:v>swiss_dwellings</x:v>
      </x:c>
      <x:c r="AB1359" s="6" t="str">
        <x:v>CC-BY-4.0</x:v>
      </x:c>
    </x:row>
    <x:row r="1360" ht="96" customHeight="1">
      <x:c r="A1360" s="14" t="n">
        <x:v>1355</x:v>
      </x:c>
      <x:c r="B1360" s="6" t="str">
        <x:v>route</x:v>
      </x:c>
      <x:c r="C1360" s="6" t="str">
        <x:v>How do I get from Bedroom 3.09 (apartment 8) (Floor 3) to Kitchen 4.03 (apartment 9) (Floor 4)?</x:v>
      </x:c>
      <x:c r="D1360" s="6" t="str">
        <x:v>29.27 m
From: Bedroom 3.09 (apartment 8)
To: Kitchen 4.03 (apartment 9)
Ordered path (7 spaces): Bedroom 3.09 (apartment 8) → Corridor 3.15 (apartment 8) → Landing 3.19 → Landing 3.18 → Landing 4.18 → Corridor 4.08 (apartment 9) → Kitchen 4.03 (apartment 9)</x:v>
      </x:c>
      <x:c r="E1360" s="6" t="str">
        <x:v>Reference supplied</x:v>
      </x:c>
      <x:c r="F1360" s="6" t="str">
        <x:v>train</x:v>
      </x:c>
      <x:c r="G1360" s="6" t="str">
        <x:v>swiss-5354</x:v>
      </x:c>
      <x:c r="H1360" s="6" t="str">
        <x:v>swiss-5354-Q04</x:v>
      </x:c>
      <x:c r="I1360" s="6" t="str">
        <x:v>Route planning</x:v>
      </x:c>
      <x:c r="J1360" s="6" t="str">
        <x:v>Warm-up</x:v>
      </x:c>
      <x:c r="K1360" s="6" t="str">
        <x:v>Ordered space path and directions, plus total route-model distance in metres.</x:v>
      </x:c>
      <x:c r="L1360" s="6" t="str">
        <x:v>T02, T05, T13</x:v>
      </x:c>
      <x:c r="M1360" s="6" t="str">
        <x:v>Find a valid route between two rooms, including across floors.</x:v>
      </x:c>
      <x:c r="N1360" s="6" t="str">
        <x:v>{"from_space_id":"swiss-5354-F3-S009","to_space_id":"swiss-5354-F4-S003","optimal_length_m":29.27,"space_path":["swiss-5354-F3-S009","swiss-5354-F3-S015","swiss-5354-F3-S019","swiss-5354-F3-S018","swiss-5354-F4-S018","swiss-5354-F4-S008","swiss-5354-F4-S003"],"element_path":["swiss-5354-F3-O0071","swiss-5354-F3-O0071","swiss-5354-F3-O0066","swiss-5354-F3-O0066","swiss-5354-F3-O0058","swiss-5354-F3-O0058","swiss-5354-V06","swiss-5354-F4-O0083","swiss-5354-F4-O0083","swiss-5354-F4-O0092","swiss-5354-F4-O0092"]}</x:v>
      </x:c>
      <x:c r="O1360" s="6"/>
      <x:c r="P1360" s="6" t="str">
        <x:v>README routing profile. Stairs and lifts allowed unless stated otherwise.</x:v>
      </x:c>
      <x:c r="Q1360" s="15" t="n">
        <x:v>29.27</x:v>
      </x:c>
      <x:c r="R1360" s="6" t="str">
        <x:v>m</x:v>
      </x:c>
      <x:c r="S1360" s="16"/>
      <x:c r="T1360" s="15"/>
      <x:c r="U1360" s="6"/>
      <x:c r="V1360" s="6"/>
      <x:c r="W1360" s="6" t="str">
        <x:v>Existing find_route and show_route implement the kit routing model.</x:v>
      </x:c>
      <x:c r="X1360" s="6" t="str">
        <x:v>data/train/swiss-5354/questions_basic.jsonl</x:v>
      </x:c>
      <x:c r="Y1360" s="14" t="n">
        <x:v>4</x:v>
      </x:c>
      <x:c r="Z1360" s="6" t="str">
        <x:v>https://github.com/hagenhaeussler/Industrial-Agents-Hackathon-2026/blob/f41616590b69f3ea0c1cbfb41d6c35edd9ce53df/data/train/swiss-5354/questions_basic.jsonl#L4</x:v>
      </x:c>
      <x:c r="AA1360" s="6" t="str">
        <x:v>swiss_dwellings</x:v>
      </x:c>
      <x:c r="AB1360" s="6" t="str">
        <x:v>CC-BY-4.0</x:v>
      </x:c>
    </x:row>
    <x:row r="1361" ht="96" customHeight="1">
      <x:c r="A1361" s="14" t="n">
        <x:v>1356</x:v>
      </x:c>
      <x:c r="B1361" s="6" t="str">
        <x:v>route</x:v>
      </x:c>
      <x:c r="C1361" s="6" t="str">
        <x:v>How do I get from Bathroom 3.12 (apartment 8) (Floor 3) to Living room 2.01 (apartment 5) (Floor 2)?</x:v>
      </x:c>
      <x:c r="D1361" s="6" t="str">
        <x:v>31.33 m
From: Bathroom 3.12 (apartment 8)
To: Living room 2.01 (apartment 5)
Ordered path (7 spaces): Bathroom 3.12 (apartment 8) → Corridor 3.15 (apartment 8) → Landing 3.19 → Landing 3.18 → Landing 2.18 → Corridor 2.04 (apartment 5) → Living room 2.01 (apartment 5)</x:v>
      </x:c>
      <x:c r="E1361" s="6" t="str">
        <x:v>Reference supplied</x:v>
      </x:c>
      <x:c r="F1361" s="6" t="str">
        <x:v>train</x:v>
      </x:c>
      <x:c r="G1361" s="6" t="str">
        <x:v>swiss-5354</x:v>
      </x:c>
      <x:c r="H1361" s="6" t="str">
        <x:v>swiss-5354-Q05</x:v>
      </x:c>
      <x:c r="I1361" s="6" t="str">
        <x:v>Route planning</x:v>
      </x:c>
      <x:c r="J1361" s="6" t="str">
        <x:v>Warm-up</x:v>
      </x:c>
      <x:c r="K1361" s="6" t="str">
        <x:v>Ordered space path and directions, plus total route-model distance in metres.</x:v>
      </x:c>
      <x:c r="L1361" s="6" t="str">
        <x:v>T02, T05, T13</x:v>
      </x:c>
      <x:c r="M1361" s="6" t="str">
        <x:v>Find a valid route between two rooms, including across floors.</x:v>
      </x:c>
      <x:c r="N1361" s="6" t="str">
        <x:v>{"from_space_id":"swiss-5354-F3-S012","to_space_id":"swiss-5354-F2-S001","optimal_length_m":31.33,"space_path":["swiss-5354-F3-S012","swiss-5354-F3-S015","swiss-5354-F3-S019","swiss-5354-F3-S018","swiss-5354-F2-S018","swiss-5354-F2-S004","swiss-5354-F2-S001"],"element_path":["swiss-5354-F3-O0065","swiss-5354-F3-O0065","swiss-5354-F3-O0066","swiss-5354-F3-O0066","swiss-5354-F3-O0058","swiss-5354-F3-O0058","swiss-5354-V05","swiss-5354-F2-O0041","swiss-5354-F2-O0041","swiss-5354-F2-O0052","swiss-5354-F2-O0052"]}</x:v>
      </x:c>
      <x:c r="O1361" s="6"/>
      <x:c r="P1361" s="6" t="str">
        <x:v>README routing profile. Stairs and lifts allowed unless stated otherwise.</x:v>
      </x:c>
      <x:c r="Q1361" s="15" t="n">
        <x:v>31.33</x:v>
      </x:c>
      <x:c r="R1361" s="6" t="str">
        <x:v>m</x:v>
      </x:c>
      <x:c r="S1361" s="16"/>
      <x:c r="T1361" s="15"/>
      <x:c r="U1361" s="6"/>
      <x:c r="V1361" s="6"/>
      <x:c r="W1361" s="6" t="str">
        <x:v>Existing find_route and show_route implement the kit routing model.</x:v>
      </x:c>
      <x:c r="X1361" s="6" t="str">
        <x:v>data/train/swiss-5354/questions_basic.jsonl</x:v>
      </x:c>
      <x:c r="Y1361" s="14" t="n">
        <x:v>5</x:v>
      </x:c>
      <x:c r="Z1361" s="6" t="str">
        <x:v>https://github.com/hagenhaeussler/Industrial-Agents-Hackathon-2026/blob/f41616590b69f3ea0c1cbfb41d6c35edd9ce53df/data/train/swiss-5354/questions_basic.jsonl#L5</x:v>
      </x:c>
      <x:c r="AA1361" s="6" t="str">
        <x:v>swiss_dwellings</x:v>
      </x:c>
      <x:c r="AB1361" s="6" t="str">
        <x:v>CC-BY-4.0</x:v>
      </x:c>
    </x:row>
    <x:row r="1362" ht="124" customHeight="1">
      <x:c r="A1362" s="14" t="n">
        <x:v>1357</x:v>
      </x:c>
      <x:c r="B1362" s="6" t="str">
        <x:v>route</x:v>
      </x:c>
      <x:c r="C1362" s="6" t="str">
        <x:v>How do I get from Bedroom 1.06 (apartment 4) (Floor 1) to Bedroom 0.07 (apartment 2) (Ground floor)?</x:v>
      </x:c>
      <x:c r="D1362" s="6" t="str">
        <x:v>34.36 m
From: Bedroom 1.06 (apartment 4)
To: Bedroom 0.07 (apartment 2)
Ordered path (10 spaces): Bedroom 1.06 (apartment 4) → Kitchen 1.10 (apartment 4) → Corridor 1.07 (apartment 4) → Stair hall 1.11 → Landing 0.09 → outside → Landing 0.10 → Corridor 0.06 (apartment 2) → Kitchen 0.04 (apartment 2) → Bedroom 0.07 (apartment 2)</x:v>
      </x:c>
      <x:c r="E1362" s="6" t="str">
        <x:v>Reference supplied</x:v>
      </x:c>
      <x:c r="F1362" s="6" t="str">
        <x:v>train</x:v>
      </x:c>
      <x:c r="G1362" s="6" t="str">
        <x:v>swiss-5422</x:v>
      </x:c>
      <x:c r="H1362" s="6" t="str">
        <x:v>swiss-5422-Q05</x:v>
      </x:c>
      <x:c r="I1362" s="6" t="str">
        <x:v>Route planning</x:v>
      </x:c>
      <x:c r="J1362" s="6" t="str">
        <x:v>Warm-up</x:v>
      </x:c>
      <x:c r="K1362" s="6" t="str">
        <x:v>Ordered space path and directions, plus total route-model distance in metres.</x:v>
      </x:c>
      <x:c r="L1362" s="6" t="str">
        <x:v>T02, T05, T13</x:v>
      </x:c>
      <x:c r="M1362" s="6" t="str">
        <x:v>Find a valid route between two rooms, including across floors.</x:v>
      </x:c>
      <x:c r="N1362" s="6" t="str">
        <x:v>{"from_space_id":"swiss-5422-F1-S006","to_space_id":"swiss-5422-F0-S007","optimal_length_m":34.36,"space_path":["swiss-5422-F1-S006","swiss-5422-F1-S010","swiss-5422-F1-S007","swiss-5422-F1-S011","swiss-5422-F0-S009","outside","swiss-5422-F0-S010","swiss-5422-F0-S006","swiss-5422-F0-S004","swiss-5422-F0-S007"],"element_path":["swiss-5422-F1-O0016","swiss-5422-F1-O0016","swiss-5422-F1-O0012","swiss-5422-F1-O0012","swiss-5422-F1-O0013","swiss-5422-F1-O0013","swiss-5422-V01","swiss-5422-F0-O0026","swiss-5422-F0-O0026","swiss-5422-F0-O0027","swiss-5422-F0-O0027","swiss-5422-F0-O0005","swiss-5422-F0-O0005","swiss-5422-F0-O0009","swiss-5422-F0-O0009","swiss-5422-F0-O0008","swiss-5422-F0-O0008"]}</x:v>
      </x:c>
      <x:c r="O1362" s="6"/>
      <x:c r="P1362" s="6" t="str">
        <x:v>README routing profile. Stairs and lifts allowed unless stated otherwise.</x:v>
      </x:c>
      <x:c r="Q1362" s="15" t="n">
        <x:v>34.36</x:v>
      </x:c>
      <x:c r="R1362" s="6" t="str">
        <x:v>m</x:v>
      </x:c>
      <x:c r="S1362" s="16"/>
      <x:c r="T1362" s="15"/>
      <x:c r="U1362" s="6"/>
      <x:c r="V1362" s="6"/>
      <x:c r="W1362" s="6" t="str">
        <x:v>Existing find_route and show_route implement the kit routing model.</x:v>
      </x:c>
      <x:c r="X1362" s="6" t="str">
        <x:v>data/train/swiss-5422/questions_basic.jsonl</x:v>
      </x:c>
      <x:c r="Y1362" s="14" t="n">
        <x:v>5</x:v>
      </x:c>
      <x:c r="Z1362" s="6" t="str">
        <x:v>https://github.com/hagenhaeussler/Industrial-Agents-Hackathon-2026/blob/f41616590b69f3ea0c1cbfb41d6c35edd9ce53df/data/train/swiss-5422/questions_basic.jsonl#L5</x:v>
      </x:c>
      <x:c r="AA1362" s="6" t="str">
        <x:v>swiss_dwellings</x:v>
      </x:c>
      <x:c r="AB1362" s="6" t="str">
        <x:v>CC-BY-4.0</x:v>
      </x:c>
    </x:row>
    <x:row r="1363" ht="96" customHeight="1">
      <x:c r="A1363" s="14" t="n">
        <x:v>1358</x:v>
      </x:c>
      <x:c r="B1363" s="6" t="str">
        <x:v>route</x:v>
      </x:c>
      <x:c r="C1363" s="6" t="str">
        <x:v>How do I get from Bedroom 0.03 (apartment 1) (Ground floor) to Bedroom 2.03 (apartment 5) (Floor 2)?</x:v>
      </x:c>
      <x:c r="D1363" s="6" t="str">
        <x:v>39.17 m
From: Bedroom 0.03 (apartment 1)
To: Bedroom 2.03 (apartment 5)
Ordered path (7 spaces): Bedroom 0.03 (apartment 1) → Corridor 0.01 (apartment 1) → Landing 0.09 → Stair hall 1.11 → Stair hall 2.08 → Corridor 2.04 (apartment 5) → Bedroom 2.03 (apartment 5)</x:v>
      </x:c>
      <x:c r="E1363" s="6" t="str">
        <x:v>Reference supplied</x:v>
      </x:c>
      <x:c r="F1363" s="6" t="str">
        <x:v>train</x:v>
      </x:c>
      <x:c r="G1363" s="6" t="str">
        <x:v>swiss-5422</x:v>
      </x:c>
      <x:c r="H1363" s="6" t="str">
        <x:v>swiss-5422-Q06</x:v>
      </x:c>
      <x:c r="I1363" s="6" t="str">
        <x:v>Route planning</x:v>
      </x:c>
      <x:c r="J1363" s="6" t="str">
        <x:v>Warm-up</x:v>
      </x:c>
      <x:c r="K1363" s="6" t="str">
        <x:v>Ordered space path and directions, plus total route-model distance in metres.</x:v>
      </x:c>
      <x:c r="L1363" s="6" t="str">
        <x:v>T02, T05, T13</x:v>
      </x:c>
      <x:c r="M1363" s="6" t="str">
        <x:v>Find a valid route between two rooms, including across floors.</x:v>
      </x:c>
      <x:c r="N1363" s="6" t="str">
        <x:v>{"from_space_id":"swiss-5422-F0-S003","to_space_id":"swiss-5422-F2-S003","optimal_length_m":39.17,"space_path":["swiss-5422-F0-S003","swiss-5422-F0-S001","swiss-5422-F0-S009","swiss-5422-F1-S011","swiss-5422-F2-S008","swiss-5422-F2-S004","swiss-5422-F2-S003"],"element_path":["swiss-5422-F0-O0003","swiss-5422-F0-O0003","swiss-5422-F0-O0004","swiss-5422-F0-O0004","swiss-5422-V01","swiss-5422-V01","swiss-5422-F2-O0023","swiss-5422-F2-O0023","swiss-5422-F2-O0022","swiss-5422-F2-O0022"]}</x:v>
      </x:c>
      <x:c r="O1363" s="6"/>
      <x:c r="P1363" s="6" t="str">
        <x:v>README routing profile. Stairs and lifts allowed unless stated otherwise.</x:v>
      </x:c>
      <x:c r="Q1363" s="15" t="n">
        <x:v>39.17</x:v>
      </x:c>
      <x:c r="R1363" s="6" t="str">
        <x:v>m</x:v>
      </x:c>
      <x:c r="S1363" s="16"/>
      <x:c r="T1363" s="15"/>
      <x:c r="U1363" s="6"/>
      <x:c r="V1363" s="6"/>
      <x:c r="W1363" s="6" t="str">
        <x:v>Existing find_route and show_route implement the kit routing model.</x:v>
      </x:c>
      <x:c r="X1363" s="6" t="str">
        <x:v>data/train/swiss-5422/questions_basic.jsonl</x:v>
      </x:c>
      <x:c r="Y1363" s="14" t="n">
        <x:v>6</x:v>
      </x:c>
      <x:c r="Z1363" s="6" t="str">
        <x:v>https://github.com/hagenhaeussler/Industrial-Agents-Hackathon-2026/blob/f41616590b69f3ea0c1cbfb41d6c35edd9ce53df/data/train/swiss-5422/questions_basic.jsonl#L6</x:v>
      </x:c>
      <x:c r="AA1363" s="6" t="str">
        <x:v>swiss_dwellings</x:v>
      </x:c>
      <x:c r="AB1363" s="6" t="str">
        <x:v>CC-BY-4.0</x:v>
      </x:c>
    </x:row>
    <x:row r="1364" ht="110" customHeight="1">
      <x:c r="A1364" s="14" t="n">
        <x:v>1359</x:v>
      </x:c>
      <x:c r="B1364" s="6" t="str">
        <x:v>route</x:v>
      </x:c>
      <x:c r="C1364" s="6" t="str">
        <x:v>How do I get from Bedroom 0.07 (apartment 2) (Ground floor) to Storage 1.09 (apartment 4) (Floor 1)?</x:v>
      </x:c>
      <x:c r="D1364" s="6" t="str">
        <x:v>28 m
From: Bedroom 0.07 (apartment 2)
To: Storage 1.09 (apartment 4)
Ordered path (9 spaces): Bedroom 0.07 (apartment 2) → Kitchen 0.04 (apartment 2) → Corridor 0.06 (apartment 2) → Landing 0.10 → outside → Landing 0.09 → Stair hall 1.11 → Corridor 1.07 (apartment 4) → Storage 1.09 (apartment 4)</x:v>
      </x:c>
      <x:c r="E1364" s="6" t="str">
        <x:v>Reference supplied</x:v>
      </x:c>
      <x:c r="F1364" s="6" t="str">
        <x:v>train</x:v>
      </x:c>
      <x:c r="G1364" s="6" t="str">
        <x:v>swiss-5422</x:v>
      </x:c>
      <x:c r="H1364" s="6" t="str">
        <x:v>swiss-5422-Q07</x:v>
      </x:c>
      <x:c r="I1364" s="6" t="str">
        <x:v>Route planning</x:v>
      </x:c>
      <x:c r="J1364" s="6" t="str">
        <x:v>Warm-up</x:v>
      </x:c>
      <x:c r="K1364" s="6" t="str">
        <x:v>Ordered space path and directions, plus total route-model distance in metres.</x:v>
      </x:c>
      <x:c r="L1364" s="6" t="str">
        <x:v>T02, T05, T13</x:v>
      </x:c>
      <x:c r="M1364" s="6" t="str">
        <x:v>Find a valid route between two rooms, including across floors.</x:v>
      </x:c>
      <x:c r="N1364" s="6" t="str">
        <x:v>{"from_space_id":"swiss-5422-F0-S007","to_space_id":"swiss-5422-F1-S009","optimal_length_m":28,"space_path":["swiss-5422-F0-S007","swiss-5422-F0-S004","swiss-5422-F0-S006","swiss-5422-F0-S010","outside","swiss-5422-F0-S009","swiss-5422-F1-S011","swiss-5422-F1-S007","swiss-5422-F1-S009"],"element_path":["swiss-5422-F0-O0008","swiss-5422-F0-O0008","swiss-5422-F0-O0009","swiss-5422-F0-O0009","swiss-5422-F0-O0005","swiss-5422-F0-O0005","swiss-5422-F0-O0027","swiss-5422-F0-O0027","swiss-5422-F0-O0026","swiss-5422-F0-O0026","swiss-5422-V01","swiss-5422-F1-O0013","swiss-5422-F1-O0013","swiss-5422-F1-O0011","swiss-5422-F1-O0011"]}</x:v>
      </x:c>
      <x:c r="O1364" s="6"/>
      <x:c r="P1364" s="6" t="str">
        <x:v>README routing profile. Stairs and lifts allowed unless stated otherwise.</x:v>
      </x:c>
      <x:c r="Q1364" s="15" t="n">
        <x:v>28</x:v>
      </x:c>
      <x:c r="R1364" s="6" t="str">
        <x:v>m</x:v>
      </x:c>
      <x:c r="S1364" s="16"/>
      <x:c r="T1364" s="15"/>
      <x:c r="U1364" s="6"/>
      <x:c r="V1364" s="6"/>
      <x:c r="W1364" s="6" t="str">
        <x:v>Existing find_route and show_route implement the kit routing model.</x:v>
      </x:c>
      <x:c r="X1364" s="6" t="str">
        <x:v>data/train/swiss-5422/questions_basic.jsonl</x:v>
      </x:c>
      <x:c r="Y1364" s="14" t="n">
        <x:v>7</x:v>
      </x:c>
      <x:c r="Z1364" s="6" t="str">
        <x:v>https://github.com/hagenhaeussler/Industrial-Agents-Hackathon-2026/blob/f41616590b69f3ea0c1cbfb41d6c35edd9ce53df/data/train/swiss-5422/questions_basic.jsonl#L7</x:v>
      </x:c>
      <x:c r="AA1364" s="6" t="str">
        <x:v>swiss_dwellings</x:v>
      </x:c>
      <x:c r="AB1364" s="6" t="str">
        <x:v>CC-BY-4.0</x:v>
      </x:c>
    </x:row>
    <x:row r="1365" ht="96" customHeight="1">
      <x:c r="A1365" s="14" t="n">
        <x:v>1360</x:v>
      </x:c>
      <x:c r="B1365" s="6" t="str">
        <x:v>route</x:v>
      </x:c>
      <x:c r="C1365" s="6" t="str">
        <x:v>How do I get from Bedroom 2.13 (apartment 6) (Floor 2) to Bedroom 5.04 (apartment 11) (Floor 5)?</x:v>
      </x:c>
      <x:c r="D1365" s="6" t="str">
        <x:v>51.08 m
From: Bedroom 2.13 (apartment 6)
To: Bedroom 5.04 (apartment 11)
Ordered path (8 spaces): Bedroom 2.13 (apartment 6) → Corridor 2.16 (apartment 6) → Landing 2.18 → Landing 3.17 → Landing 4.17 → Landing 5.17 → Corridor 5.05 (apartment 11) → Bedroom 5.04 (apartment 11)</x:v>
      </x:c>
      <x:c r="E1365" s="6" t="str">
        <x:v>Reference supplied</x:v>
      </x:c>
      <x:c r="F1365" s="6" t="str">
        <x:v>train</x:v>
      </x:c>
      <x:c r="G1365" s="6" t="str">
        <x:v>swiss-5690</x:v>
      </x:c>
      <x:c r="H1365" s="6" t="str">
        <x:v>swiss-5690-Q03</x:v>
      </x:c>
      <x:c r="I1365" s="6" t="str">
        <x:v>Route planning</x:v>
      </x:c>
      <x:c r="J1365" s="6" t="str">
        <x:v>Warm-up</x:v>
      </x:c>
      <x:c r="K1365" s="6" t="str">
        <x:v>Ordered space path and directions, plus total route-model distance in metres.</x:v>
      </x:c>
      <x:c r="L1365" s="6" t="str">
        <x:v>T02, T05, T13</x:v>
      </x:c>
      <x:c r="M1365" s="6" t="str">
        <x:v>Find a valid route between two rooms, including across floors.</x:v>
      </x:c>
      <x:c r="N1365" s="6" t="str">
        <x:v>{"from_space_id":"swiss-5690-F2-S013","to_space_id":"swiss-5690-F5-S004","optimal_length_m":51.08,"space_path":["swiss-5690-F2-S013","swiss-5690-F2-S016","swiss-5690-F2-S018","swiss-5690-F3-S017","swiss-5690-F4-S017","swiss-5690-F5-S017","swiss-5690-F5-S005","swiss-5690-F5-S004"],"element_path":["swiss-5690-F2-O0049","swiss-5690-F2-O0049","swiss-5690-F2-O0054","swiss-5690-F2-O0054","swiss-5690-V01","swiss-5690-V01","swiss-5690-V01","swiss-5690-F5-O0104","swiss-5690-F5-O0104","swiss-5690-F5-O0099","swiss-5690-F5-O0099"]}</x:v>
      </x:c>
      <x:c r="O1365" s="6"/>
      <x:c r="P1365" s="6" t="str">
        <x:v>README routing profile. Stairs and lifts allowed unless stated otherwise.</x:v>
      </x:c>
      <x:c r="Q1365" s="15" t="n">
        <x:v>51.08</x:v>
      </x:c>
      <x:c r="R1365" s="6" t="str">
        <x:v>m</x:v>
      </x:c>
      <x:c r="S1365" s="16"/>
      <x:c r="T1365" s="15"/>
      <x:c r="U1365" s="6"/>
      <x:c r="V1365" s="6"/>
      <x:c r="W1365" s="6" t="str">
        <x:v>Existing find_route and show_route implement the kit routing model.</x:v>
      </x:c>
      <x:c r="X1365" s="6" t="str">
        <x:v>data/train/swiss-5690/questions_basic.jsonl</x:v>
      </x:c>
      <x:c r="Y1365" s="14" t="n">
        <x:v>3</x:v>
      </x:c>
      <x:c r="Z1365" s="6" t="str">
        <x:v>https://github.com/hagenhaeussler/Industrial-Agents-Hackathon-2026/blob/f41616590b69f3ea0c1cbfb41d6c35edd9ce53df/data/train/swiss-5690/questions_basic.jsonl#L3</x:v>
      </x:c>
      <x:c r="AA1365" s="6" t="str">
        <x:v>swiss_dwellings</x:v>
      </x:c>
      <x:c r="AB1365" s="6" t="str">
        <x:v>CC-BY-4.0</x:v>
      </x:c>
    </x:row>
    <x:row r="1366" ht="138" customHeight="1">
      <x:c r="A1366" s="14" t="n">
        <x:v>1361</x:v>
      </x:c>
      <x:c r="B1366" s="6" t="str">
        <x:v>route</x:v>
      </x:c>
      <x:c r="C1366" s="6" t="str">
        <x:v>How do I get from Kitchen 0.02 (apartment 1) (Ground floor) to Bedroom 4.12 (apartment 10) (Floor 4)?</x:v>
      </x:c>
      <x:c r="D1366" s="6" t="str">
        <x:v>72.03 m
From: Kitchen 0.02 (apartment 1)
To: Bedroom 4.12 (apartment 10)
Ordered path (13 spaces): Kitchen 0.02 (apartment 1) → Corridor 0.03 (apartment 1) → Landing 0.16 → outside → Landing 0.17 → Landing 1.18 → Landing 2.17 → Landing 3.18 → Landing 4.18 → Corridor 4.14 (apartment 10) → Living room 4.16 (apartment 10) → Corridor 4.15 (apartment 10) → Bedroom 4.12 (apartment 10)</x:v>
      </x:c>
      <x:c r="E1366" s="6" t="str">
        <x:v>Reference supplied</x:v>
      </x:c>
      <x:c r="F1366" s="6" t="str">
        <x:v>train</x:v>
      </x:c>
      <x:c r="G1366" s="6" t="str">
        <x:v>swiss-5690</x:v>
      </x:c>
      <x:c r="H1366" s="6" t="str">
        <x:v>swiss-5690-Q04</x:v>
      </x:c>
      <x:c r="I1366" s="6" t="str">
        <x:v>Route planning</x:v>
      </x:c>
      <x:c r="J1366" s="6" t="str">
        <x:v>Warm-up</x:v>
      </x:c>
      <x:c r="K1366" s="6" t="str">
        <x:v>Ordered space path and directions, plus total route-model distance in metres.</x:v>
      </x:c>
      <x:c r="L1366" s="6" t="str">
        <x:v>T02, T05, T13</x:v>
      </x:c>
      <x:c r="M1366" s="6" t="str">
        <x:v>Find a valid route between two rooms, including across floors.</x:v>
      </x:c>
      <x:c r="N1366" s="6" t="str">
        <x:v>{"from_space_id":"swiss-5690-F0-S002","to_space_id":"swiss-5690-F4-S012","optimal_length_m":72.03,"space_path":["swiss-5690-F0-S002","swiss-5690-F0-S003","swiss-5690-F0-S016","outside","swiss-5690-F0-S017","swiss-5690-F1-S018","swiss-5690-F2-S017","swiss-5690-F3-S018","swiss-5690-F4-S018","swiss-5690-F4-S014","swiss-5690-F4-S016","swiss-5690-F4-S015","swiss-5690-F4-S012"],"element_path":["swiss-5690-F0-O0009","swiss-5690-F0-O0009","swiss-5690-F0-O0005","swiss-5690-F0-O0005","swiss-5690-F0-O0115","swiss-5690-F0-O0115","swiss-5690-F0-O0116","swiss-5690-F0-O0116","swiss-5690-V03","swiss-5690-V04","swiss-5690-V05","swiss-5690-V06","swiss-5690-F4-O0092","swiss-5690-F4-O0092","swiss-5690-F4-O0087","swiss-5690-F4-O0087","swiss-5690-F4-O0093","swiss-5690-F4-O0093","swiss-5690-F4-O0091","swiss-5690-F4-O0091"]}</x:v>
      </x:c>
      <x:c r="O1366" s="6"/>
      <x:c r="P1366" s="6" t="str">
        <x:v>README routing profile. Stairs and lifts allowed unless stated otherwise.</x:v>
      </x:c>
      <x:c r="Q1366" s="15" t="n">
        <x:v>72.03</x:v>
      </x:c>
      <x:c r="R1366" s="6" t="str">
        <x:v>m</x:v>
      </x:c>
      <x:c r="S1366" s="16"/>
      <x:c r="T1366" s="15"/>
      <x:c r="U1366" s="6"/>
      <x:c r="V1366" s="6"/>
      <x:c r="W1366" s="6" t="str">
        <x:v>Existing find_route and show_route implement the kit routing model.</x:v>
      </x:c>
      <x:c r="X1366" s="6" t="str">
        <x:v>data/train/swiss-5690/questions_basic.jsonl</x:v>
      </x:c>
      <x:c r="Y1366" s="14" t="n">
        <x:v>4</x:v>
      </x:c>
      <x:c r="Z1366" s="6" t="str">
        <x:v>https://github.com/hagenhaeussler/Industrial-Agents-Hackathon-2026/blob/f41616590b69f3ea0c1cbfb41d6c35edd9ce53df/data/train/swiss-5690/questions_basic.jsonl#L4</x:v>
      </x:c>
      <x:c r="AA1366" s="6" t="str">
        <x:v>swiss_dwellings</x:v>
      </x:c>
      <x:c r="AB1366" s="6" t="str">
        <x:v>CC-BY-4.0</x:v>
      </x:c>
    </x:row>
    <x:row r="1367" ht="124" customHeight="1">
      <x:c r="A1367" s="14" t="n">
        <x:v>1362</x:v>
      </x:c>
      <x:c r="B1367" s="6" t="str">
        <x:v>route</x:v>
      </x:c>
      <x:c r="C1367" s="6" t="str">
        <x:v>How do I get from Bedroom 1.08 (apartment 4) (Floor 1) to Living room 3.09 (apartment 8) (Floor 3)?</x:v>
      </x:c>
      <x:c r="D1367" s="6" t="str">
        <x:v>53.93 m
From: Bedroom 1.08 (apartment 4)
To: Living room 3.09 (apartment 8)
Ordered path (10 spaces): Bedroom 1.08 (apartment 4) → Corridor 1.09 (apartment 4) → Living room 1.11 (apartment 4) → Corridor 1.14 (apartment 4) → Landing 1.18 → Landing 2.17 → Landing 3.18 → Corridor 3.12 (apartment 8) → Living room 3.16 (apartment 8) → Living room 3.09 (apartment 8)</x:v>
      </x:c>
      <x:c r="E1367" s="6" t="str">
        <x:v>Reference supplied</x:v>
      </x:c>
      <x:c r="F1367" s="6" t="str">
        <x:v>train</x:v>
      </x:c>
      <x:c r="G1367" s="6" t="str">
        <x:v>swiss-5690</x:v>
      </x:c>
      <x:c r="H1367" s="6" t="str">
        <x:v>swiss-5690-Q05</x:v>
      </x:c>
      <x:c r="I1367" s="6" t="str">
        <x:v>Route planning</x:v>
      </x:c>
      <x:c r="J1367" s="6" t="str">
        <x:v>Warm-up</x:v>
      </x:c>
      <x:c r="K1367" s="6" t="str">
        <x:v>Ordered space path and directions, plus total route-model distance in metres.</x:v>
      </x:c>
      <x:c r="L1367" s="6" t="str">
        <x:v>T02, T05, T13</x:v>
      </x:c>
      <x:c r="M1367" s="6" t="str">
        <x:v>Find a valid route between two rooms, including across floors.</x:v>
      </x:c>
      <x:c r="N1367" s="6" t="str">
        <x:v>{"from_space_id":"swiss-5690-F1-S008","to_space_id":"swiss-5690-F3-S009","optimal_length_m":53.93,"space_path":["swiss-5690-F1-S008","swiss-5690-F1-S009","swiss-5690-F1-S011","swiss-5690-F1-S014","swiss-5690-F1-S018","swiss-5690-F2-S017","swiss-5690-F3-S018","swiss-5690-F3-S012","swiss-5690-F3-S016","swiss-5690-F3-S009"],"element_path":["swiss-5690-F1-O0031","swiss-5690-F1-O0031","swiss-5690-F1-O0029","swiss-5690-F1-O0029","swiss-5690-F1-O0030","swiss-5690-F1-O0030","swiss-5690-F1-O0037","swiss-5690-F1-O0037","swiss-5690-V04","swiss-5690-V05","swiss-5690-F3-O0072","swiss-5690-F3-O0072","swiss-5690-F3-O0071","swiss-5690-F3-O0071","swiss-5690-F3-O0067","swiss-5690-F3-O0067"]}</x:v>
      </x:c>
      <x:c r="O1367" s="6"/>
      <x:c r="P1367" s="6" t="str">
        <x:v>README routing profile. Stairs and lifts allowed unless stated otherwise.</x:v>
      </x:c>
      <x:c r="Q1367" s="15" t="n">
        <x:v>53.93</x:v>
      </x:c>
      <x:c r="R1367" s="6" t="str">
        <x:v>m</x:v>
      </x:c>
      <x:c r="S1367" s="16"/>
      <x:c r="T1367" s="15"/>
      <x:c r="U1367" s="6"/>
      <x:c r="V1367" s="6"/>
      <x:c r="W1367" s="6" t="str">
        <x:v>Existing find_route and show_route implement the kit routing model.</x:v>
      </x:c>
      <x:c r="X1367" s="6" t="str">
        <x:v>data/train/swiss-5690/questions_basic.jsonl</x:v>
      </x:c>
      <x:c r="Y1367" s="14" t="n">
        <x:v>5</x:v>
      </x:c>
      <x:c r="Z1367" s="6" t="str">
        <x:v>https://github.com/hagenhaeussler/Industrial-Agents-Hackathon-2026/blob/f41616590b69f3ea0c1cbfb41d6c35edd9ce53df/data/train/swiss-5690/questions_basic.jsonl#L5</x:v>
      </x:c>
      <x:c r="AA1367" s="6" t="str">
        <x:v>swiss_dwellings</x:v>
      </x:c>
      <x:c r="AB1367" s="6" t="str">
        <x:v>CC-BY-4.0</x:v>
      </x:c>
    </x:row>
    <x:row r="1368" ht="82" customHeight="1">
      <x:c r="A1368" s="14" t="n">
        <x:v>1363</x:v>
      </x:c>
      <x:c r="B1368" s="6" t="str">
        <x:v>route</x:v>
      </x:c>
      <x:c r="C1368" s="6" t="str">
        <x:v>How do I get from Bedroom 0.04 (apartment 1) (Ground floor) to Bedroom 0.02 (apartment 1) (Ground floor)?</x:v>
      </x:c>
      <x:c r="D1368" s="6" t="str">
        <x:v>10.67 m
From: Bedroom 0.04 (apartment 1)
To: Bedroom 0.02 (apartment 1)
Ordered path (3 spaces): Bedroom 0.04 (apartment 1) → Corridor 0.08 (apartment 1) → Bedroom 0.02 (apartment 1)</x:v>
      </x:c>
      <x:c r="E1368" s="6" t="str">
        <x:v>Reference supplied</x:v>
      </x:c>
      <x:c r="F1368" s="6" t="str">
        <x:v>train</x:v>
      </x:c>
      <x:c r="G1368" s="6" t="str">
        <x:v>swiss-5779</x:v>
      </x:c>
      <x:c r="H1368" s="6" t="str">
        <x:v>swiss-5779-Q05</x:v>
      </x:c>
      <x:c r="I1368" s="6" t="str">
        <x:v>Route planning</x:v>
      </x:c>
      <x:c r="J1368" s="6" t="str">
        <x:v>Warm-up</x:v>
      </x:c>
      <x:c r="K1368" s="6" t="str">
        <x:v>Ordered space path and directions, plus total route-model distance in metres.</x:v>
      </x:c>
      <x:c r="L1368" s="6" t="str">
        <x:v>T02, T05, T13</x:v>
      </x:c>
      <x:c r="M1368" s="6" t="str">
        <x:v>Find a valid route between two rooms, including across floors.</x:v>
      </x:c>
      <x:c r="N1368" s="6" t="str">
        <x:v>{"from_space_id":"swiss-5779-F0-S004","to_space_id":"swiss-5779-F0-S002","optimal_length_m":10.67,"space_path":["swiss-5779-F0-S004","swiss-5779-F0-S008","swiss-5779-F0-S002"],"element_path":["swiss-5779-F0-O0004","swiss-5779-F0-O0004","swiss-5779-F0-O0011","swiss-5779-F0-O0011"]}</x:v>
      </x:c>
      <x:c r="O1368" s="6"/>
      <x:c r="P1368" s="6" t="str">
        <x:v>README routing profile. Stairs and lifts allowed unless stated otherwise.</x:v>
      </x:c>
      <x:c r="Q1368" s="15" t="n">
        <x:v>10.67</x:v>
      </x:c>
      <x:c r="R1368" s="6" t="str">
        <x:v>m</x:v>
      </x:c>
      <x:c r="S1368" s="16"/>
      <x:c r="T1368" s="15"/>
      <x:c r="U1368" s="6"/>
      <x:c r="V1368" s="6"/>
      <x:c r="W1368" s="6" t="str">
        <x:v>Existing find_route and show_route implement the kit routing model.</x:v>
      </x:c>
      <x:c r="X1368" s="6" t="str">
        <x:v>data/train/swiss-5779/questions_basic.jsonl</x:v>
      </x:c>
      <x:c r="Y1368" s="14" t="n">
        <x:v>5</x:v>
      </x:c>
      <x:c r="Z1368" s="6" t="str">
        <x:v>https://github.com/hagenhaeussler/Industrial-Agents-Hackathon-2026/blob/f41616590b69f3ea0c1cbfb41d6c35edd9ce53df/data/train/swiss-5779/questions_basic.jsonl#L5</x:v>
      </x:c>
      <x:c r="AA1368" s="6" t="str">
        <x:v>swiss_dwellings</x:v>
      </x:c>
      <x:c r="AB1368" s="6" t="str">
        <x:v>CC-BY-4.0</x:v>
      </x:c>
    </x:row>
    <x:row r="1369" ht="96" customHeight="1">
      <x:c r="A1369" s="14" t="n">
        <x:v>1364</x:v>
      </x:c>
      <x:c r="B1369" s="6" t="str">
        <x:v>route</x:v>
      </x:c>
      <x:c r="C1369" s="6" t="str">
        <x:v>How do I get from Bathroom 0.01 (apartment 1) (Ground floor) to Kitchen 0.07 (apartment 1) (Ground floor)?</x:v>
      </x:c>
      <x:c r="D1369" s="6" t="str">
        <x:v>12.07 m
From: Bathroom 0.01 (apartment 1)
To: Kitchen 0.07 (apartment 1)
Ordered path (6 spaces): Bathroom 0.01 (apartment 1) → Corridor 0.08 (apartment 1) → Landing 0.11 → outside → Landing 0.09 → Kitchen 0.07 (apartment 1)</x:v>
      </x:c>
      <x:c r="E1369" s="6" t="str">
        <x:v>Reference supplied</x:v>
      </x:c>
      <x:c r="F1369" s="6" t="str">
        <x:v>train</x:v>
      </x:c>
      <x:c r="G1369" s="6" t="str">
        <x:v>swiss-5779</x:v>
      </x:c>
      <x:c r="H1369" s="6" t="str">
        <x:v>swiss-5779-Q06</x:v>
      </x:c>
      <x:c r="I1369" s="6" t="str">
        <x:v>Route planning</x:v>
      </x:c>
      <x:c r="J1369" s="6" t="str">
        <x:v>Warm-up</x:v>
      </x:c>
      <x:c r="K1369" s="6" t="str">
        <x:v>Ordered space path and directions, plus total route-model distance in metres.</x:v>
      </x:c>
      <x:c r="L1369" s="6" t="str">
        <x:v>T02, T05, T13</x:v>
      </x:c>
      <x:c r="M1369" s="6" t="str">
        <x:v>Find a valid route between two rooms, including across floors.</x:v>
      </x:c>
      <x:c r="N1369" s="6" t="str">
        <x:v>{"from_space_id":"swiss-5779-F0-S001","to_space_id":"swiss-5779-F0-S007","optimal_length_m":12.07,"space_path":["swiss-5779-F0-S001","swiss-5779-F0-S008","swiss-5779-F0-S011","outside","swiss-5779-F0-S009","swiss-5779-F0-S007"],"element_path":["swiss-5779-F0-O0005","swiss-5779-F0-O0005","swiss-5779-F0-O0010","swiss-5779-F0-O0010","swiss-5779-F0-O0015","swiss-5779-F0-O0015","swiss-5779-F0-O0013","swiss-5779-F0-O0013","swiss-5779-F0-O0002","swiss-5779-F0-O0002"]}</x:v>
      </x:c>
      <x:c r="O1369" s="6"/>
      <x:c r="P1369" s="6" t="str">
        <x:v>README routing profile. Stairs and lifts allowed unless stated otherwise.</x:v>
      </x:c>
      <x:c r="Q1369" s="15" t="n">
        <x:v>12.07</x:v>
      </x:c>
      <x:c r="R1369" s="6" t="str">
        <x:v>m</x:v>
      </x:c>
      <x:c r="S1369" s="16"/>
      <x:c r="T1369" s="15"/>
      <x:c r="U1369" s="6"/>
      <x:c r="V1369" s="6"/>
      <x:c r="W1369" s="6" t="str">
        <x:v>Existing find_route and show_route implement the kit routing model.</x:v>
      </x:c>
      <x:c r="X1369" s="6" t="str">
        <x:v>data/train/swiss-5779/questions_basic.jsonl</x:v>
      </x:c>
      <x:c r="Y1369" s="14" t="n">
        <x:v>6</x:v>
      </x:c>
      <x:c r="Z1369" s="6" t="str">
        <x:v>https://github.com/hagenhaeussler/Industrial-Agents-Hackathon-2026/blob/f41616590b69f3ea0c1cbfb41d6c35edd9ce53df/data/train/swiss-5779/questions_basic.jsonl#L6</x:v>
      </x:c>
      <x:c r="AA1369" s="6" t="str">
        <x:v>swiss_dwellings</x:v>
      </x:c>
      <x:c r="AB1369" s="6" t="str">
        <x:v>CC-BY-4.0</x:v>
      </x:c>
    </x:row>
    <x:row r="1370" ht="96" customHeight="1">
      <x:c r="A1370" s="14" t="n">
        <x:v>1365</x:v>
      </x:c>
      <x:c r="B1370" s="6" t="str">
        <x:v>route</x:v>
      </x:c>
      <x:c r="C1370" s="6" t="str">
        <x:v>How do I get from Kitchen 0.07 (apartment 1) (Ground floor) to Bathroom 0.03 (apartment 1) (Ground floor)?</x:v>
      </x:c>
      <x:c r="D1370" s="6" t="str">
        <x:v>17.27 m
From: Kitchen 0.07 (apartment 1)
To: Bathroom 0.03 (apartment 1)
Ordered path (6 spaces): Kitchen 0.07 (apartment 1) → Landing 0.09 → outside → Landing 0.11 → Corridor 0.08 (apartment 1) → Bathroom 0.03 (apartment 1)</x:v>
      </x:c>
      <x:c r="E1370" s="6" t="str">
        <x:v>Reference supplied</x:v>
      </x:c>
      <x:c r="F1370" s="6" t="str">
        <x:v>train</x:v>
      </x:c>
      <x:c r="G1370" s="6" t="str">
        <x:v>swiss-5779</x:v>
      </x:c>
      <x:c r="H1370" s="6" t="str">
        <x:v>swiss-5779-Q07</x:v>
      </x:c>
      <x:c r="I1370" s="6" t="str">
        <x:v>Route planning</x:v>
      </x:c>
      <x:c r="J1370" s="6" t="str">
        <x:v>Warm-up</x:v>
      </x:c>
      <x:c r="K1370" s="6" t="str">
        <x:v>Ordered space path and directions, plus total route-model distance in metres.</x:v>
      </x:c>
      <x:c r="L1370" s="6" t="str">
        <x:v>T02, T05, T13</x:v>
      </x:c>
      <x:c r="M1370" s="6" t="str">
        <x:v>Find a valid route between two rooms, including across floors.</x:v>
      </x:c>
      <x:c r="N1370" s="6" t="str">
        <x:v>{"from_space_id":"swiss-5779-F0-S007","to_space_id":"swiss-5779-F0-S003","optimal_length_m":17.27,"space_path":["swiss-5779-F0-S007","swiss-5779-F0-S009","outside","swiss-5779-F0-S011","swiss-5779-F0-S008","swiss-5779-F0-S003"],"element_path":["swiss-5779-F0-O0002","swiss-5779-F0-O0002","swiss-5779-F0-O0013","swiss-5779-F0-O0013","swiss-5779-F0-O0015","swiss-5779-F0-O0015","swiss-5779-F0-O0010","swiss-5779-F0-O0010","swiss-5779-F0-O0006","swiss-5779-F0-O0006"]}</x:v>
      </x:c>
      <x:c r="O1370" s="6"/>
      <x:c r="P1370" s="6" t="str">
        <x:v>README routing profile. Stairs and lifts allowed unless stated otherwise.</x:v>
      </x:c>
      <x:c r="Q1370" s="15" t="n">
        <x:v>17.27</x:v>
      </x:c>
      <x:c r="R1370" s="6" t="str">
        <x:v>m</x:v>
      </x:c>
      <x:c r="S1370" s="16"/>
      <x:c r="T1370" s="15"/>
      <x:c r="U1370" s="6"/>
      <x:c r="V1370" s="6"/>
      <x:c r="W1370" s="6" t="str">
        <x:v>Existing find_route and show_route implement the kit routing model.</x:v>
      </x:c>
      <x:c r="X1370" s="6" t="str">
        <x:v>data/train/swiss-5779/questions_basic.jsonl</x:v>
      </x:c>
      <x:c r="Y1370" s="14" t="n">
        <x:v>7</x:v>
      </x:c>
      <x:c r="Z1370" s="6" t="str">
        <x:v>https://github.com/hagenhaeussler/Industrial-Agents-Hackathon-2026/blob/f41616590b69f3ea0c1cbfb41d6c35edd9ce53df/data/train/swiss-5779/questions_basic.jsonl#L7</x:v>
      </x:c>
      <x:c r="AA1370" s="6" t="str">
        <x:v>swiss_dwellings</x:v>
      </x:c>
      <x:c r="AB1370" s="6" t="str">
        <x:v>CC-BY-4.0</x:v>
      </x:c>
    </x:row>
    <x:row r="1371" ht="96" customHeight="1">
      <x:c r="A1371" s="14" t="n">
        <x:v>1366</x:v>
      </x:c>
      <x:c r="B1371" s="6" t="str">
        <x:v>route</x:v>
      </x:c>
      <x:c r="C1371" s="6" t="str">
        <x:v>How do I get from Bathroom 2.03 (apartment 3) (Floor 2) to Bedroom 0.10 (apartment 1) (Ground floor)?</x:v>
      </x:c>
      <x:c r="D1371" s="6" t="str">
        <x:v>37.81 m
From: Bathroom 2.03 (apartment 3)
To: Bedroom 0.10 (apartment 1)
Ordered path (7 spaces): Bathroom 2.03 (apartment 3) → Corridor 2.09 (apartment 3) → Landing 2.11 → Landing 1.11 → Landing 0.11 → Corridor 0.09 (apartment 1) → Bedroom 0.10 (apartment 1)</x:v>
      </x:c>
      <x:c r="E1371" s="6" t="str">
        <x:v>Reference supplied</x:v>
      </x:c>
      <x:c r="F1371" s="6" t="str">
        <x:v>train</x:v>
      </x:c>
      <x:c r="G1371" s="6" t="str">
        <x:v>swiss-59</x:v>
      </x:c>
      <x:c r="H1371" s="6" t="str">
        <x:v>swiss-59-Q03</x:v>
      </x:c>
      <x:c r="I1371" s="6" t="str">
        <x:v>Route planning</x:v>
      </x:c>
      <x:c r="J1371" s="6" t="str">
        <x:v>Warm-up</x:v>
      </x:c>
      <x:c r="K1371" s="6" t="str">
        <x:v>Ordered space path and directions, plus total route-model distance in metres.</x:v>
      </x:c>
      <x:c r="L1371" s="6" t="str">
        <x:v>T02, T05, T13</x:v>
      </x:c>
      <x:c r="M1371" s="6" t="str">
        <x:v>Find a valid route between two rooms, including across floors.</x:v>
      </x:c>
      <x:c r="N1371" s="6" t="str">
        <x:v>{"from_space_id":"swiss-59-F2-S003","to_space_id":"swiss-59-F0-S010","optimal_length_m":37.81,"space_path":["swiss-59-F2-S003","swiss-59-F2-S009","swiss-59-F2-S011","swiss-59-F1-S011","swiss-59-F0-S011","swiss-59-F0-S009","swiss-59-F0-S010"],"element_path":["swiss-59-F2-O0029","swiss-59-F2-O0029","swiss-59-F2-O0025","swiss-59-F2-O0025","swiss-59-V01","swiss-59-V01","swiss-59-F0-O0010","swiss-59-F0-O0010","swiss-59-F0-O0001","swiss-59-F0-O0001"]}</x:v>
      </x:c>
      <x:c r="O1371" s="6"/>
      <x:c r="P1371" s="6" t="str">
        <x:v>README routing profile. Stairs and lifts allowed unless stated otherwise.</x:v>
      </x:c>
      <x:c r="Q1371" s="15" t="n">
        <x:v>37.81</x:v>
      </x:c>
      <x:c r="R1371" s="6" t="str">
        <x:v>m</x:v>
      </x:c>
      <x:c r="S1371" s="16"/>
      <x:c r="T1371" s="15"/>
      <x:c r="U1371" s="6"/>
      <x:c r="V1371" s="6"/>
      <x:c r="W1371" s="6" t="str">
        <x:v>Existing find_route and show_route implement the kit routing model.</x:v>
      </x:c>
      <x:c r="X1371" s="6" t="str">
        <x:v>data/train/swiss-59/questions_basic.jsonl</x:v>
      </x:c>
      <x:c r="Y1371" s="14" t="n">
        <x:v>3</x:v>
      </x:c>
      <x:c r="Z1371" s="6" t="str">
        <x:v>https://github.com/hagenhaeussler/Industrial-Agents-Hackathon-2026/blob/f41616590b69f3ea0c1cbfb41d6c35edd9ce53df/data/train/swiss-59/questions_basic.jsonl#L3</x:v>
      </x:c>
      <x:c r="AA1371" s="6" t="str">
        <x:v>swiss_dwellings</x:v>
      </x:c>
      <x:c r="AB1371" s="6" t="str">
        <x:v>CC-BY-4.0</x:v>
      </x:c>
    </x:row>
    <x:row r="1372" ht="82" customHeight="1">
      <x:c r="A1372" s="14" t="n">
        <x:v>1367</x:v>
      </x:c>
      <x:c r="B1372" s="6" t="str">
        <x:v>route</x:v>
      </x:c>
      <x:c r="C1372" s="6" t="str">
        <x:v>How do I get from Bedroom 0.04 (apartment 1) (Ground floor) to Bathroom 0.08 (apartment 1) (Ground floor)?</x:v>
      </x:c>
      <x:c r="D1372" s="6" t="str">
        <x:v>5.62 m
From: Bedroom 0.04 (apartment 1)
To: Bathroom 0.08 (apartment 1)
Ordered path (3 spaces): Bedroom 0.04 (apartment 1) → Corridor 0.09 (apartment 1) → Bathroom 0.08 (apartment 1)</x:v>
      </x:c>
      <x:c r="E1372" s="6" t="str">
        <x:v>Reference supplied</x:v>
      </x:c>
      <x:c r="F1372" s="6" t="str">
        <x:v>train</x:v>
      </x:c>
      <x:c r="G1372" s="6" t="str">
        <x:v>swiss-59</x:v>
      </x:c>
      <x:c r="H1372" s="6" t="str">
        <x:v>swiss-59-Q04</x:v>
      </x:c>
      <x:c r="I1372" s="6" t="str">
        <x:v>Route planning</x:v>
      </x:c>
      <x:c r="J1372" s="6" t="str">
        <x:v>Warm-up</x:v>
      </x:c>
      <x:c r="K1372" s="6" t="str">
        <x:v>Ordered space path and directions, plus total route-model distance in metres.</x:v>
      </x:c>
      <x:c r="L1372" s="6" t="str">
        <x:v>T02, T05, T13</x:v>
      </x:c>
      <x:c r="M1372" s="6" t="str">
        <x:v>Find a valid route between two rooms, including across floors.</x:v>
      </x:c>
      <x:c r="N1372" s="6" t="str">
        <x:v>{"from_space_id":"swiss-59-F0-S004","to_space_id":"swiss-59-F0-S008","optimal_length_m":5.62,"space_path":["swiss-59-F0-S004","swiss-59-F0-S009","swiss-59-F0-S008"],"element_path":["swiss-59-F0-O0009","swiss-59-F0-O0009","swiss-59-F0-O0005","swiss-59-F0-O0005"]}</x:v>
      </x:c>
      <x:c r="O1372" s="6"/>
      <x:c r="P1372" s="6" t="str">
        <x:v>README routing profile. Stairs and lifts allowed unless stated otherwise.</x:v>
      </x:c>
      <x:c r="Q1372" s="15" t="n">
        <x:v>5.62</x:v>
      </x:c>
      <x:c r="R1372" s="6" t="str">
        <x:v>m</x:v>
      </x:c>
      <x:c r="S1372" s="16"/>
      <x:c r="T1372" s="15"/>
      <x:c r="U1372" s="6"/>
      <x:c r="V1372" s="6"/>
      <x:c r="W1372" s="6" t="str">
        <x:v>Existing find_route and show_route implement the kit routing model.</x:v>
      </x:c>
      <x:c r="X1372" s="6" t="str">
        <x:v>data/train/swiss-59/questions_basic.jsonl</x:v>
      </x:c>
      <x:c r="Y1372" s="14" t="n">
        <x:v>4</x:v>
      </x:c>
      <x:c r="Z1372" s="6" t="str">
        <x:v>https://github.com/hagenhaeussler/Industrial-Agents-Hackathon-2026/blob/f41616590b69f3ea0c1cbfb41d6c35edd9ce53df/data/train/swiss-59/questions_basic.jsonl#L4</x:v>
      </x:c>
      <x:c r="AA1372" s="6" t="str">
        <x:v>swiss_dwellings</x:v>
      </x:c>
      <x:c r="AB1372" s="6" t="str">
        <x:v>CC-BY-4.0</x:v>
      </x:c>
    </x:row>
    <x:row r="1373" ht="82" customHeight="1">
      <x:c r="A1373" s="14" t="n">
        <x:v>1368</x:v>
      </x:c>
      <x:c r="B1373" s="6" t="str">
        <x:v>route</x:v>
      </x:c>
      <x:c r="C1373" s="6" t="str">
        <x:v>How do I get from Kitchen 0.06 (apartment 1) (Ground floor) to Bathroom 0.05 (apartment 1) (Ground floor)?</x:v>
      </x:c>
      <x:c r="D1373" s="6" t="str">
        <x:v>5.4 m
From: Kitchen 0.06 (apartment 1)
To: Bathroom 0.05 (apartment 1)
Ordered path (3 spaces): Kitchen 0.06 (apartment 1) → Corridor 0.09 (apartment 1) → Bathroom 0.05 (apartment 1)</x:v>
      </x:c>
      <x:c r="E1373" s="6" t="str">
        <x:v>Reference supplied</x:v>
      </x:c>
      <x:c r="F1373" s="6" t="str">
        <x:v>train</x:v>
      </x:c>
      <x:c r="G1373" s="6" t="str">
        <x:v>swiss-59</x:v>
      </x:c>
      <x:c r="H1373" s="6" t="str">
        <x:v>swiss-59-Q05</x:v>
      </x:c>
      <x:c r="I1373" s="6" t="str">
        <x:v>Route planning</x:v>
      </x:c>
      <x:c r="J1373" s="6" t="str">
        <x:v>Warm-up</x:v>
      </x:c>
      <x:c r="K1373" s="6" t="str">
        <x:v>Ordered space path and directions, plus total route-model distance in metres.</x:v>
      </x:c>
      <x:c r="L1373" s="6" t="str">
        <x:v>T02, T05, T13</x:v>
      </x:c>
      <x:c r="M1373" s="6" t="str">
        <x:v>Find a valid route between two rooms, including across floors.</x:v>
      </x:c>
      <x:c r="N1373" s="6" t="str">
        <x:v>{"from_space_id":"swiss-59-F0-S006","to_space_id":"swiss-59-F0-S005","optimal_length_m":5.4,"space_path":["swiss-59-F0-S006","swiss-59-F0-S009","swiss-59-F0-S005"],"element_path":["swiss-59-F0-O0007","swiss-59-F0-O0007","swiss-59-F0-O0006","swiss-59-F0-O0006"]}</x:v>
      </x:c>
      <x:c r="O1373" s="6"/>
      <x:c r="P1373" s="6" t="str">
        <x:v>README routing profile. Stairs and lifts allowed unless stated otherwise.</x:v>
      </x:c>
      <x:c r="Q1373" s="15" t="n">
        <x:v>5.4</x:v>
      </x:c>
      <x:c r="R1373" s="6" t="str">
        <x:v>m</x:v>
      </x:c>
      <x:c r="S1373" s="16"/>
      <x:c r="T1373" s="15"/>
      <x:c r="U1373" s="6"/>
      <x:c r="V1373" s="6"/>
      <x:c r="W1373" s="6" t="str">
        <x:v>Existing find_route and show_route implement the kit routing model.</x:v>
      </x:c>
      <x:c r="X1373" s="6" t="str">
        <x:v>data/train/swiss-59/questions_basic.jsonl</x:v>
      </x:c>
      <x:c r="Y1373" s="14" t="n">
        <x:v>5</x:v>
      </x:c>
      <x:c r="Z1373" s="6" t="str">
        <x:v>https://github.com/hagenhaeussler/Industrial-Agents-Hackathon-2026/blob/f41616590b69f3ea0c1cbfb41d6c35edd9ce53df/data/train/swiss-59/questions_basic.jsonl#L5</x:v>
      </x:c>
      <x:c r="AA1373" s="6" t="str">
        <x:v>swiss_dwellings</x:v>
      </x:c>
      <x:c r="AB1373" s="6" t="str">
        <x:v>CC-BY-4.0</x:v>
      </x:c>
    </x:row>
    <x:row r="1374" ht="96" customHeight="1">
      <x:c r="A1374" s="14" t="n">
        <x:v>1369</x:v>
      </x:c>
      <x:c r="B1374" s="6" t="str">
        <x:v>route</x:v>
      </x:c>
      <x:c r="C1374" s="6" t="str">
        <x:v>How do I get from Living room 0.03 (apartment 1) (Ground floor) to Kitchen 1.02 (apartment 3) (Floor 1)?</x:v>
      </x:c>
      <x:c r="D1374" s="6" t="str">
        <x:v>28.49 m
From: Living room 0.03 (apartment 1)
To: Kitchen 1.02 (apartment 3)
Ordered path (6 spaces): Living room 0.03 (apartment 1) → Corridor 0.02 (apartment 1) → Stair hall 0.08 → Stair hall 1.11 → Corridor 1.01 (apartment 3) → Kitchen 1.02 (apartment 3)</x:v>
      </x:c>
      <x:c r="E1374" s="6" t="str">
        <x:v>Reference supplied</x:v>
      </x:c>
      <x:c r="F1374" s="6" t="str">
        <x:v>train</x:v>
      </x:c>
      <x:c r="G1374" s="6" t="str">
        <x:v>swiss-6148</x:v>
      </x:c>
      <x:c r="H1374" s="6" t="str">
        <x:v>swiss-6148-Q04</x:v>
      </x:c>
      <x:c r="I1374" s="6" t="str">
        <x:v>Route planning</x:v>
      </x:c>
      <x:c r="J1374" s="6" t="str">
        <x:v>Warm-up</x:v>
      </x:c>
      <x:c r="K1374" s="6" t="str">
        <x:v>Ordered space path and directions, plus total route-model distance in metres.</x:v>
      </x:c>
      <x:c r="L1374" s="6" t="str">
        <x:v>T02, T05, T13</x:v>
      </x:c>
      <x:c r="M1374" s="6" t="str">
        <x:v>Find a valid route between two rooms, including across floors.</x:v>
      </x:c>
      <x:c r="N1374" s="6" t="str">
        <x:v>{"from_space_id":"swiss-6148-F0-S003","to_space_id":"swiss-6148-F1-S002","optimal_length_m":28.49,"space_path":["swiss-6148-F0-S003","swiss-6148-F0-S002","swiss-6148-F0-S008","swiss-6148-F1-S011","swiss-6148-F1-S001","swiss-6148-F1-S002"],"element_path":["swiss-6148-F0-O0003","swiss-6148-F0-O0003","swiss-6148-F0-O0001","swiss-6148-F0-O0001","swiss-6148-V01","swiss-6148-F1-O0009","swiss-6148-F1-O0009","swiss-6148-F1-O0016","swiss-6148-F1-O0016"]}</x:v>
      </x:c>
      <x:c r="O1374" s="6"/>
      <x:c r="P1374" s="6" t="str">
        <x:v>README routing profile. Stairs and lifts allowed unless stated otherwise.</x:v>
      </x:c>
      <x:c r="Q1374" s="15" t="n">
        <x:v>28.49</x:v>
      </x:c>
      <x:c r="R1374" s="6" t="str">
        <x:v>m</x:v>
      </x:c>
      <x:c r="S1374" s="16"/>
      <x:c r="T1374" s="15"/>
      <x:c r="U1374" s="6"/>
      <x:c r="V1374" s="6"/>
      <x:c r="W1374" s="6" t="str">
        <x:v>Existing find_route and show_route implement the kit routing model.</x:v>
      </x:c>
      <x:c r="X1374" s="6" t="str">
        <x:v>data/train/swiss-6148/questions_basic.jsonl</x:v>
      </x:c>
      <x:c r="Y1374" s="14" t="n">
        <x:v>4</x:v>
      </x:c>
      <x:c r="Z1374" s="6" t="str">
        <x:v>https://github.com/hagenhaeussler/Industrial-Agents-Hackathon-2026/blob/f41616590b69f3ea0c1cbfb41d6c35edd9ce53df/data/train/swiss-6148/questions_basic.jsonl#L4</x:v>
      </x:c>
      <x:c r="AA1374" s="6" t="str">
        <x:v>swiss_dwellings</x:v>
      </x:c>
      <x:c r="AB1374" s="6" t="str">
        <x:v>CC-BY-4.0</x:v>
      </x:c>
    </x:row>
    <x:row r="1375" ht="110" customHeight="1">
      <x:c r="A1375" s="14" t="n">
        <x:v>1370</x:v>
      </x:c>
      <x:c r="B1375" s="6" t="str">
        <x:v>route</x:v>
      </x:c>
      <x:c r="C1375" s="6" t="str">
        <x:v>How do I get from Kitchen 1.07 (apartment 4) (Floor 1) to Bedroom 2.05 (apartment 5) (Floor 2)?</x:v>
      </x:c>
      <x:c r="D1375" s="6" t="str">
        <x:v>48.39 m
From: Kitchen 1.07 (apartment 4)
To: Bedroom 2.05 (apartment 5)
Ordered path (10 spaces): Kitchen 1.07 (apartment 4) → Corridor 1.08 (apartment 4) → Landing 1.12 → Landing 0.09 → outside → Stair hall 0.08 → Stair hall 1.11 → Landing 2.07 → Corridor 2.01 (apartment 5) → Bedroom 2.05 (apartment 5)</x:v>
      </x:c>
      <x:c r="E1375" s="6" t="str">
        <x:v>Reference supplied</x:v>
      </x:c>
      <x:c r="F1375" s="6" t="str">
        <x:v>train</x:v>
      </x:c>
      <x:c r="G1375" s="6" t="str">
        <x:v>swiss-6148</x:v>
      </x:c>
      <x:c r="H1375" s="6" t="str">
        <x:v>swiss-6148-Q05</x:v>
      </x:c>
      <x:c r="I1375" s="6" t="str">
        <x:v>Route planning</x:v>
      </x:c>
      <x:c r="J1375" s="6" t="str">
        <x:v>Warm-up</x:v>
      </x:c>
      <x:c r="K1375" s="6" t="str">
        <x:v>Ordered space path and directions, plus total route-model distance in metres.</x:v>
      </x:c>
      <x:c r="L1375" s="6" t="str">
        <x:v>T02, T05, T13</x:v>
      </x:c>
      <x:c r="M1375" s="6" t="str">
        <x:v>Find a valid route between two rooms, including across floors.</x:v>
      </x:c>
      <x:c r="N1375" s="6" t="str">
        <x:v>{"from_space_id":"swiss-6148-F1-S007","to_space_id":"swiss-6148-F2-S005","optimal_length_m":48.39,"space_path":["swiss-6148-F1-S007","swiss-6148-F1-S008","swiss-6148-F1-S012","swiss-6148-F0-S009","outside","swiss-6148-F0-S008","swiss-6148-F1-S011","swiss-6148-F2-S007","swiss-6148-F2-S001","swiss-6148-F2-S005"],"element_path":["swiss-6148-F1-O0017","swiss-6148-F1-O0017","swiss-6148-F1-O0011","swiss-6148-F1-O0011","swiss-6148-V02","swiss-6148-F0-O0036","swiss-6148-F0-O0036","swiss-6148-F0-O0035","swiss-6148-F0-O0035","swiss-6148-V01","swiss-6148-V01","swiss-6148-F2-O0019","swiss-6148-F2-O0019","swiss-6148-F2-O0018","swiss-6148-F2-O0018"]}</x:v>
      </x:c>
      <x:c r="O1375" s="6"/>
      <x:c r="P1375" s="6" t="str">
        <x:v>README routing profile. Stairs and lifts allowed unless stated otherwise.</x:v>
      </x:c>
      <x:c r="Q1375" s="15" t="n">
        <x:v>48.39</x:v>
      </x:c>
      <x:c r="R1375" s="6" t="str">
        <x:v>m</x:v>
      </x:c>
      <x:c r="S1375" s="16"/>
      <x:c r="T1375" s="15"/>
      <x:c r="U1375" s="6"/>
      <x:c r="V1375" s="6"/>
      <x:c r="W1375" s="6" t="str">
        <x:v>Existing find_route and show_route implement the kit routing model.</x:v>
      </x:c>
      <x:c r="X1375" s="6" t="str">
        <x:v>data/train/swiss-6148/questions_basic.jsonl</x:v>
      </x:c>
      <x:c r="Y1375" s="14" t="n">
        <x:v>5</x:v>
      </x:c>
      <x:c r="Z1375" s="6" t="str">
        <x:v>https://github.com/hagenhaeussler/Industrial-Agents-Hackathon-2026/blob/f41616590b69f3ea0c1cbfb41d6c35edd9ce53df/data/train/swiss-6148/questions_basic.jsonl#L5</x:v>
      </x:c>
      <x:c r="AA1375" s="6" t="str">
        <x:v>swiss_dwellings</x:v>
      </x:c>
      <x:c r="AB1375" s="6" t="str">
        <x:v>CC-BY-4.0</x:v>
      </x:c>
    </x:row>
    <x:row r="1376" ht="96" customHeight="1">
      <x:c r="A1376" s="14" t="n">
        <x:v>1371</x:v>
      </x:c>
      <x:c r="B1376" s="6" t="str">
        <x:v>route</x:v>
      </x:c>
      <x:c r="C1376" s="6" t="str">
        <x:v>How do I get from Kitchen 0.07 (apartment 2) (Ground floor) to Bathroom 0.04 (apartment 1) (Ground floor)?</x:v>
      </x:c>
      <x:c r="D1376" s="6" t="str">
        <x:v>17.57 m
From: Kitchen 0.07 (apartment 2)
To: Bathroom 0.04 (apartment 1)
Ordered path (7 spaces): Kitchen 0.07 (apartment 2) → Living room 0.06 (apartment 2) → Landing 0.09 → outside → Stair hall 0.08 → Corridor 0.02 (apartment 1) → Bathroom 0.04 (apartment 1)</x:v>
      </x:c>
      <x:c r="E1376" s="6" t="str">
        <x:v>Reference supplied</x:v>
      </x:c>
      <x:c r="F1376" s="6" t="str">
        <x:v>train</x:v>
      </x:c>
      <x:c r="G1376" s="6" t="str">
        <x:v>swiss-6148</x:v>
      </x:c>
      <x:c r="H1376" s="6" t="str">
        <x:v>swiss-6148-Q06</x:v>
      </x:c>
      <x:c r="I1376" s="6" t="str">
        <x:v>Route planning</x:v>
      </x:c>
      <x:c r="J1376" s="6" t="str">
        <x:v>Warm-up</x:v>
      </x:c>
      <x:c r="K1376" s="6" t="str">
        <x:v>Ordered space path and directions, plus total route-model distance in metres.</x:v>
      </x:c>
      <x:c r="L1376" s="6" t="str">
        <x:v>T02, T05, T13</x:v>
      </x:c>
      <x:c r="M1376" s="6" t="str">
        <x:v>Find a valid route between two rooms, including across floors.</x:v>
      </x:c>
      <x:c r="N1376" s="6" t="str">
        <x:v>{"from_space_id":"swiss-6148-F0-S007","to_space_id":"swiss-6148-F0-S004","optimal_length_m":17.57,"space_path":["swiss-6148-F0-S007","swiss-6148-F0-S006","swiss-6148-F0-S009","outside","swiss-6148-F0-S008","swiss-6148-F0-S002","swiss-6148-F0-S004"],"element_path":["swiss-6148-F0-O0004","swiss-6148-F0-O0004","swiss-6148-F0-O0005","swiss-6148-F0-O0005","swiss-6148-F0-O0036","swiss-6148-F0-O0036","swiss-6148-F0-O0035","swiss-6148-F0-O0035","swiss-6148-F0-O0001","swiss-6148-F0-O0001","swiss-6148-F0-O0002","swiss-6148-F0-O0002"]}</x:v>
      </x:c>
      <x:c r="O1376" s="6"/>
      <x:c r="P1376" s="6" t="str">
        <x:v>README routing profile. Stairs and lifts allowed unless stated otherwise.</x:v>
      </x:c>
      <x:c r="Q1376" s="15" t="n">
        <x:v>17.57</x:v>
      </x:c>
      <x:c r="R1376" s="6" t="str">
        <x:v>m</x:v>
      </x:c>
      <x:c r="S1376" s="16"/>
      <x:c r="T1376" s="15"/>
      <x:c r="U1376" s="6"/>
      <x:c r="V1376" s="6"/>
      <x:c r="W1376" s="6" t="str">
        <x:v>Existing find_route and show_route implement the kit routing model.</x:v>
      </x:c>
      <x:c r="X1376" s="6" t="str">
        <x:v>data/train/swiss-6148/questions_basic.jsonl</x:v>
      </x:c>
      <x:c r="Y1376" s="14" t="n">
        <x:v>6</x:v>
      </x:c>
      <x:c r="Z1376" s="6" t="str">
        <x:v>https://github.com/hagenhaeussler/Industrial-Agents-Hackathon-2026/blob/f41616590b69f3ea0c1cbfb41d6c35edd9ce53df/data/train/swiss-6148/questions_basic.jsonl#L6</x:v>
      </x:c>
      <x:c r="AA1376" s="6" t="str">
        <x:v>swiss_dwellings</x:v>
      </x:c>
      <x:c r="AB1376" s="6" t="str">
        <x:v>CC-BY-4.0</x:v>
      </x:c>
    </x:row>
    <x:row r="1377" ht="96" customHeight="1">
      <x:c r="A1377" s="14" t="n">
        <x:v>1372</x:v>
      </x:c>
      <x:c r="B1377" s="6" t="str">
        <x:v>route</x:v>
      </x:c>
      <x:c r="C1377" s="6" t="str">
        <x:v>How do I get from Bedroom 4.20 (apartment 10) (Floor 4) to Bathroom 3.14 (apartment 8) (Floor 3)?</x:v>
      </x:c>
      <x:c r="D1377" s="6" t="str">
        <x:v>29.36 m
From: Bedroom 4.20 (apartment 10)
To: Bathroom 3.14 (apartment 8)
Ordered path (7 spaces): Bedroom 4.20 (apartment 10) → Corridor 4.18 (apartment 10) → Landing 4.22 → Landing 3.22 → Corridor 3.20 (apartment 8) → Bathroom 3.18 (apartment 8) → Bathroom 3.14 (apartment 8)</x:v>
      </x:c>
      <x:c r="E1377" s="6" t="str">
        <x:v>Reference supplied</x:v>
      </x:c>
      <x:c r="F1377" s="6" t="str">
        <x:v>train</x:v>
      </x:c>
      <x:c r="G1377" s="6" t="str">
        <x:v>swiss-624</x:v>
      </x:c>
      <x:c r="H1377" s="6" t="str">
        <x:v>swiss-624-Q04</x:v>
      </x:c>
      <x:c r="I1377" s="6" t="str">
        <x:v>Route planning</x:v>
      </x:c>
      <x:c r="J1377" s="6" t="str">
        <x:v>Warm-up</x:v>
      </x:c>
      <x:c r="K1377" s="6" t="str">
        <x:v>Ordered space path and directions, plus total route-model distance in metres.</x:v>
      </x:c>
      <x:c r="L1377" s="6" t="str">
        <x:v>T02, T05, T13</x:v>
      </x:c>
      <x:c r="M1377" s="6" t="str">
        <x:v>Find a valid route between two rooms, including across floors.</x:v>
      </x:c>
      <x:c r="N1377" s="6" t="str">
        <x:v>{"from_space_id":"swiss-624-F4-S020","to_space_id":"swiss-624-F3-S014","optimal_length_m":29.36,"space_path":["swiss-624-F4-S020","swiss-624-F4-S018","swiss-624-F4-S022","swiss-624-F3-S022","swiss-624-F3-S020","swiss-624-F3-S018","swiss-624-F3-S014"],"element_path":["swiss-624-F4-O0105","swiss-624-F4-O0105","swiss-624-F4-O0102","swiss-624-F4-O0102","swiss-624-V05","swiss-624-F3-O0090","swiss-624-F3-O0090","swiss-624-F3-O0088","swiss-624-F3-O0088","swiss-624-F3-O0091","swiss-624-F3-O0091"]}</x:v>
      </x:c>
      <x:c r="O1377" s="6"/>
      <x:c r="P1377" s="6" t="str">
        <x:v>README routing profile. Stairs and lifts allowed unless stated otherwise.</x:v>
      </x:c>
      <x:c r="Q1377" s="15" t="n">
        <x:v>29.36</x:v>
      </x:c>
      <x:c r="R1377" s="6" t="str">
        <x:v>m</x:v>
      </x:c>
      <x:c r="S1377" s="16"/>
      <x:c r="T1377" s="15"/>
      <x:c r="U1377" s="6"/>
      <x:c r="V1377" s="6"/>
      <x:c r="W1377" s="6" t="str">
        <x:v>Existing find_route and show_route implement the kit routing model.</x:v>
      </x:c>
      <x:c r="X1377" s="6" t="str">
        <x:v>data/train/swiss-624/questions_basic.jsonl</x:v>
      </x:c>
      <x:c r="Y1377" s="14" t="n">
        <x:v>4</x:v>
      </x:c>
      <x:c r="Z1377" s="6" t="str">
        <x:v>https://github.com/hagenhaeussler/Industrial-Agents-Hackathon-2026/blob/f41616590b69f3ea0c1cbfb41d6c35edd9ce53df/data/train/swiss-624/questions_basic.jsonl#L4</x:v>
      </x:c>
      <x:c r="AA1377" s="6" t="str">
        <x:v>swiss_dwellings</x:v>
      </x:c>
      <x:c r="AB1377" s="6" t="str">
        <x:v>CC-BY-4.0</x:v>
      </x:c>
    </x:row>
    <x:row r="1378" ht="96" customHeight="1">
      <x:c r="A1378" s="14" t="n">
        <x:v>1373</x:v>
      </x:c>
      <x:c r="B1378" s="6" t="str">
        <x:v>route</x:v>
      </x:c>
      <x:c r="C1378" s="6" t="str">
        <x:v>How do I get from Kitchen 3.15 (apartment 8) (Floor 3) to Kitchen 4.09 (apartment 10) (Floor 4)?</x:v>
      </x:c>
      <x:c r="D1378" s="6" t="str">
        <x:v>28.22 m
From: Kitchen 3.15 (apartment 8)
To: Kitchen 4.09 (apartment 10)
Ordered path (6 spaces): Kitchen 3.15 (apartment 8) → Corridor 3.20 (apartment 8) → Landing 3.22 → Landing 4.22 → Corridor 4.18 (apartment 10) → Kitchen 4.09 (apartment 10)</x:v>
      </x:c>
      <x:c r="E1378" s="6" t="str">
        <x:v>Reference supplied</x:v>
      </x:c>
      <x:c r="F1378" s="6" t="str">
        <x:v>train</x:v>
      </x:c>
      <x:c r="G1378" s="6" t="str">
        <x:v>swiss-624</x:v>
      </x:c>
      <x:c r="H1378" s="6" t="str">
        <x:v>swiss-624-Q05</x:v>
      </x:c>
      <x:c r="I1378" s="6" t="str">
        <x:v>Route planning</x:v>
      </x:c>
      <x:c r="J1378" s="6" t="str">
        <x:v>Warm-up</x:v>
      </x:c>
      <x:c r="K1378" s="6" t="str">
        <x:v>Ordered space path and directions, plus total route-model distance in metres.</x:v>
      </x:c>
      <x:c r="L1378" s="6" t="str">
        <x:v>T02, T05, T13</x:v>
      </x:c>
      <x:c r="M1378" s="6" t="str">
        <x:v>Find a valid route between two rooms, including across floors.</x:v>
      </x:c>
      <x:c r="N1378" s="6" t="str">
        <x:v>{"from_space_id":"swiss-624-F3-S015","to_space_id":"swiss-624-F4-S009","optimal_length_m":28.22,"space_path":["swiss-624-F3-S015","swiss-624-F3-S020","swiss-624-F3-S022","swiss-624-F4-S022","swiss-624-F4-S018","swiss-624-F4-S009"],"element_path":["swiss-624-F3-O0081","swiss-624-F3-O0081","swiss-624-F3-O0090","swiss-624-F3-O0090","swiss-624-V05","swiss-624-F4-O0102","swiss-624-F4-O0102","swiss-624-F4-O0110","swiss-624-F4-O0110"]}</x:v>
      </x:c>
      <x:c r="O1378" s="6"/>
      <x:c r="P1378" s="6" t="str">
        <x:v>README routing profile. Stairs and lifts allowed unless stated otherwise.</x:v>
      </x:c>
      <x:c r="Q1378" s="15" t="n">
        <x:v>28.22</x:v>
      </x:c>
      <x:c r="R1378" s="6" t="str">
        <x:v>m</x:v>
      </x:c>
      <x:c r="S1378" s="16"/>
      <x:c r="T1378" s="15"/>
      <x:c r="U1378" s="6"/>
      <x:c r="V1378" s="6"/>
      <x:c r="W1378" s="6" t="str">
        <x:v>Existing find_route and show_route implement the kit routing model.</x:v>
      </x:c>
      <x:c r="X1378" s="6" t="str">
        <x:v>data/train/swiss-624/questions_basic.jsonl</x:v>
      </x:c>
      <x:c r="Y1378" s="14" t="n">
        <x:v>5</x:v>
      </x:c>
      <x:c r="Z1378" s="6" t="str">
        <x:v>https://github.com/hagenhaeussler/Industrial-Agents-Hackathon-2026/blob/f41616590b69f3ea0c1cbfb41d6c35edd9ce53df/data/train/swiss-624/questions_basic.jsonl#L5</x:v>
      </x:c>
      <x:c r="AA1378" s="6" t="str">
        <x:v>swiss_dwellings</x:v>
      </x:c>
      <x:c r="AB1378" s="6" t="str">
        <x:v>CC-BY-4.0</x:v>
      </x:c>
    </x:row>
    <x:row r="1379" ht="96" customHeight="1">
      <x:c r="A1379" s="14" t="n">
        <x:v>1374</x:v>
      </x:c>
      <x:c r="B1379" s="6" t="str">
        <x:v>route</x:v>
      </x:c>
      <x:c r="C1379" s="6" t="str">
        <x:v>How do I get from Bedroom 0.10 (apartment 1) (Ground floor) to Bedroom 2.10 (apartment 6) (Floor 2)?</x:v>
      </x:c>
      <x:c r="D1379" s="6" t="str">
        <x:v>41.93 m
From: Bedroom 0.10 (apartment 1)
To: Bedroom 2.10 (apartment 6)
Ordered path (7 spaces): Bedroom 0.10 (apartment 1) → Corridor 0.03 (apartment 1) → Landing 0.20 → Landing 1.21 → Landing 2.22 → Corridor 2.18 (apartment 6) → Bedroom 2.10 (apartment 6)</x:v>
      </x:c>
      <x:c r="E1379" s="6" t="str">
        <x:v>Reference supplied</x:v>
      </x:c>
      <x:c r="F1379" s="6" t="str">
        <x:v>train</x:v>
      </x:c>
      <x:c r="G1379" s="6" t="str">
        <x:v>swiss-624</x:v>
      </x:c>
      <x:c r="H1379" s="6" t="str">
        <x:v>swiss-624-Q06</x:v>
      </x:c>
      <x:c r="I1379" s="6" t="str">
        <x:v>Route planning</x:v>
      </x:c>
      <x:c r="J1379" s="6" t="str">
        <x:v>Warm-up</x:v>
      </x:c>
      <x:c r="K1379" s="6" t="str">
        <x:v>Ordered space path and directions, plus total route-model distance in metres.</x:v>
      </x:c>
      <x:c r="L1379" s="6" t="str">
        <x:v>T02, T05, T13</x:v>
      </x:c>
      <x:c r="M1379" s="6" t="str">
        <x:v>Find a valid route between two rooms, including across floors.</x:v>
      </x:c>
      <x:c r="N1379" s="6" t="str">
        <x:v>{"from_space_id":"swiss-624-F0-S010","to_space_id":"swiss-624-F2-S010","optimal_length_m":41.93,"space_path":["swiss-624-F0-S010","swiss-624-F0-S003","swiss-624-F0-S020","swiss-624-F1-S021","swiss-624-F2-S022","swiss-624-F2-S018","swiss-624-F2-S010"],"element_path":["swiss-624-F0-O0005","swiss-624-F0-O0005","swiss-624-F0-O0013","swiss-624-F0-O0013","swiss-624-V02","swiss-624-V03","swiss-624-F2-O0066","swiss-624-F2-O0066","swiss-624-F2-O0062","swiss-624-F2-O0062"]}</x:v>
      </x:c>
      <x:c r="O1379" s="6"/>
      <x:c r="P1379" s="6" t="str">
        <x:v>README routing profile. Stairs and lifts allowed unless stated otherwise.</x:v>
      </x:c>
      <x:c r="Q1379" s="15" t="n">
        <x:v>41.93</x:v>
      </x:c>
      <x:c r="R1379" s="6" t="str">
        <x:v>m</x:v>
      </x:c>
      <x:c r="S1379" s="16"/>
      <x:c r="T1379" s="15"/>
      <x:c r="U1379" s="6"/>
      <x:c r="V1379" s="6"/>
      <x:c r="W1379" s="6" t="str">
        <x:v>Existing find_route and show_route implement the kit routing model.</x:v>
      </x:c>
      <x:c r="X1379" s="6" t="str">
        <x:v>data/train/swiss-624/questions_basic.jsonl</x:v>
      </x:c>
      <x:c r="Y1379" s="14" t="n">
        <x:v>6</x:v>
      </x:c>
      <x:c r="Z1379" s="6" t="str">
        <x:v>https://github.com/hagenhaeussler/Industrial-Agents-Hackathon-2026/blob/f41616590b69f3ea0c1cbfb41d6c35edd9ce53df/data/train/swiss-624/questions_basic.jsonl#L6</x:v>
      </x:c>
      <x:c r="AA1379" s="6" t="str">
        <x:v>swiss_dwellings</x:v>
      </x:c>
      <x:c r="AB1379" s="6" t="str">
        <x:v>CC-BY-4.0</x:v>
      </x:c>
    </x:row>
    <x:row r="1380" ht="96" customHeight="1">
      <x:c r="A1380" s="14" t="n">
        <x:v>1375</x:v>
      </x:c>
      <x:c r="B1380" s="6" t="str">
        <x:v>route</x:v>
      </x:c>
      <x:c r="C1380" s="6" t="str">
        <x:v>How do I get from Living room 2.11 (apartment 7) (Floor 2) to Bedroom 4.12 (apartment 12) (Floor 4)?</x:v>
      </x:c>
      <x:c r="D1380" s="6" t="str">
        <x:v>37.51 m
From: Living room 2.11 (apartment 7)
To: Bedroom 4.12 (apartment 12)
Ordered path (7 spaces): Living room 2.11 (apartment 7) → Corridor 2.08 (apartment 7) → Stair hall 2.19 → Stair hall 3.17 → Stair hall 4.17 → Corridor 4.10 (apartment 12) → Bedroom 4.12 (apartment 12)</x:v>
      </x:c>
      <x:c r="E1380" s="6" t="str">
        <x:v>Reference supplied</x:v>
      </x:c>
      <x:c r="F1380" s="6" t="str">
        <x:v>train</x:v>
      </x:c>
      <x:c r="G1380" s="6" t="str">
        <x:v>swiss-6456</x:v>
      </x:c>
      <x:c r="H1380" s="6" t="str">
        <x:v>swiss-6456-Q02</x:v>
      </x:c>
      <x:c r="I1380" s="6" t="str">
        <x:v>Route planning</x:v>
      </x:c>
      <x:c r="J1380" s="6" t="str">
        <x:v>Warm-up</x:v>
      </x:c>
      <x:c r="K1380" s="6" t="str">
        <x:v>Ordered space path and directions, plus total route-model distance in metres.</x:v>
      </x:c>
      <x:c r="L1380" s="6" t="str">
        <x:v>T02, T05, T13</x:v>
      </x:c>
      <x:c r="M1380" s="6" t="str">
        <x:v>Find a valid route between two rooms, including across floors.</x:v>
      </x:c>
      <x:c r="N1380" s="6" t="str">
        <x:v>{"from_space_id":"swiss-6456-F2-S011","to_space_id":"swiss-6456-F4-S012","optimal_length_m":37.51,"space_path":["swiss-6456-F2-S011","swiss-6456-F2-S008","swiss-6456-F2-S019","swiss-6456-F3-S017","swiss-6456-F4-S017","swiss-6456-F4-S010","swiss-6456-F4-S012"],"element_path":["swiss-6456-F2-O0043","swiss-6456-F2-O0043","swiss-6456-F2-O0041","swiss-6456-F2-O0041","swiss-6456-V01","swiss-6456-V01","swiss-6456-F4-O0080","swiss-6456-F4-O0080","swiss-6456-F4-O0082","swiss-6456-F4-O0082"]}</x:v>
      </x:c>
      <x:c r="O1380" s="6"/>
      <x:c r="P1380" s="6" t="str">
        <x:v>README routing profile. Stairs and lifts allowed unless stated otherwise.</x:v>
      </x:c>
      <x:c r="Q1380" s="15" t="n">
        <x:v>37.51</x:v>
      </x:c>
      <x:c r="R1380" s="6" t="str">
        <x:v>m</x:v>
      </x:c>
      <x:c r="S1380" s="16"/>
      <x:c r="T1380" s="15"/>
      <x:c r="U1380" s="6"/>
      <x:c r="V1380" s="6"/>
      <x:c r="W1380" s="6" t="str">
        <x:v>Existing find_route and show_route implement the kit routing model.</x:v>
      </x:c>
      <x:c r="X1380" s="6" t="str">
        <x:v>data/train/swiss-6456/questions_basic.jsonl</x:v>
      </x:c>
      <x:c r="Y1380" s="14" t="n">
        <x:v>2</x:v>
      </x:c>
      <x:c r="Z1380" s="6" t="str">
        <x:v>https://github.com/hagenhaeussler/Industrial-Agents-Hackathon-2026/blob/f41616590b69f3ea0c1cbfb41d6c35edd9ce53df/data/train/swiss-6456/questions_basic.jsonl#L2</x:v>
      </x:c>
      <x:c r="AA1380" s="6" t="str">
        <x:v>swiss_dwellings</x:v>
      </x:c>
      <x:c r="AB1380" s="6" t="str">
        <x:v>CC-BY-4.0</x:v>
      </x:c>
    </x:row>
    <x:row r="1381" ht="96" customHeight="1">
      <x:c r="A1381" s="14" t="n">
        <x:v>1376</x:v>
      </x:c>
      <x:c r="B1381" s="6" t="str">
        <x:v>route</x:v>
      </x:c>
      <x:c r="C1381" s="6" t="str">
        <x:v>How do I get from Bathroom 4.03 (apartment 11) (Floor 4) to Bedroom 3.15 (apartment 10) (Floor 3)?</x:v>
      </x:c>
      <x:c r="D1381" s="6" t="str">
        <x:v>26.52 m
From: Bathroom 4.03 (apartment 11)
To: Bedroom 3.15 (apartment 10)
Ordered path (6 spaces): Bathroom 4.03 (apartment 11) → Corridor 4.04 (apartment 11) → Stair hall 4.17 → Stair hall 3.17 → Corridor 3.11 (apartment 10) → Bedroom 3.15 (apartment 10)</x:v>
      </x:c>
      <x:c r="E1381" s="6" t="str">
        <x:v>Reference supplied</x:v>
      </x:c>
      <x:c r="F1381" s="6" t="str">
        <x:v>train</x:v>
      </x:c>
      <x:c r="G1381" s="6" t="str">
        <x:v>swiss-6456</x:v>
      </x:c>
      <x:c r="H1381" s="6" t="str">
        <x:v>swiss-6456-Q03</x:v>
      </x:c>
      <x:c r="I1381" s="6" t="str">
        <x:v>Route planning</x:v>
      </x:c>
      <x:c r="J1381" s="6" t="str">
        <x:v>Warm-up</x:v>
      </x:c>
      <x:c r="K1381" s="6" t="str">
        <x:v>Ordered space path and directions, plus total route-model distance in metres.</x:v>
      </x:c>
      <x:c r="L1381" s="6" t="str">
        <x:v>T02, T05, T13</x:v>
      </x:c>
      <x:c r="M1381" s="6" t="str">
        <x:v>Find a valid route between two rooms, including across floors.</x:v>
      </x:c>
      <x:c r="N1381" s="6" t="str">
        <x:v>{"from_space_id":"swiss-6456-F4-S003","to_space_id":"swiss-6456-F3-S015","optimal_length_m":26.52,"space_path":["swiss-6456-F4-S003","swiss-6456-F4-S004","swiss-6456-F4-S017","swiss-6456-F3-S017","swiss-6456-F3-S011","swiss-6456-F3-S015"],"element_path":["swiss-6456-F4-O0076","swiss-6456-F4-O0076","swiss-6456-F4-O0078","swiss-6456-F4-O0078","swiss-6456-V01","swiss-6456-F3-O0066","swiss-6456-F3-O0066","swiss-6456-F3-O0068","swiss-6456-F3-O0068"]}</x:v>
      </x:c>
      <x:c r="O1381" s="6"/>
      <x:c r="P1381" s="6" t="str">
        <x:v>README routing profile. Stairs and lifts allowed unless stated otherwise.</x:v>
      </x:c>
      <x:c r="Q1381" s="15" t="n">
        <x:v>26.52</x:v>
      </x:c>
      <x:c r="R1381" s="6" t="str">
        <x:v>m</x:v>
      </x:c>
      <x:c r="S1381" s="16"/>
      <x:c r="T1381" s="15"/>
      <x:c r="U1381" s="6"/>
      <x:c r="V1381" s="6"/>
      <x:c r="W1381" s="6" t="str">
        <x:v>Existing find_route and show_route implement the kit routing model.</x:v>
      </x:c>
      <x:c r="X1381" s="6" t="str">
        <x:v>data/train/swiss-6456/questions_basic.jsonl</x:v>
      </x:c>
      <x:c r="Y1381" s="14" t="n">
        <x:v>3</x:v>
      </x:c>
      <x:c r="Z1381" s="6" t="str">
        <x:v>https://github.com/hagenhaeussler/Industrial-Agents-Hackathon-2026/blob/f41616590b69f3ea0c1cbfb41d6c35edd9ce53df/data/train/swiss-6456/questions_basic.jsonl#L3</x:v>
      </x:c>
      <x:c r="AA1381" s="6" t="str">
        <x:v>swiss_dwellings</x:v>
      </x:c>
      <x:c r="AB1381" s="6" t="str">
        <x:v>CC-BY-4.0</x:v>
      </x:c>
    </x:row>
    <x:row r="1382" ht="110" customHeight="1">
      <x:c r="A1382" s="14" t="n">
        <x:v>1377</x:v>
      </x:c>
      <x:c r="B1382" s="6" t="str">
        <x:v>route</x:v>
      </x:c>
      <x:c r="C1382" s="6" t="str">
        <x:v>How do I get from Bathroom 4.16 (apartment 12) (Floor 4) to Kitchen 2.10 (apartment 7) (Floor 2)?</x:v>
      </x:c>
      <x:c r="D1382" s="6" t="str">
        <x:v>41.23 m
From: Bathroom 4.16 (apartment 12)
To: Kitchen 2.10 (apartment 7)
Ordered path (8 spaces): Bathroom 4.16 (apartment 12) → Corridor 4.10 (apartment 12) → Stair hall 4.17 → Stair hall 3.17 → Stair hall 2.19 → Corridor 2.08 (apartment 7) → Living room 2.11 (apartment 7) → Kitchen 2.10 (apartment 7)</x:v>
      </x:c>
      <x:c r="E1382" s="6" t="str">
        <x:v>Reference supplied</x:v>
      </x:c>
      <x:c r="F1382" s="6" t="str">
        <x:v>train</x:v>
      </x:c>
      <x:c r="G1382" s="6" t="str">
        <x:v>swiss-6456</x:v>
      </x:c>
      <x:c r="H1382" s="6" t="str">
        <x:v>swiss-6456-Q04</x:v>
      </x:c>
      <x:c r="I1382" s="6" t="str">
        <x:v>Route planning</x:v>
      </x:c>
      <x:c r="J1382" s="6" t="str">
        <x:v>Warm-up</x:v>
      </x:c>
      <x:c r="K1382" s="6" t="str">
        <x:v>Ordered space path and directions, plus total route-model distance in metres.</x:v>
      </x:c>
      <x:c r="L1382" s="6" t="str">
        <x:v>T02, T05, T13</x:v>
      </x:c>
      <x:c r="M1382" s="6" t="str">
        <x:v>Find a valid route between two rooms, including across floors.</x:v>
      </x:c>
      <x:c r="N1382" s="6" t="str">
        <x:v>{"from_space_id":"swiss-6456-F4-S016","to_space_id":"swiss-6456-F2-S010","optimal_length_m":41.23,"space_path":["swiss-6456-F4-S016","swiss-6456-F4-S010","swiss-6456-F4-S017","swiss-6456-F3-S017","swiss-6456-F2-S019","swiss-6456-F2-S008","swiss-6456-F2-S011","swiss-6456-F2-S010"],"element_path":["swiss-6456-F4-O0084","swiss-6456-F4-O0084","swiss-6456-F4-O0080","swiss-6456-F4-O0080","swiss-6456-V01","swiss-6456-V01","swiss-6456-F2-O0041","swiss-6456-F2-O0041","swiss-6456-F2-O0043","swiss-6456-F2-O0043","swiss-6456-F2-O0051","swiss-6456-F2-O0051"]}</x:v>
      </x:c>
      <x:c r="O1382" s="6"/>
      <x:c r="P1382" s="6" t="str">
        <x:v>README routing profile. Stairs and lifts allowed unless stated otherwise.</x:v>
      </x:c>
      <x:c r="Q1382" s="15" t="n">
        <x:v>41.23</x:v>
      </x:c>
      <x:c r="R1382" s="6" t="str">
        <x:v>m</x:v>
      </x:c>
      <x:c r="S1382" s="16"/>
      <x:c r="T1382" s="15"/>
      <x:c r="U1382" s="6"/>
      <x:c r="V1382" s="6"/>
      <x:c r="W1382" s="6" t="str">
        <x:v>Existing find_route and show_route implement the kit routing model.</x:v>
      </x:c>
      <x:c r="X1382" s="6" t="str">
        <x:v>data/train/swiss-6456/questions_basic.jsonl</x:v>
      </x:c>
      <x:c r="Y1382" s="14" t="n">
        <x:v>4</x:v>
      </x:c>
      <x:c r="Z1382" s="6" t="str">
        <x:v>https://github.com/hagenhaeussler/Industrial-Agents-Hackathon-2026/blob/f41616590b69f3ea0c1cbfb41d6c35edd9ce53df/data/train/swiss-6456/questions_basic.jsonl#L4</x:v>
      </x:c>
      <x:c r="AA1382" s="6" t="str">
        <x:v>swiss_dwellings</x:v>
      </x:c>
      <x:c r="AB1382" s="6" t="str">
        <x:v>CC-BY-4.0</x:v>
      </x:c>
    </x:row>
    <x:row r="1383" ht="96" customHeight="1">
      <x:c r="A1383" s="14" t="n">
        <x:v>1378</x:v>
      </x:c>
      <x:c r="B1383" s="6" t="str">
        <x:v>route</x:v>
      </x:c>
      <x:c r="C1383" s="6" t="str">
        <x:v>How do I get from Bathroom 2.05 (apartment 7) (Floor 2) to Bathroom 1.18 (apartment 6) (Floor 1)?</x:v>
      </x:c>
      <x:c r="D1383" s="6" t="str">
        <x:v>28.85 m
From: Bathroom 2.05 (apartment 7)
To: Bathroom 1.18 (apartment 6)
Ordered path (6 spaces): Bathroom 2.05 (apartment 7) → Corridor 2.07 (apartment 7) → Stair hall 2.24 → Stair hall 1.24 → Corridor 1.23 (apartment 6) → Bathroom 1.18 (apartment 6)</x:v>
      </x:c>
      <x:c r="E1383" s="6" t="str">
        <x:v>Reference supplied</x:v>
      </x:c>
      <x:c r="F1383" s="6" t="str">
        <x:v>train</x:v>
      </x:c>
      <x:c r="G1383" s="6" t="str">
        <x:v>swiss-668</x:v>
      </x:c>
      <x:c r="H1383" s="6" t="str">
        <x:v>swiss-668-Q03</x:v>
      </x:c>
      <x:c r="I1383" s="6" t="str">
        <x:v>Route planning</x:v>
      </x:c>
      <x:c r="J1383" s="6" t="str">
        <x:v>Warm-up</x:v>
      </x:c>
      <x:c r="K1383" s="6" t="str">
        <x:v>Ordered space path and directions, plus total route-model distance in metres.</x:v>
      </x:c>
      <x:c r="L1383" s="6" t="str">
        <x:v>T02, T05, T13</x:v>
      </x:c>
      <x:c r="M1383" s="6" t="str">
        <x:v>Find a valid route between two rooms, including across floors.</x:v>
      </x:c>
      <x:c r="N1383" s="6" t="str">
        <x:v>{"from_space_id":"swiss-668-F2-S005","to_space_id":"swiss-668-F1-S018","optimal_length_m":28.85,"space_path":["swiss-668-F2-S005","swiss-668-F2-S007","swiss-668-F2-S024","swiss-668-F1-S024","swiss-668-F1-S023","swiss-668-F1-S018"],"element_path":["swiss-668-F2-O0050","swiss-668-F2-O0050","swiss-668-F2-O0052","swiss-668-F2-O0052","swiss-668-V01","swiss-668-F1-O0041","swiss-668-F1-O0041","swiss-668-F1-O0043","swiss-668-F1-O0043"]}</x:v>
      </x:c>
      <x:c r="O1383" s="6"/>
      <x:c r="P1383" s="6" t="str">
        <x:v>README routing profile. Stairs and lifts allowed unless stated otherwise.</x:v>
      </x:c>
      <x:c r="Q1383" s="15" t="n">
        <x:v>28.85</x:v>
      </x:c>
      <x:c r="R1383" s="6" t="str">
        <x:v>m</x:v>
      </x:c>
      <x:c r="S1383" s="16"/>
      <x:c r="T1383" s="15"/>
      <x:c r="U1383" s="6"/>
      <x:c r="V1383" s="6"/>
      <x:c r="W1383" s="6" t="str">
        <x:v>Existing find_route and show_route implement the kit routing model.</x:v>
      </x:c>
      <x:c r="X1383" s="6" t="str">
        <x:v>data/train/swiss-668/questions_basic.jsonl</x:v>
      </x:c>
      <x:c r="Y1383" s="14" t="n">
        <x:v>3</x:v>
      </x:c>
      <x:c r="Z1383" s="6" t="str">
        <x:v>https://github.com/hagenhaeussler/Industrial-Agents-Hackathon-2026/blob/f41616590b69f3ea0c1cbfb41d6c35edd9ce53df/data/train/swiss-668/questions_basic.jsonl#L3</x:v>
      </x:c>
      <x:c r="AA1383" s="6" t="str">
        <x:v>swiss_dwellings</x:v>
      </x:c>
      <x:c r="AB1383" s="6" t="str">
        <x:v>CC-BY-4.0</x:v>
      </x:c>
    </x:row>
    <x:row r="1384" ht="96" customHeight="1">
      <x:c r="A1384" s="14" t="n">
        <x:v>1379</x:v>
      </x:c>
      <x:c r="B1384" s="6" t="str">
        <x:v>route</x:v>
      </x:c>
      <x:c r="C1384" s="6" t="str">
        <x:v>How do I get from Storage 3.13 (apartment 11) (Floor 3) to Bedroom 2.13 (apartment 8) (Floor 2)?</x:v>
      </x:c>
      <x:c r="D1384" s="6" t="str">
        <x:v>30.87 m
From: Storage 3.13 (apartment 11)
To: Bedroom 2.13 (apartment 8)
Ordered path (7 spaces): Storage 3.13 (apartment 11) → Kitchen 3.14 (apartment 11) → Corridor 3.11 (apartment 11) → Stair hall 3.24 → Stair hall 2.24 → Corridor 2.14 (apartment 8) → Bedroom 2.13 (apartment 8)</x:v>
      </x:c>
      <x:c r="E1384" s="6" t="str">
        <x:v>Reference supplied</x:v>
      </x:c>
      <x:c r="F1384" s="6" t="str">
        <x:v>train</x:v>
      </x:c>
      <x:c r="G1384" s="6" t="str">
        <x:v>swiss-668</x:v>
      </x:c>
      <x:c r="H1384" s="6" t="str">
        <x:v>swiss-668-Q04</x:v>
      </x:c>
      <x:c r="I1384" s="6" t="str">
        <x:v>Route planning</x:v>
      </x:c>
      <x:c r="J1384" s="6" t="str">
        <x:v>Warm-up</x:v>
      </x:c>
      <x:c r="K1384" s="6" t="str">
        <x:v>Ordered space path and directions, plus total route-model distance in metres.</x:v>
      </x:c>
      <x:c r="L1384" s="6" t="str">
        <x:v>T02, T05, T13</x:v>
      </x:c>
      <x:c r="M1384" s="6" t="str">
        <x:v>Find a valid route between two rooms, including across floors.</x:v>
      </x:c>
      <x:c r="N1384" s="6" t="str">
        <x:v>{"from_space_id":"swiss-668-F3-S013","to_space_id":"swiss-668-F2-S013","optimal_length_m":30.87,"space_path":["swiss-668-F3-S013","swiss-668-F3-S014","swiss-668-F3-S011","swiss-668-F3-S024","swiss-668-F2-S024","swiss-668-F2-S014","swiss-668-F2-S013"],"element_path":["swiss-668-F3-O0094","swiss-668-F3-O0094","swiss-668-F3-O0084","swiss-668-F3-O0084","swiss-668-F3-O0078","swiss-668-F3-O0078","swiss-668-V01","swiss-668-F2-O0055","swiss-668-F2-O0055","swiss-668-F2-O0057","swiss-668-F2-O0057"]}</x:v>
      </x:c>
      <x:c r="O1384" s="6"/>
      <x:c r="P1384" s="6" t="str">
        <x:v>README routing profile. Stairs and lifts allowed unless stated otherwise.</x:v>
      </x:c>
      <x:c r="Q1384" s="15" t="n">
        <x:v>30.87</x:v>
      </x:c>
      <x:c r="R1384" s="6" t="str">
        <x:v>m</x:v>
      </x:c>
      <x:c r="S1384" s="16"/>
      <x:c r="T1384" s="15"/>
      <x:c r="U1384" s="6"/>
      <x:c r="V1384" s="6"/>
      <x:c r="W1384" s="6" t="str">
        <x:v>Existing find_route and show_route implement the kit routing model.</x:v>
      </x:c>
      <x:c r="X1384" s="6" t="str">
        <x:v>data/train/swiss-668/questions_basic.jsonl</x:v>
      </x:c>
      <x:c r="Y1384" s="14" t="n">
        <x:v>4</x:v>
      </x:c>
      <x:c r="Z1384" s="6" t="str">
        <x:v>https://github.com/hagenhaeussler/Industrial-Agents-Hackathon-2026/blob/f41616590b69f3ea0c1cbfb41d6c35edd9ce53df/data/train/swiss-668/questions_basic.jsonl#L4</x:v>
      </x:c>
      <x:c r="AA1384" s="6" t="str">
        <x:v>swiss_dwellings</x:v>
      </x:c>
      <x:c r="AB1384" s="6" t="str">
        <x:v>CC-BY-4.0</x:v>
      </x:c>
    </x:row>
    <x:row r="1385" ht="96" customHeight="1">
      <x:c r="A1385" s="14" t="n">
        <x:v>1380</x:v>
      </x:c>
      <x:c r="B1385" s="6" t="str">
        <x:v>route</x:v>
      </x:c>
      <x:c r="C1385" s="6" t="str">
        <x:v>How do I get from Storage 1.07 (apartment 4) (Floor 1) to Living room 1.11 (apartment 5) (Floor 1)?</x:v>
      </x:c>
      <x:c r="D1385" s="6" t="str">
        <x:v>21.96 m
From: Storage 1.07 (apartment 4)
To: Living room 1.11 (apartment 5)
Ordered path (6 spaces): Storage 1.07 (apartment 4) → Kitchen 1.08 (apartment 4) → Corridor 1.01 (apartment 4) → Stair hall 1.24 → Corridor 1.15 (apartment 5) → Living room 1.11 (apartment 5)</x:v>
      </x:c>
      <x:c r="E1385" s="6" t="str">
        <x:v>Reference supplied</x:v>
      </x:c>
      <x:c r="F1385" s="6" t="str">
        <x:v>train</x:v>
      </x:c>
      <x:c r="G1385" s="6" t="str">
        <x:v>swiss-668</x:v>
      </x:c>
      <x:c r="H1385" s="6" t="str">
        <x:v>swiss-668-Q05</x:v>
      </x:c>
      <x:c r="I1385" s="6" t="str">
        <x:v>Route planning</x:v>
      </x:c>
      <x:c r="J1385" s="6" t="str">
        <x:v>Warm-up</x:v>
      </x:c>
      <x:c r="K1385" s="6" t="str">
        <x:v>Ordered space path and directions, plus total route-model distance in metres.</x:v>
      </x:c>
      <x:c r="L1385" s="6" t="str">
        <x:v>T02, T05, T13</x:v>
      </x:c>
      <x:c r="M1385" s="6" t="str">
        <x:v>Find a valid route between two rooms, including across floors.</x:v>
      </x:c>
      <x:c r="N1385" s="6" t="str">
        <x:v>{"from_space_id":"swiss-668-F1-S007","to_space_id":"swiss-668-F1-S011","optimal_length_m":21.96,"space_path":["swiss-668-F1-S007","swiss-668-F1-S008","swiss-668-F1-S001","swiss-668-F1-S024","swiss-668-F1-S015","swiss-668-F1-S011"],"element_path":["swiss-668-F1-O0046","swiss-668-F1-O0046","swiss-668-F1-O0032","swiss-668-F1-O0032","swiss-668-F1-O0029","swiss-668-F1-O0029","swiss-668-F1-O0036","swiss-668-F1-O0036","swiss-668-F1-O0037","swiss-668-F1-O0037"]}</x:v>
      </x:c>
      <x:c r="O1385" s="6"/>
      <x:c r="P1385" s="6" t="str">
        <x:v>README routing profile. Stairs and lifts allowed unless stated otherwise.</x:v>
      </x:c>
      <x:c r="Q1385" s="15" t="n">
        <x:v>21.96</x:v>
      </x:c>
      <x:c r="R1385" s="6" t="str">
        <x:v>m</x:v>
      </x:c>
      <x:c r="S1385" s="16"/>
      <x:c r="T1385" s="15"/>
      <x:c r="U1385" s="6"/>
      <x:c r="V1385" s="6"/>
      <x:c r="W1385" s="6" t="str">
        <x:v>Existing find_route and show_route implement the kit routing model.</x:v>
      </x:c>
      <x:c r="X1385" s="6" t="str">
        <x:v>data/train/swiss-668/questions_basic.jsonl</x:v>
      </x:c>
      <x:c r="Y1385" s="14" t="n">
        <x:v>5</x:v>
      </x:c>
      <x:c r="Z1385" s="6" t="str">
        <x:v>https://github.com/hagenhaeussler/Industrial-Agents-Hackathon-2026/blob/f41616590b69f3ea0c1cbfb41d6c35edd9ce53df/data/train/swiss-668/questions_basic.jsonl#L5</x:v>
      </x:c>
      <x:c r="AA1385" s="6" t="str">
        <x:v>swiss_dwellings</x:v>
      </x:c>
      <x:c r="AB1385" s="6" t="str">
        <x:v>CC-BY-4.0</x:v>
      </x:c>
    </x:row>
    <x:row r="1386" ht="96" customHeight="1">
      <x:c r="A1386" s="14" t="n">
        <x:v>1381</x:v>
      </x:c>
      <x:c r="B1386" s="6" t="str">
        <x:v>route</x:v>
      </x:c>
      <x:c r="C1386" s="6" t="str">
        <x:v>How do I get from Bedroom 1.32 (apartment 10) (Floor 1) to Bedroom 2.15 (apartment 12) (Floor 2)?</x:v>
      </x:c>
      <x:c r="D1386" s="6" t="str">
        <x:v>30.37 m
From: Bedroom 1.32 (apartment 10)
To: Bedroom 2.15 (apartment 12)
Ordered path (6 spaces): Bedroom 1.32 (apartment 10) → Corridor 1.27 (apartment 10) → Stair hall 1.34 → Landing 2.17 → Corridor 2.13 (apartment 12) → Bedroom 2.15 (apartment 12)</x:v>
      </x:c>
      <x:c r="E1386" s="6" t="str">
        <x:v>Reference supplied</x:v>
      </x:c>
      <x:c r="F1386" s="6" t="str">
        <x:v>train</x:v>
      </x:c>
      <x:c r="G1386" s="6" t="str">
        <x:v>swiss-685</x:v>
      </x:c>
      <x:c r="H1386" s="6" t="str">
        <x:v>swiss-685-Q03</x:v>
      </x:c>
      <x:c r="I1386" s="6" t="str">
        <x:v>Route planning</x:v>
      </x:c>
      <x:c r="J1386" s="6" t="str">
        <x:v>Warm-up</x:v>
      </x:c>
      <x:c r="K1386" s="6" t="str">
        <x:v>Ordered space path and directions, plus total route-model distance in metres.</x:v>
      </x:c>
      <x:c r="L1386" s="6" t="str">
        <x:v>T02, T05, T13</x:v>
      </x:c>
      <x:c r="M1386" s="6" t="str">
        <x:v>Find a valid route between two rooms, including across floors.</x:v>
      </x:c>
      <x:c r="N1386" s="6" t="str">
        <x:v>{"from_space_id":"swiss-685-F1-S032","to_space_id":"swiss-685-F2-S015","optimal_length_m":30.37,"space_path":["swiss-685-F1-S032","swiss-685-F1-S027","swiss-685-F1-S034","swiss-685-F2-S017","swiss-685-F2-S013","swiss-685-F2-S015"],"element_path":["swiss-685-F1-O0077","swiss-685-F1-O0077","swiss-685-F1-O0078","swiss-685-F1-O0078","swiss-685-V04","swiss-685-F2-O0089","swiss-685-F2-O0089","swiss-685-F2-O0095","swiss-685-F2-O0095"]}</x:v>
      </x:c>
      <x:c r="O1386" s="6"/>
      <x:c r="P1386" s="6" t="str">
        <x:v>README routing profile. Stairs and lifts allowed unless stated otherwise.</x:v>
      </x:c>
      <x:c r="Q1386" s="15" t="n">
        <x:v>30.37</x:v>
      </x:c>
      <x:c r="R1386" s="6" t="str">
        <x:v>m</x:v>
      </x:c>
      <x:c r="S1386" s="16"/>
      <x:c r="T1386" s="15"/>
      <x:c r="U1386" s="6"/>
      <x:c r="V1386" s="6"/>
      <x:c r="W1386" s="6" t="str">
        <x:v>Existing find_route and show_route implement the kit routing model.</x:v>
      </x:c>
      <x:c r="X1386" s="6" t="str">
        <x:v>data/train/swiss-685/questions_basic.jsonl</x:v>
      </x:c>
      <x:c r="Y1386" s="14" t="n">
        <x:v>3</x:v>
      </x:c>
      <x:c r="Z1386" s="6" t="str">
        <x:v>https://github.com/hagenhaeussler/Industrial-Agents-Hackathon-2026/blob/f41616590b69f3ea0c1cbfb41d6c35edd9ce53df/data/train/swiss-685/questions_basic.jsonl#L3</x:v>
      </x:c>
      <x:c r="AA1386" s="6" t="str">
        <x:v>swiss_dwellings</x:v>
      </x:c>
      <x:c r="AB1386" s="6" t="str">
        <x:v>CC-BY-4.0</x:v>
      </x:c>
    </x:row>
    <x:row r="1387" ht="96" customHeight="1">
      <x:c r="A1387" s="14" t="n">
        <x:v>1382</x:v>
      </x:c>
      <x:c r="B1387" s="6" t="str">
        <x:v>route</x:v>
      </x:c>
      <x:c r="C1387" s="6" t="str">
        <x:v>How do I get from Living room 1.02 (apartment 7) (Floor 1) to Bedroom 0.03 (apartment 3) (Ground floor)?</x:v>
      </x:c>
      <x:c r="D1387" s="6" t="str">
        <x:v>34.62 m
From: Living room 1.02 (apartment 7)
To: Bedroom 0.03 (apartment 3)
Ordered path (8 spaces): Living room 1.02 (apartment 7) → Corridor 1.03 (apartment 7) → Stair hall 1.33 → Stair hall 0.33 → outside → Stair hall 0.34 → Corridor 0.04 (apartment 3) → Bedroom 0.03 (apartment 3)</x:v>
      </x:c>
      <x:c r="E1387" s="6" t="str">
        <x:v>Reference supplied</x:v>
      </x:c>
      <x:c r="F1387" s="6" t="str">
        <x:v>train</x:v>
      </x:c>
      <x:c r="G1387" s="6" t="str">
        <x:v>swiss-685</x:v>
      </x:c>
      <x:c r="H1387" s="6" t="str">
        <x:v>swiss-685-Q04</x:v>
      </x:c>
      <x:c r="I1387" s="6" t="str">
        <x:v>Route planning</x:v>
      </x:c>
      <x:c r="J1387" s="6" t="str">
        <x:v>Warm-up</x:v>
      </x:c>
      <x:c r="K1387" s="6" t="str">
        <x:v>Ordered space path and directions, plus total route-model distance in metres.</x:v>
      </x:c>
      <x:c r="L1387" s="6" t="str">
        <x:v>T02, T05, T13</x:v>
      </x:c>
      <x:c r="M1387" s="6" t="str">
        <x:v>Find a valid route between two rooms, including across floors.</x:v>
      </x:c>
      <x:c r="N1387" s="6" t="str">
        <x:v>{"from_space_id":"swiss-685-F1-S002","to_space_id":"swiss-685-F0-S003","optimal_length_m":34.62,"space_path":["swiss-685-F1-S002","swiss-685-F1-S003","swiss-685-F1-S033","swiss-685-F0-S033","outside","swiss-685-F0-S034","swiss-685-F0-S004","swiss-685-F0-S003"],"element_path":["swiss-685-F1-O0081","swiss-685-F1-O0081","swiss-685-F1-O0051","swiss-685-F1-O0051","swiss-685-V01","swiss-685-F0-O0103","swiss-685-F0-O0103","swiss-685-F0-O0104","swiss-685-F0-O0104","swiss-685-F0-O0022","swiss-685-F0-O0022","swiss-685-F0-O0023","swiss-685-F0-O0023"]}</x:v>
      </x:c>
      <x:c r="O1387" s="6"/>
      <x:c r="P1387" s="6" t="str">
        <x:v>README routing profile. Stairs and lifts allowed unless stated otherwise.</x:v>
      </x:c>
      <x:c r="Q1387" s="15" t="n">
        <x:v>34.62</x:v>
      </x:c>
      <x:c r="R1387" s="6" t="str">
        <x:v>m</x:v>
      </x:c>
      <x:c r="S1387" s="16"/>
      <x:c r="T1387" s="15"/>
      <x:c r="U1387" s="6"/>
      <x:c r="V1387" s="6"/>
      <x:c r="W1387" s="6" t="str">
        <x:v>Existing find_route and show_route implement the kit routing model.</x:v>
      </x:c>
      <x:c r="X1387" s="6" t="str">
        <x:v>data/train/swiss-685/questions_basic.jsonl</x:v>
      </x:c>
      <x:c r="Y1387" s="14" t="n">
        <x:v>4</x:v>
      </x:c>
      <x:c r="Z1387" s="6" t="str">
        <x:v>https://github.com/hagenhaeussler/Industrial-Agents-Hackathon-2026/blob/f41616590b69f3ea0c1cbfb41d6c35edd9ce53df/data/train/swiss-685/questions_basic.jsonl#L4</x:v>
      </x:c>
      <x:c r="AA1387" s="6" t="str">
        <x:v>swiss_dwellings</x:v>
      </x:c>
      <x:c r="AB1387" s="6" t="str">
        <x:v>CC-BY-4.0</x:v>
      </x:c>
    </x:row>
    <x:row r="1388" ht="110" customHeight="1">
      <x:c r="A1388" s="14" t="n">
        <x:v>1383</x:v>
      </x:c>
      <x:c r="B1388" s="6" t="str">
        <x:v>route</x:v>
      </x:c>
      <x:c r="C1388" s="6" t="str">
        <x:v>How do I get from Kitchen 0.07 (apartment 3) (Ground floor) to Living room -1.05 (apartment 1) (Basement 1)?</x:v>
      </x:c>
      <x:c r="D1388" s="6" t="str">
        <x:v>34.04 m
From: Kitchen 0.07 (apartment 3)
To: Living room -1.05 (apartment 1)
Ordered path (7 spaces): Kitchen 0.07 (apartment 3) → Living room 0.01 (apartment 3) → Corridor 0.04 (apartment 3) → Stair hall 0.34 → Stair hall -1.17 → Corridor -1.04 (apartment 1) → Living room -1.05 (apartment 1)</x:v>
      </x:c>
      <x:c r="E1388" s="6" t="str">
        <x:v>Reference supplied</x:v>
      </x:c>
      <x:c r="F1388" s="6" t="str">
        <x:v>train</x:v>
      </x:c>
      <x:c r="G1388" s="6" t="str">
        <x:v>swiss-685</x:v>
      </x:c>
      <x:c r="H1388" s="6" t="str">
        <x:v>swiss-685-Q05</x:v>
      </x:c>
      <x:c r="I1388" s="6" t="str">
        <x:v>Route planning</x:v>
      </x:c>
      <x:c r="J1388" s="6" t="str">
        <x:v>Warm-up</x:v>
      </x:c>
      <x:c r="K1388" s="6" t="str">
        <x:v>Ordered space path and directions, plus total route-model distance in metres.</x:v>
      </x:c>
      <x:c r="L1388" s="6" t="str">
        <x:v>T02, T05, T13</x:v>
      </x:c>
      <x:c r="M1388" s="6" t="str">
        <x:v>Find a valid route between two rooms, including across floors.</x:v>
      </x:c>
      <x:c r="N1388" s="6" t="str">
        <x:v>{"from_space_id":"swiss-685-F0-S007","to_space_id":"swiss-685-F-1-S005","optimal_length_m":34.04,"space_path":["swiss-685-F0-S007","swiss-685-F0-S001","swiss-685-F0-S004","swiss-685-F0-S034","swiss-685-F-1-S017","swiss-685-F-1-S004","swiss-685-F-1-S005"],"element_path":["swiss-685-F0-O0019","swiss-685-F0-O0019","swiss-685-F0-O0047","swiss-685-F0-O0047","swiss-685-F0-O0022","swiss-685-F0-O0022","swiss-685-V02","swiss-685-F-1-O0005","swiss-685-F-1-O0005","swiss-685-F-1-O0015","swiss-685-F-1-O0015"]}</x:v>
      </x:c>
      <x:c r="O1388" s="6"/>
      <x:c r="P1388" s="6" t="str">
        <x:v>README routing profile. Stairs and lifts allowed unless stated otherwise.</x:v>
      </x:c>
      <x:c r="Q1388" s="15" t="n">
        <x:v>34.04</x:v>
      </x:c>
      <x:c r="R1388" s="6" t="str">
        <x:v>m</x:v>
      </x:c>
      <x:c r="S1388" s="16"/>
      <x:c r="T1388" s="15"/>
      <x:c r="U1388" s="6"/>
      <x:c r="V1388" s="6"/>
      <x:c r="W1388" s="6" t="str">
        <x:v>Existing find_route and show_route implement the kit routing model.</x:v>
      </x:c>
      <x:c r="X1388" s="6" t="str">
        <x:v>data/train/swiss-685/questions_basic.jsonl</x:v>
      </x:c>
      <x:c r="Y1388" s="14" t="n">
        <x:v>5</x:v>
      </x:c>
      <x:c r="Z1388" s="6" t="str">
        <x:v>https://github.com/hagenhaeussler/Industrial-Agents-Hackathon-2026/blob/f41616590b69f3ea0c1cbfb41d6c35edd9ce53df/data/train/swiss-685/questions_basic.jsonl#L5</x:v>
      </x:c>
      <x:c r="AA1388" s="6" t="str">
        <x:v>swiss_dwellings</x:v>
      </x:c>
      <x:c r="AB1388" s="6" t="str">
        <x:v>CC-BY-4.0</x:v>
      </x:c>
    </x:row>
    <x:row r="1389" ht="110" customHeight="1">
      <x:c r="A1389" s="14" t="n">
        <x:v>1384</x:v>
      </x:c>
      <x:c r="B1389" s="6" t="str">
        <x:v>route</x:v>
      </x:c>
      <x:c r="C1389" s="6" t="str">
        <x:v>How do I get from Bedroom 1.12 (apartment 8) (Floor 1) to Bedroom 1.01 (apartment 7) (Floor 1)?</x:v>
      </x:c>
      <x:c r="D1389" s="6" t="str">
        <x:v>50.79 m
From: Bedroom 1.12 (apartment 8)
To: Bedroom 1.01 (apartment 7)
Ordered path (9 spaces): Bedroom 1.12 (apartment 8) → Corridor 1.18 (apartment 8) → Stair hall 1.54 → Stair hall 0.47 → outside → Stair hall 0.48 → Stair hall 1.55 → Corridor 1.03 (apartment 7) → Bedroom 1.01 (apartment 7)</x:v>
      </x:c>
      <x:c r="E1389" s="6" t="str">
        <x:v>Reference supplied</x:v>
      </x:c>
      <x:c r="F1389" s="6" t="str">
        <x:v>train</x:v>
      </x:c>
      <x:c r="G1389" s="6" t="str">
        <x:v>swiss-692</x:v>
      </x:c>
      <x:c r="H1389" s="6" t="str">
        <x:v>swiss-692-Q02</x:v>
      </x:c>
      <x:c r="I1389" s="6" t="str">
        <x:v>Route planning</x:v>
      </x:c>
      <x:c r="J1389" s="6" t="str">
        <x:v>Warm-up</x:v>
      </x:c>
      <x:c r="K1389" s="6" t="str">
        <x:v>Ordered space path and directions, plus total route-model distance in metres.</x:v>
      </x:c>
      <x:c r="L1389" s="6" t="str">
        <x:v>T02, T05, T13</x:v>
      </x:c>
      <x:c r="M1389" s="6" t="str">
        <x:v>Find a valid route between two rooms, including across floors.</x:v>
      </x:c>
      <x:c r="N1389" s="6" t="str">
        <x:v>{"from_space_id":"swiss-692-F1-S012","to_space_id":"swiss-692-F1-S001","optimal_length_m":50.79,"space_path":["swiss-692-F1-S012","swiss-692-F1-S018","swiss-692-F1-S054","swiss-692-F0-S047","outside","swiss-692-F0-S048","swiss-692-F1-S055","swiss-692-F1-S003","swiss-692-F1-S001"],"element_path":["swiss-692-F1-O0067","swiss-692-F1-O0067","swiss-692-F1-O0068","swiss-692-F1-O0068","swiss-692-V01","swiss-692-F0-O0360","swiss-692-F0-O0360","swiss-692-F0-O0361","swiss-692-F0-O0361","swiss-692-V02","swiss-692-F1-O0055","swiss-692-F1-O0055","swiss-692-F1-O0053","swiss-692-F1-O0053"]}</x:v>
      </x:c>
      <x:c r="O1389" s="6"/>
      <x:c r="P1389" s="6" t="str">
        <x:v>README routing profile. Stairs and lifts allowed unless stated otherwise.</x:v>
      </x:c>
      <x:c r="Q1389" s="15" t="n">
        <x:v>50.79</x:v>
      </x:c>
      <x:c r="R1389" s="6" t="str">
        <x:v>m</x:v>
      </x:c>
      <x:c r="S1389" s="16"/>
      <x:c r="T1389" s="15"/>
      <x:c r="U1389" s="6"/>
      <x:c r="V1389" s="6"/>
      <x:c r="W1389" s="6" t="str">
        <x:v>Existing find_route and show_route implement the kit routing model.</x:v>
      </x:c>
      <x:c r="X1389" s="6" t="str">
        <x:v>data/train/swiss-692/questions_basic.jsonl</x:v>
      </x:c>
      <x:c r="Y1389" s="14" t="n">
        <x:v>2</x:v>
      </x:c>
      <x:c r="Z1389" s="6" t="str">
        <x:v>https://github.com/hagenhaeussler/Industrial-Agents-Hackathon-2026/blob/f41616590b69f3ea0c1cbfb41d6c35edd9ce53df/data/train/swiss-692/questions_basic.jsonl#L2</x:v>
      </x:c>
      <x:c r="AA1389" s="6" t="str">
        <x:v>swiss_dwellings</x:v>
      </x:c>
      <x:c r="AB1389" s="6" t="str">
        <x:v>CC-BY-4.0</x:v>
      </x:c>
    </x:row>
    <x:row r="1390" ht="96" customHeight="1">
      <x:c r="A1390" s="14" t="n">
        <x:v>1385</x:v>
      </x:c>
      <x:c r="B1390" s="6" t="str">
        <x:v>route</x:v>
      </x:c>
      <x:c r="C1390" s="6" t="str">
        <x:v>How do I get from Bedroom 4.31 (apartment 37) (Floor 4) to Kitchen 3.37 (apartment 27) (Floor 3)?</x:v>
      </x:c>
      <x:c r="D1390" s="6" t="str">
        <x:v>28.75 m
From: Bedroom 4.31 (apartment 37)
To: Kitchen 3.37 (apartment 27)
Ordered path (6 spaces): Bedroom 4.31 (apartment 37) → Corridor 4.29 (apartment 37) → Landing 4.72 → Stair hall 3.88 → Corridor 3.40 (apartment 27) → Kitchen 3.37 (apartment 27)</x:v>
      </x:c>
      <x:c r="E1390" s="6" t="str">
        <x:v>Reference supplied</x:v>
      </x:c>
      <x:c r="F1390" s="6" t="str">
        <x:v>train</x:v>
      </x:c>
      <x:c r="G1390" s="6" t="str">
        <x:v>swiss-692</x:v>
      </x:c>
      <x:c r="H1390" s="6" t="str">
        <x:v>swiss-692-Q03</x:v>
      </x:c>
      <x:c r="I1390" s="6" t="str">
        <x:v>Route planning</x:v>
      </x:c>
      <x:c r="J1390" s="6" t="str">
        <x:v>Warm-up</x:v>
      </x:c>
      <x:c r="K1390" s="6" t="str">
        <x:v>Ordered space path and directions, plus total route-model distance in metres.</x:v>
      </x:c>
      <x:c r="L1390" s="6" t="str">
        <x:v>T02, T05, T13</x:v>
      </x:c>
      <x:c r="M1390" s="6" t="str">
        <x:v>Find a valid route between two rooms, including across floors.</x:v>
      </x:c>
      <x:c r="N1390" s="6" t="str">
        <x:v>{"from_space_id":"swiss-692-F4-S031","to_space_id":"swiss-692-F3-S037","optimal_length_m":28.75,"space_path":["swiss-692-F4-S031","swiss-692-F4-S029","swiss-692-F4-S072","swiss-692-F3-S088","swiss-692-F3-S040","swiss-692-F3-S037"],"element_path":["swiss-692-F4-O0320","swiss-692-F4-O0320","swiss-692-F4-O0326","swiss-692-F4-O0326","swiss-692-V16","swiss-692-F3-O0233","swiss-692-F3-O0233","swiss-692-F3-O0237","swiss-692-F3-O0237"]}</x:v>
      </x:c>
      <x:c r="O1390" s="6"/>
      <x:c r="P1390" s="6" t="str">
        <x:v>README routing profile. Stairs and lifts allowed unless stated otherwise.</x:v>
      </x:c>
      <x:c r="Q1390" s="15" t="n">
        <x:v>28.75</x:v>
      </x:c>
      <x:c r="R1390" s="6" t="str">
        <x:v>m</x:v>
      </x:c>
      <x:c r="S1390" s="16"/>
      <x:c r="T1390" s="15"/>
      <x:c r="U1390" s="6"/>
      <x:c r="V1390" s="6"/>
      <x:c r="W1390" s="6" t="str">
        <x:v>Existing find_route and show_route implement the kit routing model.</x:v>
      </x:c>
      <x:c r="X1390" s="6" t="str">
        <x:v>data/train/swiss-692/questions_basic.jsonl</x:v>
      </x:c>
      <x:c r="Y1390" s="14" t="n">
        <x:v>3</x:v>
      </x:c>
      <x:c r="Z1390" s="6" t="str">
        <x:v>https://github.com/hagenhaeussler/Industrial-Agents-Hackathon-2026/blob/f41616590b69f3ea0c1cbfb41d6c35edd9ce53df/data/train/swiss-692/questions_basic.jsonl#L3</x:v>
      </x:c>
      <x:c r="AA1390" s="6" t="str">
        <x:v>swiss_dwellings</x:v>
      </x:c>
      <x:c r="AB1390" s="6" t="str">
        <x:v>CC-BY-4.0</x:v>
      </x:c>
    </x:row>
    <x:row r="1391" ht="96" customHeight="1">
      <x:c r="A1391" s="14" t="n">
        <x:v>1386</x:v>
      </x:c>
      <x:c r="B1391" s="6" t="str">
        <x:v>route</x:v>
      </x:c>
      <x:c r="C1391" s="6" t="str">
        <x:v>How do I get from Bedroom 2.71 (apartment 21) (Floor 2) to Bedroom 3.73 (apartment 31) (Floor 3)?</x:v>
      </x:c>
      <x:c r="D1391" s="6" t="str">
        <x:v>53.36 m
From: Bedroom 2.71 (apartment 21)
To: Bedroom 3.73 (apartment 31)
Ordered path (8 spaces): Bedroom 2.71 (apartment 21) → Corridor 2.70 (apartment 21) → Landing 2.90 → Stair hall 1.56 → Stair hall 2.89 → Stair hall 3.89 → Corridor 3.77 (apartment 31) → Bedroom 3.73 (apartment 31)</x:v>
      </x:c>
      <x:c r="E1391" s="6" t="str">
        <x:v>Reference supplied</x:v>
      </x:c>
      <x:c r="F1391" s="6" t="str">
        <x:v>train</x:v>
      </x:c>
      <x:c r="G1391" s="6" t="str">
        <x:v>swiss-692</x:v>
      </x:c>
      <x:c r="H1391" s="6" t="str">
        <x:v>swiss-692-Q04</x:v>
      </x:c>
      <x:c r="I1391" s="6" t="str">
        <x:v>Route planning</x:v>
      </x:c>
      <x:c r="J1391" s="6" t="str">
        <x:v>Warm-up</x:v>
      </x:c>
      <x:c r="K1391" s="6" t="str">
        <x:v>Ordered space path and directions, plus total route-model distance in metres.</x:v>
      </x:c>
      <x:c r="L1391" s="6" t="str">
        <x:v>T02, T05, T13</x:v>
      </x:c>
      <x:c r="M1391" s="6" t="str">
        <x:v>Find a valid route between two rooms, including across floors.</x:v>
      </x:c>
      <x:c r="N1391" s="6" t="str">
        <x:v>{"from_space_id":"swiss-692-F2-S071","to_space_id":"swiss-692-F3-S073","optimal_length_m":53.36,"space_path":["swiss-692-F2-S071","swiss-692-F2-S070","swiss-692-F2-S090","swiss-692-F1-S056","swiss-692-F2-S089","swiss-692-F3-S089","swiss-692-F3-S077","swiss-692-F3-S073"],"element_path":["swiss-692-F2-O0187","swiss-692-F2-O0187","swiss-692-F2-O0189","swiss-692-F2-O0189","swiss-692-V07","swiss-692-V06","swiss-692-V10","swiss-692-F3-O0271","swiss-692-F3-O0271","swiss-692-F3-O0274","swiss-692-F3-O0274"]}</x:v>
      </x:c>
      <x:c r="O1391" s="6"/>
      <x:c r="P1391" s="6" t="str">
        <x:v>README routing profile. Stairs and lifts allowed unless stated otherwise.</x:v>
      </x:c>
      <x:c r="Q1391" s="15" t="n">
        <x:v>53.36</x:v>
      </x:c>
      <x:c r="R1391" s="6" t="str">
        <x:v>m</x:v>
      </x:c>
      <x:c r="S1391" s="16"/>
      <x:c r="T1391" s="15"/>
      <x:c r="U1391" s="6"/>
      <x:c r="V1391" s="6"/>
      <x:c r="W1391" s="6" t="str">
        <x:v>Existing find_route and show_route implement the kit routing model.</x:v>
      </x:c>
      <x:c r="X1391" s="6" t="str">
        <x:v>data/train/swiss-692/questions_basic.jsonl</x:v>
      </x:c>
      <x:c r="Y1391" s="14" t="n">
        <x:v>4</x:v>
      </x:c>
      <x:c r="Z1391" s="6" t="str">
        <x:v>https://github.com/hagenhaeussler/Industrial-Agents-Hackathon-2026/blob/f41616590b69f3ea0c1cbfb41d6c35edd9ce53df/data/train/swiss-692/questions_basic.jsonl#L4</x:v>
      </x:c>
      <x:c r="AA1391" s="6" t="str">
        <x:v>swiss_dwellings</x:v>
      </x:c>
      <x:c r="AB1391" s="6" t="str">
        <x:v>CC-BY-4.0</x:v>
      </x:c>
    </x:row>
    <x:row r="1392" ht="110" customHeight="1">
      <x:c r="A1392" s="14" t="n">
        <x:v>1387</x:v>
      </x:c>
      <x:c r="B1392" s="6" t="str">
        <x:v>route</x:v>
      </x:c>
      <x:c r="C1392" s="6" t="str">
        <x:v>How do I get from Bedroom 3.04 (apartment 7) (Floor 3) to Storage 0.01 (apartment 1) (Ground floor)?</x:v>
      </x:c>
      <x:c r="D1392" s="6" t="str">
        <x:v>48.79 m
From: Bedroom 3.04 (apartment 7)
To: Storage 0.01 (apartment 1)
Ordered path (10 spaces): Bedroom 3.04 (apartment 7) → Corridor 3.05 (apartment 7) → Landing 3.13 → Landing 2.24 → Landing 1.23 → Landing 0.24 → outside → Landing 0.23 → Corridor 0.12 (apartment 1) → Storage 0.01 (apartment 1)</x:v>
      </x:c>
      <x:c r="E1392" s="6" t="str">
        <x:v>Reference supplied</x:v>
      </x:c>
      <x:c r="F1392" s="6" t="str">
        <x:v>train</x:v>
      </x:c>
      <x:c r="G1392" s="6" t="str">
        <x:v>swiss-920</x:v>
      </x:c>
      <x:c r="H1392" s="6" t="str">
        <x:v>swiss-920-Q02</x:v>
      </x:c>
      <x:c r="I1392" s="6" t="str">
        <x:v>Route planning</x:v>
      </x:c>
      <x:c r="J1392" s="6" t="str">
        <x:v>Warm-up</x:v>
      </x:c>
      <x:c r="K1392" s="6" t="str">
        <x:v>Ordered space path and directions, plus total route-model distance in metres.</x:v>
      </x:c>
      <x:c r="L1392" s="6" t="str">
        <x:v>T02, T05, T13</x:v>
      </x:c>
      <x:c r="M1392" s="6" t="str">
        <x:v>Find a valid route between two rooms, including across floors.</x:v>
      </x:c>
      <x:c r="N1392" s="6" t="str">
        <x:v>{"from_space_id":"swiss-920-F3-S004","to_space_id":"swiss-920-F0-S001","optimal_length_m":48.79,"space_path":["swiss-920-F3-S004","swiss-920-F3-S005","swiss-920-F3-S013","swiss-920-F2-S024","swiss-920-F1-S023","swiss-920-F0-S024","outside","swiss-920-F0-S023","swiss-920-F0-S012","swiss-920-F0-S001"],"element_path":["swiss-920-F3-O0080","swiss-920-F3-O0080","swiss-920-F3-O0082","swiss-920-F3-O0082","swiss-920-V01","swiss-920-V01","swiss-920-V01","swiss-920-F0-O0089","swiss-920-F0-O0089","swiss-920-F0-O0088","swiss-920-F0-O0088","swiss-920-F0-O0006","swiss-920-F0-O0006","swiss-920-F0-O0010","swiss-920-F0-O0010"]}</x:v>
      </x:c>
      <x:c r="O1392" s="6"/>
      <x:c r="P1392" s="6" t="str">
        <x:v>README routing profile. Stairs and lifts allowed unless stated otherwise.</x:v>
      </x:c>
      <x:c r="Q1392" s="15" t="n">
        <x:v>48.79</x:v>
      </x:c>
      <x:c r="R1392" s="6" t="str">
        <x:v>m</x:v>
      </x:c>
      <x:c r="S1392" s="16"/>
      <x:c r="T1392" s="15"/>
      <x:c r="U1392" s="6"/>
      <x:c r="V1392" s="6"/>
      <x:c r="W1392" s="6" t="str">
        <x:v>Existing find_route and show_route implement the kit routing model.</x:v>
      </x:c>
      <x:c r="X1392" s="6" t="str">
        <x:v>data/train/swiss-920/questions_basic.jsonl</x:v>
      </x:c>
      <x:c r="Y1392" s="14" t="n">
        <x:v>2</x:v>
      </x:c>
      <x:c r="Z1392" s="6" t="str">
        <x:v>https://github.com/hagenhaeussler/Industrial-Agents-Hackathon-2026/blob/f41616590b69f3ea0c1cbfb41d6c35edd9ce53df/data/train/swiss-920/questions_basic.jsonl#L2</x:v>
      </x:c>
      <x:c r="AA1392" s="6" t="str">
        <x:v>swiss_dwellings</x:v>
      </x:c>
      <x:c r="AB1392" s="6" t="str">
        <x:v>CC-BY-4.0</x:v>
      </x:c>
    </x:row>
    <x:row r="1393" ht="124" customHeight="1">
      <x:c r="A1393" s="14" t="n">
        <x:v>1388</x:v>
      </x:c>
      <x:c r="B1393" s="6" t="str">
        <x:v>route</x:v>
      </x:c>
      <x:c r="C1393" s="6" t="str">
        <x:v>How do I get from Bedroom 1.14 (apartment 4) (Floor 1) to Bathroom 1.11 (apartment 3) (Floor 1)?</x:v>
      </x:c>
      <x:c r="D1393" s="6" t="str">
        <x:v>33.68 m
From: Bedroom 1.14 (apartment 4)
To: Bathroom 1.11 (apartment 3)
Ordered path (10 spaces): Bedroom 1.14 (apartment 4) → Corridor 1.21 (apartment 4) → Living room 1.17 (apartment 4) → Corridor 1.15 (apartment 4) → Landing 1.24 → Landing 1.23 → Corridor 1.10 (apartment 3) → Living room 1.02 (apartment 3) → Corridor 1.07 (apartment 3) → Bathroom 1.11 (apartment 3)</x:v>
      </x:c>
      <x:c r="E1393" s="6" t="str">
        <x:v>Reference supplied</x:v>
      </x:c>
      <x:c r="F1393" s="6" t="str">
        <x:v>train</x:v>
      </x:c>
      <x:c r="G1393" s="6" t="str">
        <x:v>swiss-920</x:v>
      </x:c>
      <x:c r="H1393" s="6" t="str">
        <x:v>swiss-920-Q03</x:v>
      </x:c>
      <x:c r="I1393" s="6" t="str">
        <x:v>Route planning</x:v>
      </x:c>
      <x:c r="J1393" s="6" t="str">
        <x:v>Warm-up</x:v>
      </x:c>
      <x:c r="K1393" s="6" t="str">
        <x:v>Ordered space path and directions, plus total route-model distance in metres.</x:v>
      </x:c>
      <x:c r="L1393" s="6" t="str">
        <x:v>T02, T05, T13</x:v>
      </x:c>
      <x:c r="M1393" s="6" t="str">
        <x:v>Find a valid route between two rooms, including across floors.</x:v>
      </x:c>
      <x:c r="N1393" s="6" t="str">
        <x:v>{"from_space_id":"swiss-920-F1-S014","to_space_id":"swiss-920-F1-S011","optimal_length_m":33.68,"space_path":["swiss-920-F1-S014","swiss-920-F1-S021","swiss-920-F1-S017","swiss-920-F1-S015","swiss-920-F1-S024","swiss-920-F1-S023","swiss-920-F1-S010","swiss-920-F1-S002","swiss-920-F1-S007","swiss-920-F1-S011"],"element_path":["swiss-920-F1-O0036","swiss-920-F1-O0036","swiss-920-F1-O0050","swiss-920-F1-O0050","swiss-920-F1-O0049","swiss-920-F1-O0049","swiss-920-F1-O0042","swiss-920-F1-O0042","swiss-920-F1-O0026","swiss-920-F1-O0026","swiss-920-F1-O0027","swiss-920-F1-O0027","swiss-920-F1-O0046","swiss-920-F1-O0046","swiss-920-F1-O0045","swiss-920-F1-O0045","swiss-920-F1-O0035","swiss-920-F1-O0035"]}</x:v>
      </x:c>
      <x:c r="O1393" s="6"/>
      <x:c r="P1393" s="6" t="str">
        <x:v>README routing profile. Stairs and lifts allowed unless stated otherwise.</x:v>
      </x:c>
      <x:c r="Q1393" s="15" t="n">
        <x:v>33.68</x:v>
      </x:c>
      <x:c r="R1393" s="6" t="str">
        <x:v>m</x:v>
      </x:c>
      <x:c r="S1393" s="16"/>
      <x:c r="T1393" s="15"/>
      <x:c r="U1393" s="6"/>
      <x:c r="V1393" s="6"/>
      <x:c r="W1393" s="6" t="str">
        <x:v>Existing find_route and show_route implement the kit routing model.</x:v>
      </x:c>
      <x:c r="X1393" s="6" t="str">
        <x:v>data/train/swiss-920/questions_basic.jsonl</x:v>
      </x:c>
      <x:c r="Y1393" s="14" t="n">
        <x:v>3</x:v>
      </x:c>
      <x:c r="Z1393" s="6" t="str">
        <x:v>https://github.com/hagenhaeussler/Industrial-Agents-Hackathon-2026/blob/f41616590b69f3ea0c1cbfb41d6c35edd9ce53df/data/train/swiss-920/questions_basic.jsonl#L3</x:v>
      </x:c>
      <x:c r="AA1393" s="6" t="str">
        <x:v>swiss_dwellings</x:v>
      </x:c>
      <x:c r="AB1393" s="6" t="str">
        <x:v>CC-BY-4.0</x:v>
      </x:c>
    </x:row>
    <x:row r="1394" ht="110" customHeight="1">
      <x:c r="A1394" s="14" t="n">
        <x:v>1389</x:v>
      </x:c>
      <x:c r="B1394" s="6" t="str">
        <x:v>route</x:v>
      </x:c>
      <x:c r="C1394" s="6" t="str">
        <x:v>How do I get from Kitchen 1.13 (apartment 4) (Floor 1) to Bedroom 0.14 (apartment 2) (Ground floor)?</x:v>
      </x:c>
      <x:c r="D1394" s="6" t="str">
        <x:v>38.94 m
From: Kitchen 1.13 (apartment 4)
To: Bedroom 0.14 (apartment 2)
Ordered path (9 spaces): Kitchen 1.13 (apartment 4) → Living room 1.17 (apartment 4) → Corridor 1.15 (apartment 4) → Landing 1.24 → Landing 0.24 → Corridor 0.22 (apartment 2) → Living room 0.13 (apartment 2) → Corridor 0.16 (apartment 2) → Bedroom 0.14 (apartment 2)</x:v>
      </x:c>
      <x:c r="E1394" s="6" t="str">
        <x:v>Reference supplied</x:v>
      </x:c>
      <x:c r="F1394" s="6" t="str">
        <x:v>train</x:v>
      </x:c>
      <x:c r="G1394" s="6" t="str">
        <x:v>swiss-920</x:v>
      </x:c>
      <x:c r="H1394" s="6" t="str">
        <x:v>swiss-920-Q04</x:v>
      </x:c>
      <x:c r="I1394" s="6" t="str">
        <x:v>Route planning</x:v>
      </x:c>
      <x:c r="J1394" s="6" t="str">
        <x:v>Warm-up</x:v>
      </x:c>
      <x:c r="K1394" s="6" t="str">
        <x:v>Ordered space path and directions, plus total route-model distance in metres.</x:v>
      </x:c>
      <x:c r="L1394" s="6" t="str">
        <x:v>T02, T05, T13</x:v>
      </x:c>
      <x:c r="M1394" s="6" t="str">
        <x:v>Find a valid route between two rooms, including across floors.</x:v>
      </x:c>
      <x:c r="N1394" s="6" t="str">
        <x:v>{"from_space_id":"swiss-920-F1-S013","to_space_id":"swiss-920-F0-S014","optimal_length_m":38.94,"space_path":["swiss-920-F1-S013","swiss-920-F1-S017","swiss-920-F1-S015","swiss-920-F1-S024","swiss-920-F0-S024","swiss-920-F0-S022","swiss-920-F0-S013","swiss-920-F0-S016","swiss-920-F0-S014"],"element_path":["swiss-920-F1-O0047","swiss-920-F1-O0047","swiss-920-F1-O0049","swiss-920-F1-O0049","swiss-920-F1-O0042","swiss-920-F1-O0042","swiss-920-V03","swiss-920-F0-O0013","swiss-920-F0-O0013","swiss-920-F0-O0022","swiss-920-F0-O0022","swiss-920-F0-O0024","swiss-920-F0-O0024","swiss-920-F0-O0011","swiss-920-F0-O0011"]}</x:v>
      </x:c>
      <x:c r="O1394" s="6"/>
      <x:c r="P1394" s="6" t="str">
        <x:v>README routing profile. Stairs and lifts allowed unless stated otherwise.</x:v>
      </x:c>
      <x:c r="Q1394" s="15" t="n">
        <x:v>38.94</x:v>
      </x:c>
      <x:c r="R1394" s="6" t="str">
        <x:v>m</x:v>
      </x:c>
      <x:c r="S1394" s="16"/>
      <x:c r="T1394" s="15"/>
      <x:c r="U1394" s="6"/>
      <x:c r="V1394" s="6"/>
      <x:c r="W1394" s="6" t="str">
        <x:v>Existing find_route and show_route implement the kit routing model.</x:v>
      </x:c>
      <x:c r="X1394" s="6" t="str">
        <x:v>data/train/swiss-920/questions_basic.jsonl</x:v>
      </x:c>
      <x:c r="Y1394" s="14" t="n">
        <x:v>4</x:v>
      </x:c>
      <x:c r="Z1394" s="6" t="str">
        <x:v>https://github.com/hagenhaeussler/Industrial-Agents-Hackathon-2026/blob/f41616590b69f3ea0c1cbfb41d6c35edd9ce53df/data/train/swiss-920/questions_basic.jsonl#L4</x:v>
      </x:c>
      <x:c r="AA1394" s="6" t="str">
        <x:v>swiss_dwellings</x:v>
      </x:c>
      <x:c r="AB1394" s="6" t="str">
        <x:v>CC-BY-4.0</x:v>
      </x:c>
    </x:row>
    <x:row r="1395" ht="138" customHeight="1">
      <x:c r="A1395" s="14" t="n">
        <x:v>1390</x:v>
      </x:c>
      <x:c r="B1395" s="6" t="str">
        <x:v>route</x:v>
      </x:c>
      <x:c r="C1395" s="6" t="str">
        <x:v>How do I get from Bathroom 4.10 (apartment 18) (Floor 4) to Storage 0.31 (apartment 4) (Ground floor)?</x:v>
      </x:c>
      <x:c r="D1395" s="6" t="str">
        <x:v>69.13 m
From: Bathroom 4.10 (apartment 18)
To: Storage 0.31 (apartment 4)
Ordered path (13 spaces): Bathroom 4.10 (apartment 18) → Corridor 4.13 (apartment 18) → Living room 4.11 (apartment 18) → Corridor 4.12 (apartment 18) → Landing 4.38 → Landing 3.39 → Landing 2.38 → Landing 1.38 → Landing 0.39 → outside → Landing 0.38 → Corridor 0.29 (apartment 4) → Storage 0.31 (apartment 4)</x:v>
      </x:c>
      <x:c r="E1395" s="6" t="str">
        <x:v>Reference supplied</x:v>
      </x:c>
      <x:c r="F1395" s="6" t="str">
        <x:v>train</x:v>
      </x:c>
      <x:c r="G1395" s="6" t="str">
        <x:v>swiss-921</x:v>
      </x:c>
      <x:c r="H1395" s="6" t="str">
        <x:v>swiss-921-Q02</x:v>
      </x:c>
      <x:c r="I1395" s="6" t="str">
        <x:v>Route planning</x:v>
      </x:c>
      <x:c r="J1395" s="6" t="str">
        <x:v>Warm-up</x:v>
      </x:c>
      <x:c r="K1395" s="6" t="str">
        <x:v>Ordered space path and directions, plus total route-model distance in metres.</x:v>
      </x:c>
      <x:c r="L1395" s="6" t="str">
        <x:v>T02, T05, T13</x:v>
      </x:c>
      <x:c r="M1395" s="6" t="str">
        <x:v>Find a valid route between two rooms, including across floors.</x:v>
      </x:c>
      <x:c r="N1395" s="6" t="str">
        <x:v>{"from_space_id":"swiss-921-F4-S010","to_space_id":"swiss-921-F0-S031","optimal_length_m":69.13,"space_path":["swiss-921-F4-S010","swiss-921-F4-S013","swiss-921-F4-S011","swiss-921-F4-S012","swiss-921-F4-S038","swiss-921-F3-S039","swiss-921-F2-S038","swiss-921-F1-S038","swiss-921-F0-S039","outside","swiss-921-F0-S038","swiss-921-F0-S029","swiss-921-F0-S031"],"element_path":["swiss-921-F4-O0178","swiss-921-F4-O0178","swiss-921-F4-O0204","swiss-921-F4-O0204","swiss-921-F4-O0205","swiss-921-F4-O0205","swiss-921-F4-O0177","swiss-921-F4-O0177","swiss-921-V01","swiss-921-V01","swiss-921-V01","swiss-921-V01","swiss-921-F0-O0300","swiss-921-F0-O0300","swiss-921-F0-O0299","swiss-921-F0-O0299","swiss-921-F0-O0029","swiss-921-F0-O0029","swiss-921-F0-O0023","swiss-921-F0-O0023"]}</x:v>
      </x:c>
      <x:c r="O1395" s="6"/>
      <x:c r="P1395" s="6" t="str">
        <x:v>README routing profile. Stairs and lifts allowed unless stated otherwise.</x:v>
      </x:c>
      <x:c r="Q1395" s="15" t="n">
        <x:v>69.13</x:v>
      </x:c>
      <x:c r="R1395" s="6" t="str">
        <x:v>m</x:v>
      </x:c>
      <x:c r="S1395" s="16"/>
      <x:c r="T1395" s="15"/>
      <x:c r="U1395" s="6"/>
      <x:c r="V1395" s="6"/>
      <x:c r="W1395" s="6" t="str">
        <x:v>Existing find_route and show_route implement the kit routing model.</x:v>
      </x:c>
      <x:c r="X1395" s="6" t="str">
        <x:v>data/train/swiss-921/questions_basic.jsonl</x:v>
      </x:c>
      <x:c r="Y1395" s="14" t="n">
        <x:v>2</x:v>
      </x:c>
      <x:c r="Z1395" s="6" t="str">
        <x:v>https://github.com/hagenhaeussler/Industrial-Agents-Hackathon-2026/blob/f41616590b69f3ea0c1cbfb41d6c35edd9ce53df/data/train/swiss-921/questions_basic.jsonl#L2</x:v>
      </x:c>
      <x:c r="AA1395" s="6" t="str">
        <x:v>swiss_dwellings</x:v>
      </x:c>
      <x:c r="AB1395" s="6" t="str">
        <x:v>CC-BY-4.0</x:v>
      </x:c>
    </x:row>
    <x:row r="1396" ht="96" customHeight="1">
      <x:c r="A1396" s="14" t="n">
        <x:v>1391</x:v>
      </x:c>
      <x:c r="B1396" s="6" t="str">
        <x:v>route</x:v>
      </x:c>
      <x:c r="C1396" s="6" t="str">
        <x:v>How do I get from Bedroom 4.02 (apartment 17) (Floor 4) to Bedroom 5.10 (apartment 21) (Floor 5)?</x:v>
      </x:c>
      <x:c r="D1396" s="6" t="str">
        <x:v>33.84 m
From: Bedroom 4.02 (apartment 17)
To: Bedroom 5.10 (apartment 21)
Ordered path (7 spaces): Bedroom 4.02 (apartment 17) → Corridor 4.05 (apartment 17) → Landing 4.38 → Stair hall 5.40 → Corridor 5.02 (apartment 21) → Corridor 5.11 (apartment 21) → Bedroom 5.10 (apartment 21)</x:v>
      </x:c>
      <x:c r="E1396" s="6" t="str">
        <x:v>Reference supplied</x:v>
      </x:c>
      <x:c r="F1396" s="6" t="str">
        <x:v>train</x:v>
      </x:c>
      <x:c r="G1396" s="6" t="str">
        <x:v>swiss-921</x:v>
      </x:c>
      <x:c r="H1396" s="6" t="str">
        <x:v>swiss-921-Q03</x:v>
      </x:c>
      <x:c r="I1396" s="6" t="str">
        <x:v>Route planning</x:v>
      </x:c>
      <x:c r="J1396" s="6" t="str">
        <x:v>Warm-up</x:v>
      </x:c>
      <x:c r="K1396" s="6" t="str">
        <x:v>Ordered space path and directions, plus total route-model distance in metres.</x:v>
      </x:c>
      <x:c r="L1396" s="6" t="str">
        <x:v>T02, T05, T13</x:v>
      </x:c>
      <x:c r="M1396" s="6" t="str">
        <x:v>Find a valid route between two rooms, including across floors.</x:v>
      </x:c>
      <x:c r="N1396" s="6" t="str">
        <x:v>{"from_space_id":"swiss-921-F4-S002","to_space_id":"swiss-921-F5-S010","optimal_length_m":33.84,"space_path":["swiss-921-F4-S002","swiss-921-F4-S005","swiss-921-F4-S038","swiss-921-F5-S040","swiss-921-F5-S002","swiss-921-F5-S011","swiss-921-F5-S010"],"element_path":["swiss-921-F4-O0174","swiss-921-F4-O0174","swiss-921-F4-O0173","swiss-921-F4-O0173","swiss-921-V01","swiss-921-F5-O0212","swiss-921-F5-O0212","swiss-921-F5-O0248","swiss-921-F5-O0248","swiss-921-F5-O0219","swiss-921-F5-O0219"]}</x:v>
      </x:c>
      <x:c r="O1396" s="6"/>
      <x:c r="P1396" s="6" t="str">
        <x:v>README routing profile. Stairs and lifts allowed unless stated otherwise.</x:v>
      </x:c>
      <x:c r="Q1396" s="15" t="n">
        <x:v>33.84</x:v>
      </x:c>
      <x:c r="R1396" s="6" t="str">
        <x:v>m</x:v>
      </x:c>
      <x:c r="S1396" s="16"/>
      <x:c r="T1396" s="15"/>
      <x:c r="U1396" s="6"/>
      <x:c r="V1396" s="6"/>
      <x:c r="W1396" s="6" t="str">
        <x:v>Existing find_route and show_route implement the kit routing model.</x:v>
      </x:c>
      <x:c r="X1396" s="6" t="str">
        <x:v>data/train/swiss-921/questions_basic.jsonl</x:v>
      </x:c>
      <x:c r="Y1396" s="14" t="n">
        <x:v>3</x:v>
      </x:c>
      <x:c r="Z1396" s="6" t="str">
        <x:v>https://github.com/hagenhaeussler/Industrial-Agents-Hackathon-2026/blob/f41616590b69f3ea0c1cbfb41d6c35edd9ce53df/data/train/swiss-921/questions_basic.jsonl#L3</x:v>
      </x:c>
      <x:c r="AA1396" s="6" t="str">
        <x:v>swiss_dwellings</x:v>
      </x:c>
      <x:c r="AB1396" s="6" t="str">
        <x:v>CC-BY-4.0</x:v>
      </x:c>
    </x:row>
    <x:row r="1397" ht="124" customHeight="1">
      <x:c r="A1397" s="14" t="n">
        <x:v>1392</x:v>
      </x:c>
      <x:c r="B1397" s="6" t="str">
        <x:v>route</x:v>
      </x:c>
      <x:c r="C1397" s="6" t="str">
        <x:v>How do I get from Storage 5.33 (apartment 24) (Floor 5) to Living room 1.34 (apartment 8) (Floor 1)?</x:v>
      </x:c>
      <x:c r="D1397" s="6" t="str">
        <x:v>91.09 m
From: Storage 5.33 (apartment 24)
To: Living room 1.34 (apartment 8)
Ordered path (13 spaces): Storage 5.33 (apartment 24) → Corridor 5.35 (apartment 24) → Stair hall 5.40 → Landing 4.38 → Landing 3.39 → Landing 2.38 → Landing 1.38 → Landing 0.39 → outside → Landing 0.38 → Landing 1.39 → Corridor 1.29 (apartment 8) → Living room 1.34 (apartment 8)</x:v>
      </x:c>
      <x:c r="E1397" s="6" t="str">
        <x:v>Reference supplied</x:v>
      </x:c>
      <x:c r="F1397" s="6" t="str">
        <x:v>train</x:v>
      </x:c>
      <x:c r="G1397" s="6" t="str">
        <x:v>swiss-921</x:v>
      </x:c>
      <x:c r="H1397" s="6" t="str">
        <x:v>swiss-921-Q04</x:v>
      </x:c>
      <x:c r="I1397" s="6" t="str">
        <x:v>Route planning</x:v>
      </x:c>
      <x:c r="J1397" s="6" t="str">
        <x:v>Warm-up</x:v>
      </x:c>
      <x:c r="K1397" s="6" t="str">
        <x:v>Ordered space path and directions, plus total route-model distance in metres.</x:v>
      </x:c>
      <x:c r="L1397" s="6" t="str">
        <x:v>T02, T05, T13</x:v>
      </x:c>
      <x:c r="M1397" s="6" t="str">
        <x:v>Find a valid route between two rooms, including across floors.</x:v>
      </x:c>
      <x:c r="N1397" s="6" t="str">
        <x:v>{"from_space_id":"swiss-921-F5-S033","to_space_id":"swiss-921-F1-S034","optimal_length_m":91.09,"space_path":["swiss-921-F5-S033","swiss-921-F5-S035","swiss-921-F5-S040","swiss-921-F4-S038","swiss-921-F3-S039","swiss-921-F2-S038","swiss-921-F1-S038","swiss-921-F0-S039","outside","swiss-921-F0-S038","swiss-921-F1-S039","swiss-921-F1-S029","swiss-921-F1-S034"],"element_path":["swiss-921-F5-O0244","swiss-921-F5-O0244","swiss-921-F5-O0247","swiss-921-F5-O0247","swiss-921-V01","swiss-921-V01","swiss-921-V01","swiss-921-V01","swiss-921-V01","swiss-921-F0-O0300","swiss-921-F0-O0300","swiss-921-F0-O0299","swiss-921-F0-O0299","swiss-921-V03","swiss-921-F1-O0069","swiss-921-F1-O0069","swiss-921-F1-O0072","swiss-921-F1-O0072"]}</x:v>
      </x:c>
      <x:c r="O1397" s="6"/>
      <x:c r="P1397" s="6" t="str">
        <x:v>README routing profile. Stairs and lifts allowed unless stated otherwise.</x:v>
      </x:c>
      <x:c r="Q1397" s="15" t="n">
        <x:v>91.09</x:v>
      </x:c>
      <x:c r="R1397" s="6" t="str">
        <x:v>m</x:v>
      </x:c>
      <x:c r="S1397" s="16"/>
      <x:c r="T1397" s="15"/>
      <x:c r="U1397" s="6"/>
      <x:c r="V1397" s="6"/>
      <x:c r="W1397" s="6" t="str">
        <x:v>Existing find_route and show_route implement the kit routing model.</x:v>
      </x:c>
      <x:c r="X1397" s="6" t="str">
        <x:v>data/train/swiss-921/questions_basic.jsonl</x:v>
      </x:c>
      <x:c r="Y1397" s="14" t="n">
        <x:v>4</x:v>
      </x:c>
      <x:c r="Z1397" s="6" t="str">
        <x:v>https://github.com/hagenhaeussler/Industrial-Agents-Hackathon-2026/blob/f41616590b69f3ea0c1cbfb41d6c35edd9ce53df/data/train/swiss-921/questions_basic.jsonl#L4</x:v>
      </x:c>
      <x:c r="AA1397" s="6" t="str">
        <x:v>swiss_dwellings</x:v>
      </x:c>
      <x:c r="AB1397" s="6" t="str">
        <x:v>CC-BY-4.0</x:v>
      </x:c>
    </x:row>
    <x:row r="1398" ht="96" customHeight="1">
      <x:c r="A1398" s="14" t="n">
        <x:v>1393</x:v>
      </x:c>
      <x:c r="B1398" s="6" t="str">
        <x:v>route</x:v>
      </x:c>
      <x:c r="C1398" s="6" t="str">
        <x:v>How do I get from Toilet N0351B (Ground floor) to Generic room N0317E (Ground floor)?</x:v>
      </x:c>
      <x:c r="D1398" s="6" t="str">
        <x:v>25.41 m
From: Toilet N0351B
To: Generic room N0317E
Ordered path (5 spaces): Toilet N0351B → Corridor N0355 → Corridor N0350C → outside → Generic room N0317E</x:v>
      </x:c>
      <x:c r="E1398" s="6" t="str">
        <x:v>Reference supplied</x:v>
      </x:c>
      <x:c r="F1398" s="6" t="str">
        <x:v>dev</x:v>
      </x:c>
      <x:c r="G1398" s="6" t="str">
        <x:v>osm-way22744230</x:v>
      </x:c>
      <x:c r="H1398" s="6" t="str">
        <x:v>osm-way22744230-Q05</x:v>
      </x:c>
      <x:c r="I1398" s="6" t="str">
        <x:v>Route planning</x:v>
      </x:c>
      <x:c r="J1398" s="6" t="str">
        <x:v>Warm-up</x:v>
      </x:c>
      <x:c r="K1398" s="6" t="str">
        <x:v>Ordered space path and directions, plus total route-model distance in metres.</x:v>
      </x:c>
      <x:c r="L1398" s="6" t="str">
        <x:v>T02, T05, T13</x:v>
      </x:c>
      <x:c r="M1398" s="6" t="str">
        <x:v>Find a valid route between two rooms, including across floors.</x:v>
      </x:c>
      <x:c r="N1398" s="6" t="str">
        <x:v>{"from_space_id":"osm-way22744230-F0-S043","to_space_id":"osm-way22744230-F0-S046","optimal_length_m":25.41,"space_path":["osm-way22744230-F0-S043","osm-way22744230-F0-S019","osm-way22744230-F0-S015","outside","osm-way22744230-F0-S046"],"element_path":["osm-way22744230-F0-O0129","osm-way22744230-F0-O0129","osm-way22744230-F0-O0102","osm-way22744230-F0-O0102","osm-way22744230-F0-O0133","osm-way22744230-F0-O0133","osm-way22744230-F0-O0135","osm-way22744230-F0-O0135"]}</x:v>
      </x:c>
      <x:c r="O1398" s="6"/>
      <x:c r="P1398" s="6" t="str">
        <x:v>README routing profile. Stairs and lifts allowed unless stated otherwise.</x:v>
      </x:c>
      <x:c r="Q1398" s="15" t="n">
        <x:v>25.41</x:v>
      </x:c>
      <x:c r="R1398" s="6" t="str">
        <x:v>m</x:v>
      </x:c>
      <x:c r="S1398" s="16"/>
      <x:c r="T1398" s="15"/>
      <x:c r="U1398" s="6"/>
      <x:c r="V1398" s="6"/>
      <x:c r="W1398" s="6" t="str">
        <x:v>Existing find_route and show_route implement the kit routing model.</x:v>
      </x:c>
      <x:c r="X1398" s="6" t="str">
        <x:v>data/dev/osm-way22744230/questions_basic.jsonl</x:v>
      </x:c>
      <x:c r="Y1398" s="14" t="n">
        <x:v>5</x:v>
      </x:c>
      <x:c r="Z1398" s="6" t="str">
        <x:v>https://github.com/hagenhaeussler/Industrial-Agents-Hackathon-2026/blob/f41616590b69f3ea0c1cbfb41d6c35edd9ce53df/data/dev/osm-way22744230/questions_basic.jsonl#L5</x:v>
      </x:c>
      <x:c r="AA1398" s="6" t="str">
        <x:v>osm_indoor</x:v>
      </x:c>
      <x:c r="AB1398" s="6" t="str">
        <x:v>ODbL-1.0</x:v>
      </x:c>
    </x:row>
    <x:row r="1399" ht="82" customHeight="1">
      <x:c r="A1399" s="14" t="n">
        <x:v>1394</x:v>
      </x:c>
      <x:c r="B1399" s="6" t="str">
        <x:v>route</x:v>
      </x:c>
      <x:c r="C1399" s="6" t="str">
        <x:v>How do I get from Generic room N2327 (Floor 2) to Generic room N2325 (Floor 2)?</x:v>
      </x:c>
      <x:c r="D1399" s="6" t="str">
        <x:v>27.93 m
From: Generic room N2327
To: Generic room N2325
Ordered path (4 spaces): Generic room N2327 → Corridor N2330 → Corridor N2331 → Generic room N2325</x:v>
      </x:c>
      <x:c r="E1399" s="6" t="str">
        <x:v>Reference supplied</x:v>
      </x:c>
      <x:c r="F1399" s="6" t="str">
        <x:v>dev</x:v>
      </x:c>
      <x:c r="G1399" s="6" t="str">
        <x:v>osm-way22744230</x:v>
      </x:c>
      <x:c r="H1399" s="6" t="str">
        <x:v>osm-way22744230-Q06</x:v>
      </x:c>
      <x:c r="I1399" s="6" t="str">
        <x:v>Route planning</x:v>
      </x:c>
      <x:c r="J1399" s="6" t="str">
        <x:v>Warm-up</x:v>
      </x:c>
      <x:c r="K1399" s="6" t="str">
        <x:v>Ordered space path and directions, plus total route-model distance in metres.</x:v>
      </x:c>
      <x:c r="L1399" s="6" t="str">
        <x:v>T02, T05, T13</x:v>
      </x:c>
      <x:c r="M1399" s="6" t="str">
        <x:v>Find a valid route between two rooms, including across floors.</x:v>
      </x:c>
      <x:c r="N1399" s="6" t="str">
        <x:v>{"from_space_id":"osm-way22744230-F2-S021","to_space_id":"osm-way22744230-F2-S016","optimal_length_m":27.93,"space_path":["osm-way22744230-F2-S021","osm-way22744230-F2-S019","osm-way22744230-F2-S026","osm-way22744230-F2-S016"],"element_path":["osm-way22744230-F2-O0075","osm-way22744230-F2-O0075","osm-way22744230-F2-O0081","osm-way22744230-F2-O0081","osm-way22744230-F2-O0227","osm-way22744230-F2-O0227"]}</x:v>
      </x:c>
      <x:c r="O1399" s="6"/>
      <x:c r="P1399" s="6" t="str">
        <x:v>README routing profile. Stairs and lifts allowed unless stated otherwise.</x:v>
      </x:c>
      <x:c r="Q1399" s="15" t="n">
        <x:v>27.93</x:v>
      </x:c>
      <x:c r="R1399" s="6" t="str">
        <x:v>m</x:v>
      </x:c>
      <x:c r="S1399" s="16"/>
      <x:c r="T1399" s="15"/>
      <x:c r="U1399" s="6"/>
      <x:c r="V1399" s="6"/>
      <x:c r="W1399" s="6" t="str">
        <x:v>Existing find_route and show_route implement the kit routing model.</x:v>
      </x:c>
      <x:c r="X1399" s="6" t="str">
        <x:v>data/dev/osm-way22744230/questions_basic.jsonl</x:v>
      </x:c>
      <x:c r="Y1399" s="14" t="n">
        <x:v>6</x:v>
      </x:c>
      <x:c r="Z1399" s="6" t="str">
        <x:v>https://github.com/hagenhaeussler/Industrial-Agents-Hackathon-2026/blob/f41616590b69f3ea0c1cbfb41d6c35edd9ce53df/data/dev/osm-way22744230/questions_basic.jsonl#L6</x:v>
      </x:c>
      <x:c r="AA1399" s="6" t="str">
        <x:v>osm_indoor</x:v>
      </x:c>
      <x:c r="AB1399" s="6" t="str">
        <x:v>ODbL-1.0</x:v>
      </x:c>
    </x:row>
    <x:row r="1400" ht="236" customHeight="1">
      <x:c r="A1400" s="14" t="n">
        <x:v>1395</x:v>
      </x:c>
      <x:c r="B1400" s="6" t="str">
        <x:v>route</x:v>
      </x:c>
      <x:c r="C1400" s="6" t="str">
        <x:v>How do I get from Generic room N5301 (Floor 5) to Generic room N0313 (Ground floor)?</x:v>
      </x:c>
      <x:c r="D1400" s="6" t="str">
        <x:v>136.26 m
From: Generic room N5301
To: Generic room N0313
Ordered path (19 spaces): Generic room N5301 → Corridor N5332 → Corridor N5350 → Stairwell N5350A → Stairwell N4450A → Corridor N4450 → Generic room N4310 → Generic room N4312 → Corridor N4330 → Stairwell N4330A → Stairwell N3330A → Stairwell N2330A → Stairwell N1353A → Stairwell N0350B → Corridor N0350 → Corridor N0350C → Corridor N0355 → Corridor N0353 → Generic room N0313</x:v>
      </x:c>
      <x:c r="E1400" s="6" t="str">
        <x:v>Reference supplied</x:v>
      </x:c>
      <x:c r="F1400" s="6" t="str">
        <x:v>dev</x:v>
      </x:c>
      <x:c r="G1400" s="6" t="str">
        <x:v>osm-way22744230</x:v>
      </x:c>
      <x:c r="H1400" s="6" t="str">
        <x:v>osm-way22744230-Q07</x:v>
      </x:c>
      <x:c r="I1400" s="6" t="str">
        <x:v>Route planning</x:v>
      </x:c>
      <x:c r="J1400" s="6" t="str">
        <x:v>Warm-up</x:v>
      </x:c>
      <x:c r="K1400" s="6" t="str">
        <x:v>Ordered space path and directions, plus total route-model distance in metres.</x:v>
      </x:c>
      <x:c r="L1400" s="6" t="str">
        <x:v>T02, T05, T13</x:v>
      </x:c>
      <x:c r="M1400" s="6" t="str">
        <x:v>Find a valid route between two rooms, including across floors.</x:v>
      </x:c>
      <x:c r="N1400" s="6" t="str">
        <x:v>{"from_space_id":"osm-way22744230-F5-S036","to_space_id":"osm-way22744230-F0-S045","optimal_length_m":136.26,"space_path":["osm-way22744230-F5-S036","osm-way22744230-F5-S003","osm-way22744230-F5-S029","osm-way22744230-F5-S012","osm-way22744230-F4-S038","osm-way22744230-F4-S003","osm-way22744230-F4-S019","osm-way22744230-F4-S010","osm-way22744230-F4-S012","osm-way22744230-F4-S017","osm-way22744230-F3-S036","osm-way22744230-F2-S047","osm-way22744230-F1-S010","osm-way22744230-F0-S023","osm-way22744230-F0-S033","osm-way22744230-F0-S015","osm-way22744230-F0-S019","osm-way22744230-F0-S037","osm-way22744230-F0-S045"],"element_path":["osm-way22744230-F5-O0347","osm-way22744230-F5-O0347","osm-way22744230-F5-O0329","osm-way22744230-F5-O0329","osm-way22744230-F5-O0396","osm-way22744230-F5-O0396","osm-way22744230-V02","osm-way22744230-F4-O0394","osm-way22744230-F4-O0394","osm-way22744230-F4-O0276","osm-way22744230-F4-O0276","osm-way22744230-F4-O0309","osm-way22744230-F4-O0309","osm-way22744230-F4-O0271","osm-way22744230-F4-O0271","osm-way22744230-F4-O0393","osm-way22744230-F4-O0393","osm-way22744230-V06","osm-way22744230-V06","osm-way22744230-V06","osm-way22744230-V06","osm-way22744230-F0-O0380","osm-way22744230-F0-O0380","osm-way22744230-F0-O0120","osm-way22744230-F0-O0120","osm-way22744230-F0-O0102","osm-way22744230-F0-O0102","osm-way22744230-F0-O0127","osm-way22744230-F0-O0127","osm-way22744230-F0-O0383","osm-way22744230-F0-O0383"]}</x:v>
      </x:c>
      <x:c r="O1400" s="6"/>
      <x:c r="P1400" s="6" t="str">
        <x:v>README routing profile. Stairs and lifts allowed unless stated otherwise.</x:v>
      </x:c>
      <x:c r="Q1400" s="15" t="n">
        <x:v>136.26</x:v>
      </x:c>
      <x:c r="R1400" s="6" t="str">
        <x:v>m</x:v>
      </x:c>
      <x:c r="S1400" s="16"/>
      <x:c r="T1400" s="15"/>
      <x:c r="U1400" s="6"/>
      <x:c r="V1400" s="6"/>
      <x:c r="W1400" s="6" t="str">
        <x:v>Existing find_route and show_route implement the kit routing model.</x:v>
      </x:c>
      <x:c r="X1400" s="6" t="str">
        <x:v>data/dev/osm-way22744230/questions_basic.jsonl</x:v>
      </x:c>
      <x:c r="Y1400" s="14" t="n">
        <x:v>7</x:v>
      </x:c>
      <x:c r="Z1400" s="6" t="str">
        <x:v>https://github.com/hagenhaeussler/Industrial-Agents-Hackathon-2026/blob/f41616590b69f3ea0c1cbfb41d6c35edd9ce53df/data/dev/osm-way22744230/questions_basic.jsonl#L7</x:v>
      </x:c>
      <x:c r="AA1400" s="6" t="str">
        <x:v>osm_indoor</x:v>
      </x:c>
      <x:c r="AB1400" s="6" t="str">
        <x:v>ODbL-1.0</x:v>
      </x:c>
    </x:row>
    <x:row r="1401" ht="82" customHeight="1">
      <x:c r="A1401" s="14" t="n">
        <x:v>1396</x:v>
      </x:c>
      <x:c r="B1401" s="6" t="str">
        <x:v>route</x:v>
      </x:c>
      <x:c r="C1401" s="6" t="str">
        <x:v>How do I get from Generic room K03 (Basement 2) to Generic room K19B (Basement 2)?</x:v>
      </x:c>
      <x:c r="D1401" s="6" t="str">
        <x:v>23.89 m
From: Generic room K03
To: Generic room K19B
Ordered path (4 spaces): Generic room K03 → Corridor K22 → Generic room K19A → Generic room K19B</x:v>
      </x:c>
      <x:c r="E1401" s="6" t="str">
        <x:v>Reference supplied</x:v>
      </x:c>
      <x:c r="F1401" s="6" t="str">
        <x:v>dev</x:v>
      </x:c>
      <x:c r="G1401" s="6" t="str">
        <x:v>osm-way27326387</x:v>
      </x:c>
      <x:c r="H1401" s="6" t="str">
        <x:v>osm-way27326387-Q02</x:v>
      </x:c>
      <x:c r="I1401" s="6" t="str">
        <x:v>Route planning</x:v>
      </x:c>
      <x:c r="J1401" s="6" t="str">
        <x:v>Warm-up</x:v>
      </x:c>
      <x:c r="K1401" s="6" t="str">
        <x:v>Ordered space path and directions, plus total route-model distance in metres.</x:v>
      </x:c>
      <x:c r="L1401" s="6" t="str">
        <x:v>T02, T05, T13</x:v>
      </x:c>
      <x:c r="M1401" s="6" t="str">
        <x:v>Find a valid route between two rooms, including across floors.</x:v>
      </x:c>
      <x:c r="N1401" s="6" t="str">
        <x:v>{"from_space_id":"osm-way27326387-F-2-S021","to_space_id":"osm-way27326387-F-2-S019","optimal_length_m":23.89,"space_path":["osm-way27326387-F-2-S021","osm-way27326387-F-2-S008","osm-way27326387-F-2-S005","osm-way27326387-F-2-S019"],"element_path":["osm-way27326387-F-2-O0018","osm-way27326387-F-2-O0018","osm-way27326387-F-2-O0020","osm-way27326387-F-2-O0020","osm-way27326387-F-2-O0010","osm-way27326387-F-2-O0010"]}</x:v>
      </x:c>
      <x:c r="O1401" s="6"/>
      <x:c r="P1401" s="6" t="str">
        <x:v>README routing profile. Stairs and lifts allowed unless stated otherwise.</x:v>
      </x:c>
      <x:c r="Q1401" s="15" t="n">
        <x:v>23.89</x:v>
      </x:c>
      <x:c r="R1401" s="6" t="str">
        <x:v>m</x:v>
      </x:c>
      <x:c r="S1401" s="16"/>
      <x:c r="T1401" s="15"/>
      <x:c r="U1401" s="6"/>
      <x:c r="V1401" s="6"/>
      <x:c r="W1401" s="6" t="str">
        <x:v>Existing find_route and show_route implement the kit routing model.</x:v>
      </x:c>
      <x:c r="X1401" s="6" t="str">
        <x:v>data/dev/osm-way27326387/questions_basic.jsonl</x:v>
      </x:c>
      <x:c r="Y1401" s="14" t="n">
        <x:v>2</x:v>
      </x:c>
      <x:c r="Z1401" s="6" t="str">
        <x:v>https://github.com/hagenhaeussler/Industrial-Agents-Hackathon-2026/blob/f41616590b69f3ea0c1cbfb41d6c35edd9ce53df/data/dev/osm-way27326387/questions_basic.jsonl#L2</x:v>
      </x:c>
      <x:c r="AA1401" s="6" t="str">
        <x:v>osm_indoor</x:v>
      </x:c>
      <x:c r="AB1401" s="6" t="str">
        <x:v>ODbL-1.0</x:v>
      </x:c>
    </x:row>
    <x:row r="1402" ht="110" customHeight="1">
      <x:c r="A1402" s="14" t="n">
        <x:v>1397</x:v>
      </x:c>
      <x:c r="B1402" s="6" t="str">
        <x:v>route</x:v>
      </x:c>
      <x:c r="C1402" s="6" t="str">
        <x:v>How do I get from Generic room E06B (Ground floor) to Generic room K10 (Basement 2)?</x:v>
      </x:c>
      <x:c r="D1402" s="6" t="str">
        <x:v>60.82 m
From: Generic room E06B
To: Generic room K10
Ordered path (7 spaces): Generic room E06B → Corridor E15 → Corridor E14 → Stairwell E13 → Stairwell K15 → Corridor K22 → Generic room K10</x:v>
      </x:c>
      <x:c r="E1402" s="6" t="str">
        <x:v>Reference supplied</x:v>
      </x:c>
      <x:c r="F1402" s="6" t="str">
        <x:v>dev</x:v>
      </x:c>
      <x:c r="G1402" s="6" t="str">
        <x:v>osm-way27326387</x:v>
      </x:c>
      <x:c r="H1402" s="6" t="str">
        <x:v>osm-way27326387-Q03</x:v>
      </x:c>
      <x:c r="I1402" s="6" t="str">
        <x:v>Route planning</x:v>
      </x:c>
      <x:c r="J1402" s="6" t="str">
        <x:v>Warm-up</x:v>
      </x:c>
      <x:c r="K1402" s="6" t="str">
        <x:v>Ordered space path and directions, plus total route-model distance in metres.</x:v>
      </x:c>
      <x:c r="L1402" s="6" t="str">
        <x:v>T02, T05, T13</x:v>
      </x:c>
      <x:c r="M1402" s="6" t="str">
        <x:v>Find a valid route between two rooms, including across floors.</x:v>
      </x:c>
      <x:c r="N1402" s="6" t="str">
        <x:v>{"from_space_id":"osm-way27326387-F0-S008","to_space_id":"osm-way27326387-F-2-S002","optimal_length_m":60.82,"space_path":["osm-way27326387-F0-S008","osm-way27326387-F0-S007","osm-way27326387-F0-S020","osm-way27326387-F0-S021","osm-way27326387-F-2-S017","osm-way27326387-F-2-S008","osm-way27326387-F-2-S002"],"element_path":["osm-way27326387-F0-O0031","osm-way27326387-F0-O0031","osm-way27326387-F0-O0037","osm-way27326387-F0-O0037","osm-way27326387-F0-O0023","osm-way27326387-F0-O0023","osm-way27326387-V01","osm-way27326387-F-2-O0008","osm-way27326387-F-2-O0008","osm-way27326387-F-2-O0001","osm-way27326387-F-2-O0001"]}</x:v>
      </x:c>
      <x:c r="O1402" s="6"/>
      <x:c r="P1402" s="6" t="str">
        <x:v>README routing profile. Stairs and lifts allowed unless stated otherwise.</x:v>
      </x:c>
      <x:c r="Q1402" s="15" t="n">
        <x:v>60.82</x:v>
      </x:c>
      <x:c r="R1402" s="6" t="str">
        <x:v>m</x:v>
      </x:c>
      <x:c r="S1402" s="16"/>
      <x:c r="T1402" s="15"/>
      <x:c r="U1402" s="6"/>
      <x:c r="V1402" s="6"/>
      <x:c r="W1402" s="6" t="str">
        <x:v>Existing find_route and show_route implement the kit routing model.</x:v>
      </x:c>
      <x:c r="X1402" s="6" t="str">
        <x:v>data/dev/osm-way27326387/questions_basic.jsonl</x:v>
      </x:c>
      <x:c r="Y1402" s="14" t="n">
        <x:v>3</x:v>
      </x:c>
      <x:c r="Z1402" s="6" t="str">
        <x:v>https://github.com/hagenhaeussler/Industrial-Agents-Hackathon-2026/blob/f41616590b69f3ea0c1cbfb41d6c35edd9ce53df/data/dev/osm-way27326387/questions_basic.jsonl#L3</x:v>
      </x:c>
      <x:c r="AA1402" s="6" t="str">
        <x:v>osm_indoor</x:v>
      </x:c>
      <x:c r="AB1402" s="6" t="str">
        <x:v>ODbL-1.0</x:v>
      </x:c>
    </x:row>
    <x:row r="1403" ht="110" customHeight="1">
      <x:c r="A1403" s="14" t="n">
        <x:v>1398</x:v>
      </x:c>
      <x:c r="B1403" s="6" t="str">
        <x:v>route</x:v>
      </x:c>
      <x:c r="C1403" s="6" t="str">
        <x:v>How do I get from Generic room 114 (Floor 1) to Generic room K12 (Basement 2)?</x:v>
      </x:c>
      <x:c r="D1403" s="6" t="str">
        <x:v>70.1 m
From: Generic room 114
To: Generic room K12
Ordered path (7 spaces): Generic room 114 → Corridor 116 → Stairwell 113 → Stairwell E13 → Stairwell K15 → Corridor K22 → Generic room K12</x:v>
      </x:c>
      <x:c r="E1403" s="6" t="str">
        <x:v>Reference supplied</x:v>
      </x:c>
      <x:c r="F1403" s="6" t="str">
        <x:v>dev</x:v>
      </x:c>
      <x:c r="G1403" s="6" t="str">
        <x:v>osm-way27326387</x:v>
      </x:c>
      <x:c r="H1403" s="6" t="str">
        <x:v>osm-way27326387-Q04</x:v>
      </x:c>
      <x:c r="I1403" s="6" t="str">
        <x:v>Route planning</x:v>
      </x:c>
      <x:c r="J1403" s="6" t="str">
        <x:v>Warm-up</x:v>
      </x:c>
      <x:c r="K1403" s="6" t="str">
        <x:v>Ordered space path and directions, plus total route-model distance in metres.</x:v>
      </x:c>
      <x:c r="L1403" s="6" t="str">
        <x:v>T02, T05, T13</x:v>
      </x:c>
      <x:c r="M1403" s="6" t="str">
        <x:v>Find a valid route between two rooms, including across floors.</x:v>
      </x:c>
      <x:c r="N1403" s="6" t="str">
        <x:v>{"from_space_id":"osm-way27326387-F1-S006","to_space_id":"osm-way27326387-F-2-S012","optimal_length_m":70.1,"space_path":["osm-way27326387-F1-S006","osm-way27326387-F1-S008","osm-way27326387-F1-S001","osm-way27326387-F0-S021","osm-way27326387-F-2-S017","osm-way27326387-F-2-S008","osm-way27326387-F-2-S012"],"element_path":["osm-way27326387-F1-O0067","osm-way27326387-F1-O0067","osm-way27326387-F1-O0050","osm-way27326387-F1-O0050","osm-way27326387-V01","osm-way27326387-V01","osm-way27326387-F-2-O0008","osm-way27326387-F-2-O0008","osm-way27326387-F-2-O0013","osm-way27326387-F-2-O0013"]}</x:v>
      </x:c>
      <x:c r="O1403" s="6"/>
      <x:c r="P1403" s="6" t="str">
        <x:v>README routing profile. Stairs and lifts allowed unless stated otherwise.</x:v>
      </x:c>
      <x:c r="Q1403" s="15" t="n">
        <x:v>70.1</x:v>
      </x:c>
      <x:c r="R1403" s="6" t="str">
        <x:v>m</x:v>
      </x:c>
      <x:c r="S1403" s="16"/>
      <x:c r="T1403" s="15"/>
      <x:c r="U1403" s="6"/>
      <x:c r="V1403" s="6"/>
      <x:c r="W1403" s="6" t="str">
        <x:v>Existing find_route and show_route implement the kit routing model.</x:v>
      </x:c>
      <x:c r="X1403" s="6" t="str">
        <x:v>data/dev/osm-way27326387/questions_basic.jsonl</x:v>
      </x:c>
      <x:c r="Y1403" s="14" t="n">
        <x:v>4</x:v>
      </x:c>
      <x:c r="Z1403" s="6" t="str">
        <x:v>https://github.com/hagenhaeussler/Industrial-Agents-Hackathon-2026/blob/f41616590b69f3ea0c1cbfb41d6c35edd9ce53df/data/dev/osm-way27326387/questions_basic.jsonl#L4</x:v>
      </x:c>
      <x:c r="AA1403" s="6" t="str">
        <x:v>osm_indoor</x:v>
      </x:c>
      <x:c r="AB1403" s="6" t="str">
        <x:v>ODbL-1.0</x:v>
      </x:c>
    </x:row>
    <x:row r="1404" ht="110" customHeight="1">
      <x:c r="A1404" s="14" t="n">
        <x:v>1399</x:v>
      </x:c>
      <x:c r="B1404" s="6" t="str">
        <x:v>route</x:v>
      </x:c>
      <x:c r="C1404" s="6" t="str">
        <x:v>How do I get from Generic room 00.07.018 (Ground floor) to Generic room 03.13.058 (Floor 3)?</x:v>
      </x:c>
      <x:c r="D1404" s="6" t="str">
        <x:v>51.77 m
From: Generic room 00.07.018
To: Generic room 03.13.058
Ordered path (7 spaces): Generic room 00.07.018 → Corridor 00.07.016 → Stairwell 00.07.101 → outside → Corridor 03.13.030 → Corridor 03.13.050 → Generic room 03.13.058</x:v>
      </x:c>
      <x:c r="E1404" s="6" t="str">
        <x:v>Reference supplied</x:v>
      </x:c>
      <x:c r="F1404" s="6" t="str">
        <x:v>dev</x:v>
      </x:c>
      <x:c r="G1404" s="6" t="str">
        <x:v>osm-way27917482</x:v>
      </x:c>
      <x:c r="H1404" s="6" t="str">
        <x:v>osm-way27917482-Q05</x:v>
      </x:c>
      <x:c r="I1404" s="6" t="str">
        <x:v>Route planning</x:v>
      </x:c>
      <x:c r="J1404" s="6" t="str">
        <x:v>Warm-up</x:v>
      </x:c>
      <x:c r="K1404" s="6" t="str">
        <x:v>Ordered space path and directions, plus total route-model distance in metres.</x:v>
      </x:c>
      <x:c r="L1404" s="6" t="str">
        <x:v>T02, T05, T13</x:v>
      </x:c>
      <x:c r="M1404" s="6" t="str">
        <x:v>Find a valid route between two rooms, including across floors.</x:v>
      </x:c>
      <x:c r="N1404" s="6" t="str">
        <x:v>{"from_space_id":"osm-way27917482-F0-S279","to_space_id":"osm-way27917482-F3-S262","optimal_length_m":51.77,"space_path":["osm-way27917482-F0-S279","osm-way27917482-F0-S276","osm-way27917482-F0-S283","outside","osm-way27917482-F3-S232","osm-way27917482-F3-S230","osm-way27917482-F3-S262"],"element_path":["osm-way27917482-F0-O1469","osm-way27917482-F0-O1469","osm-way27917482-F0-O1465","osm-way27917482-F0-O1465","osm-way27917482-F0-O1466","osm-way27917482-F0-O1466","osm-way27917482-F3-O0998","osm-way27917482-F3-O0998","osm-way27917482-F3-O0983","osm-way27917482-F3-O0983","osm-way27917482-F3-O1001","osm-way27917482-F3-O1001"]}</x:v>
      </x:c>
      <x:c r="O1404" s="6"/>
      <x:c r="P1404" s="6" t="str">
        <x:v>README routing profile. Stairs and lifts allowed unless stated otherwise.</x:v>
      </x:c>
      <x:c r="Q1404" s="15" t="n">
        <x:v>51.77</x:v>
      </x:c>
      <x:c r="R1404" s="6" t="str">
        <x:v>m</x:v>
      </x:c>
      <x:c r="S1404" s="16"/>
      <x:c r="T1404" s="15"/>
      <x:c r="U1404" s="6"/>
      <x:c r="V1404" s="6"/>
      <x:c r="W1404" s="6" t="str">
        <x:v>Existing find_route and show_route implement the kit routing model.</x:v>
      </x:c>
      <x:c r="X1404" s="6" t="str">
        <x:v>data/dev/osm-way27917482/questions_basic.jsonl</x:v>
      </x:c>
      <x:c r="Y1404" s="14" t="n">
        <x:v>5</x:v>
      </x:c>
      <x:c r="Z1404" s="6" t="str">
        <x:v>https://github.com/hagenhaeussler/Industrial-Agents-Hackathon-2026/blob/f41616590b69f3ea0c1cbfb41d6c35edd9ce53df/data/dev/osm-way27917482/questions_basic.jsonl#L5</x:v>
      </x:c>
      <x:c r="AA1404" s="6" t="str">
        <x:v>osm_indoor</x:v>
      </x:c>
      <x:c r="AB1404" s="6" t="str">
        <x:v>ODbL-1.0</x:v>
      </x:c>
    </x:row>
    <x:row r="1405" ht="110" customHeight="1">
      <x:c r="A1405" s="14" t="n">
        <x:v>1400</x:v>
      </x:c>
      <x:c r="B1405" s="6" t="str">
        <x:v>route</x:v>
      </x:c>
      <x:c r="C1405" s="6" t="str">
        <x:v>How do I get from Generic room 01.06.056 (Floor 1) to Generic room 00.10.034B (Ground floor)?</x:v>
      </x:c>
      <x:c r="D1405" s="6" t="str">
        <x:v>75.22 m
From: Generic room 01.06.056
To: Generic room 00.10.034B
Ordered path (7 spaces): Generic room 01.06.056 → Corridor 01.06.050 → Corridor 01.06.030 → outside → Corridor 00.10.050 → Corridor 00.10.030 → Generic room 00.10.034B</x:v>
      </x:c>
      <x:c r="E1405" s="6" t="str">
        <x:v>Reference supplied</x:v>
      </x:c>
      <x:c r="F1405" s="6" t="str">
        <x:v>dev</x:v>
      </x:c>
      <x:c r="G1405" s="6" t="str">
        <x:v>osm-way27917482</x:v>
      </x:c>
      <x:c r="H1405" s="6" t="str">
        <x:v>osm-way27917482-Q06</x:v>
      </x:c>
      <x:c r="I1405" s="6" t="str">
        <x:v>Route planning</x:v>
      </x:c>
      <x:c r="J1405" s="6" t="str">
        <x:v>Warm-up</x:v>
      </x:c>
      <x:c r="K1405" s="6" t="str">
        <x:v>Ordered space path and directions, plus total route-model distance in metres.</x:v>
      </x:c>
      <x:c r="L1405" s="6" t="str">
        <x:v>T02, T05, T13</x:v>
      </x:c>
      <x:c r="M1405" s="6" t="str">
        <x:v>Find a valid route between two rooms, including across floors.</x:v>
      </x:c>
      <x:c r="N1405" s="6" t="str">
        <x:v>{"from_space_id":"osm-way27917482-F1-S128","to_space_id":"osm-way27917482-F0-S091","optimal_length_m":75.22,"space_path":["osm-way27917482-F1-S128","osm-way27917482-F1-S119","osm-way27917482-F1-S140","outside","osm-way27917482-F0-S071","osm-way27917482-F0-S076","osm-way27917482-F0-S091"],"element_path":["osm-way27917482-F1-O0567","osm-way27917482-F1-O0567","osm-way27917482-F1-O0551","osm-way27917482-F1-O0551","osm-way27917482-F1-O0578","osm-way27917482-F1-O0578","osm-way27917482-F0-O0307","osm-way27917482-F0-O0307","osm-way27917482-F0-O0331","osm-way27917482-F0-O0331","osm-way27917482-F0-O0347","osm-way27917482-F0-O0347"]}</x:v>
      </x:c>
      <x:c r="O1405" s="6"/>
      <x:c r="P1405" s="6" t="str">
        <x:v>README routing profile. Stairs and lifts allowed unless stated otherwise.</x:v>
      </x:c>
      <x:c r="Q1405" s="15" t="n">
        <x:v>75.22</x:v>
      </x:c>
      <x:c r="R1405" s="6" t="str">
        <x:v>m</x:v>
      </x:c>
      <x:c r="S1405" s="16"/>
      <x:c r="T1405" s="15"/>
      <x:c r="U1405" s="6"/>
      <x:c r="V1405" s="6"/>
      <x:c r="W1405" s="6" t="str">
        <x:v>Existing find_route and show_route implement the kit routing model.</x:v>
      </x:c>
      <x:c r="X1405" s="6" t="str">
        <x:v>data/dev/osm-way27917482/questions_basic.jsonl</x:v>
      </x:c>
      <x:c r="Y1405" s="14" t="n">
        <x:v>6</x:v>
      </x:c>
      <x:c r="Z1405" s="6" t="str">
        <x:v>https://github.com/hagenhaeussler/Industrial-Agents-Hackathon-2026/blob/f41616590b69f3ea0c1cbfb41d6c35edd9ce53df/data/dev/osm-way27917482/questions_basic.jsonl#L6</x:v>
      </x:c>
      <x:c r="AA1405" s="6" t="str">
        <x:v>osm_indoor</x:v>
      </x:c>
      <x:c r="AB1405" s="6" t="str">
        <x:v>ODbL-1.0</x:v>
      </x:c>
    </x:row>
    <x:row r="1406" ht="138" customHeight="1">
      <x:c r="A1406" s="14" t="n">
        <x:v>1401</x:v>
      </x:c>
      <x:c r="B1406" s="6" t="str">
        <x:v>route</x:v>
      </x:c>
      <x:c r="C1406" s="6" t="str">
        <x:v>How do I get from Generic room -1.07.013 (Basement 1) to Generic room -1.06.051 (Basement 1)?</x:v>
      </x:c>
      <x:c r="D1406" s="6" t="str">
        <x:v>107.31 m
From: Generic room -1.07.013
To: Generic room -1.06.051
Ordered path (9 spaces): Generic room -1.07.013 → Corridor -1.01.008 → Lift -1.07.020 → Lift 00.07.021 → MI Magistrale → outside → Corridor -1.06.014 → Corridor -1.06.050 → Generic room -1.06.051</x:v>
      </x:c>
      <x:c r="E1406" s="6" t="str">
        <x:v>Reference supplied</x:v>
      </x:c>
      <x:c r="F1406" s="6" t="str">
        <x:v>dev</x:v>
      </x:c>
      <x:c r="G1406" s="6" t="str">
        <x:v>osm-way27917482</x:v>
      </x:c>
      <x:c r="H1406" s="6" t="str">
        <x:v>osm-way27917482-Q07</x:v>
      </x:c>
      <x:c r="I1406" s="6" t="str">
        <x:v>Route planning</x:v>
      </x:c>
      <x:c r="J1406" s="6" t="str">
        <x:v>Warm-up</x:v>
      </x:c>
      <x:c r="K1406" s="6" t="str">
        <x:v>Ordered space path and directions, plus total route-model distance in metres.</x:v>
      </x:c>
      <x:c r="L1406" s="6" t="str">
        <x:v>T02, T05, T13</x:v>
      </x:c>
      <x:c r="M1406" s="6" t="str">
        <x:v>Find a valid route between two rooms, including across floors.</x:v>
      </x:c>
      <x:c r="N1406" s="6" t="str">
        <x:v>{"from_space_id":"osm-way27917482-F-1-S112","to_space_id":"osm-way27917482-F-1-S041","optimal_length_m":107.31,"space_path":["osm-way27917482-F-1-S112","osm-way27917482-F-1-S138","osm-way27917482-F-1-S108","osm-way27917482-F0-S280","osm-way27917482-F0-S026","outside","osm-way27917482-F-1-S042","osm-way27917482-F-1-S036","osm-way27917482-F-1-S041"],"element_path":["osm-way27917482-F-1-O1573","osm-way27917482-F-1-O1573","osm-way27917482-F-1-O1574","osm-way27917482-F-1-O1574","osm-way27917482-V30","osm-way27917482-F0-O1468","osm-way27917482-F0-O1468","osm-way27917482-F0-O1763","osm-way27917482-F0-O1763","osm-way27917482-F-1-O0702","osm-way27917482-F-1-O0702","osm-way27917482-F-1-O0684","osm-way27917482-F-1-O0684","osm-way27917482-F-1-O0689","osm-way27917482-F-1-O0689"]}</x:v>
      </x:c>
      <x:c r="O1406" s="6"/>
      <x:c r="P1406" s="6" t="str">
        <x:v>README routing profile. Stairs and lifts allowed unless stated otherwise.</x:v>
      </x:c>
      <x:c r="Q1406" s="15" t="n">
        <x:v>107.31</x:v>
      </x:c>
      <x:c r="R1406" s="6" t="str">
        <x:v>m</x:v>
      </x:c>
      <x:c r="S1406" s="16"/>
      <x:c r="T1406" s="15"/>
      <x:c r="U1406" s="6"/>
      <x:c r="V1406" s="6"/>
      <x:c r="W1406" s="6" t="str">
        <x:v>Existing find_route and show_route implement the kit routing model.</x:v>
      </x:c>
      <x:c r="X1406" s="6" t="str">
        <x:v>data/dev/osm-way27917482/questions_basic.jsonl</x:v>
      </x:c>
      <x:c r="Y1406" s="14" t="n">
        <x:v>7</x:v>
      </x:c>
      <x:c r="Z1406" s="6" t="str">
        <x:v>https://github.com/hagenhaeussler/Industrial-Agents-Hackathon-2026/blob/f41616590b69f3ea0c1cbfb41d6c35edd9ce53df/data/dev/osm-way27917482/questions_basic.jsonl#L7</x:v>
      </x:c>
      <x:c r="AA1406" s="6" t="str">
        <x:v>osm_indoor</x:v>
      </x:c>
      <x:c r="AB1406" s="6" t="str">
        <x:v>ODbL-1.0</x:v>
      </x:c>
    </x:row>
    <x:row r="1407" ht="96" customHeight="1">
      <x:c r="A1407" s="14" t="n">
        <x:v>1402</x:v>
      </x:c>
      <x:c r="B1407" s="6" t="str">
        <x:v>route</x:v>
      </x:c>
      <x:c r="C1407" s="6" t="str">
        <x:v>How do I get from Deutsches Museum (Ground floor) to Lufthansa Senator Lounge (Floor 1)?</x:v>
      </x:c>
      <x:c r="D1407" s="6" t="str">
        <x:v>283.89 m
From: Deutsches Museum
To: Lufthansa Senator Lounge
Ordered path (5 spaces): Deutsches Museum → Corridor 0.09 → outside → Corridor 1.01 → Lufthansa Senator Lounge</x:v>
      </x:c>
      <x:c r="E1407" s="6" t="str">
        <x:v>Reference supplied</x:v>
      </x:c>
      <x:c r="F1407" s="6" t="str">
        <x:v>dev</x:v>
      </x:c>
      <x:c r="G1407" s="6" t="str">
        <x:v>osm-way360544293</x:v>
      </x:c>
      <x:c r="H1407" s="6" t="str">
        <x:v>osm-way360544293-Q05</x:v>
      </x:c>
      <x:c r="I1407" s="6" t="str">
        <x:v>Route planning</x:v>
      </x:c>
      <x:c r="J1407" s="6" t="str">
        <x:v>Warm-up</x:v>
      </x:c>
      <x:c r="K1407" s="6" t="str">
        <x:v>Ordered space path and directions, plus total route-model distance in metres.</x:v>
      </x:c>
      <x:c r="L1407" s="6" t="str">
        <x:v>T02, T05, T13</x:v>
      </x:c>
      <x:c r="M1407" s="6" t="str">
        <x:v>Find a valid route between two rooms, including across floors.</x:v>
      </x:c>
      <x:c r="N1407" s="6" t="str">
        <x:v>{"from_space_id":"osm-way360544293-F0-S015","to_space_id":"osm-way360544293-F1-S015","optimal_length_m":283.89,"space_path":["osm-way360544293-F0-S015","osm-way360544293-F0-S009","outside","osm-way360544293-F1-S001","osm-way360544293-F1-S015"],"element_path":["osm-way360544293-F0-O0051","osm-way360544293-F0-O0051","osm-way360544293-F0-O0019","osm-way360544293-F0-O0019","osm-way360544293-F1-O0013","osm-way360544293-F1-O0013","osm-way360544293-F1-O0033","osm-way360544293-F1-O0033"]}</x:v>
      </x:c>
      <x:c r="O1407" s="6"/>
      <x:c r="P1407" s="6" t="str">
        <x:v>README routing profile. Stairs and lifts allowed unless stated otherwise.</x:v>
      </x:c>
      <x:c r="Q1407" s="15" t="n">
        <x:v>283.89</x:v>
      </x:c>
      <x:c r="R1407" s="6" t="str">
        <x:v>m</x:v>
      </x:c>
      <x:c r="S1407" s="16"/>
      <x:c r="T1407" s="15"/>
      <x:c r="U1407" s="6"/>
      <x:c r="V1407" s="6"/>
      <x:c r="W1407" s="6" t="str">
        <x:v>Existing find_route and show_route implement the kit routing model.</x:v>
      </x:c>
      <x:c r="X1407" s="6" t="str">
        <x:v>data/dev/osm-way360544293/questions_basic.jsonl</x:v>
      </x:c>
      <x:c r="Y1407" s="14" t="n">
        <x:v>5</x:v>
      </x:c>
      <x:c r="Z1407" s="6" t="str">
        <x:v>https://github.com/hagenhaeussler/Industrial-Agents-Hackathon-2026/blob/f41616590b69f3ea0c1cbfb41d6c35edd9ce53df/data/dev/osm-way360544293/questions_basic.jsonl#L5</x:v>
      </x:c>
      <x:c r="AA1407" s="6" t="str">
        <x:v>osm_indoor</x:v>
      </x:c>
      <x:c r="AB1407" s="6" t="str">
        <x:v>ODbL-1.0</x:v>
      </x:c>
    </x:row>
    <x:row r="1408" ht="96" customHeight="1">
      <x:c r="A1408" s="14" t="n">
        <x:v>1403</x:v>
      </x:c>
      <x:c r="B1408" s="6" t="str">
        <x:v>route</x:v>
      </x:c>
      <x:c r="C1408" s="6" t="str">
        <x:v>How do I get from Lufthansa Lounge (Floor 2) to Deutsches Museum (Ground floor)?</x:v>
      </x:c>
      <x:c r="D1408" s="6" t="str">
        <x:v>287.88 m
From: Lufthansa Lounge
To: Deutsches Museum
Ordered path (5 spaces): Lufthansa Lounge → Corridor 2.01 → outside → Corridor 0.09 → Deutsches Museum</x:v>
      </x:c>
      <x:c r="E1408" s="6" t="str">
        <x:v>Reference supplied</x:v>
      </x:c>
      <x:c r="F1408" s="6" t="str">
        <x:v>dev</x:v>
      </x:c>
      <x:c r="G1408" s="6" t="str">
        <x:v>osm-way360544293</x:v>
      </x:c>
      <x:c r="H1408" s="6" t="str">
        <x:v>osm-way360544293-Q06</x:v>
      </x:c>
      <x:c r="I1408" s="6" t="str">
        <x:v>Route planning</x:v>
      </x:c>
      <x:c r="J1408" s="6" t="str">
        <x:v>Warm-up</x:v>
      </x:c>
      <x:c r="K1408" s="6" t="str">
        <x:v>Ordered space path and directions, plus total route-model distance in metres.</x:v>
      </x:c>
      <x:c r="L1408" s="6" t="str">
        <x:v>T02, T05, T13</x:v>
      </x:c>
      <x:c r="M1408" s="6" t="str">
        <x:v>Find a valid route between two rooms, including across floors.</x:v>
      </x:c>
      <x:c r="N1408" s="6" t="str">
        <x:v>{"from_space_id":"osm-way360544293-F2-S002","to_space_id":"osm-way360544293-F0-S015","optimal_length_m":287.88,"space_path":["osm-way360544293-F2-S002","osm-way360544293-F2-S001","outside","osm-way360544293-F0-S009","osm-way360544293-F0-S015"],"element_path":["osm-way360544293-F2-O0034","osm-way360544293-F2-O0034","osm-way360544293-F2-O0017","osm-way360544293-F2-O0017","osm-way360544293-F0-O0019","osm-way360544293-F0-O0019","osm-way360544293-F0-O0051","osm-way360544293-F0-O0051"]}</x:v>
      </x:c>
      <x:c r="O1408" s="6"/>
      <x:c r="P1408" s="6" t="str">
        <x:v>README routing profile. Stairs and lifts allowed unless stated otherwise.</x:v>
      </x:c>
      <x:c r="Q1408" s="15" t="n">
        <x:v>287.88</x:v>
      </x:c>
      <x:c r="R1408" s="6" t="str">
        <x:v>m</x:v>
      </x:c>
      <x:c r="S1408" s="16"/>
      <x:c r="T1408" s="15"/>
      <x:c r="U1408" s="6"/>
      <x:c r="V1408" s="6"/>
      <x:c r="W1408" s="6" t="str">
        <x:v>Existing find_route and show_route implement the kit routing model.</x:v>
      </x:c>
      <x:c r="X1408" s="6" t="str">
        <x:v>data/dev/osm-way360544293/questions_basic.jsonl</x:v>
      </x:c>
      <x:c r="Y1408" s="14" t="n">
        <x:v>6</x:v>
      </x:c>
      <x:c r="Z1408" s="6" t="str">
        <x:v>https://github.com/hagenhaeussler/Industrial-Agents-Hackathon-2026/blob/f41616590b69f3ea0c1cbfb41d6c35edd9ce53df/data/dev/osm-way360544293/questions_basic.jsonl#L6</x:v>
      </x:c>
      <x:c r="AA1408" s="6" t="str">
        <x:v>osm_indoor</x:v>
      </x:c>
      <x:c r="AB1408" s="6" t="str">
        <x:v>ODbL-1.0</x:v>
      </x:c>
    </x:row>
    <x:row r="1409" ht="96" customHeight="1">
      <x:c r="A1409" s="14" t="n">
        <x:v>1404</x:v>
      </x:c>
      <x:c r="B1409" s="6" t="str">
        <x:v>route</x:v>
      </x:c>
      <x:c r="C1409" s="6" t="str">
        <x:v>How do I get from Generic room 1.13 (Floor 1) to Ferragamo (Floor 2)?</x:v>
      </x:c>
      <x:c r="D1409" s="6" t="str">
        <x:v>623.87 m
From: Generic room 1.13
To: Ferragamo
Ordered path (5 spaces): Generic room 1.13 → Corridor 1.01 → outside → Corridor 2.01 → Ferragamo</x:v>
      </x:c>
      <x:c r="E1409" s="6" t="str">
        <x:v>Reference supplied</x:v>
      </x:c>
      <x:c r="F1409" s="6" t="str">
        <x:v>dev</x:v>
      </x:c>
      <x:c r="G1409" s="6" t="str">
        <x:v>osm-way360544293</x:v>
      </x:c>
      <x:c r="H1409" s="6" t="str">
        <x:v>osm-way360544293-Q07</x:v>
      </x:c>
      <x:c r="I1409" s="6" t="str">
        <x:v>Route planning</x:v>
      </x:c>
      <x:c r="J1409" s="6" t="str">
        <x:v>Warm-up</x:v>
      </x:c>
      <x:c r="K1409" s="6" t="str">
        <x:v>Ordered space path and directions, plus total route-model distance in metres.</x:v>
      </x:c>
      <x:c r="L1409" s="6" t="str">
        <x:v>T02, T05, T13</x:v>
      </x:c>
      <x:c r="M1409" s="6" t="str">
        <x:v>Find a valid route between two rooms, including across floors.</x:v>
      </x:c>
      <x:c r="N1409" s="6" t="str">
        <x:v>{"from_space_id":"osm-way360544293-F1-S013","to_space_id":"osm-way360544293-F2-S005","optimal_length_m":623.87,"space_path":["osm-way360544293-F1-S013","osm-way360544293-F1-S001","outside","osm-way360544293-F2-S001","osm-way360544293-F2-S005"],"element_path":["osm-way360544293-F1-O0031","osm-way360544293-F1-O0031","osm-way360544293-F1-O0013","osm-way360544293-F1-O0013","osm-way360544293-F2-O0017","osm-way360544293-F2-O0017","osm-way360544293-F2-O0037","osm-way360544293-F2-O0037"]}</x:v>
      </x:c>
      <x:c r="O1409" s="6"/>
      <x:c r="P1409" s="6" t="str">
        <x:v>README routing profile. Stairs and lifts allowed unless stated otherwise.</x:v>
      </x:c>
      <x:c r="Q1409" s="15" t="n">
        <x:v>623.87</x:v>
      </x:c>
      <x:c r="R1409" s="6" t="str">
        <x:v>m</x:v>
      </x:c>
      <x:c r="S1409" s="16"/>
      <x:c r="T1409" s="15"/>
      <x:c r="U1409" s="6"/>
      <x:c r="V1409" s="6"/>
      <x:c r="W1409" s="6" t="str">
        <x:v>Existing find_route and show_route implement the kit routing model.</x:v>
      </x:c>
      <x:c r="X1409" s="6" t="str">
        <x:v>data/dev/osm-way360544293/questions_basic.jsonl</x:v>
      </x:c>
      <x:c r="Y1409" s="14" t="n">
        <x:v>7</x:v>
      </x:c>
      <x:c r="Z1409" s="6" t="str">
        <x:v>https://github.com/hagenhaeussler/Industrial-Agents-Hackathon-2026/blob/f41616590b69f3ea0c1cbfb41d6c35edd9ce53df/data/dev/osm-way360544293/questions_basic.jsonl#L7</x:v>
      </x:c>
      <x:c r="AA1409" s="6" t="str">
        <x:v>osm_indoor</x:v>
      </x:c>
      <x:c r="AB1409" s="6" t="str">
        <x:v>ODbL-1.0</x:v>
      </x:c>
    </x:row>
    <x:row r="1410" ht="124" customHeight="1">
      <x:c r="A1410" s="14" t="n">
        <x:v>1405</x:v>
      </x:c>
      <x:c r="B1410" s="6" t="str">
        <x:v>route</x:v>
      </x:c>
      <x:c r="C1410" s="6" t="str">
        <x:v>How do I get from Seminar room 2.13 (Floor 2) to Storage 4.08 (Floor 4)?</x:v>
      </x:c>
      <x:c r="D1410" s="6" t="str">
        <x:v>63.67 m
From: Seminar room 2.13
To: Storage 4.08
Ordered path (7 spaces): Seminar room 2.13 → Corridor 2.01 → Staircase 2 → Staircase 2 → Staircase 2 → Corridor 4.01 → Storage 4.08</x:v>
      </x:c>
      <x:c r="E1410" s="6" t="str">
        <x:v>Reference supplied</x:v>
      </x:c>
      <x:c r="F1410" s="6" t="str">
        <x:v>dev</x:v>
      </x:c>
      <x:c r="G1410" s="6" t="str">
        <x:v>proc-campus-dev-000</x:v>
      </x:c>
      <x:c r="H1410" s="6" t="str">
        <x:v>proc-campus-dev-000-Q05</x:v>
      </x:c>
      <x:c r="I1410" s="6" t="str">
        <x:v>Route planning</x:v>
      </x:c>
      <x:c r="J1410" s="6" t="str">
        <x:v>Warm-up</x:v>
      </x:c>
      <x:c r="K1410" s="6" t="str">
        <x:v>Ordered space path and directions, plus total route-model distance in metres.</x:v>
      </x:c>
      <x:c r="L1410" s="6" t="str">
        <x:v>T02, T05, T13</x:v>
      </x:c>
      <x:c r="M1410" s="6" t="str">
        <x:v>Find a valid route between two rooms, including across floors.</x:v>
      </x:c>
      <x:c r="N1410" s="6" t="str">
        <x:v>{"from_space_id":"proc-campus-dev-000-F2-S013","to_space_id":"proc-campus-dev-000-F4-S008","optimal_length_m":63.67,"space_path":["proc-campus-dev-000-F2-S013","proc-campus-dev-000-F2-S001","proc-campus-dev-000-F2-S009","proc-campus-dev-000-F3-S009","proc-campus-dev-000-F4-S009","proc-campus-dev-000-F4-S001","proc-campus-dev-000-F4-S008"],"element_path":["proc-campus-dev-000-F2-O0071","proc-campus-dev-000-F2-O0071","proc-campus-dev-000-F2-O0067","proc-campus-dev-000-F2-O0067","proc-campus-dev-000-V03","proc-campus-dev-000-V03","proc-campus-dev-000-F4-O0127","proc-campus-dev-000-F4-O0127","proc-campus-dev-000-F4-O0126","proc-campus-dev-000-F4-O0126"]}</x:v>
      </x:c>
      <x:c r="O1410" s="6"/>
      <x:c r="P1410" s="6" t="str">
        <x:v>README routing profile. Stairs and lifts allowed unless stated otherwise.</x:v>
      </x:c>
      <x:c r="Q1410" s="15" t="n">
        <x:v>63.67</x:v>
      </x:c>
      <x:c r="R1410" s="6" t="str">
        <x:v>m</x:v>
      </x:c>
      <x:c r="S1410" s="16"/>
      <x:c r="T1410" s="15"/>
      <x:c r="U1410" s="6"/>
      <x:c r="V1410" s="6"/>
      <x:c r="W1410" s="6" t="str">
        <x:v>Existing find_route and show_route implement the kit routing model.</x:v>
      </x:c>
      <x:c r="X1410" s="6" t="str">
        <x:v>data/dev/proc-campus-dev-000/questions_basic.jsonl</x:v>
      </x:c>
      <x:c r="Y1410" s="14" t="n">
        <x:v>5</x:v>
      </x:c>
      <x:c r="Z1410" s="6" t="str">
        <x:v>https://github.com/hagenhaeussler/Industrial-Agents-Hackathon-2026/blob/f41616590b69f3ea0c1cbfb41d6c35edd9ce53df/data/dev/proc-campus-dev-000/questions_basic.jsonl#L5</x:v>
      </x:c>
      <x:c r="AA1410" s="6" t="str">
        <x:v>procedural</x:v>
      </x:c>
      <x:c r="AB1410" s="6" t="str">
        <x:v>CC0-1.0</x:v>
      </x:c>
    </x:row>
    <x:row r="1411" ht="138" customHeight="1">
      <x:c r="A1411" s="14" t="n">
        <x:v>1406</x:v>
      </x:c>
      <x:c r="B1411" s="6" t="str">
        <x:v>route</x:v>
      </x:c>
      <x:c r="C1411" s="6" t="str">
        <x:v>How do I get from Storage 4.06 (Floor 4) to Office 0.19 (Ground floor)?</x:v>
      </x:c>
      <x:c r="D1411" s="6" t="str">
        <x:v>108.27 m
From: Storage 4.06
To: Office 0.19
Ordered path (9 spaces): Storage 4.06 → Corridor 4.01 → Staircase 2 → Staircase 2 → Staircase 2 → Staircase 2 → Staircase 2 → Corridor 0.01 → Office 0.19</x:v>
      </x:c>
      <x:c r="E1411" s="6" t="str">
        <x:v>Reference supplied</x:v>
      </x:c>
      <x:c r="F1411" s="6" t="str">
        <x:v>dev</x:v>
      </x:c>
      <x:c r="G1411" s="6" t="str">
        <x:v>proc-campus-dev-000</x:v>
      </x:c>
      <x:c r="H1411" s="6" t="str">
        <x:v>proc-campus-dev-000-Q06</x:v>
      </x:c>
      <x:c r="I1411" s="6" t="str">
        <x:v>Route planning</x:v>
      </x:c>
      <x:c r="J1411" s="6" t="str">
        <x:v>Warm-up</x:v>
      </x:c>
      <x:c r="K1411" s="6" t="str">
        <x:v>Ordered space path and directions, plus total route-model distance in metres.</x:v>
      </x:c>
      <x:c r="L1411" s="6" t="str">
        <x:v>T02, T05, T13</x:v>
      </x:c>
      <x:c r="M1411" s="6" t="str">
        <x:v>Find a valid route between two rooms, including across floors.</x:v>
      </x:c>
      <x:c r="N1411" s="6" t="str">
        <x:v>{"from_space_id":"proc-campus-dev-000-F4-S006","to_space_id":"proc-campus-dev-000-F0-S019","optimal_length_m":108.27,"space_path":["proc-campus-dev-000-F4-S006","proc-campus-dev-000-F4-S001","proc-campus-dev-000-F4-S009","proc-campus-dev-000-F3-S009","proc-campus-dev-000-F2-S009","proc-campus-dev-000-F1-S009","proc-campus-dev-000-F0-S009","proc-campus-dev-000-F0-S001","proc-campus-dev-000-F0-S019"],"element_path":["proc-campus-dev-000-F4-O0124","proc-campus-dev-000-F4-O0124","proc-campus-dev-000-F4-O0127","proc-campus-dev-000-F4-O0127","proc-campus-dev-000-V03","proc-campus-dev-000-V03","proc-campus-dev-000-V03","proc-campus-dev-000-V03","proc-campus-dev-000-F0-O0008","proc-campus-dev-000-F0-O0008","proc-campus-dev-000-F0-O0018","proc-campus-dev-000-F0-O0018"]}</x:v>
      </x:c>
      <x:c r="O1411" s="6"/>
      <x:c r="P1411" s="6" t="str">
        <x:v>README routing profile. Stairs and lifts allowed unless stated otherwise.</x:v>
      </x:c>
      <x:c r="Q1411" s="15" t="n">
        <x:v>108.27</x:v>
      </x:c>
      <x:c r="R1411" s="6" t="str">
        <x:v>m</x:v>
      </x:c>
      <x:c r="S1411" s="16"/>
      <x:c r="T1411" s="15"/>
      <x:c r="U1411" s="6"/>
      <x:c r="V1411" s="6"/>
      <x:c r="W1411" s="6" t="str">
        <x:v>Existing find_route and show_route implement the kit routing model.</x:v>
      </x:c>
      <x:c r="X1411" s="6" t="str">
        <x:v>data/dev/proc-campus-dev-000/questions_basic.jsonl</x:v>
      </x:c>
      <x:c r="Y1411" s="14" t="n">
        <x:v>6</x:v>
      </x:c>
      <x:c r="Z1411" s="6" t="str">
        <x:v>https://github.com/hagenhaeussler/Industrial-Agents-Hackathon-2026/blob/f41616590b69f3ea0c1cbfb41d6c35edd9ce53df/data/dev/proc-campus-dev-000/questions_basic.jsonl#L6</x:v>
      </x:c>
      <x:c r="AA1411" s="6" t="str">
        <x:v>procedural</x:v>
      </x:c>
      <x:c r="AB1411" s="6" t="str">
        <x:v>CC0-1.0</x:v>
      </x:c>
    </x:row>
    <x:row r="1412" ht="72" customHeight="1">
      <x:c r="A1412" s="14" t="n">
        <x:v>1407</x:v>
      </x:c>
      <x:c r="B1412" s="6" t="str">
        <x:v>route</x:v>
      </x:c>
      <x:c r="C1412" s="6" t="str">
        <x:v>How do I get from Office 4.19 (Floor 4) to Office 4.31 (Floor 4)?</x:v>
      </x:c>
      <x:c r="D1412" s="6" t="str">
        <x:v>64.75 m
From: Office 4.19
To: Office 4.31
Ordered path (3 spaces): Office 4.19 → Corridor 4.01 → Office 4.31</x:v>
      </x:c>
      <x:c r="E1412" s="6" t="str">
        <x:v>Reference supplied</x:v>
      </x:c>
      <x:c r="F1412" s="6" t="str">
        <x:v>dev</x:v>
      </x:c>
      <x:c r="G1412" s="6" t="str">
        <x:v>proc-campus-dev-000</x:v>
      </x:c>
      <x:c r="H1412" s="6" t="str">
        <x:v>proc-campus-dev-000-Q07</x:v>
      </x:c>
      <x:c r="I1412" s="6" t="str">
        <x:v>Route planning</x:v>
      </x:c>
      <x:c r="J1412" s="6" t="str">
        <x:v>Warm-up</x:v>
      </x:c>
      <x:c r="K1412" s="6" t="str">
        <x:v>Ordered space path and directions, plus total route-model distance in metres.</x:v>
      </x:c>
      <x:c r="L1412" s="6" t="str">
        <x:v>T02, T05, T13</x:v>
      </x:c>
      <x:c r="M1412" s="6" t="str">
        <x:v>Find a valid route between two rooms, including across floors.</x:v>
      </x:c>
      <x:c r="N1412" s="6" t="str">
        <x:v>{"from_space_id":"proc-campus-dev-000-F4-S019","to_space_id":"proc-campus-dev-000-F4-S031","optimal_length_m":64.75,"space_path":["proc-campus-dev-000-F4-S019","proc-campus-dev-000-F4-S001","proc-campus-dev-000-F4-S031"],"element_path":["proc-campus-dev-000-F4-O0137","proc-campus-dev-000-F4-O0137","proc-campus-dev-000-F4-O0149","proc-campus-dev-000-F4-O0149"]}</x:v>
      </x:c>
      <x:c r="O1412" s="6"/>
      <x:c r="P1412" s="6" t="str">
        <x:v>README routing profile. Stairs and lifts allowed unless stated otherwise.</x:v>
      </x:c>
      <x:c r="Q1412" s="15" t="n">
        <x:v>64.75</x:v>
      </x:c>
      <x:c r="R1412" s="6" t="str">
        <x:v>m</x:v>
      </x:c>
      <x:c r="S1412" s="16"/>
      <x:c r="T1412" s="15"/>
      <x:c r="U1412" s="6"/>
      <x:c r="V1412" s="6"/>
      <x:c r="W1412" s="6" t="str">
        <x:v>Existing find_route and show_route implement the kit routing model.</x:v>
      </x:c>
      <x:c r="X1412" s="6" t="str">
        <x:v>data/dev/proc-campus-dev-000/questions_basic.jsonl</x:v>
      </x:c>
      <x:c r="Y1412" s="14" t="n">
        <x:v>7</x:v>
      </x:c>
      <x:c r="Z1412" s="6" t="str">
        <x:v>https://github.com/hagenhaeussler/Industrial-Agents-Hackathon-2026/blob/f41616590b69f3ea0c1cbfb41d6c35edd9ce53df/data/dev/proc-campus-dev-000/questions_basic.jsonl#L7</x:v>
      </x:c>
      <x:c r="AA1412" s="6" t="str">
        <x:v>procedural</x:v>
      </x:c>
      <x:c r="AB1412" s="6" t="str">
        <x:v>CC0-1.0</x:v>
      </x:c>
    </x:row>
    <x:row r="1413" ht="110" customHeight="1">
      <x:c r="A1413" s="14" t="n">
        <x:v>1408</x:v>
      </x:c>
      <x:c r="B1413" s="6" t="str">
        <x:v>route</x:v>
      </x:c>
      <x:c r="C1413" s="6" t="str">
        <x:v>How do I get from Toilet 0.16 (Ground floor) to Kitchen 1.03 (Floor 1)?</x:v>
      </x:c>
      <x:c r="D1413" s="6" t="str">
        <x:v>79.76 m
From: Toilet 0.16
To: Kitchen 1.03
Ordered path (6 spaces): Toilet 0.16 → Corridor 0.01 → Staircase 2 → Staircase 2 → Corridor 1.01 → Kitchen 1.03</x:v>
      </x:c>
      <x:c r="E1413" s="6" t="str">
        <x:v>Reference supplied</x:v>
      </x:c>
      <x:c r="F1413" s="6" t="str">
        <x:v>dev</x:v>
      </x:c>
      <x:c r="G1413" s="6" t="str">
        <x:v>proc-campus-dev-001</x:v>
      </x:c>
      <x:c r="H1413" s="6" t="str">
        <x:v>proc-campus-dev-001-Q05</x:v>
      </x:c>
      <x:c r="I1413" s="6" t="str">
        <x:v>Route planning</x:v>
      </x:c>
      <x:c r="J1413" s="6" t="str">
        <x:v>Warm-up</x:v>
      </x:c>
      <x:c r="K1413" s="6" t="str">
        <x:v>Ordered space path and directions, plus total route-model distance in metres.</x:v>
      </x:c>
      <x:c r="L1413" s="6" t="str">
        <x:v>T02, T05, T13</x:v>
      </x:c>
      <x:c r="M1413" s="6" t="str">
        <x:v>Find a valid route between two rooms, including across floors.</x:v>
      </x:c>
      <x:c r="N1413" s="6" t="str">
        <x:v>{"from_space_id":"proc-campus-dev-001-F0-S016","to_space_id":"proc-campus-dev-001-F1-S003","optimal_length_m":79.76,"space_path":["proc-campus-dev-001-F0-S016","proc-campus-dev-001-F0-S001","proc-campus-dev-001-F0-S010","proc-campus-dev-001-F1-S010","proc-campus-dev-001-F1-S001","proc-campus-dev-001-F1-S003"],"element_path":["proc-campus-dev-001-F0-O0015","proc-campus-dev-001-F0-O0015","proc-campus-dev-001-F0-O0009","proc-campus-dev-001-F0-O0009","proc-campus-dev-001-V03","proc-campus-dev-001-F1-O0032","proc-campus-dev-001-F1-O0032","proc-campus-dev-001-F1-O0025","proc-campus-dev-001-F1-O0025"]}</x:v>
      </x:c>
      <x:c r="O1413" s="6"/>
      <x:c r="P1413" s="6" t="str">
        <x:v>README routing profile. Stairs and lifts allowed unless stated otherwise.</x:v>
      </x:c>
      <x:c r="Q1413" s="15" t="n">
        <x:v>79.76</x:v>
      </x:c>
      <x:c r="R1413" s="6" t="str">
        <x:v>m</x:v>
      </x:c>
      <x:c r="S1413" s="16"/>
      <x:c r="T1413" s="15"/>
      <x:c r="U1413" s="6"/>
      <x:c r="V1413" s="6"/>
      <x:c r="W1413" s="6" t="str">
        <x:v>Existing find_route and show_route implement the kit routing model.</x:v>
      </x:c>
      <x:c r="X1413" s="6" t="str">
        <x:v>data/dev/proc-campus-dev-001/questions_basic.jsonl</x:v>
      </x:c>
      <x:c r="Y1413" s="14" t="n">
        <x:v>5</x:v>
      </x:c>
      <x:c r="Z1413" s="6" t="str">
        <x:v>https://github.com/hagenhaeussler/Industrial-Agents-Hackathon-2026/blob/f41616590b69f3ea0c1cbfb41d6c35edd9ce53df/data/dev/proc-campus-dev-001/questions_basic.jsonl#L5</x:v>
      </x:c>
      <x:c r="AA1413" s="6" t="str">
        <x:v>procedural</x:v>
      </x:c>
      <x:c r="AB1413" s="6" t="str">
        <x:v>CC0-1.0</x:v>
      </x:c>
    </x:row>
    <x:row r="1414" ht="124" customHeight="1">
      <x:c r="A1414" s="14" t="n">
        <x:v>1409</x:v>
      </x:c>
      <x:c r="B1414" s="6" t="str">
        <x:v>route</x:v>
      </x:c>
      <x:c r="C1414" s="6" t="str">
        <x:v>How do I get from Storage 2.19 (Floor 2) to Toilet 0.16 (Ground floor)?</x:v>
      </x:c>
      <x:c r="D1414" s="6" t="str">
        <x:v>75.41 m
From: Storage 2.19
To: Toilet 0.16
Ordered path (7 spaces): Storage 2.19 → Corridor 2.01 → Staircase 2 → Staircase 2 → Staircase 2 → Corridor 0.01 → Toilet 0.16</x:v>
      </x:c>
      <x:c r="E1414" s="6" t="str">
        <x:v>Reference supplied</x:v>
      </x:c>
      <x:c r="F1414" s="6" t="str">
        <x:v>dev</x:v>
      </x:c>
      <x:c r="G1414" s="6" t="str">
        <x:v>proc-campus-dev-001</x:v>
      </x:c>
      <x:c r="H1414" s="6" t="str">
        <x:v>proc-campus-dev-001-Q06</x:v>
      </x:c>
      <x:c r="I1414" s="6" t="str">
        <x:v>Route planning</x:v>
      </x:c>
      <x:c r="J1414" s="6" t="str">
        <x:v>Warm-up</x:v>
      </x:c>
      <x:c r="K1414" s="6" t="str">
        <x:v>Ordered space path and directions, plus total route-model distance in metres.</x:v>
      </x:c>
      <x:c r="L1414" s="6" t="str">
        <x:v>T02, T05, T13</x:v>
      </x:c>
      <x:c r="M1414" s="6" t="str">
        <x:v>Find a valid route between two rooms, including across floors.</x:v>
      </x:c>
      <x:c r="N1414" s="6" t="str">
        <x:v>{"from_space_id":"proc-campus-dev-001-F2-S019","to_space_id":"proc-campus-dev-001-F0-S016","optimal_length_m":75.41,"space_path":["proc-campus-dev-001-F2-S019","proc-campus-dev-001-F2-S001","proc-campus-dev-001-F2-S010","proc-campus-dev-001-F1-S010","proc-campus-dev-001-F0-S010","proc-campus-dev-001-F0-S001","proc-campus-dev-001-F0-S016"],"element_path":["proc-campus-dev-001-F2-O0065","proc-campus-dev-001-F2-O0065","proc-campus-dev-001-F2-O0056","proc-campus-dev-001-F2-O0056","proc-campus-dev-001-V03","proc-campus-dev-001-V03","proc-campus-dev-001-F0-O0009","proc-campus-dev-001-F0-O0009","proc-campus-dev-001-F0-O0015","proc-campus-dev-001-F0-O0015"]}</x:v>
      </x:c>
      <x:c r="O1414" s="6"/>
      <x:c r="P1414" s="6" t="str">
        <x:v>README routing profile. Stairs and lifts allowed unless stated otherwise.</x:v>
      </x:c>
      <x:c r="Q1414" s="15" t="n">
        <x:v>75.41</x:v>
      </x:c>
      <x:c r="R1414" s="6" t="str">
        <x:v>m</x:v>
      </x:c>
      <x:c r="S1414" s="16"/>
      <x:c r="T1414" s="15"/>
      <x:c r="U1414" s="6"/>
      <x:c r="V1414" s="6"/>
      <x:c r="W1414" s="6" t="str">
        <x:v>Existing find_route and show_route implement the kit routing model.</x:v>
      </x:c>
      <x:c r="X1414" s="6" t="str">
        <x:v>data/dev/proc-campus-dev-001/questions_basic.jsonl</x:v>
      </x:c>
      <x:c r="Y1414" s="14" t="n">
        <x:v>6</x:v>
      </x:c>
      <x:c r="Z1414" s="6" t="str">
        <x:v>https://github.com/hagenhaeussler/Industrial-Agents-Hackathon-2026/blob/f41616590b69f3ea0c1cbfb41d6c35edd9ce53df/data/dev/proc-campus-dev-001/questions_basic.jsonl#L6</x:v>
      </x:c>
      <x:c r="AA1414" s="6" t="str">
        <x:v>procedural</x:v>
      </x:c>
      <x:c r="AB1414" s="6" t="str">
        <x:v>CC0-1.0</x:v>
      </x:c>
    </x:row>
    <x:row r="1415" ht="72" customHeight="1">
      <x:c r="A1415" s="14" t="n">
        <x:v>1410</x:v>
      </x:c>
      <x:c r="B1415" s="6" t="str">
        <x:v>route</x:v>
      </x:c>
      <x:c r="C1415" s="6" t="str">
        <x:v>How do I get from Toilet 1.22 (Floor 1) to Office 1.21 (Floor 1)?</x:v>
      </x:c>
      <x:c r="D1415" s="6" t="str">
        <x:v>27.24 m
From: Toilet 1.22
To: Office 1.21
Ordered path (3 spaces): Toilet 1.22 → Corridor 1.01 → Office 1.21</x:v>
      </x:c>
      <x:c r="E1415" s="6" t="str">
        <x:v>Reference supplied</x:v>
      </x:c>
      <x:c r="F1415" s="6" t="str">
        <x:v>dev</x:v>
      </x:c>
      <x:c r="G1415" s="6" t="str">
        <x:v>proc-campus-dev-001</x:v>
      </x:c>
      <x:c r="H1415" s="6" t="str">
        <x:v>proc-campus-dev-001-Q07</x:v>
      </x:c>
      <x:c r="I1415" s="6" t="str">
        <x:v>Route planning</x:v>
      </x:c>
      <x:c r="J1415" s="6" t="str">
        <x:v>Warm-up</x:v>
      </x:c>
      <x:c r="K1415" s="6" t="str">
        <x:v>Ordered space path and directions, plus total route-model distance in metres.</x:v>
      </x:c>
      <x:c r="L1415" s="6" t="str">
        <x:v>T02, T05, T13</x:v>
      </x:c>
      <x:c r="M1415" s="6" t="str">
        <x:v>Find a valid route between two rooms, including across floors.</x:v>
      </x:c>
      <x:c r="N1415" s="6" t="str">
        <x:v>{"from_space_id":"proc-campus-dev-001-F1-S022","to_space_id":"proc-campus-dev-001-F1-S021","optimal_length_m":27.24,"space_path":["proc-campus-dev-001-F1-S022","proc-campus-dev-001-F1-S001","proc-campus-dev-001-F1-S021"],"element_path":["proc-campus-dev-001-F1-O0044","proc-campus-dev-001-F1-O0044","proc-campus-dev-001-F1-O0043","proc-campus-dev-001-F1-O0043"]}</x:v>
      </x:c>
      <x:c r="O1415" s="6"/>
      <x:c r="P1415" s="6" t="str">
        <x:v>README routing profile. Stairs and lifts allowed unless stated otherwise.</x:v>
      </x:c>
      <x:c r="Q1415" s="15" t="n">
        <x:v>27.24</x:v>
      </x:c>
      <x:c r="R1415" s="6" t="str">
        <x:v>m</x:v>
      </x:c>
      <x:c r="S1415" s="16"/>
      <x:c r="T1415" s="15"/>
      <x:c r="U1415" s="6"/>
      <x:c r="V1415" s="6"/>
      <x:c r="W1415" s="6" t="str">
        <x:v>Existing find_route and show_route implement the kit routing model.</x:v>
      </x:c>
      <x:c r="X1415" s="6" t="str">
        <x:v>data/dev/proc-campus-dev-001/questions_basic.jsonl</x:v>
      </x:c>
      <x:c r="Y1415" s="14" t="n">
        <x:v>7</x:v>
      </x:c>
      <x:c r="Z1415" s="6" t="str">
        <x:v>https://github.com/hagenhaeussler/Industrial-Agents-Hackathon-2026/blob/f41616590b69f3ea0c1cbfb41d6c35edd9ce53df/data/dev/proc-campus-dev-001/questions_basic.jsonl#L7</x:v>
      </x:c>
      <x:c r="AA1415" s="6" t="str">
        <x:v>procedural</x:v>
      </x:c>
      <x:c r="AB1415" s="6" t="str">
        <x:v>CC0-1.0</x:v>
      </x:c>
    </x:row>
    <x:row r="1416" ht="72" customHeight="1">
      <x:c r="A1416" s="14" t="n">
        <x:v>1411</x:v>
      </x:c>
      <x:c r="B1416" s="6" t="str">
        <x:v>route</x:v>
      </x:c>
      <x:c r="C1416" s="6" t="str">
        <x:v>How do I get from Office 1.12 (Floor 1) to Storage 1.03 (Floor 1)?</x:v>
      </x:c>
      <x:c r="D1416" s="6" t="str">
        <x:v>44.12 m
From: Office 1.12
To: Storage 1.03
Ordered path (3 spaces): Office 1.12 → Corridor 1.01 → Storage 1.03</x:v>
      </x:c>
      <x:c r="E1416" s="6" t="str">
        <x:v>Reference supplied</x:v>
      </x:c>
      <x:c r="F1416" s="6" t="str">
        <x:v>dev</x:v>
      </x:c>
      <x:c r="G1416" s="6" t="str">
        <x:v>proc-campus-dev-002</x:v>
      </x:c>
      <x:c r="H1416" s="6" t="str">
        <x:v>proc-campus-dev-002-Q05</x:v>
      </x:c>
      <x:c r="I1416" s="6" t="str">
        <x:v>Route planning</x:v>
      </x:c>
      <x:c r="J1416" s="6" t="str">
        <x:v>Warm-up</x:v>
      </x:c>
      <x:c r="K1416" s="6" t="str">
        <x:v>Ordered space path and directions, plus total route-model distance in metres.</x:v>
      </x:c>
      <x:c r="L1416" s="6" t="str">
        <x:v>T02, T05, T13</x:v>
      </x:c>
      <x:c r="M1416" s="6" t="str">
        <x:v>Find a valid route between two rooms, including across floors.</x:v>
      </x:c>
      <x:c r="N1416" s="6" t="str">
        <x:v>{"from_space_id":"proc-campus-dev-002-F1-S012","to_space_id":"proc-campus-dev-002-F1-S003","optimal_length_m":44.12,"space_path":["proc-campus-dev-002-F1-S012","proc-campus-dev-002-F1-S001","proc-campus-dev-002-F1-S003"],"element_path":["proc-campus-dev-002-F1-O0032","proc-campus-dev-002-F1-O0032","proc-campus-dev-002-F1-O0023","proc-campus-dev-002-F1-O0023"]}</x:v>
      </x:c>
      <x:c r="O1416" s="6"/>
      <x:c r="P1416" s="6" t="str">
        <x:v>README routing profile. Stairs and lifts allowed unless stated otherwise.</x:v>
      </x:c>
      <x:c r="Q1416" s="15" t="n">
        <x:v>44.12</x:v>
      </x:c>
      <x:c r="R1416" s="6" t="str">
        <x:v>m</x:v>
      </x:c>
      <x:c r="S1416" s="16"/>
      <x:c r="T1416" s="15"/>
      <x:c r="U1416" s="6"/>
      <x:c r="V1416" s="6"/>
      <x:c r="W1416" s="6" t="str">
        <x:v>Existing find_route and show_route implement the kit routing model.</x:v>
      </x:c>
      <x:c r="X1416" s="6" t="str">
        <x:v>data/dev/proc-campus-dev-002/questions_basic.jsonl</x:v>
      </x:c>
      <x:c r="Y1416" s="14" t="n">
        <x:v>5</x:v>
      </x:c>
      <x:c r="Z1416" s="6" t="str">
        <x:v>https://github.com/hagenhaeussler/Industrial-Agents-Hackathon-2026/blob/f41616590b69f3ea0c1cbfb41d6c35edd9ce53df/data/dev/proc-campus-dev-002/questions_basic.jsonl#L5</x:v>
      </x:c>
      <x:c r="AA1416" s="6" t="str">
        <x:v>procedural</x:v>
      </x:c>
      <x:c r="AB1416" s="6" t="str">
        <x:v>CC0-1.0</x:v>
      </x:c>
    </x:row>
    <x:row r="1417" ht="110" customHeight="1">
      <x:c r="A1417" s="14" t="n">
        <x:v>1412</x:v>
      </x:c>
      <x:c r="B1417" s="6" t="str">
        <x:v>route</x:v>
      </x:c>
      <x:c r="C1417" s="6" t="str">
        <x:v>How do I get from Kitchen 1.19 (Floor 1) to Lab 2.14 (Floor 2)?</x:v>
      </x:c>
      <x:c r="D1417" s="6" t="str">
        <x:v>74.27 m
From: Kitchen 1.19
To: Lab 2.14
Ordered path (6 spaces): Kitchen 1.19 → Corridor 1.01 → Staircase 2 → Staircase 2 → Corridor 2.01 → Lab 2.14</x:v>
      </x:c>
      <x:c r="E1417" s="6" t="str">
        <x:v>Reference supplied</x:v>
      </x:c>
      <x:c r="F1417" s="6" t="str">
        <x:v>dev</x:v>
      </x:c>
      <x:c r="G1417" s="6" t="str">
        <x:v>proc-campus-dev-002</x:v>
      </x:c>
      <x:c r="H1417" s="6" t="str">
        <x:v>proc-campus-dev-002-Q06</x:v>
      </x:c>
      <x:c r="I1417" s="6" t="str">
        <x:v>Route planning</x:v>
      </x:c>
      <x:c r="J1417" s="6" t="str">
        <x:v>Warm-up</x:v>
      </x:c>
      <x:c r="K1417" s="6" t="str">
        <x:v>Ordered space path and directions, plus total route-model distance in metres.</x:v>
      </x:c>
      <x:c r="L1417" s="6" t="str">
        <x:v>T02, T05, T13</x:v>
      </x:c>
      <x:c r="M1417" s="6" t="str">
        <x:v>Find a valid route between two rooms, including across floors.</x:v>
      </x:c>
      <x:c r="N1417" s="6" t="str">
        <x:v>{"from_space_id":"proc-campus-dev-002-F1-S019","to_space_id":"proc-campus-dev-002-F2-S014","optimal_length_m":74.27,"space_path":["proc-campus-dev-002-F1-S019","proc-campus-dev-002-F1-S001","proc-campus-dev-002-F1-S010","proc-campus-dev-002-F2-S010","proc-campus-dev-002-F2-S001","proc-campus-dev-002-F2-S014"],"element_path":["proc-campus-dev-002-F1-O0039","proc-campus-dev-002-F1-O0039","proc-campus-dev-002-F1-O0030","proc-campus-dev-002-F1-O0030","proc-campus-dev-002-V03","proc-campus-dev-002-F2-O0052","proc-campus-dev-002-F2-O0052","proc-campus-dev-002-F2-O0056","proc-campus-dev-002-F2-O0056"]}</x:v>
      </x:c>
      <x:c r="O1417" s="6"/>
      <x:c r="P1417" s="6" t="str">
        <x:v>README routing profile. Stairs and lifts allowed unless stated otherwise.</x:v>
      </x:c>
      <x:c r="Q1417" s="15" t="n">
        <x:v>74.27</x:v>
      </x:c>
      <x:c r="R1417" s="6" t="str">
        <x:v>m</x:v>
      </x:c>
      <x:c r="S1417" s="16"/>
      <x:c r="T1417" s="15"/>
      <x:c r="U1417" s="6"/>
      <x:c r="V1417" s="6"/>
      <x:c r="W1417" s="6" t="str">
        <x:v>Existing find_route and show_route implement the kit routing model.</x:v>
      </x:c>
      <x:c r="X1417" s="6" t="str">
        <x:v>data/dev/proc-campus-dev-002/questions_basic.jsonl</x:v>
      </x:c>
      <x:c r="Y1417" s="14" t="n">
        <x:v>6</x:v>
      </x:c>
      <x:c r="Z1417" s="6" t="str">
        <x:v>https://github.com/hagenhaeussler/Industrial-Agents-Hackathon-2026/blob/f41616590b69f3ea0c1cbfb41d6c35edd9ce53df/data/dev/proc-campus-dev-002/questions_basic.jsonl#L6</x:v>
      </x:c>
      <x:c r="AA1417" s="6" t="str">
        <x:v>procedural</x:v>
      </x:c>
      <x:c r="AB1417" s="6" t="str">
        <x:v>CC0-1.0</x:v>
      </x:c>
    </x:row>
    <x:row r="1418" ht="124" customHeight="1">
      <x:c r="A1418" s="14" t="n">
        <x:v>1413</x:v>
      </x:c>
      <x:c r="B1418" s="6" t="str">
        <x:v>route</x:v>
      </x:c>
      <x:c r="C1418" s="6" t="str">
        <x:v>How do I get from Office 3.14 (Floor 3) to Meeting room 0.14 (Ground floor)?</x:v>
      </x:c>
      <x:c r="D1418" s="6" t="str">
        <x:v>106.03 m
From: Office 3.14
To: Meeting room 0.14
Ordered path (8 spaces): Office 3.14 → Corridor 3.01 → Staircase 2 → Staircase 2 → Staircase 2 → Staircase 2 → Corridor 0.01 → Meeting room 0.14</x:v>
      </x:c>
      <x:c r="E1418" s="6" t="str">
        <x:v>Reference supplied</x:v>
      </x:c>
      <x:c r="F1418" s="6" t="str">
        <x:v>dev</x:v>
      </x:c>
      <x:c r="G1418" s="6" t="str">
        <x:v>proc-campus-dev-002</x:v>
      </x:c>
      <x:c r="H1418" s="6" t="str">
        <x:v>proc-campus-dev-002-Q07</x:v>
      </x:c>
      <x:c r="I1418" s="6" t="str">
        <x:v>Route planning</x:v>
      </x:c>
      <x:c r="J1418" s="6" t="str">
        <x:v>Warm-up</x:v>
      </x:c>
      <x:c r="K1418" s="6" t="str">
        <x:v>Ordered space path and directions, plus total route-model distance in metres.</x:v>
      </x:c>
      <x:c r="L1418" s="6" t="str">
        <x:v>T02, T05, T13</x:v>
      </x:c>
      <x:c r="M1418" s="6" t="str">
        <x:v>Find a valid route between two rooms, including across floors.</x:v>
      </x:c>
      <x:c r="N1418" s="6" t="str">
        <x:v>{"from_space_id":"proc-campus-dev-002-F3-S014","to_space_id":"proc-campus-dev-002-F0-S014","optimal_length_m":106.03,"space_path":["proc-campus-dev-002-F3-S014","proc-campus-dev-002-F3-S001","proc-campus-dev-002-F3-S010","proc-campus-dev-002-F2-S010","proc-campus-dev-002-F1-S010","proc-campus-dev-002-F0-S007","proc-campus-dev-002-F0-S001","proc-campus-dev-002-F0-S014"],"element_path":["proc-campus-dev-002-F3-O0078","proc-campus-dev-002-F3-O0078","proc-campus-dev-002-F3-O0074","proc-campus-dev-002-F3-O0074","proc-campus-dev-002-V03","proc-campus-dev-002-V03","proc-campus-dev-002-V03","proc-campus-dev-002-F0-O0006","proc-campus-dev-002-F0-O0006","proc-campus-dev-002-F0-O0013","proc-campus-dev-002-F0-O0013"]}</x:v>
      </x:c>
      <x:c r="O1418" s="6"/>
      <x:c r="P1418" s="6" t="str">
        <x:v>README routing profile. Stairs and lifts allowed unless stated otherwise.</x:v>
      </x:c>
      <x:c r="Q1418" s="15" t="n">
        <x:v>106.03</x:v>
      </x:c>
      <x:c r="R1418" s="6" t="str">
        <x:v>m</x:v>
      </x:c>
      <x:c r="S1418" s="16"/>
      <x:c r="T1418" s="15"/>
      <x:c r="U1418" s="6"/>
      <x:c r="V1418" s="6"/>
      <x:c r="W1418" s="6" t="str">
        <x:v>Existing find_route and show_route implement the kit routing model.</x:v>
      </x:c>
      <x:c r="X1418" s="6" t="str">
        <x:v>data/dev/proc-campus-dev-002/questions_basic.jsonl</x:v>
      </x:c>
      <x:c r="Y1418" s="14" t="n">
        <x:v>7</x:v>
      </x:c>
      <x:c r="Z1418" s="6" t="str">
        <x:v>https://github.com/hagenhaeussler/Industrial-Agents-Hackathon-2026/blob/f41616590b69f3ea0c1cbfb41d6c35edd9ce53df/data/dev/proc-campus-dev-002/questions_basic.jsonl#L7</x:v>
      </x:c>
      <x:c r="AA1418" s="6" t="str">
        <x:v>procedural</x:v>
      </x:c>
      <x:c r="AB1418" s="6" t="str">
        <x:v>CC0-1.0</x:v>
      </x:c>
    </x:row>
    <x:row r="1419" ht="124" customHeight="1">
      <x:c r="A1419" s="14" t="n">
        <x:v>1414</x:v>
      </x:c>
      <x:c r="B1419" s="6" t="str">
        <x:v>route</x:v>
      </x:c>
      <x:c r="C1419" s="6" t="str">
        <x:v>How do I get from Toilet 0.15 (Ground floor) to Storage 3.02 (Floor 3)?</x:v>
      </x:c>
      <x:c r="D1419" s="6" t="str">
        <x:v>73.75 m
From: Toilet 0.15
To: Storage 3.02
Ordered path (8 spaces): Toilet 0.15 → Corridor 0.01 → Staircase 1 → Staircase 1 → Staircase 1 → Staircase 1 → Corridor 3.01 → Storage 3.02</x:v>
      </x:c>
      <x:c r="E1419" s="6" t="str">
        <x:v>Reference supplied</x:v>
      </x:c>
      <x:c r="F1419" s="6" t="str">
        <x:v>dev</x:v>
      </x:c>
      <x:c r="G1419" s="6" t="str">
        <x:v>proc-campus-dev-006</x:v>
      </x:c>
      <x:c r="H1419" s="6" t="str">
        <x:v>proc-campus-dev-006-Q05</x:v>
      </x:c>
      <x:c r="I1419" s="6" t="str">
        <x:v>Route planning</x:v>
      </x:c>
      <x:c r="J1419" s="6" t="str">
        <x:v>Warm-up</x:v>
      </x:c>
      <x:c r="K1419" s="6" t="str">
        <x:v>Ordered space path and directions, plus total route-model distance in metres.</x:v>
      </x:c>
      <x:c r="L1419" s="6" t="str">
        <x:v>T02, T05, T13</x:v>
      </x:c>
      <x:c r="M1419" s="6" t="str">
        <x:v>Find a valid route between two rooms, including across floors.</x:v>
      </x:c>
      <x:c r="N1419" s="6" t="str">
        <x:v>{"from_space_id":"proc-campus-dev-006-F0-S015","to_space_id":"proc-campus-dev-006-F3-S002","optimal_length_m":73.75,"space_path":["proc-campus-dev-006-F0-S015","proc-campus-dev-006-F0-S001","proc-campus-dev-006-F0-S006","proc-campus-dev-006-F1-S006","proc-campus-dev-006-F2-S006","proc-campus-dev-006-F3-S006","proc-campus-dev-006-F3-S001","proc-campus-dev-006-F3-S002"],"element_path":["proc-campus-dev-006-F0-O0014","proc-campus-dev-006-F0-O0014","proc-campus-dev-006-F0-O0005","proc-campus-dev-006-F0-O0005","proc-campus-dev-006-V01","proc-campus-dev-006-V01","proc-campus-dev-006-V01","proc-campus-dev-006-F3-O0067","proc-campus-dev-006-F3-O0067","proc-campus-dev-006-F3-O0063","proc-campus-dev-006-F3-O0063"]}</x:v>
      </x:c>
      <x:c r="O1419" s="6"/>
      <x:c r="P1419" s="6" t="str">
        <x:v>README routing profile. Stairs and lifts allowed unless stated otherwise.</x:v>
      </x:c>
      <x:c r="Q1419" s="15" t="n">
        <x:v>73.75</x:v>
      </x:c>
      <x:c r="R1419" s="6" t="str">
        <x:v>m</x:v>
      </x:c>
      <x:c r="S1419" s="16"/>
      <x:c r="T1419" s="15"/>
      <x:c r="U1419" s="6"/>
      <x:c r="V1419" s="6"/>
      <x:c r="W1419" s="6" t="str">
        <x:v>Existing find_route and show_route implement the kit routing model.</x:v>
      </x:c>
      <x:c r="X1419" s="6" t="str">
        <x:v>data/dev/proc-campus-dev-006/questions_basic.jsonl</x:v>
      </x:c>
      <x:c r="Y1419" s="14" t="n">
        <x:v>5</x:v>
      </x:c>
      <x:c r="Z1419" s="6" t="str">
        <x:v>https://github.com/hagenhaeussler/Industrial-Agents-Hackathon-2026/blob/f41616590b69f3ea0c1cbfb41d6c35edd9ce53df/data/dev/proc-campus-dev-006/questions_basic.jsonl#L5</x:v>
      </x:c>
      <x:c r="AA1419" s="6" t="str">
        <x:v>procedural</x:v>
      </x:c>
      <x:c r="AB1419" s="6" t="str">
        <x:v>CC0-1.0</x:v>
      </x:c>
    </x:row>
    <x:row r="1420" ht="110" customHeight="1">
      <x:c r="A1420" s="14" t="n">
        <x:v>1415</x:v>
      </x:c>
      <x:c r="B1420" s="6" t="str">
        <x:v>route</x:v>
      </x:c>
      <x:c r="C1420" s="6" t="str">
        <x:v>How do I get from Office 1.14 (Floor 1) to Toilet 2.17 (Floor 2)?</x:v>
      </x:c>
      <x:c r="D1420" s="6" t="str">
        <x:v>44.5 m
From: Office 1.14
To: Toilet 2.17
Ordered path (6 spaces): Office 1.14 → Corridor 1.01 → Staircase 1 → Staircase 1 → Corridor 2.01 → Toilet 2.17</x:v>
      </x:c>
      <x:c r="E1420" s="6" t="str">
        <x:v>Reference supplied</x:v>
      </x:c>
      <x:c r="F1420" s="6" t="str">
        <x:v>dev</x:v>
      </x:c>
      <x:c r="G1420" s="6" t="str">
        <x:v>proc-campus-dev-006</x:v>
      </x:c>
      <x:c r="H1420" s="6" t="str">
        <x:v>proc-campus-dev-006-Q06</x:v>
      </x:c>
      <x:c r="I1420" s="6" t="str">
        <x:v>Route planning</x:v>
      </x:c>
      <x:c r="J1420" s="6" t="str">
        <x:v>Warm-up</x:v>
      </x:c>
      <x:c r="K1420" s="6" t="str">
        <x:v>Ordered space path and directions, plus total route-model distance in metres.</x:v>
      </x:c>
      <x:c r="L1420" s="6" t="str">
        <x:v>T02, T05, T13</x:v>
      </x:c>
      <x:c r="M1420" s="6" t="str">
        <x:v>Find a valid route between two rooms, including across floors.</x:v>
      </x:c>
      <x:c r="N1420" s="6" t="str">
        <x:v>{"from_space_id":"proc-campus-dev-006-F1-S014","to_space_id":"proc-campus-dev-006-F2-S017","optimal_length_m":44.5,"space_path":["proc-campus-dev-006-F1-S014","proc-campus-dev-006-F1-S001","proc-campus-dev-006-F1-S006","proc-campus-dev-006-F2-S006","proc-campus-dev-006-F2-S001","proc-campus-dev-006-F2-S017"],"element_path":["proc-campus-dev-006-F1-O0033","proc-campus-dev-006-F1-O0033","proc-campus-dev-006-F1-O0025","proc-campus-dev-006-F1-O0025","proc-campus-dev-006-V01","proc-campus-dev-006-F2-O0046","proc-campus-dev-006-F2-O0046","proc-campus-dev-006-F2-O0057","proc-campus-dev-006-F2-O0057"]}</x:v>
      </x:c>
      <x:c r="O1420" s="6"/>
      <x:c r="P1420" s="6" t="str">
        <x:v>README routing profile. Stairs and lifts allowed unless stated otherwise.</x:v>
      </x:c>
      <x:c r="Q1420" s="15" t="n">
        <x:v>44.5</x:v>
      </x:c>
      <x:c r="R1420" s="6" t="str">
        <x:v>m</x:v>
      </x:c>
      <x:c r="S1420" s="16"/>
      <x:c r="T1420" s="15"/>
      <x:c r="U1420" s="6"/>
      <x:c r="V1420" s="6"/>
      <x:c r="W1420" s="6" t="str">
        <x:v>Existing find_route and show_route implement the kit routing model.</x:v>
      </x:c>
      <x:c r="X1420" s="6" t="str">
        <x:v>data/dev/proc-campus-dev-006/questions_basic.jsonl</x:v>
      </x:c>
      <x:c r="Y1420" s="14" t="n">
        <x:v>6</x:v>
      </x:c>
      <x:c r="Z1420" s="6" t="str">
        <x:v>https://github.com/hagenhaeussler/Industrial-Agents-Hackathon-2026/blob/f41616590b69f3ea0c1cbfb41d6c35edd9ce53df/data/dev/proc-campus-dev-006/questions_basic.jsonl#L6</x:v>
      </x:c>
      <x:c r="AA1420" s="6" t="str">
        <x:v>procedural</x:v>
      </x:c>
      <x:c r="AB1420" s="6" t="str">
        <x:v>CC0-1.0</x:v>
      </x:c>
    </x:row>
    <x:row r="1421" ht="124" customHeight="1">
      <x:c r="A1421" s="14" t="n">
        <x:v>1416</x:v>
      </x:c>
      <x:c r="B1421" s="6" t="str">
        <x:v>route</x:v>
      </x:c>
      <x:c r="C1421" s="6" t="str">
        <x:v>How do I get from Lab 3.14 (Floor 3) to Print room 1.13 (Floor 1)?</x:v>
      </x:c>
      <x:c r="D1421" s="6" t="str">
        <x:v>75.68 m
From: Lab 3.14
To: Print room 1.13
Ordered path (7 spaces): Lab 3.14 → Corridor 3.01 → Staircase 1 → Staircase 1 → Staircase 1 → Corridor 1.01 → Print room 1.13</x:v>
      </x:c>
      <x:c r="E1421" s="6" t="str">
        <x:v>Reference supplied</x:v>
      </x:c>
      <x:c r="F1421" s="6" t="str">
        <x:v>dev</x:v>
      </x:c>
      <x:c r="G1421" s="6" t="str">
        <x:v>proc-campus-dev-006</x:v>
      </x:c>
      <x:c r="H1421" s="6" t="str">
        <x:v>proc-campus-dev-006-Q07</x:v>
      </x:c>
      <x:c r="I1421" s="6" t="str">
        <x:v>Route planning</x:v>
      </x:c>
      <x:c r="J1421" s="6" t="str">
        <x:v>Warm-up</x:v>
      </x:c>
      <x:c r="K1421" s="6" t="str">
        <x:v>Ordered space path and directions, plus total route-model distance in metres.</x:v>
      </x:c>
      <x:c r="L1421" s="6" t="str">
        <x:v>T02, T05, T13</x:v>
      </x:c>
      <x:c r="M1421" s="6" t="str">
        <x:v>Find a valid route between two rooms, including across floors.</x:v>
      </x:c>
      <x:c r="N1421" s="6" t="str">
        <x:v>{"from_space_id":"proc-campus-dev-006-F3-S014","to_space_id":"proc-campus-dev-006-F1-S013","optimal_length_m":75.68,"space_path":["proc-campus-dev-006-F3-S014","proc-campus-dev-006-F3-S001","proc-campus-dev-006-F3-S006","proc-campus-dev-006-F2-S006","proc-campus-dev-006-F1-S006","proc-campus-dev-006-F1-S001","proc-campus-dev-006-F1-S013"],"element_path":["proc-campus-dev-006-F3-O0075","proc-campus-dev-006-F3-O0075","proc-campus-dev-006-F3-O0067","proc-campus-dev-006-F3-O0067","proc-campus-dev-006-V01","proc-campus-dev-006-V01","proc-campus-dev-006-F1-O0025","proc-campus-dev-006-F1-O0025","proc-campus-dev-006-F1-O0032","proc-campus-dev-006-F1-O0032"]}</x:v>
      </x:c>
      <x:c r="O1421" s="6"/>
      <x:c r="P1421" s="6" t="str">
        <x:v>README routing profile. Stairs and lifts allowed unless stated otherwise.</x:v>
      </x:c>
      <x:c r="Q1421" s="15" t="n">
        <x:v>75.68</x:v>
      </x:c>
      <x:c r="R1421" s="6" t="str">
        <x:v>m</x:v>
      </x:c>
      <x:c r="S1421" s="16"/>
      <x:c r="T1421" s="15"/>
      <x:c r="U1421" s="6"/>
      <x:c r="V1421" s="6"/>
      <x:c r="W1421" s="6" t="str">
        <x:v>Existing find_route and show_route implement the kit routing model.</x:v>
      </x:c>
      <x:c r="X1421" s="6" t="str">
        <x:v>data/dev/proc-campus-dev-006/questions_basic.jsonl</x:v>
      </x:c>
      <x:c r="Y1421" s="14" t="n">
        <x:v>7</x:v>
      </x:c>
      <x:c r="Z1421" s="6" t="str">
        <x:v>https://github.com/hagenhaeussler/Industrial-Agents-Hackathon-2026/blob/f41616590b69f3ea0c1cbfb41d6c35edd9ce53df/data/dev/proc-campus-dev-006/questions_basic.jsonl#L7</x:v>
      </x:c>
      <x:c r="AA1421" s="6" t="str">
        <x:v>procedural</x:v>
      </x:c>
      <x:c r="AB1421" s="6" t="str">
        <x:v>CC0-1.0</x:v>
      </x:c>
    </x:row>
    <x:row r="1422" ht="110" customHeight="1">
      <x:c r="A1422" s="14" t="n">
        <x:v>1417</x:v>
      </x:c>
      <x:c r="B1422" s="6" t="str">
        <x:v>route</x:v>
      </x:c>
      <x:c r="C1422" s="6" t="str">
        <x:v>How do I get from Makerspace 0.18 (Ground floor) to Office 1.29 (Floor 1)?</x:v>
      </x:c>
      <x:c r="D1422" s="6" t="str">
        <x:v>56.83 m
From: Makerspace 0.18
To: Office 1.29
Ordered path (6 spaces): Makerspace 0.18 → Corridor 0.01 → Staircase 2 → Staircase 2 → Corridor 1.01 → Office 1.29</x:v>
      </x:c>
      <x:c r="E1422" s="6" t="str">
        <x:v>Reference supplied</x:v>
      </x:c>
      <x:c r="F1422" s="6" t="str">
        <x:v>dev</x:v>
      </x:c>
      <x:c r="G1422" s="6" t="str">
        <x:v>proc-campus-dev-009</x:v>
      </x:c>
      <x:c r="H1422" s="6" t="str">
        <x:v>proc-campus-dev-009-Q05</x:v>
      </x:c>
      <x:c r="I1422" s="6" t="str">
        <x:v>Route planning</x:v>
      </x:c>
      <x:c r="J1422" s="6" t="str">
        <x:v>Warm-up</x:v>
      </x:c>
      <x:c r="K1422" s="6" t="str">
        <x:v>Ordered space path and directions, plus total route-model distance in metres.</x:v>
      </x:c>
      <x:c r="L1422" s="6" t="str">
        <x:v>T02, T05, T13</x:v>
      </x:c>
      <x:c r="M1422" s="6" t="str">
        <x:v>Find a valid route between two rooms, including across floors.</x:v>
      </x:c>
      <x:c r="N1422" s="6" t="str">
        <x:v>{"from_space_id":"proc-campus-dev-009-F0-S018","to_space_id":"proc-campus-dev-009-F1-S029","optimal_length_m":56.83,"space_path":["proc-campus-dev-009-F0-S018","proc-campus-dev-009-F0-S001","proc-campus-dev-009-F0-S007","proc-campus-dev-009-F1-S010","proc-campus-dev-009-F1-S001","proc-campus-dev-009-F1-S029"],"element_path":["proc-campus-dev-009-F0-O0017","proc-campus-dev-009-F0-O0017","proc-campus-dev-009-F0-O0006","proc-campus-dev-009-F0-O0006","proc-campus-dev-009-V03","proc-campus-dev-009-F1-O0042","proc-campus-dev-009-F1-O0042","proc-campus-dev-009-F1-O0061","proc-campus-dev-009-F1-O0061"]}</x:v>
      </x:c>
      <x:c r="O1422" s="6"/>
      <x:c r="P1422" s="6" t="str">
        <x:v>README routing profile. Stairs and lifts allowed unless stated otherwise.</x:v>
      </x:c>
      <x:c r="Q1422" s="15" t="n">
        <x:v>56.83</x:v>
      </x:c>
      <x:c r="R1422" s="6" t="str">
        <x:v>m</x:v>
      </x:c>
      <x:c r="S1422" s="16"/>
      <x:c r="T1422" s="15"/>
      <x:c r="U1422" s="6"/>
      <x:c r="V1422" s="6"/>
      <x:c r="W1422" s="6" t="str">
        <x:v>Existing find_route and show_route implement the kit routing model.</x:v>
      </x:c>
      <x:c r="X1422" s="6" t="str">
        <x:v>data/dev/proc-campus-dev-009/questions_basic.jsonl</x:v>
      </x:c>
      <x:c r="Y1422" s="14" t="n">
        <x:v>5</x:v>
      </x:c>
      <x:c r="Z1422" s="6" t="str">
        <x:v>https://github.com/hagenhaeussler/Industrial-Agents-Hackathon-2026/blob/f41616590b69f3ea0c1cbfb41d6c35edd9ce53df/data/dev/proc-campus-dev-009/questions_basic.jsonl#L5</x:v>
      </x:c>
      <x:c r="AA1422" s="6" t="str">
        <x:v>procedural</x:v>
      </x:c>
      <x:c r="AB1422" s="6" t="str">
        <x:v>CC0-1.0</x:v>
      </x:c>
    </x:row>
    <x:row r="1423" ht="72" customHeight="1">
      <x:c r="A1423" s="14" t="n">
        <x:v>1418</x:v>
      </x:c>
      <x:c r="B1423" s="6" t="str">
        <x:v>route</x:v>
      </x:c>
      <x:c r="C1423" s="6" t="str">
        <x:v>How do I get from Office 3.06 (Floor 3) to Toilet 3.32 (Floor 3)?</x:v>
      </x:c>
      <x:c r="D1423" s="6" t="str">
        <x:v>47.82 m
From: Office 3.06
To: Toilet 3.32
Ordered path (3 spaces): Office 3.06 → Corridor 3.01 → Toilet 3.32</x:v>
      </x:c>
      <x:c r="E1423" s="6" t="str">
        <x:v>Reference supplied</x:v>
      </x:c>
      <x:c r="F1423" s="6" t="str">
        <x:v>dev</x:v>
      </x:c>
      <x:c r="G1423" s="6" t="str">
        <x:v>proc-campus-dev-009</x:v>
      </x:c>
      <x:c r="H1423" s="6" t="str">
        <x:v>proc-campus-dev-009-Q06</x:v>
      </x:c>
      <x:c r="I1423" s="6" t="str">
        <x:v>Route planning</x:v>
      </x:c>
      <x:c r="J1423" s="6" t="str">
        <x:v>Warm-up</x:v>
      </x:c>
      <x:c r="K1423" s="6" t="str">
        <x:v>Ordered space path and directions, plus total route-model distance in metres.</x:v>
      </x:c>
      <x:c r="L1423" s="6" t="str">
        <x:v>T02, T05, T13</x:v>
      </x:c>
      <x:c r="M1423" s="6" t="str">
        <x:v>Find a valid route between two rooms, including across floors.</x:v>
      </x:c>
      <x:c r="N1423" s="6" t="str">
        <x:v>{"from_space_id":"proc-campus-dev-009-F3-S006","to_space_id":"proc-campus-dev-009-F3-S032","optimal_length_m":47.82,"space_path":["proc-campus-dev-009-F3-S006","proc-campus-dev-009-F3-S001","proc-campus-dev-009-F3-S032"],"element_path":["proc-campus-dev-009-F3-O0106","proc-campus-dev-009-F3-O0106","proc-campus-dev-009-F3-O0132","proc-campus-dev-009-F3-O0132"]}</x:v>
      </x:c>
      <x:c r="O1423" s="6"/>
      <x:c r="P1423" s="6" t="str">
        <x:v>README routing profile. Stairs and lifts allowed unless stated otherwise.</x:v>
      </x:c>
      <x:c r="Q1423" s="15" t="n">
        <x:v>47.82</x:v>
      </x:c>
      <x:c r="R1423" s="6" t="str">
        <x:v>m</x:v>
      </x:c>
      <x:c r="S1423" s="16"/>
      <x:c r="T1423" s="15"/>
      <x:c r="U1423" s="6"/>
      <x:c r="V1423" s="6"/>
      <x:c r="W1423" s="6" t="str">
        <x:v>Existing find_route and show_route implement the kit routing model.</x:v>
      </x:c>
      <x:c r="X1423" s="6" t="str">
        <x:v>data/dev/proc-campus-dev-009/questions_basic.jsonl</x:v>
      </x:c>
      <x:c r="Y1423" s="14" t="n">
        <x:v>6</x:v>
      </x:c>
      <x:c r="Z1423" s="6" t="str">
        <x:v>https://github.com/hagenhaeussler/Industrial-Agents-Hackathon-2026/blob/f41616590b69f3ea0c1cbfb41d6c35edd9ce53df/data/dev/proc-campus-dev-009/questions_basic.jsonl#L6</x:v>
      </x:c>
      <x:c r="AA1423" s="6" t="str">
        <x:v>procedural</x:v>
      </x:c>
      <x:c r="AB1423" s="6" t="str">
        <x:v>CC0-1.0</x:v>
      </x:c>
    </x:row>
    <x:row r="1424" ht="138" customHeight="1">
      <x:c r="A1424" s="14" t="n">
        <x:v>1419</x:v>
      </x:c>
      <x:c r="B1424" s="6" t="str">
        <x:v>route</x:v>
      </x:c>
      <x:c r="C1424" s="6" t="str">
        <x:v>How do I get from Seminar room 4.28 (Floor 4) to Lab 0.14 (Ground floor)?</x:v>
      </x:c>
      <x:c r="D1424" s="6" t="str">
        <x:v>100.23 m
From: Seminar room 4.28
To: Lab 0.14
Ordered path (9 spaces): Seminar room 4.28 → Corridor 4.01 → Staircase 2 → Staircase 2 → Staircase 2 → Staircase 2 → Staircase 2 → Corridor 0.01 → Lab 0.14</x:v>
      </x:c>
      <x:c r="E1424" s="6" t="str">
        <x:v>Reference supplied</x:v>
      </x:c>
      <x:c r="F1424" s="6" t="str">
        <x:v>dev</x:v>
      </x:c>
      <x:c r="G1424" s="6" t="str">
        <x:v>proc-campus-dev-009</x:v>
      </x:c>
      <x:c r="H1424" s="6" t="str">
        <x:v>proc-campus-dev-009-Q07</x:v>
      </x:c>
      <x:c r="I1424" s="6" t="str">
        <x:v>Route planning</x:v>
      </x:c>
      <x:c r="J1424" s="6" t="str">
        <x:v>Warm-up</x:v>
      </x:c>
      <x:c r="K1424" s="6" t="str">
        <x:v>Ordered space path and directions, plus total route-model distance in metres.</x:v>
      </x:c>
      <x:c r="L1424" s="6" t="str">
        <x:v>T02, T05, T13</x:v>
      </x:c>
      <x:c r="M1424" s="6" t="str">
        <x:v>Find a valid route between two rooms, including across floors.</x:v>
      </x:c>
      <x:c r="N1424" s="6" t="str">
        <x:v>{"from_space_id":"proc-campus-dev-009-F4-S028","to_space_id":"proc-campus-dev-009-F0-S014","optimal_length_m":100.23,"space_path":["proc-campus-dev-009-F4-S028","proc-campus-dev-009-F4-S001","proc-campus-dev-009-F4-S010","proc-campus-dev-009-F3-S010","proc-campus-dev-009-F2-S010","proc-campus-dev-009-F1-S010","proc-campus-dev-009-F0-S007","proc-campus-dev-009-F0-S001","proc-campus-dev-009-F0-S014"],"element_path":["proc-campus-dev-009-F4-O0162","proc-campus-dev-009-F4-O0162","proc-campus-dev-009-F4-O0144","proc-campus-dev-009-F4-O0144","proc-campus-dev-009-V03","proc-campus-dev-009-V03","proc-campus-dev-009-V03","proc-campus-dev-009-V03","proc-campus-dev-009-F0-O0006","proc-campus-dev-009-F0-O0006","proc-campus-dev-009-F0-O0013","proc-campus-dev-009-F0-O0013"]}</x:v>
      </x:c>
      <x:c r="O1424" s="6"/>
      <x:c r="P1424" s="6" t="str">
        <x:v>README routing profile. Stairs and lifts allowed unless stated otherwise.</x:v>
      </x:c>
      <x:c r="Q1424" s="15" t="n">
        <x:v>100.23</x:v>
      </x:c>
      <x:c r="R1424" s="6" t="str">
        <x:v>m</x:v>
      </x:c>
      <x:c r="S1424" s="16"/>
      <x:c r="T1424" s="15"/>
      <x:c r="U1424" s="6"/>
      <x:c r="V1424" s="6"/>
      <x:c r="W1424" s="6" t="str">
        <x:v>Existing find_route and show_route implement the kit routing model.</x:v>
      </x:c>
      <x:c r="X1424" s="6" t="str">
        <x:v>data/dev/proc-campus-dev-009/questions_basic.jsonl</x:v>
      </x:c>
      <x:c r="Y1424" s="14" t="n">
        <x:v>7</x:v>
      </x:c>
      <x:c r="Z1424" s="6" t="str">
        <x:v>https://github.com/hagenhaeussler/Industrial-Agents-Hackathon-2026/blob/f41616590b69f3ea0c1cbfb41d6c35edd9ce53df/data/dev/proc-campus-dev-009/questions_basic.jsonl#L7</x:v>
      </x:c>
      <x:c r="AA1424" s="6" t="str">
        <x:v>procedural</x:v>
      </x:c>
      <x:c r="AB1424" s="6" t="str">
        <x:v>CC0-1.0</x:v>
      </x:c>
    </x:row>
    <x:row r="1425" ht="124" customHeight="1">
      <x:c r="A1425" s="14" t="n">
        <x:v>1420</x:v>
      </x:c>
      <x:c r="B1425" s="6" t="str">
        <x:v>route</x:v>
      </x:c>
      <x:c r="C1425" s="6" t="str">
        <x:v>How do I get from Seminar room 2.19 (Floor 2) to Canteen 0.19 (Ground floor)?</x:v>
      </x:c>
      <x:c r="D1425" s="6" t="str">
        <x:v>83.53 m
From: Seminar room 2.19
To: Canteen 0.19
Ordered path (7 spaces): Seminar room 2.19 → Corridor 2.01 → Staircase 2 → Staircase 2 → Staircase 2 → Corridor 0.01 → Canteen 0.19</x:v>
      </x:c>
      <x:c r="E1425" s="6" t="str">
        <x:v>Reference supplied</x:v>
      </x:c>
      <x:c r="F1425" s="6" t="str">
        <x:v>dev</x:v>
      </x:c>
      <x:c r="G1425" s="6" t="str">
        <x:v>proc-campus-dev-013</x:v>
      </x:c>
      <x:c r="H1425" s="6" t="str">
        <x:v>proc-campus-dev-013-Q05</x:v>
      </x:c>
      <x:c r="I1425" s="6" t="str">
        <x:v>Route planning</x:v>
      </x:c>
      <x:c r="J1425" s="6" t="str">
        <x:v>Warm-up</x:v>
      </x:c>
      <x:c r="K1425" s="6" t="str">
        <x:v>Ordered space path and directions, plus total route-model distance in metres.</x:v>
      </x:c>
      <x:c r="L1425" s="6" t="str">
        <x:v>T02, T05, T13</x:v>
      </x:c>
      <x:c r="M1425" s="6" t="str">
        <x:v>Find a valid route between two rooms, including across floors.</x:v>
      </x:c>
      <x:c r="N1425" s="6" t="str">
        <x:v>{"from_space_id":"proc-campus-dev-013-F2-S019","to_space_id":"proc-campus-dev-013-F0-S019","optimal_length_m":83.53,"space_path":["proc-campus-dev-013-F2-S019","proc-campus-dev-013-F2-S001","proc-campus-dev-013-F2-S010","proc-campus-dev-013-F1-S010","proc-campus-dev-013-F0-S010","proc-campus-dev-013-F0-S001","proc-campus-dev-013-F0-S019"],"element_path":["proc-campus-dev-013-F2-O0059","proc-campus-dev-013-F2-O0059","proc-campus-dev-013-F2-O0050","proc-campus-dev-013-F2-O0050","proc-campus-dev-013-V03","proc-campus-dev-013-V03","proc-campus-dev-013-F0-O0009","proc-campus-dev-013-F0-O0009","proc-campus-dev-013-F0-O0018","proc-campus-dev-013-F0-O0018"]}</x:v>
      </x:c>
      <x:c r="O1425" s="6"/>
      <x:c r="P1425" s="6" t="str">
        <x:v>README routing profile. Stairs and lifts allowed unless stated otherwise.</x:v>
      </x:c>
      <x:c r="Q1425" s="15" t="n">
        <x:v>83.53</x:v>
      </x:c>
      <x:c r="R1425" s="6" t="str">
        <x:v>m</x:v>
      </x:c>
      <x:c r="S1425" s="16"/>
      <x:c r="T1425" s="15"/>
      <x:c r="U1425" s="6"/>
      <x:c r="V1425" s="6"/>
      <x:c r="W1425" s="6" t="str">
        <x:v>Existing find_route and show_route implement the kit routing model.</x:v>
      </x:c>
      <x:c r="X1425" s="6" t="str">
        <x:v>data/dev/proc-campus-dev-013/questions_basic.jsonl</x:v>
      </x:c>
      <x:c r="Y1425" s="14" t="n">
        <x:v>5</x:v>
      </x:c>
      <x:c r="Z1425" s="6" t="str">
        <x:v>https://github.com/hagenhaeussler/Industrial-Agents-Hackathon-2026/blob/f41616590b69f3ea0c1cbfb41d6c35edd9ce53df/data/dev/proc-campus-dev-013/questions_basic.jsonl#L5</x:v>
      </x:c>
      <x:c r="AA1425" s="6" t="str">
        <x:v>procedural</x:v>
      </x:c>
      <x:c r="AB1425" s="6" t="str">
        <x:v>CC0-1.0</x:v>
      </x:c>
    </x:row>
    <x:row r="1426" ht="82" customHeight="1">
      <x:c r="A1426" s="14" t="n">
        <x:v>1421</x:v>
      </x:c>
      <x:c r="B1426" s="6" t="str">
        <x:v>route</x:v>
      </x:c>
      <x:c r="C1426" s="6" t="str">
        <x:v>How do I get from Seminar room 1.21 (Floor 1) to Print room 1.22 (Floor 1)?</x:v>
      </x:c>
      <x:c r="D1426" s="6" t="str">
        <x:v>46.17 m
From: Seminar room 1.21
To: Print room 1.22
Ordered path (3 spaces): Seminar room 1.21 → Corridor 1.01 → Print room 1.22</x:v>
      </x:c>
      <x:c r="E1426" s="6" t="str">
        <x:v>Reference supplied</x:v>
      </x:c>
      <x:c r="F1426" s="6" t="str">
        <x:v>dev</x:v>
      </x:c>
      <x:c r="G1426" s="6" t="str">
        <x:v>proc-campus-dev-013</x:v>
      </x:c>
      <x:c r="H1426" s="6" t="str">
        <x:v>proc-campus-dev-013-Q06</x:v>
      </x:c>
      <x:c r="I1426" s="6" t="str">
        <x:v>Route planning</x:v>
      </x:c>
      <x:c r="J1426" s="6" t="str">
        <x:v>Warm-up</x:v>
      </x:c>
      <x:c r="K1426" s="6" t="str">
        <x:v>Ordered space path and directions, plus total route-model distance in metres.</x:v>
      </x:c>
      <x:c r="L1426" s="6" t="str">
        <x:v>T02, T05, T13</x:v>
      </x:c>
      <x:c r="M1426" s="6" t="str">
        <x:v>Find a valid route between two rooms, including across floors.</x:v>
      </x:c>
      <x:c r="N1426" s="6" t="str">
        <x:v>{"from_space_id":"proc-campus-dev-013-F1-S021","to_space_id":"proc-campus-dev-013-F1-S022","optimal_length_m":46.17,"space_path":["proc-campus-dev-013-F1-S021","proc-campus-dev-013-F1-S001","proc-campus-dev-013-F1-S022"],"element_path":["proc-campus-dev-013-F1-O0040","proc-campus-dev-013-F1-O0040","proc-campus-dev-013-F1-O0041","proc-campus-dev-013-F1-O0041"]}</x:v>
      </x:c>
      <x:c r="O1426" s="6"/>
      <x:c r="P1426" s="6" t="str">
        <x:v>README routing profile. Stairs and lifts allowed unless stated otherwise.</x:v>
      </x:c>
      <x:c r="Q1426" s="15" t="n">
        <x:v>46.17</x:v>
      </x:c>
      <x:c r="R1426" s="6" t="str">
        <x:v>m</x:v>
      </x:c>
      <x:c r="S1426" s="16"/>
      <x:c r="T1426" s="15"/>
      <x:c r="U1426" s="6"/>
      <x:c r="V1426" s="6"/>
      <x:c r="W1426" s="6" t="str">
        <x:v>Existing find_route and show_route implement the kit routing model.</x:v>
      </x:c>
      <x:c r="X1426" s="6" t="str">
        <x:v>data/dev/proc-campus-dev-013/questions_basic.jsonl</x:v>
      </x:c>
      <x:c r="Y1426" s="14" t="n">
        <x:v>6</x:v>
      </x:c>
      <x:c r="Z1426" s="6" t="str">
        <x:v>https://github.com/hagenhaeussler/Industrial-Agents-Hackathon-2026/blob/f41616590b69f3ea0c1cbfb41d6c35edd9ce53df/data/dev/proc-campus-dev-013/questions_basic.jsonl#L6</x:v>
      </x:c>
      <x:c r="AA1426" s="6" t="str">
        <x:v>procedural</x:v>
      </x:c>
      <x:c r="AB1426" s="6" t="str">
        <x:v>CC0-1.0</x:v>
      </x:c>
    </x:row>
    <x:row r="1427" ht="82" customHeight="1">
      <x:c r="A1427" s="14" t="n">
        <x:v>1422</x:v>
      </x:c>
      <x:c r="B1427" s="6" t="str">
        <x:v>route</x:v>
      </x:c>
      <x:c r="C1427" s="6" t="str">
        <x:v>How do I get from Kitchen 1.09 (Floor 1) to Seminar room 1.02 (Floor 1)?</x:v>
      </x:c>
      <x:c r="D1427" s="6" t="str">
        <x:v>34.7 m
From: Kitchen 1.09
To: Seminar room 1.02
Ordered path (3 spaces): Kitchen 1.09 → Corridor 1.01 → Seminar room 1.02</x:v>
      </x:c>
      <x:c r="E1427" s="6" t="str">
        <x:v>Reference supplied</x:v>
      </x:c>
      <x:c r="F1427" s="6" t="str">
        <x:v>dev</x:v>
      </x:c>
      <x:c r="G1427" s="6" t="str">
        <x:v>proc-campus-dev-013</x:v>
      </x:c>
      <x:c r="H1427" s="6" t="str">
        <x:v>proc-campus-dev-013-Q07</x:v>
      </x:c>
      <x:c r="I1427" s="6" t="str">
        <x:v>Route planning</x:v>
      </x:c>
      <x:c r="J1427" s="6" t="str">
        <x:v>Warm-up</x:v>
      </x:c>
      <x:c r="K1427" s="6" t="str">
        <x:v>Ordered space path and directions, plus total route-model distance in metres.</x:v>
      </x:c>
      <x:c r="L1427" s="6" t="str">
        <x:v>T02, T05, T13</x:v>
      </x:c>
      <x:c r="M1427" s="6" t="str">
        <x:v>Find a valid route between two rooms, including across floors.</x:v>
      </x:c>
      <x:c r="N1427" s="6" t="str">
        <x:v>{"from_space_id":"proc-campus-dev-013-F1-S009","to_space_id":"proc-campus-dev-013-F1-S002","optimal_length_m":34.7,"space_path":["proc-campus-dev-013-F1-S009","proc-campus-dev-013-F1-S001","proc-campus-dev-013-F1-S002"],"element_path":["proc-campus-dev-013-F1-O0028","proc-campus-dev-013-F1-O0028","proc-campus-dev-013-F1-O0021","proc-campus-dev-013-F1-O0021"]}</x:v>
      </x:c>
      <x:c r="O1427" s="6"/>
      <x:c r="P1427" s="6" t="str">
        <x:v>README routing profile. Stairs and lifts allowed unless stated otherwise.</x:v>
      </x:c>
      <x:c r="Q1427" s="15" t="n">
        <x:v>34.7</x:v>
      </x:c>
      <x:c r="R1427" s="6" t="str">
        <x:v>m</x:v>
      </x:c>
      <x:c r="S1427" s="16"/>
      <x:c r="T1427" s="15"/>
      <x:c r="U1427" s="6"/>
      <x:c r="V1427" s="6"/>
      <x:c r="W1427" s="6" t="str">
        <x:v>Existing find_route and show_route implement the kit routing model.</x:v>
      </x:c>
      <x:c r="X1427" s="6" t="str">
        <x:v>data/dev/proc-campus-dev-013/questions_basic.jsonl</x:v>
      </x:c>
      <x:c r="Y1427" s="14" t="n">
        <x:v>7</x:v>
      </x:c>
      <x:c r="Z1427" s="6" t="str">
        <x:v>https://github.com/hagenhaeussler/Industrial-Agents-Hackathon-2026/blob/f41616590b69f3ea0c1cbfb41d6c35edd9ce53df/data/dev/proc-campus-dev-013/questions_basic.jsonl#L7</x:v>
      </x:c>
      <x:c r="AA1427" s="6" t="str">
        <x:v>procedural</x:v>
      </x:c>
      <x:c r="AB1427" s="6" t="str">
        <x:v>CC0-1.0</x:v>
      </x:c>
    </x:row>
    <x:row r="1428" ht="82" customHeight="1">
      <x:c r="A1428" s="14" t="n">
        <x:v>1423</x:v>
      </x:c>
      <x:c r="B1428" s="6" t="str">
        <x:v>route</x:v>
      </x:c>
      <x:c r="C1428" s="6" t="str">
        <x:v>How do I get from Office 0.30 (Ground floor) to Office 0.46 (Ground floor)?</x:v>
      </x:c>
      <x:c r="D1428" s="6" t="str">
        <x:v>54.86 m
From: Office 0.30
To: Office 0.46
Ordered path (3 spaces): Office 0.30 → Office corridor 0.16 → Office 0.46</x:v>
      </x:c>
      <x:c r="E1428" s="6" t="str">
        <x:v>Reference supplied</x:v>
      </x:c>
      <x:c r="F1428" s="6" t="str">
        <x:v>dev</x:v>
      </x:c>
      <x:c r="G1428" s="6" t="str">
        <x:v>proc-factory-dev-003</x:v>
      </x:c>
      <x:c r="H1428" s="6" t="str">
        <x:v>proc-factory-dev-003-Q05</x:v>
      </x:c>
      <x:c r="I1428" s="6" t="str">
        <x:v>Route planning</x:v>
      </x:c>
      <x:c r="J1428" s="6" t="str">
        <x:v>Warm-up</x:v>
      </x:c>
      <x:c r="K1428" s="6" t="str">
        <x:v>Ordered space path and directions, plus total route-model distance in metres.</x:v>
      </x:c>
      <x:c r="L1428" s="6" t="str">
        <x:v>T02, T05, T13</x:v>
      </x:c>
      <x:c r="M1428" s="6" t="str">
        <x:v>Find a valid route between two rooms, including across floors.</x:v>
      </x:c>
      <x:c r="N1428" s="6" t="str">
        <x:v>{"from_space_id":"proc-factory-dev-003-F0-S030","to_space_id":"proc-factory-dev-003-F0-S046","optimal_length_m":54.86,"space_path":["proc-factory-dev-003-F0-S030","proc-factory-dev-003-F0-S016","proc-factory-dev-003-F0-S046"],"element_path":["proc-factory-dev-003-F0-O0035","proc-factory-dev-003-F0-O0035","proc-factory-dev-003-F0-O0052","proc-factory-dev-003-F0-O0052"]}</x:v>
      </x:c>
      <x:c r="O1428" s="6"/>
      <x:c r="P1428" s="6" t="str">
        <x:v>README routing profile. Stairs and lifts allowed unless stated otherwise.</x:v>
      </x:c>
      <x:c r="Q1428" s="15" t="n">
        <x:v>54.86</x:v>
      </x:c>
      <x:c r="R1428" s="6" t="str">
        <x:v>m</x:v>
      </x:c>
      <x:c r="S1428" s="16"/>
      <x:c r="T1428" s="15"/>
      <x:c r="U1428" s="6"/>
      <x:c r="V1428" s="6"/>
      <x:c r="W1428" s="6" t="str">
        <x:v>Existing find_route and show_route implement the kit routing model.</x:v>
      </x:c>
      <x:c r="X1428" s="6" t="str">
        <x:v>data/dev/proc-factory-dev-003/questions_basic.jsonl</x:v>
      </x:c>
      <x:c r="Y1428" s="14" t="n">
        <x:v>5</x:v>
      </x:c>
      <x:c r="Z1428" s="6" t="str">
        <x:v>https://github.com/hagenhaeussler/Industrial-Agents-Hackathon-2026/blob/f41616590b69f3ea0c1cbfb41d6c35edd9ce53df/data/dev/proc-factory-dev-003/questions_basic.jsonl#L5</x:v>
      </x:c>
      <x:c r="AA1428" s="6" t="str">
        <x:v>procedural</x:v>
      </x:c>
      <x:c r="AB1428" s="6" t="str">
        <x:v>CC0-1.0</x:v>
      </x:c>
    </x:row>
    <x:row r="1429" ht="110" customHeight="1">
      <x:c r="A1429" s="14" t="n">
        <x:v>1424</x:v>
      </x:c>
      <x:c r="B1429" s="6" t="str">
        <x:v>route</x:v>
      </x:c>
      <x:c r="C1429" s="6" t="str">
        <x:v>How do I get from Office 0.23 (Ground floor) to Kitchen 1.08 (Floor 1)?</x:v>
      </x:c>
      <x:c r="D1429" s="6" t="str">
        <x:v>115.89 m
From: Office 0.23
To: Kitchen 1.08
Ordered path (6 spaces): Office 0.23 → Office corridor 0.16 → Staircase 0.17 → Staircase 1.02 → Office corridor 1.01 → Kitchen 1.08</x:v>
      </x:c>
      <x:c r="E1429" s="6" t="str">
        <x:v>Reference supplied</x:v>
      </x:c>
      <x:c r="F1429" s="6" t="str">
        <x:v>dev</x:v>
      </x:c>
      <x:c r="G1429" s="6" t="str">
        <x:v>proc-factory-dev-003</x:v>
      </x:c>
      <x:c r="H1429" s="6" t="str">
        <x:v>proc-factory-dev-003-Q06</x:v>
      </x:c>
      <x:c r="I1429" s="6" t="str">
        <x:v>Route planning</x:v>
      </x:c>
      <x:c r="J1429" s="6" t="str">
        <x:v>Warm-up</x:v>
      </x:c>
      <x:c r="K1429" s="6" t="str">
        <x:v>Ordered space path and directions, plus total route-model distance in metres.</x:v>
      </x:c>
      <x:c r="L1429" s="6" t="str">
        <x:v>T02, T05, T13</x:v>
      </x:c>
      <x:c r="M1429" s="6" t="str">
        <x:v>Find a valid route between two rooms, including across floors.</x:v>
      </x:c>
      <x:c r="N1429" s="6" t="str">
        <x:v>{"from_space_id":"proc-factory-dev-003-F0-S023","to_space_id":"proc-factory-dev-003-F1-S008","optimal_length_m":115.89,"space_path":["proc-factory-dev-003-F0-S023","proc-factory-dev-003-F0-S016","proc-factory-dev-003-F0-S017","proc-factory-dev-003-F1-S002","proc-factory-dev-003-F1-S001","proc-factory-dev-003-F1-S008"],"element_path":["proc-factory-dev-003-F0-O0028","proc-factory-dev-003-F0-O0028","proc-factory-dev-003-F0-O0021","proc-factory-dev-003-F0-O0021","proc-factory-dev-003-V01","proc-factory-dev-003-F1-O0055","proc-factory-dev-003-F1-O0055","proc-factory-dev-003-F1-O0061","proc-factory-dev-003-F1-O0061"]}</x:v>
      </x:c>
      <x:c r="O1429" s="6"/>
      <x:c r="P1429" s="6" t="str">
        <x:v>README routing profile. Stairs and lifts allowed unless stated otherwise.</x:v>
      </x:c>
      <x:c r="Q1429" s="15" t="n">
        <x:v>115.89</x:v>
      </x:c>
      <x:c r="R1429" s="6" t="str">
        <x:v>m</x:v>
      </x:c>
      <x:c r="S1429" s="16"/>
      <x:c r="T1429" s="15"/>
      <x:c r="U1429" s="6"/>
      <x:c r="V1429" s="6"/>
      <x:c r="W1429" s="6" t="str">
        <x:v>Existing find_route and show_route implement the kit routing model.</x:v>
      </x:c>
      <x:c r="X1429" s="6" t="str">
        <x:v>data/dev/proc-factory-dev-003/questions_basic.jsonl</x:v>
      </x:c>
      <x:c r="Y1429" s="14" t="n">
        <x:v>6</x:v>
      </x:c>
      <x:c r="Z1429" s="6" t="str">
        <x:v>https://github.com/hagenhaeussler/Industrial-Agents-Hackathon-2026/blob/f41616590b69f3ea0c1cbfb41d6c35edd9ce53df/data/dev/proc-factory-dev-003/questions_basic.jsonl#L6</x:v>
      </x:c>
      <x:c r="AA1429" s="6" t="str">
        <x:v>procedural</x:v>
      </x:c>
      <x:c r="AB1429" s="6" t="str">
        <x:v>CC0-1.0</x:v>
      </x:c>
    </x:row>
    <x:row r="1430" ht="82" customHeight="1">
      <x:c r="A1430" s="14" t="n">
        <x:v>1425</x:v>
      </x:c>
      <x:c r="B1430" s="6" t="str">
        <x:v>route</x:v>
      </x:c>
      <x:c r="C1430" s="6" t="str">
        <x:v>How do I get from Office 0.38 (Ground floor) to Office 0.47 (Ground floor)?</x:v>
      </x:c>
      <x:c r="D1430" s="6" t="str">
        <x:v>44.74 m
From: Office 0.38
To: Office 0.47
Ordered path (3 spaces): Office 0.38 → Office corridor 0.16 → Office 0.47</x:v>
      </x:c>
      <x:c r="E1430" s="6" t="str">
        <x:v>Reference supplied</x:v>
      </x:c>
      <x:c r="F1430" s="6" t="str">
        <x:v>dev</x:v>
      </x:c>
      <x:c r="G1430" s="6" t="str">
        <x:v>proc-factory-dev-003</x:v>
      </x:c>
      <x:c r="H1430" s="6" t="str">
        <x:v>proc-factory-dev-003-Q07</x:v>
      </x:c>
      <x:c r="I1430" s="6" t="str">
        <x:v>Route planning</x:v>
      </x:c>
      <x:c r="J1430" s="6" t="str">
        <x:v>Warm-up</x:v>
      </x:c>
      <x:c r="K1430" s="6" t="str">
        <x:v>Ordered space path and directions, plus total route-model distance in metres.</x:v>
      </x:c>
      <x:c r="L1430" s="6" t="str">
        <x:v>T02, T05, T13</x:v>
      </x:c>
      <x:c r="M1430" s="6" t="str">
        <x:v>Find a valid route between two rooms, including across floors.</x:v>
      </x:c>
      <x:c r="N1430" s="6" t="str">
        <x:v>{"from_space_id":"proc-factory-dev-003-F0-S038","to_space_id":"proc-factory-dev-003-F0-S047","optimal_length_m":44.74,"space_path":["proc-factory-dev-003-F0-S038","proc-factory-dev-003-F0-S016","proc-factory-dev-003-F0-S047"],"element_path":["proc-factory-dev-003-F0-O0044","proc-factory-dev-003-F0-O0044","proc-factory-dev-003-F0-O0053","proc-factory-dev-003-F0-O0053"]}</x:v>
      </x:c>
      <x:c r="O1430" s="6"/>
      <x:c r="P1430" s="6" t="str">
        <x:v>README routing profile. Stairs and lifts allowed unless stated otherwise.</x:v>
      </x:c>
      <x:c r="Q1430" s="15" t="n">
        <x:v>44.74</x:v>
      </x:c>
      <x:c r="R1430" s="6" t="str">
        <x:v>m</x:v>
      </x:c>
      <x:c r="S1430" s="16"/>
      <x:c r="T1430" s="15"/>
      <x:c r="U1430" s="6"/>
      <x:c r="V1430" s="6"/>
      <x:c r="W1430" s="6" t="str">
        <x:v>Existing find_route and show_route implement the kit routing model.</x:v>
      </x:c>
      <x:c r="X1430" s="6" t="str">
        <x:v>data/dev/proc-factory-dev-003/questions_basic.jsonl</x:v>
      </x:c>
      <x:c r="Y1430" s="14" t="n">
        <x:v>7</x:v>
      </x:c>
      <x:c r="Z1430" s="6" t="str">
        <x:v>https://github.com/hagenhaeussler/Industrial-Agents-Hackathon-2026/blob/f41616590b69f3ea0c1cbfb41d6c35edd9ce53df/data/dev/proc-factory-dev-003/questions_basic.jsonl#L7</x:v>
      </x:c>
      <x:c r="AA1430" s="6" t="str">
        <x:v>procedural</x:v>
      </x:c>
      <x:c r="AB1430" s="6" t="str">
        <x:v>CC0-1.0</x:v>
      </x:c>
    </x:row>
    <x:row r="1431" ht="110" customHeight="1">
      <x:c r="A1431" s="14" t="n">
        <x:v>1426</x:v>
      </x:c>
      <x:c r="B1431" s="6" t="str">
        <x:v>route</x:v>
      </x:c>
      <x:c r="C1431" s="6" t="str">
        <x:v>How do I get from Kitchen 1.12 (Floor 1) to Office 0.31 (Ground floor)?</x:v>
      </x:c>
      <x:c r="D1431" s="6" t="str">
        <x:v>95.9 m
From: Kitchen 1.12
To: Office 0.31
Ordered path (6 spaces): Kitchen 1.12 → Office corridor 1.01 → Staircase 1.02 → Staircase 0.14 → Office corridor 0.13 → Office 0.31</x:v>
      </x:c>
      <x:c r="E1431" s="6" t="str">
        <x:v>Reference supplied</x:v>
      </x:c>
      <x:c r="F1431" s="6" t="str">
        <x:v>dev</x:v>
      </x:c>
      <x:c r="G1431" s="6" t="str">
        <x:v>proc-factory-dev-004</x:v>
      </x:c>
      <x:c r="H1431" s="6" t="str">
        <x:v>proc-factory-dev-004-Q05</x:v>
      </x:c>
      <x:c r="I1431" s="6" t="str">
        <x:v>Route planning</x:v>
      </x:c>
      <x:c r="J1431" s="6" t="str">
        <x:v>Warm-up</x:v>
      </x:c>
      <x:c r="K1431" s="6" t="str">
        <x:v>Ordered space path and directions, plus total route-model distance in metres.</x:v>
      </x:c>
      <x:c r="L1431" s="6" t="str">
        <x:v>T02, T05, T13</x:v>
      </x:c>
      <x:c r="M1431" s="6" t="str">
        <x:v>Find a valid route between two rooms, including across floors.</x:v>
      </x:c>
      <x:c r="N1431" s="6" t="str">
        <x:v>{"from_space_id":"proc-factory-dev-004-F1-S012","to_space_id":"proc-factory-dev-004-F0-S031","optimal_length_m":95.9,"space_path":["proc-factory-dev-004-F1-S012","proc-factory-dev-004-F1-S001","proc-factory-dev-004-F1-S002","proc-factory-dev-004-F0-S014","proc-factory-dev-004-F0-S013","proc-factory-dev-004-F0-S031"],"element_path":["proc-factory-dev-004-F1-O0050","proc-factory-dev-004-F1-O0050","proc-factory-dev-004-F1-O0040","proc-factory-dev-004-F1-O0040","proc-factory-dev-004-V01","proc-factory-dev-004-F0-O0019","proc-factory-dev-004-F0-O0019","proc-factory-dev-004-F0-O0038","proc-factory-dev-004-F0-O0038"]}</x:v>
      </x:c>
      <x:c r="O1431" s="6"/>
      <x:c r="P1431" s="6" t="str">
        <x:v>README routing profile. Stairs and lifts allowed unless stated otherwise.</x:v>
      </x:c>
      <x:c r="Q1431" s="15" t="n">
        <x:v>95.9</x:v>
      </x:c>
      <x:c r="R1431" s="6" t="str">
        <x:v>m</x:v>
      </x:c>
      <x:c r="S1431" s="16"/>
      <x:c r="T1431" s="15"/>
      <x:c r="U1431" s="6"/>
      <x:c r="V1431" s="6"/>
      <x:c r="W1431" s="6" t="str">
        <x:v>Existing find_route and show_route implement the kit routing model.</x:v>
      </x:c>
      <x:c r="X1431" s="6" t="str">
        <x:v>data/dev/proc-factory-dev-004/questions_basic.jsonl</x:v>
      </x:c>
      <x:c r="Y1431" s="14" t="n">
        <x:v>5</x:v>
      </x:c>
      <x:c r="Z1431" s="6" t="str">
        <x:v>https://github.com/hagenhaeussler/Industrial-Agents-Hackathon-2026/blob/f41616590b69f3ea0c1cbfb41d6c35edd9ce53df/data/dev/proc-factory-dev-004/questions_basic.jsonl#L5</x:v>
      </x:c>
      <x:c r="AA1431" s="6" t="str">
        <x:v>procedural</x:v>
      </x:c>
      <x:c r="AB1431" s="6" t="str">
        <x:v>CC0-1.0</x:v>
      </x:c>
    </x:row>
    <x:row r="1432" ht="110" customHeight="1">
      <x:c r="A1432" s="14" t="n">
        <x:v>1427</x:v>
      </x:c>
      <x:c r="B1432" s="6" t="str">
        <x:v>route</x:v>
      </x:c>
      <x:c r="C1432" s="6" t="str">
        <x:v>How do I get from Office 1.07 (Floor 1) to Meeting room 0.18 (Ground floor)?</x:v>
      </x:c>
      <x:c r="D1432" s="6" t="str">
        <x:v>70.22 m
From: Office 1.07
To: Meeting room 0.18
Ordered path (6 spaces): Office 1.07 → Office corridor 1.01 → Staircase 1.02 → Staircase 0.14 → Office corridor 0.13 → Meeting room 0.18</x:v>
      </x:c>
      <x:c r="E1432" s="6" t="str">
        <x:v>Reference supplied</x:v>
      </x:c>
      <x:c r="F1432" s="6" t="str">
        <x:v>dev</x:v>
      </x:c>
      <x:c r="G1432" s="6" t="str">
        <x:v>proc-factory-dev-004</x:v>
      </x:c>
      <x:c r="H1432" s="6" t="str">
        <x:v>proc-factory-dev-004-Q06</x:v>
      </x:c>
      <x:c r="I1432" s="6" t="str">
        <x:v>Route planning</x:v>
      </x:c>
      <x:c r="J1432" s="6" t="str">
        <x:v>Warm-up</x:v>
      </x:c>
      <x:c r="K1432" s="6" t="str">
        <x:v>Ordered space path and directions, plus total route-model distance in metres.</x:v>
      </x:c>
      <x:c r="L1432" s="6" t="str">
        <x:v>T02, T05, T13</x:v>
      </x:c>
      <x:c r="M1432" s="6" t="str">
        <x:v>Find a valid route between two rooms, including across floors.</x:v>
      </x:c>
      <x:c r="N1432" s="6" t="str">
        <x:v>{"from_space_id":"proc-factory-dev-004-F1-S007","to_space_id":"proc-factory-dev-004-F0-S018","optimal_length_m":70.22,"space_path":["proc-factory-dev-004-F1-S007","proc-factory-dev-004-F1-S001","proc-factory-dev-004-F1-S002","proc-factory-dev-004-F0-S014","proc-factory-dev-004-F0-S013","proc-factory-dev-004-F0-S018"],"element_path":["proc-factory-dev-004-F1-O0045","proc-factory-dev-004-F1-O0045","proc-factory-dev-004-F1-O0040","proc-factory-dev-004-F1-O0040","proc-factory-dev-004-V01","proc-factory-dev-004-F0-O0019","proc-factory-dev-004-F0-O0019","proc-factory-dev-004-F0-O0024","proc-factory-dev-004-F0-O0024"]}</x:v>
      </x:c>
      <x:c r="O1432" s="6"/>
      <x:c r="P1432" s="6" t="str">
        <x:v>README routing profile. Stairs and lifts allowed unless stated otherwise.</x:v>
      </x:c>
      <x:c r="Q1432" s="15" t="n">
        <x:v>70.22</x:v>
      </x:c>
      <x:c r="R1432" s="6" t="str">
        <x:v>m</x:v>
      </x:c>
      <x:c r="S1432" s="16"/>
      <x:c r="T1432" s="15"/>
      <x:c r="U1432" s="6"/>
      <x:c r="V1432" s="6"/>
      <x:c r="W1432" s="6" t="str">
        <x:v>Existing find_route and show_route implement the kit routing model.</x:v>
      </x:c>
      <x:c r="X1432" s="6" t="str">
        <x:v>data/dev/proc-factory-dev-004/questions_basic.jsonl</x:v>
      </x:c>
      <x:c r="Y1432" s="14" t="n">
        <x:v>6</x:v>
      </x:c>
      <x:c r="Z1432" s="6" t="str">
        <x:v>https://github.com/hagenhaeussler/Industrial-Agents-Hackathon-2026/blob/f41616590b69f3ea0c1cbfb41d6c35edd9ce53df/data/dev/proc-factory-dev-004/questions_basic.jsonl#L6</x:v>
      </x:c>
      <x:c r="AA1432" s="6" t="str">
        <x:v>procedural</x:v>
      </x:c>
      <x:c r="AB1432" s="6" t="str">
        <x:v>CC0-1.0</x:v>
      </x:c>
    </x:row>
    <x:row r="1433" ht="110" customHeight="1">
      <x:c r="A1433" s="14" t="n">
        <x:v>1428</x:v>
      </x:c>
      <x:c r="B1433" s="6" t="str">
        <x:v>route</x:v>
      </x:c>
      <x:c r="C1433" s="6" t="str">
        <x:v>How do I get from Meeting room 0.21 (Ground floor) to Kitchen 1.10 (Floor 1)?</x:v>
      </x:c>
      <x:c r="D1433" s="6" t="str">
        <x:v>75.43 m
From: Meeting room 0.21
To: Kitchen 1.10
Ordered path (6 spaces): Meeting room 0.21 → Office corridor 0.13 → Staircase 0.14 → Staircase 1.02 → Office corridor 1.01 → Kitchen 1.10</x:v>
      </x:c>
      <x:c r="E1433" s="6" t="str">
        <x:v>Reference supplied</x:v>
      </x:c>
      <x:c r="F1433" s="6" t="str">
        <x:v>dev</x:v>
      </x:c>
      <x:c r="G1433" s="6" t="str">
        <x:v>proc-factory-dev-004</x:v>
      </x:c>
      <x:c r="H1433" s="6" t="str">
        <x:v>proc-factory-dev-004-Q07</x:v>
      </x:c>
      <x:c r="I1433" s="6" t="str">
        <x:v>Route planning</x:v>
      </x:c>
      <x:c r="J1433" s="6" t="str">
        <x:v>Warm-up</x:v>
      </x:c>
      <x:c r="K1433" s="6" t="str">
        <x:v>Ordered space path and directions, plus total route-model distance in metres.</x:v>
      </x:c>
      <x:c r="L1433" s="6" t="str">
        <x:v>T02, T05, T13</x:v>
      </x:c>
      <x:c r="M1433" s="6" t="str">
        <x:v>Find a valid route between two rooms, including across floors.</x:v>
      </x:c>
      <x:c r="N1433" s="6" t="str">
        <x:v>{"from_space_id":"proc-factory-dev-004-F0-S021","to_space_id":"proc-factory-dev-004-F1-S010","optimal_length_m":75.43,"space_path":["proc-factory-dev-004-F0-S021","proc-factory-dev-004-F0-S013","proc-factory-dev-004-F0-S014","proc-factory-dev-004-F1-S002","proc-factory-dev-004-F1-S001","proc-factory-dev-004-F1-S010"],"element_path":["proc-factory-dev-004-F0-O0027","proc-factory-dev-004-F0-O0027","proc-factory-dev-004-F0-O0019","proc-factory-dev-004-F0-O0019","proc-factory-dev-004-V01","proc-factory-dev-004-F1-O0040","proc-factory-dev-004-F1-O0040","proc-factory-dev-004-F1-O0048","proc-factory-dev-004-F1-O0048"]}</x:v>
      </x:c>
      <x:c r="O1433" s="6"/>
      <x:c r="P1433" s="6" t="str">
        <x:v>README routing profile. Stairs and lifts allowed unless stated otherwise.</x:v>
      </x:c>
      <x:c r="Q1433" s="15" t="n">
        <x:v>75.43</x:v>
      </x:c>
      <x:c r="R1433" s="6" t="str">
        <x:v>m</x:v>
      </x:c>
      <x:c r="S1433" s="16"/>
      <x:c r="T1433" s="15"/>
      <x:c r="U1433" s="6"/>
      <x:c r="V1433" s="6"/>
      <x:c r="W1433" s="6" t="str">
        <x:v>Existing find_route and show_route implement the kit routing model.</x:v>
      </x:c>
      <x:c r="X1433" s="6" t="str">
        <x:v>data/dev/proc-factory-dev-004/questions_basic.jsonl</x:v>
      </x:c>
      <x:c r="Y1433" s="14" t="n">
        <x:v>7</x:v>
      </x:c>
      <x:c r="Z1433" s="6" t="str">
        <x:v>https://github.com/hagenhaeussler/Industrial-Agents-Hackathon-2026/blob/f41616590b69f3ea0c1cbfb41d6c35edd9ce53df/data/dev/proc-factory-dev-004/questions_basic.jsonl#L7</x:v>
      </x:c>
      <x:c r="AA1433" s="6" t="str">
        <x:v>procedural</x:v>
      </x:c>
      <x:c r="AB1433" s="6" t="str">
        <x:v>CC0-1.0</x:v>
      </x:c>
    </x:row>
    <x:row r="1434" ht="124" customHeight="1">
      <x:c r="A1434" s="14" t="n">
        <x:v>1429</x:v>
      </x:c>
      <x:c r="B1434" s="6" t="str">
        <x:v>route</x:v>
      </x:c>
      <x:c r="C1434" s="6" t="str">
        <x:v>How do I get from Office 2.31 (Floor 2) to Office 0.48 (Ground floor)?</x:v>
      </x:c>
      <x:c r="D1434" s="6" t="str">
        <x:v>124.59 m
From: Office 2.31
To: Office 0.48
Ordered path (7 spaces): Office 2.31 → Office corridor 2.01 → Staircase 2.02 → Staircase 1.02 → Staircase 0.20 → Office corridor 0.19 → Office 0.48</x:v>
      </x:c>
      <x:c r="E1434" s="6" t="str">
        <x:v>Reference supplied</x:v>
      </x:c>
      <x:c r="F1434" s="6" t="str">
        <x:v>dev</x:v>
      </x:c>
      <x:c r="G1434" s="6" t="str">
        <x:v>proc-factory-dev-005</x:v>
      </x:c>
      <x:c r="H1434" s="6" t="str">
        <x:v>proc-factory-dev-005-Q05</x:v>
      </x:c>
      <x:c r="I1434" s="6" t="str">
        <x:v>Route planning</x:v>
      </x:c>
      <x:c r="J1434" s="6" t="str">
        <x:v>Warm-up</x:v>
      </x:c>
      <x:c r="K1434" s="6" t="str">
        <x:v>Ordered space path and directions, plus total route-model distance in metres.</x:v>
      </x:c>
      <x:c r="L1434" s="6" t="str">
        <x:v>T02, T05, T13</x:v>
      </x:c>
      <x:c r="M1434" s="6" t="str">
        <x:v>Find a valid route between two rooms, including across floors.</x:v>
      </x:c>
      <x:c r="N1434" s="6" t="str">
        <x:v>{"from_space_id":"proc-factory-dev-005-F2-S031","to_space_id":"proc-factory-dev-005-F0-S048","optimal_length_m":124.59,"space_path":["proc-factory-dev-005-F2-S031","proc-factory-dev-005-F2-S001","proc-factory-dev-005-F2-S002","proc-factory-dev-005-F1-S002","proc-factory-dev-005-F0-S020","proc-factory-dev-005-F0-S019","proc-factory-dev-005-F0-S048"],"element_path":["proc-factory-dev-005-F2-O0130","proc-factory-dev-005-F2-O0130","proc-factory-dev-005-F2-O0101","proc-factory-dev-005-F2-O0101","proc-factory-dev-005-V01","proc-factory-dev-005-V01","proc-factory-dev-005-F0-O0024","proc-factory-dev-005-F0-O0024","proc-factory-dev-005-F0-O0054","proc-factory-dev-005-F0-O0054"]}</x:v>
      </x:c>
      <x:c r="O1434" s="6"/>
      <x:c r="P1434" s="6" t="str">
        <x:v>README routing profile. Stairs and lifts allowed unless stated otherwise.</x:v>
      </x:c>
      <x:c r="Q1434" s="15" t="n">
        <x:v>124.59</x:v>
      </x:c>
      <x:c r="R1434" s="6" t="str">
        <x:v>m</x:v>
      </x:c>
      <x:c r="S1434" s="16"/>
      <x:c r="T1434" s="15"/>
      <x:c r="U1434" s="6"/>
      <x:c r="V1434" s="6"/>
      <x:c r="W1434" s="6" t="str">
        <x:v>Existing find_route and show_route implement the kit routing model.</x:v>
      </x:c>
      <x:c r="X1434" s="6" t="str">
        <x:v>data/dev/proc-factory-dev-005/questions_basic.jsonl</x:v>
      </x:c>
      <x:c r="Y1434" s="14" t="n">
        <x:v>5</x:v>
      </x:c>
      <x:c r="Z1434" s="6" t="str">
        <x:v>https://github.com/hagenhaeussler/Industrial-Agents-Hackathon-2026/blob/f41616590b69f3ea0c1cbfb41d6c35edd9ce53df/data/dev/proc-factory-dev-005/questions_basic.jsonl#L5</x:v>
      </x:c>
      <x:c r="AA1434" s="6" t="str">
        <x:v>procedural</x:v>
      </x:c>
      <x:c r="AB1434" s="6" t="str">
        <x:v>CC0-1.0</x:v>
      </x:c>
    </x:row>
    <x:row r="1435" ht="110" customHeight="1">
      <x:c r="A1435" s="14" t="n">
        <x:v>1430</x:v>
      </x:c>
      <x:c r="B1435" s="6" t="str">
        <x:v>route</x:v>
      </x:c>
      <x:c r="C1435" s="6" t="str">
        <x:v>How do I get from Toilet 2.07 (Floor 2) to Meeting room 1.18 (Floor 1)?</x:v>
      </x:c>
      <x:c r="D1435" s="6" t="str">
        <x:v>152.43 m
From: Toilet 2.07
To: Meeting room 1.18
Ordered path (6 spaces): Toilet 2.07 → Office corridor 2.01 → Staircase 2.02 → Staircase 1.02 → Office corridor 1.01 → Meeting room 1.18</x:v>
      </x:c>
      <x:c r="E1435" s="6" t="str">
        <x:v>Reference supplied</x:v>
      </x:c>
      <x:c r="F1435" s="6" t="str">
        <x:v>dev</x:v>
      </x:c>
      <x:c r="G1435" s="6" t="str">
        <x:v>proc-factory-dev-005</x:v>
      </x:c>
      <x:c r="H1435" s="6" t="str">
        <x:v>proc-factory-dev-005-Q06</x:v>
      </x:c>
      <x:c r="I1435" s="6" t="str">
        <x:v>Route planning</x:v>
      </x:c>
      <x:c r="J1435" s="6" t="str">
        <x:v>Warm-up</x:v>
      </x:c>
      <x:c r="K1435" s="6" t="str">
        <x:v>Ordered space path and directions, plus total route-model distance in metres.</x:v>
      </x:c>
      <x:c r="L1435" s="6" t="str">
        <x:v>T02, T05, T13</x:v>
      </x:c>
      <x:c r="M1435" s="6" t="str">
        <x:v>Find a valid route between two rooms, including across floors.</x:v>
      </x:c>
      <x:c r="N1435" s="6" t="str">
        <x:v>{"from_space_id":"proc-factory-dev-005-F2-S007","to_space_id":"proc-factory-dev-005-F1-S018","optimal_length_m":152.43,"space_path":["proc-factory-dev-005-F2-S007","proc-factory-dev-005-F2-S001","proc-factory-dev-005-F2-S002","proc-factory-dev-005-F1-S002","proc-factory-dev-005-F1-S001","proc-factory-dev-005-F1-S018"],"element_path":["proc-factory-dev-005-F2-O0106","proc-factory-dev-005-F2-O0106","proc-factory-dev-005-F2-O0101","proc-factory-dev-005-F2-O0101","proc-factory-dev-005-V01","proc-factory-dev-005-F1-O0064","proc-factory-dev-005-F1-O0064","proc-factory-dev-005-F1-O0080","proc-factory-dev-005-F1-O0080"]}</x:v>
      </x:c>
      <x:c r="O1435" s="6"/>
      <x:c r="P1435" s="6" t="str">
        <x:v>README routing profile. Stairs and lifts allowed unless stated otherwise.</x:v>
      </x:c>
      <x:c r="Q1435" s="15" t="n">
        <x:v>152.43</x:v>
      </x:c>
      <x:c r="R1435" s="6" t="str">
        <x:v>m</x:v>
      </x:c>
      <x:c r="S1435" s="16"/>
      <x:c r="T1435" s="15"/>
      <x:c r="U1435" s="6"/>
      <x:c r="V1435" s="6"/>
      <x:c r="W1435" s="6" t="str">
        <x:v>Existing find_route and show_route implement the kit routing model.</x:v>
      </x:c>
      <x:c r="X1435" s="6" t="str">
        <x:v>data/dev/proc-factory-dev-005/questions_basic.jsonl</x:v>
      </x:c>
      <x:c r="Y1435" s="14" t="n">
        <x:v>6</x:v>
      </x:c>
      <x:c r="Z1435" s="6" t="str">
        <x:v>https://github.com/hagenhaeussler/Industrial-Agents-Hackathon-2026/blob/f41616590b69f3ea0c1cbfb41d6c35edd9ce53df/data/dev/proc-factory-dev-005/questions_basic.jsonl#L6</x:v>
      </x:c>
      <x:c r="AA1435" s="6" t="str">
        <x:v>procedural</x:v>
      </x:c>
      <x:c r="AB1435" s="6" t="str">
        <x:v>CC0-1.0</x:v>
      </x:c>
    </x:row>
    <x:row r="1436" ht="110" customHeight="1">
      <x:c r="A1436" s="14" t="n">
        <x:v>1431</x:v>
      </x:c>
      <x:c r="B1436" s="6" t="str">
        <x:v>route</x:v>
      </x:c>
      <x:c r="C1436" s="6" t="str">
        <x:v>How do I get from Kitchen 2.06 (Floor 2) to Office 1.38 (Floor 1)?</x:v>
      </x:c>
      <x:c r="D1436" s="6" t="str">
        <x:v>177.02 m
From: Kitchen 2.06
To: Office 1.38
Ordered path (6 spaces): Kitchen 2.06 → Office corridor 2.01 → Staircase 2.02 → Staircase 1.02 → Office corridor 1.01 → Office 1.38</x:v>
      </x:c>
      <x:c r="E1436" s="6" t="str">
        <x:v>Reference supplied</x:v>
      </x:c>
      <x:c r="F1436" s="6" t="str">
        <x:v>dev</x:v>
      </x:c>
      <x:c r="G1436" s="6" t="str">
        <x:v>proc-factory-dev-005</x:v>
      </x:c>
      <x:c r="H1436" s="6" t="str">
        <x:v>proc-factory-dev-005-Q07</x:v>
      </x:c>
      <x:c r="I1436" s="6" t="str">
        <x:v>Route planning</x:v>
      </x:c>
      <x:c r="J1436" s="6" t="str">
        <x:v>Warm-up</x:v>
      </x:c>
      <x:c r="K1436" s="6" t="str">
        <x:v>Ordered space path and directions, plus total route-model distance in metres.</x:v>
      </x:c>
      <x:c r="L1436" s="6" t="str">
        <x:v>T02, T05, T13</x:v>
      </x:c>
      <x:c r="M1436" s="6" t="str">
        <x:v>Find a valid route between two rooms, including across floors.</x:v>
      </x:c>
      <x:c r="N1436" s="6" t="str">
        <x:v>{"from_space_id":"proc-factory-dev-005-F2-S006","to_space_id":"proc-factory-dev-005-F1-S038","optimal_length_m":177.02,"space_path":["proc-factory-dev-005-F2-S006","proc-factory-dev-005-F2-S001","proc-factory-dev-005-F2-S002","proc-factory-dev-005-F1-S002","proc-factory-dev-005-F1-S001","proc-factory-dev-005-F1-S038"],"element_path":["proc-factory-dev-005-F2-O0105","proc-factory-dev-005-F2-O0105","proc-factory-dev-005-F2-O0101","proc-factory-dev-005-F2-O0101","proc-factory-dev-005-V01","proc-factory-dev-005-F1-O0064","proc-factory-dev-005-F1-O0064","proc-factory-dev-005-F1-O0100","proc-factory-dev-005-F1-O0100"]}</x:v>
      </x:c>
      <x:c r="O1436" s="6"/>
      <x:c r="P1436" s="6" t="str">
        <x:v>README routing profile. Stairs and lifts allowed unless stated otherwise.</x:v>
      </x:c>
      <x:c r="Q1436" s="15" t="n">
        <x:v>177.02</x:v>
      </x:c>
      <x:c r="R1436" s="6" t="str">
        <x:v>m</x:v>
      </x:c>
      <x:c r="S1436" s="16"/>
      <x:c r="T1436" s="15"/>
      <x:c r="U1436" s="6"/>
      <x:c r="V1436" s="6"/>
      <x:c r="W1436" s="6" t="str">
        <x:v>Existing find_route and show_route implement the kit routing model.</x:v>
      </x:c>
      <x:c r="X1436" s="6" t="str">
        <x:v>data/dev/proc-factory-dev-005/questions_basic.jsonl</x:v>
      </x:c>
      <x:c r="Y1436" s="14" t="n">
        <x:v>7</x:v>
      </x:c>
      <x:c r="Z1436" s="6" t="str">
        <x:v>https://github.com/hagenhaeussler/Industrial-Agents-Hackathon-2026/blob/f41616590b69f3ea0c1cbfb41d6c35edd9ce53df/data/dev/proc-factory-dev-005/questions_basic.jsonl#L7</x:v>
      </x:c>
      <x:c r="AA1436" s="6" t="str">
        <x:v>procedural</x:v>
      </x:c>
      <x:c r="AB1436" s="6" t="str">
        <x:v>CC0-1.0</x:v>
      </x:c>
    </x:row>
    <x:row r="1437" ht="110" customHeight="1">
      <x:c r="A1437" s="14" t="n">
        <x:v>1432</x:v>
      </x:c>
      <x:c r="B1437" s="6" t="str">
        <x:v>route</x:v>
      </x:c>
      <x:c r="C1437" s="6" t="str">
        <x:v>How do I get from Kitchen 1.17 (Floor 1) to Server room 0.14 (Ground floor)?</x:v>
      </x:c>
      <x:c r="D1437" s="6" t="str">
        <x:v>75.77 m
From: Kitchen 1.17
To: Server room 0.14
Ordered path (6 spaces): Kitchen 1.17 → Office corridor 1.01 → Staircase 1.02 → Staircase 0.11 → Office corridor 0.10 → Server room 0.14</x:v>
      </x:c>
      <x:c r="E1437" s="6" t="str">
        <x:v>Reference supplied</x:v>
      </x:c>
      <x:c r="F1437" s="6" t="str">
        <x:v>dev</x:v>
      </x:c>
      <x:c r="G1437" s="6" t="str">
        <x:v>proc-factory-dev-007</x:v>
      </x:c>
      <x:c r="H1437" s="6" t="str">
        <x:v>proc-factory-dev-007-Q05</x:v>
      </x:c>
      <x:c r="I1437" s="6" t="str">
        <x:v>Route planning</x:v>
      </x:c>
      <x:c r="J1437" s="6" t="str">
        <x:v>Warm-up</x:v>
      </x:c>
      <x:c r="K1437" s="6" t="str">
        <x:v>Ordered space path and directions, plus total route-model distance in metres.</x:v>
      </x:c>
      <x:c r="L1437" s="6" t="str">
        <x:v>T02, T05, T13</x:v>
      </x:c>
      <x:c r="M1437" s="6" t="str">
        <x:v>Find a valid route between two rooms, including across floors.</x:v>
      </x:c>
      <x:c r="N1437" s="6" t="str">
        <x:v>{"from_space_id":"proc-factory-dev-007-F1-S017","to_space_id":"proc-factory-dev-007-F0-S014","optimal_length_m":75.77,"space_path":["proc-factory-dev-007-F1-S017","proc-factory-dev-007-F1-S001","proc-factory-dev-007-F1-S002","proc-factory-dev-007-F0-S011","proc-factory-dev-007-F0-S010","proc-factory-dev-007-F0-S014"],"element_path":["proc-factory-dev-007-F1-O0048","proc-factory-dev-007-F1-O0048","proc-factory-dev-007-F1-O0033","proc-factory-dev-007-F1-O0033","proc-factory-dev-007-V01","proc-factory-dev-007-F0-O0013","proc-factory-dev-007-F0-O0013","proc-factory-dev-007-F0-O0017","proc-factory-dev-007-F0-O0017"]}</x:v>
      </x:c>
      <x:c r="O1437" s="6"/>
      <x:c r="P1437" s="6" t="str">
        <x:v>README routing profile. Stairs and lifts allowed unless stated otherwise.</x:v>
      </x:c>
      <x:c r="Q1437" s="15" t="n">
        <x:v>75.77</x:v>
      </x:c>
      <x:c r="R1437" s="6" t="str">
        <x:v>m</x:v>
      </x:c>
      <x:c r="S1437" s="16"/>
      <x:c r="T1437" s="15"/>
      <x:c r="U1437" s="6"/>
      <x:c r="V1437" s="6"/>
      <x:c r="W1437" s="6" t="str">
        <x:v>Existing find_route and show_route implement the kit routing model.</x:v>
      </x:c>
      <x:c r="X1437" s="6" t="str">
        <x:v>data/dev/proc-factory-dev-007/questions_basic.jsonl</x:v>
      </x:c>
      <x:c r="Y1437" s="14" t="n">
        <x:v>5</x:v>
      </x:c>
      <x:c r="Z1437" s="6" t="str">
        <x:v>https://github.com/hagenhaeussler/Industrial-Agents-Hackathon-2026/blob/f41616590b69f3ea0c1cbfb41d6c35edd9ce53df/data/dev/proc-factory-dev-007/questions_basic.jsonl#L5</x:v>
      </x:c>
      <x:c r="AA1437" s="6" t="str">
        <x:v>procedural</x:v>
      </x:c>
      <x:c r="AB1437" s="6" t="str">
        <x:v>CC0-1.0</x:v>
      </x:c>
    </x:row>
    <x:row r="1438" ht="110" customHeight="1">
      <x:c r="A1438" s="14" t="n">
        <x:v>1433</x:v>
      </x:c>
      <x:c r="B1438" s="6" t="str">
        <x:v>route</x:v>
      </x:c>
      <x:c r="C1438" s="6" t="str">
        <x:v>How do I get from Toilet 0.22 (Ground floor) to Office 1.09 (Floor 1)?</x:v>
      </x:c>
      <x:c r="D1438" s="6" t="str">
        <x:v>67.38 m
From: Toilet 0.22
To: Office 1.09
Ordered path (6 spaces): Toilet 0.22 → Office corridor 0.10 → Staircase 0.11 → Staircase 1.02 → Office corridor 1.01 → Office 1.09</x:v>
      </x:c>
      <x:c r="E1438" s="6" t="str">
        <x:v>Reference supplied</x:v>
      </x:c>
      <x:c r="F1438" s="6" t="str">
        <x:v>dev</x:v>
      </x:c>
      <x:c r="G1438" s="6" t="str">
        <x:v>proc-factory-dev-007</x:v>
      </x:c>
      <x:c r="H1438" s="6" t="str">
        <x:v>proc-factory-dev-007-Q06</x:v>
      </x:c>
      <x:c r="I1438" s="6" t="str">
        <x:v>Route planning</x:v>
      </x:c>
      <x:c r="J1438" s="6" t="str">
        <x:v>Warm-up</x:v>
      </x:c>
      <x:c r="K1438" s="6" t="str">
        <x:v>Ordered space path and directions, plus total route-model distance in metres.</x:v>
      </x:c>
      <x:c r="L1438" s="6" t="str">
        <x:v>T02, T05, T13</x:v>
      </x:c>
      <x:c r="M1438" s="6" t="str">
        <x:v>Find a valid route between two rooms, including across floors.</x:v>
      </x:c>
      <x:c r="N1438" s="6" t="str">
        <x:v>{"from_space_id":"proc-factory-dev-007-F0-S022","to_space_id":"proc-factory-dev-007-F1-S009","optimal_length_m":67.38,"space_path":["proc-factory-dev-007-F0-S022","proc-factory-dev-007-F0-S010","proc-factory-dev-007-F0-S011","proc-factory-dev-007-F1-S002","proc-factory-dev-007-F1-S001","proc-factory-dev-007-F1-S009"],"element_path":["proc-factory-dev-007-F0-O0026","proc-factory-dev-007-F0-O0026","proc-factory-dev-007-F0-O0013","proc-factory-dev-007-F0-O0013","proc-factory-dev-007-V01","proc-factory-dev-007-F1-O0033","proc-factory-dev-007-F1-O0033","proc-factory-dev-007-F1-O0040","proc-factory-dev-007-F1-O0040"]}</x:v>
      </x:c>
      <x:c r="O1438" s="6"/>
      <x:c r="P1438" s="6" t="str">
        <x:v>README routing profile. Stairs and lifts allowed unless stated otherwise.</x:v>
      </x:c>
      <x:c r="Q1438" s="15" t="n">
        <x:v>67.38</x:v>
      </x:c>
      <x:c r="R1438" s="6" t="str">
        <x:v>m</x:v>
      </x:c>
      <x:c r="S1438" s="16"/>
      <x:c r="T1438" s="15"/>
      <x:c r="U1438" s="6"/>
      <x:c r="V1438" s="6"/>
      <x:c r="W1438" s="6" t="str">
        <x:v>Existing find_route and show_route implement the kit routing model.</x:v>
      </x:c>
      <x:c r="X1438" s="6" t="str">
        <x:v>data/dev/proc-factory-dev-007/questions_basic.jsonl</x:v>
      </x:c>
      <x:c r="Y1438" s="14" t="n">
        <x:v>6</x:v>
      </x:c>
      <x:c r="Z1438" s="6" t="str">
        <x:v>https://github.com/hagenhaeussler/Industrial-Agents-Hackathon-2026/blob/f41616590b69f3ea0c1cbfb41d6c35edd9ce53df/data/dev/proc-factory-dev-007/questions_basic.jsonl#L6</x:v>
      </x:c>
      <x:c r="AA1438" s="6" t="str">
        <x:v>procedural</x:v>
      </x:c>
      <x:c r="AB1438" s="6" t="str">
        <x:v>CC0-1.0</x:v>
      </x:c>
    </x:row>
    <x:row r="1439" ht="110" customHeight="1">
      <x:c r="A1439" s="14" t="n">
        <x:v>1434</x:v>
      </x:c>
      <x:c r="B1439" s="6" t="str">
        <x:v>route</x:v>
      </x:c>
      <x:c r="C1439" s="6" t="str">
        <x:v>How do I get from Office 0.16 (Ground floor) to Office 1.05 (Floor 1)?</x:v>
      </x:c>
      <x:c r="D1439" s="6" t="str">
        <x:v>66.85 m
From: Office 0.16
To: Office 1.05
Ordered path (6 spaces): Office 0.16 → Office corridor 0.10 → Staircase 0.11 → Staircase 1.02 → Office corridor 1.01 → Office 1.05</x:v>
      </x:c>
      <x:c r="E1439" s="6" t="str">
        <x:v>Reference supplied</x:v>
      </x:c>
      <x:c r="F1439" s="6" t="str">
        <x:v>dev</x:v>
      </x:c>
      <x:c r="G1439" s="6" t="str">
        <x:v>proc-factory-dev-007</x:v>
      </x:c>
      <x:c r="H1439" s="6" t="str">
        <x:v>proc-factory-dev-007-Q07</x:v>
      </x:c>
      <x:c r="I1439" s="6" t="str">
        <x:v>Route planning</x:v>
      </x:c>
      <x:c r="J1439" s="6" t="str">
        <x:v>Warm-up</x:v>
      </x:c>
      <x:c r="K1439" s="6" t="str">
        <x:v>Ordered space path and directions, plus total route-model distance in metres.</x:v>
      </x:c>
      <x:c r="L1439" s="6" t="str">
        <x:v>T02, T05, T13</x:v>
      </x:c>
      <x:c r="M1439" s="6" t="str">
        <x:v>Find a valid route between two rooms, including across floors.</x:v>
      </x:c>
      <x:c r="N1439" s="6" t="str">
        <x:v>{"from_space_id":"proc-factory-dev-007-F0-S016","to_space_id":"proc-factory-dev-007-F1-S005","optimal_length_m":66.85,"space_path":["proc-factory-dev-007-F0-S016","proc-factory-dev-007-F0-S010","proc-factory-dev-007-F0-S011","proc-factory-dev-007-F1-S002","proc-factory-dev-007-F1-S001","proc-factory-dev-007-F1-S005"],"element_path":["proc-factory-dev-007-F0-O0019","proc-factory-dev-007-F0-O0019","proc-factory-dev-007-F0-O0013","proc-factory-dev-007-F0-O0013","proc-factory-dev-007-V01","proc-factory-dev-007-F1-O0033","proc-factory-dev-007-F1-O0033","proc-factory-dev-007-F1-O0036","proc-factory-dev-007-F1-O0036"]}</x:v>
      </x:c>
      <x:c r="O1439" s="6"/>
      <x:c r="P1439" s="6" t="str">
        <x:v>README routing profile. Stairs and lifts allowed unless stated otherwise.</x:v>
      </x:c>
      <x:c r="Q1439" s="15" t="n">
        <x:v>66.85</x:v>
      </x:c>
      <x:c r="R1439" s="6" t="str">
        <x:v>m</x:v>
      </x:c>
      <x:c r="S1439" s="16"/>
      <x:c r="T1439" s="15"/>
      <x:c r="U1439" s="6"/>
      <x:c r="V1439" s="6"/>
      <x:c r="W1439" s="6" t="str">
        <x:v>Existing find_route and show_route implement the kit routing model.</x:v>
      </x:c>
      <x:c r="X1439" s="6" t="str">
        <x:v>data/dev/proc-factory-dev-007/questions_basic.jsonl</x:v>
      </x:c>
      <x:c r="Y1439" s="14" t="n">
        <x:v>7</x:v>
      </x:c>
      <x:c r="Z1439" s="6" t="str">
        <x:v>https://github.com/hagenhaeussler/Industrial-Agents-Hackathon-2026/blob/f41616590b69f3ea0c1cbfb41d6c35edd9ce53df/data/dev/proc-factory-dev-007/questions_basic.jsonl#L7</x:v>
      </x:c>
      <x:c r="AA1439" s="6" t="str">
        <x:v>procedural</x:v>
      </x:c>
      <x:c r="AB1439" s="6" t="str">
        <x:v>CC0-1.0</x:v>
      </x:c>
    </x:row>
    <x:row r="1440" ht="110" customHeight="1">
      <x:c r="A1440" s="14" t="n">
        <x:v>1435</x:v>
      </x:c>
      <x:c r="B1440" s="6" t="str">
        <x:v>route</x:v>
      </x:c>
      <x:c r="C1440" s="6" t="str">
        <x:v>How do I get from Meeting room 1.23 (Floor 1) to Office 0.53 (Ground floor)?</x:v>
      </x:c>
      <x:c r="D1440" s="6" t="str">
        <x:v>109.55 m
From: Meeting room 1.23
To: Office 0.53
Ordered path (6 spaces): Meeting room 1.23 → Office corridor 1.01 → Staircase 1.02 → Staircase 0.26 → Office corridor 0.25 → Office 0.53</x:v>
      </x:c>
      <x:c r="E1440" s="6" t="str">
        <x:v>Reference supplied</x:v>
      </x:c>
      <x:c r="F1440" s="6" t="str">
        <x:v>dev</x:v>
      </x:c>
      <x:c r="G1440" s="6" t="str">
        <x:v>proc-factory-dev-008</x:v>
      </x:c>
      <x:c r="H1440" s="6" t="str">
        <x:v>proc-factory-dev-008-Q05</x:v>
      </x:c>
      <x:c r="I1440" s="6" t="str">
        <x:v>Route planning</x:v>
      </x:c>
      <x:c r="J1440" s="6" t="str">
        <x:v>Warm-up</x:v>
      </x:c>
      <x:c r="K1440" s="6" t="str">
        <x:v>Ordered space path and directions, plus total route-model distance in metres.</x:v>
      </x:c>
      <x:c r="L1440" s="6" t="str">
        <x:v>T02, T05, T13</x:v>
      </x:c>
      <x:c r="M1440" s="6" t="str">
        <x:v>Find a valid route between two rooms, including across floors.</x:v>
      </x:c>
      <x:c r="N1440" s="6" t="str">
        <x:v>{"from_space_id":"proc-factory-dev-008-F1-S023","to_space_id":"proc-factory-dev-008-F0-S053","optimal_length_m":109.55,"space_path":["proc-factory-dev-008-F1-S023","proc-factory-dev-008-F1-S001","proc-factory-dev-008-F1-S002","proc-factory-dev-008-F0-S026","proc-factory-dev-008-F0-S025","proc-factory-dev-008-F0-S053"],"element_path":["proc-factory-dev-008-F1-O0093","proc-factory-dev-008-F1-O0093","proc-factory-dev-008-F1-O0072","proc-factory-dev-008-F1-O0072","proc-factory-dev-008-V01","proc-factory-dev-008-F0-O0041","proc-factory-dev-008-F0-O0041","proc-factory-dev-008-F0-O0070","proc-factory-dev-008-F0-O0070"]}</x:v>
      </x:c>
      <x:c r="O1440" s="6"/>
      <x:c r="P1440" s="6" t="str">
        <x:v>README routing profile. Stairs and lifts allowed unless stated otherwise.</x:v>
      </x:c>
      <x:c r="Q1440" s="15" t="n">
        <x:v>109.55</x:v>
      </x:c>
      <x:c r="R1440" s="6" t="str">
        <x:v>m</x:v>
      </x:c>
      <x:c r="S1440" s="16"/>
      <x:c r="T1440" s="15"/>
      <x:c r="U1440" s="6"/>
      <x:c r="V1440" s="6"/>
      <x:c r="W1440" s="6" t="str">
        <x:v>Existing find_route and show_route implement the kit routing model.</x:v>
      </x:c>
      <x:c r="X1440" s="6" t="str">
        <x:v>data/dev/proc-factory-dev-008/questions_basic.jsonl</x:v>
      </x:c>
      <x:c r="Y1440" s="14" t="n">
        <x:v>5</x:v>
      </x:c>
      <x:c r="Z1440" s="6" t="str">
        <x:v>https://github.com/hagenhaeussler/Industrial-Agents-Hackathon-2026/blob/f41616590b69f3ea0c1cbfb41d6c35edd9ce53df/data/dev/proc-factory-dev-008/questions_basic.jsonl#L5</x:v>
      </x:c>
      <x:c r="AA1440" s="6" t="str">
        <x:v>procedural</x:v>
      </x:c>
      <x:c r="AB1440" s="6" t="str">
        <x:v>CC0-1.0</x:v>
      </x:c>
    </x:row>
    <x:row r="1441" ht="110" customHeight="1">
      <x:c r="A1441" s="14" t="n">
        <x:v>1436</x:v>
      </x:c>
      <x:c r="B1441" s="6" t="str">
        <x:v>route</x:v>
      </x:c>
      <x:c r="C1441" s="6" t="str">
        <x:v>How do I get from Office 1.04 (Floor 1) to Office 0.53 (Ground floor)?</x:v>
      </x:c>
      <x:c r="D1441" s="6" t="str">
        <x:v>134.75 m
From: Office 1.04
To: Office 0.53
Ordered path (6 spaces): Office 1.04 → Office corridor 1.01 → Staircase 1.02 → Staircase 0.26 → Office corridor 0.25 → Office 0.53</x:v>
      </x:c>
      <x:c r="E1441" s="6" t="str">
        <x:v>Reference supplied</x:v>
      </x:c>
      <x:c r="F1441" s="6" t="str">
        <x:v>dev</x:v>
      </x:c>
      <x:c r="G1441" s="6" t="str">
        <x:v>proc-factory-dev-008</x:v>
      </x:c>
      <x:c r="H1441" s="6" t="str">
        <x:v>proc-factory-dev-008-Q06</x:v>
      </x:c>
      <x:c r="I1441" s="6" t="str">
        <x:v>Route planning</x:v>
      </x:c>
      <x:c r="J1441" s="6" t="str">
        <x:v>Warm-up</x:v>
      </x:c>
      <x:c r="K1441" s="6" t="str">
        <x:v>Ordered space path and directions, plus total route-model distance in metres.</x:v>
      </x:c>
      <x:c r="L1441" s="6" t="str">
        <x:v>T02, T05, T13</x:v>
      </x:c>
      <x:c r="M1441" s="6" t="str">
        <x:v>Find a valid route between two rooms, including across floors.</x:v>
      </x:c>
      <x:c r="N1441" s="6" t="str">
        <x:v>{"from_space_id":"proc-factory-dev-008-F1-S004","to_space_id":"proc-factory-dev-008-F0-S053","optimal_length_m":134.75,"space_path":["proc-factory-dev-008-F1-S004","proc-factory-dev-008-F1-S001","proc-factory-dev-008-F1-S002","proc-factory-dev-008-F0-S026","proc-factory-dev-008-F0-S025","proc-factory-dev-008-F0-S053"],"element_path":["proc-factory-dev-008-F1-O0074","proc-factory-dev-008-F1-O0074","proc-factory-dev-008-F1-O0072","proc-factory-dev-008-F1-O0072","proc-factory-dev-008-V01","proc-factory-dev-008-F0-O0041","proc-factory-dev-008-F0-O0041","proc-factory-dev-008-F0-O0070","proc-factory-dev-008-F0-O0070"]}</x:v>
      </x:c>
      <x:c r="O1441" s="6"/>
      <x:c r="P1441" s="6" t="str">
        <x:v>README routing profile. Stairs and lifts allowed unless stated otherwise.</x:v>
      </x:c>
      <x:c r="Q1441" s="15" t="n">
        <x:v>134.75</x:v>
      </x:c>
      <x:c r="R1441" s="6" t="str">
        <x:v>m</x:v>
      </x:c>
      <x:c r="S1441" s="16"/>
      <x:c r="T1441" s="15"/>
      <x:c r="U1441" s="6"/>
      <x:c r="V1441" s="6"/>
      <x:c r="W1441" s="6" t="str">
        <x:v>Existing find_route and show_route implement the kit routing model.</x:v>
      </x:c>
      <x:c r="X1441" s="6" t="str">
        <x:v>data/dev/proc-factory-dev-008/questions_basic.jsonl</x:v>
      </x:c>
      <x:c r="Y1441" s="14" t="n">
        <x:v>6</x:v>
      </x:c>
      <x:c r="Z1441" s="6" t="str">
        <x:v>https://github.com/hagenhaeussler/Industrial-Agents-Hackathon-2026/blob/f41616590b69f3ea0c1cbfb41d6c35edd9ce53df/data/dev/proc-factory-dev-008/questions_basic.jsonl#L6</x:v>
      </x:c>
      <x:c r="AA1441" s="6" t="str">
        <x:v>procedural</x:v>
      </x:c>
      <x:c r="AB1441" s="6" t="str">
        <x:v>CC0-1.0</x:v>
      </x:c>
    </x:row>
    <x:row r="1442" ht="82" customHeight="1">
      <x:c r="A1442" s="14" t="n">
        <x:v>1437</x:v>
      </x:c>
      <x:c r="B1442" s="6" t="str">
        <x:v>route</x:v>
      </x:c>
      <x:c r="C1442" s="6" t="str">
        <x:v>How do I get from Kitchen 1.22 (Floor 1) to Office 1.14 (Floor 1)?</x:v>
      </x:c>
      <x:c r="D1442" s="6" t="str">
        <x:v>26.03 m
From: Kitchen 1.22
To: Office 1.14
Ordered path (3 spaces): Kitchen 1.22 → Office corridor 1.01 → Office 1.14</x:v>
      </x:c>
      <x:c r="E1442" s="6" t="str">
        <x:v>Reference supplied</x:v>
      </x:c>
      <x:c r="F1442" s="6" t="str">
        <x:v>dev</x:v>
      </x:c>
      <x:c r="G1442" s="6" t="str">
        <x:v>proc-factory-dev-008</x:v>
      </x:c>
      <x:c r="H1442" s="6" t="str">
        <x:v>proc-factory-dev-008-Q07</x:v>
      </x:c>
      <x:c r="I1442" s="6" t="str">
        <x:v>Route planning</x:v>
      </x:c>
      <x:c r="J1442" s="6" t="str">
        <x:v>Warm-up</x:v>
      </x:c>
      <x:c r="K1442" s="6" t="str">
        <x:v>Ordered space path and directions, plus total route-model distance in metres.</x:v>
      </x:c>
      <x:c r="L1442" s="6" t="str">
        <x:v>T02, T05, T13</x:v>
      </x:c>
      <x:c r="M1442" s="6" t="str">
        <x:v>Find a valid route between two rooms, including across floors.</x:v>
      </x:c>
      <x:c r="N1442" s="6" t="str">
        <x:v>{"from_space_id":"proc-factory-dev-008-F1-S022","to_space_id":"proc-factory-dev-008-F1-S014","optimal_length_m":26.03,"space_path":["proc-factory-dev-008-F1-S022","proc-factory-dev-008-F1-S001","proc-factory-dev-008-F1-S014"],"element_path":["proc-factory-dev-008-F1-O0092","proc-factory-dev-008-F1-O0092","proc-factory-dev-008-F1-O0084","proc-factory-dev-008-F1-O0084"]}</x:v>
      </x:c>
      <x:c r="O1442" s="6"/>
      <x:c r="P1442" s="6" t="str">
        <x:v>README routing profile. Stairs and lifts allowed unless stated otherwise.</x:v>
      </x:c>
      <x:c r="Q1442" s="15" t="n">
        <x:v>26.03</x:v>
      </x:c>
      <x:c r="R1442" s="6" t="str">
        <x:v>m</x:v>
      </x:c>
      <x:c r="S1442" s="16"/>
      <x:c r="T1442" s="15"/>
      <x:c r="U1442" s="6"/>
      <x:c r="V1442" s="6"/>
      <x:c r="W1442" s="6" t="str">
        <x:v>Existing find_route and show_route implement the kit routing model.</x:v>
      </x:c>
      <x:c r="X1442" s="6" t="str">
        <x:v>data/dev/proc-factory-dev-008/questions_basic.jsonl</x:v>
      </x:c>
      <x:c r="Y1442" s="14" t="n">
        <x:v>7</x:v>
      </x:c>
      <x:c r="Z1442" s="6" t="str">
        <x:v>https://github.com/hagenhaeussler/Industrial-Agents-Hackathon-2026/blob/f41616590b69f3ea0c1cbfb41d6c35edd9ce53df/data/dev/proc-factory-dev-008/questions_basic.jsonl#L7</x:v>
      </x:c>
      <x:c r="AA1442" s="6" t="str">
        <x:v>procedural</x:v>
      </x:c>
      <x:c r="AB1442" s="6" t="str">
        <x:v>CC0-1.0</x:v>
      </x:c>
    </x:row>
    <x:row r="1443" ht="110" customHeight="1">
      <x:c r="A1443" s="14" t="n">
        <x:v>1438</x:v>
      </x:c>
      <x:c r="B1443" s="6" t="str">
        <x:v>route</x:v>
      </x:c>
      <x:c r="C1443" s="6" t="str">
        <x:v>How do I get from Kitchen 0.21 (Ground floor) to Kitchen 1.06 (Floor 1)?</x:v>
      </x:c>
      <x:c r="D1443" s="6" t="str">
        <x:v>70.28 m
From: Kitchen 0.21
To: Kitchen 1.06
Ordered path (6 spaces): Kitchen 0.21 → Office corridor 0.13 → Staircase 0.14 → Staircase 1.02 → Office corridor 1.01 → Kitchen 1.06</x:v>
      </x:c>
      <x:c r="E1443" s="6" t="str">
        <x:v>Reference supplied</x:v>
      </x:c>
      <x:c r="F1443" s="6" t="str">
        <x:v>dev</x:v>
      </x:c>
      <x:c r="G1443" s="6" t="str">
        <x:v>proc-factory-dev-010</x:v>
      </x:c>
      <x:c r="H1443" s="6" t="str">
        <x:v>proc-factory-dev-010-Q05</x:v>
      </x:c>
      <x:c r="I1443" s="6" t="str">
        <x:v>Route planning</x:v>
      </x:c>
      <x:c r="J1443" s="6" t="str">
        <x:v>Warm-up</x:v>
      </x:c>
      <x:c r="K1443" s="6" t="str">
        <x:v>Ordered space path and directions, plus total route-model distance in metres.</x:v>
      </x:c>
      <x:c r="L1443" s="6" t="str">
        <x:v>T02, T05, T13</x:v>
      </x:c>
      <x:c r="M1443" s="6" t="str">
        <x:v>Find a valid route between two rooms, including across floors.</x:v>
      </x:c>
      <x:c r="N1443" s="6" t="str">
        <x:v>{"from_space_id":"proc-factory-dev-010-F0-S021","to_space_id":"proc-factory-dev-010-F1-S006","optimal_length_m":70.28,"space_path":["proc-factory-dev-010-F0-S021","proc-factory-dev-010-F0-S013","proc-factory-dev-010-F0-S014","proc-factory-dev-010-F1-S002","proc-factory-dev-010-F1-S001","proc-factory-dev-010-F1-S006"],"element_path":["proc-factory-dev-010-F0-O0025","proc-factory-dev-010-F0-O0025","proc-factory-dev-010-F0-O0017","proc-factory-dev-010-F0-O0017","proc-factory-dev-010-V01","proc-factory-dev-010-F1-O0039","proc-factory-dev-010-F1-O0039","proc-factory-dev-010-F1-O0043","proc-factory-dev-010-F1-O0043"]}</x:v>
      </x:c>
      <x:c r="O1443" s="6"/>
      <x:c r="P1443" s="6" t="str">
        <x:v>README routing profile. Stairs and lifts allowed unless stated otherwise.</x:v>
      </x:c>
      <x:c r="Q1443" s="15" t="n">
        <x:v>70.28</x:v>
      </x:c>
      <x:c r="R1443" s="6" t="str">
        <x:v>m</x:v>
      </x:c>
      <x:c r="S1443" s="16"/>
      <x:c r="T1443" s="15"/>
      <x:c r="U1443" s="6"/>
      <x:c r="V1443" s="6"/>
      <x:c r="W1443" s="6" t="str">
        <x:v>Existing find_route and show_route implement the kit routing model.</x:v>
      </x:c>
      <x:c r="X1443" s="6" t="str">
        <x:v>data/dev/proc-factory-dev-010/questions_basic.jsonl</x:v>
      </x:c>
      <x:c r="Y1443" s="14" t="n">
        <x:v>5</x:v>
      </x:c>
      <x:c r="Z1443" s="6" t="str">
        <x:v>https://github.com/hagenhaeussler/Industrial-Agents-Hackathon-2026/blob/f41616590b69f3ea0c1cbfb41d6c35edd9ce53df/data/dev/proc-factory-dev-010/questions_basic.jsonl#L5</x:v>
      </x:c>
      <x:c r="AA1443" s="6" t="str">
        <x:v>procedural</x:v>
      </x:c>
      <x:c r="AB1443" s="6" t="str">
        <x:v>CC0-1.0</x:v>
      </x:c>
    </x:row>
    <x:row r="1444" ht="82" customHeight="1">
      <x:c r="A1444" s="14" t="n">
        <x:v>1439</x:v>
      </x:c>
      <x:c r="B1444" s="6" t="str">
        <x:v>route</x:v>
      </x:c>
      <x:c r="C1444" s="6" t="str">
        <x:v>How do I get from Toilet 1.15 (Floor 1) to Kitchen 1.09 (Floor 1)?</x:v>
      </x:c>
      <x:c r="D1444" s="6" t="str">
        <x:v>12.37 m
From: Toilet 1.15
To: Kitchen 1.09
Ordered path (3 spaces): Toilet 1.15 → Office corridor 1.01 → Kitchen 1.09</x:v>
      </x:c>
      <x:c r="E1444" s="6" t="str">
        <x:v>Reference supplied</x:v>
      </x:c>
      <x:c r="F1444" s="6" t="str">
        <x:v>dev</x:v>
      </x:c>
      <x:c r="G1444" s="6" t="str">
        <x:v>proc-factory-dev-010</x:v>
      </x:c>
      <x:c r="H1444" s="6" t="str">
        <x:v>proc-factory-dev-010-Q06</x:v>
      </x:c>
      <x:c r="I1444" s="6" t="str">
        <x:v>Route planning</x:v>
      </x:c>
      <x:c r="J1444" s="6" t="str">
        <x:v>Warm-up</x:v>
      </x:c>
      <x:c r="K1444" s="6" t="str">
        <x:v>Ordered space path and directions, plus total route-model distance in metres.</x:v>
      </x:c>
      <x:c r="L1444" s="6" t="str">
        <x:v>T02, T05, T13</x:v>
      </x:c>
      <x:c r="M1444" s="6" t="str">
        <x:v>Find a valid route between two rooms, including across floors.</x:v>
      </x:c>
      <x:c r="N1444" s="6" t="str">
        <x:v>{"from_space_id":"proc-factory-dev-010-F1-S015","to_space_id":"proc-factory-dev-010-F1-S009","optimal_length_m":12.37,"space_path":["proc-factory-dev-010-F1-S015","proc-factory-dev-010-F1-S001","proc-factory-dev-010-F1-S009"],"element_path":["proc-factory-dev-010-F1-O0052","proc-factory-dev-010-F1-O0052","proc-factory-dev-010-F1-O0046","proc-factory-dev-010-F1-O0046"]}</x:v>
      </x:c>
      <x:c r="O1444" s="6"/>
      <x:c r="P1444" s="6" t="str">
        <x:v>README routing profile. Stairs and lifts allowed unless stated otherwise.</x:v>
      </x:c>
      <x:c r="Q1444" s="15" t="n">
        <x:v>12.37</x:v>
      </x:c>
      <x:c r="R1444" s="6" t="str">
        <x:v>m</x:v>
      </x:c>
      <x:c r="S1444" s="16"/>
      <x:c r="T1444" s="15"/>
      <x:c r="U1444" s="6"/>
      <x:c r="V1444" s="6"/>
      <x:c r="W1444" s="6" t="str">
        <x:v>Existing find_route and show_route implement the kit routing model.</x:v>
      </x:c>
      <x:c r="X1444" s="6" t="str">
        <x:v>data/dev/proc-factory-dev-010/questions_basic.jsonl</x:v>
      </x:c>
      <x:c r="Y1444" s="14" t="n">
        <x:v>6</x:v>
      </x:c>
      <x:c r="Z1444" s="6" t="str">
        <x:v>https://github.com/hagenhaeussler/Industrial-Agents-Hackathon-2026/blob/f41616590b69f3ea0c1cbfb41d6c35edd9ce53df/data/dev/proc-factory-dev-010/questions_basic.jsonl#L6</x:v>
      </x:c>
      <x:c r="AA1444" s="6" t="str">
        <x:v>procedural</x:v>
      </x:c>
      <x:c r="AB1444" s="6" t="str">
        <x:v>CC0-1.0</x:v>
      </x:c>
    </x:row>
    <x:row r="1445" ht="82" customHeight="1">
      <x:c r="A1445" s="14" t="n">
        <x:v>1440</x:v>
      </x:c>
      <x:c r="B1445" s="6" t="str">
        <x:v>route</x:v>
      </x:c>
      <x:c r="C1445" s="6" t="str">
        <x:v>How do I get from Kitchen 1.19 (Floor 1) to Office 1.08 (Floor 1)?</x:v>
      </x:c>
      <x:c r="D1445" s="6" t="str">
        <x:v>19.37 m
From: Kitchen 1.19
To: Office 1.08
Ordered path (3 spaces): Kitchen 1.19 → Office corridor 1.01 → Office 1.08</x:v>
      </x:c>
      <x:c r="E1445" s="6" t="str">
        <x:v>Reference supplied</x:v>
      </x:c>
      <x:c r="F1445" s="6" t="str">
        <x:v>dev</x:v>
      </x:c>
      <x:c r="G1445" s="6" t="str">
        <x:v>proc-factory-dev-010</x:v>
      </x:c>
      <x:c r="H1445" s="6" t="str">
        <x:v>proc-factory-dev-010-Q07</x:v>
      </x:c>
      <x:c r="I1445" s="6" t="str">
        <x:v>Route planning</x:v>
      </x:c>
      <x:c r="J1445" s="6" t="str">
        <x:v>Warm-up</x:v>
      </x:c>
      <x:c r="K1445" s="6" t="str">
        <x:v>Ordered space path and directions, plus total route-model distance in metres.</x:v>
      </x:c>
      <x:c r="L1445" s="6" t="str">
        <x:v>T02, T05, T13</x:v>
      </x:c>
      <x:c r="M1445" s="6" t="str">
        <x:v>Find a valid route between two rooms, including across floors.</x:v>
      </x:c>
      <x:c r="N1445" s="6" t="str">
        <x:v>{"from_space_id":"proc-factory-dev-010-F1-S019","to_space_id":"proc-factory-dev-010-F1-S008","optimal_length_m":19.37,"space_path":["proc-factory-dev-010-F1-S019","proc-factory-dev-010-F1-S001","proc-factory-dev-010-F1-S008"],"element_path":["proc-factory-dev-010-F1-O0056","proc-factory-dev-010-F1-O0056","proc-factory-dev-010-F1-O0045","proc-factory-dev-010-F1-O0045"]}</x:v>
      </x:c>
      <x:c r="O1445" s="6"/>
      <x:c r="P1445" s="6" t="str">
        <x:v>README routing profile. Stairs and lifts allowed unless stated otherwise.</x:v>
      </x:c>
      <x:c r="Q1445" s="15" t="n">
        <x:v>19.37</x:v>
      </x:c>
      <x:c r="R1445" s="6" t="str">
        <x:v>m</x:v>
      </x:c>
      <x:c r="S1445" s="16"/>
      <x:c r="T1445" s="15"/>
      <x:c r="U1445" s="6"/>
      <x:c r="V1445" s="6"/>
      <x:c r="W1445" s="6" t="str">
        <x:v>Existing find_route and show_route implement the kit routing model.</x:v>
      </x:c>
      <x:c r="X1445" s="6" t="str">
        <x:v>data/dev/proc-factory-dev-010/questions_basic.jsonl</x:v>
      </x:c>
      <x:c r="Y1445" s="14" t="n">
        <x:v>7</x:v>
      </x:c>
      <x:c r="Z1445" s="6" t="str">
        <x:v>https://github.com/hagenhaeussler/Industrial-Agents-Hackathon-2026/blob/f41616590b69f3ea0c1cbfb41d6c35edd9ce53df/data/dev/proc-factory-dev-010/questions_basic.jsonl#L7</x:v>
      </x:c>
      <x:c r="AA1445" s="6" t="str">
        <x:v>procedural</x:v>
      </x:c>
      <x:c r="AB1445" s="6" t="str">
        <x:v>CC0-1.0</x:v>
      </x:c>
    </x:row>
    <x:row r="1446" ht="82" customHeight="1">
      <x:c r="A1446" s="14" t="n">
        <x:v>1441</x:v>
      </x:c>
      <x:c r="B1446" s="6" t="str">
        <x:v>route</x:v>
      </x:c>
      <x:c r="C1446" s="6" t="str">
        <x:v>How do I get from Meeting room 0.58 (Ground floor) to Office 0.29 (Ground floor)?</x:v>
      </x:c>
      <x:c r="D1446" s="6" t="str">
        <x:v>53.49 m
From: Meeting room 0.58
To: Office 0.29
Ordered path (3 spaces): Meeting room 0.58 → Office corridor 0.21 → Office 0.29</x:v>
      </x:c>
      <x:c r="E1446" s="6" t="str">
        <x:v>Reference supplied</x:v>
      </x:c>
      <x:c r="F1446" s="6" t="str">
        <x:v>dev</x:v>
      </x:c>
      <x:c r="G1446" s="6" t="str">
        <x:v>proc-factory-dev-011</x:v>
      </x:c>
      <x:c r="H1446" s="6" t="str">
        <x:v>proc-factory-dev-011-Q05</x:v>
      </x:c>
      <x:c r="I1446" s="6" t="str">
        <x:v>Route planning</x:v>
      </x:c>
      <x:c r="J1446" s="6" t="str">
        <x:v>Warm-up</x:v>
      </x:c>
      <x:c r="K1446" s="6" t="str">
        <x:v>Ordered space path and directions, plus total route-model distance in metres.</x:v>
      </x:c>
      <x:c r="L1446" s="6" t="str">
        <x:v>T02, T05, T13</x:v>
      </x:c>
      <x:c r="M1446" s="6" t="str">
        <x:v>Find a valid route between two rooms, including across floors.</x:v>
      </x:c>
      <x:c r="N1446" s="6" t="str">
        <x:v>{"from_space_id":"proc-factory-dev-011-F0-S058","to_space_id":"proc-factory-dev-011-F0-S029","optimal_length_m":53.49,"space_path":["proc-factory-dev-011-F0-S058","proc-factory-dev-011-F0-S021","proc-factory-dev-011-F0-S029"],"element_path":["proc-factory-dev-011-F0-O0071","proc-factory-dev-011-F0-O0071","proc-factory-dev-011-F0-O0041","proc-factory-dev-011-F0-O0041"]}</x:v>
      </x:c>
      <x:c r="O1446" s="6"/>
      <x:c r="P1446" s="6" t="str">
        <x:v>README routing profile. Stairs and lifts allowed unless stated otherwise.</x:v>
      </x:c>
      <x:c r="Q1446" s="15" t="n">
        <x:v>53.49</x:v>
      </x:c>
      <x:c r="R1446" s="6" t="str">
        <x:v>m</x:v>
      </x:c>
      <x:c r="S1446" s="16"/>
      <x:c r="T1446" s="15"/>
      <x:c r="U1446" s="6"/>
      <x:c r="V1446" s="6"/>
      <x:c r="W1446" s="6" t="str">
        <x:v>Existing find_route and show_route implement the kit routing model.</x:v>
      </x:c>
      <x:c r="X1446" s="6" t="str">
        <x:v>data/dev/proc-factory-dev-011/questions_basic.jsonl</x:v>
      </x:c>
      <x:c r="Y1446" s="14" t="n">
        <x:v>5</x:v>
      </x:c>
      <x:c r="Z1446" s="6" t="str">
        <x:v>https://github.com/hagenhaeussler/Industrial-Agents-Hackathon-2026/blob/f41616590b69f3ea0c1cbfb41d6c35edd9ce53df/data/dev/proc-factory-dev-011/questions_basic.jsonl#L5</x:v>
      </x:c>
      <x:c r="AA1446" s="6" t="str">
        <x:v>procedural</x:v>
      </x:c>
      <x:c r="AB1446" s="6" t="str">
        <x:v>CC0-1.0</x:v>
      </x:c>
    </x:row>
    <x:row r="1447" ht="82" customHeight="1">
      <x:c r="A1447" s="14" t="n">
        <x:v>1442</x:v>
      </x:c>
      <x:c r="B1447" s="6" t="str">
        <x:v>route</x:v>
      </x:c>
      <x:c r="C1447" s="6" t="str">
        <x:v>How do I get from Office 1.04 (Floor 1) to Server room 1.25 (Floor 1)?</x:v>
      </x:c>
      <x:c r="D1447" s="6" t="str">
        <x:v>73.46 m
From: Office 1.04
To: Server room 1.25
Ordered path (3 spaces): Office 1.04 → Office corridor 1.01 → Server room 1.25</x:v>
      </x:c>
      <x:c r="E1447" s="6" t="str">
        <x:v>Reference supplied</x:v>
      </x:c>
      <x:c r="F1447" s="6" t="str">
        <x:v>dev</x:v>
      </x:c>
      <x:c r="G1447" s="6" t="str">
        <x:v>proc-factory-dev-011</x:v>
      </x:c>
      <x:c r="H1447" s="6" t="str">
        <x:v>proc-factory-dev-011-Q06</x:v>
      </x:c>
      <x:c r="I1447" s="6" t="str">
        <x:v>Route planning</x:v>
      </x:c>
      <x:c r="J1447" s="6" t="str">
        <x:v>Warm-up</x:v>
      </x:c>
      <x:c r="K1447" s="6" t="str">
        <x:v>Ordered space path and directions, plus total route-model distance in metres.</x:v>
      </x:c>
      <x:c r="L1447" s="6" t="str">
        <x:v>T02, T05, T13</x:v>
      </x:c>
      <x:c r="M1447" s="6" t="str">
        <x:v>Find a valid route between two rooms, including across floors.</x:v>
      </x:c>
      <x:c r="N1447" s="6" t="str">
        <x:v>{"from_space_id":"proc-factory-dev-011-F1-S004","to_space_id":"proc-factory-dev-011-F1-S025","optimal_length_m":73.46,"space_path":["proc-factory-dev-011-F1-S004","proc-factory-dev-011-F1-S001","proc-factory-dev-011-F1-S025"],"element_path":["proc-factory-dev-011-F1-O0077","proc-factory-dev-011-F1-O0077","proc-factory-dev-011-F1-O0098","proc-factory-dev-011-F1-O0098"]}</x:v>
      </x:c>
      <x:c r="O1447" s="6"/>
      <x:c r="P1447" s="6" t="str">
        <x:v>README routing profile. Stairs and lifts allowed unless stated otherwise.</x:v>
      </x:c>
      <x:c r="Q1447" s="15" t="n">
        <x:v>73.46</x:v>
      </x:c>
      <x:c r="R1447" s="6" t="str">
        <x:v>m</x:v>
      </x:c>
      <x:c r="S1447" s="16"/>
      <x:c r="T1447" s="15"/>
      <x:c r="U1447" s="6"/>
      <x:c r="V1447" s="6"/>
      <x:c r="W1447" s="6" t="str">
        <x:v>Existing find_route and show_route implement the kit routing model.</x:v>
      </x:c>
      <x:c r="X1447" s="6" t="str">
        <x:v>data/dev/proc-factory-dev-011/questions_basic.jsonl</x:v>
      </x:c>
      <x:c r="Y1447" s="14" t="n">
        <x:v>6</x:v>
      </x:c>
      <x:c r="Z1447" s="6" t="str">
        <x:v>https://github.com/hagenhaeussler/Industrial-Agents-Hackathon-2026/blob/f41616590b69f3ea0c1cbfb41d6c35edd9ce53df/data/dev/proc-factory-dev-011/questions_basic.jsonl#L6</x:v>
      </x:c>
      <x:c r="AA1447" s="6" t="str">
        <x:v>procedural</x:v>
      </x:c>
      <x:c r="AB1447" s="6" t="str">
        <x:v>CC0-1.0</x:v>
      </x:c>
    </x:row>
    <x:row r="1448" ht="124" customHeight="1">
      <x:c r="A1448" s="14" t="n">
        <x:v>1443</x:v>
      </x:c>
      <x:c r="B1448" s="6" t="str">
        <x:v>route</x:v>
      </x:c>
      <x:c r="C1448" s="6" t="str">
        <x:v>How do I get from Meeting room 0.37 (Ground floor) to Server room 2.18 (Floor 2)?</x:v>
      </x:c>
      <x:c r="D1448" s="6" t="str">
        <x:v>160.71 m
From: Meeting room 0.37
To: Server room 2.18
Ordered path (7 spaces): Meeting room 0.37 → Office corridor 0.21 → Staircase 0.22 → Staircase 1.02 → Staircase 2.02 → Office corridor 2.01 → Server room 2.18</x:v>
      </x:c>
      <x:c r="E1448" s="6" t="str">
        <x:v>Reference supplied</x:v>
      </x:c>
      <x:c r="F1448" s="6" t="str">
        <x:v>dev</x:v>
      </x:c>
      <x:c r="G1448" s="6" t="str">
        <x:v>proc-factory-dev-011</x:v>
      </x:c>
      <x:c r="H1448" s="6" t="str">
        <x:v>proc-factory-dev-011-Q07</x:v>
      </x:c>
      <x:c r="I1448" s="6" t="str">
        <x:v>Route planning</x:v>
      </x:c>
      <x:c r="J1448" s="6" t="str">
        <x:v>Warm-up</x:v>
      </x:c>
      <x:c r="K1448" s="6" t="str">
        <x:v>Ordered space path and directions, plus total route-model distance in metres.</x:v>
      </x:c>
      <x:c r="L1448" s="6" t="str">
        <x:v>T02, T05, T13</x:v>
      </x:c>
      <x:c r="M1448" s="6" t="str">
        <x:v>Find a valid route between two rooms, including across floors.</x:v>
      </x:c>
      <x:c r="N1448" s="6" t="str">
        <x:v>{"from_space_id":"proc-factory-dev-011-F0-S037","to_space_id":"proc-factory-dev-011-F2-S018","optimal_length_m":160.71,"space_path":["proc-factory-dev-011-F0-S037","proc-factory-dev-011-F0-S021","proc-factory-dev-011-F0-S022","proc-factory-dev-011-F1-S002","proc-factory-dev-011-F2-S002","proc-factory-dev-011-F2-S001","proc-factory-dev-011-F2-S018"],"element_path":["proc-factory-dev-011-F0-O0049","proc-factory-dev-011-F0-O0049","proc-factory-dev-011-F0-O0033","proc-factory-dev-011-F0-O0033","proc-factory-dev-011-V01","proc-factory-dev-011-V01","proc-factory-dev-011-F2-O0114","proc-factory-dev-011-F2-O0114","proc-factory-dev-011-F2-O0130","proc-factory-dev-011-F2-O0130"]}</x:v>
      </x:c>
      <x:c r="O1448" s="6"/>
      <x:c r="P1448" s="6" t="str">
        <x:v>README routing profile. Stairs and lifts allowed unless stated otherwise.</x:v>
      </x:c>
      <x:c r="Q1448" s="15" t="n">
        <x:v>160.71</x:v>
      </x:c>
      <x:c r="R1448" s="6" t="str">
        <x:v>m</x:v>
      </x:c>
      <x:c r="S1448" s="16"/>
      <x:c r="T1448" s="15"/>
      <x:c r="U1448" s="6"/>
      <x:c r="V1448" s="6"/>
      <x:c r="W1448" s="6" t="str">
        <x:v>Existing find_route and show_route implement the kit routing model.</x:v>
      </x:c>
      <x:c r="X1448" s="6" t="str">
        <x:v>data/dev/proc-factory-dev-011/questions_basic.jsonl</x:v>
      </x:c>
      <x:c r="Y1448" s="14" t="n">
        <x:v>7</x:v>
      </x:c>
      <x:c r="Z1448" s="6" t="str">
        <x:v>https://github.com/hagenhaeussler/Industrial-Agents-Hackathon-2026/blob/f41616590b69f3ea0c1cbfb41d6c35edd9ce53df/data/dev/proc-factory-dev-011/questions_basic.jsonl#L7</x:v>
      </x:c>
      <x:c r="AA1448" s="6" t="str">
        <x:v>procedural</x:v>
      </x:c>
      <x:c r="AB1448" s="6" t="str">
        <x:v>CC0-1.0</x:v>
      </x:c>
    </x:row>
    <x:row r="1449" ht="82" customHeight="1">
      <x:c r="A1449" s="14" t="n">
        <x:v>1444</x:v>
      </x:c>
      <x:c r="B1449" s="6" t="str">
        <x:v>route</x:v>
      </x:c>
      <x:c r="C1449" s="6" t="str">
        <x:v>How do I get from Office 2.19 (Floor 2) to Office 2.30 (Floor 2)?</x:v>
      </x:c>
      <x:c r="D1449" s="6" t="str">
        <x:v>54.08 m
From: Office 2.19
To: Office 2.30
Ordered path (3 spaces): Office 2.19 → Office corridor 2.01 → Office 2.30</x:v>
      </x:c>
      <x:c r="E1449" s="6" t="str">
        <x:v>Reference supplied</x:v>
      </x:c>
      <x:c r="F1449" s="6" t="str">
        <x:v>dev</x:v>
      </x:c>
      <x:c r="G1449" s="6" t="str">
        <x:v>proc-factory-dev-012</x:v>
      </x:c>
      <x:c r="H1449" s="6" t="str">
        <x:v>proc-factory-dev-012-Q05</x:v>
      </x:c>
      <x:c r="I1449" s="6" t="str">
        <x:v>Route planning</x:v>
      </x:c>
      <x:c r="J1449" s="6" t="str">
        <x:v>Warm-up</x:v>
      </x:c>
      <x:c r="K1449" s="6" t="str">
        <x:v>Ordered space path and directions, plus total route-model distance in metres.</x:v>
      </x:c>
      <x:c r="L1449" s="6" t="str">
        <x:v>T02, T05, T13</x:v>
      </x:c>
      <x:c r="M1449" s="6" t="str">
        <x:v>Find a valid route between two rooms, including across floors.</x:v>
      </x:c>
      <x:c r="N1449" s="6" t="str">
        <x:v>{"from_space_id":"proc-factory-dev-012-F2-S019","to_space_id":"proc-factory-dev-012-F2-S030","optimal_length_m":54.08,"space_path":["proc-factory-dev-012-F2-S019","proc-factory-dev-012-F2-S001","proc-factory-dev-012-F2-S030"],"element_path":["proc-factory-dev-012-F2-O0125","proc-factory-dev-012-F2-O0125","proc-factory-dev-012-F2-O0136","proc-factory-dev-012-F2-O0136"]}</x:v>
      </x:c>
      <x:c r="O1449" s="6"/>
      <x:c r="P1449" s="6" t="str">
        <x:v>README routing profile. Stairs and lifts allowed unless stated otherwise.</x:v>
      </x:c>
      <x:c r="Q1449" s="15" t="n">
        <x:v>54.08</x:v>
      </x:c>
      <x:c r="R1449" s="6" t="str">
        <x:v>m</x:v>
      </x:c>
      <x:c r="S1449" s="16"/>
      <x:c r="T1449" s="15"/>
      <x:c r="U1449" s="6"/>
      <x:c r="V1449" s="6"/>
      <x:c r="W1449" s="6" t="str">
        <x:v>Existing find_route and show_route implement the kit routing model.</x:v>
      </x:c>
      <x:c r="X1449" s="6" t="str">
        <x:v>data/dev/proc-factory-dev-012/questions_basic.jsonl</x:v>
      </x:c>
      <x:c r="Y1449" s="14" t="n">
        <x:v>5</x:v>
      </x:c>
      <x:c r="Z1449" s="6" t="str">
        <x:v>https://github.com/hagenhaeussler/Industrial-Agents-Hackathon-2026/blob/f41616590b69f3ea0c1cbfb41d6c35edd9ce53df/data/dev/proc-factory-dev-012/questions_basic.jsonl#L5</x:v>
      </x:c>
      <x:c r="AA1449" s="6" t="str">
        <x:v>procedural</x:v>
      </x:c>
      <x:c r="AB1449" s="6" t="str">
        <x:v>CC0-1.0</x:v>
      </x:c>
    </x:row>
    <x:row r="1450" ht="82" customHeight="1">
      <x:c r="A1450" s="14" t="n">
        <x:v>1445</x:v>
      </x:c>
      <x:c r="B1450" s="6" t="str">
        <x:v>route</x:v>
      </x:c>
      <x:c r="C1450" s="6" t="str">
        <x:v>How do I get from Meeting room 2.29 (Floor 2) to Meeting room 2.31 (Floor 2)?</x:v>
      </x:c>
      <x:c r="D1450" s="6" t="str">
        <x:v>34.47 m
From: Meeting room 2.29
To: Meeting room 2.31
Ordered path (3 spaces): Meeting room 2.29 → Office corridor 2.01 → Meeting room 2.31</x:v>
      </x:c>
      <x:c r="E1450" s="6" t="str">
        <x:v>Reference supplied</x:v>
      </x:c>
      <x:c r="F1450" s="6" t="str">
        <x:v>dev</x:v>
      </x:c>
      <x:c r="G1450" s="6" t="str">
        <x:v>proc-factory-dev-012</x:v>
      </x:c>
      <x:c r="H1450" s="6" t="str">
        <x:v>proc-factory-dev-012-Q06</x:v>
      </x:c>
      <x:c r="I1450" s="6" t="str">
        <x:v>Route planning</x:v>
      </x:c>
      <x:c r="J1450" s="6" t="str">
        <x:v>Warm-up</x:v>
      </x:c>
      <x:c r="K1450" s="6" t="str">
        <x:v>Ordered space path and directions, plus total route-model distance in metres.</x:v>
      </x:c>
      <x:c r="L1450" s="6" t="str">
        <x:v>T02, T05, T13</x:v>
      </x:c>
      <x:c r="M1450" s="6" t="str">
        <x:v>Find a valid route between two rooms, including across floors.</x:v>
      </x:c>
      <x:c r="N1450" s="6" t="str">
        <x:v>{"from_space_id":"proc-factory-dev-012-F2-S029","to_space_id":"proc-factory-dev-012-F2-S031","optimal_length_m":34.47,"space_path":["proc-factory-dev-012-F2-S029","proc-factory-dev-012-F2-S001","proc-factory-dev-012-F2-S031"],"element_path":["proc-factory-dev-012-F2-O0135","proc-factory-dev-012-F2-O0135","proc-factory-dev-012-F2-O0137","proc-factory-dev-012-F2-O0137"]}</x:v>
      </x:c>
      <x:c r="O1450" s="6"/>
      <x:c r="P1450" s="6" t="str">
        <x:v>README routing profile. Stairs and lifts allowed unless stated otherwise.</x:v>
      </x:c>
      <x:c r="Q1450" s="15" t="n">
        <x:v>34.47</x:v>
      </x:c>
      <x:c r="R1450" s="6" t="str">
        <x:v>m</x:v>
      </x:c>
      <x:c r="S1450" s="16"/>
      <x:c r="T1450" s="15"/>
      <x:c r="U1450" s="6"/>
      <x:c r="V1450" s="6"/>
      <x:c r="W1450" s="6" t="str">
        <x:v>Existing find_route and show_route implement the kit routing model.</x:v>
      </x:c>
      <x:c r="X1450" s="6" t="str">
        <x:v>data/dev/proc-factory-dev-012/questions_basic.jsonl</x:v>
      </x:c>
      <x:c r="Y1450" s="14" t="n">
        <x:v>6</x:v>
      </x:c>
      <x:c r="Z1450" s="6" t="str">
        <x:v>https://github.com/hagenhaeussler/Industrial-Agents-Hackathon-2026/blob/f41616590b69f3ea0c1cbfb41d6c35edd9ce53df/data/dev/proc-factory-dev-012/questions_basic.jsonl#L6</x:v>
      </x:c>
      <x:c r="AA1450" s="6" t="str">
        <x:v>procedural</x:v>
      </x:c>
      <x:c r="AB1450" s="6" t="str">
        <x:v>CC0-1.0</x:v>
      </x:c>
    </x:row>
    <x:row r="1451" ht="124" customHeight="1">
      <x:c r="A1451" s="14" t="n">
        <x:v>1446</x:v>
      </x:c>
      <x:c r="B1451" s="6" t="str">
        <x:v>route</x:v>
      </x:c>
      <x:c r="C1451" s="6" t="str">
        <x:v>How do I get from Office 2.35 (Floor 2) to Kitchen 0.30 (Ground floor)?</x:v>
      </x:c>
      <x:c r="D1451" s="6" t="str">
        <x:v>157.58 m
From: Office 2.35
To: Kitchen 0.30
Ordered path (7 spaces): Office 2.35 → Office corridor 2.01 → Staircase 2.02 → Staircase 1.02 → Staircase 0.26 → Office corridor 0.25 → Kitchen 0.30</x:v>
      </x:c>
      <x:c r="E1451" s="6" t="str">
        <x:v>Reference supplied</x:v>
      </x:c>
      <x:c r="F1451" s="6" t="str">
        <x:v>dev</x:v>
      </x:c>
      <x:c r="G1451" s="6" t="str">
        <x:v>proc-factory-dev-012</x:v>
      </x:c>
      <x:c r="H1451" s="6" t="str">
        <x:v>proc-factory-dev-012-Q07</x:v>
      </x:c>
      <x:c r="I1451" s="6" t="str">
        <x:v>Route planning</x:v>
      </x:c>
      <x:c r="J1451" s="6" t="str">
        <x:v>Warm-up</x:v>
      </x:c>
      <x:c r="K1451" s="6" t="str">
        <x:v>Ordered space path and directions, plus total route-model distance in metres.</x:v>
      </x:c>
      <x:c r="L1451" s="6" t="str">
        <x:v>T02, T05, T13</x:v>
      </x:c>
      <x:c r="M1451" s="6" t="str">
        <x:v>Find a valid route between two rooms, including across floors.</x:v>
      </x:c>
      <x:c r="N1451" s="6" t="str">
        <x:v>{"from_space_id":"proc-factory-dev-012-F2-S035","to_space_id":"proc-factory-dev-012-F0-S030","optimal_length_m":157.58,"space_path":["proc-factory-dev-012-F2-S035","proc-factory-dev-012-F2-S001","proc-factory-dev-012-F2-S002","proc-factory-dev-012-F1-S002","proc-factory-dev-012-F0-S026","proc-factory-dev-012-F0-S025","proc-factory-dev-012-F0-S030"],"element_path":["proc-factory-dev-012-F2-O0141","proc-factory-dev-012-F2-O0141","proc-factory-dev-012-F2-O0108","proc-factory-dev-012-F2-O0108","proc-factory-dev-012-V01","proc-factory-dev-012-V01","proc-factory-dev-012-F0-O0037","proc-factory-dev-012-F0-O0037","proc-factory-dev-012-F0-O0042","proc-factory-dev-012-F0-O0042"]}</x:v>
      </x:c>
      <x:c r="O1451" s="6"/>
      <x:c r="P1451" s="6" t="str">
        <x:v>README routing profile. Stairs and lifts allowed unless stated otherwise.</x:v>
      </x:c>
      <x:c r="Q1451" s="15" t="n">
        <x:v>157.58</x:v>
      </x:c>
      <x:c r="R1451" s="6" t="str">
        <x:v>m</x:v>
      </x:c>
      <x:c r="S1451" s="16"/>
      <x:c r="T1451" s="15"/>
      <x:c r="U1451" s="6"/>
      <x:c r="V1451" s="6"/>
      <x:c r="W1451" s="6" t="str">
        <x:v>Existing find_route and show_route implement the kit routing model.</x:v>
      </x:c>
      <x:c r="X1451" s="6" t="str">
        <x:v>data/dev/proc-factory-dev-012/questions_basic.jsonl</x:v>
      </x:c>
      <x:c r="Y1451" s="14" t="n">
        <x:v>7</x:v>
      </x:c>
      <x:c r="Z1451" s="6" t="str">
        <x:v>https://github.com/hagenhaeussler/Industrial-Agents-Hackathon-2026/blob/f41616590b69f3ea0c1cbfb41d6c35edd9ce53df/data/dev/proc-factory-dev-012/questions_basic.jsonl#L7</x:v>
      </x:c>
      <x:c r="AA1451" s="6" t="str">
        <x:v>procedural</x:v>
      </x:c>
      <x:c r="AB1451" s="6" t="str">
        <x:v>CC0-1.0</x:v>
      </x:c>
    </x:row>
    <x:row r="1452" ht="72" customHeight="1">
      <x:c r="A1452" s="14" t="n">
        <x:v>1447</x:v>
      </x:c>
      <x:c r="B1452" s="6" t="str">
        <x:v>route</x:v>
      </x:c>
      <x:c r="C1452" s="6" t="str">
        <x:v>How do I get from Bedroom 0.02 (Ground floor) to Living room 0.01 (Ground floor)?</x:v>
      </x:c>
      <x:c r="D1452" s="6" t="str">
        <x:v>4.38 m
From: Bedroom 0.02
To: Living room 0.01
Ordered path (2 spaces): Bedroom 0.02 → Living room 0.01</x:v>
      </x:c>
      <x:c r="E1452" s="6" t="str">
        <x:v>Reference supplied</x:v>
      </x:c>
      <x:c r="F1452" s="6" t="str">
        <x:v>dev</x:v>
      </x:c>
      <x:c r="G1452" s="6" t="str">
        <x:v>resplan-14509</x:v>
      </x:c>
      <x:c r="H1452" s="6" t="str">
        <x:v>resplan-14509-Q05</x:v>
      </x:c>
      <x:c r="I1452" s="6" t="str">
        <x:v>Route planning</x:v>
      </x:c>
      <x:c r="J1452" s="6" t="str">
        <x:v>Warm-up</x:v>
      </x:c>
      <x:c r="K1452" s="6" t="str">
        <x:v>Ordered space path and directions, plus total route-model distance in metres.</x:v>
      </x:c>
      <x:c r="L1452" s="6" t="str">
        <x:v>T02, T05, T13</x:v>
      </x:c>
      <x:c r="M1452" s="6" t="str">
        <x:v>Find a valid route between two rooms, including across floors.</x:v>
      </x:c>
      <x:c r="N1452" s="6" t="str">
        <x:v>{"from_space_id":"resplan-14509-F0-S002","to_space_id":"resplan-14509-F0-S001","optimal_length_m":4.38,"space_path":["resplan-14509-F0-S002","resplan-14509-F0-S001"],"element_path":["resplan-14509-F0-O0002","resplan-14509-F0-O0002"]}</x:v>
      </x:c>
      <x:c r="O1452" s="6"/>
      <x:c r="P1452" s="6" t="str">
        <x:v>README routing profile. Stairs and lifts allowed unless stated otherwise.</x:v>
      </x:c>
      <x:c r="Q1452" s="15" t="n">
        <x:v>4.38</x:v>
      </x:c>
      <x:c r="R1452" s="6" t="str">
        <x:v>m</x:v>
      </x:c>
      <x:c r="S1452" s="16"/>
      <x:c r="T1452" s="15"/>
      <x:c r="U1452" s="6"/>
      <x:c r="V1452" s="6"/>
      <x:c r="W1452" s="6" t="str">
        <x:v>Existing find_route and show_route implement the kit routing model.</x:v>
      </x:c>
      <x:c r="X1452" s="6" t="str">
        <x:v>data/dev/resplan-14509/questions_basic.jsonl</x:v>
      </x:c>
      <x:c r="Y1452" s="14" t="n">
        <x:v>5</x:v>
      </x:c>
      <x:c r="Z1452" s="6" t="str">
        <x:v>https://github.com/hagenhaeussler/Industrial-Agents-Hackathon-2026/blob/f41616590b69f3ea0c1cbfb41d6c35edd9ce53df/data/dev/resplan-14509/questions_basic.jsonl#L5</x:v>
      </x:c>
      <x:c r="AA1452" s="6" t="str">
        <x:v>resplan</x:v>
      </x:c>
      <x:c r="AB1452" s="6" t="str">
        <x:v>CC-BY-4.0</x:v>
      </x:c>
    </x:row>
    <x:row r="1453" ht="82" customHeight="1">
      <x:c r="A1453" s="14" t="n">
        <x:v>1448</x:v>
      </x:c>
      <x:c r="B1453" s="6" t="str">
        <x:v>route</x:v>
      </x:c>
      <x:c r="C1453" s="6" t="str">
        <x:v>How do I get from Bedroom 0.02 (Ground floor) to Bathroom 0.05 (Ground floor)?</x:v>
      </x:c>
      <x:c r="D1453" s="6" t="str">
        <x:v>10.39 m
From: Bedroom 0.02
To: Bathroom 0.05
Ordered path (4 spaces): Bedroom 0.02 → Living room 0.01 → Kitchen 0.06 → Bathroom 0.05</x:v>
      </x:c>
      <x:c r="E1453" s="6" t="str">
        <x:v>Reference supplied</x:v>
      </x:c>
      <x:c r="F1453" s="6" t="str">
        <x:v>dev</x:v>
      </x:c>
      <x:c r="G1453" s="6" t="str">
        <x:v>resplan-14509</x:v>
      </x:c>
      <x:c r="H1453" s="6" t="str">
        <x:v>resplan-14509-Q06</x:v>
      </x:c>
      <x:c r="I1453" s="6" t="str">
        <x:v>Route planning</x:v>
      </x:c>
      <x:c r="J1453" s="6" t="str">
        <x:v>Warm-up</x:v>
      </x:c>
      <x:c r="K1453" s="6" t="str">
        <x:v>Ordered space path and directions, plus total route-model distance in metres.</x:v>
      </x:c>
      <x:c r="L1453" s="6" t="str">
        <x:v>T02, T05, T13</x:v>
      </x:c>
      <x:c r="M1453" s="6" t="str">
        <x:v>Find a valid route between two rooms, including across floors.</x:v>
      </x:c>
      <x:c r="N1453" s="6" t="str">
        <x:v>{"from_space_id":"resplan-14509-F0-S002","to_space_id":"resplan-14509-F0-S005","optimal_length_m":10.39,"space_path":["resplan-14509-F0-S002","resplan-14509-F0-S001","resplan-14509-F0-S006","resplan-14509-F0-S005"],"element_path":["resplan-14509-F0-O0002","resplan-14509-F0-O0002","resplan-14509-F0-O0005","resplan-14509-F0-O0005","resplan-14509-F0-O0006","resplan-14509-F0-O0006"]}</x:v>
      </x:c>
      <x:c r="O1453" s="6"/>
      <x:c r="P1453" s="6" t="str">
        <x:v>README routing profile. Stairs and lifts allowed unless stated otherwise.</x:v>
      </x:c>
      <x:c r="Q1453" s="15" t="n">
        <x:v>10.39</x:v>
      </x:c>
      <x:c r="R1453" s="6" t="str">
        <x:v>m</x:v>
      </x:c>
      <x:c r="S1453" s="16"/>
      <x:c r="T1453" s="15"/>
      <x:c r="U1453" s="6"/>
      <x:c r="V1453" s="6"/>
      <x:c r="W1453" s="6" t="str">
        <x:v>Existing find_route and show_route implement the kit routing model.</x:v>
      </x:c>
      <x:c r="X1453" s="6" t="str">
        <x:v>data/dev/resplan-14509/questions_basic.jsonl</x:v>
      </x:c>
      <x:c r="Y1453" s="14" t="n">
        <x:v>6</x:v>
      </x:c>
      <x:c r="Z1453" s="6" t="str">
        <x:v>https://github.com/hagenhaeussler/Industrial-Agents-Hackathon-2026/blob/f41616590b69f3ea0c1cbfb41d6c35edd9ce53df/data/dev/resplan-14509/questions_basic.jsonl#L6</x:v>
      </x:c>
      <x:c r="AA1453" s="6" t="str">
        <x:v>resplan</x:v>
      </x:c>
      <x:c r="AB1453" s="6" t="str">
        <x:v>CC-BY-4.0</x:v>
      </x:c>
    </x:row>
    <x:row r="1454" ht="72" customHeight="1">
      <x:c r="A1454" s="14" t="n">
        <x:v>1449</x:v>
      </x:c>
      <x:c r="B1454" s="6" t="str">
        <x:v>route</x:v>
      </x:c>
      <x:c r="C1454" s="6" t="str">
        <x:v>How do I get from Bathroom 0.05 (Ground floor) to Bedroom 0.03 (Ground floor)?</x:v>
      </x:c>
      <x:c r="D1454" s="6" t="str">
        <x:v>2.84 m
From: Bathroom 0.05
To: Bedroom 0.03
Ordered path (2 spaces): Bathroom 0.05 → Bedroom 0.03</x:v>
      </x:c>
      <x:c r="E1454" s="6" t="str">
        <x:v>Reference supplied</x:v>
      </x:c>
      <x:c r="F1454" s="6" t="str">
        <x:v>dev</x:v>
      </x:c>
      <x:c r="G1454" s="6" t="str">
        <x:v>resplan-14509</x:v>
      </x:c>
      <x:c r="H1454" s="6" t="str">
        <x:v>resplan-14509-Q07</x:v>
      </x:c>
      <x:c r="I1454" s="6" t="str">
        <x:v>Route planning</x:v>
      </x:c>
      <x:c r="J1454" s="6" t="str">
        <x:v>Warm-up</x:v>
      </x:c>
      <x:c r="K1454" s="6" t="str">
        <x:v>Ordered space path and directions, plus total route-model distance in metres.</x:v>
      </x:c>
      <x:c r="L1454" s="6" t="str">
        <x:v>T02, T05, T13</x:v>
      </x:c>
      <x:c r="M1454" s="6" t="str">
        <x:v>Find a valid route between two rooms, including across floors.</x:v>
      </x:c>
      <x:c r="N1454" s="6" t="str">
        <x:v>{"from_space_id":"resplan-14509-F0-S005","to_space_id":"resplan-14509-F0-S003","optimal_length_m":2.84,"space_path":["resplan-14509-F0-S005","resplan-14509-F0-S003"],"element_path":["resplan-14509-F0-O0004","resplan-14509-F0-O0004"]}</x:v>
      </x:c>
      <x:c r="O1454" s="6"/>
      <x:c r="P1454" s="6" t="str">
        <x:v>README routing profile. Stairs and lifts allowed unless stated otherwise.</x:v>
      </x:c>
      <x:c r="Q1454" s="15" t="n">
        <x:v>2.84</x:v>
      </x:c>
      <x:c r="R1454" s="6" t="str">
        <x:v>m</x:v>
      </x:c>
      <x:c r="S1454" s="16"/>
      <x:c r="T1454" s="15"/>
      <x:c r="U1454" s="6"/>
      <x:c r="V1454" s="6"/>
      <x:c r="W1454" s="6" t="str">
        <x:v>Existing find_route and show_route implement the kit routing model.</x:v>
      </x:c>
      <x:c r="X1454" s="6" t="str">
        <x:v>data/dev/resplan-14509/questions_basic.jsonl</x:v>
      </x:c>
      <x:c r="Y1454" s="14" t="n">
        <x:v>7</x:v>
      </x:c>
      <x:c r="Z1454" s="6" t="str">
        <x:v>https://github.com/hagenhaeussler/Industrial-Agents-Hackathon-2026/blob/f41616590b69f3ea0c1cbfb41d6c35edd9ce53df/data/dev/resplan-14509/questions_basic.jsonl#L7</x:v>
      </x:c>
      <x:c r="AA1454" s="6" t="str">
        <x:v>resplan</x:v>
      </x:c>
      <x:c r="AB1454" s="6" t="str">
        <x:v>CC-BY-4.0</x:v>
      </x:c>
    </x:row>
    <x:row r="1455" ht="72" customHeight="1">
      <x:c r="A1455" s="14" t="n">
        <x:v>1450</x:v>
      </x:c>
      <x:c r="B1455" s="6" t="str">
        <x:v>route</x:v>
      </x:c>
      <x:c r="C1455" s="6" t="str">
        <x:v>How do I get from Living room 0.01 (Ground floor) to Bedroom 0.02 (Ground floor)?</x:v>
      </x:c>
      <x:c r="D1455" s="6" t="str">
        <x:v>7.12 m
From: Living room 0.01
To: Bedroom 0.02
Ordered path (2 spaces): Living room 0.01 → Bedroom 0.02</x:v>
      </x:c>
      <x:c r="E1455" s="6" t="str">
        <x:v>Reference supplied</x:v>
      </x:c>
      <x:c r="F1455" s="6" t="str">
        <x:v>dev</x:v>
      </x:c>
      <x:c r="G1455" s="6" t="str">
        <x:v>resplan-1465</x:v>
      </x:c>
      <x:c r="H1455" s="6" t="str">
        <x:v>resplan-1465-Q05</x:v>
      </x:c>
      <x:c r="I1455" s="6" t="str">
        <x:v>Route planning</x:v>
      </x:c>
      <x:c r="J1455" s="6" t="str">
        <x:v>Warm-up</x:v>
      </x:c>
      <x:c r="K1455" s="6" t="str">
        <x:v>Ordered space path and directions, plus total route-model distance in metres.</x:v>
      </x:c>
      <x:c r="L1455" s="6" t="str">
        <x:v>T02, T05, T13</x:v>
      </x:c>
      <x:c r="M1455" s="6" t="str">
        <x:v>Find a valid route between two rooms, including across floors.</x:v>
      </x:c>
      <x:c r="N1455" s="6" t="str">
        <x:v>{"from_space_id":"resplan-1465-F0-S001","to_space_id":"resplan-1465-F0-S002","optimal_length_m":7.12,"space_path":["resplan-1465-F0-S001","resplan-1465-F0-S002"],"element_path":["resplan-1465-F0-O0002","resplan-1465-F0-O0002"]}</x:v>
      </x:c>
      <x:c r="O1455" s="6"/>
      <x:c r="P1455" s="6" t="str">
        <x:v>README routing profile. Stairs and lifts allowed unless stated otherwise.</x:v>
      </x:c>
      <x:c r="Q1455" s="15" t="n">
        <x:v>7.12</x:v>
      </x:c>
      <x:c r="R1455" s="6" t="str">
        <x:v>m</x:v>
      </x:c>
      <x:c r="S1455" s="16"/>
      <x:c r="T1455" s="15"/>
      <x:c r="U1455" s="6"/>
      <x:c r="V1455" s="6"/>
      <x:c r="W1455" s="6" t="str">
        <x:v>Existing find_route and show_route implement the kit routing model.</x:v>
      </x:c>
      <x:c r="X1455" s="6" t="str">
        <x:v>data/dev/resplan-1465/questions_basic.jsonl</x:v>
      </x:c>
      <x:c r="Y1455" s="14" t="n">
        <x:v>5</x:v>
      </x:c>
      <x:c r="Z1455" s="6" t="str">
        <x:v>https://github.com/hagenhaeussler/Industrial-Agents-Hackathon-2026/blob/f41616590b69f3ea0c1cbfb41d6c35edd9ce53df/data/dev/resplan-1465/questions_basic.jsonl#L5</x:v>
      </x:c>
      <x:c r="AA1455" s="6" t="str">
        <x:v>resplan</x:v>
      </x:c>
      <x:c r="AB1455" s="6" t="str">
        <x:v>CC-BY-4.0</x:v>
      </x:c>
    </x:row>
    <x:row r="1456" ht="72" customHeight="1">
      <x:c r="A1456" s="14" t="n">
        <x:v>1451</x:v>
      </x:c>
      <x:c r="B1456" s="6" t="str">
        <x:v>route</x:v>
      </x:c>
      <x:c r="C1456" s="6" t="str">
        <x:v>How do I get from Bedroom 0.03 (Ground floor) to Kitchen 0.06 (Ground floor)?</x:v>
      </x:c>
      <x:c r="D1456" s="6" t="str">
        <x:v>10.75 m
From: Bedroom 0.03
To: Kitchen 0.06
Ordered path (3 spaces): Bedroom 0.03 → Living room 0.01 → Kitchen 0.06</x:v>
      </x:c>
      <x:c r="E1456" s="6" t="str">
        <x:v>Reference supplied</x:v>
      </x:c>
      <x:c r="F1456" s="6" t="str">
        <x:v>dev</x:v>
      </x:c>
      <x:c r="G1456" s="6" t="str">
        <x:v>resplan-1465</x:v>
      </x:c>
      <x:c r="H1456" s="6" t="str">
        <x:v>resplan-1465-Q06</x:v>
      </x:c>
      <x:c r="I1456" s="6" t="str">
        <x:v>Route planning</x:v>
      </x:c>
      <x:c r="J1456" s="6" t="str">
        <x:v>Warm-up</x:v>
      </x:c>
      <x:c r="K1456" s="6" t="str">
        <x:v>Ordered space path and directions, plus total route-model distance in metres.</x:v>
      </x:c>
      <x:c r="L1456" s="6" t="str">
        <x:v>T02, T05, T13</x:v>
      </x:c>
      <x:c r="M1456" s="6" t="str">
        <x:v>Find a valid route between two rooms, including across floors.</x:v>
      </x:c>
      <x:c r="N1456" s="6" t="str">
        <x:v>{"from_space_id":"resplan-1465-F0-S003","to_space_id":"resplan-1465-F0-S006","optimal_length_m":10.75,"space_path":["resplan-1465-F0-S003","resplan-1465-F0-S001","resplan-1465-F0-S006"],"element_path":["resplan-1465-F0-O0004","resplan-1465-F0-O0004","resplan-1465-F0-O0009","resplan-1465-F0-O0009"]}</x:v>
      </x:c>
      <x:c r="O1456" s="6"/>
      <x:c r="P1456" s="6" t="str">
        <x:v>README routing profile. Stairs and lifts allowed unless stated otherwise.</x:v>
      </x:c>
      <x:c r="Q1456" s="15" t="n">
        <x:v>10.75</x:v>
      </x:c>
      <x:c r="R1456" s="6" t="str">
        <x:v>m</x:v>
      </x:c>
      <x:c r="S1456" s="16"/>
      <x:c r="T1456" s="15"/>
      <x:c r="U1456" s="6"/>
      <x:c r="V1456" s="6"/>
      <x:c r="W1456" s="6" t="str">
        <x:v>Existing find_route and show_route implement the kit routing model.</x:v>
      </x:c>
      <x:c r="X1456" s="6" t="str">
        <x:v>data/dev/resplan-1465/questions_basic.jsonl</x:v>
      </x:c>
      <x:c r="Y1456" s="14" t="n">
        <x:v>6</x:v>
      </x:c>
      <x:c r="Z1456" s="6" t="str">
        <x:v>https://github.com/hagenhaeussler/Industrial-Agents-Hackathon-2026/blob/f41616590b69f3ea0c1cbfb41d6c35edd9ce53df/data/dev/resplan-1465/questions_basic.jsonl#L6</x:v>
      </x:c>
      <x:c r="AA1456" s="6" t="str">
        <x:v>resplan</x:v>
      </x:c>
      <x:c r="AB1456" s="6" t="str">
        <x:v>CC-BY-4.0</x:v>
      </x:c>
    </x:row>
    <x:row r="1457" ht="82" customHeight="1">
      <x:c r="A1457" s="14" t="n">
        <x:v>1452</x:v>
      </x:c>
      <x:c r="B1457" s="6" t="str">
        <x:v>route</x:v>
      </x:c>
      <x:c r="C1457" s="6" t="str">
        <x:v>How do I get from Bathroom 0.05 (Ground floor) to Kitchen 0.06 (Ground floor)?</x:v>
      </x:c>
      <x:c r="D1457" s="6" t="str">
        <x:v>16.56 m
From: Bathroom 0.05
To: Kitchen 0.06
Ordered path (4 spaces): Bathroom 0.05 → Bedroom 0.02 → Living room 0.01 → Kitchen 0.06</x:v>
      </x:c>
      <x:c r="E1457" s="6" t="str">
        <x:v>Reference supplied</x:v>
      </x:c>
      <x:c r="F1457" s="6" t="str">
        <x:v>dev</x:v>
      </x:c>
      <x:c r="G1457" s="6" t="str">
        <x:v>resplan-1465</x:v>
      </x:c>
      <x:c r="H1457" s="6" t="str">
        <x:v>resplan-1465-Q07</x:v>
      </x:c>
      <x:c r="I1457" s="6" t="str">
        <x:v>Route planning</x:v>
      </x:c>
      <x:c r="J1457" s="6" t="str">
        <x:v>Warm-up</x:v>
      </x:c>
      <x:c r="K1457" s="6" t="str">
        <x:v>Ordered space path and directions, plus total route-model distance in metres.</x:v>
      </x:c>
      <x:c r="L1457" s="6" t="str">
        <x:v>T02, T05, T13</x:v>
      </x:c>
      <x:c r="M1457" s="6" t="str">
        <x:v>Find a valid route between two rooms, including across floors.</x:v>
      </x:c>
      <x:c r="N1457" s="6" t="str">
        <x:v>{"from_space_id":"resplan-1465-F0-S005","to_space_id":"resplan-1465-F0-S006","optimal_length_m":16.56,"space_path":["resplan-1465-F0-S005","resplan-1465-F0-S002","resplan-1465-F0-S001","resplan-1465-F0-S006"],"element_path":["resplan-1465-F0-O0001","resplan-1465-F0-O0001","resplan-1465-F0-O0002","resplan-1465-F0-O0002","resplan-1465-F0-O0009","resplan-1465-F0-O0009"]}</x:v>
      </x:c>
      <x:c r="O1457" s="6"/>
      <x:c r="P1457" s="6" t="str">
        <x:v>README routing profile. Stairs and lifts allowed unless stated otherwise.</x:v>
      </x:c>
      <x:c r="Q1457" s="15" t="n">
        <x:v>16.56</x:v>
      </x:c>
      <x:c r="R1457" s="6" t="str">
        <x:v>m</x:v>
      </x:c>
      <x:c r="S1457" s="16"/>
      <x:c r="T1457" s="15"/>
      <x:c r="U1457" s="6"/>
      <x:c r="V1457" s="6"/>
      <x:c r="W1457" s="6" t="str">
        <x:v>Existing find_route and show_route implement the kit routing model.</x:v>
      </x:c>
      <x:c r="X1457" s="6" t="str">
        <x:v>data/dev/resplan-1465/questions_basic.jsonl</x:v>
      </x:c>
      <x:c r="Y1457" s="14" t="n">
        <x:v>7</x:v>
      </x:c>
      <x:c r="Z1457" s="6" t="str">
        <x:v>https://github.com/hagenhaeussler/Industrial-Agents-Hackathon-2026/blob/f41616590b69f3ea0c1cbfb41d6c35edd9ce53df/data/dev/resplan-1465/questions_basic.jsonl#L7</x:v>
      </x:c>
      <x:c r="AA1457" s="6" t="str">
        <x:v>resplan</x:v>
      </x:c>
      <x:c r="AB1457" s="6" t="str">
        <x:v>CC-BY-4.0</x:v>
      </x:c>
    </x:row>
    <x:row r="1458" ht="72" customHeight="1">
      <x:c r="A1458" s="14" t="n">
        <x:v>1453</x:v>
      </x:c>
      <x:c r="B1458" s="6" t="str">
        <x:v>route</x:v>
      </x:c>
      <x:c r="C1458" s="6" t="str">
        <x:v>How do I get from Kitchen 0.09 (Ground floor) to Living room 0.01 (Ground floor)?</x:v>
      </x:c>
      <x:c r="D1458" s="6" t="str">
        <x:v>3.51 m
From: Kitchen 0.09
To: Living room 0.01
Ordered path (2 spaces): Kitchen 0.09 → Living room 0.01</x:v>
      </x:c>
      <x:c r="E1458" s="6" t="str">
        <x:v>Reference supplied</x:v>
      </x:c>
      <x:c r="F1458" s="6" t="str">
        <x:v>dev</x:v>
      </x:c>
      <x:c r="G1458" s="6" t="str">
        <x:v>resplan-15179</x:v>
      </x:c>
      <x:c r="H1458" s="6" t="str">
        <x:v>resplan-15179-Q05</x:v>
      </x:c>
      <x:c r="I1458" s="6" t="str">
        <x:v>Route planning</x:v>
      </x:c>
      <x:c r="J1458" s="6" t="str">
        <x:v>Warm-up</x:v>
      </x:c>
      <x:c r="K1458" s="6" t="str">
        <x:v>Ordered space path and directions, plus total route-model distance in metres.</x:v>
      </x:c>
      <x:c r="L1458" s="6" t="str">
        <x:v>T02, T05, T13</x:v>
      </x:c>
      <x:c r="M1458" s="6" t="str">
        <x:v>Find a valid route between two rooms, including across floors.</x:v>
      </x:c>
      <x:c r="N1458" s="6" t="str">
        <x:v>{"from_space_id":"resplan-15179-F0-S009","to_space_id":"resplan-15179-F0-S001","optimal_length_m":3.51,"space_path":["resplan-15179-F0-S009","resplan-15179-F0-S001"],"element_path":["resplan-15179-F0-O0011","resplan-15179-F0-O0011"]}</x:v>
      </x:c>
      <x:c r="O1458" s="6"/>
      <x:c r="P1458" s="6" t="str">
        <x:v>README routing profile. Stairs and lifts allowed unless stated otherwise.</x:v>
      </x:c>
      <x:c r="Q1458" s="15" t="n">
        <x:v>3.51</x:v>
      </x:c>
      <x:c r="R1458" s="6" t="str">
        <x:v>m</x:v>
      </x:c>
      <x:c r="S1458" s="16"/>
      <x:c r="T1458" s="15"/>
      <x:c r="U1458" s="6"/>
      <x:c r="V1458" s="6"/>
      <x:c r="W1458" s="6" t="str">
        <x:v>Existing find_route and show_route implement the kit routing model.</x:v>
      </x:c>
      <x:c r="X1458" s="6" t="str">
        <x:v>data/dev/resplan-15179/questions_basic.jsonl</x:v>
      </x:c>
      <x:c r="Y1458" s="14" t="n">
        <x:v>5</x:v>
      </x:c>
      <x:c r="Z1458" s="6" t="str">
        <x:v>https://github.com/hagenhaeussler/Industrial-Agents-Hackathon-2026/blob/f41616590b69f3ea0c1cbfb41d6c35edd9ce53df/data/dev/resplan-15179/questions_basic.jsonl#L5</x:v>
      </x:c>
      <x:c r="AA1458" s="6" t="str">
        <x:v>resplan</x:v>
      </x:c>
      <x:c r="AB1458" s="6" t="str">
        <x:v>CC-BY-4.0</x:v>
      </x:c>
    </x:row>
    <x:row r="1459" ht="82" customHeight="1">
      <x:c r="A1459" s="14" t="n">
        <x:v>1454</x:v>
      </x:c>
      <x:c r="B1459" s="6" t="str">
        <x:v>route</x:v>
      </x:c>
      <x:c r="C1459" s="6" t="str">
        <x:v>How do I get from Kitchen 0.09 (Ground floor) to Bathroom 0.07 (Ground floor)?</x:v>
      </x:c>
      <x:c r="D1459" s="6" t="str">
        <x:v>10.06 m
From: Kitchen 0.09
To: Bathroom 0.07
Ordered path (3 spaces): Kitchen 0.09 → Living room 0.01 → Bathroom 0.07</x:v>
      </x:c>
      <x:c r="E1459" s="6" t="str">
        <x:v>Reference supplied</x:v>
      </x:c>
      <x:c r="F1459" s="6" t="str">
        <x:v>dev</x:v>
      </x:c>
      <x:c r="G1459" s="6" t="str">
        <x:v>resplan-15179</x:v>
      </x:c>
      <x:c r="H1459" s="6" t="str">
        <x:v>resplan-15179-Q06</x:v>
      </x:c>
      <x:c r="I1459" s="6" t="str">
        <x:v>Route planning</x:v>
      </x:c>
      <x:c r="J1459" s="6" t="str">
        <x:v>Warm-up</x:v>
      </x:c>
      <x:c r="K1459" s="6" t="str">
        <x:v>Ordered space path and directions, plus total route-model distance in metres.</x:v>
      </x:c>
      <x:c r="L1459" s="6" t="str">
        <x:v>T02, T05, T13</x:v>
      </x:c>
      <x:c r="M1459" s="6" t="str">
        <x:v>Find a valid route between two rooms, including across floors.</x:v>
      </x:c>
      <x:c r="N1459" s="6" t="str">
        <x:v>{"from_space_id":"resplan-15179-F0-S009","to_space_id":"resplan-15179-F0-S007","optimal_length_m":10.06,"space_path":["resplan-15179-F0-S009","resplan-15179-F0-S001","resplan-15179-F0-S007"],"element_path":["resplan-15179-F0-O0011","resplan-15179-F0-O0011","resplan-15179-F0-O0006","resplan-15179-F0-O0006"]}</x:v>
      </x:c>
      <x:c r="O1459" s="6"/>
      <x:c r="P1459" s="6" t="str">
        <x:v>README routing profile. Stairs and lifts allowed unless stated otherwise.</x:v>
      </x:c>
      <x:c r="Q1459" s="15" t="n">
        <x:v>10.06</x:v>
      </x:c>
      <x:c r="R1459" s="6" t="str">
        <x:v>m</x:v>
      </x:c>
      <x:c r="S1459" s="16"/>
      <x:c r="T1459" s="15"/>
      <x:c r="U1459" s="6"/>
      <x:c r="V1459" s="6"/>
      <x:c r="W1459" s="6" t="str">
        <x:v>Existing find_route and show_route implement the kit routing model.</x:v>
      </x:c>
      <x:c r="X1459" s="6" t="str">
        <x:v>data/dev/resplan-15179/questions_basic.jsonl</x:v>
      </x:c>
      <x:c r="Y1459" s="14" t="n">
        <x:v>6</x:v>
      </x:c>
      <x:c r="Z1459" s="6" t="str">
        <x:v>https://github.com/hagenhaeussler/Industrial-Agents-Hackathon-2026/blob/f41616590b69f3ea0c1cbfb41d6c35edd9ce53df/data/dev/resplan-15179/questions_basic.jsonl#L6</x:v>
      </x:c>
      <x:c r="AA1459" s="6" t="str">
        <x:v>resplan</x:v>
      </x:c>
      <x:c r="AB1459" s="6" t="str">
        <x:v>CC-BY-4.0</x:v>
      </x:c>
    </x:row>
    <x:row r="1460" ht="82" customHeight="1">
      <x:c r="A1460" s="14" t="n">
        <x:v>1455</x:v>
      </x:c>
      <x:c r="B1460" s="6" t="str">
        <x:v>route</x:v>
      </x:c>
      <x:c r="C1460" s="6" t="str">
        <x:v>How do I get from Kitchen 0.09 (Ground floor) to Bathroom 0.07 (Ground floor)?</x:v>
      </x:c>
      <x:c r="D1460" s="6" t="str">
        <x:v>10.06 m
From: Kitchen 0.09
To: Bathroom 0.07
Ordered path (3 spaces): Kitchen 0.09 → Living room 0.01 → Bathroom 0.07</x:v>
      </x:c>
      <x:c r="E1460" s="6" t="str">
        <x:v>Reference supplied</x:v>
      </x:c>
      <x:c r="F1460" s="6" t="str">
        <x:v>dev</x:v>
      </x:c>
      <x:c r="G1460" s="6" t="str">
        <x:v>resplan-15179</x:v>
      </x:c>
      <x:c r="H1460" s="6" t="str">
        <x:v>resplan-15179-Q07</x:v>
      </x:c>
      <x:c r="I1460" s="6" t="str">
        <x:v>Route planning</x:v>
      </x:c>
      <x:c r="J1460" s="6" t="str">
        <x:v>Warm-up</x:v>
      </x:c>
      <x:c r="K1460" s="6" t="str">
        <x:v>Ordered space path and directions, plus total route-model distance in metres.</x:v>
      </x:c>
      <x:c r="L1460" s="6" t="str">
        <x:v>T02, T05, T13</x:v>
      </x:c>
      <x:c r="M1460" s="6" t="str">
        <x:v>Find a valid route between two rooms, including across floors.</x:v>
      </x:c>
      <x:c r="N1460" s="6" t="str">
        <x:v>{"from_space_id":"resplan-15179-F0-S009","to_space_id":"resplan-15179-F0-S007","optimal_length_m":10.06,"space_path":["resplan-15179-F0-S009","resplan-15179-F0-S001","resplan-15179-F0-S007"],"element_path":["resplan-15179-F0-O0011","resplan-15179-F0-O0011","resplan-15179-F0-O0006","resplan-15179-F0-O0006"]}</x:v>
      </x:c>
      <x:c r="O1460" s="6"/>
      <x:c r="P1460" s="6" t="str">
        <x:v>README routing profile. Stairs and lifts allowed unless stated otherwise.</x:v>
      </x:c>
      <x:c r="Q1460" s="15" t="n">
        <x:v>10.06</x:v>
      </x:c>
      <x:c r="R1460" s="6" t="str">
        <x:v>m</x:v>
      </x:c>
      <x:c r="S1460" s="16"/>
      <x:c r="T1460" s="15"/>
      <x:c r="U1460" s="6"/>
      <x:c r="V1460" s="6"/>
      <x:c r="W1460" s="6" t="str">
        <x:v>Existing find_route and show_route implement the kit routing model.</x:v>
      </x:c>
      <x:c r="X1460" s="6" t="str">
        <x:v>data/dev/resplan-15179/questions_basic.jsonl</x:v>
      </x:c>
      <x:c r="Y1460" s="14" t="n">
        <x:v>7</x:v>
      </x:c>
      <x:c r="Z1460" s="6" t="str">
        <x:v>https://github.com/hagenhaeussler/Industrial-Agents-Hackathon-2026/blob/f41616590b69f3ea0c1cbfb41d6c35edd9ce53df/data/dev/resplan-15179/questions_basic.jsonl#L7</x:v>
      </x:c>
      <x:c r="AA1460" s="6" t="str">
        <x:v>resplan</x:v>
      </x:c>
      <x:c r="AB1460" s="6" t="str">
        <x:v>CC-BY-4.0</x:v>
      </x:c>
    </x:row>
    <x:row r="1461" ht="82" customHeight="1">
      <x:c r="A1461" s="14" t="n">
        <x:v>1456</x:v>
      </x:c>
      <x:c r="B1461" s="6" t="str">
        <x:v>route</x:v>
      </x:c>
      <x:c r="C1461" s="6" t="str">
        <x:v>How do I get from Bathroom 0.04 (Ground floor) to Bedroom 0.02 (Ground floor)?</x:v>
      </x:c>
      <x:c r="D1461" s="6" t="str">
        <x:v>16.99 m
From: Bathroom 0.04
To: Bedroom 0.02
Ordered path (3 spaces): Bathroom 0.04 → Living room 0.01 → Bedroom 0.02</x:v>
      </x:c>
      <x:c r="E1461" s="6" t="str">
        <x:v>Reference supplied</x:v>
      </x:c>
      <x:c r="F1461" s="6" t="str">
        <x:v>dev</x:v>
      </x:c>
      <x:c r="G1461" s="6" t="str">
        <x:v>resplan-16154</x:v>
      </x:c>
      <x:c r="H1461" s="6" t="str">
        <x:v>resplan-16154-Q05</x:v>
      </x:c>
      <x:c r="I1461" s="6" t="str">
        <x:v>Route planning</x:v>
      </x:c>
      <x:c r="J1461" s="6" t="str">
        <x:v>Warm-up</x:v>
      </x:c>
      <x:c r="K1461" s="6" t="str">
        <x:v>Ordered space path and directions, plus total route-model distance in metres.</x:v>
      </x:c>
      <x:c r="L1461" s="6" t="str">
        <x:v>T02, T05, T13</x:v>
      </x:c>
      <x:c r="M1461" s="6" t="str">
        <x:v>Find a valid route between two rooms, including across floors.</x:v>
      </x:c>
      <x:c r="N1461" s="6" t="str">
        <x:v>{"from_space_id":"resplan-16154-F0-S004","to_space_id":"resplan-16154-F0-S002","optimal_length_m":16.99,"space_path":["resplan-16154-F0-S004","resplan-16154-F0-S001","resplan-16154-F0-S002"],"element_path":["resplan-16154-F0-O0005","resplan-16154-F0-O0005","resplan-16154-F0-O0003","resplan-16154-F0-O0003"]}</x:v>
      </x:c>
      <x:c r="O1461" s="6"/>
      <x:c r="P1461" s="6" t="str">
        <x:v>README routing profile. Stairs and lifts allowed unless stated otherwise.</x:v>
      </x:c>
      <x:c r="Q1461" s="15" t="n">
        <x:v>16.99</x:v>
      </x:c>
      <x:c r="R1461" s="6" t="str">
        <x:v>m</x:v>
      </x:c>
      <x:c r="S1461" s="16"/>
      <x:c r="T1461" s="15"/>
      <x:c r="U1461" s="6"/>
      <x:c r="V1461" s="6"/>
      <x:c r="W1461" s="6" t="str">
        <x:v>Existing find_route and show_route implement the kit routing model.</x:v>
      </x:c>
      <x:c r="X1461" s="6" t="str">
        <x:v>data/dev/resplan-16154/questions_basic.jsonl</x:v>
      </x:c>
      <x:c r="Y1461" s="14" t="n">
        <x:v>5</x:v>
      </x:c>
      <x:c r="Z1461" s="6" t="str">
        <x:v>https://github.com/hagenhaeussler/Industrial-Agents-Hackathon-2026/blob/f41616590b69f3ea0c1cbfb41d6c35edd9ce53df/data/dev/resplan-16154/questions_basic.jsonl#L5</x:v>
      </x:c>
      <x:c r="AA1461" s="6" t="str">
        <x:v>resplan</x:v>
      </x:c>
      <x:c r="AB1461" s="6" t="str">
        <x:v>CC-BY-4.0</x:v>
      </x:c>
    </x:row>
    <x:row r="1462" ht="82" customHeight="1">
      <x:c r="A1462" s="14" t="n">
        <x:v>1457</x:v>
      </x:c>
      <x:c r="B1462" s="6" t="str">
        <x:v>route</x:v>
      </x:c>
      <x:c r="C1462" s="6" t="str">
        <x:v>How do I get from Bathroom 0.04 (Ground floor) to Kitchen 0.06 (Ground floor)?</x:v>
      </x:c>
      <x:c r="D1462" s="6" t="str">
        <x:v>11.54 m
From: Bathroom 0.04
To: Kitchen 0.06
Ordered path (3 spaces): Bathroom 0.04 → Living room 0.01 → Kitchen 0.06</x:v>
      </x:c>
      <x:c r="E1462" s="6" t="str">
        <x:v>Reference supplied</x:v>
      </x:c>
      <x:c r="F1462" s="6" t="str">
        <x:v>dev</x:v>
      </x:c>
      <x:c r="G1462" s="6" t="str">
        <x:v>resplan-16154</x:v>
      </x:c>
      <x:c r="H1462" s="6" t="str">
        <x:v>resplan-16154-Q06</x:v>
      </x:c>
      <x:c r="I1462" s="6" t="str">
        <x:v>Route planning</x:v>
      </x:c>
      <x:c r="J1462" s="6" t="str">
        <x:v>Warm-up</x:v>
      </x:c>
      <x:c r="K1462" s="6" t="str">
        <x:v>Ordered space path and directions, plus total route-model distance in metres.</x:v>
      </x:c>
      <x:c r="L1462" s="6" t="str">
        <x:v>T02, T05, T13</x:v>
      </x:c>
      <x:c r="M1462" s="6" t="str">
        <x:v>Find a valid route between two rooms, including across floors.</x:v>
      </x:c>
      <x:c r="N1462" s="6" t="str">
        <x:v>{"from_space_id":"resplan-16154-F0-S004","to_space_id":"resplan-16154-F0-S006","optimal_length_m":11.54,"space_path":["resplan-16154-F0-S004","resplan-16154-F0-S001","resplan-16154-F0-S006"],"element_path":["resplan-16154-F0-O0005","resplan-16154-F0-O0005","resplan-16154-F0-O0006","resplan-16154-F0-O0006"]}</x:v>
      </x:c>
      <x:c r="O1462" s="6"/>
      <x:c r="P1462" s="6" t="str">
        <x:v>README routing profile. Stairs and lifts allowed unless stated otherwise.</x:v>
      </x:c>
      <x:c r="Q1462" s="15" t="n">
        <x:v>11.54</x:v>
      </x:c>
      <x:c r="R1462" s="6" t="str">
        <x:v>m</x:v>
      </x:c>
      <x:c r="S1462" s="16"/>
      <x:c r="T1462" s="15"/>
      <x:c r="U1462" s="6"/>
      <x:c r="V1462" s="6"/>
      <x:c r="W1462" s="6" t="str">
        <x:v>Existing find_route and show_route implement the kit routing model.</x:v>
      </x:c>
      <x:c r="X1462" s="6" t="str">
        <x:v>data/dev/resplan-16154/questions_basic.jsonl</x:v>
      </x:c>
      <x:c r="Y1462" s="14" t="n">
        <x:v>6</x:v>
      </x:c>
      <x:c r="Z1462" s="6" t="str">
        <x:v>https://github.com/hagenhaeussler/Industrial-Agents-Hackathon-2026/blob/f41616590b69f3ea0c1cbfb41d6c35edd9ce53df/data/dev/resplan-16154/questions_basic.jsonl#L6</x:v>
      </x:c>
      <x:c r="AA1462" s="6" t="str">
        <x:v>resplan</x:v>
      </x:c>
      <x:c r="AB1462" s="6" t="str">
        <x:v>CC-BY-4.0</x:v>
      </x:c>
    </x:row>
    <x:row r="1463" ht="72" customHeight="1">
      <x:c r="A1463" s="14" t="n">
        <x:v>1458</x:v>
      </x:c>
      <x:c r="B1463" s="6" t="str">
        <x:v>route</x:v>
      </x:c>
      <x:c r="C1463" s="6" t="str">
        <x:v>How do I get from Bathroom 0.05 (Ground floor) to Bedroom 0.02 (Ground floor)?</x:v>
      </x:c>
      <x:c r="D1463" s="6" t="str">
        <x:v>4.16 m
From: Bathroom 0.05
To: Bedroom 0.02
Ordered path (2 spaces): Bathroom 0.05 → Bedroom 0.02</x:v>
      </x:c>
      <x:c r="E1463" s="6" t="str">
        <x:v>Reference supplied</x:v>
      </x:c>
      <x:c r="F1463" s="6" t="str">
        <x:v>dev</x:v>
      </x:c>
      <x:c r="G1463" s="6" t="str">
        <x:v>resplan-16154</x:v>
      </x:c>
      <x:c r="H1463" s="6" t="str">
        <x:v>resplan-16154-Q07</x:v>
      </x:c>
      <x:c r="I1463" s="6" t="str">
        <x:v>Route planning</x:v>
      </x:c>
      <x:c r="J1463" s="6" t="str">
        <x:v>Warm-up</x:v>
      </x:c>
      <x:c r="K1463" s="6" t="str">
        <x:v>Ordered space path and directions, plus total route-model distance in metres.</x:v>
      </x:c>
      <x:c r="L1463" s="6" t="str">
        <x:v>T02, T05, T13</x:v>
      </x:c>
      <x:c r="M1463" s="6" t="str">
        <x:v>Find a valid route between two rooms, including across floors.</x:v>
      </x:c>
      <x:c r="N1463" s="6" t="str">
        <x:v>{"from_space_id":"resplan-16154-F0-S005","to_space_id":"resplan-16154-F0-S002","optimal_length_m":4.16,"space_path":["resplan-16154-F0-S005","resplan-16154-F0-S002"],"element_path":["resplan-16154-F0-O0004","resplan-16154-F0-O0004"]}</x:v>
      </x:c>
      <x:c r="O1463" s="6"/>
      <x:c r="P1463" s="6" t="str">
        <x:v>README routing profile. Stairs and lifts allowed unless stated otherwise.</x:v>
      </x:c>
      <x:c r="Q1463" s="15" t="n">
        <x:v>4.16</x:v>
      </x:c>
      <x:c r="R1463" s="6" t="str">
        <x:v>m</x:v>
      </x:c>
      <x:c r="S1463" s="16"/>
      <x:c r="T1463" s="15"/>
      <x:c r="U1463" s="6"/>
      <x:c r="V1463" s="6"/>
      <x:c r="W1463" s="6" t="str">
        <x:v>Existing find_route and show_route implement the kit routing model.</x:v>
      </x:c>
      <x:c r="X1463" s="6" t="str">
        <x:v>data/dev/resplan-16154/questions_basic.jsonl</x:v>
      </x:c>
      <x:c r="Y1463" s="14" t="n">
        <x:v>7</x:v>
      </x:c>
      <x:c r="Z1463" s="6" t="str">
        <x:v>https://github.com/hagenhaeussler/Industrial-Agents-Hackathon-2026/blob/f41616590b69f3ea0c1cbfb41d6c35edd9ce53df/data/dev/resplan-16154/questions_basic.jsonl#L7</x:v>
      </x:c>
      <x:c r="AA1463" s="6" t="str">
        <x:v>resplan</x:v>
      </x:c>
      <x:c r="AB1463" s="6" t="str">
        <x:v>CC-BY-4.0</x:v>
      </x:c>
    </x:row>
    <x:row r="1464" ht="72" customHeight="1">
      <x:c r="A1464" s="14" t="n">
        <x:v>1459</x:v>
      </x:c>
      <x:c r="B1464" s="6" t="str">
        <x:v>route</x:v>
      </x:c>
      <x:c r="C1464" s="6" t="str">
        <x:v>How do I get from Bathroom 0.07 (Ground floor) to Bedroom 0.04 (Ground floor)?</x:v>
      </x:c>
      <x:c r="D1464" s="6" t="str">
        <x:v>4.06 m
From: Bathroom 0.07
To: Bedroom 0.04
Ordered path (2 spaces): Bathroom 0.07 → Bedroom 0.04</x:v>
      </x:c>
      <x:c r="E1464" s="6" t="str">
        <x:v>Reference supplied</x:v>
      </x:c>
      <x:c r="F1464" s="6" t="str">
        <x:v>dev</x:v>
      </x:c>
      <x:c r="G1464" s="6" t="str">
        <x:v>resplan-1677</x:v>
      </x:c>
      <x:c r="H1464" s="6" t="str">
        <x:v>resplan-1677-Q05</x:v>
      </x:c>
      <x:c r="I1464" s="6" t="str">
        <x:v>Route planning</x:v>
      </x:c>
      <x:c r="J1464" s="6" t="str">
        <x:v>Warm-up</x:v>
      </x:c>
      <x:c r="K1464" s="6" t="str">
        <x:v>Ordered space path and directions, plus total route-model distance in metres.</x:v>
      </x:c>
      <x:c r="L1464" s="6" t="str">
        <x:v>T02, T05, T13</x:v>
      </x:c>
      <x:c r="M1464" s="6" t="str">
        <x:v>Find a valid route between two rooms, including across floors.</x:v>
      </x:c>
      <x:c r="N1464" s="6" t="str">
        <x:v>{"from_space_id":"resplan-1677-F0-S007","to_space_id":"resplan-1677-F0-S004","optimal_length_m":4.06,"space_path":["resplan-1677-F0-S007","resplan-1677-F0-S004"],"element_path":["resplan-1677-F0-O0008","resplan-1677-F0-O0008"]}</x:v>
      </x:c>
      <x:c r="O1464" s="6"/>
      <x:c r="P1464" s="6" t="str">
        <x:v>README routing profile. Stairs and lifts allowed unless stated otherwise.</x:v>
      </x:c>
      <x:c r="Q1464" s="15" t="n">
        <x:v>4.06</x:v>
      </x:c>
      <x:c r="R1464" s="6" t="str">
        <x:v>m</x:v>
      </x:c>
      <x:c r="S1464" s="16"/>
      <x:c r="T1464" s="15"/>
      <x:c r="U1464" s="6"/>
      <x:c r="V1464" s="6"/>
      <x:c r="W1464" s="6" t="str">
        <x:v>Existing find_route and show_route implement the kit routing model.</x:v>
      </x:c>
      <x:c r="X1464" s="6" t="str">
        <x:v>data/dev/resplan-1677/questions_basic.jsonl</x:v>
      </x:c>
      <x:c r="Y1464" s="14" t="n">
        <x:v>5</x:v>
      </x:c>
      <x:c r="Z1464" s="6" t="str">
        <x:v>https://github.com/hagenhaeussler/Industrial-Agents-Hackathon-2026/blob/f41616590b69f3ea0c1cbfb41d6c35edd9ce53df/data/dev/resplan-1677/questions_basic.jsonl#L5</x:v>
      </x:c>
      <x:c r="AA1464" s="6" t="str">
        <x:v>resplan</x:v>
      </x:c>
      <x:c r="AB1464" s="6" t="str">
        <x:v>CC-BY-4.0</x:v>
      </x:c>
    </x:row>
    <x:row r="1465" ht="72" customHeight="1">
      <x:c r="A1465" s="14" t="n">
        <x:v>1460</x:v>
      </x:c>
      <x:c r="B1465" s="6" t="str">
        <x:v>route</x:v>
      </x:c>
      <x:c r="C1465" s="6" t="str">
        <x:v>How do I get from Bathroom 0.07 (Ground floor) to Bedroom 0.04 (Ground floor)?</x:v>
      </x:c>
      <x:c r="D1465" s="6" t="str">
        <x:v>4.06 m
From: Bathroom 0.07
To: Bedroom 0.04
Ordered path (2 spaces): Bathroom 0.07 → Bedroom 0.04</x:v>
      </x:c>
      <x:c r="E1465" s="6" t="str">
        <x:v>Reference supplied</x:v>
      </x:c>
      <x:c r="F1465" s="6" t="str">
        <x:v>dev</x:v>
      </x:c>
      <x:c r="G1465" s="6" t="str">
        <x:v>resplan-1677</x:v>
      </x:c>
      <x:c r="H1465" s="6" t="str">
        <x:v>resplan-1677-Q06</x:v>
      </x:c>
      <x:c r="I1465" s="6" t="str">
        <x:v>Route planning</x:v>
      </x:c>
      <x:c r="J1465" s="6" t="str">
        <x:v>Warm-up</x:v>
      </x:c>
      <x:c r="K1465" s="6" t="str">
        <x:v>Ordered space path and directions, plus total route-model distance in metres.</x:v>
      </x:c>
      <x:c r="L1465" s="6" t="str">
        <x:v>T02, T05, T13</x:v>
      </x:c>
      <x:c r="M1465" s="6" t="str">
        <x:v>Find a valid route between two rooms, including across floors.</x:v>
      </x:c>
      <x:c r="N1465" s="6" t="str">
        <x:v>{"from_space_id":"resplan-1677-F0-S007","to_space_id":"resplan-1677-F0-S004","optimal_length_m":4.06,"space_path":["resplan-1677-F0-S007","resplan-1677-F0-S004"],"element_path":["resplan-1677-F0-O0008","resplan-1677-F0-O0008"]}</x:v>
      </x:c>
      <x:c r="O1465" s="6"/>
      <x:c r="P1465" s="6" t="str">
        <x:v>README routing profile. Stairs and lifts allowed unless stated otherwise.</x:v>
      </x:c>
      <x:c r="Q1465" s="15" t="n">
        <x:v>4.06</x:v>
      </x:c>
      <x:c r="R1465" s="6" t="str">
        <x:v>m</x:v>
      </x:c>
      <x:c r="S1465" s="16"/>
      <x:c r="T1465" s="15"/>
      <x:c r="U1465" s="6"/>
      <x:c r="V1465" s="6"/>
      <x:c r="W1465" s="6" t="str">
        <x:v>Existing find_route and show_route implement the kit routing model.</x:v>
      </x:c>
      <x:c r="X1465" s="6" t="str">
        <x:v>data/dev/resplan-1677/questions_basic.jsonl</x:v>
      </x:c>
      <x:c r="Y1465" s="14" t="n">
        <x:v>6</x:v>
      </x:c>
      <x:c r="Z1465" s="6" t="str">
        <x:v>https://github.com/hagenhaeussler/Industrial-Agents-Hackathon-2026/blob/f41616590b69f3ea0c1cbfb41d6c35edd9ce53df/data/dev/resplan-1677/questions_basic.jsonl#L6</x:v>
      </x:c>
      <x:c r="AA1465" s="6" t="str">
        <x:v>resplan</x:v>
      </x:c>
      <x:c r="AB1465" s="6" t="str">
        <x:v>CC-BY-4.0</x:v>
      </x:c>
    </x:row>
    <x:row r="1466" ht="72" customHeight="1">
      <x:c r="A1466" s="14" t="n">
        <x:v>1461</x:v>
      </x:c>
      <x:c r="B1466" s="6" t="str">
        <x:v>route</x:v>
      </x:c>
      <x:c r="C1466" s="6" t="str">
        <x:v>How do I get from Kitchen 0.08 (Ground floor) to Living room 0.01 (Ground floor)?</x:v>
      </x:c>
      <x:c r="D1466" s="6" t="str">
        <x:v>3.98 m
From: Kitchen 0.08
To: Living room 0.01
Ordered path (2 spaces): Kitchen 0.08 → Living room 0.01</x:v>
      </x:c>
      <x:c r="E1466" s="6" t="str">
        <x:v>Reference supplied</x:v>
      </x:c>
      <x:c r="F1466" s="6" t="str">
        <x:v>dev</x:v>
      </x:c>
      <x:c r="G1466" s="6" t="str">
        <x:v>resplan-1677</x:v>
      </x:c>
      <x:c r="H1466" s="6" t="str">
        <x:v>resplan-1677-Q07</x:v>
      </x:c>
      <x:c r="I1466" s="6" t="str">
        <x:v>Route planning</x:v>
      </x:c>
      <x:c r="J1466" s="6" t="str">
        <x:v>Warm-up</x:v>
      </x:c>
      <x:c r="K1466" s="6" t="str">
        <x:v>Ordered space path and directions, plus total route-model distance in metres.</x:v>
      </x:c>
      <x:c r="L1466" s="6" t="str">
        <x:v>T02, T05, T13</x:v>
      </x:c>
      <x:c r="M1466" s="6" t="str">
        <x:v>Find a valid route between two rooms, including across floors.</x:v>
      </x:c>
      <x:c r="N1466" s="6" t="str">
        <x:v>{"from_space_id":"resplan-1677-F0-S008","to_space_id":"resplan-1677-F0-S001","optimal_length_m":3.98,"space_path":["resplan-1677-F0-S008","resplan-1677-F0-S001"],"element_path":["resplan-1677-F0-O0003","resplan-1677-F0-O0003"]}</x:v>
      </x:c>
      <x:c r="O1466" s="6"/>
      <x:c r="P1466" s="6" t="str">
        <x:v>README routing profile. Stairs and lifts allowed unless stated otherwise.</x:v>
      </x:c>
      <x:c r="Q1466" s="15" t="n">
        <x:v>3.98</x:v>
      </x:c>
      <x:c r="R1466" s="6" t="str">
        <x:v>m</x:v>
      </x:c>
      <x:c r="S1466" s="16"/>
      <x:c r="T1466" s="15"/>
      <x:c r="U1466" s="6"/>
      <x:c r="V1466" s="6"/>
      <x:c r="W1466" s="6" t="str">
        <x:v>Existing find_route and show_route implement the kit routing model.</x:v>
      </x:c>
      <x:c r="X1466" s="6" t="str">
        <x:v>data/dev/resplan-1677/questions_basic.jsonl</x:v>
      </x:c>
      <x:c r="Y1466" s="14" t="n">
        <x:v>7</x:v>
      </x:c>
      <x:c r="Z1466" s="6" t="str">
        <x:v>https://github.com/hagenhaeussler/Industrial-Agents-Hackathon-2026/blob/f41616590b69f3ea0c1cbfb41d6c35edd9ce53df/data/dev/resplan-1677/questions_basic.jsonl#L7</x:v>
      </x:c>
      <x:c r="AA1466" s="6" t="str">
        <x:v>resplan</x:v>
      </x:c>
      <x:c r="AB1466" s="6" t="str">
        <x:v>CC-BY-4.0</x:v>
      </x:c>
    </x:row>
    <x:row r="1467" ht="72" customHeight="1">
      <x:c r="A1467" s="14" t="n">
        <x:v>1462</x:v>
      </x:c>
      <x:c r="B1467" s="6" t="str">
        <x:v>route</x:v>
      </x:c>
      <x:c r="C1467" s="6" t="str">
        <x:v>How do I get from Living room 0.01 (Ground floor) to Bedroom 0.03 (Ground floor)?</x:v>
      </x:c>
      <x:c r="D1467" s="6" t="str">
        <x:v>5.65 m
From: Living room 0.01
To: Bedroom 0.03
Ordered path (2 spaces): Living room 0.01 → Bedroom 0.03</x:v>
      </x:c>
      <x:c r="E1467" s="6" t="str">
        <x:v>Reference supplied</x:v>
      </x:c>
      <x:c r="F1467" s="6" t="str">
        <x:v>dev</x:v>
      </x:c>
      <x:c r="G1467" s="6" t="str">
        <x:v>resplan-3832</x:v>
      </x:c>
      <x:c r="H1467" s="6" t="str">
        <x:v>resplan-3832-Q05</x:v>
      </x:c>
      <x:c r="I1467" s="6" t="str">
        <x:v>Route planning</x:v>
      </x:c>
      <x:c r="J1467" s="6" t="str">
        <x:v>Warm-up</x:v>
      </x:c>
      <x:c r="K1467" s="6" t="str">
        <x:v>Ordered space path and directions, plus total route-model distance in metres.</x:v>
      </x:c>
      <x:c r="L1467" s="6" t="str">
        <x:v>T02, T05, T13</x:v>
      </x:c>
      <x:c r="M1467" s="6" t="str">
        <x:v>Find a valid route between two rooms, including across floors.</x:v>
      </x:c>
      <x:c r="N1467" s="6" t="str">
        <x:v>{"from_space_id":"resplan-3832-F0-S001","to_space_id":"resplan-3832-F0-S003","optimal_length_m":5.65,"space_path":["resplan-3832-F0-S001","resplan-3832-F0-S003"],"element_path":["resplan-3832-F0-O0004","resplan-3832-F0-O0004"]}</x:v>
      </x:c>
      <x:c r="O1467" s="6"/>
      <x:c r="P1467" s="6" t="str">
        <x:v>README routing profile. Stairs and lifts allowed unless stated otherwise.</x:v>
      </x:c>
      <x:c r="Q1467" s="15" t="n">
        <x:v>5.65</x:v>
      </x:c>
      <x:c r="R1467" s="6" t="str">
        <x:v>m</x:v>
      </x:c>
      <x:c r="S1467" s="16"/>
      <x:c r="T1467" s="15"/>
      <x:c r="U1467" s="6"/>
      <x:c r="V1467" s="6"/>
      <x:c r="W1467" s="6" t="str">
        <x:v>Existing find_route and show_route implement the kit routing model.</x:v>
      </x:c>
      <x:c r="X1467" s="6" t="str">
        <x:v>data/dev/resplan-3832/questions_basic.jsonl</x:v>
      </x:c>
      <x:c r="Y1467" s="14" t="n">
        <x:v>5</x:v>
      </x:c>
      <x:c r="Z1467" s="6" t="str">
        <x:v>https://github.com/hagenhaeussler/Industrial-Agents-Hackathon-2026/blob/f41616590b69f3ea0c1cbfb41d6c35edd9ce53df/data/dev/resplan-3832/questions_basic.jsonl#L5</x:v>
      </x:c>
      <x:c r="AA1467" s="6" t="str">
        <x:v>resplan</x:v>
      </x:c>
      <x:c r="AB1467" s="6" t="str">
        <x:v>CC-BY-4.0</x:v>
      </x:c>
    </x:row>
    <x:row r="1468" ht="82" customHeight="1">
      <x:c r="A1468" s="14" t="n">
        <x:v>1463</x:v>
      </x:c>
      <x:c r="B1468" s="6" t="str">
        <x:v>route</x:v>
      </x:c>
      <x:c r="C1468" s="6" t="str">
        <x:v>How do I get from Bedroom 0.02 (Ground floor) to Bathroom 0.04 (Ground floor)?</x:v>
      </x:c>
      <x:c r="D1468" s="6" t="str">
        <x:v>10.31 m
From: Bedroom 0.02
To: Bathroom 0.04
Ordered path (3 spaces): Bedroom 0.02 → Living room 0.01 → Bathroom 0.04</x:v>
      </x:c>
      <x:c r="E1468" s="6" t="str">
        <x:v>Reference supplied</x:v>
      </x:c>
      <x:c r="F1468" s="6" t="str">
        <x:v>dev</x:v>
      </x:c>
      <x:c r="G1468" s="6" t="str">
        <x:v>resplan-3832</x:v>
      </x:c>
      <x:c r="H1468" s="6" t="str">
        <x:v>resplan-3832-Q06</x:v>
      </x:c>
      <x:c r="I1468" s="6" t="str">
        <x:v>Route planning</x:v>
      </x:c>
      <x:c r="J1468" s="6" t="str">
        <x:v>Warm-up</x:v>
      </x:c>
      <x:c r="K1468" s="6" t="str">
        <x:v>Ordered space path and directions, plus total route-model distance in metres.</x:v>
      </x:c>
      <x:c r="L1468" s="6" t="str">
        <x:v>T02, T05, T13</x:v>
      </x:c>
      <x:c r="M1468" s="6" t="str">
        <x:v>Find a valid route between two rooms, including across floors.</x:v>
      </x:c>
      <x:c r="N1468" s="6" t="str">
        <x:v>{"from_space_id":"resplan-3832-F0-S002","to_space_id":"resplan-3832-F0-S004","optimal_length_m":10.31,"space_path":["resplan-3832-F0-S002","resplan-3832-F0-S001","resplan-3832-F0-S004"],"element_path":["resplan-3832-F0-O0002","resplan-3832-F0-O0002","resplan-3832-F0-O0005","resplan-3832-F0-O0005"]}</x:v>
      </x:c>
      <x:c r="O1468" s="6"/>
      <x:c r="P1468" s="6" t="str">
        <x:v>README routing profile. Stairs and lifts allowed unless stated otherwise.</x:v>
      </x:c>
      <x:c r="Q1468" s="15" t="n">
        <x:v>10.31</x:v>
      </x:c>
      <x:c r="R1468" s="6" t="str">
        <x:v>m</x:v>
      </x:c>
      <x:c r="S1468" s="16"/>
      <x:c r="T1468" s="15"/>
      <x:c r="U1468" s="6"/>
      <x:c r="V1468" s="6"/>
      <x:c r="W1468" s="6" t="str">
        <x:v>Existing find_route and show_route implement the kit routing model.</x:v>
      </x:c>
      <x:c r="X1468" s="6" t="str">
        <x:v>data/dev/resplan-3832/questions_basic.jsonl</x:v>
      </x:c>
      <x:c r="Y1468" s="14" t="n">
        <x:v>6</x:v>
      </x:c>
      <x:c r="Z1468" s="6" t="str">
        <x:v>https://github.com/hagenhaeussler/Industrial-Agents-Hackathon-2026/blob/f41616590b69f3ea0c1cbfb41d6c35edd9ce53df/data/dev/resplan-3832/questions_basic.jsonl#L6</x:v>
      </x:c>
      <x:c r="AA1468" s="6" t="str">
        <x:v>resplan</x:v>
      </x:c>
      <x:c r="AB1468" s="6" t="str">
        <x:v>CC-BY-4.0</x:v>
      </x:c>
    </x:row>
    <x:row r="1469" ht="72" customHeight="1">
      <x:c r="A1469" s="14" t="n">
        <x:v>1464</x:v>
      </x:c>
      <x:c r="B1469" s="6" t="str">
        <x:v>route</x:v>
      </x:c>
      <x:c r="C1469" s="6" t="str">
        <x:v>How do I get from Bathroom 0.05 (Ground floor) to Bedroom 0.02 (Ground floor)?</x:v>
      </x:c>
      <x:c r="D1469" s="6" t="str">
        <x:v>3.67 m
From: Bathroom 0.05
To: Bedroom 0.02
Ordered path (2 spaces): Bathroom 0.05 → Bedroom 0.02</x:v>
      </x:c>
      <x:c r="E1469" s="6" t="str">
        <x:v>Reference supplied</x:v>
      </x:c>
      <x:c r="F1469" s="6" t="str">
        <x:v>dev</x:v>
      </x:c>
      <x:c r="G1469" s="6" t="str">
        <x:v>resplan-3832</x:v>
      </x:c>
      <x:c r="H1469" s="6" t="str">
        <x:v>resplan-3832-Q07</x:v>
      </x:c>
      <x:c r="I1469" s="6" t="str">
        <x:v>Route planning</x:v>
      </x:c>
      <x:c r="J1469" s="6" t="str">
        <x:v>Warm-up</x:v>
      </x:c>
      <x:c r="K1469" s="6" t="str">
        <x:v>Ordered space path and directions, plus total route-model distance in metres.</x:v>
      </x:c>
      <x:c r="L1469" s="6" t="str">
        <x:v>T02, T05, T13</x:v>
      </x:c>
      <x:c r="M1469" s="6" t="str">
        <x:v>Find a valid route between two rooms, including across floors.</x:v>
      </x:c>
      <x:c r="N1469" s="6" t="str">
        <x:v>{"from_space_id":"resplan-3832-F0-S005","to_space_id":"resplan-3832-F0-S002","optimal_length_m":3.67,"space_path":["resplan-3832-F0-S005","resplan-3832-F0-S002"],"element_path":["resplan-3832-F0-O0001","resplan-3832-F0-O0001"]}</x:v>
      </x:c>
      <x:c r="O1469" s="6"/>
      <x:c r="P1469" s="6" t="str">
        <x:v>README routing profile. Stairs and lifts allowed unless stated otherwise.</x:v>
      </x:c>
      <x:c r="Q1469" s="15" t="n">
        <x:v>3.67</x:v>
      </x:c>
      <x:c r="R1469" s="6" t="str">
        <x:v>m</x:v>
      </x:c>
      <x:c r="S1469" s="16"/>
      <x:c r="T1469" s="15"/>
      <x:c r="U1469" s="6"/>
      <x:c r="V1469" s="6"/>
      <x:c r="W1469" s="6" t="str">
        <x:v>Existing find_route and show_route implement the kit routing model.</x:v>
      </x:c>
      <x:c r="X1469" s="6" t="str">
        <x:v>data/dev/resplan-3832/questions_basic.jsonl</x:v>
      </x:c>
      <x:c r="Y1469" s="14" t="n">
        <x:v>7</x:v>
      </x:c>
      <x:c r="Z1469" s="6" t="str">
        <x:v>https://github.com/hagenhaeussler/Industrial-Agents-Hackathon-2026/blob/f41616590b69f3ea0c1cbfb41d6c35edd9ce53df/data/dev/resplan-3832/questions_basic.jsonl#L7</x:v>
      </x:c>
      <x:c r="AA1469" s="6" t="str">
        <x:v>resplan</x:v>
      </x:c>
      <x:c r="AB1469" s="6" t="str">
        <x:v>CC-BY-4.0</x:v>
      </x:c>
    </x:row>
    <x:row r="1470" ht="72" customHeight="1">
      <x:c r="A1470" s="14" t="n">
        <x:v>1465</x:v>
      </x:c>
      <x:c r="B1470" s="6" t="str">
        <x:v>route</x:v>
      </x:c>
      <x:c r="C1470" s="6" t="str">
        <x:v>How do I get from Bedroom 0.02 (Ground floor) to Kitchen 0.06 (Ground floor)?</x:v>
      </x:c>
      <x:c r="D1470" s="6" t="str">
        <x:v>13.78 m
From: Bedroom 0.02
To: Kitchen 0.06
Ordered path (3 spaces): Bedroom 0.02 → Living room 0.01 → Kitchen 0.06</x:v>
      </x:c>
      <x:c r="E1470" s="6" t="str">
        <x:v>Reference supplied</x:v>
      </x:c>
      <x:c r="F1470" s="6" t="str">
        <x:v>dev</x:v>
      </x:c>
      <x:c r="G1470" s="6" t="str">
        <x:v>resplan-439</x:v>
      </x:c>
      <x:c r="H1470" s="6" t="str">
        <x:v>resplan-439-Q05</x:v>
      </x:c>
      <x:c r="I1470" s="6" t="str">
        <x:v>Route planning</x:v>
      </x:c>
      <x:c r="J1470" s="6" t="str">
        <x:v>Warm-up</x:v>
      </x:c>
      <x:c r="K1470" s="6" t="str">
        <x:v>Ordered space path and directions, plus total route-model distance in metres.</x:v>
      </x:c>
      <x:c r="L1470" s="6" t="str">
        <x:v>T02, T05, T13</x:v>
      </x:c>
      <x:c r="M1470" s="6" t="str">
        <x:v>Find a valid route between two rooms, including across floors.</x:v>
      </x:c>
      <x:c r="N1470" s="6" t="str">
        <x:v>{"from_space_id":"resplan-439-F0-S002","to_space_id":"resplan-439-F0-S006","optimal_length_m":13.78,"space_path":["resplan-439-F0-S002","resplan-439-F0-S001","resplan-439-F0-S006"],"element_path":["resplan-439-F0-O0002","resplan-439-F0-O0002","resplan-439-F0-O0007","resplan-439-F0-O0007"]}</x:v>
      </x:c>
      <x:c r="O1470" s="6"/>
      <x:c r="P1470" s="6" t="str">
        <x:v>README routing profile. Stairs and lifts allowed unless stated otherwise.</x:v>
      </x:c>
      <x:c r="Q1470" s="15" t="n">
        <x:v>13.78</x:v>
      </x:c>
      <x:c r="R1470" s="6" t="str">
        <x:v>m</x:v>
      </x:c>
      <x:c r="S1470" s="16"/>
      <x:c r="T1470" s="15"/>
      <x:c r="U1470" s="6"/>
      <x:c r="V1470" s="6"/>
      <x:c r="W1470" s="6" t="str">
        <x:v>Existing find_route and show_route implement the kit routing model.</x:v>
      </x:c>
      <x:c r="X1470" s="6" t="str">
        <x:v>data/dev/resplan-439/questions_basic.jsonl</x:v>
      </x:c>
      <x:c r="Y1470" s="14" t="n">
        <x:v>5</x:v>
      </x:c>
      <x:c r="Z1470" s="6" t="str">
        <x:v>https://github.com/hagenhaeussler/Industrial-Agents-Hackathon-2026/blob/f41616590b69f3ea0c1cbfb41d6c35edd9ce53df/data/dev/resplan-439/questions_basic.jsonl#L5</x:v>
      </x:c>
      <x:c r="AA1470" s="6" t="str">
        <x:v>resplan</x:v>
      </x:c>
      <x:c r="AB1470" s="6" t="str">
        <x:v>CC-BY-4.0</x:v>
      </x:c>
    </x:row>
    <x:row r="1471" ht="82" customHeight="1">
      <x:c r="A1471" s="14" t="n">
        <x:v>1466</x:v>
      </x:c>
      <x:c r="B1471" s="6" t="str">
        <x:v>route</x:v>
      </x:c>
      <x:c r="C1471" s="6" t="str">
        <x:v>How do I get from Bathroom 0.05 (Ground floor) to Bedroom 0.02 (Ground floor)?</x:v>
      </x:c>
      <x:c r="D1471" s="6" t="str">
        <x:v>14.81 m
From: Bathroom 0.05
To: Bedroom 0.02
Ordered path (3 spaces): Bathroom 0.05 → Living room 0.01 → Bedroom 0.02</x:v>
      </x:c>
      <x:c r="E1471" s="6" t="str">
        <x:v>Reference supplied</x:v>
      </x:c>
      <x:c r="F1471" s="6" t="str">
        <x:v>dev</x:v>
      </x:c>
      <x:c r="G1471" s="6" t="str">
        <x:v>resplan-439</x:v>
      </x:c>
      <x:c r="H1471" s="6" t="str">
        <x:v>resplan-439-Q06</x:v>
      </x:c>
      <x:c r="I1471" s="6" t="str">
        <x:v>Route planning</x:v>
      </x:c>
      <x:c r="J1471" s="6" t="str">
        <x:v>Warm-up</x:v>
      </x:c>
      <x:c r="K1471" s="6" t="str">
        <x:v>Ordered space path and directions, plus total route-model distance in metres.</x:v>
      </x:c>
      <x:c r="L1471" s="6" t="str">
        <x:v>T02, T05, T13</x:v>
      </x:c>
      <x:c r="M1471" s="6" t="str">
        <x:v>Find a valid route between two rooms, including across floors.</x:v>
      </x:c>
      <x:c r="N1471" s="6" t="str">
        <x:v>{"from_space_id":"resplan-439-F0-S005","to_space_id":"resplan-439-F0-S002","optimal_length_m":14.81,"space_path":["resplan-439-F0-S005","resplan-439-F0-S001","resplan-439-F0-S002"],"element_path":["resplan-439-F0-O0005","resplan-439-F0-O0005","resplan-439-F0-O0002","resplan-439-F0-O0002"]}</x:v>
      </x:c>
      <x:c r="O1471" s="6"/>
      <x:c r="P1471" s="6" t="str">
        <x:v>README routing profile. Stairs and lifts allowed unless stated otherwise.</x:v>
      </x:c>
      <x:c r="Q1471" s="15" t="n">
        <x:v>14.81</x:v>
      </x:c>
      <x:c r="R1471" s="6" t="str">
        <x:v>m</x:v>
      </x:c>
      <x:c r="S1471" s="16"/>
      <x:c r="T1471" s="15"/>
      <x:c r="U1471" s="6"/>
      <x:c r="V1471" s="6"/>
      <x:c r="W1471" s="6" t="str">
        <x:v>Existing find_route and show_route implement the kit routing model.</x:v>
      </x:c>
      <x:c r="X1471" s="6" t="str">
        <x:v>data/dev/resplan-439/questions_basic.jsonl</x:v>
      </x:c>
      <x:c r="Y1471" s="14" t="n">
        <x:v>6</x:v>
      </x:c>
      <x:c r="Z1471" s="6" t="str">
        <x:v>https://github.com/hagenhaeussler/Industrial-Agents-Hackathon-2026/blob/f41616590b69f3ea0c1cbfb41d6c35edd9ce53df/data/dev/resplan-439/questions_basic.jsonl#L6</x:v>
      </x:c>
      <x:c r="AA1471" s="6" t="str">
        <x:v>resplan</x:v>
      </x:c>
      <x:c r="AB1471" s="6" t="str">
        <x:v>CC-BY-4.0</x:v>
      </x:c>
    </x:row>
    <x:row r="1472" ht="82" customHeight="1">
      <x:c r="A1472" s="14" t="n">
        <x:v>1467</x:v>
      </x:c>
      <x:c r="B1472" s="6" t="str">
        <x:v>route</x:v>
      </x:c>
      <x:c r="C1472" s="6" t="str">
        <x:v>How do I get from Living room 0.01 (Ground floor) to Bathroom 0.04 (Ground floor)?</x:v>
      </x:c>
      <x:c r="D1472" s="6" t="str">
        <x:v>12.1 m
From: Living room 0.01
To: Bathroom 0.04
Ordered path (3 spaces): Living room 0.01 → Bedroom 0.03 → Bathroom 0.04</x:v>
      </x:c>
      <x:c r="E1472" s="6" t="str">
        <x:v>Reference supplied</x:v>
      </x:c>
      <x:c r="F1472" s="6" t="str">
        <x:v>dev</x:v>
      </x:c>
      <x:c r="G1472" s="6" t="str">
        <x:v>resplan-439</x:v>
      </x:c>
      <x:c r="H1472" s="6" t="str">
        <x:v>resplan-439-Q07</x:v>
      </x:c>
      <x:c r="I1472" s="6" t="str">
        <x:v>Route planning</x:v>
      </x:c>
      <x:c r="J1472" s="6" t="str">
        <x:v>Warm-up</x:v>
      </x:c>
      <x:c r="K1472" s="6" t="str">
        <x:v>Ordered space path and directions, plus total route-model distance in metres.</x:v>
      </x:c>
      <x:c r="L1472" s="6" t="str">
        <x:v>T02, T05, T13</x:v>
      </x:c>
      <x:c r="M1472" s="6" t="str">
        <x:v>Find a valid route between two rooms, including across floors.</x:v>
      </x:c>
      <x:c r="N1472" s="6" t="str">
        <x:v>{"from_space_id":"resplan-439-F0-S001","to_space_id":"resplan-439-F0-S004","optimal_length_m":12.1,"space_path":["resplan-439-F0-S001","resplan-439-F0-S003","resplan-439-F0-S004"],"element_path":["resplan-439-F0-O0004","resplan-439-F0-O0004","resplan-439-F0-O0003","resplan-439-F0-O0003"]}</x:v>
      </x:c>
      <x:c r="O1472" s="6"/>
      <x:c r="P1472" s="6" t="str">
        <x:v>README routing profile. Stairs and lifts allowed unless stated otherwise.</x:v>
      </x:c>
      <x:c r="Q1472" s="15" t="n">
        <x:v>12.1</x:v>
      </x:c>
      <x:c r="R1472" s="6" t="str">
        <x:v>m</x:v>
      </x:c>
      <x:c r="S1472" s="16"/>
      <x:c r="T1472" s="15"/>
      <x:c r="U1472" s="6"/>
      <x:c r="V1472" s="6"/>
      <x:c r="W1472" s="6" t="str">
        <x:v>Existing find_route and show_route implement the kit routing model.</x:v>
      </x:c>
      <x:c r="X1472" s="6" t="str">
        <x:v>data/dev/resplan-439/questions_basic.jsonl</x:v>
      </x:c>
      <x:c r="Y1472" s="14" t="n">
        <x:v>7</x:v>
      </x:c>
      <x:c r="Z1472" s="6" t="str">
        <x:v>https://github.com/hagenhaeussler/Industrial-Agents-Hackathon-2026/blob/f41616590b69f3ea0c1cbfb41d6c35edd9ce53df/data/dev/resplan-439/questions_basic.jsonl#L7</x:v>
      </x:c>
      <x:c r="AA1472" s="6" t="str">
        <x:v>resplan</x:v>
      </x:c>
      <x:c r="AB1472" s="6" t="str">
        <x:v>CC-BY-4.0</x:v>
      </x:c>
    </x:row>
    <x:row r="1473" ht="82" customHeight="1">
      <x:c r="A1473" s="14" t="n">
        <x:v>1468</x:v>
      </x:c>
      <x:c r="B1473" s="6" t="str">
        <x:v>route</x:v>
      </x:c>
      <x:c r="C1473" s="6" t="str">
        <x:v>How do I get from Living room 0.01 (Ground floor) to Bathroom 0.05 (Ground floor)?</x:v>
      </x:c>
      <x:c r="D1473" s="6" t="str">
        <x:v>9.46 m
From: Living room 0.01
To: Bathroom 0.05
Ordered path (3 spaces): Living room 0.01 → Bedroom 0.03 → Bathroom 0.05</x:v>
      </x:c>
      <x:c r="E1473" s="6" t="str">
        <x:v>Reference supplied</x:v>
      </x:c>
      <x:c r="F1473" s="6" t="str">
        <x:v>dev</x:v>
      </x:c>
      <x:c r="G1473" s="6" t="str">
        <x:v>resplan-7336</x:v>
      </x:c>
      <x:c r="H1473" s="6" t="str">
        <x:v>resplan-7336-Q05</x:v>
      </x:c>
      <x:c r="I1473" s="6" t="str">
        <x:v>Route planning</x:v>
      </x:c>
      <x:c r="J1473" s="6" t="str">
        <x:v>Warm-up</x:v>
      </x:c>
      <x:c r="K1473" s="6" t="str">
        <x:v>Ordered space path and directions, plus total route-model distance in metres.</x:v>
      </x:c>
      <x:c r="L1473" s="6" t="str">
        <x:v>T02, T05, T13</x:v>
      </x:c>
      <x:c r="M1473" s="6" t="str">
        <x:v>Find a valid route between two rooms, including across floors.</x:v>
      </x:c>
      <x:c r="N1473" s="6" t="str">
        <x:v>{"from_space_id":"resplan-7336-F0-S001","to_space_id":"resplan-7336-F0-S005","optimal_length_m":9.46,"space_path":["resplan-7336-F0-S001","resplan-7336-F0-S003","resplan-7336-F0-S005"],"element_path":["resplan-7336-F0-O0006","resplan-7336-F0-O0006","resplan-7336-F0-O0005","resplan-7336-F0-O0005"]}</x:v>
      </x:c>
      <x:c r="O1473" s="6"/>
      <x:c r="P1473" s="6" t="str">
        <x:v>README routing profile. Stairs and lifts allowed unless stated otherwise.</x:v>
      </x:c>
      <x:c r="Q1473" s="15" t="n">
        <x:v>9.46</x:v>
      </x:c>
      <x:c r="R1473" s="6" t="str">
        <x:v>m</x:v>
      </x:c>
      <x:c r="S1473" s="16"/>
      <x:c r="T1473" s="15"/>
      <x:c r="U1473" s="6"/>
      <x:c r="V1473" s="6"/>
      <x:c r="W1473" s="6" t="str">
        <x:v>Existing find_route and show_route implement the kit routing model.</x:v>
      </x:c>
      <x:c r="X1473" s="6" t="str">
        <x:v>data/dev/resplan-7336/questions_basic.jsonl</x:v>
      </x:c>
      <x:c r="Y1473" s="14" t="n">
        <x:v>5</x:v>
      </x:c>
      <x:c r="Z1473" s="6" t="str">
        <x:v>https://github.com/hagenhaeussler/Industrial-Agents-Hackathon-2026/blob/f41616590b69f3ea0c1cbfb41d6c35edd9ce53df/data/dev/resplan-7336/questions_basic.jsonl#L5</x:v>
      </x:c>
      <x:c r="AA1473" s="6" t="str">
        <x:v>resplan</x:v>
      </x:c>
      <x:c r="AB1473" s="6" t="str">
        <x:v>CC-BY-4.0</x:v>
      </x:c>
    </x:row>
    <x:row r="1474" ht="82" customHeight="1">
      <x:c r="A1474" s="14" t="n">
        <x:v>1469</x:v>
      </x:c>
      <x:c r="B1474" s="6" t="str">
        <x:v>route</x:v>
      </x:c>
      <x:c r="C1474" s="6" t="str">
        <x:v>How do I get from Kitchen 0.06 (Ground floor) to Bathroom 0.04 (Ground floor)?</x:v>
      </x:c>
      <x:c r="D1474" s="6" t="str">
        <x:v>17.53 m
From: Kitchen 0.06
To: Bathroom 0.04
Ordered path (4 spaces): Kitchen 0.06 → Living room 0.01 → Bedroom 0.02 → Bathroom 0.04</x:v>
      </x:c>
      <x:c r="E1474" s="6" t="str">
        <x:v>Reference supplied</x:v>
      </x:c>
      <x:c r="F1474" s="6" t="str">
        <x:v>dev</x:v>
      </x:c>
      <x:c r="G1474" s="6" t="str">
        <x:v>resplan-7336</x:v>
      </x:c>
      <x:c r="H1474" s="6" t="str">
        <x:v>resplan-7336-Q06</x:v>
      </x:c>
      <x:c r="I1474" s="6" t="str">
        <x:v>Route planning</x:v>
      </x:c>
      <x:c r="J1474" s="6" t="str">
        <x:v>Warm-up</x:v>
      </x:c>
      <x:c r="K1474" s="6" t="str">
        <x:v>Ordered space path and directions, plus total route-model distance in metres.</x:v>
      </x:c>
      <x:c r="L1474" s="6" t="str">
        <x:v>T02, T05, T13</x:v>
      </x:c>
      <x:c r="M1474" s="6" t="str">
        <x:v>Find a valid route between two rooms, including across floors.</x:v>
      </x:c>
      <x:c r="N1474" s="6" t="str">
        <x:v>{"from_space_id":"resplan-7336-F0-S006","to_space_id":"resplan-7336-F0-S004","optimal_length_m":17.53,"space_path":["resplan-7336-F0-S006","resplan-7336-F0-S001","resplan-7336-F0-S002","resplan-7336-F0-S004"],"element_path":["resplan-7336-F0-O0008","resplan-7336-F0-O0008","resplan-7336-F0-O0003","resplan-7336-F0-O0003","resplan-7336-F0-O0001","resplan-7336-F0-O0001"]}</x:v>
      </x:c>
      <x:c r="O1474" s="6"/>
      <x:c r="P1474" s="6" t="str">
        <x:v>README routing profile. Stairs and lifts allowed unless stated otherwise.</x:v>
      </x:c>
      <x:c r="Q1474" s="15" t="n">
        <x:v>17.53</x:v>
      </x:c>
      <x:c r="R1474" s="6" t="str">
        <x:v>m</x:v>
      </x:c>
      <x:c r="S1474" s="16"/>
      <x:c r="T1474" s="15"/>
      <x:c r="U1474" s="6"/>
      <x:c r="V1474" s="6"/>
      <x:c r="W1474" s="6" t="str">
        <x:v>Existing find_route and show_route implement the kit routing model.</x:v>
      </x:c>
      <x:c r="X1474" s="6" t="str">
        <x:v>data/dev/resplan-7336/questions_basic.jsonl</x:v>
      </x:c>
      <x:c r="Y1474" s="14" t="n">
        <x:v>6</x:v>
      </x:c>
      <x:c r="Z1474" s="6" t="str">
        <x:v>https://github.com/hagenhaeussler/Industrial-Agents-Hackathon-2026/blob/f41616590b69f3ea0c1cbfb41d6c35edd9ce53df/data/dev/resplan-7336/questions_basic.jsonl#L6</x:v>
      </x:c>
      <x:c r="AA1474" s="6" t="str">
        <x:v>resplan</x:v>
      </x:c>
      <x:c r="AB1474" s="6" t="str">
        <x:v>CC-BY-4.0</x:v>
      </x:c>
    </x:row>
    <x:row r="1475" ht="72" customHeight="1">
      <x:c r="A1475" s="14" t="n">
        <x:v>1470</x:v>
      </x:c>
      <x:c r="B1475" s="6" t="str">
        <x:v>route</x:v>
      </x:c>
      <x:c r="C1475" s="6" t="str">
        <x:v>How do I get from Bedroom 0.02 (Ground floor) to Kitchen 0.06 (Ground floor)?</x:v>
      </x:c>
      <x:c r="D1475" s="6" t="str">
        <x:v>13.42 m
From: Bedroom 0.02
To: Kitchen 0.06
Ordered path (3 spaces): Bedroom 0.02 → Living room 0.01 → Kitchen 0.06</x:v>
      </x:c>
      <x:c r="E1475" s="6" t="str">
        <x:v>Reference supplied</x:v>
      </x:c>
      <x:c r="F1475" s="6" t="str">
        <x:v>dev</x:v>
      </x:c>
      <x:c r="G1475" s="6" t="str">
        <x:v>resplan-7336</x:v>
      </x:c>
      <x:c r="H1475" s="6" t="str">
        <x:v>resplan-7336-Q07</x:v>
      </x:c>
      <x:c r="I1475" s="6" t="str">
        <x:v>Route planning</x:v>
      </x:c>
      <x:c r="J1475" s="6" t="str">
        <x:v>Warm-up</x:v>
      </x:c>
      <x:c r="K1475" s="6" t="str">
        <x:v>Ordered space path and directions, plus total route-model distance in metres.</x:v>
      </x:c>
      <x:c r="L1475" s="6" t="str">
        <x:v>T02, T05, T13</x:v>
      </x:c>
      <x:c r="M1475" s="6" t="str">
        <x:v>Find a valid route between two rooms, including across floors.</x:v>
      </x:c>
      <x:c r="N1475" s="6" t="str">
        <x:v>{"from_space_id":"resplan-7336-F0-S002","to_space_id":"resplan-7336-F0-S006","optimal_length_m":13.42,"space_path":["resplan-7336-F0-S002","resplan-7336-F0-S001","resplan-7336-F0-S006"],"element_path":["resplan-7336-F0-O0003","resplan-7336-F0-O0003","resplan-7336-F0-O0008","resplan-7336-F0-O0008"]}</x:v>
      </x:c>
      <x:c r="O1475" s="6"/>
      <x:c r="P1475" s="6" t="str">
        <x:v>README routing profile. Stairs and lifts allowed unless stated otherwise.</x:v>
      </x:c>
      <x:c r="Q1475" s="15" t="n">
        <x:v>13.42</x:v>
      </x:c>
      <x:c r="R1475" s="6" t="str">
        <x:v>m</x:v>
      </x:c>
      <x:c r="S1475" s="16"/>
      <x:c r="T1475" s="15"/>
      <x:c r="U1475" s="6"/>
      <x:c r="V1475" s="6"/>
      <x:c r="W1475" s="6" t="str">
        <x:v>Existing find_route and show_route implement the kit routing model.</x:v>
      </x:c>
      <x:c r="X1475" s="6" t="str">
        <x:v>data/dev/resplan-7336/questions_basic.jsonl</x:v>
      </x:c>
      <x:c r="Y1475" s="14" t="n">
        <x:v>7</x:v>
      </x:c>
      <x:c r="Z1475" s="6" t="str">
        <x:v>https://github.com/hagenhaeussler/Industrial-Agents-Hackathon-2026/blob/f41616590b69f3ea0c1cbfb41d6c35edd9ce53df/data/dev/resplan-7336/questions_basic.jsonl#L7</x:v>
      </x:c>
      <x:c r="AA1475" s="6" t="str">
        <x:v>resplan</x:v>
      </x:c>
      <x:c r="AB1475" s="6" t="str">
        <x:v>CC-BY-4.0</x:v>
      </x:c>
    </x:row>
    <x:row r="1476" ht="82" customHeight="1">
      <x:c r="A1476" s="14" t="n">
        <x:v>1471</x:v>
      </x:c>
      <x:c r="B1476" s="6" t="str">
        <x:v>route</x:v>
      </x:c>
      <x:c r="C1476" s="6" t="str">
        <x:v>How do I get from Living room 0.01 (Ground floor) to Bathroom 0.04 (Ground floor)?</x:v>
      </x:c>
      <x:c r="D1476" s="6" t="str">
        <x:v>9.77 m
From: Living room 0.01
To: Bathroom 0.04
Ordered path (3 spaces): Living room 0.01 → Bedroom 0.02 → Bathroom 0.04</x:v>
      </x:c>
      <x:c r="E1476" s="6" t="str">
        <x:v>Reference supplied</x:v>
      </x:c>
      <x:c r="F1476" s="6" t="str">
        <x:v>dev</x:v>
      </x:c>
      <x:c r="G1476" s="6" t="str">
        <x:v>resplan-8169</x:v>
      </x:c>
      <x:c r="H1476" s="6" t="str">
        <x:v>resplan-8169-Q05</x:v>
      </x:c>
      <x:c r="I1476" s="6" t="str">
        <x:v>Route planning</x:v>
      </x:c>
      <x:c r="J1476" s="6" t="str">
        <x:v>Warm-up</x:v>
      </x:c>
      <x:c r="K1476" s="6" t="str">
        <x:v>Ordered space path and directions, plus total route-model distance in metres.</x:v>
      </x:c>
      <x:c r="L1476" s="6" t="str">
        <x:v>T02, T05, T13</x:v>
      </x:c>
      <x:c r="M1476" s="6" t="str">
        <x:v>Find a valid route between two rooms, including across floors.</x:v>
      </x:c>
      <x:c r="N1476" s="6" t="str">
        <x:v>{"from_space_id":"resplan-8169-F0-S001","to_space_id":"resplan-8169-F0-S004","optimal_length_m":9.77,"space_path":["resplan-8169-F0-S001","resplan-8169-F0-S002","resplan-8169-F0-S004"],"element_path":["resplan-8169-F0-O0003","resplan-8169-F0-O0003","resplan-8169-F0-O0004","resplan-8169-F0-O0004"]}</x:v>
      </x:c>
      <x:c r="O1476" s="6"/>
      <x:c r="P1476" s="6" t="str">
        <x:v>README routing profile. Stairs and lifts allowed unless stated otherwise.</x:v>
      </x:c>
      <x:c r="Q1476" s="15" t="n">
        <x:v>9.77</x:v>
      </x:c>
      <x:c r="R1476" s="6" t="str">
        <x:v>m</x:v>
      </x:c>
      <x:c r="S1476" s="16"/>
      <x:c r="T1476" s="15"/>
      <x:c r="U1476" s="6"/>
      <x:c r="V1476" s="6"/>
      <x:c r="W1476" s="6" t="str">
        <x:v>Existing find_route and show_route implement the kit routing model.</x:v>
      </x:c>
      <x:c r="X1476" s="6" t="str">
        <x:v>data/dev/resplan-8169/questions_basic.jsonl</x:v>
      </x:c>
      <x:c r="Y1476" s="14" t="n">
        <x:v>5</x:v>
      </x:c>
      <x:c r="Z1476" s="6" t="str">
        <x:v>https://github.com/hagenhaeussler/Industrial-Agents-Hackathon-2026/blob/f41616590b69f3ea0c1cbfb41d6c35edd9ce53df/data/dev/resplan-8169/questions_basic.jsonl#L5</x:v>
      </x:c>
      <x:c r="AA1476" s="6" t="str">
        <x:v>resplan</x:v>
      </x:c>
      <x:c r="AB1476" s="6" t="str">
        <x:v>CC-BY-4.0</x:v>
      </x:c>
    </x:row>
    <x:row r="1477" ht="82" customHeight="1">
      <x:c r="A1477" s="14" t="n">
        <x:v>1472</x:v>
      </x:c>
      <x:c r="B1477" s="6" t="str">
        <x:v>route</x:v>
      </x:c>
      <x:c r="C1477" s="6" t="str">
        <x:v>How do I get from Bathroom 0.05 (Ground floor) to Bedroom 0.03 (Ground floor)?</x:v>
      </x:c>
      <x:c r="D1477" s="6" t="str">
        <x:v>8.92 m
From: Bathroom 0.05
To: Bedroom 0.03
Ordered path (3 spaces): Bathroom 0.05 → Living room 0.01 → Bedroom 0.03</x:v>
      </x:c>
      <x:c r="E1477" s="6" t="str">
        <x:v>Reference supplied</x:v>
      </x:c>
      <x:c r="F1477" s="6" t="str">
        <x:v>dev</x:v>
      </x:c>
      <x:c r="G1477" s="6" t="str">
        <x:v>resplan-8169</x:v>
      </x:c>
      <x:c r="H1477" s="6" t="str">
        <x:v>resplan-8169-Q06</x:v>
      </x:c>
      <x:c r="I1477" s="6" t="str">
        <x:v>Route planning</x:v>
      </x:c>
      <x:c r="J1477" s="6" t="str">
        <x:v>Warm-up</x:v>
      </x:c>
      <x:c r="K1477" s="6" t="str">
        <x:v>Ordered space path and directions, plus total route-model distance in metres.</x:v>
      </x:c>
      <x:c r="L1477" s="6" t="str">
        <x:v>T02, T05, T13</x:v>
      </x:c>
      <x:c r="M1477" s="6" t="str">
        <x:v>Find a valid route between two rooms, including across floors.</x:v>
      </x:c>
      <x:c r="N1477" s="6" t="str">
        <x:v>{"from_space_id":"resplan-8169-F0-S005","to_space_id":"resplan-8169-F0-S003","optimal_length_m":8.92,"space_path":["resplan-8169-F0-S005","resplan-8169-F0-S001","resplan-8169-F0-S003"],"element_path":["resplan-8169-F0-O0001","resplan-8169-F0-O0001","resplan-8169-F0-O0002","resplan-8169-F0-O0002"]}</x:v>
      </x:c>
      <x:c r="O1477" s="6"/>
      <x:c r="P1477" s="6" t="str">
        <x:v>README routing profile. Stairs and lifts allowed unless stated otherwise.</x:v>
      </x:c>
      <x:c r="Q1477" s="15" t="n">
        <x:v>8.92</x:v>
      </x:c>
      <x:c r="R1477" s="6" t="str">
        <x:v>m</x:v>
      </x:c>
      <x:c r="S1477" s="16"/>
      <x:c r="T1477" s="15"/>
      <x:c r="U1477" s="6"/>
      <x:c r="V1477" s="6"/>
      <x:c r="W1477" s="6" t="str">
        <x:v>Existing find_route and show_route implement the kit routing model.</x:v>
      </x:c>
      <x:c r="X1477" s="6" t="str">
        <x:v>data/dev/resplan-8169/questions_basic.jsonl</x:v>
      </x:c>
      <x:c r="Y1477" s="14" t="n">
        <x:v>6</x:v>
      </x:c>
      <x:c r="Z1477" s="6" t="str">
        <x:v>https://github.com/hagenhaeussler/Industrial-Agents-Hackathon-2026/blob/f41616590b69f3ea0c1cbfb41d6c35edd9ce53df/data/dev/resplan-8169/questions_basic.jsonl#L6</x:v>
      </x:c>
      <x:c r="AA1477" s="6" t="str">
        <x:v>resplan</x:v>
      </x:c>
      <x:c r="AB1477" s="6" t="str">
        <x:v>CC-BY-4.0</x:v>
      </x:c>
    </x:row>
    <x:row r="1478" ht="72" customHeight="1">
      <x:c r="A1478" s="14" t="n">
        <x:v>1473</x:v>
      </x:c>
      <x:c r="B1478" s="6" t="str">
        <x:v>route</x:v>
      </x:c>
      <x:c r="C1478" s="6" t="str">
        <x:v>How do I get from Kitchen 0.06 (Ground floor) to Bedroom 0.03 (Ground floor)?</x:v>
      </x:c>
      <x:c r="D1478" s="6" t="str">
        <x:v>8.91 m
From: Kitchen 0.06
To: Bedroom 0.03
Ordered path (3 spaces): Kitchen 0.06 → Living room 0.01 → Bedroom 0.03</x:v>
      </x:c>
      <x:c r="E1478" s="6" t="str">
        <x:v>Reference supplied</x:v>
      </x:c>
      <x:c r="F1478" s="6" t="str">
        <x:v>dev</x:v>
      </x:c>
      <x:c r="G1478" s="6" t="str">
        <x:v>resplan-8169</x:v>
      </x:c>
      <x:c r="H1478" s="6" t="str">
        <x:v>resplan-8169-Q07</x:v>
      </x:c>
      <x:c r="I1478" s="6" t="str">
        <x:v>Route planning</x:v>
      </x:c>
      <x:c r="J1478" s="6" t="str">
        <x:v>Warm-up</x:v>
      </x:c>
      <x:c r="K1478" s="6" t="str">
        <x:v>Ordered space path and directions, plus total route-model distance in metres.</x:v>
      </x:c>
      <x:c r="L1478" s="6" t="str">
        <x:v>T02, T05, T13</x:v>
      </x:c>
      <x:c r="M1478" s="6" t="str">
        <x:v>Find a valid route between two rooms, including across floors.</x:v>
      </x:c>
      <x:c r="N1478" s="6" t="str">
        <x:v>{"from_space_id":"resplan-8169-F0-S006","to_space_id":"resplan-8169-F0-S003","optimal_length_m":8.91,"space_path":["resplan-8169-F0-S006","resplan-8169-F0-S001","resplan-8169-F0-S003"],"element_path":["resplan-8169-F0-O0005","resplan-8169-F0-O0005","resplan-8169-F0-O0002","resplan-8169-F0-O0002"]}</x:v>
      </x:c>
      <x:c r="O1478" s="6"/>
      <x:c r="P1478" s="6" t="str">
        <x:v>README routing profile. Stairs and lifts allowed unless stated otherwise.</x:v>
      </x:c>
      <x:c r="Q1478" s="15" t="n">
        <x:v>8.91</x:v>
      </x:c>
      <x:c r="R1478" s="6" t="str">
        <x:v>m</x:v>
      </x:c>
      <x:c r="S1478" s="16"/>
      <x:c r="T1478" s="15"/>
      <x:c r="U1478" s="6"/>
      <x:c r="V1478" s="6"/>
      <x:c r="W1478" s="6" t="str">
        <x:v>Existing find_route and show_route implement the kit routing model.</x:v>
      </x:c>
      <x:c r="X1478" s="6" t="str">
        <x:v>data/dev/resplan-8169/questions_basic.jsonl</x:v>
      </x:c>
      <x:c r="Y1478" s="14" t="n">
        <x:v>7</x:v>
      </x:c>
      <x:c r="Z1478" s="6" t="str">
        <x:v>https://github.com/hagenhaeussler/Industrial-Agents-Hackathon-2026/blob/f41616590b69f3ea0c1cbfb41d6c35edd9ce53df/data/dev/resplan-8169/questions_basic.jsonl#L7</x:v>
      </x:c>
      <x:c r="AA1478" s="6" t="str">
        <x:v>resplan</x:v>
      </x:c>
      <x:c r="AB1478" s="6" t="str">
        <x:v>CC-BY-4.0</x:v>
      </x:c>
    </x:row>
    <x:row r="1479" ht="82" customHeight="1">
      <x:c r="A1479" s="14" t="n">
        <x:v>1474</x:v>
      </x:c>
      <x:c r="B1479" s="6" t="str">
        <x:v>route</x:v>
      </x:c>
      <x:c r="C1479" s="6" t="str">
        <x:v>How do I get from Bathroom 0.03 (Ground floor) to Bathroom 0.04 (Ground floor)?</x:v>
      </x:c>
      <x:c r="D1479" s="6" t="str">
        <x:v>12.01 m
From: Bathroom 0.03
To: Bathroom 0.04
Ordered path (4 spaces): Bathroom 0.03 → Bedroom 0.02 → Living room 0.01 → Bathroom 0.04</x:v>
      </x:c>
      <x:c r="E1479" s="6" t="str">
        <x:v>Reference supplied</x:v>
      </x:c>
      <x:c r="F1479" s="6" t="str">
        <x:v>dev</x:v>
      </x:c>
      <x:c r="G1479" s="6" t="str">
        <x:v>resplan-8269</x:v>
      </x:c>
      <x:c r="H1479" s="6" t="str">
        <x:v>resplan-8269-Q05</x:v>
      </x:c>
      <x:c r="I1479" s="6" t="str">
        <x:v>Route planning</x:v>
      </x:c>
      <x:c r="J1479" s="6" t="str">
        <x:v>Warm-up</x:v>
      </x:c>
      <x:c r="K1479" s="6" t="str">
        <x:v>Ordered space path and directions, plus total route-model distance in metres.</x:v>
      </x:c>
      <x:c r="L1479" s="6" t="str">
        <x:v>T02, T05, T13</x:v>
      </x:c>
      <x:c r="M1479" s="6" t="str">
        <x:v>Find a valid route between two rooms, including across floors.</x:v>
      </x:c>
      <x:c r="N1479" s="6" t="str">
        <x:v>{"from_space_id":"resplan-8269-F0-S003","to_space_id":"resplan-8269-F0-S004","optimal_length_m":12.01,"space_path":["resplan-8269-F0-S003","resplan-8269-F0-S002","resplan-8269-F0-S001","resplan-8269-F0-S004"],"element_path":["resplan-8269-F0-O0003","resplan-8269-F0-O0003","resplan-8269-F0-O0002","resplan-8269-F0-O0002","resplan-8269-F0-O0001","resplan-8269-F0-O0001"]}</x:v>
      </x:c>
      <x:c r="O1479" s="6"/>
      <x:c r="P1479" s="6" t="str">
        <x:v>README routing profile. Stairs and lifts allowed unless stated otherwise.</x:v>
      </x:c>
      <x:c r="Q1479" s="15" t="n">
        <x:v>12.01</x:v>
      </x:c>
      <x:c r="R1479" s="6" t="str">
        <x:v>m</x:v>
      </x:c>
      <x:c r="S1479" s="16"/>
      <x:c r="T1479" s="15"/>
      <x:c r="U1479" s="6"/>
      <x:c r="V1479" s="6"/>
      <x:c r="W1479" s="6" t="str">
        <x:v>Existing find_route and show_route implement the kit routing model.</x:v>
      </x:c>
      <x:c r="X1479" s="6" t="str">
        <x:v>data/dev/resplan-8269/questions_basic.jsonl</x:v>
      </x:c>
      <x:c r="Y1479" s="14" t="n">
        <x:v>5</x:v>
      </x:c>
      <x:c r="Z1479" s="6" t="str">
        <x:v>https://github.com/hagenhaeussler/Industrial-Agents-Hackathon-2026/blob/f41616590b69f3ea0c1cbfb41d6c35edd9ce53df/data/dev/resplan-8269/questions_basic.jsonl#L5</x:v>
      </x:c>
      <x:c r="AA1479" s="6" t="str">
        <x:v>resplan</x:v>
      </x:c>
      <x:c r="AB1479" s="6" t="str">
        <x:v>CC-BY-4.0</x:v>
      </x:c>
    </x:row>
    <x:row r="1480" ht="82" customHeight="1">
      <x:c r="A1480" s="14" t="n">
        <x:v>1475</x:v>
      </x:c>
      <x:c r="B1480" s="6" t="str">
        <x:v>route</x:v>
      </x:c>
      <x:c r="C1480" s="6" t="str">
        <x:v>How do I get from Bathroom 0.03 (Ground floor) to Bathroom 0.04 (Ground floor)?</x:v>
      </x:c>
      <x:c r="D1480" s="6" t="str">
        <x:v>12.01 m
From: Bathroom 0.03
To: Bathroom 0.04
Ordered path (4 spaces): Bathroom 0.03 → Bedroom 0.02 → Living room 0.01 → Bathroom 0.04</x:v>
      </x:c>
      <x:c r="E1480" s="6" t="str">
        <x:v>Reference supplied</x:v>
      </x:c>
      <x:c r="F1480" s="6" t="str">
        <x:v>dev</x:v>
      </x:c>
      <x:c r="G1480" s="6" t="str">
        <x:v>resplan-8269</x:v>
      </x:c>
      <x:c r="H1480" s="6" t="str">
        <x:v>resplan-8269-Q06</x:v>
      </x:c>
      <x:c r="I1480" s="6" t="str">
        <x:v>Route planning</x:v>
      </x:c>
      <x:c r="J1480" s="6" t="str">
        <x:v>Warm-up</x:v>
      </x:c>
      <x:c r="K1480" s="6" t="str">
        <x:v>Ordered space path and directions, plus total route-model distance in metres.</x:v>
      </x:c>
      <x:c r="L1480" s="6" t="str">
        <x:v>T02, T05, T13</x:v>
      </x:c>
      <x:c r="M1480" s="6" t="str">
        <x:v>Find a valid route between two rooms, including across floors.</x:v>
      </x:c>
      <x:c r="N1480" s="6" t="str">
        <x:v>{"from_space_id":"resplan-8269-F0-S003","to_space_id":"resplan-8269-F0-S004","optimal_length_m":12.01,"space_path":["resplan-8269-F0-S003","resplan-8269-F0-S002","resplan-8269-F0-S001","resplan-8269-F0-S004"],"element_path":["resplan-8269-F0-O0003","resplan-8269-F0-O0003","resplan-8269-F0-O0002","resplan-8269-F0-O0002","resplan-8269-F0-O0001","resplan-8269-F0-O0001"]}</x:v>
      </x:c>
      <x:c r="O1480" s="6"/>
      <x:c r="P1480" s="6" t="str">
        <x:v>README routing profile. Stairs and lifts allowed unless stated otherwise.</x:v>
      </x:c>
      <x:c r="Q1480" s="15" t="n">
        <x:v>12.01</x:v>
      </x:c>
      <x:c r="R1480" s="6" t="str">
        <x:v>m</x:v>
      </x:c>
      <x:c r="S1480" s="16"/>
      <x:c r="T1480" s="15"/>
      <x:c r="U1480" s="6"/>
      <x:c r="V1480" s="6"/>
      <x:c r="W1480" s="6" t="str">
        <x:v>Existing find_route and show_route implement the kit routing model.</x:v>
      </x:c>
      <x:c r="X1480" s="6" t="str">
        <x:v>data/dev/resplan-8269/questions_basic.jsonl</x:v>
      </x:c>
      <x:c r="Y1480" s="14" t="n">
        <x:v>6</x:v>
      </x:c>
      <x:c r="Z1480" s="6" t="str">
        <x:v>https://github.com/hagenhaeussler/Industrial-Agents-Hackathon-2026/blob/f41616590b69f3ea0c1cbfb41d6c35edd9ce53df/data/dev/resplan-8269/questions_basic.jsonl#L6</x:v>
      </x:c>
      <x:c r="AA1480" s="6" t="str">
        <x:v>resplan</x:v>
      </x:c>
      <x:c r="AB1480" s="6" t="str">
        <x:v>CC-BY-4.0</x:v>
      </x:c>
    </x:row>
    <x:row r="1481" ht="72" customHeight="1">
      <x:c r="A1481" s="14" t="n">
        <x:v>1476</x:v>
      </x:c>
      <x:c r="B1481" s="6" t="str">
        <x:v>route</x:v>
      </x:c>
      <x:c r="C1481" s="6" t="str">
        <x:v>How do I get from Living room 0.01 (Ground floor) to Bedroom 0.02 (Ground floor)?</x:v>
      </x:c>
      <x:c r="D1481" s="6" t="str">
        <x:v>5.41 m
From: Living room 0.01
To: Bedroom 0.02
Ordered path (2 spaces): Living room 0.01 → Bedroom 0.02</x:v>
      </x:c>
      <x:c r="E1481" s="6" t="str">
        <x:v>Reference supplied</x:v>
      </x:c>
      <x:c r="F1481" s="6" t="str">
        <x:v>dev</x:v>
      </x:c>
      <x:c r="G1481" s="6" t="str">
        <x:v>resplan-8269</x:v>
      </x:c>
      <x:c r="H1481" s="6" t="str">
        <x:v>resplan-8269-Q07</x:v>
      </x:c>
      <x:c r="I1481" s="6" t="str">
        <x:v>Route planning</x:v>
      </x:c>
      <x:c r="J1481" s="6" t="str">
        <x:v>Warm-up</x:v>
      </x:c>
      <x:c r="K1481" s="6" t="str">
        <x:v>Ordered space path and directions, plus total route-model distance in metres.</x:v>
      </x:c>
      <x:c r="L1481" s="6" t="str">
        <x:v>T02, T05, T13</x:v>
      </x:c>
      <x:c r="M1481" s="6" t="str">
        <x:v>Find a valid route between two rooms, including across floors.</x:v>
      </x:c>
      <x:c r="N1481" s="6" t="str">
        <x:v>{"from_space_id":"resplan-8269-F0-S001","to_space_id":"resplan-8269-F0-S002","optimal_length_m":5.41,"space_path":["resplan-8269-F0-S001","resplan-8269-F0-S002"],"element_path":["resplan-8269-F0-O0002","resplan-8269-F0-O0002"]}</x:v>
      </x:c>
      <x:c r="O1481" s="6"/>
      <x:c r="P1481" s="6" t="str">
        <x:v>README routing profile. Stairs and lifts allowed unless stated otherwise.</x:v>
      </x:c>
      <x:c r="Q1481" s="15" t="n">
        <x:v>5.41</x:v>
      </x:c>
      <x:c r="R1481" s="6" t="str">
        <x:v>m</x:v>
      </x:c>
      <x:c r="S1481" s="16"/>
      <x:c r="T1481" s="15"/>
      <x:c r="U1481" s="6"/>
      <x:c r="V1481" s="6"/>
      <x:c r="W1481" s="6" t="str">
        <x:v>Existing find_route and show_route implement the kit routing model.</x:v>
      </x:c>
      <x:c r="X1481" s="6" t="str">
        <x:v>data/dev/resplan-8269/questions_basic.jsonl</x:v>
      </x:c>
      <x:c r="Y1481" s="14" t="n">
        <x:v>7</x:v>
      </x:c>
      <x:c r="Z1481" s="6" t="str">
        <x:v>https://github.com/hagenhaeussler/Industrial-Agents-Hackathon-2026/blob/f41616590b69f3ea0c1cbfb41d6c35edd9ce53df/data/dev/resplan-8269/questions_basic.jsonl#L7</x:v>
      </x:c>
      <x:c r="AA1481" s="6" t="str">
        <x:v>resplan</x:v>
      </x:c>
      <x:c r="AB1481" s="6" t="str">
        <x:v>CC-BY-4.0</x:v>
      </x:c>
    </x:row>
    <x:row r="1482" ht="110" customHeight="1">
      <x:c r="A1482" s="14" t="n">
        <x:v>1477</x:v>
      </x:c>
      <x:c r="B1482" s="6" t="str">
        <x:v>route</x:v>
      </x:c>
      <x:c r="C1482" s="6" t="str">
        <x:v>How do I get from Living room -1.32 (apartment 4) (Basement 1) to Living room 0.59 (apartment 12) (Ground floor)?</x:v>
      </x:c>
      <x:c r="D1482" s="6" t="str">
        <x:v>31.59 m
From: Living room -1.32 (apartment 4)
To: Living room 0.59 (apartment 12)
Ordered path (9 spaces): Living room -1.32 (apartment 4) → Corridor -1.23 (apartment 4) → Landing -1.47 → Landing 0.71 → outside → Landing 0.73 → Corridor 0.65 (apartment 12) → Bedroom 0.62 (apartment 12) → Living room 0.59 (apartment 12)</x:v>
      </x:c>
      <x:c r="E1482" s="6" t="str">
        <x:v>Reference supplied</x:v>
      </x:c>
      <x:c r="F1482" s="6" t="str">
        <x:v>dev</x:v>
      </x:c>
      <x:c r="G1482" s="6" t="str">
        <x:v>swiss-1689</x:v>
      </x:c>
      <x:c r="H1482" s="6" t="str">
        <x:v>swiss-1689-Q02</x:v>
      </x:c>
      <x:c r="I1482" s="6" t="str">
        <x:v>Route planning</x:v>
      </x:c>
      <x:c r="J1482" s="6" t="str">
        <x:v>Warm-up</x:v>
      </x:c>
      <x:c r="K1482" s="6" t="str">
        <x:v>Ordered space path and directions, plus total route-model distance in metres.</x:v>
      </x:c>
      <x:c r="L1482" s="6" t="str">
        <x:v>T02, T05, T13</x:v>
      </x:c>
      <x:c r="M1482" s="6" t="str">
        <x:v>Find a valid route between two rooms, including across floors.</x:v>
      </x:c>
      <x:c r="N1482" s="6" t="str">
        <x:v>{"from_space_id":"swiss-1689-F-1-S032","to_space_id":"swiss-1689-F0-S059","optimal_length_m":31.59,"space_path":["swiss-1689-F-1-S032","swiss-1689-F-1-S023","swiss-1689-F-1-S047","swiss-1689-F0-S071","outside","swiss-1689-F0-S073","swiss-1689-F0-S065","swiss-1689-F0-S062","swiss-1689-F0-S059"],"element_path":["swiss-1689-F-1-O0028","swiss-1689-F-1-O0028","swiss-1689-F-1-O0025","swiss-1689-F-1-O0025","swiss-1689-V05","swiss-1689-F0-O0379","swiss-1689-F0-O0379","swiss-1689-F0-O0381","swiss-1689-F0-O0381","swiss-1689-F0-O0118","swiss-1689-F0-O0118","swiss-1689-F0-O0125","swiss-1689-F0-O0125","swiss-1689-F0-O0126","swiss-1689-F0-O0126"]}</x:v>
      </x:c>
      <x:c r="O1482" s="6"/>
      <x:c r="P1482" s="6" t="str">
        <x:v>README routing profile. Stairs and lifts allowed unless stated otherwise.</x:v>
      </x:c>
      <x:c r="Q1482" s="15" t="n">
        <x:v>31.59</x:v>
      </x:c>
      <x:c r="R1482" s="6" t="str">
        <x:v>m</x:v>
      </x:c>
      <x:c r="S1482" s="16"/>
      <x:c r="T1482" s="15"/>
      <x:c r="U1482" s="6"/>
      <x:c r="V1482" s="6"/>
      <x:c r="W1482" s="6" t="str">
        <x:v>Existing find_route and show_route implement the kit routing model.</x:v>
      </x:c>
      <x:c r="X1482" s="6" t="str">
        <x:v>data/dev/swiss-1689/questions_basic.jsonl</x:v>
      </x:c>
      <x:c r="Y1482" s="14" t="n">
        <x:v>2</x:v>
      </x:c>
      <x:c r="Z1482" s="6" t="str">
        <x:v>https://github.com/hagenhaeussler/Industrial-Agents-Hackathon-2026/blob/f41616590b69f3ea0c1cbfb41d6c35edd9ce53df/data/dev/swiss-1689/questions_basic.jsonl#L2</x:v>
      </x:c>
      <x:c r="AA1482" s="6" t="str">
        <x:v>swiss_dwellings</x:v>
      </x:c>
      <x:c r="AB1482" s="6" t="str">
        <x:v>CC-BY-4.0</x:v>
      </x:c>
    </x:row>
    <x:row r="1483" ht="124" customHeight="1">
      <x:c r="A1483" s="14" t="n">
        <x:v>1478</x:v>
      </x:c>
      <x:c r="B1483" s="6" t="str">
        <x:v>route</x:v>
      </x:c>
      <x:c r="C1483" s="6" t="str">
        <x:v>How do I get from Kitchen 3.18 (apartment 26) (Floor 3) to Bathroom -1.19 (apartment 3) (Basement 1)?</x:v>
      </x:c>
      <x:c r="D1483" s="6" t="str">
        <x:v>62.71 m
From: Kitchen 3.18 (apartment 26)
To: Bathroom -1.19 (apartment 3)
Ordered path (11 spaces): Kitchen 3.18 (apartment 26) → Corridor 3.24 (apartment 26) → Stair hall 3.79 → Stair hall 2.79 → Stair hall 1.79 → Landing 0.69 → outside → Landing 0.72 → Landing -1.46 → Corridor -1.21 (apartment 3) → Bathroom -1.19 (apartment 3)</x:v>
      </x:c>
      <x:c r="E1483" s="6" t="str">
        <x:v>Reference supplied</x:v>
      </x:c>
      <x:c r="F1483" s="6" t="str">
        <x:v>dev</x:v>
      </x:c>
      <x:c r="G1483" s="6" t="str">
        <x:v>swiss-1689</x:v>
      </x:c>
      <x:c r="H1483" s="6" t="str">
        <x:v>swiss-1689-Q03</x:v>
      </x:c>
      <x:c r="I1483" s="6" t="str">
        <x:v>Route planning</x:v>
      </x:c>
      <x:c r="J1483" s="6" t="str">
        <x:v>Warm-up</x:v>
      </x:c>
      <x:c r="K1483" s="6" t="str">
        <x:v>Ordered space path and directions, plus total route-model distance in metres.</x:v>
      </x:c>
      <x:c r="L1483" s="6" t="str">
        <x:v>T02, T05, T13</x:v>
      </x:c>
      <x:c r="M1483" s="6" t="str">
        <x:v>Find a valid route between two rooms, including across floors.</x:v>
      </x:c>
      <x:c r="N1483" s="6" t="str">
        <x:v>{"from_space_id":"swiss-1689-F3-S018","to_space_id":"swiss-1689-F-1-S019","optimal_length_m":62.71,"space_path":["swiss-1689-F3-S018","swiss-1689-F3-S024","swiss-1689-F3-S079","swiss-1689-F2-S079","swiss-1689-F1-S079","swiss-1689-F0-S069","outside","swiss-1689-F0-S072","swiss-1689-F-1-S046","swiss-1689-F-1-S021","swiss-1689-F-1-S019"],"element_path":["swiss-1689-F3-O0318","swiss-1689-F3-O0318","swiss-1689-F3-O0316","swiss-1689-F3-O0316","swiss-1689-V12","swiss-1689-V10","swiss-1689-V08","swiss-1689-F0-O0377","swiss-1689-F0-O0377","swiss-1689-F0-O0380","swiss-1689-F0-O0380","swiss-1689-V06","swiss-1689-F-1-O0022","swiss-1689-F-1-O0022","swiss-1689-F-1-O0023","swiss-1689-F-1-O0023"]}</x:v>
      </x:c>
      <x:c r="O1483" s="6"/>
      <x:c r="P1483" s="6" t="str">
        <x:v>README routing profile. Stairs and lifts allowed unless stated otherwise.</x:v>
      </x:c>
      <x:c r="Q1483" s="15" t="n">
        <x:v>62.71</x:v>
      </x:c>
      <x:c r="R1483" s="6" t="str">
        <x:v>m</x:v>
      </x:c>
      <x:c r="S1483" s="16"/>
      <x:c r="T1483" s="15"/>
      <x:c r="U1483" s="6"/>
      <x:c r="V1483" s="6"/>
      <x:c r="W1483" s="6" t="str">
        <x:v>Existing find_route and show_route implement the kit routing model.</x:v>
      </x:c>
      <x:c r="X1483" s="6" t="str">
        <x:v>data/dev/swiss-1689/questions_basic.jsonl</x:v>
      </x:c>
      <x:c r="Y1483" s="14" t="n">
        <x:v>3</x:v>
      </x:c>
      <x:c r="Z1483" s="6" t="str">
        <x:v>https://github.com/hagenhaeussler/Industrial-Agents-Hackathon-2026/blob/f41616590b69f3ea0c1cbfb41d6c35edd9ce53df/data/dev/swiss-1689/questions_basic.jsonl#L3</x:v>
      </x:c>
      <x:c r="AA1483" s="6" t="str">
        <x:v>swiss_dwellings</x:v>
      </x:c>
      <x:c r="AB1483" s="6" t="str">
        <x:v>CC-BY-4.0</x:v>
      </x:c>
    </x:row>
    <x:row r="1484" ht="152" customHeight="1">
      <x:c r="A1484" s="14" t="n">
        <x:v>1479</x:v>
      </x:c>
      <x:c r="B1484" s="6" t="str">
        <x:v>route</x:v>
      </x:c>
      <x:c r="C1484" s="6" t="str">
        <x:v>How do I get from Bathroom 0.11 (apartment 7) (Ground floor) to Storage 2.22 (apartment 20) (Floor 2)?</x:v>
      </x:c>
      <x:c r="D1484" s="6" t="str">
        <x:v>55.78 m
From: Bathroom 0.11 (apartment 7)
To: Storage 2.22 (apartment 20)
Ordered path (13 spaces): Bathroom 0.11 (apartment 7) → Corridor 0.01 (apartment 7) → Bedroom 0.10 (apartment 7) → Corridor 0.09 (apartment 7) → Landing 0.68 → outside → Landing 0.69 → Stair hall 1.78 → Stair hall 2.78 → Corridor 2.24 (apartment 20) → Living room 2.17 (apartment 20) → Corridor 2.14 (apartment 20) → Storage 2.22 (apartment 20)</x:v>
      </x:c>
      <x:c r="E1484" s="6" t="str">
        <x:v>Reference supplied</x:v>
      </x:c>
      <x:c r="F1484" s="6" t="str">
        <x:v>dev</x:v>
      </x:c>
      <x:c r="G1484" s="6" t="str">
        <x:v>swiss-1689</x:v>
      </x:c>
      <x:c r="H1484" s="6" t="str">
        <x:v>swiss-1689-Q04</x:v>
      </x:c>
      <x:c r="I1484" s="6" t="str">
        <x:v>Route planning</x:v>
      </x:c>
      <x:c r="J1484" s="6" t="str">
        <x:v>Warm-up</x:v>
      </x:c>
      <x:c r="K1484" s="6" t="str">
        <x:v>Ordered space path and directions, plus total route-model distance in metres.</x:v>
      </x:c>
      <x:c r="L1484" s="6" t="str">
        <x:v>T02, T05, T13</x:v>
      </x:c>
      <x:c r="M1484" s="6" t="str">
        <x:v>Find a valid route between two rooms, including across floors.</x:v>
      </x:c>
      <x:c r="N1484" s="6" t="str">
        <x:v>{"from_space_id":"swiss-1689-F0-S011","to_space_id":"swiss-1689-F2-S022","optimal_length_m":55.78,"space_path":["swiss-1689-F0-S011","swiss-1689-F0-S001","swiss-1689-F0-S010","swiss-1689-F0-S009","swiss-1689-F0-S068","outside","swiss-1689-F0-S069","swiss-1689-F1-S078","swiss-1689-F2-S078","swiss-1689-F2-S024","swiss-1689-F2-S017","swiss-1689-F2-S014","swiss-1689-F2-S022"],"element_path":["swiss-1689-F0-O0059","swiss-1689-F0-O0059","swiss-1689-F0-O0058","swiss-1689-F0-O0058","swiss-1689-F0-O0056","swiss-1689-F0-O0056","swiss-1689-F0-O0060","swiss-1689-F0-O0060","swiss-1689-F0-O0376","swiss-1689-F0-O0376","swiss-1689-F0-O0377","swiss-1689-F0-O0377","swiss-1689-V01","swiss-1689-V01","swiss-1689-F2-O0224","swiss-1689-F2-O0224","swiss-1689-F2-O0227","swiss-1689-F2-O0227","swiss-1689-F2-O0232","swiss-1689-F2-O0232","swiss-1689-F2-O0235","swiss-1689-F2-O0235"]}</x:v>
      </x:c>
      <x:c r="O1484" s="6"/>
      <x:c r="P1484" s="6" t="str">
        <x:v>README routing profile. Stairs and lifts allowed unless stated otherwise.</x:v>
      </x:c>
      <x:c r="Q1484" s="15" t="n">
        <x:v>55.78</x:v>
      </x:c>
      <x:c r="R1484" s="6" t="str">
        <x:v>m</x:v>
      </x:c>
      <x:c r="S1484" s="16"/>
      <x:c r="T1484" s="15"/>
      <x:c r="U1484" s="6"/>
      <x:c r="V1484" s="6"/>
      <x:c r="W1484" s="6" t="str">
        <x:v>Existing find_route and show_route implement the kit routing model.</x:v>
      </x:c>
      <x:c r="X1484" s="6" t="str">
        <x:v>data/dev/swiss-1689/questions_basic.jsonl</x:v>
      </x:c>
      <x:c r="Y1484" s="14" t="n">
        <x:v>4</x:v>
      </x:c>
      <x:c r="Z1484" s="6" t="str">
        <x:v>https://github.com/hagenhaeussler/Industrial-Agents-Hackathon-2026/blob/f41616590b69f3ea0c1cbfb41d6c35edd9ce53df/data/dev/swiss-1689/questions_basic.jsonl#L4</x:v>
      </x:c>
      <x:c r="AA1484" s="6" t="str">
        <x:v>swiss_dwellings</x:v>
      </x:c>
      <x:c r="AB1484" s="6" t="str">
        <x:v>CC-BY-4.0</x:v>
      </x:c>
    </x:row>
    <x:row r="1485" ht="96" customHeight="1">
      <x:c r="A1485" s="14" t="n">
        <x:v>1480</x:v>
      </x:c>
      <x:c r="B1485" s="6" t="str">
        <x:v>route</x:v>
      </x:c>
      <x:c r="C1485" s="6" t="str">
        <x:v>How do I get from Living room 2.01 (apartment 9) (Floor 2) to Living room 0.01 (apartment 1) (Ground floor)?</x:v>
      </x:c>
      <x:c r="D1485" s="6" t="str">
        <x:v>43.31 m
From: Living room 2.01 (apartment 9)
To: Living room 0.01 (apartment 1)
Ordered path (7 spaces): Living room 2.01 (apartment 9) → Corridor 2.04 (apartment 9) → Stair hall 2.30 → Stair hall 1.34 → Stair hall 0.35 → Corridor 0.03 (apartment 1) → Living room 0.01 (apartment 1)</x:v>
      </x:c>
      <x:c r="E1485" s="6" t="str">
        <x:v>Reference supplied</x:v>
      </x:c>
      <x:c r="F1485" s="6" t="str">
        <x:v>dev</x:v>
      </x:c>
      <x:c r="G1485" s="6" t="str">
        <x:v>swiss-1785</x:v>
      </x:c>
      <x:c r="H1485" s="6" t="str">
        <x:v>swiss-1785-Q03</x:v>
      </x:c>
      <x:c r="I1485" s="6" t="str">
        <x:v>Route planning</x:v>
      </x:c>
      <x:c r="J1485" s="6" t="str">
        <x:v>Warm-up</x:v>
      </x:c>
      <x:c r="K1485" s="6" t="str">
        <x:v>Ordered space path and directions, plus total route-model distance in metres.</x:v>
      </x:c>
      <x:c r="L1485" s="6" t="str">
        <x:v>T02, T05, T13</x:v>
      </x:c>
      <x:c r="M1485" s="6" t="str">
        <x:v>Find a valid route between two rooms, including across floors.</x:v>
      </x:c>
      <x:c r="N1485" s="6" t="str">
        <x:v>{"from_space_id":"swiss-1785-F2-S001","to_space_id":"swiss-1785-F0-S001","optimal_length_m":43.31,"space_path":["swiss-1785-F2-S001","swiss-1785-F2-S004","swiss-1785-F2-S030","swiss-1785-F1-S034","swiss-1785-F0-S035","swiss-1785-F0-S003","swiss-1785-F0-S001"],"element_path":["swiss-1785-F2-O0093","swiss-1785-F2-O0093","swiss-1785-F2-O0073","swiss-1785-F2-O0073","swiss-1785-V01","swiss-1785-V01","swiss-1785-F0-O0001","swiss-1785-F0-O0001","swiss-1785-F0-O0027","swiss-1785-F0-O0027"]}</x:v>
      </x:c>
      <x:c r="O1485" s="6"/>
      <x:c r="P1485" s="6" t="str">
        <x:v>README routing profile. Stairs and lifts allowed unless stated otherwise.</x:v>
      </x:c>
      <x:c r="Q1485" s="15" t="n">
        <x:v>43.31</x:v>
      </x:c>
      <x:c r="R1485" s="6" t="str">
        <x:v>m</x:v>
      </x:c>
      <x:c r="S1485" s="16"/>
      <x:c r="T1485" s="15"/>
      <x:c r="U1485" s="6"/>
      <x:c r="V1485" s="6"/>
      <x:c r="W1485" s="6" t="str">
        <x:v>Existing find_route and show_route implement the kit routing model.</x:v>
      </x:c>
      <x:c r="X1485" s="6" t="str">
        <x:v>data/dev/swiss-1785/questions_basic.jsonl</x:v>
      </x:c>
      <x:c r="Y1485" s="14" t="n">
        <x:v>3</x:v>
      </x:c>
      <x:c r="Z1485" s="6" t="str">
        <x:v>https://github.com/hagenhaeussler/Industrial-Agents-Hackathon-2026/blob/f41616590b69f3ea0c1cbfb41d6c35edd9ce53df/data/dev/swiss-1785/questions_basic.jsonl#L3</x:v>
      </x:c>
      <x:c r="AA1485" s="6" t="str">
        <x:v>swiss_dwellings</x:v>
      </x:c>
      <x:c r="AB1485" s="6" t="str">
        <x:v>CC-BY-4.0</x:v>
      </x:c>
    </x:row>
    <x:row r="1486" ht="96" customHeight="1">
      <x:c r="A1486" s="14" t="n">
        <x:v>1481</x:v>
      </x:c>
      <x:c r="B1486" s="6" t="str">
        <x:v>route</x:v>
      </x:c>
      <x:c r="C1486" s="6" t="str">
        <x:v>How do I get from Bedroom 2.27 (apartment 12) (Floor 2) to Kitchen 1.16 (apartment 7) (Floor 1)?</x:v>
      </x:c>
      <x:c r="D1486" s="6" t="str">
        <x:v>35.85 m
From: Bedroom 2.27 (apartment 12)
To: Kitchen 1.16 (apartment 7)
Ordered path (7 spaces): Bedroom 2.27 (apartment 12) → Corridor 2.25 (apartment 12) → Stair hall 2.29 → Stair hall 1.34 → Corridor 1.23 (apartment 7) → Living room 1.21 (apartment 7) → Kitchen 1.16 (apartment 7)</x:v>
      </x:c>
      <x:c r="E1486" s="6" t="str">
        <x:v>Reference supplied</x:v>
      </x:c>
      <x:c r="F1486" s="6" t="str">
        <x:v>dev</x:v>
      </x:c>
      <x:c r="G1486" s="6" t="str">
        <x:v>swiss-1785</x:v>
      </x:c>
      <x:c r="H1486" s="6" t="str">
        <x:v>swiss-1785-Q04</x:v>
      </x:c>
      <x:c r="I1486" s="6" t="str">
        <x:v>Route planning</x:v>
      </x:c>
      <x:c r="J1486" s="6" t="str">
        <x:v>Warm-up</x:v>
      </x:c>
      <x:c r="K1486" s="6" t="str">
        <x:v>Ordered space path and directions, plus total route-model distance in metres.</x:v>
      </x:c>
      <x:c r="L1486" s="6" t="str">
        <x:v>T02, T05, T13</x:v>
      </x:c>
      <x:c r="M1486" s="6" t="str">
        <x:v>Find a valid route between two rooms, including across floors.</x:v>
      </x:c>
      <x:c r="N1486" s="6" t="str">
        <x:v>{"from_space_id":"swiss-1785-F2-S027","to_space_id":"swiss-1785-F1-S016","optimal_length_m":35.85,"space_path":["swiss-1785-F2-S027","swiss-1785-F2-S025","swiss-1785-F2-S029","swiss-1785-F1-S034","swiss-1785-F1-S023","swiss-1785-F1-S021","swiss-1785-F1-S016"],"element_path":["swiss-1785-F2-O0085","swiss-1785-F2-O0085","swiss-1785-F2-O0088","swiss-1785-F2-O0088","swiss-1785-V04","swiss-1785-F1-O0050","swiss-1785-F1-O0050","swiss-1785-F1-O0067","swiss-1785-F1-O0067","swiss-1785-F1-O0065","swiss-1785-F1-O0065"]}</x:v>
      </x:c>
      <x:c r="O1486" s="6"/>
      <x:c r="P1486" s="6" t="str">
        <x:v>README routing profile. Stairs and lifts allowed unless stated otherwise.</x:v>
      </x:c>
      <x:c r="Q1486" s="15" t="n">
        <x:v>35.85</x:v>
      </x:c>
      <x:c r="R1486" s="6" t="str">
        <x:v>m</x:v>
      </x:c>
      <x:c r="S1486" s="16"/>
      <x:c r="T1486" s="15"/>
      <x:c r="U1486" s="6"/>
      <x:c r="V1486" s="6"/>
      <x:c r="W1486" s="6" t="str">
        <x:v>Existing find_route and show_route implement the kit routing model.</x:v>
      </x:c>
      <x:c r="X1486" s="6" t="str">
        <x:v>data/dev/swiss-1785/questions_basic.jsonl</x:v>
      </x:c>
      <x:c r="Y1486" s="14" t="n">
        <x:v>4</x:v>
      </x:c>
      <x:c r="Z1486" s="6" t="str">
        <x:v>https://github.com/hagenhaeussler/Industrial-Agents-Hackathon-2026/blob/f41616590b69f3ea0c1cbfb41d6c35edd9ce53df/data/dev/swiss-1785/questions_basic.jsonl#L4</x:v>
      </x:c>
      <x:c r="AA1486" s="6" t="str">
        <x:v>swiss_dwellings</x:v>
      </x:c>
      <x:c r="AB1486" s="6" t="str">
        <x:v>CC-BY-4.0</x:v>
      </x:c>
    </x:row>
    <x:row r="1487" ht="110" customHeight="1">
      <x:c r="A1487" s="14" t="n">
        <x:v>1482</x:v>
      </x:c>
      <x:c r="B1487" s="6" t="str">
        <x:v>route</x:v>
      </x:c>
      <x:c r="C1487" s="6" t="str">
        <x:v>How do I get from Bedroom 0.09 (apartment 2) (Ground floor) to Bathroom 1.12 (apartment 6) (Floor 1)?</x:v>
      </x:c>
      <x:c r="D1487" s="6" t="str">
        <x:v>35.22 m
From: Bedroom 0.09 (apartment 2)
To: Bathroom 1.12 (apartment 6)
Ordered path (8 spaces): Bedroom 0.09 (apartment 2) → Corridor 0.10 (apartment 2) → Stair hall 0.34 → outside → Stair hall 0.35 → Stair hall 1.35 → Corridor 1.09 (apartment 6) → Bathroom 1.12 (apartment 6)</x:v>
      </x:c>
      <x:c r="E1487" s="6" t="str">
        <x:v>Reference supplied</x:v>
      </x:c>
      <x:c r="F1487" s="6" t="str">
        <x:v>dev</x:v>
      </x:c>
      <x:c r="G1487" s="6" t="str">
        <x:v>swiss-1785</x:v>
      </x:c>
      <x:c r="H1487" s="6" t="str">
        <x:v>swiss-1785-Q05</x:v>
      </x:c>
      <x:c r="I1487" s="6" t="str">
        <x:v>Route planning</x:v>
      </x:c>
      <x:c r="J1487" s="6" t="str">
        <x:v>Warm-up</x:v>
      </x:c>
      <x:c r="K1487" s="6" t="str">
        <x:v>Ordered space path and directions, plus total route-model distance in metres.</x:v>
      </x:c>
      <x:c r="L1487" s="6" t="str">
        <x:v>T02, T05, T13</x:v>
      </x:c>
      <x:c r="M1487" s="6" t="str">
        <x:v>Find a valid route between two rooms, including across floors.</x:v>
      </x:c>
      <x:c r="N1487" s="6" t="str">
        <x:v>{"from_space_id":"swiss-1785-F0-S009","to_space_id":"swiss-1785-F1-S012","optimal_length_m":35.22,"space_path":["swiss-1785-F0-S009","swiss-1785-F0-S010","swiss-1785-F0-S034","outside","swiss-1785-F0-S035","swiss-1785-F1-S035","swiss-1785-F1-S009","swiss-1785-F1-S012"],"element_path":["swiss-1785-F0-O0007","swiss-1785-F0-O0007","swiss-1785-F0-O0008","swiss-1785-F0-O0008","swiss-1785-F0-O0109","swiss-1785-F0-O0109","swiss-1785-F0-O0110","swiss-1785-F0-O0110","swiss-1785-V03","swiss-1785-F1-O0041","swiss-1785-F1-O0041","swiss-1785-F1-O0042","swiss-1785-F1-O0042"]}</x:v>
      </x:c>
      <x:c r="O1487" s="6"/>
      <x:c r="P1487" s="6" t="str">
        <x:v>README routing profile. Stairs and lifts allowed unless stated otherwise.</x:v>
      </x:c>
      <x:c r="Q1487" s="15" t="n">
        <x:v>35.22</x:v>
      </x:c>
      <x:c r="R1487" s="6" t="str">
        <x:v>m</x:v>
      </x:c>
      <x:c r="S1487" s="16"/>
      <x:c r="T1487" s="15"/>
      <x:c r="U1487" s="6"/>
      <x:c r="V1487" s="6"/>
      <x:c r="W1487" s="6" t="str">
        <x:v>Existing find_route and show_route implement the kit routing model.</x:v>
      </x:c>
      <x:c r="X1487" s="6" t="str">
        <x:v>data/dev/swiss-1785/questions_basic.jsonl</x:v>
      </x:c>
      <x:c r="Y1487" s="14" t="n">
        <x:v>5</x:v>
      </x:c>
      <x:c r="Z1487" s="6" t="str">
        <x:v>https://github.com/hagenhaeussler/Industrial-Agents-Hackathon-2026/blob/f41616590b69f3ea0c1cbfb41d6c35edd9ce53df/data/dev/swiss-1785/questions_basic.jsonl#L5</x:v>
      </x:c>
      <x:c r="AA1487" s="6" t="str">
        <x:v>swiss_dwellings</x:v>
      </x:c>
      <x:c r="AB1487" s="6" t="str">
        <x:v>CC-BY-4.0</x:v>
      </x:c>
    </x:row>
    <x:row r="1488" ht="96" customHeight="1">
      <x:c r="A1488" s="14" t="n">
        <x:v>1483</x:v>
      </x:c>
      <x:c r="B1488" s="6" t="str">
        <x:v>route</x:v>
      </x:c>
      <x:c r="C1488" s="6" t="str">
        <x:v>How do I get from Bedroom 1.04 (apartment 5) (Floor 1) to Living room 3.21 (apartment 15) (Floor 3)?</x:v>
      </x:c>
      <x:c r="D1488" s="6" t="str">
        <x:v>41.88 m
From: Bedroom 1.04 (apartment 5)
To: Living room 3.21 (apartment 15)
Ordered path (6 spaces): Bedroom 1.04 (apartment 5) → Living room 1.02 (apartment 5) → Landing 1.33 → Landing 2.33 → Landing 3.35 → Living room 3.21 (apartment 15)</x:v>
      </x:c>
      <x:c r="E1488" s="6" t="str">
        <x:v>Reference supplied</x:v>
      </x:c>
      <x:c r="F1488" s="6" t="str">
        <x:v>dev</x:v>
      </x:c>
      <x:c r="G1488" s="6" t="str">
        <x:v>swiss-203</x:v>
      </x:c>
      <x:c r="H1488" s="6" t="str">
        <x:v>swiss-203-Q02</x:v>
      </x:c>
      <x:c r="I1488" s="6" t="str">
        <x:v>Route planning</x:v>
      </x:c>
      <x:c r="J1488" s="6" t="str">
        <x:v>Warm-up</x:v>
      </x:c>
      <x:c r="K1488" s="6" t="str">
        <x:v>Ordered space path and directions, plus total route-model distance in metres.</x:v>
      </x:c>
      <x:c r="L1488" s="6" t="str">
        <x:v>T02, T05, T13</x:v>
      </x:c>
      <x:c r="M1488" s="6" t="str">
        <x:v>Find a valid route between two rooms, including across floors.</x:v>
      </x:c>
      <x:c r="N1488" s="6" t="str">
        <x:v>{"from_space_id":"swiss-203-F1-S004","to_space_id":"swiss-203-F3-S021","optimal_length_m":41.88,"space_path":["swiss-203-F1-S004","swiss-203-F1-S002","swiss-203-F1-S033","swiss-203-F2-S033","swiss-203-F3-S035","swiss-203-F3-S021"],"element_path":["swiss-203-F1-O0039","swiss-203-F1-O0039","swiss-203-F1-O0041","swiss-203-F1-O0041","swiss-203-V05","swiss-203-V09","swiss-203-F3-O0121","swiss-203-F3-O0121"]}</x:v>
      </x:c>
      <x:c r="O1488" s="6"/>
      <x:c r="P1488" s="6" t="str">
        <x:v>README routing profile. Stairs and lifts allowed unless stated otherwise.</x:v>
      </x:c>
      <x:c r="Q1488" s="15" t="n">
        <x:v>41.88</x:v>
      </x:c>
      <x:c r="R1488" s="6" t="str">
        <x:v>m</x:v>
      </x:c>
      <x:c r="S1488" s="16"/>
      <x:c r="T1488" s="15"/>
      <x:c r="U1488" s="6"/>
      <x:c r="V1488" s="6"/>
      <x:c r="W1488" s="6" t="str">
        <x:v>Existing find_route and show_route implement the kit routing model.</x:v>
      </x:c>
      <x:c r="X1488" s="6" t="str">
        <x:v>data/dev/swiss-203/questions_basic.jsonl</x:v>
      </x:c>
      <x:c r="Y1488" s="14" t="n">
        <x:v>2</x:v>
      </x:c>
      <x:c r="Z1488" s="6" t="str">
        <x:v>https://github.com/hagenhaeussler/Industrial-Agents-Hackathon-2026/blob/f41616590b69f3ea0c1cbfb41d6c35edd9ce53df/data/dev/swiss-203/questions_basic.jsonl#L2</x:v>
      </x:c>
      <x:c r="AA1488" s="6" t="str">
        <x:v>swiss_dwellings</x:v>
      </x:c>
      <x:c r="AB1488" s="6" t="str">
        <x:v>CC-BY-4.0</x:v>
      </x:c>
    </x:row>
    <x:row r="1489" ht="96" customHeight="1">
      <x:c r="A1489" s="14" t="n">
        <x:v>1484</x:v>
      </x:c>
      <x:c r="B1489" s="6" t="str">
        <x:v>route</x:v>
      </x:c>
      <x:c r="C1489" s="6" t="str">
        <x:v>How do I get from Bathroom 3.25 (apartment 16) (Floor 3) to Kitchen 3.29 (apartment 16) (Floor 3)?</x:v>
      </x:c>
      <x:c r="D1489" s="6" t="str">
        <x:v>13.09 m
From: Bathroom 3.25 (apartment 16)
To: Kitchen 3.29 (apartment 16)
Ordered path (4 spaces): Bathroom 3.25 (apartment 16) → Corridor 3.32 (apartment 16) → Living room 3.27 (apartment 16) → Kitchen 3.29 (apartment 16)</x:v>
      </x:c>
      <x:c r="E1489" s="6" t="str">
        <x:v>Reference supplied</x:v>
      </x:c>
      <x:c r="F1489" s="6" t="str">
        <x:v>dev</x:v>
      </x:c>
      <x:c r="G1489" s="6" t="str">
        <x:v>swiss-203</x:v>
      </x:c>
      <x:c r="H1489" s="6" t="str">
        <x:v>swiss-203-Q03</x:v>
      </x:c>
      <x:c r="I1489" s="6" t="str">
        <x:v>Route planning</x:v>
      </x:c>
      <x:c r="J1489" s="6" t="str">
        <x:v>Warm-up</x:v>
      </x:c>
      <x:c r="K1489" s="6" t="str">
        <x:v>Ordered space path and directions, plus total route-model distance in metres.</x:v>
      </x:c>
      <x:c r="L1489" s="6" t="str">
        <x:v>T02, T05, T13</x:v>
      </x:c>
      <x:c r="M1489" s="6" t="str">
        <x:v>Find a valid route between two rooms, including across floors.</x:v>
      </x:c>
      <x:c r="N1489" s="6" t="str">
        <x:v>{"from_space_id":"swiss-203-F3-S025","to_space_id":"swiss-203-F3-S029","optimal_length_m":13.09,"space_path":["swiss-203-F3-S025","swiss-203-F3-S032","swiss-203-F3-S027","swiss-203-F3-S029"],"element_path":["swiss-203-F3-O0128","swiss-203-F3-O0128","swiss-203-F3-O0136","swiss-203-F3-O0136","swiss-203-F3-O0126","swiss-203-F3-O0126"]}</x:v>
      </x:c>
      <x:c r="O1489" s="6"/>
      <x:c r="P1489" s="6" t="str">
        <x:v>README routing profile. Stairs and lifts allowed unless stated otherwise.</x:v>
      </x:c>
      <x:c r="Q1489" s="15" t="n">
        <x:v>13.09</x:v>
      </x:c>
      <x:c r="R1489" s="6" t="str">
        <x:v>m</x:v>
      </x:c>
      <x:c r="S1489" s="16"/>
      <x:c r="T1489" s="15"/>
      <x:c r="U1489" s="6"/>
      <x:c r="V1489" s="6"/>
      <x:c r="W1489" s="6" t="str">
        <x:v>Existing find_route and show_route implement the kit routing model.</x:v>
      </x:c>
      <x:c r="X1489" s="6" t="str">
        <x:v>data/dev/swiss-203/questions_basic.jsonl</x:v>
      </x:c>
      <x:c r="Y1489" s="14" t="n">
        <x:v>3</x:v>
      </x:c>
      <x:c r="Z1489" s="6" t="str">
        <x:v>https://github.com/hagenhaeussler/Industrial-Agents-Hackathon-2026/blob/f41616590b69f3ea0c1cbfb41d6c35edd9ce53df/data/dev/swiss-203/questions_basic.jsonl#L3</x:v>
      </x:c>
      <x:c r="AA1489" s="6" t="str">
        <x:v>swiss_dwellings</x:v>
      </x:c>
      <x:c r="AB1489" s="6" t="str">
        <x:v>CC-BY-4.0</x:v>
      </x:c>
    </x:row>
    <x:row r="1490" ht="124" customHeight="1">
      <x:c r="A1490" s="14" t="n">
        <x:v>1485</x:v>
      </x:c>
      <x:c r="B1490" s="6" t="str">
        <x:v>route</x:v>
      </x:c>
      <x:c r="C1490" s="6" t="str">
        <x:v>How do I get from Bedroom 2.12 (apartment 10) (Floor 2) to Bathroom 1.08 (apartment 5) (Floor 1)?</x:v>
      </x:c>
      <x:c r="D1490" s="6" t="str">
        <x:v>61.28 m
From: Bedroom 2.12 (apartment 10)
To: Bathroom 1.08 (apartment 5)
Ordered path (11 spaces): Bedroom 2.12 (apartment 10) → Living room 2.13 (apartment 10) → Landing 2.34 → Landing 1.36 → Landing 0.33 → outside → Landing 0.35 → Landing 1.33 → Living room 1.02 (apartment 5) → Corridor 1.05 (apartment 5) → Bathroom 1.08 (apartment 5)</x:v>
      </x:c>
      <x:c r="E1490" s="6" t="str">
        <x:v>Reference supplied</x:v>
      </x:c>
      <x:c r="F1490" s="6" t="str">
        <x:v>dev</x:v>
      </x:c>
      <x:c r="G1490" s="6" t="str">
        <x:v>swiss-203</x:v>
      </x:c>
      <x:c r="H1490" s="6" t="str">
        <x:v>swiss-203-Q04</x:v>
      </x:c>
      <x:c r="I1490" s="6" t="str">
        <x:v>Route planning</x:v>
      </x:c>
      <x:c r="J1490" s="6" t="str">
        <x:v>Warm-up</x:v>
      </x:c>
      <x:c r="K1490" s="6" t="str">
        <x:v>Ordered space path and directions, plus total route-model distance in metres.</x:v>
      </x:c>
      <x:c r="L1490" s="6" t="str">
        <x:v>T02, T05, T13</x:v>
      </x:c>
      <x:c r="M1490" s="6" t="str">
        <x:v>Find a valid route between two rooms, including across floors.</x:v>
      </x:c>
      <x:c r="N1490" s="6" t="str">
        <x:v>{"from_space_id":"swiss-203-F2-S012","to_space_id":"swiss-203-F1-S008","optimal_length_m":61.28,"space_path":["swiss-203-F2-S012","swiss-203-F2-S013","swiss-203-F2-S034","swiss-203-F1-S036","swiss-203-F0-S033","outside","swiss-203-F0-S035","swiss-203-F1-S033","swiss-203-F1-S002","swiss-203-F1-S005","swiss-203-F1-S008"],"element_path":["swiss-203-F2-O0081","swiss-203-F2-O0081","swiss-203-F2-O0082","swiss-203-F2-O0082","swiss-203-V01","swiss-203-V01","swiss-203-F0-O0137","swiss-203-F0-O0137","swiss-203-F0-O0139","swiss-203-F0-O0139","swiss-203-V02","swiss-203-F1-O0041","swiss-203-F1-O0041","swiss-203-F1-O0065","swiss-203-F1-O0065","swiss-203-F1-O0043","swiss-203-F1-O0043"]}</x:v>
      </x:c>
      <x:c r="O1490" s="6"/>
      <x:c r="P1490" s="6" t="str">
        <x:v>README routing profile. Stairs and lifts allowed unless stated otherwise.</x:v>
      </x:c>
      <x:c r="Q1490" s="15" t="n">
        <x:v>61.28</x:v>
      </x:c>
      <x:c r="R1490" s="6" t="str">
        <x:v>m</x:v>
      </x:c>
      <x:c r="S1490" s="16"/>
      <x:c r="T1490" s="15"/>
      <x:c r="U1490" s="6"/>
      <x:c r="V1490" s="6"/>
      <x:c r="W1490" s="6" t="str">
        <x:v>Existing find_route and show_route implement the kit routing model.</x:v>
      </x:c>
      <x:c r="X1490" s="6" t="str">
        <x:v>data/dev/swiss-203/questions_basic.jsonl</x:v>
      </x:c>
      <x:c r="Y1490" s="14" t="n">
        <x:v>4</x:v>
      </x:c>
      <x:c r="Z1490" s="6" t="str">
        <x:v>https://github.com/hagenhaeussler/Industrial-Agents-Hackathon-2026/blob/f41616590b69f3ea0c1cbfb41d6c35edd9ce53df/data/dev/swiss-203/questions_basic.jsonl#L4</x:v>
      </x:c>
      <x:c r="AA1490" s="6" t="str">
        <x:v>swiss_dwellings</x:v>
      </x:c>
      <x:c r="AB1490" s="6" t="str">
        <x:v>CC-BY-4.0</x:v>
      </x:c>
    </x:row>
    <x:row r="1491" ht="96" customHeight="1">
      <x:c r="A1491" s="14" t="n">
        <x:v>1486</x:v>
      </x:c>
      <x:c r="B1491" s="6" t="str">
        <x:v>route</x:v>
      </x:c>
      <x:c r="C1491" s="6" t="str">
        <x:v>How do I get from Bedroom 1.10 (apartment 4) (Floor 1) to Bedroom 0.13 (apartment 2) (Ground floor)?</x:v>
      </x:c>
      <x:c r="D1491" s="6" t="str">
        <x:v>31.43 m
From: Bedroom 1.10 (apartment 4)
To: Bedroom 0.13 (apartment 2)
Ordered path (7 spaces): Bedroom 1.10 (apartment 4) → Corridor 1.13 (apartment 4) → Landing 1.17 → Landing 0.17 → Corridor 0.07 (apartment 2) → Bedroom 0.14 (apartment 2) → Bedroom 0.13 (apartment 2)</x:v>
      </x:c>
      <x:c r="E1491" s="6" t="str">
        <x:v>Reference supplied</x:v>
      </x:c>
      <x:c r="F1491" s="6" t="str">
        <x:v>dev</x:v>
      </x:c>
      <x:c r="G1491" s="6" t="str">
        <x:v>swiss-2074</x:v>
      </x:c>
      <x:c r="H1491" s="6" t="str">
        <x:v>swiss-2074-Q04</x:v>
      </x:c>
      <x:c r="I1491" s="6" t="str">
        <x:v>Route planning</x:v>
      </x:c>
      <x:c r="J1491" s="6" t="str">
        <x:v>Warm-up</x:v>
      </x:c>
      <x:c r="K1491" s="6" t="str">
        <x:v>Ordered space path and directions, plus total route-model distance in metres.</x:v>
      </x:c>
      <x:c r="L1491" s="6" t="str">
        <x:v>T02, T05, T13</x:v>
      </x:c>
      <x:c r="M1491" s="6" t="str">
        <x:v>Find a valid route between two rooms, including across floors.</x:v>
      </x:c>
      <x:c r="N1491" s="6" t="str">
        <x:v>{"from_space_id":"swiss-2074-F1-S010","to_space_id":"swiss-2074-F0-S013","optimal_length_m":31.43,"space_path":["swiss-2074-F1-S010","swiss-2074-F1-S013","swiss-2074-F1-S017","swiss-2074-F0-S017","swiss-2074-F0-S007","swiss-2074-F0-S014","swiss-2074-F0-S013"],"element_path":["swiss-2074-F1-O0028","swiss-2074-F1-O0028","swiss-2074-F1-O0032","swiss-2074-F1-O0032","swiss-2074-V02","swiss-2074-F0-O0015","swiss-2074-F0-O0015","swiss-2074-F0-O0010","swiss-2074-F0-O0010","swiss-2074-F0-O0011","swiss-2074-F0-O0011"]}</x:v>
      </x:c>
      <x:c r="O1491" s="6"/>
      <x:c r="P1491" s="6" t="str">
        <x:v>README routing profile. Stairs and lifts allowed unless stated otherwise.</x:v>
      </x:c>
      <x:c r="Q1491" s="15" t="n">
        <x:v>31.43</x:v>
      </x:c>
      <x:c r="R1491" s="6" t="str">
        <x:v>m</x:v>
      </x:c>
      <x:c r="S1491" s="16"/>
      <x:c r="T1491" s="15"/>
      <x:c r="U1491" s="6"/>
      <x:c r="V1491" s="6"/>
      <x:c r="W1491" s="6" t="str">
        <x:v>Existing find_route and show_route implement the kit routing model.</x:v>
      </x:c>
      <x:c r="X1491" s="6" t="str">
        <x:v>data/dev/swiss-2074/questions_basic.jsonl</x:v>
      </x:c>
      <x:c r="Y1491" s="14" t="n">
        <x:v>4</x:v>
      </x:c>
      <x:c r="Z1491" s="6" t="str">
        <x:v>https://github.com/hagenhaeussler/Industrial-Agents-Hackathon-2026/blob/f41616590b69f3ea0c1cbfb41d6c35edd9ce53df/data/dev/swiss-2074/questions_basic.jsonl#L4</x:v>
      </x:c>
      <x:c r="AA1491" s="6" t="str">
        <x:v>swiss_dwellings</x:v>
      </x:c>
      <x:c r="AB1491" s="6" t="str">
        <x:v>CC-BY-4.0</x:v>
      </x:c>
    </x:row>
    <x:row r="1492" ht="96" customHeight="1">
      <x:c r="A1492" s="14" t="n">
        <x:v>1487</x:v>
      </x:c>
      <x:c r="B1492" s="6" t="str">
        <x:v>route</x:v>
      </x:c>
      <x:c r="C1492" s="6" t="str">
        <x:v>How do I get from Bedroom 1.08 (apartment 4) (Floor 1) to Bedroom 0.13 (apartment 2) (Ground floor)?</x:v>
      </x:c>
      <x:c r="D1492" s="6" t="str">
        <x:v>31.02 m
From: Bedroom 1.08 (apartment 4)
To: Bedroom 0.13 (apartment 2)
Ordered path (7 spaces): Bedroom 1.08 (apartment 4) → Corridor 1.13 (apartment 4) → Landing 1.17 → Landing 0.17 → Corridor 0.07 (apartment 2) → Bedroom 0.14 (apartment 2) → Bedroom 0.13 (apartment 2)</x:v>
      </x:c>
      <x:c r="E1492" s="6" t="str">
        <x:v>Reference supplied</x:v>
      </x:c>
      <x:c r="F1492" s="6" t="str">
        <x:v>dev</x:v>
      </x:c>
      <x:c r="G1492" s="6" t="str">
        <x:v>swiss-2074</x:v>
      </x:c>
      <x:c r="H1492" s="6" t="str">
        <x:v>swiss-2074-Q05</x:v>
      </x:c>
      <x:c r="I1492" s="6" t="str">
        <x:v>Route planning</x:v>
      </x:c>
      <x:c r="J1492" s="6" t="str">
        <x:v>Warm-up</x:v>
      </x:c>
      <x:c r="K1492" s="6" t="str">
        <x:v>Ordered space path and directions, plus total route-model distance in metres.</x:v>
      </x:c>
      <x:c r="L1492" s="6" t="str">
        <x:v>T02, T05, T13</x:v>
      </x:c>
      <x:c r="M1492" s="6" t="str">
        <x:v>Find a valid route between two rooms, including across floors.</x:v>
      </x:c>
      <x:c r="N1492" s="6" t="str">
        <x:v>{"from_space_id":"swiss-2074-F1-S008","to_space_id":"swiss-2074-F0-S013","optimal_length_m":31.02,"space_path":["swiss-2074-F1-S008","swiss-2074-F1-S013","swiss-2074-F1-S017","swiss-2074-F0-S017","swiss-2074-F0-S007","swiss-2074-F0-S014","swiss-2074-F0-S013"],"element_path":["swiss-2074-F1-O0026","swiss-2074-F1-O0026","swiss-2074-F1-O0032","swiss-2074-F1-O0032","swiss-2074-V02","swiss-2074-F0-O0015","swiss-2074-F0-O0015","swiss-2074-F0-O0010","swiss-2074-F0-O0010","swiss-2074-F0-O0011","swiss-2074-F0-O0011"]}</x:v>
      </x:c>
      <x:c r="O1492" s="6"/>
      <x:c r="P1492" s="6" t="str">
        <x:v>README routing profile. Stairs and lifts allowed unless stated otherwise.</x:v>
      </x:c>
      <x:c r="Q1492" s="15" t="n">
        <x:v>31.02</x:v>
      </x:c>
      <x:c r="R1492" s="6" t="str">
        <x:v>m</x:v>
      </x:c>
      <x:c r="S1492" s="16"/>
      <x:c r="T1492" s="15"/>
      <x:c r="U1492" s="6"/>
      <x:c r="V1492" s="6"/>
      <x:c r="W1492" s="6" t="str">
        <x:v>Existing find_route and show_route implement the kit routing model.</x:v>
      </x:c>
      <x:c r="X1492" s="6" t="str">
        <x:v>data/dev/swiss-2074/questions_basic.jsonl</x:v>
      </x:c>
      <x:c r="Y1492" s="14" t="n">
        <x:v>5</x:v>
      </x:c>
      <x:c r="Z1492" s="6" t="str">
        <x:v>https://github.com/hagenhaeussler/Industrial-Agents-Hackathon-2026/blob/f41616590b69f3ea0c1cbfb41d6c35edd9ce53df/data/dev/swiss-2074/questions_basic.jsonl#L5</x:v>
      </x:c>
      <x:c r="AA1492" s="6" t="str">
        <x:v>swiss_dwellings</x:v>
      </x:c>
      <x:c r="AB1492" s="6" t="str">
        <x:v>CC-BY-4.0</x:v>
      </x:c>
    </x:row>
    <x:row r="1493" ht="110" customHeight="1">
      <x:c r="A1493" s="14" t="n">
        <x:v>1488</x:v>
      </x:c>
      <x:c r="B1493" s="6" t="str">
        <x:v>route</x:v>
      </x:c>
      <x:c r="C1493" s="6" t="str">
        <x:v>How do I get from Bedroom 0.05 (apartment 1) (Ground floor) to Bathroom 1.14 (apartment 4) (Floor 1)?</x:v>
      </x:c>
      <x:c r="D1493" s="6" t="str">
        <x:v>26.91 m
From: Bedroom 0.05 (apartment 1)
To: Bathroom 1.14 (apartment 4)
Ordered path (8 spaces): Bedroom 0.05 (apartment 1) → Corridor 0.04 (apartment 1) → Landing 0.16 → outside → Landing 0.17 → Landing 1.17 → Corridor 1.13 (apartment 4) → Bathroom 1.14 (apartment 4)</x:v>
      </x:c>
      <x:c r="E1493" s="6" t="str">
        <x:v>Reference supplied</x:v>
      </x:c>
      <x:c r="F1493" s="6" t="str">
        <x:v>dev</x:v>
      </x:c>
      <x:c r="G1493" s="6" t="str">
        <x:v>swiss-2074</x:v>
      </x:c>
      <x:c r="H1493" s="6" t="str">
        <x:v>swiss-2074-Q06</x:v>
      </x:c>
      <x:c r="I1493" s="6" t="str">
        <x:v>Route planning</x:v>
      </x:c>
      <x:c r="J1493" s="6" t="str">
        <x:v>Warm-up</x:v>
      </x:c>
      <x:c r="K1493" s="6" t="str">
        <x:v>Ordered space path and directions, plus total route-model distance in metres.</x:v>
      </x:c>
      <x:c r="L1493" s="6" t="str">
        <x:v>T02, T05, T13</x:v>
      </x:c>
      <x:c r="M1493" s="6" t="str">
        <x:v>Find a valid route between two rooms, including across floors.</x:v>
      </x:c>
      <x:c r="N1493" s="6" t="str">
        <x:v>{"from_space_id":"swiss-2074-F0-S005","to_space_id":"swiss-2074-F1-S014","optimal_length_m":26.91,"space_path":["swiss-2074-F0-S005","swiss-2074-F0-S004","swiss-2074-F0-S016","outside","swiss-2074-F0-S017","swiss-2074-F1-S017","swiss-2074-F1-S013","swiss-2074-F1-S014"],"element_path":["swiss-2074-F0-O0002","swiss-2074-F0-O0002","swiss-2074-F0-O0006","swiss-2074-F0-O0006","swiss-2074-F0-O0049","swiss-2074-F0-O0049","swiss-2074-F0-O0050","swiss-2074-F0-O0050","swiss-2074-V02","swiss-2074-F1-O0032","swiss-2074-F1-O0032","swiss-2074-F1-O0027","swiss-2074-F1-O0027"]}</x:v>
      </x:c>
      <x:c r="O1493" s="6"/>
      <x:c r="P1493" s="6" t="str">
        <x:v>README routing profile. Stairs and lifts allowed unless stated otherwise.</x:v>
      </x:c>
      <x:c r="Q1493" s="15" t="n">
        <x:v>26.91</x:v>
      </x:c>
      <x:c r="R1493" s="6" t="str">
        <x:v>m</x:v>
      </x:c>
      <x:c r="S1493" s="16"/>
      <x:c r="T1493" s="15"/>
      <x:c r="U1493" s="6"/>
      <x:c r="V1493" s="6"/>
      <x:c r="W1493" s="6" t="str">
        <x:v>Existing find_route and show_route implement the kit routing model.</x:v>
      </x:c>
      <x:c r="X1493" s="6" t="str">
        <x:v>data/dev/swiss-2074/questions_basic.jsonl</x:v>
      </x:c>
      <x:c r="Y1493" s="14" t="n">
        <x:v>6</x:v>
      </x:c>
      <x:c r="Z1493" s="6" t="str">
        <x:v>https://github.com/hagenhaeussler/Industrial-Agents-Hackathon-2026/blob/f41616590b69f3ea0c1cbfb41d6c35edd9ce53df/data/dev/swiss-2074/questions_basic.jsonl#L6</x:v>
      </x:c>
      <x:c r="AA1493" s="6" t="str">
        <x:v>swiss_dwellings</x:v>
      </x:c>
      <x:c r="AB1493" s="6" t="str">
        <x:v>CC-BY-4.0</x:v>
      </x:c>
    </x:row>
    <x:row r="1494" ht="96" customHeight="1">
      <x:c r="A1494" s="14" t="n">
        <x:v>1489</x:v>
      </x:c>
      <x:c r="B1494" s="6" t="str">
        <x:v>route</x:v>
      </x:c>
      <x:c r="C1494" s="6" t="str">
        <x:v>How do I get from Bathroom 4.20 (apartment 19) (Floor 4) to Bedroom 1.05 (apartment 5) (Floor 1)?</x:v>
      </x:c>
      <x:c r="D1494" s="6" t="str">
        <x:v>49.36 m
From: Bathroom 4.20 (apartment 19)
To: Bedroom 1.05 (apartment 5)
Ordered path (8 spaces): Bathroom 4.20 (apartment 19) → Corridor 4.18 (apartment 19) → Landing 4.41 → Landing 3.38 → Landing 2.39 → Landing 1.38 → Corridor 1.08 (apartment 5) → Bedroom 1.05 (apartment 5)</x:v>
      </x:c>
      <x:c r="E1494" s="6" t="str">
        <x:v>Reference supplied</x:v>
      </x:c>
      <x:c r="F1494" s="6" t="str">
        <x:v>dev</x:v>
      </x:c>
      <x:c r="G1494" s="6" t="str">
        <x:v>swiss-2211</x:v>
      </x:c>
      <x:c r="H1494" s="6" t="str">
        <x:v>swiss-2211-Q02</x:v>
      </x:c>
      <x:c r="I1494" s="6" t="str">
        <x:v>Route planning</x:v>
      </x:c>
      <x:c r="J1494" s="6" t="str">
        <x:v>Warm-up</x:v>
      </x:c>
      <x:c r="K1494" s="6" t="str">
        <x:v>Ordered space path and directions, plus total route-model distance in metres.</x:v>
      </x:c>
      <x:c r="L1494" s="6" t="str">
        <x:v>T02, T05, T13</x:v>
      </x:c>
      <x:c r="M1494" s="6" t="str">
        <x:v>Find a valid route between two rooms, including across floors.</x:v>
      </x:c>
      <x:c r="N1494" s="6" t="str">
        <x:v>{"from_space_id":"swiss-2211-F4-S020","to_space_id":"swiss-2211-F1-S005","optimal_length_m":49.36,"space_path":["swiss-2211-F4-S020","swiss-2211-F4-S018","swiss-2211-F4-S041","swiss-2211-F3-S038","swiss-2211-F2-S039","swiss-2211-F1-S038","swiss-2211-F1-S008","swiss-2211-F1-S005"],"element_path":["swiss-2211-F4-O0179","swiss-2211-F4-O0179","swiss-2211-F4-O0181","swiss-2211-F4-O0181","swiss-2211-V10","swiss-2211-V07","swiss-2211-V05","swiss-2211-F1-O0042","swiss-2211-F1-O0042","swiss-2211-F1-O0044","swiss-2211-F1-O0044"]}</x:v>
      </x:c>
      <x:c r="O1494" s="6"/>
      <x:c r="P1494" s="6" t="str">
        <x:v>README routing profile. Stairs and lifts allowed unless stated otherwise.</x:v>
      </x:c>
      <x:c r="Q1494" s="15" t="n">
        <x:v>49.36</x:v>
      </x:c>
      <x:c r="R1494" s="6" t="str">
        <x:v>m</x:v>
      </x:c>
      <x:c r="S1494" s="16"/>
      <x:c r="T1494" s="15"/>
      <x:c r="U1494" s="6"/>
      <x:c r="V1494" s="6"/>
      <x:c r="W1494" s="6" t="str">
        <x:v>Existing find_route and show_route implement the kit routing model.</x:v>
      </x:c>
      <x:c r="X1494" s="6" t="str">
        <x:v>data/dev/swiss-2211/questions_basic.jsonl</x:v>
      </x:c>
      <x:c r="Y1494" s="14" t="n">
        <x:v>2</x:v>
      </x:c>
      <x:c r="Z1494" s="6" t="str">
        <x:v>https://github.com/hagenhaeussler/Industrial-Agents-Hackathon-2026/blob/f41616590b69f3ea0c1cbfb41d6c35edd9ce53df/data/dev/swiss-2211/questions_basic.jsonl#L2</x:v>
      </x:c>
      <x:c r="AA1494" s="6" t="str">
        <x:v>swiss_dwellings</x:v>
      </x:c>
      <x:c r="AB1494" s="6" t="str">
        <x:v>CC-BY-4.0</x:v>
      </x:c>
    </x:row>
    <x:row r="1495" ht="110" customHeight="1">
      <x:c r="A1495" s="14" t="n">
        <x:v>1490</x:v>
      </x:c>
      <x:c r="B1495" s="6" t="str">
        <x:v>route</x:v>
      </x:c>
      <x:c r="C1495" s="6" t="str">
        <x:v>How do I get from Bedroom 0.29 (apartment 4) (Ground floor) to Bathroom 1.16 (apartment 6) (Floor 1)?</x:v>
      </x:c>
      <x:c r="D1495" s="6" t="str">
        <x:v>29.52 m
From: Bedroom 0.29 (apartment 4)
To: Bathroom 1.16 (apartment 6)
Ordered path (8 spaces): Bedroom 0.29 (apartment 4) → Corridor 0.28 (apartment 4) → Landing 0.37 → outside → Landing 0.38 → Landing 1.39 → Corridor 1.14 (apartment 6) → Bathroom 1.16 (apartment 6)</x:v>
      </x:c>
      <x:c r="E1495" s="6" t="str">
        <x:v>Reference supplied</x:v>
      </x:c>
      <x:c r="F1495" s="6" t="str">
        <x:v>dev</x:v>
      </x:c>
      <x:c r="G1495" s="6" t="str">
        <x:v>swiss-2211</x:v>
      </x:c>
      <x:c r="H1495" s="6" t="str">
        <x:v>swiss-2211-Q03</x:v>
      </x:c>
      <x:c r="I1495" s="6" t="str">
        <x:v>Route planning</x:v>
      </x:c>
      <x:c r="J1495" s="6" t="str">
        <x:v>Warm-up</x:v>
      </x:c>
      <x:c r="K1495" s="6" t="str">
        <x:v>Ordered space path and directions, plus total route-model distance in metres.</x:v>
      </x:c>
      <x:c r="L1495" s="6" t="str">
        <x:v>T02, T05, T13</x:v>
      </x:c>
      <x:c r="M1495" s="6" t="str">
        <x:v>Find a valid route between two rooms, including across floors.</x:v>
      </x:c>
      <x:c r="N1495" s="6" t="str">
        <x:v>{"from_space_id":"swiss-2211-F0-S029","to_space_id":"swiss-2211-F1-S016","optimal_length_m":29.52,"space_path":["swiss-2211-F0-S029","swiss-2211-F0-S028","swiss-2211-F0-S037","outside","swiss-2211-F0-S038","swiss-2211-F1-S039","swiss-2211-F1-S014","swiss-2211-F1-S016"],"element_path":["swiss-2211-F0-O0035","swiss-2211-F0-O0035","swiss-2211-F0-O0037","swiss-2211-F0-O0037","swiss-2211-F0-O0203","swiss-2211-F0-O0203","swiss-2211-F0-O0204","swiss-2211-F0-O0204","swiss-2211-V01","swiss-2211-F1-O0049","swiss-2211-F1-O0049","swiss-2211-F1-O0055","swiss-2211-F1-O0055"]}</x:v>
      </x:c>
      <x:c r="O1495" s="6"/>
      <x:c r="P1495" s="6" t="str">
        <x:v>README routing profile. Stairs and lifts allowed unless stated otherwise.</x:v>
      </x:c>
      <x:c r="Q1495" s="15" t="n">
        <x:v>29.52</x:v>
      </x:c>
      <x:c r="R1495" s="6" t="str">
        <x:v>m</x:v>
      </x:c>
      <x:c r="S1495" s="16"/>
      <x:c r="T1495" s="15"/>
      <x:c r="U1495" s="6"/>
      <x:c r="V1495" s="6"/>
      <x:c r="W1495" s="6" t="str">
        <x:v>Existing find_route and show_route implement the kit routing model.</x:v>
      </x:c>
      <x:c r="X1495" s="6" t="str">
        <x:v>data/dev/swiss-2211/questions_basic.jsonl</x:v>
      </x:c>
      <x:c r="Y1495" s="14" t="n">
        <x:v>3</x:v>
      </x:c>
      <x:c r="Z1495" s="6" t="str">
        <x:v>https://github.com/hagenhaeussler/Industrial-Agents-Hackathon-2026/blob/f41616590b69f3ea0c1cbfb41d6c35edd9ce53df/data/dev/swiss-2211/questions_basic.jsonl#L3</x:v>
      </x:c>
      <x:c r="AA1495" s="6" t="str">
        <x:v>swiss_dwellings</x:v>
      </x:c>
      <x:c r="AB1495" s="6" t="str">
        <x:v>CC-BY-4.0</x:v>
      </x:c>
    </x:row>
    <x:row r="1496" ht="96" customHeight="1">
      <x:c r="A1496" s="14" t="n">
        <x:v>1491</x:v>
      </x:c>
      <x:c r="B1496" s="6" t="str">
        <x:v>route</x:v>
      </x:c>
      <x:c r="C1496" s="6" t="str">
        <x:v>How do I get from Bathroom 1.06 (apartment 5) (Floor 1) to Bedroom 2.09 (apartment 9) (Floor 2)?</x:v>
      </x:c>
      <x:c r="D1496" s="6" t="str">
        <x:v>55.2 m
From: Bathroom 1.06 (apartment 5)
To: Bedroom 2.09 (apartment 9)
Ordered path (8 spaces): Bathroom 1.06 (apartment 5) → Corridor 1.08 (apartment 5) → Landing 1.38 → Landing 0.38 → Landing 1.39 → Landing 2.38 → Corridor 2.05 (apartment 9) → Bedroom 2.09 (apartment 9)</x:v>
      </x:c>
      <x:c r="E1496" s="6" t="str">
        <x:v>Reference supplied</x:v>
      </x:c>
      <x:c r="F1496" s="6" t="str">
        <x:v>dev</x:v>
      </x:c>
      <x:c r="G1496" s="6" t="str">
        <x:v>swiss-2211</x:v>
      </x:c>
      <x:c r="H1496" s="6" t="str">
        <x:v>swiss-2211-Q04</x:v>
      </x:c>
      <x:c r="I1496" s="6" t="str">
        <x:v>Route planning</x:v>
      </x:c>
      <x:c r="J1496" s="6" t="str">
        <x:v>Warm-up</x:v>
      </x:c>
      <x:c r="K1496" s="6" t="str">
        <x:v>Ordered space path and directions, plus total route-model distance in metres.</x:v>
      </x:c>
      <x:c r="L1496" s="6" t="str">
        <x:v>T02, T05, T13</x:v>
      </x:c>
      <x:c r="M1496" s="6" t="str">
        <x:v>Find a valid route between two rooms, including across floors.</x:v>
      </x:c>
      <x:c r="N1496" s="6" t="str">
        <x:v>{"from_space_id":"swiss-2211-F1-S006","to_space_id":"swiss-2211-F2-S009","optimal_length_m":55.2,"space_path":["swiss-2211-F1-S006","swiss-2211-F1-S008","swiss-2211-F1-S038","swiss-2211-F0-S038","swiss-2211-F1-S039","swiss-2211-F2-S038","swiss-2211-F2-S005","swiss-2211-F2-S009"],"element_path":["swiss-2211-F1-O0040","swiss-2211-F1-O0040","swiss-2211-F1-O0042","swiss-2211-F1-O0042","swiss-2211-V03","swiss-2211-V01","swiss-2211-V01","swiss-2211-F2-O0082","swiss-2211-F2-O0082","swiss-2211-F2-O0081","swiss-2211-F2-O0081"]}</x:v>
      </x:c>
      <x:c r="O1496" s="6"/>
      <x:c r="P1496" s="6" t="str">
        <x:v>README routing profile. Stairs and lifts allowed unless stated otherwise.</x:v>
      </x:c>
      <x:c r="Q1496" s="15" t="n">
        <x:v>55.2</x:v>
      </x:c>
      <x:c r="R1496" s="6" t="str">
        <x:v>m</x:v>
      </x:c>
      <x:c r="S1496" s="16"/>
      <x:c r="T1496" s="15"/>
      <x:c r="U1496" s="6"/>
      <x:c r="V1496" s="6"/>
      <x:c r="W1496" s="6" t="str">
        <x:v>Existing find_route and show_route implement the kit routing model.</x:v>
      </x:c>
      <x:c r="X1496" s="6" t="str">
        <x:v>data/dev/swiss-2211/questions_basic.jsonl</x:v>
      </x:c>
      <x:c r="Y1496" s="14" t="n">
        <x:v>4</x:v>
      </x:c>
      <x:c r="Z1496" s="6" t="str">
        <x:v>https://github.com/hagenhaeussler/Industrial-Agents-Hackathon-2026/blob/f41616590b69f3ea0c1cbfb41d6c35edd9ce53df/data/dev/swiss-2211/questions_basic.jsonl#L4</x:v>
      </x:c>
      <x:c r="AA1496" s="6" t="str">
        <x:v>swiss_dwellings</x:v>
      </x:c>
      <x:c r="AB1496" s="6" t="str">
        <x:v>CC-BY-4.0</x:v>
      </x:c>
    </x:row>
    <x:row r="1497" ht="96" customHeight="1">
      <x:c r="A1497" s="14" t="n">
        <x:v>1492</x:v>
      </x:c>
      <x:c r="B1497" s="6" t="str">
        <x:v>route</x:v>
      </x:c>
      <x:c r="C1497" s="6" t="str">
        <x:v>How do I get from Kitchen 3.11 (apartment 8) (Floor 3) to Kitchen 2.09 (apartment 6) (Floor 2)?</x:v>
      </x:c>
      <x:c r="D1497" s="6" t="str">
        <x:v>28.92 m
From: Kitchen 3.11 (apartment 8)
To: Kitchen 2.09 (apartment 6)
Ordered path (6 spaces): Kitchen 3.11 (apartment 8) → Corridor 3.13 (apartment 8) → Landing 3.19 → Landing 2.19 → Corridor 2.16 (apartment 6) → Kitchen 2.09 (apartment 6)</x:v>
      </x:c>
      <x:c r="E1497" s="6" t="str">
        <x:v>Reference supplied</x:v>
      </x:c>
      <x:c r="F1497" s="6" t="str">
        <x:v>dev</x:v>
      </x:c>
      <x:c r="G1497" s="6" t="str">
        <x:v>swiss-2325</x:v>
      </x:c>
      <x:c r="H1497" s="6" t="str">
        <x:v>swiss-2325-Q05</x:v>
      </x:c>
      <x:c r="I1497" s="6" t="str">
        <x:v>Route planning</x:v>
      </x:c>
      <x:c r="J1497" s="6" t="str">
        <x:v>Warm-up</x:v>
      </x:c>
      <x:c r="K1497" s="6" t="str">
        <x:v>Ordered space path and directions, plus total route-model distance in metres.</x:v>
      </x:c>
      <x:c r="L1497" s="6" t="str">
        <x:v>T02, T05, T13</x:v>
      </x:c>
      <x:c r="M1497" s="6" t="str">
        <x:v>Find a valid route between two rooms, including across floors.</x:v>
      </x:c>
      <x:c r="N1497" s="6" t="str">
        <x:v>{"from_space_id":"swiss-2325-F3-S011","to_space_id":"swiss-2325-F2-S009","optimal_length_m":28.92,"space_path":["swiss-2325-F3-S011","swiss-2325-F3-S013","swiss-2325-F3-S019","swiss-2325-F2-S019","swiss-2325-F2-S016","swiss-2325-F2-S009"],"element_path":["swiss-2325-F3-O0072","swiss-2325-F3-O0072","swiss-2325-F3-O0070","swiss-2325-F3-O0070","swiss-2325-V05","swiss-2325-F2-O0047","swiss-2325-F2-O0047","swiss-2325-F2-O0046","swiss-2325-F2-O0046"]}</x:v>
      </x:c>
      <x:c r="O1497" s="6"/>
      <x:c r="P1497" s="6" t="str">
        <x:v>README routing profile. Stairs and lifts allowed unless stated otherwise.</x:v>
      </x:c>
      <x:c r="Q1497" s="15" t="n">
        <x:v>28.92</x:v>
      </x:c>
      <x:c r="R1497" s="6" t="str">
        <x:v>m</x:v>
      </x:c>
      <x:c r="S1497" s="16"/>
      <x:c r="T1497" s="15"/>
      <x:c r="U1497" s="6"/>
      <x:c r="V1497" s="6"/>
      <x:c r="W1497" s="6" t="str">
        <x:v>Existing find_route and show_route implement the kit routing model.</x:v>
      </x:c>
      <x:c r="X1497" s="6" t="str">
        <x:v>data/dev/swiss-2325/questions_basic.jsonl</x:v>
      </x:c>
      <x:c r="Y1497" s="14" t="n">
        <x:v>5</x:v>
      </x:c>
      <x:c r="Z1497" s="6" t="str">
        <x:v>https://github.com/hagenhaeussler/Industrial-Agents-Hackathon-2026/blob/f41616590b69f3ea0c1cbfb41d6c35edd9ce53df/data/dev/swiss-2325/questions_basic.jsonl#L5</x:v>
      </x:c>
      <x:c r="AA1497" s="6" t="str">
        <x:v>swiss_dwellings</x:v>
      </x:c>
      <x:c r="AB1497" s="6" t="str">
        <x:v>CC-BY-4.0</x:v>
      </x:c>
    </x:row>
    <x:row r="1498" ht="82" customHeight="1">
      <x:c r="A1498" s="14" t="n">
        <x:v>1493</x:v>
      </x:c>
      <x:c r="B1498" s="6" t="str">
        <x:v>route</x:v>
      </x:c>
      <x:c r="C1498" s="6" t="str">
        <x:v>How do I get from Bedroom 1.04 (apartment 3) (Floor 1) to Bathroom 1.01 (apartment 3) (Floor 1)?</x:v>
      </x:c>
      <x:c r="D1498" s="6" t="str">
        <x:v>6.24 m
From: Bedroom 1.04 (apartment 3)
To: Bathroom 1.01 (apartment 3)
Ordered path (3 spaces): Bedroom 1.04 (apartment 3) → Corridor 1.08 (apartment 3) → Bathroom 1.01 (apartment 3)</x:v>
      </x:c>
      <x:c r="E1498" s="6" t="str">
        <x:v>Reference supplied</x:v>
      </x:c>
      <x:c r="F1498" s="6" t="str">
        <x:v>dev</x:v>
      </x:c>
      <x:c r="G1498" s="6" t="str">
        <x:v>swiss-2325</x:v>
      </x:c>
      <x:c r="H1498" s="6" t="str">
        <x:v>swiss-2325-Q06</x:v>
      </x:c>
      <x:c r="I1498" s="6" t="str">
        <x:v>Route planning</x:v>
      </x:c>
      <x:c r="J1498" s="6" t="str">
        <x:v>Warm-up</x:v>
      </x:c>
      <x:c r="K1498" s="6" t="str">
        <x:v>Ordered space path and directions, plus total route-model distance in metres.</x:v>
      </x:c>
      <x:c r="L1498" s="6" t="str">
        <x:v>T02, T05, T13</x:v>
      </x:c>
      <x:c r="M1498" s="6" t="str">
        <x:v>Find a valid route between two rooms, including across floors.</x:v>
      </x:c>
      <x:c r="N1498" s="6" t="str">
        <x:v>{"from_space_id":"swiss-2325-F1-S004","to_space_id":"swiss-2325-F1-S001","optimal_length_m":6.24,"space_path":["swiss-2325-F1-S004","swiss-2325-F1-S008","swiss-2325-F1-S001"],"element_path":["swiss-2325-F1-O0021","swiss-2325-F1-O0021","swiss-2325-F1-O0027","swiss-2325-F1-O0027"]}</x:v>
      </x:c>
      <x:c r="O1498" s="6"/>
      <x:c r="P1498" s="6" t="str">
        <x:v>README routing profile. Stairs and lifts allowed unless stated otherwise.</x:v>
      </x:c>
      <x:c r="Q1498" s="15" t="n">
        <x:v>6.24</x:v>
      </x:c>
      <x:c r="R1498" s="6" t="str">
        <x:v>m</x:v>
      </x:c>
      <x:c r="S1498" s="16"/>
      <x:c r="T1498" s="15"/>
      <x:c r="U1498" s="6"/>
      <x:c r="V1498" s="6"/>
      <x:c r="W1498" s="6" t="str">
        <x:v>Existing find_route and show_route implement the kit routing model.</x:v>
      </x:c>
      <x:c r="X1498" s="6" t="str">
        <x:v>data/dev/swiss-2325/questions_basic.jsonl</x:v>
      </x:c>
      <x:c r="Y1498" s="14" t="n">
        <x:v>6</x:v>
      </x:c>
      <x:c r="Z1498" s="6" t="str">
        <x:v>https://github.com/hagenhaeussler/Industrial-Agents-Hackathon-2026/blob/f41616590b69f3ea0c1cbfb41d6c35edd9ce53df/data/dev/swiss-2325/questions_basic.jsonl#L6</x:v>
      </x:c>
      <x:c r="AA1498" s="6" t="str">
        <x:v>swiss_dwellings</x:v>
      </x:c>
      <x:c r="AB1498" s="6" t="str">
        <x:v>CC-BY-4.0</x:v>
      </x:c>
    </x:row>
    <x:row r="1499" ht="96" customHeight="1">
      <x:c r="A1499" s="14" t="n">
        <x:v>1494</x:v>
      </x:c>
      <x:c r="B1499" s="6" t="str">
        <x:v>route</x:v>
      </x:c>
      <x:c r="C1499" s="6" t="str">
        <x:v>How do I get from Bathroom 4.06 (apartment 9) (Floor 4) to Living room 5.08 (apartment 11) (Floor 5)?</x:v>
      </x:c>
      <x:c r="D1499" s="6" t="str">
        <x:v>30 m
From: Bathroom 4.06 (apartment 9)
To: Living room 5.08 (apartment 11)
Ordered path (7 spaces): Bathroom 4.06 (apartment 9) → Corridor 4.03 (apartment 9) → Landing 4.18 → Landing 5.11 → Landing 5.10 → Corridor 5.01 (apartment 11) → Living room 5.08 (apartment 11)</x:v>
      </x:c>
      <x:c r="E1499" s="6" t="str">
        <x:v>Reference supplied</x:v>
      </x:c>
      <x:c r="F1499" s="6" t="str">
        <x:v>dev</x:v>
      </x:c>
      <x:c r="G1499" s="6" t="str">
        <x:v>swiss-2325</x:v>
      </x:c>
      <x:c r="H1499" s="6" t="str">
        <x:v>swiss-2325-Q07</x:v>
      </x:c>
      <x:c r="I1499" s="6" t="str">
        <x:v>Route planning</x:v>
      </x:c>
      <x:c r="J1499" s="6" t="str">
        <x:v>Warm-up</x:v>
      </x:c>
      <x:c r="K1499" s="6" t="str">
        <x:v>Ordered space path and directions, plus total route-model distance in metres.</x:v>
      </x:c>
      <x:c r="L1499" s="6" t="str">
        <x:v>T02, T05, T13</x:v>
      </x:c>
      <x:c r="M1499" s="6" t="str">
        <x:v>Find a valid route between two rooms, including across floors.</x:v>
      </x:c>
      <x:c r="N1499" s="6" t="str">
        <x:v>{"from_space_id":"swiss-2325-F4-S006","to_space_id":"swiss-2325-F5-S008","optimal_length_m":30,"space_path":["swiss-2325-F4-S006","swiss-2325-F4-S003","swiss-2325-F4-S018","swiss-2325-F5-S011","swiss-2325-F5-S010","swiss-2325-F5-S001","swiss-2325-F5-S008"],"element_path":["swiss-2325-F4-O0075","swiss-2325-F4-O0075","swiss-2325-F4-O0079","swiss-2325-F4-O0079","swiss-2325-V01","swiss-2325-F5-O0091","swiss-2325-F5-O0091","swiss-2325-F5-O0092","swiss-2325-F5-O0092","swiss-2325-F5-O0099","swiss-2325-F5-O0099"]}</x:v>
      </x:c>
      <x:c r="O1499" s="6"/>
      <x:c r="P1499" s="6" t="str">
        <x:v>README routing profile. Stairs and lifts allowed unless stated otherwise.</x:v>
      </x:c>
      <x:c r="Q1499" s="15" t="n">
        <x:v>30</x:v>
      </x:c>
      <x:c r="R1499" s="6" t="str">
        <x:v>m</x:v>
      </x:c>
      <x:c r="S1499" s="16"/>
      <x:c r="T1499" s="15"/>
      <x:c r="U1499" s="6"/>
      <x:c r="V1499" s="6"/>
      <x:c r="W1499" s="6" t="str">
        <x:v>Existing find_route and show_route implement the kit routing model.</x:v>
      </x:c>
      <x:c r="X1499" s="6" t="str">
        <x:v>data/dev/swiss-2325/questions_basic.jsonl</x:v>
      </x:c>
      <x:c r="Y1499" s="14" t="n">
        <x:v>7</x:v>
      </x:c>
      <x:c r="Z1499" s="6" t="str">
        <x:v>https://github.com/hagenhaeussler/Industrial-Agents-Hackathon-2026/blob/f41616590b69f3ea0c1cbfb41d6c35edd9ce53df/data/dev/swiss-2325/questions_basic.jsonl#L7</x:v>
      </x:c>
      <x:c r="AA1499" s="6" t="str">
        <x:v>swiss_dwellings</x:v>
      </x:c>
      <x:c r="AB1499" s="6" t="str">
        <x:v>CC-BY-4.0</x:v>
      </x:c>
    </x:row>
    <x:row r="1500" ht="96" customHeight="1">
      <x:c r="A1500" s="14" t="n">
        <x:v>1495</x:v>
      </x:c>
      <x:c r="B1500" s="6" t="str">
        <x:v>route</x:v>
      </x:c>
      <x:c r="C1500" s="6" t="str">
        <x:v>How do I get from Bedroom 3.17 (apartment 15) (Floor 3) to Kitchen 1.04 (apartment 5) (Floor 1)?</x:v>
      </x:c>
      <x:c r="D1500" s="6" t="str">
        <x:v>41.43 m
From: Bedroom 3.17 (apartment 15)
To: Kitchen 1.04 (apartment 5)
Ordered path (7 spaces): Bedroom 3.17 (apartment 15) → Bedroom 3.18 (apartment 15) → Kitchen 3.20 (apartment 15) → Landing 3.33 → Landing 2.31 → Landing 1.31 → Kitchen 1.04 (apartment 5)</x:v>
      </x:c>
      <x:c r="E1500" s="6" t="str">
        <x:v>Reference supplied</x:v>
      </x:c>
      <x:c r="F1500" s="6" t="str">
        <x:v>dev</x:v>
      </x:c>
      <x:c r="G1500" s="6" t="str">
        <x:v>swiss-31</x:v>
      </x:c>
      <x:c r="H1500" s="6" t="str">
        <x:v>swiss-31-Q03</x:v>
      </x:c>
      <x:c r="I1500" s="6" t="str">
        <x:v>Route planning</x:v>
      </x:c>
      <x:c r="J1500" s="6" t="str">
        <x:v>Warm-up</x:v>
      </x:c>
      <x:c r="K1500" s="6" t="str">
        <x:v>Ordered space path and directions, plus total route-model distance in metres.</x:v>
      </x:c>
      <x:c r="L1500" s="6" t="str">
        <x:v>T02, T05, T13</x:v>
      </x:c>
      <x:c r="M1500" s="6" t="str">
        <x:v>Find a valid route between two rooms, including across floors.</x:v>
      </x:c>
      <x:c r="N1500" s="6" t="str">
        <x:v>{"from_space_id":"swiss-31-F3-S017","to_space_id":"swiss-31-F1-S004","optimal_length_m":41.43,"space_path":["swiss-31-F3-S017","swiss-31-F3-S018","swiss-31-F3-S020","swiss-31-F3-S033","swiss-31-F2-S031","swiss-31-F1-S031","swiss-31-F1-S004"],"element_path":["swiss-31-F3-O0105","swiss-31-F3-O0105","swiss-31-F3-O0118","swiss-31-F3-O0118","swiss-31-F3-O0106","swiss-31-F3-O0106","swiss-31-V01","swiss-31-V01","swiss-31-F1-O0030","swiss-31-F1-O0030"]}</x:v>
      </x:c>
      <x:c r="O1500" s="6"/>
      <x:c r="P1500" s="6" t="str">
        <x:v>README routing profile. Stairs and lifts allowed unless stated otherwise.</x:v>
      </x:c>
      <x:c r="Q1500" s="15" t="n">
        <x:v>41.43</x:v>
      </x:c>
      <x:c r="R1500" s="6" t="str">
        <x:v>m</x:v>
      </x:c>
      <x:c r="S1500" s="16"/>
      <x:c r="T1500" s="15"/>
      <x:c r="U1500" s="6"/>
      <x:c r="V1500" s="6"/>
      <x:c r="W1500" s="6" t="str">
        <x:v>Existing find_route and show_route implement the kit routing model.</x:v>
      </x:c>
      <x:c r="X1500" s="6" t="str">
        <x:v>data/dev/swiss-31/questions_basic.jsonl</x:v>
      </x:c>
      <x:c r="Y1500" s="14" t="n">
        <x:v>3</x:v>
      </x:c>
      <x:c r="Z1500" s="6" t="str">
        <x:v>https://github.com/hagenhaeussler/Industrial-Agents-Hackathon-2026/blob/f41616590b69f3ea0c1cbfb41d6c35edd9ce53df/data/dev/swiss-31/questions_basic.jsonl#L3</x:v>
      </x:c>
      <x:c r="AA1500" s="6" t="str">
        <x:v>swiss_dwellings</x:v>
      </x:c>
      <x:c r="AB1500" s="6" t="str">
        <x:v>CC-BY-4.0</x:v>
      </x:c>
    </x:row>
    <x:row r="1501" ht="110" customHeight="1">
      <x:c r="A1501" s="14" t="n">
        <x:v>1496</x:v>
      </x:c>
      <x:c r="B1501" s="6" t="str">
        <x:v>route</x:v>
      </x:c>
      <x:c r="C1501" s="6" t="str">
        <x:v>How do I get from Bedroom 0.20 (apartment 3) (Ground floor) to Bedroom 1.21 (apartment 7) (Floor 1)?</x:v>
      </x:c>
      <x:c r="D1501" s="6" t="str">
        <x:v>31.45 m
From: Bedroom 0.20 (apartment 3)
To: Bedroom 1.21 (apartment 7)
Ordered path (9 spaces): Bedroom 0.20 (apartment 3) → Corridor 0.14 (apartment 3) → Landing 0.29 → outside → Landing 0.30 → Landing 1.33 → Kitchen 1.20 (apartment 7) → Bedroom 1.19 (apartment 7) → Bedroom 1.21 (apartment 7)</x:v>
      </x:c>
      <x:c r="E1501" s="6" t="str">
        <x:v>Reference supplied</x:v>
      </x:c>
      <x:c r="F1501" s="6" t="str">
        <x:v>dev</x:v>
      </x:c>
      <x:c r="G1501" s="6" t="str">
        <x:v>swiss-31</x:v>
      </x:c>
      <x:c r="H1501" s="6" t="str">
        <x:v>swiss-31-Q04</x:v>
      </x:c>
      <x:c r="I1501" s="6" t="str">
        <x:v>Route planning</x:v>
      </x:c>
      <x:c r="J1501" s="6" t="str">
        <x:v>Warm-up</x:v>
      </x:c>
      <x:c r="K1501" s="6" t="str">
        <x:v>Ordered space path and directions, plus total route-model distance in metres.</x:v>
      </x:c>
      <x:c r="L1501" s="6" t="str">
        <x:v>T02, T05, T13</x:v>
      </x:c>
      <x:c r="M1501" s="6" t="str">
        <x:v>Find a valid route between two rooms, including across floors.</x:v>
      </x:c>
      <x:c r="N1501" s="6" t="str">
        <x:v>{"from_space_id":"swiss-31-F0-S020","to_space_id":"swiss-31-F1-S021","optimal_length_m":31.45,"space_path":["swiss-31-F0-S020","swiss-31-F0-S014","swiss-31-F0-S029","outside","swiss-31-F0-S030","swiss-31-F1-S033","swiss-31-F1-S020","swiss-31-F1-S019","swiss-31-F1-S021"],"element_path":["swiss-31-F0-O0015","swiss-31-F0-O0015","swiss-31-F0-O0013","swiss-31-F0-O0013","swiss-31-F0-O0123","swiss-31-F0-O0123","swiss-31-F0-O0124","swiss-31-F0-O0124","swiss-31-V04","swiss-31-F1-O0041","swiss-31-F1-O0041","swiss-31-F1-O0056","swiss-31-F1-O0056","swiss-31-F1-O0042","swiss-31-F1-O0042"]}</x:v>
      </x:c>
      <x:c r="O1501" s="6"/>
      <x:c r="P1501" s="6" t="str">
        <x:v>README routing profile. Stairs and lifts allowed unless stated otherwise.</x:v>
      </x:c>
      <x:c r="Q1501" s="15" t="n">
        <x:v>31.45</x:v>
      </x:c>
      <x:c r="R1501" s="6" t="str">
        <x:v>m</x:v>
      </x:c>
      <x:c r="S1501" s="16"/>
      <x:c r="T1501" s="15"/>
      <x:c r="U1501" s="6"/>
      <x:c r="V1501" s="6"/>
      <x:c r="W1501" s="6" t="str">
        <x:v>Existing find_route and show_route implement the kit routing model.</x:v>
      </x:c>
      <x:c r="X1501" s="6" t="str">
        <x:v>data/dev/swiss-31/questions_basic.jsonl</x:v>
      </x:c>
      <x:c r="Y1501" s="14" t="n">
        <x:v>4</x:v>
      </x:c>
      <x:c r="Z1501" s="6" t="str">
        <x:v>https://github.com/hagenhaeussler/Industrial-Agents-Hackathon-2026/blob/f41616590b69f3ea0c1cbfb41d6c35edd9ce53df/data/dev/swiss-31/questions_basic.jsonl#L4</x:v>
      </x:c>
      <x:c r="AA1501" s="6" t="str">
        <x:v>swiss_dwellings</x:v>
      </x:c>
      <x:c r="AB1501" s="6" t="str">
        <x:v>CC-BY-4.0</x:v>
      </x:c>
    </x:row>
    <x:row r="1502" ht="96" customHeight="1">
      <x:c r="A1502" s="14" t="n">
        <x:v>1497</x:v>
      </x:c>
      <x:c r="B1502" s="6" t="str">
        <x:v>route</x:v>
      </x:c>
      <x:c r="C1502" s="6" t="str">
        <x:v>How do I get from Bathroom 1.03 (apartment 5) (Floor 1) to Bathroom 0.24 (apartment 4) (Ground floor)?</x:v>
      </x:c>
      <x:c r="D1502" s="6" t="str">
        <x:v>28.5 m
From: Bathroom 1.03 (apartment 5)
To: Bathroom 0.24 (apartment 4)
Ordered path (8 spaces): Bathroom 1.03 (apartment 5) → Kitchen 1.04 (apartment 5) → Landing 1.31 → Landing 0.27 → outside → Landing 0.30 → Kitchen 0.26 (apartment 4) → Bathroom 0.24 (apartment 4)</x:v>
      </x:c>
      <x:c r="E1502" s="6" t="str">
        <x:v>Reference supplied</x:v>
      </x:c>
      <x:c r="F1502" s="6" t="str">
        <x:v>dev</x:v>
      </x:c>
      <x:c r="G1502" s="6" t="str">
        <x:v>swiss-31</x:v>
      </x:c>
      <x:c r="H1502" s="6" t="str">
        <x:v>swiss-31-Q05</x:v>
      </x:c>
      <x:c r="I1502" s="6" t="str">
        <x:v>Route planning</x:v>
      </x:c>
      <x:c r="J1502" s="6" t="str">
        <x:v>Warm-up</x:v>
      </x:c>
      <x:c r="K1502" s="6" t="str">
        <x:v>Ordered space path and directions, plus total route-model distance in metres.</x:v>
      </x:c>
      <x:c r="L1502" s="6" t="str">
        <x:v>T02, T05, T13</x:v>
      </x:c>
      <x:c r="M1502" s="6" t="str">
        <x:v>Find a valid route between two rooms, including across floors.</x:v>
      </x:c>
      <x:c r="N1502" s="6" t="str">
        <x:v>{"from_space_id":"swiss-31-F1-S003","to_space_id":"swiss-31-F0-S024","optimal_length_m":28.5,"space_path":["swiss-31-F1-S003","swiss-31-F1-S004","swiss-31-F1-S031","swiss-31-F0-S027","outside","swiss-31-F0-S030","swiss-31-F0-S026","swiss-31-F0-S024"],"element_path":["swiss-31-F1-O0033","swiss-31-F1-O0033","swiss-31-F1-O0030","swiss-31-F1-O0030","swiss-31-V01","swiss-31-F0-O0121","swiss-31-F0-O0121","swiss-31-F0-O0124","swiss-31-F0-O0124","swiss-31-F0-O0018","swiss-31-F0-O0018","swiss-31-F0-O0021","swiss-31-F0-O0021"]}</x:v>
      </x:c>
      <x:c r="O1502" s="6"/>
      <x:c r="P1502" s="6" t="str">
        <x:v>README routing profile. Stairs and lifts allowed unless stated otherwise.</x:v>
      </x:c>
      <x:c r="Q1502" s="15" t="n">
        <x:v>28.5</x:v>
      </x:c>
      <x:c r="R1502" s="6" t="str">
        <x:v>m</x:v>
      </x:c>
      <x:c r="S1502" s="16"/>
      <x:c r="T1502" s="15"/>
      <x:c r="U1502" s="6"/>
      <x:c r="V1502" s="6"/>
      <x:c r="W1502" s="6" t="str">
        <x:v>Existing find_route and show_route implement the kit routing model.</x:v>
      </x:c>
      <x:c r="X1502" s="6" t="str">
        <x:v>data/dev/swiss-31/questions_basic.jsonl</x:v>
      </x:c>
      <x:c r="Y1502" s="14" t="n">
        <x:v>5</x:v>
      </x:c>
      <x:c r="Z1502" s="6" t="str">
        <x:v>https://github.com/hagenhaeussler/Industrial-Agents-Hackathon-2026/blob/f41616590b69f3ea0c1cbfb41d6c35edd9ce53df/data/dev/swiss-31/questions_basic.jsonl#L5</x:v>
      </x:c>
      <x:c r="AA1502" s="6" t="str">
        <x:v>swiss_dwellings</x:v>
      </x:c>
      <x:c r="AB1502" s="6" t="str">
        <x:v>CC-BY-4.0</x:v>
      </x:c>
    </x:row>
    <x:row r="1503" ht="110" customHeight="1">
      <x:c r="A1503" s="14" t="n">
        <x:v>1498</x:v>
      </x:c>
      <x:c r="B1503" s="6" t="str">
        <x:v>route</x:v>
      </x:c>
      <x:c r="C1503" s="6" t="str">
        <x:v>How do I get from Bathroom 1.11 (apartment 4) (Floor 1) to Kitchen 0.06 (apartment 1) (Ground floor)?</x:v>
      </x:c>
      <x:c r="D1503" s="6" t="str">
        <x:v>35.65 m
From: Bathroom 1.11 (apartment 4)
To: Kitchen 0.06 (apartment 1)
Ordered path (9 spaces): Bathroom 1.11 (apartment 4) → Corridor 1.17 (apartment 4) → Landing 1.20 → Landing 0.20 → outside → Landing 0.19 → Corridor 0.01 (apartment 1) → Living room 0.04 (apartment 1) → Kitchen 0.06 (apartment 1)</x:v>
      </x:c>
      <x:c r="E1503" s="6" t="str">
        <x:v>Reference supplied</x:v>
      </x:c>
      <x:c r="F1503" s="6" t="str">
        <x:v>dev</x:v>
      </x:c>
      <x:c r="G1503" s="6" t="str">
        <x:v>swiss-3254</x:v>
      </x:c>
      <x:c r="H1503" s="6" t="str">
        <x:v>swiss-3254-Q04</x:v>
      </x:c>
      <x:c r="I1503" s="6" t="str">
        <x:v>Route planning</x:v>
      </x:c>
      <x:c r="J1503" s="6" t="str">
        <x:v>Warm-up</x:v>
      </x:c>
      <x:c r="K1503" s="6" t="str">
        <x:v>Ordered space path and directions, plus total route-model distance in metres.</x:v>
      </x:c>
      <x:c r="L1503" s="6" t="str">
        <x:v>T02, T05, T13</x:v>
      </x:c>
      <x:c r="M1503" s="6" t="str">
        <x:v>Find a valid route between two rooms, including across floors.</x:v>
      </x:c>
      <x:c r="N1503" s="6" t="str">
        <x:v>{"from_space_id":"swiss-3254-F1-S011","to_space_id":"swiss-3254-F0-S006","optimal_length_m":35.65,"space_path":["swiss-3254-F1-S011","swiss-3254-F1-S017","swiss-3254-F1-S020","swiss-3254-F0-S020","outside","swiss-3254-F0-S019","swiss-3254-F0-S001","swiss-3254-F0-S004","swiss-3254-F0-S006"],"element_path":["swiss-3254-F1-O0034","swiss-3254-F1-O0034","swiss-3254-F1-O0038","swiss-3254-F1-O0038","swiss-3254-V01","swiss-3254-F0-O0058","swiss-3254-F0-O0058","swiss-3254-F0-O0057","swiss-3254-F0-O0057","swiss-3254-F0-O0003","swiss-3254-F0-O0003","swiss-3254-F0-O0008","swiss-3254-F0-O0008","swiss-3254-F0-O0006","swiss-3254-F0-O0006"]}</x:v>
      </x:c>
      <x:c r="O1503" s="6"/>
      <x:c r="P1503" s="6" t="str">
        <x:v>README routing profile. Stairs and lifts allowed unless stated otherwise.</x:v>
      </x:c>
      <x:c r="Q1503" s="15" t="n">
        <x:v>35.65</x:v>
      </x:c>
      <x:c r="R1503" s="6" t="str">
        <x:v>m</x:v>
      </x:c>
      <x:c r="S1503" s="16"/>
      <x:c r="T1503" s="15"/>
      <x:c r="U1503" s="6"/>
      <x:c r="V1503" s="6"/>
      <x:c r="W1503" s="6" t="str">
        <x:v>Existing find_route and show_route implement the kit routing model.</x:v>
      </x:c>
      <x:c r="X1503" s="6" t="str">
        <x:v>data/dev/swiss-3254/questions_basic.jsonl</x:v>
      </x:c>
      <x:c r="Y1503" s="14" t="n">
        <x:v>4</x:v>
      </x:c>
      <x:c r="Z1503" s="6" t="str">
        <x:v>https://github.com/hagenhaeussler/Industrial-Agents-Hackathon-2026/blob/f41616590b69f3ea0c1cbfb41d6c35edd9ce53df/data/dev/swiss-3254/questions_basic.jsonl#L4</x:v>
      </x:c>
      <x:c r="AA1503" s="6" t="str">
        <x:v>swiss_dwellings</x:v>
      </x:c>
      <x:c r="AB1503" s="6" t="str">
        <x:v>CC-BY-4.0</x:v>
      </x:c>
    </x:row>
    <x:row r="1504" ht="110" customHeight="1">
      <x:c r="A1504" s="14" t="n">
        <x:v>1499</x:v>
      </x:c>
      <x:c r="B1504" s="6" t="str">
        <x:v>route</x:v>
      </x:c>
      <x:c r="C1504" s="6" t="str">
        <x:v>How do I get from Bedroom 2.04 (apartment 5) (Floor 2) to Living room 1.16 (apartment 4) (Floor 1)?</x:v>
      </x:c>
      <x:c r="D1504" s="6" t="str">
        <x:v>37.49 m
From: Bedroom 2.04 (apartment 5)
To: Living room 1.16 (apartment 4)
Ordered path (8 spaces): Bedroom 2.04 (apartment 5) → Corridor 2.03 (apartment 5) → Living room 2.08 (apartment 5) → Corridor 2.02 (apartment 5) → Stair hall 2.19 → Landing 1.20 → Corridor 1.17 (apartment 4) → Living room 1.16 (apartment 4)</x:v>
      </x:c>
      <x:c r="E1504" s="6" t="str">
        <x:v>Reference supplied</x:v>
      </x:c>
      <x:c r="F1504" s="6" t="str">
        <x:v>dev</x:v>
      </x:c>
      <x:c r="G1504" s="6" t="str">
        <x:v>swiss-3254</x:v>
      </x:c>
      <x:c r="H1504" s="6" t="str">
        <x:v>swiss-3254-Q05</x:v>
      </x:c>
      <x:c r="I1504" s="6" t="str">
        <x:v>Route planning</x:v>
      </x:c>
      <x:c r="J1504" s="6" t="str">
        <x:v>Warm-up</x:v>
      </x:c>
      <x:c r="K1504" s="6" t="str">
        <x:v>Ordered space path and directions, plus total route-model distance in metres.</x:v>
      </x:c>
      <x:c r="L1504" s="6" t="str">
        <x:v>T02, T05, T13</x:v>
      </x:c>
      <x:c r="M1504" s="6" t="str">
        <x:v>Find a valid route between two rooms, including across floors.</x:v>
      </x:c>
      <x:c r="N1504" s="6" t="str">
        <x:v>{"from_space_id":"swiss-3254-F2-S004","to_space_id":"swiss-3254-F1-S016","optimal_length_m":37.49,"space_path":["swiss-3254-F2-S004","swiss-3254-F2-S003","swiss-3254-F2-S008","swiss-3254-F2-S002","swiss-3254-F2-S019","swiss-3254-F1-S020","swiss-3254-F1-S017","swiss-3254-F1-S016"],"element_path":["swiss-3254-F2-O0043","swiss-3254-F2-O0043","swiss-3254-F2-O0046","swiss-3254-F2-O0046","swiss-3254-F2-O0039","swiss-3254-F2-O0039","swiss-3254-F2-O0044","swiss-3254-F2-O0044","swiss-3254-V01","swiss-3254-F1-O0038","swiss-3254-F1-O0038","swiss-3254-F1-O0036","swiss-3254-F1-O0036"]}</x:v>
      </x:c>
      <x:c r="O1504" s="6"/>
      <x:c r="P1504" s="6" t="str">
        <x:v>README routing profile. Stairs and lifts allowed unless stated otherwise.</x:v>
      </x:c>
      <x:c r="Q1504" s="15" t="n">
        <x:v>37.49</x:v>
      </x:c>
      <x:c r="R1504" s="6" t="str">
        <x:v>m</x:v>
      </x:c>
      <x:c r="S1504" s="16"/>
      <x:c r="T1504" s="15"/>
      <x:c r="U1504" s="6"/>
      <x:c r="V1504" s="6"/>
      <x:c r="W1504" s="6" t="str">
        <x:v>Existing find_route and show_route implement the kit routing model.</x:v>
      </x:c>
      <x:c r="X1504" s="6" t="str">
        <x:v>data/dev/swiss-3254/questions_basic.jsonl</x:v>
      </x:c>
      <x:c r="Y1504" s="14" t="n">
        <x:v>5</x:v>
      </x:c>
      <x:c r="Z1504" s="6" t="str">
        <x:v>https://github.com/hagenhaeussler/Industrial-Agents-Hackathon-2026/blob/f41616590b69f3ea0c1cbfb41d6c35edd9ce53df/data/dev/swiss-3254/questions_basic.jsonl#L5</x:v>
      </x:c>
      <x:c r="AA1504" s="6" t="str">
        <x:v>swiss_dwellings</x:v>
      </x:c>
      <x:c r="AB1504" s="6" t="str">
        <x:v>CC-BY-4.0</x:v>
      </x:c>
    </x:row>
    <x:row r="1505" ht="110" customHeight="1">
      <x:c r="A1505" s="14" t="n">
        <x:v>1500</x:v>
      </x:c>
      <x:c r="B1505" s="6" t="str">
        <x:v>route</x:v>
      </x:c>
      <x:c r="C1505" s="6" t="str">
        <x:v>How do I get from Bedroom 0.08 (apartment 1) (Ground floor) to Bathroom 2.09 (apartment 5) (Floor 2)?</x:v>
      </x:c>
      <x:c r="D1505" s="6" t="str">
        <x:v>37.09 m
From: Bedroom 0.08 (apartment 1)
To: Bathroom 2.09 (apartment 5)
Ordered path (9 spaces): Bedroom 0.08 (apartment 1) → Corridor 0.01 (apartment 1) → Landing 0.19 → outside → Landing 0.20 → Landing 1.20 → Stair hall 2.19 → Corridor 2.02 (apartment 5) → Bathroom 2.09 (apartment 5)</x:v>
      </x:c>
      <x:c r="E1505" s="6" t="str">
        <x:v>Reference supplied</x:v>
      </x:c>
      <x:c r="F1505" s="6" t="str">
        <x:v>dev</x:v>
      </x:c>
      <x:c r="G1505" s="6" t="str">
        <x:v>swiss-3254</x:v>
      </x:c>
      <x:c r="H1505" s="6" t="str">
        <x:v>swiss-3254-Q06</x:v>
      </x:c>
      <x:c r="I1505" s="6" t="str">
        <x:v>Route planning</x:v>
      </x:c>
      <x:c r="J1505" s="6" t="str">
        <x:v>Warm-up</x:v>
      </x:c>
      <x:c r="K1505" s="6" t="str">
        <x:v>Ordered space path and directions, plus total route-model distance in metres.</x:v>
      </x:c>
      <x:c r="L1505" s="6" t="str">
        <x:v>T02, T05, T13</x:v>
      </x:c>
      <x:c r="M1505" s="6" t="str">
        <x:v>Find a valid route between two rooms, including across floors.</x:v>
      </x:c>
      <x:c r="N1505" s="6" t="str">
        <x:v>{"from_space_id":"swiss-3254-F0-S008","to_space_id":"swiss-3254-F2-S009","optimal_length_m":37.09,"space_path":["swiss-3254-F0-S008","swiss-3254-F0-S001","swiss-3254-F0-S019","outside","swiss-3254-F0-S020","swiss-3254-F1-S020","swiss-3254-F2-S019","swiss-3254-F2-S002","swiss-3254-F2-S009"],"element_path":["swiss-3254-F0-O0002","swiss-3254-F0-O0002","swiss-3254-F0-O0003","swiss-3254-F0-O0003","swiss-3254-F0-O0057","swiss-3254-F0-O0057","swiss-3254-F0-O0058","swiss-3254-F0-O0058","swiss-3254-V01","swiss-3254-V01","swiss-3254-F2-O0044","swiss-3254-F2-O0044","swiss-3254-F2-O0040","swiss-3254-F2-O0040"]}</x:v>
      </x:c>
      <x:c r="O1505" s="6"/>
      <x:c r="P1505" s="6" t="str">
        <x:v>README routing profile. Stairs and lifts allowed unless stated otherwise.</x:v>
      </x:c>
      <x:c r="Q1505" s="15" t="n">
        <x:v>37.09</x:v>
      </x:c>
      <x:c r="R1505" s="6" t="str">
        <x:v>m</x:v>
      </x:c>
      <x:c r="S1505" s="16"/>
      <x:c r="T1505" s="15"/>
      <x:c r="U1505" s="6"/>
      <x:c r="V1505" s="6"/>
      <x:c r="W1505" s="6" t="str">
        <x:v>Existing find_route and show_route implement the kit routing model.</x:v>
      </x:c>
      <x:c r="X1505" s="6" t="str">
        <x:v>data/dev/swiss-3254/questions_basic.jsonl</x:v>
      </x:c>
      <x:c r="Y1505" s="14" t="n">
        <x:v>6</x:v>
      </x:c>
      <x:c r="Z1505" s="6" t="str">
        <x:v>https://github.com/hagenhaeussler/Industrial-Agents-Hackathon-2026/blob/f41616590b69f3ea0c1cbfb41d6c35edd9ce53df/data/dev/swiss-3254/questions_basic.jsonl#L6</x:v>
      </x:c>
      <x:c r="AA1505" s="6" t="str">
        <x:v>swiss_dwellings</x:v>
      </x:c>
      <x:c r="AB1505" s="6" t="str">
        <x:v>CC-BY-4.0</x:v>
      </x:c>
    </x:row>
    <x:row r="1506" ht="96" customHeight="1">
      <x:c r="A1506" s="14" t="n">
        <x:v>1501</x:v>
      </x:c>
      <x:c r="B1506" s="6" t="str">
        <x:v>route</x:v>
      </x:c>
      <x:c r="C1506" s="6" t="str">
        <x:v>How do I get from Bedroom 1.12 (apartment 3) (Floor 1) to Kitchen 2.06 (apartment 5) (Floor 2)?</x:v>
      </x:c>
      <x:c r="D1506" s="6" t="str">
        <x:v>32.08 m
From: Bedroom 1.12 (apartment 3)
To: Kitchen 2.06 (apartment 5)
Ordered path (7 spaces): Bedroom 1.12 (apartment 3) → Living room 1.08 (apartment 3) → Corridor 1.11 (apartment 3) → Stair hall 1.20 → Stair hall 2.22 → Corridor 2.05 (apartment 5) → Kitchen 2.06 (apartment 5)</x:v>
      </x:c>
      <x:c r="E1506" s="6" t="str">
        <x:v>Reference supplied</x:v>
      </x:c>
      <x:c r="F1506" s="6" t="str">
        <x:v>dev</x:v>
      </x:c>
      <x:c r="G1506" s="6" t="str">
        <x:v>swiss-450</x:v>
      </x:c>
      <x:c r="H1506" s="6" t="str">
        <x:v>swiss-450-Q05</x:v>
      </x:c>
      <x:c r="I1506" s="6" t="str">
        <x:v>Route planning</x:v>
      </x:c>
      <x:c r="J1506" s="6" t="str">
        <x:v>Warm-up</x:v>
      </x:c>
      <x:c r="K1506" s="6" t="str">
        <x:v>Ordered space path and directions, plus total route-model distance in metres.</x:v>
      </x:c>
      <x:c r="L1506" s="6" t="str">
        <x:v>T02, T05, T13</x:v>
      </x:c>
      <x:c r="M1506" s="6" t="str">
        <x:v>Find a valid route between two rooms, including across floors.</x:v>
      </x:c>
      <x:c r="N1506" s="6" t="str">
        <x:v>{"from_space_id":"swiss-450-F1-S012","to_space_id":"swiss-450-F2-S006","optimal_length_m":32.08,"space_path":["swiss-450-F1-S012","swiss-450-F1-S008","swiss-450-F1-S011","swiss-450-F1-S020","swiss-450-F2-S022","swiss-450-F2-S005","swiss-450-F2-S006"],"element_path":["swiss-450-F1-O0022","swiss-450-F1-O0022","swiss-450-F1-O0024","swiss-450-F1-O0024","swiss-450-F1-O0020","swiss-450-F1-O0020","swiss-450-V01","swiss-450-F2-O0037","swiss-450-F2-O0037","swiss-450-F2-O0041","swiss-450-F2-O0041"]}</x:v>
      </x:c>
      <x:c r="O1506" s="6"/>
      <x:c r="P1506" s="6" t="str">
        <x:v>README routing profile. Stairs and lifts allowed unless stated otherwise.</x:v>
      </x:c>
      <x:c r="Q1506" s="15" t="n">
        <x:v>32.08</x:v>
      </x:c>
      <x:c r="R1506" s="6" t="str">
        <x:v>m</x:v>
      </x:c>
      <x:c r="S1506" s="16"/>
      <x:c r="T1506" s="15"/>
      <x:c r="U1506" s="6"/>
      <x:c r="V1506" s="6"/>
      <x:c r="W1506" s="6" t="str">
        <x:v>Existing find_route and show_route implement the kit routing model.</x:v>
      </x:c>
      <x:c r="X1506" s="6" t="str">
        <x:v>data/dev/swiss-450/questions_basic.jsonl</x:v>
      </x:c>
      <x:c r="Y1506" s="14" t="n">
        <x:v>5</x:v>
      </x:c>
      <x:c r="Z1506" s="6" t="str">
        <x:v>https://github.com/hagenhaeussler/Industrial-Agents-Hackathon-2026/blob/f41616590b69f3ea0c1cbfb41d6c35edd9ce53df/data/dev/swiss-450/questions_basic.jsonl#L5</x:v>
      </x:c>
      <x:c r="AA1506" s="6" t="str">
        <x:v>swiss_dwellings</x:v>
      </x:c>
      <x:c r="AB1506" s="6" t="str">
        <x:v>CC-BY-4.0</x:v>
      </x:c>
    </x:row>
    <x:row r="1507" ht="96" customHeight="1">
      <x:c r="A1507" s="14" t="n">
        <x:v>1502</x:v>
      </x:c>
      <x:c r="B1507" s="6" t="str">
        <x:v>route</x:v>
      </x:c>
      <x:c r="C1507" s="6" t="str">
        <x:v>How do I get from Kitchen 1.09 (apartment 3) (Floor 1) to Living room 1.05 (apartment 2) (Floor 1)?</x:v>
      </x:c>
      <x:c r="D1507" s="6" t="str">
        <x:v>15.93 m
From: Kitchen 1.09 (apartment 3)
To: Living room 1.05 (apartment 2)
Ordered path (5 spaces): Kitchen 1.09 (apartment 3) → Corridor 1.11 (apartment 3) → Stair hall 1.20 → Corridor 1.02 (apartment 2) → Living room 1.05 (apartment 2)</x:v>
      </x:c>
      <x:c r="E1507" s="6" t="str">
        <x:v>Reference supplied</x:v>
      </x:c>
      <x:c r="F1507" s="6" t="str">
        <x:v>dev</x:v>
      </x:c>
      <x:c r="G1507" s="6" t="str">
        <x:v>swiss-450</x:v>
      </x:c>
      <x:c r="H1507" s="6" t="str">
        <x:v>swiss-450-Q06</x:v>
      </x:c>
      <x:c r="I1507" s="6" t="str">
        <x:v>Route planning</x:v>
      </x:c>
      <x:c r="J1507" s="6" t="str">
        <x:v>Warm-up</x:v>
      </x:c>
      <x:c r="K1507" s="6" t="str">
        <x:v>Ordered space path and directions, plus total route-model distance in metres.</x:v>
      </x:c>
      <x:c r="L1507" s="6" t="str">
        <x:v>T02, T05, T13</x:v>
      </x:c>
      <x:c r="M1507" s="6" t="str">
        <x:v>Find a valid route between two rooms, including across floors.</x:v>
      </x:c>
      <x:c r="N1507" s="6" t="str">
        <x:v>{"from_space_id":"swiss-450-F1-S009","to_space_id":"swiss-450-F1-S005","optimal_length_m":15.93,"space_path":["swiss-450-F1-S009","swiss-450-F1-S011","swiss-450-F1-S020","swiss-450-F1-S002","swiss-450-F1-S005"],"element_path":["swiss-450-F1-O0018","swiss-450-F1-O0018","swiss-450-F1-O0020","swiss-450-F1-O0020","swiss-450-F1-O0012","swiss-450-F1-O0012","swiss-450-F1-O0016","swiss-450-F1-O0016"]}</x:v>
      </x:c>
      <x:c r="O1507" s="6"/>
      <x:c r="P1507" s="6" t="str">
        <x:v>README routing profile. Stairs and lifts allowed unless stated otherwise.</x:v>
      </x:c>
      <x:c r="Q1507" s="15" t="n">
        <x:v>15.93</x:v>
      </x:c>
      <x:c r="R1507" s="6" t="str">
        <x:v>m</x:v>
      </x:c>
      <x:c r="S1507" s="16"/>
      <x:c r="T1507" s="15"/>
      <x:c r="U1507" s="6"/>
      <x:c r="V1507" s="6"/>
      <x:c r="W1507" s="6" t="str">
        <x:v>Existing find_route and show_route implement the kit routing model.</x:v>
      </x:c>
      <x:c r="X1507" s="6" t="str">
        <x:v>data/dev/swiss-450/questions_basic.jsonl</x:v>
      </x:c>
      <x:c r="Y1507" s="14" t="n">
        <x:v>6</x:v>
      </x:c>
      <x:c r="Z1507" s="6" t="str">
        <x:v>https://github.com/hagenhaeussler/Industrial-Agents-Hackathon-2026/blob/f41616590b69f3ea0c1cbfb41d6c35edd9ce53df/data/dev/swiss-450/questions_basic.jsonl#L6</x:v>
      </x:c>
      <x:c r="AA1507" s="6" t="str">
        <x:v>swiss_dwellings</x:v>
      </x:c>
      <x:c r="AB1507" s="6" t="str">
        <x:v>CC-BY-4.0</x:v>
      </x:c>
    </x:row>
    <x:row r="1508" ht="96" customHeight="1">
      <x:c r="A1508" s="14" t="n">
        <x:v>1503</x:v>
      </x:c>
      <x:c r="B1508" s="6" t="str">
        <x:v>route</x:v>
      </x:c>
      <x:c r="C1508" s="6" t="str">
        <x:v>How do I get from Bedroom 2.14 (apartment 7) (Floor 2) to Living room 1.08 (apartment 3) (Floor 1)?</x:v>
      </x:c>
      <x:c r="D1508" s="6" t="str">
        <x:v>34.78 m
From: Bedroom 2.14 (apartment 7)
To: Living room 1.08 (apartment 3)
Ordered path (7 spaces): Bedroom 2.14 (apartment 7) → Living room 2.20 (apartment 7) → Corridor 2.15 (apartment 7) → Stair hall 2.22 → Stair hall 1.20 → Corridor 1.11 (apartment 3) → Living room 1.08 (apartment 3)</x:v>
      </x:c>
      <x:c r="E1508" s="6" t="str">
        <x:v>Reference supplied</x:v>
      </x:c>
      <x:c r="F1508" s="6" t="str">
        <x:v>dev</x:v>
      </x:c>
      <x:c r="G1508" s="6" t="str">
        <x:v>swiss-450</x:v>
      </x:c>
      <x:c r="H1508" s="6" t="str">
        <x:v>swiss-450-Q07</x:v>
      </x:c>
      <x:c r="I1508" s="6" t="str">
        <x:v>Route planning</x:v>
      </x:c>
      <x:c r="J1508" s="6" t="str">
        <x:v>Warm-up</x:v>
      </x:c>
      <x:c r="K1508" s="6" t="str">
        <x:v>Ordered space path and directions, plus total route-model distance in metres.</x:v>
      </x:c>
      <x:c r="L1508" s="6" t="str">
        <x:v>T02, T05, T13</x:v>
      </x:c>
      <x:c r="M1508" s="6" t="str">
        <x:v>Find a valid route between two rooms, including across floors.</x:v>
      </x:c>
      <x:c r="N1508" s="6" t="str">
        <x:v>{"from_space_id":"swiss-450-F2-S014","to_space_id":"swiss-450-F1-S008","optimal_length_m":34.78,"space_path":["swiss-450-F2-S014","swiss-450-F2-S020","swiss-450-F2-S015","swiss-450-F2-S022","swiss-450-F1-S020","swiss-450-F1-S011","swiss-450-F1-S008"],"element_path":["swiss-450-F2-O0049","swiss-450-F2-O0049","swiss-450-F2-O0053","swiss-450-F2-O0053","swiss-450-F2-O0054","swiss-450-F2-O0054","swiss-450-V01","swiss-450-F1-O0020","swiss-450-F1-O0020","swiss-450-F1-O0024","swiss-450-F1-O0024"]}</x:v>
      </x:c>
      <x:c r="O1508" s="6"/>
      <x:c r="P1508" s="6" t="str">
        <x:v>README routing profile. Stairs and lifts allowed unless stated otherwise.</x:v>
      </x:c>
      <x:c r="Q1508" s="15" t="n">
        <x:v>34.78</x:v>
      </x:c>
      <x:c r="R1508" s="6" t="str">
        <x:v>m</x:v>
      </x:c>
      <x:c r="S1508" s="16"/>
      <x:c r="T1508" s="15"/>
      <x:c r="U1508" s="6"/>
      <x:c r="V1508" s="6"/>
      <x:c r="W1508" s="6" t="str">
        <x:v>Existing find_route and show_route implement the kit routing model.</x:v>
      </x:c>
      <x:c r="X1508" s="6" t="str">
        <x:v>data/dev/swiss-450/questions_basic.jsonl</x:v>
      </x:c>
      <x:c r="Y1508" s="14" t="n">
        <x:v>7</x:v>
      </x:c>
      <x:c r="Z1508" s="6" t="str">
        <x:v>https://github.com/hagenhaeussler/Industrial-Agents-Hackathon-2026/blob/f41616590b69f3ea0c1cbfb41d6c35edd9ce53df/data/dev/swiss-450/questions_basic.jsonl#L7</x:v>
      </x:c>
      <x:c r="AA1508" s="6" t="str">
        <x:v>swiss_dwellings</x:v>
      </x:c>
      <x:c r="AB1508" s="6" t="str">
        <x:v>CC-BY-4.0</x:v>
      </x:c>
    </x:row>
    <x:row r="1509" ht="96" customHeight="1">
      <x:c r="A1509" s="14" t="n">
        <x:v>1504</x:v>
      </x:c>
      <x:c r="B1509" s="6" t="str">
        <x:v>route</x:v>
      </x:c>
      <x:c r="C1509" s="6" t="str">
        <x:v>How do I get from Bedroom 2.09 (apartment 5) (Floor 2) to Storage 3.12 (apartment 8) (Floor 3)?</x:v>
      </x:c>
      <x:c r="D1509" s="6" t="str">
        <x:v>34.4 m
From: Bedroom 2.09 (apartment 5)
To: Storage 3.12 (apartment 8)
Ordered path (7 spaces): Bedroom 2.09 (apartment 5) → Corridor 2.07 (apartment 5) → Stair hall 2.18 → Stair hall 3.18 → Corridor 3.14 (apartment 8) → Kitchen 3.10 (apartment 8) → Storage 3.12 (apartment 8)</x:v>
      </x:c>
      <x:c r="E1509" s="6" t="str">
        <x:v>Reference supplied</x:v>
      </x:c>
      <x:c r="F1509" s="6" t="str">
        <x:v>dev</x:v>
      </x:c>
      <x:c r="G1509" s="6" t="str">
        <x:v>swiss-460</x:v>
      </x:c>
      <x:c r="H1509" s="6" t="str">
        <x:v>swiss-460-Q05</x:v>
      </x:c>
      <x:c r="I1509" s="6" t="str">
        <x:v>Route planning</x:v>
      </x:c>
      <x:c r="J1509" s="6" t="str">
        <x:v>Warm-up</x:v>
      </x:c>
      <x:c r="K1509" s="6" t="str">
        <x:v>Ordered space path and directions, plus total route-model distance in metres.</x:v>
      </x:c>
      <x:c r="L1509" s="6" t="str">
        <x:v>T02, T05, T13</x:v>
      </x:c>
      <x:c r="M1509" s="6" t="str">
        <x:v>Find a valid route between two rooms, including across floors.</x:v>
      </x:c>
      <x:c r="N1509" s="6" t="str">
        <x:v>{"from_space_id":"swiss-460-F2-S009","to_space_id":"swiss-460-F3-S012","optimal_length_m":34.4,"space_path":["swiss-460-F2-S009","swiss-460-F2-S007","swiss-460-F2-S018","swiss-460-F3-S018","swiss-460-F3-S014","swiss-460-F3-S010","swiss-460-F3-S012"],"element_path":["swiss-460-F2-O0038","swiss-460-F2-O0038","swiss-460-F2-O0040","swiss-460-F2-O0040","swiss-460-V01","swiss-460-F3-O0070","swiss-460-F3-O0070","swiss-460-F3-O0065","swiss-460-F3-O0065","swiss-460-F3-O0068","swiss-460-F3-O0068"]}</x:v>
      </x:c>
      <x:c r="O1509" s="6"/>
      <x:c r="P1509" s="6" t="str">
        <x:v>README routing profile. Stairs and lifts allowed unless stated otherwise.</x:v>
      </x:c>
      <x:c r="Q1509" s="15" t="n">
        <x:v>34.4</x:v>
      </x:c>
      <x:c r="R1509" s="6" t="str">
        <x:v>m</x:v>
      </x:c>
      <x:c r="S1509" s="16"/>
      <x:c r="T1509" s="15"/>
      <x:c r="U1509" s="6"/>
      <x:c r="V1509" s="6"/>
      <x:c r="W1509" s="6" t="str">
        <x:v>Existing find_route and show_route implement the kit routing model.</x:v>
      </x:c>
      <x:c r="X1509" s="6" t="str">
        <x:v>data/dev/swiss-460/questions_basic.jsonl</x:v>
      </x:c>
      <x:c r="Y1509" s="14" t="n">
        <x:v>5</x:v>
      </x:c>
      <x:c r="Z1509" s="6" t="str">
        <x:v>https://github.com/hagenhaeussler/Industrial-Agents-Hackathon-2026/blob/f41616590b69f3ea0c1cbfb41d6c35edd9ce53df/data/dev/swiss-460/questions_basic.jsonl#L5</x:v>
      </x:c>
      <x:c r="AA1509" s="6" t="str">
        <x:v>swiss_dwellings</x:v>
      </x:c>
      <x:c r="AB1509" s="6" t="str">
        <x:v>CC-BY-4.0</x:v>
      </x:c>
    </x:row>
    <x:row r="1510" ht="96" customHeight="1">
      <x:c r="A1510" s="14" t="n">
        <x:v>1505</x:v>
      </x:c>
      <x:c r="B1510" s="6" t="str">
        <x:v>route</x:v>
      </x:c>
      <x:c r="C1510" s="6" t="str">
        <x:v>How do I get from Bedroom 3.09 (apartment 8) (Floor 3) to Bathroom 4.08 (apartment 9) (Floor 4)?</x:v>
      </x:c>
      <x:c r="D1510" s="6" t="str">
        <x:v>29.93 m
From: Bedroom 3.09 (apartment 8)
To: Bathroom 4.08 (apartment 9)
Ordered path (6 spaces): Bedroom 3.09 (apartment 8) → Corridor 3.14 (apartment 8) → Stair hall 3.18 → Stair hall 4.18 → Corridor 4.01 (apartment 9) → Bathroom 4.08 (apartment 9)</x:v>
      </x:c>
      <x:c r="E1510" s="6" t="str">
        <x:v>Reference supplied</x:v>
      </x:c>
      <x:c r="F1510" s="6" t="str">
        <x:v>dev</x:v>
      </x:c>
      <x:c r="G1510" s="6" t="str">
        <x:v>swiss-460</x:v>
      </x:c>
      <x:c r="H1510" s="6" t="str">
        <x:v>swiss-460-Q06</x:v>
      </x:c>
      <x:c r="I1510" s="6" t="str">
        <x:v>Route planning</x:v>
      </x:c>
      <x:c r="J1510" s="6" t="str">
        <x:v>Warm-up</x:v>
      </x:c>
      <x:c r="K1510" s="6" t="str">
        <x:v>Ordered space path and directions, plus total route-model distance in metres.</x:v>
      </x:c>
      <x:c r="L1510" s="6" t="str">
        <x:v>T02, T05, T13</x:v>
      </x:c>
      <x:c r="M1510" s="6" t="str">
        <x:v>Find a valid route between two rooms, including across floors.</x:v>
      </x:c>
      <x:c r="N1510" s="6" t="str">
        <x:v>{"from_space_id":"swiss-460-F3-S009","to_space_id":"swiss-460-F4-S008","optimal_length_m":29.93,"space_path":["swiss-460-F3-S009","swiss-460-F3-S014","swiss-460-F3-S018","swiss-460-F4-S018","swiss-460-F4-S001","swiss-460-F4-S008"],"element_path":["swiss-460-F3-O0072","swiss-460-F3-O0072","swiss-460-F3-O0070","swiss-460-F3-O0070","swiss-460-V01","swiss-460-F4-O0076","swiss-460-F4-O0076","swiss-460-F4-O0080","swiss-460-F4-O0080"]}</x:v>
      </x:c>
      <x:c r="O1510" s="6"/>
      <x:c r="P1510" s="6" t="str">
        <x:v>README routing profile. Stairs and lifts allowed unless stated otherwise.</x:v>
      </x:c>
      <x:c r="Q1510" s="15" t="n">
        <x:v>29.93</x:v>
      </x:c>
      <x:c r="R1510" s="6" t="str">
        <x:v>m</x:v>
      </x:c>
      <x:c r="S1510" s="16"/>
      <x:c r="T1510" s="15"/>
      <x:c r="U1510" s="6"/>
      <x:c r="V1510" s="6"/>
      <x:c r="W1510" s="6" t="str">
        <x:v>Existing find_route and show_route implement the kit routing model.</x:v>
      </x:c>
      <x:c r="X1510" s="6" t="str">
        <x:v>data/dev/swiss-460/questions_basic.jsonl</x:v>
      </x:c>
      <x:c r="Y1510" s="14" t="n">
        <x:v>6</x:v>
      </x:c>
      <x:c r="Z1510" s="6" t="str">
        <x:v>https://github.com/hagenhaeussler/Industrial-Agents-Hackathon-2026/blob/f41616590b69f3ea0c1cbfb41d6c35edd9ce53df/data/dev/swiss-460/questions_basic.jsonl#L6</x:v>
      </x:c>
      <x:c r="AA1510" s="6" t="str">
        <x:v>swiss_dwellings</x:v>
      </x:c>
      <x:c r="AB1510" s="6" t="str">
        <x:v>CC-BY-4.0</x:v>
      </x:c>
    </x:row>
    <x:row r="1511" ht="82" customHeight="1">
      <x:c r="A1511" s="14" t="n">
        <x:v>1506</x:v>
      </x:c>
      <x:c r="B1511" s="6" t="str">
        <x:v>route</x:v>
      </x:c>
      <x:c r="C1511" s="6" t="str">
        <x:v>How do I get from Bedroom 2.12 (apartment 6) (Floor 2) to Bedroom 2.15 (apartment 6) (Floor 2)?</x:v>
      </x:c>
      <x:c r="D1511" s="6" t="str">
        <x:v>10.23 m
From: Bedroom 2.12 (apartment 6)
To: Bedroom 2.15 (apartment 6)
Ordered path (3 spaces): Bedroom 2.12 (apartment 6) → Corridor 2.16 (apartment 6) → Bedroom 2.15 (apartment 6)</x:v>
      </x:c>
      <x:c r="E1511" s="6" t="str">
        <x:v>Reference supplied</x:v>
      </x:c>
      <x:c r="F1511" s="6" t="str">
        <x:v>dev</x:v>
      </x:c>
      <x:c r="G1511" s="6" t="str">
        <x:v>swiss-460</x:v>
      </x:c>
      <x:c r="H1511" s="6" t="str">
        <x:v>swiss-460-Q07</x:v>
      </x:c>
      <x:c r="I1511" s="6" t="str">
        <x:v>Route planning</x:v>
      </x:c>
      <x:c r="J1511" s="6" t="str">
        <x:v>Warm-up</x:v>
      </x:c>
      <x:c r="K1511" s="6" t="str">
        <x:v>Ordered space path and directions, plus total route-model distance in metres.</x:v>
      </x:c>
      <x:c r="L1511" s="6" t="str">
        <x:v>T02, T05, T13</x:v>
      </x:c>
      <x:c r="M1511" s="6" t="str">
        <x:v>Find a valid route between two rooms, including across floors.</x:v>
      </x:c>
      <x:c r="N1511" s="6" t="str">
        <x:v>{"from_space_id":"swiss-460-F2-S012","to_space_id":"swiss-460-F2-S015","optimal_length_m":10.23,"space_path":["swiss-460-F2-S012","swiss-460-F2-S016","swiss-460-F2-S015"],"element_path":["swiss-460-F2-O0050","swiss-460-F2-O0050","swiss-460-F2-O0047","swiss-460-F2-O0047"]}</x:v>
      </x:c>
      <x:c r="O1511" s="6"/>
      <x:c r="P1511" s="6" t="str">
        <x:v>README routing profile. Stairs and lifts allowed unless stated otherwise.</x:v>
      </x:c>
      <x:c r="Q1511" s="15" t="n">
        <x:v>10.23</x:v>
      </x:c>
      <x:c r="R1511" s="6" t="str">
        <x:v>m</x:v>
      </x:c>
      <x:c r="S1511" s="16"/>
      <x:c r="T1511" s="15"/>
      <x:c r="U1511" s="6"/>
      <x:c r="V1511" s="6"/>
      <x:c r="W1511" s="6" t="str">
        <x:v>Existing find_route and show_route implement the kit routing model.</x:v>
      </x:c>
      <x:c r="X1511" s="6" t="str">
        <x:v>data/dev/swiss-460/questions_basic.jsonl</x:v>
      </x:c>
      <x:c r="Y1511" s="14" t="n">
        <x:v>7</x:v>
      </x:c>
      <x:c r="Z1511" s="6" t="str">
        <x:v>https://github.com/hagenhaeussler/Industrial-Agents-Hackathon-2026/blob/f41616590b69f3ea0c1cbfb41d6c35edd9ce53df/data/dev/swiss-460/questions_basic.jsonl#L7</x:v>
      </x:c>
      <x:c r="AA1511" s="6" t="str">
        <x:v>swiss_dwellings</x:v>
      </x:c>
      <x:c r="AB1511" s="6" t="str">
        <x:v>CC-BY-4.0</x:v>
      </x:c>
    </x:row>
    <x:row r="1512" ht="110" customHeight="1">
      <x:c r="A1512" s="14" t="n">
        <x:v>1507</x:v>
      </x:c>
      <x:c r="B1512" s="6" t="str">
        <x:v>route</x:v>
      </x:c>
      <x:c r="C1512" s="6" t="str">
        <x:v>How do I get from Bathroom 0.48 (apartment 14) (Ground floor) to Living room 1.42 (apartment 24) (Floor 1)?</x:v>
      </x:c>
      <x:c r="D1512" s="6" t="str">
        <x:v>31.25 m
From: Bathroom 0.48 (apartment 14)
To: Living room 1.42 (apartment 24)
Ordered path (9 spaces): Bathroom 0.48 (apartment 14) → Corridor 0.45 (apartment 14) → Kitchen 0.46 (apartment 14) → Landing 0.74 → outside → Landing 0.70 → Stair hall 1.123 → Corridor 1.38 (apartment 24) → Living room 1.42 (apartment 24)</x:v>
      </x:c>
      <x:c r="E1512" s="6" t="str">
        <x:v>Reference supplied</x:v>
      </x:c>
      <x:c r="F1512" s="6" t="str">
        <x:v>dev</x:v>
      </x:c>
      <x:c r="G1512" s="6" t="str">
        <x:v>swiss-5097</x:v>
      </x:c>
      <x:c r="H1512" s="6" t="str">
        <x:v>swiss-5097-Q03</x:v>
      </x:c>
      <x:c r="I1512" s="6" t="str">
        <x:v>Route planning</x:v>
      </x:c>
      <x:c r="J1512" s="6" t="str">
        <x:v>Warm-up</x:v>
      </x:c>
      <x:c r="K1512" s="6" t="str">
        <x:v>Ordered space path and directions, plus total route-model distance in metres.</x:v>
      </x:c>
      <x:c r="L1512" s="6" t="str">
        <x:v>T02, T05, T13</x:v>
      </x:c>
      <x:c r="M1512" s="6" t="str">
        <x:v>Find a valid route between two rooms, including across floors.</x:v>
      </x:c>
      <x:c r="N1512" s="6" t="str">
        <x:v>{"from_space_id":"swiss-5097-F0-S048","to_space_id":"swiss-5097-F1-S042","optimal_length_m":31.25,"space_path":["swiss-5097-F0-S048","swiss-5097-F0-S045","swiss-5097-F0-S046","swiss-5097-F0-S074","outside","swiss-5097-F0-S070","swiss-5097-F1-S123","swiss-5097-F1-S038","swiss-5097-F1-S042"],"element_path":["swiss-5097-F0-O0057","swiss-5097-F0-O0057","swiss-5097-F0-O0086","swiss-5097-F0-O0086","swiss-5097-F0-O0058","swiss-5097-F0-O0058","swiss-5097-F0-O0339","swiss-5097-F0-O0339","swiss-5097-F0-O0335","swiss-5097-F0-O0335","swiss-5097-V15","swiss-5097-F1-O0121","swiss-5097-F1-O0121","swiss-5097-F1-O0188","swiss-5097-F1-O0188"]}</x:v>
      </x:c>
      <x:c r="O1512" s="6"/>
      <x:c r="P1512" s="6" t="str">
        <x:v>README routing profile. Stairs and lifts allowed unless stated otherwise.</x:v>
      </x:c>
      <x:c r="Q1512" s="15" t="n">
        <x:v>31.25</x:v>
      </x:c>
      <x:c r="R1512" s="6" t="str">
        <x:v>m</x:v>
      </x:c>
      <x:c r="S1512" s="16"/>
      <x:c r="T1512" s="15"/>
      <x:c r="U1512" s="6"/>
      <x:c r="V1512" s="6"/>
      <x:c r="W1512" s="6" t="str">
        <x:v>Existing find_route and show_route implement the kit routing model.</x:v>
      </x:c>
      <x:c r="X1512" s="6" t="str">
        <x:v>data/dev/swiss-5097/questions_basic.jsonl</x:v>
      </x:c>
      <x:c r="Y1512" s="14" t="n">
        <x:v>3</x:v>
      </x:c>
      <x:c r="Z1512" s="6" t="str">
        <x:v>https://github.com/hagenhaeussler/Industrial-Agents-Hackathon-2026/blob/f41616590b69f3ea0c1cbfb41d6c35edd9ce53df/data/dev/swiss-5097/questions_basic.jsonl#L3</x:v>
      </x:c>
      <x:c r="AA1512" s="6" t="str">
        <x:v>swiss_dwellings</x:v>
      </x:c>
      <x:c r="AB1512" s="6" t="str">
        <x:v>CC-BY-4.0</x:v>
      </x:c>
    </x:row>
    <x:row r="1513" ht="110" customHeight="1">
      <x:c r="A1513" s="14" t="n">
        <x:v>1508</x:v>
      </x:c>
      <x:c r="B1513" s="6" t="str">
        <x:v>route</x:v>
      </x:c>
      <x:c r="C1513" s="6" t="str">
        <x:v>How do I get from Kitchen 1.14 (apartment 19) (Floor 1) to Bathroom 0.21 (apartment 8) (Ground floor)?</x:v>
      </x:c>
      <x:c r="D1513" s="6" t="str">
        <x:v>31.76 m
From: Kitchen 1.14 (apartment 19)
To: Bathroom 0.21 (apartment 8)
Ordered path (9 spaces): Kitchen 1.14 (apartment 19) → Corridor 1.16 (apartment 19) → Stair hall 1.124 → Landing 0.66 → outside → Landing 0.68 → Kitchen 0.19 (apartment 8) → Corridor 0.18 (apartment 8) → Bathroom 0.21 (apartment 8)</x:v>
      </x:c>
      <x:c r="E1513" s="6" t="str">
        <x:v>Reference supplied</x:v>
      </x:c>
      <x:c r="F1513" s="6" t="str">
        <x:v>dev</x:v>
      </x:c>
      <x:c r="G1513" s="6" t="str">
        <x:v>swiss-5097</x:v>
      </x:c>
      <x:c r="H1513" s="6" t="str">
        <x:v>swiss-5097-Q04</x:v>
      </x:c>
      <x:c r="I1513" s="6" t="str">
        <x:v>Route planning</x:v>
      </x:c>
      <x:c r="J1513" s="6" t="str">
        <x:v>Warm-up</x:v>
      </x:c>
      <x:c r="K1513" s="6" t="str">
        <x:v>Ordered space path and directions, plus total route-model distance in metres.</x:v>
      </x:c>
      <x:c r="L1513" s="6" t="str">
        <x:v>T02, T05, T13</x:v>
      </x:c>
      <x:c r="M1513" s="6" t="str">
        <x:v>Find a valid route between two rooms, including across floors.</x:v>
      </x:c>
      <x:c r="N1513" s="6" t="str">
        <x:v>{"from_space_id":"swiss-5097-F1-S014","to_space_id":"swiss-5097-F0-S021","optimal_length_m":31.76,"space_path":["swiss-5097-F1-S014","swiss-5097-F1-S016","swiss-5097-F1-S124","swiss-5097-F0-S066","outside","swiss-5097-F0-S068","swiss-5097-F0-S019","swiss-5097-F0-S018","swiss-5097-F0-S021"],"element_path":["swiss-5097-F1-O0187","swiss-5097-F1-O0187","swiss-5097-F1-O0102","swiss-5097-F1-O0102","swiss-5097-V16","swiss-5097-F0-O0331","swiss-5097-F0-O0331","swiss-5097-F0-O0333","swiss-5097-F0-O0333","swiss-5097-F0-O0038","swiss-5097-F0-O0038","swiss-5097-F0-O0076","swiss-5097-F0-O0076","swiss-5097-F0-O0039","swiss-5097-F0-O0039"]}</x:v>
      </x:c>
      <x:c r="O1513" s="6"/>
      <x:c r="P1513" s="6" t="str">
        <x:v>README routing profile. Stairs and lifts allowed unless stated otherwise.</x:v>
      </x:c>
      <x:c r="Q1513" s="15" t="n">
        <x:v>31.76</x:v>
      </x:c>
      <x:c r="R1513" s="6" t="str">
        <x:v>m</x:v>
      </x:c>
      <x:c r="S1513" s="16"/>
      <x:c r="T1513" s="15"/>
      <x:c r="U1513" s="6"/>
      <x:c r="V1513" s="6"/>
      <x:c r="W1513" s="6" t="str">
        <x:v>Existing find_route and show_route implement the kit routing model.</x:v>
      </x:c>
      <x:c r="X1513" s="6" t="str">
        <x:v>data/dev/swiss-5097/questions_basic.jsonl</x:v>
      </x:c>
      <x:c r="Y1513" s="14" t="n">
        <x:v>4</x:v>
      </x:c>
      <x:c r="Z1513" s="6" t="str">
        <x:v>https://github.com/hagenhaeussler/Industrial-Agents-Hackathon-2026/blob/f41616590b69f3ea0c1cbfb41d6c35edd9ce53df/data/dev/swiss-5097/questions_basic.jsonl#L4</x:v>
      </x:c>
      <x:c r="AA1513" s="6" t="str">
        <x:v>swiss_dwellings</x:v>
      </x:c>
      <x:c r="AB1513" s="6" t="str">
        <x:v>CC-BY-4.0</x:v>
      </x:c>
    </x:row>
    <x:row r="1514" ht="110" customHeight="1">
      <x:c r="A1514" s="14" t="n">
        <x:v>1509</x:v>
      </x:c>
      <x:c r="B1514" s="6" t="str">
        <x:v>route</x:v>
      </x:c>
      <x:c r="C1514" s="6" t="str">
        <x:v>How do I get from Living room 1.107 (apartment 34) (Floor 1) to Living room 0.20 (apartment 8) (Ground floor)?</x:v>
      </x:c>
      <x:c r="D1514" s="6" t="str">
        <x:v>35.99 m
From: Living room 1.107 (apartment 34)
To: Living room 0.20 (apartment 8)
Ordered path (9 spaces): Living room 1.107 (apartment 34) → Corridor 1.104 (apartment 34) → Stair hall 1.126 → Landing 0.76 → outside → Landing 0.68 → Kitchen 0.19 (apartment 8) → Corridor 0.18 (apartment 8) → Living room 0.20 (apartment 8)</x:v>
      </x:c>
      <x:c r="E1514" s="6" t="str">
        <x:v>Reference supplied</x:v>
      </x:c>
      <x:c r="F1514" s="6" t="str">
        <x:v>dev</x:v>
      </x:c>
      <x:c r="G1514" s="6" t="str">
        <x:v>swiss-5097</x:v>
      </x:c>
      <x:c r="H1514" s="6" t="str">
        <x:v>swiss-5097-Q05</x:v>
      </x:c>
      <x:c r="I1514" s="6" t="str">
        <x:v>Route planning</x:v>
      </x:c>
      <x:c r="J1514" s="6" t="str">
        <x:v>Warm-up</x:v>
      </x:c>
      <x:c r="K1514" s="6" t="str">
        <x:v>Ordered space path and directions, plus total route-model distance in metres.</x:v>
      </x:c>
      <x:c r="L1514" s="6" t="str">
        <x:v>T02, T05, T13</x:v>
      </x:c>
      <x:c r="M1514" s="6" t="str">
        <x:v>Find a valid route between two rooms, including across floors.</x:v>
      </x:c>
      <x:c r="N1514" s="6" t="str">
        <x:v>{"from_space_id":"swiss-5097-F1-S107","to_space_id":"swiss-5097-F0-S020","optimal_length_m":35.99,"space_path":["swiss-5097-F1-S107","swiss-5097-F1-S104","swiss-5097-F1-S126","swiss-5097-F0-S076","outside","swiss-5097-F0-S068","swiss-5097-F0-S019","swiss-5097-F0-S018","swiss-5097-F0-S020"],"element_path":["swiss-5097-F1-O0204","swiss-5097-F1-O0204","swiss-5097-F1-O0174","swiss-5097-F1-O0174","swiss-5097-V01","swiss-5097-F0-O0341","swiss-5097-F0-O0341","swiss-5097-F0-O0333","swiss-5097-F0-O0333","swiss-5097-F0-O0038","swiss-5097-F0-O0038","swiss-5097-F0-O0076","swiss-5097-F0-O0076","swiss-5097-F0-O0040","swiss-5097-F0-O0040"]}</x:v>
      </x:c>
      <x:c r="O1514" s="6"/>
      <x:c r="P1514" s="6" t="str">
        <x:v>README routing profile. Stairs and lifts allowed unless stated otherwise.</x:v>
      </x:c>
      <x:c r="Q1514" s="15" t="n">
        <x:v>35.99</x:v>
      </x:c>
      <x:c r="R1514" s="6" t="str">
        <x:v>m</x:v>
      </x:c>
      <x:c r="S1514" s="16"/>
      <x:c r="T1514" s="15"/>
      <x:c r="U1514" s="6"/>
      <x:c r="V1514" s="6"/>
      <x:c r="W1514" s="6" t="str">
        <x:v>Existing find_route and show_route implement the kit routing model.</x:v>
      </x:c>
      <x:c r="X1514" s="6" t="str">
        <x:v>data/dev/swiss-5097/questions_basic.jsonl</x:v>
      </x:c>
      <x:c r="Y1514" s="14" t="n">
        <x:v>5</x:v>
      </x:c>
      <x:c r="Z1514" s="6" t="str">
        <x:v>https://github.com/hagenhaeussler/Industrial-Agents-Hackathon-2026/blob/f41616590b69f3ea0c1cbfb41d6c35edd9ce53df/data/dev/swiss-5097/questions_basic.jsonl#L5</x:v>
      </x:c>
      <x:c r="AA1514" s="6" t="str">
        <x:v>swiss_dwellings</x:v>
      </x:c>
      <x:c r="AB1514" s="6" t="str">
        <x:v>CC-BY-4.0</x:v>
      </x:c>
    </x:row>
    <x:row r="1515" ht="96" customHeight="1">
      <x:c r="A1515" s="14" t="n">
        <x:v>1510</x:v>
      </x:c>
      <x:c r="B1515" s="6" t="str">
        <x:v>route</x:v>
      </x:c>
      <x:c r="C1515" s="6" t="str">
        <x:v>How do I get from Bedroom 2.03 (apartment 3) (Floor 2) to Bathroom 0.05 (apartment 1) (Ground floor)?</x:v>
      </x:c>
      <x:c r="D1515" s="6" t="str">
        <x:v>36.79 m
From: Bedroom 2.03 (apartment 3)
To: Bathroom 0.05 (apartment 1)
Ordered path (7 spaces): Bedroom 2.03 (apartment 3) → Corridor 2.06 (apartment 3) → Stair hall 2.07 → Stair hall 1.08 → Landing 0.07 → Corridor 0.02 (apartment 1) → Bathroom 0.05 (apartment 1)</x:v>
      </x:c>
      <x:c r="E1515" s="6" t="str">
        <x:v>Reference supplied</x:v>
      </x:c>
      <x:c r="F1515" s="6" t="str">
        <x:v>dev</x:v>
      </x:c>
      <x:c r="G1515" s="6" t="str">
        <x:v>swiss-5462</x:v>
      </x:c>
      <x:c r="H1515" s="6" t="str">
        <x:v>swiss-5462-Q05</x:v>
      </x:c>
      <x:c r="I1515" s="6" t="str">
        <x:v>Route planning</x:v>
      </x:c>
      <x:c r="J1515" s="6" t="str">
        <x:v>Warm-up</x:v>
      </x:c>
      <x:c r="K1515" s="6" t="str">
        <x:v>Ordered space path and directions, plus total route-model distance in metres.</x:v>
      </x:c>
      <x:c r="L1515" s="6" t="str">
        <x:v>T02, T05, T13</x:v>
      </x:c>
      <x:c r="M1515" s="6" t="str">
        <x:v>Find a valid route between two rooms, including across floors.</x:v>
      </x:c>
      <x:c r="N1515" s="6" t="str">
        <x:v>{"from_space_id":"swiss-5462-F2-S003","to_space_id":"swiss-5462-F0-S005","optimal_length_m":36.79,"space_path":["swiss-5462-F2-S003","swiss-5462-F2-S006","swiss-5462-F2-S007","swiss-5462-F1-S008","swiss-5462-F0-S007","swiss-5462-F0-S002","swiss-5462-F0-S005"],"element_path":["swiss-5462-F2-O0019","swiss-5462-F2-O0019","swiss-5462-F2-O0020","swiss-5462-F2-O0020","swiss-5462-V01","swiss-5462-V01","swiss-5462-F0-O0006","swiss-5462-F0-O0006","swiss-5462-F0-O0001","swiss-5462-F0-O0001"]}</x:v>
      </x:c>
      <x:c r="O1515" s="6"/>
      <x:c r="P1515" s="6" t="str">
        <x:v>README routing profile. Stairs and lifts allowed unless stated otherwise.</x:v>
      </x:c>
      <x:c r="Q1515" s="15" t="n">
        <x:v>36.79</x:v>
      </x:c>
      <x:c r="R1515" s="6" t="str">
        <x:v>m</x:v>
      </x:c>
      <x:c r="S1515" s="16"/>
      <x:c r="T1515" s="15"/>
      <x:c r="U1515" s="6"/>
      <x:c r="V1515" s="6"/>
      <x:c r="W1515" s="6" t="str">
        <x:v>Existing find_route and show_route implement the kit routing model.</x:v>
      </x:c>
      <x:c r="X1515" s="6" t="str">
        <x:v>data/dev/swiss-5462/questions_basic.jsonl</x:v>
      </x:c>
      <x:c r="Y1515" s="14" t="n">
        <x:v>5</x:v>
      </x:c>
      <x:c r="Z1515" s="6" t="str">
        <x:v>https://github.com/hagenhaeussler/Industrial-Agents-Hackathon-2026/blob/f41616590b69f3ea0c1cbfb41d6c35edd9ce53df/data/dev/swiss-5462/questions_basic.jsonl#L5</x:v>
      </x:c>
      <x:c r="AA1515" s="6" t="str">
        <x:v>swiss_dwellings</x:v>
      </x:c>
      <x:c r="AB1515" s="6" t="str">
        <x:v>CC-BY-4.0</x:v>
      </x:c>
    </x:row>
    <x:row r="1516" ht="96" customHeight="1">
      <x:c r="A1516" s="14" t="n">
        <x:v>1511</x:v>
      </x:c>
      <x:c r="B1516" s="6" t="str">
        <x:v>route</x:v>
      </x:c>
      <x:c r="C1516" s="6" t="str">
        <x:v>How do I get from Bedroom 0.04 (apartment 1) (Ground floor) to Living room 2.02 (apartment 3) (Floor 2)?</x:v>
      </x:c>
      <x:c r="D1516" s="6" t="str">
        <x:v>38.31 m
From: Bedroom 0.04 (apartment 1)
To: Living room 2.02 (apartment 3)
Ordered path (7 spaces): Bedroom 0.04 (apartment 1) → Corridor 0.02 (apartment 1) → Landing 0.07 → Stair hall 1.08 → Stair hall 2.07 → Corridor 2.06 (apartment 3) → Living room 2.02 (apartment 3)</x:v>
      </x:c>
      <x:c r="E1516" s="6" t="str">
        <x:v>Reference supplied</x:v>
      </x:c>
      <x:c r="F1516" s="6" t="str">
        <x:v>dev</x:v>
      </x:c>
      <x:c r="G1516" s="6" t="str">
        <x:v>swiss-5462</x:v>
      </x:c>
      <x:c r="H1516" s="6" t="str">
        <x:v>swiss-5462-Q06</x:v>
      </x:c>
      <x:c r="I1516" s="6" t="str">
        <x:v>Route planning</x:v>
      </x:c>
      <x:c r="J1516" s="6" t="str">
        <x:v>Warm-up</x:v>
      </x:c>
      <x:c r="K1516" s="6" t="str">
        <x:v>Ordered space path and directions, plus total route-model distance in metres.</x:v>
      </x:c>
      <x:c r="L1516" s="6" t="str">
        <x:v>T02, T05, T13</x:v>
      </x:c>
      <x:c r="M1516" s="6" t="str">
        <x:v>Find a valid route between two rooms, including across floors.</x:v>
      </x:c>
      <x:c r="N1516" s="6" t="str">
        <x:v>{"from_space_id":"swiss-5462-F0-S004","to_space_id":"swiss-5462-F2-S002","optimal_length_m":38.31,"space_path":["swiss-5462-F0-S004","swiss-5462-F0-S002","swiss-5462-F0-S007","swiss-5462-F1-S008","swiss-5462-F2-S007","swiss-5462-F2-S006","swiss-5462-F2-S002"],"element_path":["swiss-5462-F0-O0002","swiss-5462-F0-O0002","swiss-5462-F0-O0006","swiss-5462-F0-O0006","swiss-5462-V01","swiss-5462-V01","swiss-5462-F2-O0020","swiss-5462-F2-O0020","swiss-5462-F2-O0018","swiss-5462-F2-O0018"]}</x:v>
      </x:c>
      <x:c r="O1516" s="6"/>
      <x:c r="P1516" s="6" t="str">
        <x:v>README routing profile. Stairs and lifts allowed unless stated otherwise.</x:v>
      </x:c>
      <x:c r="Q1516" s="15" t="n">
        <x:v>38.31</x:v>
      </x:c>
      <x:c r="R1516" s="6" t="str">
        <x:v>m</x:v>
      </x:c>
      <x:c r="S1516" s="16"/>
      <x:c r="T1516" s="15"/>
      <x:c r="U1516" s="6"/>
      <x:c r="V1516" s="6"/>
      <x:c r="W1516" s="6" t="str">
        <x:v>Existing find_route and show_route implement the kit routing model.</x:v>
      </x:c>
      <x:c r="X1516" s="6" t="str">
        <x:v>data/dev/swiss-5462/questions_basic.jsonl</x:v>
      </x:c>
      <x:c r="Y1516" s="14" t="n">
        <x:v>6</x:v>
      </x:c>
      <x:c r="Z1516" s="6" t="str">
        <x:v>https://github.com/hagenhaeussler/Industrial-Agents-Hackathon-2026/blob/f41616590b69f3ea0c1cbfb41d6c35edd9ce53df/data/dev/swiss-5462/questions_basic.jsonl#L6</x:v>
      </x:c>
      <x:c r="AA1516" s="6" t="str">
        <x:v>swiss_dwellings</x:v>
      </x:c>
      <x:c r="AB1516" s="6" t="str">
        <x:v>CC-BY-4.0</x:v>
      </x:c>
    </x:row>
    <x:row r="1517" ht="96" customHeight="1">
      <x:c r="A1517" s="14" t="n">
        <x:v>1512</x:v>
      </x:c>
      <x:c r="B1517" s="6" t="str">
        <x:v>route</x:v>
      </x:c>
      <x:c r="C1517" s="6" t="str">
        <x:v>How do I get from Kitchen 2.01 (apartment 3) (Floor 2) to Bedroom 1.01 (apartment 2) (Floor 1)?</x:v>
      </x:c>
      <x:c r="D1517" s="6" t="str">
        <x:v>25.7 m
From: Kitchen 2.01 (apartment 3)
To: Bedroom 1.01 (apartment 2)
Ordered path (6 spaces): Kitchen 2.01 (apartment 3) → Corridor 2.06 (apartment 3) → Stair hall 2.07 → Stair hall 1.08 → Corridor 1.05 (apartment 2) → Bedroom 1.01 (apartment 2)</x:v>
      </x:c>
      <x:c r="E1517" s="6" t="str">
        <x:v>Reference supplied</x:v>
      </x:c>
      <x:c r="F1517" s="6" t="str">
        <x:v>dev</x:v>
      </x:c>
      <x:c r="G1517" s="6" t="str">
        <x:v>swiss-5462</x:v>
      </x:c>
      <x:c r="H1517" s="6" t="str">
        <x:v>swiss-5462-Q07</x:v>
      </x:c>
      <x:c r="I1517" s="6" t="str">
        <x:v>Route planning</x:v>
      </x:c>
      <x:c r="J1517" s="6" t="str">
        <x:v>Warm-up</x:v>
      </x:c>
      <x:c r="K1517" s="6" t="str">
        <x:v>Ordered space path and directions, plus total route-model distance in metres.</x:v>
      </x:c>
      <x:c r="L1517" s="6" t="str">
        <x:v>T02, T05, T13</x:v>
      </x:c>
      <x:c r="M1517" s="6" t="str">
        <x:v>Find a valid route between two rooms, including across floors.</x:v>
      </x:c>
      <x:c r="N1517" s="6" t="str">
        <x:v>{"from_space_id":"swiss-5462-F2-S001","to_space_id":"swiss-5462-F1-S001","optimal_length_m":25.7,"space_path":["swiss-5462-F2-S001","swiss-5462-F2-S006","swiss-5462-F2-S007","swiss-5462-F1-S008","swiss-5462-F1-S005","swiss-5462-F1-S001"],"element_path":["swiss-5462-F2-O0017","swiss-5462-F2-O0017","swiss-5462-F2-O0020","swiss-5462-F2-O0020","swiss-5462-V01","swiss-5462-F1-O0013","swiss-5462-F1-O0013","swiss-5462-F1-O0009","swiss-5462-F1-O0009"]}</x:v>
      </x:c>
      <x:c r="O1517" s="6"/>
      <x:c r="P1517" s="6" t="str">
        <x:v>README routing profile. Stairs and lifts allowed unless stated otherwise.</x:v>
      </x:c>
      <x:c r="Q1517" s="15" t="n">
        <x:v>25.7</x:v>
      </x:c>
      <x:c r="R1517" s="6" t="str">
        <x:v>m</x:v>
      </x:c>
      <x:c r="S1517" s="16"/>
      <x:c r="T1517" s="15"/>
      <x:c r="U1517" s="6"/>
      <x:c r="V1517" s="6"/>
      <x:c r="W1517" s="6" t="str">
        <x:v>Existing find_route and show_route implement the kit routing model.</x:v>
      </x:c>
      <x:c r="X1517" s="6" t="str">
        <x:v>data/dev/swiss-5462/questions_basic.jsonl</x:v>
      </x:c>
      <x:c r="Y1517" s="14" t="n">
        <x:v>7</x:v>
      </x:c>
      <x:c r="Z1517" s="6" t="str">
        <x:v>https://github.com/hagenhaeussler/Industrial-Agents-Hackathon-2026/blob/f41616590b69f3ea0c1cbfb41d6c35edd9ce53df/data/dev/swiss-5462/questions_basic.jsonl#L7</x:v>
      </x:c>
      <x:c r="AA1517" s="6" t="str">
        <x:v>swiss_dwellings</x:v>
      </x:c>
      <x:c r="AB1517" s="6" t="str">
        <x:v>CC-BY-4.0</x:v>
      </x:c>
    </x:row>
    <x:row r="1518" ht="96" customHeight="1">
      <x:c r="A1518" s="14" t="n">
        <x:v>1513</x:v>
      </x:c>
      <x:c r="B1518" s="6" t="str">
        <x:v>route_step_free</x:v>
      </x:c>
      <x:c r="C1518" s="6" t="str">
        <x:v>Is there a step-free route from Generic room 0149A (Ground floor) to Generic room 0163 (Ground floor)?</x:v>
      </x:c>
      <x:c r="D1518" s="6" t="str">
        <x:v>37.77 m
From: Generic room 0149A
To: Generic room 0163
Ordered path (5 spaces): Generic room 0149A → Corridor 0150 → Generic room 0159 → Generic room 0161 → Generic room 0163</x:v>
      </x:c>
      <x:c r="E1518" s="6" t="str">
        <x:v>Reference supplied</x:v>
      </x:c>
      <x:c r="F1518" s="6" t="str">
        <x:v>train</x:v>
      </x:c>
      <x:c r="G1518" s="6" t="str">
        <x:v>osm-way10053349</x:v>
      </x:c>
      <x:c r="H1518" s="6" t="str">
        <x:v>osm-way10053349-Q07</x:v>
      </x:c>
      <x:c r="I1518" s="6" t="str">
        <x:v>Route planning</x:v>
      </x:c>
      <x:c r="J1518" s="6" t="str">
        <x:v>Warm-up</x:v>
      </x:c>
      <x:c r="K1518" s="6" t="str">
        <x:v>Reachable: ordered path and metres. Unreachable: explicitly state no step-free route.</x:v>
      </x:c>
      <x:c r="L1518" s="6" t="str">
        <x:v>T02, T05, T13</x:v>
      </x:c>
      <x:c r="M1518" s="6" t="str">
        <x:v>Check whether a step-free route exists and give it when possible.</x:v>
      </x:c>
      <x:c r="N1518" s="6" t="str">
        <x:v>{"from_space_id":"osm-way10053349-F0-S081","to_space_id":"osm-way10053349-F0-S022","optimal_length_m":37.77,"space_path":["osm-way10053349-F0-S081","osm-way10053349-F0-S046","osm-way10053349-F0-S099","osm-way10053349-F0-S079","osm-way10053349-F0-S022"],"element_path":["osm-way10053349-F0-O0047","osm-way10053349-F0-O0047","osm-way10053349-F0-O0073","osm-way10053349-F0-O0073","osm-way10053349-F0-O0074","osm-way10053349-F0-O0074","osm-way10053349-F0-O0041","osm-way10053349-F0-O0041"]}</x:v>
      </x:c>
      <x:c r="O1518" s="6"/>
      <x:c r="P1518" s="6" t="str">
        <x:v>step_free=true. No stairs or stepped openings. May be unreachable.</x:v>
      </x:c>
      <x:c r="Q1518" s="15" t="n">
        <x:v>37.77</x:v>
      </x:c>
      <x:c r="R1518" s="6" t="str">
        <x:v>m</x:v>
      </x:c>
      <x:c r="S1518" s="16"/>
      <x:c r="T1518" s="15"/>
      <x:c r="U1518" s="6"/>
      <x:c r="V1518" s="6"/>
      <x:c r="W1518" s="6" t="str">
        <x:v>Existing find_route(step_free=true).</x:v>
      </x:c>
      <x:c r="X1518" s="6" t="str">
        <x:v>data/train/osm-way10053349/questions_basic.jsonl</x:v>
      </x:c>
      <x:c r="Y1518" s="14" t="n">
        <x:v>7</x:v>
      </x:c>
      <x:c r="Z1518" s="6" t="str">
        <x:v>https://github.com/hagenhaeussler/Industrial-Agents-Hackathon-2026/blob/f41616590b69f3ea0c1cbfb41d6c35edd9ce53df/data/train/osm-way10053349/questions_basic.jsonl#L7</x:v>
      </x:c>
      <x:c r="AA1518" s="6" t="str">
        <x:v>osm_indoor</x:v>
      </x:c>
      <x:c r="AB1518" s="6" t="str">
        <x:v>ODbL-1.0</x:v>
      </x:c>
    </x:row>
    <x:row r="1519" ht="82" customHeight="1">
      <x:c r="A1519" s="14" t="n">
        <x:v>1514</x:v>
      </x:c>
      <x:c r="B1519" s="6" t="str">
        <x:v>route_step_free</x:v>
      </x:c>
      <x:c r="C1519" s="6" t="str">
        <x:v>Is there a step-free route from Cafe (Ground floor) to Küche (Ground floor)?</x:v>
      </x:c>
      <x:c r="D1519" s="6" t="str">
        <x:v>21.05 m
From: Cafe
To: Küche
Ordered path (4 spaces): Cafe → Haupteingang → outside → Küche</x:v>
      </x:c>
      <x:c r="E1519" s="6" t="str">
        <x:v>Reference supplied</x:v>
      </x:c>
      <x:c r="F1519" s="6" t="str">
        <x:v>train</x:v>
      </x:c>
      <x:c r="G1519" s="6" t="str">
        <x:v>osm-way13507441</x:v>
      </x:c>
      <x:c r="H1519" s="6" t="str">
        <x:v>osm-way13507441-Q08</x:v>
      </x:c>
      <x:c r="I1519" s="6" t="str">
        <x:v>Route planning</x:v>
      </x:c>
      <x:c r="J1519" s="6" t="str">
        <x:v>Warm-up</x:v>
      </x:c>
      <x:c r="K1519" s="6" t="str">
        <x:v>Reachable: ordered path and metres. Unreachable: explicitly state no step-free route.</x:v>
      </x:c>
      <x:c r="L1519" s="6" t="str">
        <x:v>T02, T05, T13</x:v>
      </x:c>
      <x:c r="M1519" s="6" t="str">
        <x:v>Check whether a step-free route exists and give it when possible.</x:v>
      </x:c>
      <x:c r="N1519" s="6" t="str">
        <x:v>{"from_space_id":"osm-way13507441-F0-S015","to_space_id":"osm-way13507441-F0-S005","optimal_length_m":21.05,"space_path":["osm-way13507441-F0-S015","osm-way13507441-F0-S016","outside","osm-way13507441-F0-S005"],"element_path":["osm-way13507441-F0-O0023","osm-way13507441-F0-O0023","osm-way13507441-F0-O0004","osm-way13507441-F0-O0004","osm-way13507441-F0-O0006","osm-way13507441-F0-O0006"]}</x:v>
      </x:c>
      <x:c r="O1519" s="6"/>
      <x:c r="P1519" s="6" t="str">
        <x:v>step_free=true. No stairs or stepped openings. May be unreachable.</x:v>
      </x:c>
      <x:c r="Q1519" s="15" t="n">
        <x:v>21.05</x:v>
      </x:c>
      <x:c r="R1519" s="6" t="str">
        <x:v>m</x:v>
      </x:c>
      <x:c r="S1519" s="16"/>
      <x:c r="T1519" s="15"/>
      <x:c r="U1519" s="6"/>
      <x:c r="V1519" s="6"/>
      <x:c r="W1519" s="6" t="str">
        <x:v>Existing find_route(step_free=true).</x:v>
      </x:c>
      <x:c r="X1519" s="6" t="str">
        <x:v>data/train/osm-way13507441/questions_basic.jsonl</x:v>
      </x:c>
      <x:c r="Y1519" s="14" t="n">
        <x:v>8</x:v>
      </x:c>
      <x:c r="Z1519" s="6" t="str">
        <x:v>https://github.com/hagenhaeussler/Industrial-Agents-Hackathon-2026/blob/f41616590b69f3ea0c1cbfb41d6c35edd9ce53df/data/train/osm-way13507441/questions_basic.jsonl#L8</x:v>
      </x:c>
      <x:c r="AA1519" s="6" t="str">
        <x:v>osm_indoor</x:v>
      </x:c>
      <x:c r="AB1519" s="6" t="str">
        <x:v>ODbL-1.0</x:v>
      </x:c>
    </x:row>
    <x:row r="1520" ht="96" customHeight="1">
      <x:c r="A1520" s="14" t="n">
        <x:v>1515</x:v>
      </x:c>
      <x:c r="B1520" s="6" t="str">
        <x:v>route_step_free</x:v>
      </x:c>
      <x:c r="C1520" s="6" t="str">
        <x:v>Is there a step-free route from Generic room 0.21 (Ground floor) to Generic room 0.36 (Ground floor)?</x:v>
      </x:c>
      <x:c r="D1520" s="6" t="str">
        <x:v>35.2 m
From: Generic room 0.21
To: Generic room 0.36
Ordered path (6 spaces): Generic room 0.21 → Corridor 0.49 → Corridor 0.53 → outside → Corridor 0.35 → Generic room 0.36</x:v>
      </x:c>
      <x:c r="E1520" s="6" t="str">
        <x:v>Reference supplied</x:v>
      </x:c>
      <x:c r="F1520" s="6" t="str">
        <x:v>train</x:v>
      </x:c>
      <x:c r="G1520" s="6" t="str">
        <x:v>osm-way19183732</x:v>
      </x:c>
      <x:c r="H1520" s="6" t="str">
        <x:v>osm-way19183732-Q08</x:v>
      </x:c>
      <x:c r="I1520" s="6" t="str">
        <x:v>Route planning</x:v>
      </x:c>
      <x:c r="J1520" s="6" t="str">
        <x:v>Warm-up</x:v>
      </x:c>
      <x:c r="K1520" s="6" t="str">
        <x:v>Reachable: ordered path and metres. Unreachable: explicitly state no step-free route.</x:v>
      </x:c>
      <x:c r="L1520" s="6" t="str">
        <x:v>T02, T05, T13</x:v>
      </x:c>
      <x:c r="M1520" s="6" t="str">
        <x:v>Check whether a step-free route exists and give it when possible.</x:v>
      </x:c>
      <x:c r="N1520" s="6" t="str">
        <x:v>{"from_space_id":"osm-way19183732-F0-S021","to_space_id":"osm-way19183732-F0-S036","optimal_length_m":35.2,"space_path":["osm-way19183732-F0-S021","osm-way19183732-F0-S049","osm-way19183732-F0-S053","outside","osm-way19183732-F0-S035","osm-way19183732-F0-S036"],"element_path":["osm-way19183732-F0-O0075","osm-way19183732-F0-O0075","osm-way19183732-F0-O0031","osm-way19183732-F0-O0031","osm-way19183732-F0-O0058","osm-way19183732-F0-O0058","osm-way19183732-F0-O0050","osm-way19183732-F0-O0050","osm-way19183732-F0-O0023","osm-way19183732-F0-O0023"]}</x:v>
      </x:c>
      <x:c r="O1520" s="6"/>
      <x:c r="P1520" s="6" t="str">
        <x:v>step_free=true. No stairs or stepped openings. May be unreachable.</x:v>
      </x:c>
      <x:c r="Q1520" s="15" t="n">
        <x:v>35.2</x:v>
      </x:c>
      <x:c r="R1520" s="6" t="str">
        <x:v>m</x:v>
      </x:c>
      <x:c r="S1520" s="16"/>
      <x:c r="T1520" s="15"/>
      <x:c r="U1520" s="6"/>
      <x:c r="V1520" s="6"/>
      <x:c r="W1520" s="6" t="str">
        <x:v>Existing find_route(step_free=true).</x:v>
      </x:c>
      <x:c r="X1520" s="6" t="str">
        <x:v>data/train/osm-way19183732/questions_basic.jsonl</x:v>
      </x:c>
      <x:c r="Y1520" s="14" t="n">
        <x:v>8</x:v>
      </x:c>
      <x:c r="Z1520" s="6" t="str">
        <x:v>https://github.com/hagenhaeussler/Industrial-Agents-Hackathon-2026/blob/f41616590b69f3ea0c1cbfb41d6c35edd9ce53df/data/train/osm-way19183732/questions_basic.jsonl#L8</x:v>
      </x:c>
      <x:c r="AA1520" s="6" t="str">
        <x:v>osm_indoor</x:v>
      </x:c>
      <x:c r="AB1520" s="6" t="str">
        <x:v>ODbL-1.0</x:v>
      </x:c>
    </x:row>
    <x:row r="1521" ht="72" customHeight="1">
      <x:c r="A1521" s="14" t="n">
        <x:v>1516</x:v>
      </x:c>
      <x:c r="B1521" s="6" t="str">
        <x:v>route_step_free</x:v>
      </x:c>
      <x:c r="C1521" s="6" t="str">
        <x:v>Is there a step-free route from Büro (Ground floor) to Toilet 0.04 (Ground floor)?</x:v>
      </x:c>
      <x:c r="D1521" s="6" t="str">
        <x:v>13.22 m
From: Büro
To: Toilet 0.04
Ordered path (3 spaces): Büro → Flur → Toilet 0.04</x:v>
      </x:c>
      <x:c r="E1521" s="6" t="str">
        <x:v>Reference supplied</x:v>
      </x:c>
      <x:c r="F1521" s="6" t="str">
        <x:v>train</x:v>
      </x:c>
      <x:c r="G1521" s="6" t="str">
        <x:v>osm-way37850565</x:v>
      </x:c>
      <x:c r="H1521" s="6" t="str">
        <x:v>osm-way37850565-Q08</x:v>
      </x:c>
      <x:c r="I1521" s="6" t="str">
        <x:v>Route planning</x:v>
      </x:c>
      <x:c r="J1521" s="6" t="str">
        <x:v>Warm-up</x:v>
      </x:c>
      <x:c r="K1521" s="6" t="str">
        <x:v>Reachable: ordered path and metres. Unreachable: explicitly state no step-free route.</x:v>
      </x:c>
      <x:c r="L1521" s="6" t="str">
        <x:v>T02, T05, T13</x:v>
      </x:c>
      <x:c r="M1521" s="6" t="str">
        <x:v>Check whether a step-free route exists and give it when possible.</x:v>
      </x:c>
      <x:c r="N1521" s="6" t="str">
        <x:v>{"from_space_id":"osm-way37850565-F0-S012","to_space_id":"osm-way37850565-F0-S004","optimal_length_m":13.22,"space_path":["osm-way37850565-F0-S012","osm-way37850565-F0-S001","osm-way37850565-F0-S004"],"element_path":["osm-way37850565-F0-O0035","osm-way37850565-F0-O0035","osm-way37850565-F0-O0029","osm-way37850565-F0-O0029"]}</x:v>
      </x:c>
      <x:c r="O1521" s="6"/>
      <x:c r="P1521" s="6" t="str">
        <x:v>step_free=true. No stairs or stepped openings. May be unreachable.</x:v>
      </x:c>
      <x:c r="Q1521" s="15" t="n">
        <x:v>13.22</x:v>
      </x:c>
      <x:c r="R1521" s="6" t="str">
        <x:v>m</x:v>
      </x:c>
      <x:c r="S1521" s="16"/>
      <x:c r="T1521" s="15"/>
      <x:c r="U1521" s="6"/>
      <x:c r="V1521" s="6"/>
      <x:c r="W1521" s="6" t="str">
        <x:v>Existing find_route(step_free=true).</x:v>
      </x:c>
      <x:c r="X1521" s="6" t="str">
        <x:v>data/train/osm-way37850565/questions_basic.jsonl</x:v>
      </x:c>
      <x:c r="Y1521" s="14" t="n">
        <x:v>8</x:v>
      </x:c>
      <x:c r="Z1521" s="6" t="str">
        <x:v>https://github.com/hagenhaeussler/Industrial-Agents-Hackathon-2026/blob/f41616590b69f3ea0c1cbfb41d6c35edd9ce53df/data/train/osm-way37850565/questions_basic.jsonl#L8</x:v>
      </x:c>
      <x:c r="AA1521" s="6" t="str">
        <x:v>osm_indoor</x:v>
      </x:c>
      <x:c r="AB1521" s="6" t="str">
        <x:v>ODbL-1.0</x:v>
      </x:c>
    </x:row>
    <x:row r="1522" ht="96" customHeight="1">
      <x:c r="A1522" s="14" t="n">
        <x:v>1517</x:v>
      </x:c>
      <x:c r="B1522" s="6" t="str">
        <x:v>route_step_free</x:v>
      </x:c>
      <x:c r="C1522" s="6" t="str">
        <x:v>Is there a step-free route from Storage 3.301 (Floor 4) to Library 1.107 (Floor 2)?</x:v>
      </x:c>
      <x:c r="D1522" s="6" t="str">
        <x:v>23.65 m
From: Storage 3.301
To: Library 1.107
Ordered path (5 spaces): Storage 3.301 → Corridor 4.05 → outside → Corridor 2.16 → Library 1.107</x:v>
      </x:c>
      <x:c r="E1522" s="6" t="str">
        <x:v>Reference supplied</x:v>
      </x:c>
      <x:c r="F1522" s="6" t="str">
        <x:v>train</x:v>
      </x:c>
      <x:c r="G1522" s="6" t="str">
        <x:v>osm-way476929995</x:v>
      </x:c>
      <x:c r="H1522" s="6" t="str">
        <x:v>osm-way476929995-Q08</x:v>
      </x:c>
      <x:c r="I1522" s="6" t="str">
        <x:v>Route planning</x:v>
      </x:c>
      <x:c r="J1522" s="6" t="str">
        <x:v>Warm-up</x:v>
      </x:c>
      <x:c r="K1522" s="6" t="str">
        <x:v>Reachable: ordered path and metres. Unreachable: explicitly state no step-free route.</x:v>
      </x:c>
      <x:c r="L1522" s="6" t="str">
        <x:v>T02, T05, T13</x:v>
      </x:c>
      <x:c r="M1522" s="6" t="str">
        <x:v>Check whether a step-free route exists and give it when possible.</x:v>
      </x:c>
      <x:c r="N1522" s="6" t="str">
        <x:v>{"from_space_id":"osm-way476929995-F4-S004","to_space_id":"osm-way476929995-F2-S010","optimal_length_m":23.65,"space_path":["osm-way476929995-F4-S004","osm-way476929995-F4-S005","outside","osm-way476929995-F2-S016","osm-way476929995-F2-S010"],"element_path":["osm-way476929995-F4-O0046","osm-way476929995-F4-O0046","osm-way476929995-F4-O0068","osm-way476929995-F4-O0068","osm-way476929995-F2-O0026","osm-way476929995-F2-O0026","osm-way476929995-F2-O0049","osm-way476929995-F2-O0049"]}</x:v>
      </x:c>
      <x:c r="O1522" s="6"/>
      <x:c r="P1522" s="6" t="str">
        <x:v>step_free=true. No stairs or stepped openings. May be unreachable.</x:v>
      </x:c>
      <x:c r="Q1522" s="15" t="n">
        <x:v>23.65</x:v>
      </x:c>
      <x:c r="R1522" s="6" t="str">
        <x:v>m</x:v>
      </x:c>
      <x:c r="S1522" s="16"/>
      <x:c r="T1522" s="15"/>
      <x:c r="U1522" s="6"/>
      <x:c r="V1522" s="6"/>
      <x:c r="W1522" s="6" t="str">
        <x:v>Existing find_route(step_free=true).</x:v>
      </x:c>
      <x:c r="X1522" s="6" t="str">
        <x:v>data/train/osm-way476929995/questions_basic.jsonl</x:v>
      </x:c>
      <x:c r="Y1522" s="14" t="n">
        <x:v>8</x:v>
      </x:c>
      <x:c r="Z1522" s="6" t="str">
        <x:v>https://github.com/hagenhaeussler/Industrial-Agents-Hackathon-2026/blob/f41616590b69f3ea0c1cbfb41d6c35edd9ce53df/data/train/osm-way476929995/questions_basic.jsonl#L8</x:v>
      </x:c>
      <x:c r="AA1522" s="6" t="str">
        <x:v>osm_indoor</x:v>
      </x:c>
      <x:c r="AB1522" s="6" t="str">
        <x:v>ODbL-1.0</x:v>
      </x:c>
    </x:row>
    <x:row r="1523" ht="124" customHeight="1">
      <x:c r="A1523" s="14" t="n">
        <x:v>1518</x:v>
      </x:c>
      <x:c r="B1523" s="6" t="str">
        <x:v>route_step_free</x:v>
      </x:c>
      <x:c r="C1523" s="6" t="str">
        <x:v>Is there a step-free route from Generic room 3417 (Floor 3) to Generic room -1410 (Basement 1)?</x:v>
      </x:c>
      <x:c r="D1523" s="6" t="str">
        <x:v>88.67 m
From: Generic room 3417
To: Generic room -1410
Ordered path (8 spaces): Generic room 3417 → Corridor 3429 → Stairwell 3432 → outside → Corridor -1431 → Stairwell K416 → Corridor K414 → Generic room -1410</x:v>
      </x:c>
      <x:c r="E1523" s="6" t="str">
        <x:v>Reference supplied</x:v>
      </x:c>
      <x:c r="F1523" s="6" t="str">
        <x:v>train</x:v>
      </x:c>
      <x:c r="G1523" s="6" t="str">
        <x:v>osm-way50299720</x:v>
      </x:c>
      <x:c r="H1523" s="6" t="str">
        <x:v>osm-way50299720-Q06</x:v>
      </x:c>
      <x:c r="I1523" s="6" t="str">
        <x:v>Route planning</x:v>
      </x:c>
      <x:c r="J1523" s="6" t="str">
        <x:v>Warm-up</x:v>
      </x:c>
      <x:c r="K1523" s="6" t="str">
        <x:v>Reachable: ordered path and metres. Unreachable: explicitly state no step-free route.</x:v>
      </x:c>
      <x:c r="L1523" s="6" t="str">
        <x:v>T02, T05, T13</x:v>
      </x:c>
      <x:c r="M1523" s="6" t="str">
        <x:v>Check whether a step-free route exists and give it when possible.</x:v>
      </x:c>
      <x:c r="N1523" s="6" t="str">
        <x:v>{"from_space_id":"osm-way50299720-F3-S029","to_space_id":"osm-way50299720-F-1-S031","optimal_length_m":88.67,"space_path":["osm-way50299720-F3-S029","osm-way50299720-F3-S017","osm-way50299720-F3-S010","outside","osm-way50299720-F-1-S019","osm-way50299720-F-1-S039","osm-way50299720-F-1-S021","osm-way50299720-F-1-S031"],"element_path":["osm-way50299720-F3-O0198","osm-way50299720-F3-O0198","osm-way50299720-F3-O0215","osm-way50299720-F3-O0215","osm-way50299720-F3-O0176","osm-way50299720-F3-O0176","osm-way50299720-F-1-O0072","osm-way50299720-F-1-O0072","osm-way50299720-F-1-O0076","osm-way50299720-F-1-O0076","osm-way50299720-F-1-O0077","osm-way50299720-F-1-O0077","osm-way50299720-F-1-O0061","osm-way50299720-F-1-O0061"]}</x:v>
      </x:c>
      <x:c r="O1523" s="6"/>
      <x:c r="P1523" s="6" t="str">
        <x:v>step_free=true. No stairs or stepped openings. May be unreachable.</x:v>
      </x:c>
      <x:c r="Q1523" s="15" t="n">
        <x:v>88.67</x:v>
      </x:c>
      <x:c r="R1523" s="6" t="str">
        <x:v>m</x:v>
      </x:c>
      <x:c r="S1523" s="16"/>
      <x:c r="T1523" s="15"/>
      <x:c r="U1523" s="6"/>
      <x:c r="V1523" s="6"/>
      <x:c r="W1523" s="6" t="str">
        <x:v>Existing find_route(step_free=true).</x:v>
      </x:c>
      <x:c r="X1523" s="6" t="str">
        <x:v>data/train/osm-way50299720/questions_basic.jsonl</x:v>
      </x:c>
      <x:c r="Y1523" s="14" t="n">
        <x:v>6</x:v>
      </x:c>
      <x:c r="Z1523" s="6" t="str">
        <x:v>https://github.com/hagenhaeussler/Industrial-Agents-Hackathon-2026/blob/f41616590b69f3ea0c1cbfb41d6c35edd9ce53df/data/train/osm-way50299720/questions_basic.jsonl#L6</x:v>
      </x:c>
      <x:c r="AA1523" s="6" t="str">
        <x:v>osm_indoor</x:v>
      </x:c>
      <x:c r="AB1523" s="6" t="str">
        <x:v>ODbL-1.0</x:v>
      </x:c>
    </x:row>
    <x:row r="1524" ht="72" customHeight="1">
      <x:c r="A1524" s="14" t="n">
        <x:v>1519</x:v>
      </x:c>
      <x:c r="B1524" s="6" t="str">
        <x:v>route_step_free</x:v>
      </x:c>
      <x:c r="C1524" s="6" t="str">
        <x:v>Is there a step-free route from Jack Wolfskin (Floor 1) to zero (Ground floor)?</x:v>
      </x:c>
      <x:c r="D1524" s="6" t="str">
        <x:v>16.88 m
From: Jack Wolfskin
To: zero
Ordered path (3 spaces): Jack Wolfskin → outside → zero</x:v>
      </x:c>
      <x:c r="E1524" s="6" t="str">
        <x:v>Reference supplied</x:v>
      </x:c>
      <x:c r="F1524" s="6" t="str">
        <x:v>train</x:v>
      </x:c>
      <x:c r="G1524" s="6" t="str">
        <x:v>osm-way52060470</x:v>
      </x:c>
      <x:c r="H1524" s="6" t="str">
        <x:v>osm-way52060470-Q07</x:v>
      </x:c>
      <x:c r="I1524" s="6" t="str">
        <x:v>Route planning</x:v>
      </x:c>
      <x:c r="J1524" s="6" t="str">
        <x:v>Warm-up</x:v>
      </x:c>
      <x:c r="K1524" s="6" t="str">
        <x:v>Reachable: ordered path and metres. Unreachable: explicitly state no step-free route.</x:v>
      </x:c>
      <x:c r="L1524" s="6" t="str">
        <x:v>T02, T05, T13</x:v>
      </x:c>
      <x:c r="M1524" s="6" t="str">
        <x:v>Check whether a step-free route exists and give it when possible.</x:v>
      </x:c>
      <x:c r="N1524" s="6" t="str">
        <x:v>{"from_space_id":"osm-way52060470-F1-S012","to_space_id":"osm-way52060470-F0-S027","optimal_length_m":16.88,"space_path":["osm-way52060470-F1-S012","outside","osm-way52060470-F0-S027"],"element_path":["osm-way52060470-F1-O0144","osm-way52060470-F1-O0144","osm-way52060470-F0-O0091","osm-way52060470-F0-O0091"]}</x:v>
      </x:c>
      <x:c r="O1524" s="6"/>
      <x:c r="P1524" s="6" t="str">
        <x:v>step_free=true. No stairs or stepped openings. May be unreachable.</x:v>
      </x:c>
      <x:c r="Q1524" s="15" t="n">
        <x:v>16.88</x:v>
      </x:c>
      <x:c r="R1524" s="6" t="str">
        <x:v>m</x:v>
      </x:c>
      <x:c r="S1524" s="16"/>
      <x:c r="T1524" s="15"/>
      <x:c r="U1524" s="6"/>
      <x:c r="V1524" s="6"/>
      <x:c r="W1524" s="6" t="str">
        <x:v>Existing find_route(step_free=true).</x:v>
      </x:c>
      <x:c r="X1524" s="6" t="str">
        <x:v>data/train/osm-way52060470/questions_basic.jsonl</x:v>
      </x:c>
      <x:c r="Y1524" s="14" t="n">
        <x:v>7</x:v>
      </x:c>
      <x:c r="Z1524" s="6" t="str">
        <x:v>https://github.com/hagenhaeussler/Industrial-Agents-Hackathon-2026/blob/f41616590b69f3ea0c1cbfb41d6c35edd9ce53df/data/train/osm-way52060470/questions_basic.jsonl#L7</x:v>
      </x:c>
      <x:c r="AA1524" s="6" t="str">
        <x:v>osm_indoor</x:v>
      </x:c>
      <x:c r="AB1524" s="6" t="str">
        <x:v>ODbL-1.0</x:v>
      </x:c>
    </x:row>
    <x:row r="1525" ht="124" customHeight="1">
      <x:c r="A1525" s="14" t="n">
        <x:v>1520</x:v>
      </x:c>
      <x:c r="B1525" s="6" t="str">
        <x:v>route_step_free</x:v>
      </x:c>
      <x:c r="C1525" s="6" t="str">
        <x:v>Is there a step-free route from Generic room N2184 (Floor 2) to Generic room N2121 (Floor 2)?</x:v>
      </x:c>
      <x:c r="D1525" s="6" t="str">
        <x:v>82.36 m
From: Generic room N2184
To: Generic room N2121
Ordered path (8 spaces): Generic room N2184 → Corridor N2196B → Corridor N2196A → Stairwell N2171 → Lift N2199M → Corridor N2197 → Generic room N2120 → Generic room N2121</x:v>
      </x:c>
      <x:c r="E1525" s="6" t="str">
        <x:v>Reference supplied</x:v>
      </x:c>
      <x:c r="F1525" s="6" t="str">
        <x:v>train</x:v>
      </x:c>
      <x:c r="G1525" s="6" t="str">
        <x:v>osm-way58216509</x:v>
      </x:c>
      <x:c r="H1525" s="6" t="str">
        <x:v>osm-way58216509-Q05</x:v>
      </x:c>
      <x:c r="I1525" s="6" t="str">
        <x:v>Route planning</x:v>
      </x:c>
      <x:c r="J1525" s="6" t="str">
        <x:v>Warm-up</x:v>
      </x:c>
      <x:c r="K1525" s="6" t="str">
        <x:v>Reachable: ordered path and metres. Unreachable: explicitly state no step-free route.</x:v>
      </x:c>
      <x:c r="L1525" s="6" t="str">
        <x:v>T02, T05, T13</x:v>
      </x:c>
      <x:c r="M1525" s="6" t="str">
        <x:v>Check whether a step-free route exists and give it when possible.</x:v>
      </x:c>
      <x:c r="N1525" s="6" t="str">
        <x:v>{"from_space_id":"osm-way58216509-F2-S027","to_space_id":"osm-way58216509-F2-S021","optimal_length_m":82.36,"space_path":["osm-way58216509-F2-S027","osm-way58216509-F2-S082","osm-way58216509-F2-S074","osm-way58216509-F2-S090","osm-way58216509-F2-S050","osm-way58216509-F2-S007","osm-way58216509-F2-S071","osm-way58216509-F2-S021"],"element_path":["osm-way58216509-F2-O0187","osm-way58216509-F2-O0187","osm-way58216509-F2-O0188","osm-way58216509-F2-O0188","osm-way58216509-F2-O0213","osm-way58216509-F2-O0213","osm-way58216509-F2-O0214","osm-way58216509-F2-O0214","osm-way58216509-F2-O0148","osm-way58216509-F2-O0148","osm-way58216509-F2-O0157","osm-way58216509-F2-O0157","osm-way58216509-F2-O0165","osm-way58216509-F2-O0165"]}</x:v>
      </x:c>
      <x:c r="O1525" s="6"/>
      <x:c r="P1525" s="6" t="str">
        <x:v>step_free=true. No stairs or stepped openings. May be unreachable.</x:v>
      </x:c>
      <x:c r="Q1525" s="15" t="n">
        <x:v>82.36</x:v>
      </x:c>
      <x:c r="R1525" s="6" t="str">
        <x:v>m</x:v>
      </x:c>
      <x:c r="S1525" s="16"/>
      <x:c r="T1525" s="15"/>
      <x:c r="U1525" s="6"/>
      <x:c r="V1525" s="6"/>
      <x:c r="W1525" s="6" t="str">
        <x:v>Existing find_route(step_free=true).</x:v>
      </x:c>
      <x:c r="X1525" s="6" t="str">
        <x:v>data/train/osm-way58216509/questions_basic.jsonl</x:v>
      </x:c>
      <x:c r="Y1525" s="14" t="n">
        <x:v>5</x:v>
      </x:c>
      <x:c r="Z1525" s="6" t="str">
        <x:v>https://github.com/hagenhaeussler/Industrial-Agents-Hackathon-2026/blob/f41616590b69f3ea0c1cbfb41d6c35edd9ce53df/data/train/osm-way58216509/questions_basic.jsonl#L5</x:v>
      </x:c>
      <x:c r="AA1525" s="6" t="str">
        <x:v>osm_indoor</x:v>
      </x:c>
      <x:c r="AB1525" s="6" t="str">
        <x:v>ODbL-1.0</x:v>
      </x:c>
    </x:row>
    <x:row r="1526" ht="152" customHeight="1">
      <x:c r="A1526" s="14" t="n">
        <x:v>1521</x:v>
      </x:c>
      <x:c r="B1526" s="6" t="str">
        <x:v>route_step_free</x:v>
      </x:c>
      <x:c r="C1526" s="6" t="str">
        <x:v>Is there a step-free route from Generic room -1368A (Basement 1) to Generic room -1353 (Basement 1)?</x:v>
      </x:c>
      <x:c r="D1526" s="6" t="str">
        <x:v>45.28 m
From: Generic room -1368A
To: Generic room -1353
Ordered path (10 spaces): Generic room -1368A → Generic room -1368 → Corridor -1356A → Corridor -1356B → Stairwell -1356C → outside → Generic room -1344 → Corridor -1307 → Corridor -1307A → Generic room -1353</x:v>
      </x:c>
      <x:c r="E1526" s="6" t="str">
        <x:v>Reference supplied</x:v>
      </x:c>
      <x:c r="F1526" s="6" t="str">
        <x:v>train</x:v>
      </x:c>
      <x:c r="G1526" s="6" t="str">
        <x:v>osm-way61408163</x:v>
      </x:c>
      <x:c r="H1526" s="6" t="str">
        <x:v>osm-way61408163-Q07</x:v>
      </x:c>
      <x:c r="I1526" s="6" t="str">
        <x:v>Route planning</x:v>
      </x:c>
      <x:c r="J1526" s="6" t="str">
        <x:v>Warm-up</x:v>
      </x:c>
      <x:c r="K1526" s="6" t="str">
        <x:v>Reachable: ordered path and metres. Unreachable: explicitly state no step-free route.</x:v>
      </x:c>
      <x:c r="L1526" s="6" t="str">
        <x:v>T02, T05, T13</x:v>
      </x:c>
      <x:c r="M1526" s="6" t="str">
        <x:v>Check whether a step-free route exists and give it when possible.</x:v>
      </x:c>
      <x:c r="N1526" s="6" t="str">
        <x:v>{"from_space_id":"osm-way61408163-F-1-S077","to_space_id":"osm-way61408163-F-1-S030","optimal_length_m":45.28,"space_path":["osm-way61408163-F-1-S077","osm-way61408163-F-1-S016","osm-way61408163-F-1-S008","osm-way61408163-F-1-S005","osm-way61408163-F-1-S058","outside","osm-way61408163-F-1-S073","osm-way61408163-F-1-S080","osm-way61408163-F-1-S033","osm-way61408163-F-1-S030"],"element_path":["osm-way61408163-F-1-O0230","osm-way61408163-F-1-O0230","osm-way61408163-F-1-O0178","osm-way61408163-F-1-O0178","osm-way61408163-F-1-O0232","osm-way61408163-F-1-O0232","osm-way61408163-F-1-O0199","osm-way61408163-F-1-O0199","osm-way61408163-F-1-O0200","osm-way61408163-F-1-O0200","osm-way61408163-F-1-O0237","osm-way61408163-F-1-O0237","osm-way61408163-F-1-O0243","osm-way61408163-F-1-O0243","osm-way61408163-F-1-O0241","osm-way61408163-F-1-O0241","osm-way61408163-F-1-O0231","osm-way61408163-F-1-O0231"]}</x:v>
      </x:c>
      <x:c r="O1526" s="6"/>
      <x:c r="P1526" s="6" t="str">
        <x:v>step_free=true. No stairs or stepped openings. May be unreachable.</x:v>
      </x:c>
      <x:c r="Q1526" s="15" t="n">
        <x:v>45.28</x:v>
      </x:c>
      <x:c r="R1526" s="6" t="str">
        <x:v>m</x:v>
      </x:c>
      <x:c r="S1526" s="16"/>
      <x:c r="T1526" s="15"/>
      <x:c r="U1526" s="6"/>
      <x:c r="V1526" s="6"/>
      <x:c r="W1526" s="6" t="str">
        <x:v>Existing find_route(step_free=true).</x:v>
      </x:c>
      <x:c r="X1526" s="6" t="str">
        <x:v>data/train/osm-way61408163/questions_basic.jsonl</x:v>
      </x:c>
      <x:c r="Y1526" s="14" t="n">
        <x:v>7</x:v>
      </x:c>
      <x:c r="Z1526" s="6" t="str">
        <x:v>https://github.com/hagenhaeussler/Industrial-Agents-Hackathon-2026/blob/f41616590b69f3ea0c1cbfb41d6c35edd9ce53df/data/train/osm-way61408163/questions_basic.jsonl#L7</x:v>
      </x:c>
      <x:c r="AA1526" s="6" t="str">
        <x:v>osm_indoor</x:v>
      </x:c>
      <x:c r="AB1526" s="6" t="str">
        <x:v>ODbL-1.0</x:v>
      </x:c>
    </x:row>
    <x:row r="1527" ht="110" customHeight="1">
      <x:c r="A1527" s="14" t="n">
        <x:v>1522</x:v>
      </x:c>
      <x:c r="B1527" s="6" t="str">
        <x:v>route_step_free</x:v>
      </x:c>
      <x:c r="C1527" s="6" t="str">
        <x:v>Is there a step-free route from Meeting room 3.12 (Floor 3) to Office 2.06 (Floor 2)?</x:v>
      </x:c>
      <x:c r="D1527" s="6" t="str">
        <x:v>81.99 m
From: Meeting room 3.12
To: Office 2.06
Ordered path (6 spaces): Meeting room 3.12 → Corridor 3.01 → Lift 1 → Lift 1 → Corridor 2.01 → Office 2.06</x:v>
      </x:c>
      <x:c r="E1527" s="6" t="str">
        <x:v>Reference supplied</x:v>
      </x:c>
      <x:c r="F1527" s="6" t="str">
        <x:v>train</x:v>
      </x:c>
      <x:c r="G1527" s="6" t="str">
        <x:v>proc-campus-train-000</x:v>
      </x:c>
      <x:c r="H1527" s="6" t="str">
        <x:v>proc-campus-train-000-Q08</x:v>
      </x:c>
      <x:c r="I1527" s="6" t="str">
        <x:v>Route planning</x:v>
      </x:c>
      <x:c r="J1527" s="6" t="str">
        <x:v>Warm-up</x:v>
      </x:c>
      <x:c r="K1527" s="6" t="str">
        <x:v>Reachable: ordered path and metres. Unreachable: explicitly state no step-free route.</x:v>
      </x:c>
      <x:c r="L1527" s="6" t="str">
        <x:v>T02, T05, T13</x:v>
      </x:c>
      <x:c r="M1527" s="6" t="str">
        <x:v>Check whether a step-free route exists and give it when possible.</x:v>
      </x:c>
      <x:c r="N1527" s="6" t="str">
        <x:v>{"from_space_id":"proc-campus-train-000-F3-S012","to_space_id":"proc-campus-train-000-F2-S006","optimal_length_m":81.99,"space_path":["proc-campus-train-000-F3-S012","proc-campus-train-000-F3-S001","proc-campus-train-000-F3-S005","proc-campus-train-000-F2-S005","proc-campus-train-000-F2-S001","proc-campus-train-000-F2-S006"],"element_path":["proc-campus-train-000-F3-O0076","proc-campus-train-000-F3-O0076","proc-campus-train-000-F3-O0069","proc-campus-train-000-F3-O0069","proc-campus-train-000-V02","proc-campus-train-000-F2-O0047","proc-campus-train-000-F2-O0047","proc-campus-train-000-F2-O0048","proc-campus-train-000-F2-O0048"]}</x:v>
      </x:c>
      <x:c r="O1527" s="6"/>
      <x:c r="P1527" s="6" t="str">
        <x:v>step_free=true. No stairs or stepped openings. May be unreachable.</x:v>
      </x:c>
      <x:c r="Q1527" s="15" t="n">
        <x:v>81.99</x:v>
      </x:c>
      <x:c r="R1527" s="6" t="str">
        <x:v>m</x:v>
      </x:c>
      <x:c r="S1527" s="16"/>
      <x:c r="T1527" s="15"/>
      <x:c r="U1527" s="6"/>
      <x:c r="V1527" s="6"/>
      <x:c r="W1527" s="6" t="str">
        <x:v>Existing find_route(step_free=true).</x:v>
      </x:c>
      <x:c r="X1527" s="6" t="str">
        <x:v>data/train/proc-campus-train-000/questions_basic.jsonl</x:v>
      </x:c>
      <x:c r="Y1527" s="14" t="n">
        <x:v>8</x:v>
      </x:c>
      <x:c r="Z1527" s="6" t="str">
        <x:v>https://github.com/hagenhaeussler/Industrial-Agents-Hackathon-2026/blob/f41616590b69f3ea0c1cbfb41d6c35edd9ce53df/data/train/proc-campus-train-000/questions_basic.jsonl#L8</x:v>
      </x:c>
      <x:c r="AA1527" s="6" t="str">
        <x:v>procedural</x:v>
      </x:c>
      <x:c r="AB1527" s="6" t="str">
        <x:v>CC0-1.0</x:v>
      </x:c>
    </x:row>
    <x:row r="1528" ht="110" customHeight="1">
      <x:c r="A1528" s="14" t="n">
        <x:v>1523</x:v>
      </x:c>
      <x:c r="B1528" s="6" t="str">
        <x:v>route_step_free</x:v>
      </x:c>
      <x:c r="C1528" s="6" t="str">
        <x:v>Is there a step-free route from Toilet 2.16 (Floor 2) to Office 3.18 (Floor 3)?</x:v>
      </x:c>
      <x:c r="D1528" s="6" t="str">
        <x:v>46.69 m
From: Toilet 2.16
To: Office 3.18
Ordered path (6 spaces): Toilet 2.16 → Corridor 2.01 → Lift 1 → Lift 1 → Corridor 3.01 → Office 3.18</x:v>
      </x:c>
      <x:c r="E1528" s="6" t="str">
        <x:v>Reference supplied</x:v>
      </x:c>
      <x:c r="F1528" s="6" t="str">
        <x:v>train</x:v>
      </x:c>
      <x:c r="G1528" s="6" t="str">
        <x:v>proc-campus-train-001</x:v>
      </x:c>
      <x:c r="H1528" s="6" t="str">
        <x:v>proc-campus-train-001-Q08</x:v>
      </x:c>
      <x:c r="I1528" s="6" t="str">
        <x:v>Route planning</x:v>
      </x:c>
      <x:c r="J1528" s="6" t="str">
        <x:v>Warm-up</x:v>
      </x:c>
      <x:c r="K1528" s="6" t="str">
        <x:v>Reachable: ordered path and metres. Unreachable: explicitly state no step-free route.</x:v>
      </x:c>
      <x:c r="L1528" s="6" t="str">
        <x:v>T02, T05, T13</x:v>
      </x:c>
      <x:c r="M1528" s="6" t="str">
        <x:v>Check whether a step-free route exists and give it when possible.</x:v>
      </x:c>
      <x:c r="N1528" s="6" t="str">
        <x:v>{"from_space_id":"proc-campus-train-001-F2-S016","to_space_id":"proc-campus-train-001-F3-S018","optimal_length_m":46.69,"space_path":["proc-campus-train-001-F2-S016","proc-campus-train-001-F2-S001","proc-campus-train-001-F2-S007","proc-campus-train-001-F3-S007","proc-campus-train-001-F3-S001","proc-campus-train-001-F3-S018"],"element_path":["proc-campus-train-001-F2-O0054","proc-campus-train-001-F2-O0054","proc-campus-train-001-F2-O0045","proc-campus-train-001-F2-O0045","proc-campus-train-001-V02","proc-campus-train-001-F3-O0065","proc-campus-train-001-F3-O0065","proc-campus-train-001-F3-O0076","proc-campus-train-001-F3-O0076"]}</x:v>
      </x:c>
      <x:c r="O1528" s="6"/>
      <x:c r="P1528" s="6" t="str">
        <x:v>step_free=true. No stairs or stepped openings. May be unreachable.</x:v>
      </x:c>
      <x:c r="Q1528" s="15" t="n">
        <x:v>46.69</x:v>
      </x:c>
      <x:c r="R1528" s="6" t="str">
        <x:v>m</x:v>
      </x:c>
      <x:c r="S1528" s="16"/>
      <x:c r="T1528" s="15"/>
      <x:c r="U1528" s="6"/>
      <x:c r="V1528" s="6"/>
      <x:c r="W1528" s="6" t="str">
        <x:v>Existing find_route(step_free=true).</x:v>
      </x:c>
      <x:c r="X1528" s="6" t="str">
        <x:v>data/train/proc-campus-train-001/questions_basic.jsonl</x:v>
      </x:c>
      <x:c r="Y1528" s="14" t="n">
        <x:v>8</x:v>
      </x:c>
      <x:c r="Z1528" s="6" t="str">
        <x:v>https://github.com/hagenhaeussler/Industrial-Agents-Hackathon-2026/blob/f41616590b69f3ea0c1cbfb41d6c35edd9ce53df/data/train/proc-campus-train-001/questions_basic.jsonl#L8</x:v>
      </x:c>
      <x:c r="AA1528" s="6" t="str">
        <x:v>procedural</x:v>
      </x:c>
      <x:c r="AB1528" s="6" t="str">
        <x:v>CC0-1.0</x:v>
      </x:c>
    </x:row>
    <x:row r="1529" ht="124" customHeight="1">
      <x:c r="A1529" s="14" t="n">
        <x:v>1524</x:v>
      </x:c>
      <x:c r="B1529" s="6" t="str">
        <x:v>route_step_free</x:v>
      </x:c>
      <x:c r="C1529" s="6" t="str">
        <x:v>Is there a step-free route from Lab 0.04 (Ground floor) to Meeting room 2.03 (Floor 2)?</x:v>
      </x:c>
      <x:c r="D1529" s="6" t="str">
        <x:v>78.12 m
From: Lab 0.04
To: Meeting room 2.03
Ordered path (7 spaces): Lab 0.04 → Corridor 0.01 → Lift 1 → Lift 1 → Lift 1 → Corridor 2.01 → Meeting room 2.03</x:v>
      </x:c>
      <x:c r="E1529" s="6" t="str">
        <x:v>Reference supplied</x:v>
      </x:c>
      <x:c r="F1529" s="6" t="str">
        <x:v>train</x:v>
      </x:c>
      <x:c r="G1529" s="6" t="str">
        <x:v>proc-campus-train-002</x:v>
      </x:c>
      <x:c r="H1529" s="6" t="str">
        <x:v>proc-campus-train-002-Q08</x:v>
      </x:c>
      <x:c r="I1529" s="6" t="str">
        <x:v>Route planning</x:v>
      </x:c>
      <x:c r="J1529" s="6" t="str">
        <x:v>Warm-up</x:v>
      </x:c>
      <x:c r="K1529" s="6" t="str">
        <x:v>Reachable: ordered path and metres. Unreachable: explicitly state no step-free route.</x:v>
      </x:c>
      <x:c r="L1529" s="6" t="str">
        <x:v>T02, T05, T13</x:v>
      </x:c>
      <x:c r="M1529" s="6" t="str">
        <x:v>Check whether a step-free route exists and give it when possible.</x:v>
      </x:c>
      <x:c r="N1529" s="6" t="str">
        <x:v>{"from_space_id":"proc-campus-train-002-F0-S004","to_space_id":"proc-campus-train-002-F2-S003","optimal_length_m":78.12,"space_path":["proc-campus-train-002-F0-S004","proc-campus-train-002-F0-S001","proc-campus-train-002-F0-S006","proc-campus-train-002-F1-S006","proc-campus-train-002-F2-S006","proc-campus-train-002-F2-S001","proc-campus-train-002-F2-S003"],"element_path":["proc-campus-train-002-F0-O0003","proc-campus-train-002-F0-O0003","proc-campus-train-002-F0-O0005","proc-campus-train-002-F0-O0005","proc-campus-train-002-V02","proc-campus-train-002-V02","proc-campus-train-002-F2-O0038","proc-campus-train-002-F2-O0038","proc-campus-train-002-F2-O0035","proc-campus-train-002-F2-O0035"]}</x:v>
      </x:c>
      <x:c r="O1529" s="6"/>
      <x:c r="P1529" s="6" t="str">
        <x:v>step_free=true. No stairs or stepped openings. May be unreachable.</x:v>
      </x:c>
      <x:c r="Q1529" s="15" t="n">
        <x:v>78.12</x:v>
      </x:c>
      <x:c r="R1529" s="6" t="str">
        <x:v>m</x:v>
      </x:c>
      <x:c r="S1529" s="16"/>
      <x:c r="T1529" s="15"/>
      <x:c r="U1529" s="6"/>
      <x:c r="V1529" s="6"/>
      <x:c r="W1529" s="6" t="str">
        <x:v>Existing find_route(step_free=true).</x:v>
      </x:c>
      <x:c r="X1529" s="6" t="str">
        <x:v>data/train/proc-campus-train-002/questions_basic.jsonl</x:v>
      </x:c>
      <x:c r="Y1529" s="14" t="n">
        <x:v>8</x:v>
      </x:c>
      <x:c r="Z1529" s="6" t="str">
        <x:v>https://github.com/hagenhaeussler/Industrial-Agents-Hackathon-2026/blob/f41616590b69f3ea0c1cbfb41d6c35edd9ce53df/data/train/proc-campus-train-002/questions_basic.jsonl#L8</x:v>
      </x:c>
      <x:c r="AA1529" s="6" t="str">
        <x:v>procedural</x:v>
      </x:c>
      <x:c r="AB1529" s="6" t="str">
        <x:v>CC0-1.0</x:v>
      </x:c>
    </x:row>
    <x:row r="1530" ht="110" customHeight="1">
      <x:c r="A1530" s="14" t="n">
        <x:v>1525</x:v>
      </x:c>
      <x:c r="B1530" s="6" t="str">
        <x:v>route_step_free</x:v>
      </x:c>
      <x:c r="C1530" s="6" t="str">
        <x:v>Is there a step-free route from Meeting room 0.13 (Ground floor) to Makerspace 1.18 (Floor 1)?</x:v>
      </x:c>
      <x:c r="D1530" s="6" t="str">
        <x:v>58.2 m
From: Meeting room 0.13
To: Makerspace 1.18
Ordered path (6 spaces): Meeting room 0.13 → Corridor 0.01 → Lift 1 → Lift 1 → Corridor 1.01 → Makerspace 1.18</x:v>
      </x:c>
      <x:c r="E1530" s="6" t="str">
        <x:v>Reference supplied</x:v>
      </x:c>
      <x:c r="F1530" s="6" t="str">
        <x:v>train</x:v>
      </x:c>
      <x:c r="G1530" s="6" t="str">
        <x:v>proc-campus-train-003</x:v>
      </x:c>
      <x:c r="H1530" s="6" t="str">
        <x:v>proc-campus-train-003-Q08</x:v>
      </x:c>
      <x:c r="I1530" s="6" t="str">
        <x:v>Route planning</x:v>
      </x:c>
      <x:c r="J1530" s="6" t="str">
        <x:v>Warm-up</x:v>
      </x:c>
      <x:c r="K1530" s="6" t="str">
        <x:v>Reachable: ordered path and metres. Unreachable: explicitly state no step-free route.</x:v>
      </x:c>
      <x:c r="L1530" s="6" t="str">
        <x:v>T02, T05, T13</x:v>
      </x:c>
      <x:c r="M1530" s="6" t="str">
        <x:v>Check whether a step-free route exists and give it when possible.</x:v>
      </x:c>
      <x:c r="N1530" s="6" t="str">
        <x:v>{"from_space_id":"proc-campus-train-003-F0-S013","to_space_id":"proc-campus-train-003-F1-S018","optimal_length_m":58.2,"space_path":["proc-campus-train-003-F0-S013","proc-campus-train-003-F0-S001","proc-campus-train-003-F0-S005","proc-campus-train-003-F1-S007","proc-campus-train-003-F1-S001","proc-campus-train-003-F1-S018"],"element_path":["proc-campus-train-003-F0-O0012","proc-campus-train-003-F0-O0012","proc-campus-train-003-F0-O0004","proc-campus-train-003-F0-O0004","proc-campus-train-003-V02","proc-campus-train-003-F1-O0024","proc-campus-train-003-F1-O0024","proc-campus-train-003-F1-O0035","proc-campus-train-003-F1-O0035"]}</x:v>
      </x:c>
      <x:c r="O1530" s="6"/>
      <x:c r="P1530" s="6" t="str">
        <x:v>step_free=true. No stairs or stepped openings. May be unreachable.</x:v>
      </x:c>
      <x:c r="Q1530" s="15" t="n">
        <x:v>58.2</x:v>
      </x:c>
      <x:c r="R1530" s="6" t="str">
        <x:v>m</x:v>
      </x:c>
      <x:c r="S1530" s="16"/>
      <x:c r="T1530" s="15"/>
      <x:c r="U1530" s="6"/>
      <x:c r="V1530" s="6"/>
      <x:c r="W1530" s="6" t="str">
        <x:v>Existing find_route(step_free=true).</x:v>
      </x:c>
      <x:c r="X1530" s="6" t="str">
        <x:v>data/train/proc-campus-train-003/questions_basic.jsonl</x:v>
      </x:c>
      <x:c r="Y1530" s="14" t="n">
        <x:v>8</x:v>
      </x:c>
      <x:c r="Z1530" s="6" t="str">
        <x:v>https://github.com/hagenhaeussler/Industrial-Agents-Hackathon-2026/blob/f41616590b69f3ea0c1cbfb41d6c35edd9ce53df/data/train/proc-campus-train-003/questions_basic.jsonl#L8</x:v>
      </x:c>
      <x:c r="AA1530" s="6" t="str">
        <x:v>procedural</x:v>
      </x:c>
      <x:c r="AB1530" s="6" t="str">
        <x:v>CC0-1.0</x:v>
      </x:c>
    </x:row>
    <x:row r="1531" ht="82" customHeight="1">
      <x:c r="A1531" s="14" t="n">
        <x:v>1526</x:v>
      </x:c>
      <x:c r="B1531" s="6" t="str">
        <x:v>route_step_free</x:v>
      </x:c>
      <x:c r="C1531" s="6" t="str">
        <x:v>Is there a step-free route from Meeting room 2.06 (Floor 2) to Lab 2.25 (Floor 2)?</x:v>
      </x:c>
      <x:c r="D1531" s="6" t="str">
        <x:v>38.77 m
From: Meeting room 2.06
To: Lab 2.25
Ordered path (3 spaces): Meeting room 2.06 → Corridor 2.01 → Lab 2.25</x:v>
      </x:c>
      <x:c r="E1531" s="6" t="str">
        <x:v>Reference supplied</x:v>
      </x:c>
      <x:c r="F1531" s="6" t="str">
        <x:v>train</x:v>
      </x:c>
      <x:c r="G1531" s="6" t="str">
        <x:v>proc-campus-train-004</x:v>
      </x:c>
      <x:c r="H1531" s="6" t="str">
        <x:v>proc-campus-train-004-Q08</x:v>
      </x:c>
      <x:c r="I1531" s="6" t="str">
        <x:v>Route planning</x:v>
      </x:c>
      <x:c r="J1531" s="6" t="str">
        <x:v>Warm-up</x:v>
      </x:c>
      <x:c r="K1531" s="6" t="str">
        <x:v>Reachable: ordered path and metres. Unreachable: explicitly state no step-free route.</x:v>
      </x:c>
      <x:c r="L1531" s="6" t="str">
        <x:v>T02, T05, T13</x:v>
      </x:c>
      <x:c r="M1531" s="6" t="str">
        <x:v>Check whether a step-free route exists and give it when possible.</x:v>
      </x:c>
      <x:c r="N1531" s="6" t="str">
        <x:v>{"from_space_id":"proc-campus-train-004-F2-S006","to_space_id":"proc-campus-train-004-F2-S025","optimal_length_m":38.77,"space_path":["proc-campus-train-004-F2-S006","proc-campus-train-004-F2-S001","proc-campus-train-004-F2-S025"],"element_path":["proc-campus-train-004-F2-O0054","proc-campus-train-004-F2-O0054","proc-campus-train-004-F2-O0073","proc-campus-train-004-F2-O0073"]}</x:v>
      </x:c>
      <x:c r="O1531" s="6"/>
      <x:c r="P1531" s="6" t="str">
        <x:v>step_free=true. No stairs or stepped openings. May be unreachable.</x:v>
      </x:c>
      <x:c r="Q1531" s="15" t="n">
        <x:v>38.77</x:v>
      </x:c>
      <x:c r="R1531" s="6" t="str">
        <x:v>m</x:v>
      </x:c>
      <x:c r="S1531" s="16"/>
      <x:c r="T1531" s="15"/>
      <x:c r="U1531" s="6"/>
      <x:c r="V1531" s="6"/>
      <x:c r="W1531" s="6" t="str">
        <x:v>Existing find_route(step_free=true).</x:v>
      </x:c>
      <x:c r="X1531" s="6" t="str">
        <x:v>data/train/proc-campus-train-004/questions_basic.jsonl</x:v>
      </x:c>
      <x:c r="Y1531" s="14" t="n">
        <x:v>8</x:v>
      </x:c>
      <x:c r="Z1531" s="6" t="str">
        <x:v>https://github.com/hagenhaeussler/Industrial-Agents-Hackathon-2026/blob/f41616590b69f3ea0c1cbfb41d6c35edd9ce53df/data/train/proc-campus-train-004/questions_basic.jsonl#L8</x:v>
      </x:c>
      <x:c r="AA1531" s="6" t="str">
        <x:v>procedural</x:v>
      </x:c>
      <x:c r="AB1531" s="6" t="str">
        <x:v>CC0-1.0</x:v>
      </x:c>
    </x:row>
    <x:row r="1532" ht="110" customHeight="1">
      <x:c r="A1532" s="14" t="n">
        <x:v>1527</x:v>
      </x:c>
      <x:c r="B1532" s="6" t="str">
        <x:v>route_step_free</x:v>
      </x:c>
      <x:c r="C1532" s="6" t="str">
        <x:v>Is there a step-free route from Office 1.12 (Floor 1) to Makerspace 0.08 (Ground floor)?</x:v>
      </x:c>
      <x:c r="D1532" s="6" t="str">
        <x:v>72.83 m
From: Office 1.12
To: Makerspace 0.08
Ordered path (6 spaces): Office 1.12 → Corridor 1.01 → Lift 1 → Lift 1 → Corridor 0.01 → Makerspace 0.08</x:v>
      </x:c>
      <x:c r="E1532" s="6" t="str">
        <x:v>Reference supplied</x:v>
      </x:c>
      <x:c r="F1532" s="6" t="str">
        <x:v>train</x:v>
      </x:c>
      <x:c r="G1532" s="6" t="str">
        <x:v>proc-campus-train-011</x:v>
      </x:c>
      <x:c r="H1532" s="6" t="str">
        <x:v>proc-campus-train-011-Q08</x:v>
      </x:c>
      <x:c r="I1532" s="6" t="str">
        <x:v>Route planning</x:v>
      </x:c>
      <x:c r="J1532" s="6" t="str">
        <x:v>Warm-up</x:v>
      </x:c>
      <x:c r="K1532" s="6" t="str">
        <x:v>Reachable: ordered path and metres. Unreachable: explicitly state no step-free route.</x:v>
      </x:c>
      <x:c r="L1532" s="6" t="str">
        <x:v>T02, T05, T13</x:v>
      </x:c>
      <x:c r="M1532" s="6" t="str">
        <x:v>Check whether a step-free route exists and give it when possible.</x:v>
      </x:c>
      <x:c r="N1532" s="6" t="str">
        <x:v>{"from_space_id":"proc-campus-train-011-F1-S012","to_space_id":"proc-campus-train-011-F0-S008","optimal_length_m":72.83,"space_path":["proc-campus-train-011-F1-S012","proc-campus-train-011-F1-S001","proc-campus-train-011-F1-S007","proc-campus-train-011-F0-S005","proc-campus-train-011-F0-S001","proc-campus-train-011-F0-S008"],"element_path":["proc-campus-train-011-F1-O0031","proc-campus-train-011-F1-O0031","proc-campus-train-011-F1-O0026","proc-campus-train-011-F1-O0026","proc-campus-train-011-V02","proc-campus-train-011-F0-O0004","proc-campus-train-011-F0-O0004","proc-campus-train-011-F0-O0007","proc-campus-train-011-F0-O0007"]}</x:v>
      </x:c>
      <x:c r="O1532" s="6"/>
      <x:c r="P1532" s="6" t="str">
        <x:v>step_free=true. No stairs or stepped openings. May be unreachable.</x:v>
      </x:c>
      <x:c r="Q1532" s="15" t="n">
        <x:v>72.83</x:v>
      </x:c>
      <x:c r="R1532" s="6" t="str">
        <x:v>m</x:v>
      </x:c>
      <x:c r="S1532" s="16"/>
      <x:c r="T1532" s="15"/>
      <x:c r="U1532" s="6"/>
      <x:c r="V1532" s="6"/>
      <x:c r="W1532" s="6" t="str">
        <x:v>Existing find_route(step_free=true).</x:v>
      </x:c>
      <x:c r="X1532" s="6" t="str">
        <x:v>data/train/proc-campus-train-011/questions_basic.jsonl</x:v>
      </x:c>
      <x:c r="Y1532" s="14" t="n">
        <x:v>8</x:v>
      </x:c>
      <x:c r="Z1532" s="6" t="str">
        <x:v>https://github.com/hagenhaeussler/Industrial-Agents-Hackathon-2026/blob/f41616590b69f3ea0c1cbfb41d6c35edd9ce53df/data/train/proc-campus-train-011/questions_basic.jsonl#L8</x:v>
      </x:c>
      <x:c r="AA1532" s="6" t="str">
        <x:v>procedural</x:v>
      </x:c>
      <x:c r="AB1532" s="6" t="str">
        <x:v>CC0-1.0</x:v>
      </x:c>
    </x:row>
    <x:row r="1533" ht="110" customHeight="1">
      <x:c r="A1533" s="14" t="n">
        <x:v>1528</x:v>
      </x:c>
      <x:c r="B1533" s="6" t="str">
        <x:v>route_step_free</x:v>
      </x:c>
      <x:c r="C1533" s="6" t="str">
        <x:v>Is there a step-free route from Lab 1.19 (Floor 1) to Office 2.10 (Floor 2)?</x:v>
      </x:c>
      <x:c r="D1533" s="6" t="str">
        <x:v>72.76 m
From: Lab 1.19
To: Office 2.10
Ordered path (6 spaces): Lab 1.19 → Corridor 1.01 → Lift 1 → Lift 1 → Corridor 2.01 → Office 2.10</x:v>
      </x:c>
      <x:c r="E1533" s="6" t="str">
        <x:v>Reference supplied</x:v>
      </x:c>
      <x:c r="F1533" s="6" t="str">
        <x:v>train</x:v>
      </x:c>
      <x:c r="G1533" s="6" t="str">
        <x:v>proc-campus-train-012</x:v>
      </x:c>
      <x:c r="H1533" s="6" t="str">
        <x:v>proc-campus-train-012-Q08</x:v>
      </x:c>
      <x:c r="I1533" s="6" t="str">
        <x:v>Route planning</x:v>
      </x:c>
      <x:c r="J1533" s="6" t="str">
        <x:v>Warm-up</x:v>
      </x:c>
      <x:c r="K1533" s="6" t="str">
        <x:v>Reachable: ordered path and metres. Unreachable: explicitly state no step-free route.</x:v>
      </x:c>
      <x:c r="L1533" s="6" t="str">
        <x:v>T02, T05, T13</x:v>
      </x:c>
      <x:c r="M1533" s="6" t="str">
        <x:v>Check whether a step-free route exists and give it when possible.</x:v>
      </x:c>
      <x:c r="N1533" s="6" t="str">
        <x:v>{"from_space_id":"proc-campus-train-012-F1-S019","to_space_id":"proc-campus-train-012-F2-S010","optimal_length_m":72.76,"space_path":["proc-campus-train-012-F1-S019","proc-campus-train-012-F1-S001","proc-campus-train-012-F1-S007","proc-campus-train-012-F2-S007","proc-campus-train-012-F2-S001","proc-campus-train-012-F2-S010"],"element_path":["proc-campus-train-012-F1-O0035","proc-campus-train-012-F1-O0035","proc-campus-train-012-F1-O0023","proc-campus-train-012-F1-O0023","proc-campus-train-012-V02","proc-campus-train-012-F2-O0041","proc-campus-train-012-F2-O0041","proc-campus-train-012-F2-O0044","proc-campus-train-012-F2-O0044"]}</x:v>
      </x:c>
      <x:c r="O1533" s="6"/>
      <x:c r="P1533" s="6" t="str">
        <x:v>step_free=true. No stairs or stepped openings. May be unreachable.</x:v>
      </x:c>
      <x:c r="Q1533" s="15" t="n">
        <x:v>72.76</x:v>
      </x:c>
      <x:c r="R1533" s="6" t="str">
        <x:v>m</x:v>
      </x:c>
      <x:c r="S1533" s="16"/>
      <x:c r="T1533" s="15"/>
      <x:c r="U1533" s="6"/>
      <x:c r="V1533" s="6"/>
      <x:c r="W1533" s="6" t="str">
        <x:v>Existing find_route(step_free=true).</x:v>
      </x:c>
      <x:c r="X1533" s="6" t="str">
        <x:v>data/train/proc-campus-train-012/questions_basic.jsonl</x:v>
      </x:c>
      <x:c r="Y1533" s="14" t="n">
        <x:v>8</x:v>
      </x:c>
      <x:c r="Z1533" s="6" t="str">
        <x:v>https://github.com/hagenhaeussler/Industrial-Agents-Hackathon-2026/blob/f41616590b69f3ea0c1cbfb41d6c35edd9ce53df/data/train/proc-campus-train-012/questions_basic.jsonl#L8</x:v>
      </x:c>
      <x:c r="AA1533" s="6" t="str">
        <x:v>procedural</x:v>
      </x:c>
      <x:c r="AB1533" s="6" t="str">
        <x:v>CC0-1.0</x:v>
      </x:c>
    </x:row>
    <x:row r="1534" ht="124" customHeight="1">
      <x:c r="A1534" s="14" t="n">
        <x:v>1529</x:v>
      </x:c>
      <x:c r="B1534" s="6" t="str">
        <x:v>route_step_free</x:v>
      </x:c>
      <x:c r="C1534" s="6" t="str">
        <x:v>Is there a step-free route from Office 0.14 (Ground floor) to Lab 2.21 (Floor 2)?</x:v>
      </x:c>
      <x:c r="D1534" s="6" t="str">
        <x:v>98.44 m
From: Office 0.14
To: Lab 2.21
Ordered path (7 spaces): Office 0.14 → Corridor 0.01 → Lift 1 → Lift 1 → Lift 1 → Corridor 2.01 → Lab 2.21</x:v>
      </x:c>
      <x:c r="E1534" s="6" t="str">
        <x:v>Reference supplied</x:v>
      </x:c>
      <x:c r="F1534" s="6" t="str">
        <x:v>train</x:v>
      </x:c>
      <x:c r="G1534" s="6" t="str">
        <x:v>proc-campus-train-013</x:v>
      </x:c>
      <x:c r="H1534" s="6" t="str">
        <x:v>proc-campus-train-013-Q08</x:v>
      </x:c>
      <x:c r="I1534" s="6" t="str">
        <x:v>Route planning</x:v>
      </x:c>
      <x:c r="J1534" s="6" t="str">
        <x:v>Warm-up</x:v>
      </x:c>
      <x:c r="K1534" s="6" t="str">
        <x:v>Reachable: ordered path and metres. Unreachable: explicitly state no step-free route.</x:v>
      </x:c>
      <x:c r="L1534" s="6" t="str">
        <x:v>T02, T05, T13</x:v>
      </x:c>
      <x:c r="M1534" s="6" t="str">
        <x:v>Check whether a step-free route exists and give it when possible.</x:v>
      </x:c>
      <x:c r="N1534" s="6" t="str">
        <x:v>{"from_space_id":"proc-campus-train-013-F0-S014","to_space_id":"proc-campus-train-013-F2-S021","optimal_length_m":98.44,"space_path":["proc-campus-train-013-F0-S014","proc-campus-train-013-F0-S001","proc-campus-train-013-F0-S005","proc-campus-train-013-F1-S005","proc-campus-train-013-F2-S005","proc-campus-train-013-F2-S001","proc-campus-train-013-F2-S021"],"element_path":["proc-campus-train-013-F0-O0013","proc-campus-train-013-F0-O0013","proc-campus-train-013-F0-O0004","proc-campus-train-013-F0-O0004","proc-campus-train-013-V02","proc-campus-train-013-V02","proc-campus-train-013-F2-O0051","proc-campus-train-013-F2-O0051","proc-campus-train-013-F2-O0067","proc-campus-train-013-F2-O0067"]}</x:v>
      </x:c>
      <x:c r="O1534" s="6"/>
      <x:c r="P1534" s="6" t="str">
        <x:v>step_free=true. No stairs or stepped openings. May be unreachable.</x:v>
      </x:c>
      <x:c r="Q1534" s="15" t="n">
        <x:v>98.44</x:v>
      </x:c>
      <x:c r="R1534" s="6" t="str">
        <x:v>m</x:v>
      </x:c>
      <x:c r="S1534" s="16"/>
      <x:c r="T1534" s="15"/>
      <x:c r="U1534" s="6"/>
      <x:c r="V1534" s="6"/>
      <x:c r="W1534" s="6" t="str">
        <x:v>Existing find_route(step_free=true).</x:v>
      </x:c>
      <x:c r="X1534" s="6" t="str">
        <x:v>data/train/proc-campus-train-013/questions_basic.jsonl</x:v>
      </x:c>
      <x:c r="Y1534" s="14" t="n">
        <x:v>8</x:v>
      </x:c>
      <x:c r="Z1534" s="6" t="str">
        <x:v>https://github.com/hagenhaeussler/Industrial-Agents-Hackathon-2026/blob/f41616590b69f3ea0c1cbfb41d6c35edd9ce53df/data/train/proc-campus-train-013/questions_basic.jsonl#L8</x:v>
      </x:c>
      <x:c r="AA1534" s="6" t="str">
        <x:v>procedural</x:v>
      </x:c>
      <x:c r="AB1534" s="6" t="str">
        <x:v>CC0-1.0</x:v>
      </x:c>
    </x:row>
    <x:row r="1535" ht="110" customHeight="1">
      <x:c r="A1535" s="14" t="n">
        <x:v>1530</x:v>
      </x:c>
      <x:c r="B1535" s="6" t="str">
        <x:v>route_step_free</x:v>
      </x:c>
      <x:c r="C1535" s="6" t="str">
        <x:v>Is there a step-free route from Office 3.15 (Floor 3) to Lab 2.03 (Floor 2)?</x:v>
      </x:c>
      <x:c r="D1535" s="6" t="str">
        <x:v>88.27 m
From: Office 3.15
To: Lab 2.03
Ordered path (6 spaces): Office 3.15 → Corridor 3.01 → Lift 1 → Lift 1 → Corridor 2.01 → Lab 2.03</x:v>
      </x:c>
      <x:c r="E1535" s="6" t="str">
        <x:v>Reference supplied</x:v>
      </x:c>
      <x:c r="F1535" s="6" t="str">
        <x:v>train</x:v>
      </x:c>
      <x:c r="G1535" s="6" t="str">
        <x:v>proc-campus-train-014</x:v>
      </x:c>
      <x:c r="H1535" s="6" t="str">
        <x:v>proc-campus-train-014-Q08</x:v>
      </x:c>
      <x:c r="I1535" s="6" t="str">
        <x:v>Route planning</x:v>
      </x:c>
      <x:c r="J1535" s="6" t="str">
        <x:v>Warm-up</x:v>
      </x:c>
      <x:c r="K1535" s="6" t="str">
        <x:v>Reachable: ordered path and metres. Unreachable: explicitly state no step-free route.</x:v>
      </x:c>
      <x:c r="L1535" s="6" t="str">
        <x:v>T02, T05, T13</x:v>
      </x:c>
      <x:c r="M1535" s="6" t="str">
        <x:v>Check whether a step-free route exists and give it when possible.</x:v>
      </x:c>
      <x:c r="N1535" s="6" t="str">
        <x:v>{"from_space_id":"proc-campus-train-014-F3-S015","to_space_id":"proc-campus-train-014-F2-S003","optimal_length_m":88.27,"space_path":["proc-campus-train-014-F3-S015","proc-campus-train-014-F3-S001","proc-campus-train-014-F3-S009","proc-campus-train-014-F2-S009","proc-campus-train-014-F2-S001","proc-campus-train-014-F2-S003"],"element_path":["proc-campus-train-014-F3-O0088","proc-campus-train-014-F3-O0088","proc-campus-train-014-F3-O0082","proc-campus-train-014-F3-O0082","proc-campus-train-014-V02","proc-campus-train-014-F2-O0057","proc-campus-train-014-F2-O0057","proc-campus-train-014-F2-O0051","proc-campus-train-014-F2-O0051"]}</x:v>
      </x:c>
      <x:c r="O1535" s="6"/>
      <x:c r="P1535" s="6" t="str">
        <x:v>step_free=true. No stairs or stepped openings. May be unreachable.</x:v>
      </x:c>
      <x:c r="Q1535" s="15" t="n">
        <x:v>88.27</x:v>
      </x:c>
      <x:c r="R1535" s="6" t="str">
        <x:v>m</x:v>
      </x:c>
      <x:c r="S1535" s="16"/>
      <x:c r="T1535" s="15"/>
      <x:c r="U1535" s="6"/>
      <x:c r="V1535" s="6"/>
      <x:c r="W1535" s="6" t="str">
        <x:v>Existing find_route(step_free=true).</x:v>
      </x:c>
      <x:c r="X1535" s="6" t="str">
        <x:v>data/train/proc-campus-train-014/questions_basic.jsonl</x:v>
      </x:c>
      <x:c r="Y1535" s="14" t="n">
        <x:v>8</x:v>
      </x:c>
      <x:c r="Z1535" s="6" t="str">
        <x:v>https://github.com/hagenhaeussler/Industrial-Agents-Hackathon-2026/blob/f41616590b69f3ea0c1cbfb41d6c35edd9ce53df/data/train/proc-campus-train-014/questions_basic.jsonl#L8</x:v>
      </x:c>
      <x:c r="AA1535" s="6" t="str">
        <x:v>procedural</x:v>
      </x:c>
      <x:c r="AB1535" s="6" t="str">
        <x:v>CC0-1.0</x:v>
      </x:c>
    </x:row>
    <x:row r="1536" ht="124" customHeight="1">
      <x:c r="A1536" s="14" t="n">
        <x:v>1531</x:v>
      </x:c>
      <x:c r="B1536" s="6" t="str">
        <x:v>route_step_free</x:v>
      </x:c>
      <x:c r="C1536" s="6" t="str">
        <x:v>Is there a step-free route from Seminar room 0.19 (Ground floor) to Office 2.08 (Floor 2)?</x:v>
      </x:c>
      <x:c r="D1536" s="6" t="str">
        <x:v>101.06 m
From: Seminar room 0.19
To: Office 2.08
Ordered path (7 spaces): Seminar room 0.19 → Corridor 0.01 → Lift 1 → Lift 1 → Lift 1 → Corridor 2.01 → Office 2.08</x:v>
      </x:c>
      <x:c r="E1536" s="6" t="str">
        <x:v>Reference supplied</x:v>
      </x:c>
      <x:c r="F1536" s="6" t="str">
        <x:v>train</x:v>
      </x:c>
      <x:c r="G1536" s="6" t="str">
        <x:v>proc-campus-train-016</x:v>
      </x:c>
      <x:c r="H1536" s="6" t="str">
        <x:v>proc-campus-train-016-Q08</x:v>
      </x:c>
      <x:c r="I1536" s="6" t="str">
        <x:v>Route planning</x:v>
      </x:c>
      <x:c r="J1536" s="6" t="str">
        <x:v>Warm-up</x:v>
      </x:c>
      <x:c r="K1536" s="6" t="str">
        <x:v>Reachable: ordered path and metres. Unreachable: explicitly state no step-free route.</x:v>
      </x:c>
      <x:c r="L1536" s="6" t="str">
        <x:v>T02, T05, T13</x:v>
      </x:c>
      <x:c r="M1536" s="6" t="str">
        <x:v>Check whether a step-free route exists and give it when possible.</x:v>
      </x:c>
      <x:c r="N1536" s="6" t="str">
        <x:v>{"from_space_id":"proc-campus-train-016-F0-S019","to_space_id":"proc-campus-train-016-F2-S008","optimal_length_m":101.06,"space_path":["proc-campus-train-016-F0-S019","proc-campus-train-016-F0-S001","proc-campus-train-016-F0-S005","proc-campus-train-016-F1-S005","proc-campus-train-016-F2-S005","proc-campus-train-016-F2-S001","proc-campus-train-016-F2-S008"],"element_path":["proc-campus-train-016-F0-O0018","proc-campus-train-016-F0-O0018","proc-campus-train-016-F0-O0004","proc-campus-train-016-F0-O0004","proc-campus-train-016-V02","proc-campus-train-016-V02","proc-campus-train-016-F2-O0051","proc-campus-train-016-F2-O0051","proc-campus-train-016-F2-O0054","proc-campus-train-016-F2-O0054"]}</x:v>
      </x:c>
      <x:c r="O1536" s="6"/>
      <x:c r="P1536" s="6" t="str">
        <x:v>step_free=true. No stairs or stepped openings. May be unreachable.</x:v>
      </x:c>
      <x:c r="Q1536" s="15" t="n">
        <x:v>101.06</x:v>
      </x:c>
      <x:c r="R1536" s="6" t="str">
        <x:v>m</x:v>
      </x:c>
      <x:c r="S1536" s="16"/>
      <x:c r="T1536" s="15"/>
      <x:c r="U1536" s="6"/>
      <x:c r="V1536" s="6"/>
      <x:c r="W1536" s="6" t="str">
        <x:v>Existing find_route(step_free=true).</x:v>
      </x:c>
      <x:c r="X1536" s="6" t="str">
        <x:v>data/train/proc-campus-train-016/questions_basic.jsonl</x:v>
      </x:c>
      <x:c r="Y1536" s="14" t="n">
        <x:v>8</x:v>
      </x:c>
      <x:c r="Z1536" s="6" t="str">
        <x:v>https://github.com/hagenhaeussler/Industrial-Agents-Hackathon-2026/blob/f41616590b69f3ea0c1cbfb41d6c35edd9ce53df/data/train/proc-campus-train-016/questions_basic.jsonl#L8</x:v>
      </x:c>
      <x:c r="AA1536" s="6" t="str">
        <x:v>procedural</x:v>
      </x:c>
      <x:c r="AB1536" s="6" t="str">
        <x:v>CC0-1.0</x:v>
      </x:c>
    </x:row>
    <x:row r="1537" ht="124" customHeight="1">
      <x:c r="A1537" s="14" t="n">
        <x:v>1532</x:v>
      </x:c>
      <x:c r="B1537" s="6" t="str">
        <x:v>route_step_free</x:v>
      </x:c>
      <x:c r="C1537" s="6" t="str">
        <x:v>Is there a step-free route from Seminar room 2.09 (Floor 2) to Seminar room 0.08 (Ground floor)?</x:v>
      </x:c>
      <x:c r="D1537" s="6" t="str">
        <x:v>90.22 m
From: Seminar room 2.09
To: Seminar room 0.08
Ordered path (7 spaces): Seminar room 2.09 → Corridor 2.01 → Lift 1 → Lift 1 → Lift 1 → Corridor 0.01 → Seminar room 0.08</x:v>
      </x:c>
      <x:c r="E1537" s="6" t="str">
        <x:v>Reference supplied</x:v>
      </x:c>
      <x:c r="F1537" s="6" t="str">
        <x:v>train</x:v>
      </x:c>
      <x:c r="G1537" s="6" t="str">
        <x:v>proc-campus-train-019</x:v>
      </x:c>
      <x:c r="H1537" s="6" t="str">
        <x:v>proc-campus-train-019-Q08</x:v>
      </x:c>
      <x:c r="I1537" s="6" t="str">
        <x:v>Route planning</x:v>
      </x:c>
      <x:c r="J1537" s="6" t="str">
        <x:v>Warm-up</x:v>
      </x:c>
      <x:c r="K1537" s="6" t="str">
        <x:v>Reachable: ordered path and metres. Unreachable: explicitly state no step-free route.</x:v>
      </x:c>
      <x:c r="L1537" s="6" t="str">
        <x:v>T02, T05, T13</x:v>
      </x:c>
      <x:c r="M1537" s="6" t="str">
        <x:v>Check whether a step-free route exists and give it when possible.</x:v>
      </x:c>
      <x:c r="N1537" s="6" t="str">
        <x:v>{"from_space_id":"proc-campus-train-019-F2-S009","to_space_id":"proc-campus-train-019-F0-S008","optimal_length_m":90.22,"space_path":["proc-campus-train-019-F2-S009","proc-campus-train-019-F2-S001","proc-campus-train-019-F2-S007","proc-campus-train-019-F1-S007","proc-campus-train-019-F0-S007","proc-campus-train-019-F0-S001","proc-campus-train-019-F0-S008"],"element_path":["proc-campus-train-019-F2-O0049","proc-campus-train-019-F2-O0049","proc-campus-train-019-F2-O0047","proc-campus-train-019-F2-O0047","proc-campus-train-019-V02","proc-campus-train-019-V02","proc-campus-train-019-F0-O0006","proc-campus-train-019-F0-O0006","proc-campus-train-019-F0-O0007","proc-campus-train-019-F0-O0007"]}</x:v>
      </x:c>
      <x:c r="O1537" s="6"/>
      <x:c r="P1537" s="6" t="str">
        <x:v>step_free=true. No stairs or stepped openings. May be unreachable.</x:v>
      </x:c>
      <x:c r="Q1537" s="15" t="n">
        <x:v>90.22</x:v>
      </x:c>
      <x:c r="R1537" s="6" t="str">
        <x:v>m</x:v>
      </x:c>
      <x:c r="S1537" s="16"/>
      <x:c r="T1537" s="15"/>
      <x:c r="U1537" s="6"/>
      <x:c r="V1537" s="6"/>
      <x:c r="W1537" s="6" t="str">
        <x:v>Existing find_route(step_free=true).</x:v>
      </x:c>
      <x:c r="X1537" s="6" t="str">
        <x:v>data/train/proc-campus-train-019/questions_basic.jsonl</x:v>
      </x:c>
      <x:c r="Y1537" s="14" t="n">
        <x:v>8</x:v>
      </x:c>
      <x:c r="Z1537" s="6" t="str">
        <x:v>https://github.com/hagenhaeussler/Industrial-Agents-Hackathon-2026/blob/f41616590b69f3ea0c1cbfb41d6c35edd9ce53df/data/train/proc-campus-train-019/questions_basic.jsonl#L8</x:v>
      </x:c>
      <x:c r="AA1537" s="6" t="str">
        <x:v>procedural</x:v>
      </x:c>
      <x:c r="AB1537" s="6" t="str">
        <x:v>CC0-1.0</x:v>
      </x:c>
    </x:row>
    <x:row r="1538" ht="82" customHeight="1">
      <x:c r="A1538" s="14" t="n">
        <x:v>1533</x:v>
      </x:c>
      <x:c r="B1538" s="6" t="str">
        <x:v>route_step_free</x:v>
      </x:c>
      <x:c r="C1538" s="6" t="str">
        <x:v>Is there a step-free route from Office 1.21 (Floor 1) to Meeting room 1.12 (Floor 1)?</x:v>
      </x:c>
      <x:c r="D1538" s="6" t="str">
        <x:v>41.65 m
From: Office 1.21
To: Meeting room 1.12
Ordered path (3 spaces): Office 1.21 → Office corridor 1.01 → Meeting room 1.12</x:v>
      </x:c>
      <x:c r="E1538" s="6" t="str">
        <x:v>Reference supplied</x:v>
      </x:c>
      <x:c r="F1538" s="6" t="str">
        <x:v>train</x:v>
      </x:c>
      <x:c r="G1538" s="6" t="str">
        <x:v>proc-factory-train-005</x:v>
      </x:c>
      <x:c r="H1538" s="6" t="str">
        <x:v>proc-factory-train-005-Q08</x:v>
      </x:c>
      <x:c r="I1538" s="6" t="str">
        <x:v>Route planning</x:v>
      </x:c>
      <x:c r="J1538" s="6" t="str">
        <x:v>Warm-up</x:v>
      </x:c>
      <x:c r="K1538" s="6" t="str">
        <x:v>Reachable: ordered path and metres. Unreachable: explicitly state no step-free route.</x:v>
      </x:c>
      <x:c r="L1538" s="6" t="str">
        <x:v>T02, T05, T13</x:v>
      </x:c>
      <x:c r="M1538" s="6" t="str">
        <x:v>Check whether a step-free route exists and give it when possible.</x:v>
      </x:c>
      <x:c r="N1538" s="6" t="str">
        <x:v>{"from_space_id":"proc-factory-train-005-F1-S021","to_space_id":"proc-factory-train-005-F1-S012","optimal_length_m":41.65,"space_path":["proc-factory-train-005-F1-S021","proc-factory-train-005-F1-S001","proc-factory-train-005-F1-S012"],"element_path":["proc-factory-train-005-F1-O0056","proc-factory-train-005-F1-O0056","proc-factory-train-005-F1-O0047","proc-factory-train-005-F1-O0047"]}</x:v>
      </x:c>
      <x:c r="O1538" s="6"/>
      <x:c r="P1538" s="6" t="str">
        <x:v>step_free=true. No stairs or stepped openings. May be unreachable.</x:v>
      </x:c>
      <x:c r="Q1538" s="15" t="n">
        <x:v>41.65</x:v>
      </x:c>
      <x:c r="R1538" s="6" t="str">
        <x:v>m</x:v>
      </x:c>
      <x:c r="S1538" s="16"/>
      <x:c r="T1538" s="15"/>
      <x:c r="U1538" s="6"/>
      <x:c r="V1538" s="6"/>
      <x:c r="W1538" s="6" t="str">
        <x:v>Existing find_route(step_free=true).</x:v>
      </x:c>
      <x:c r="X1538" s="6" t="str">
        <x:v>data/train/proc-factory-train-005/questions_basic.jsonl</x:v>
      </x:c>
      <x:c r="Y1538" s="14" t="n">
        <x:v>8</x:v>
      </x:c>
      <x:c r="Z1538" s="6" t="str">
        <x:v>https://github.com/hagenhaeussler/Industrial-Agents-Hackathon-2026/blob/f41616590b69f3ea0c1cbfb41d6c35edd9ce53df/data/train/proc-factory-train-005/questions_basic.jsonl#L8</x:v>
      </x:c>
      <x:c r="AA1538" s="6" t="str">
        <x:v>procedural</x:v>
      </x:c>
      <x:c r="AB1538" s="6" t="str">
        <x:v>CC0-1.0</x:v>
      </x:c>
    </x:row>
    <x:row r="1539" ht="124" customHeight="1">
      <x:c r="A1539" s="14" t="n">
        <x:v>1534</x:v>
      </x:c>
      <x:c r="B1539" s="6" t="str">
        <x:v>route_step_free</x:v>
      </x:c>
      <x:c r="C1539" s="6" t="str">
        <x:v>Is there a step-free route from Office 1.06 (Floor 1) to Toilet 0.20 (Ground floor)?</x:v>
      </x:c>
      <x:c r="D1539" s="6" t="str">
        <x:v>58.45 m
From: Office 1.06
To: Toilet 0.20
Ordered path (6 spaces): Office 1.06 → Office corridor 1.01 → Lift 1.03 → Lift 0.12 → Office corridor 0.10 → Toilet 0.20</x:v>
      </x:c>
      <x:c r="E1539" s="6" t="str">
        <x:v>Reference supplied</x:v>
      </x:c>
      <x:c r="F1539" s="6" t="str">
        <x:v>train</x:v>
      </x:c>
      <x:c r="G1539" s="6" t="str">
        <x:v>proc-factory-train-006</x:v>
      </x:c>
      <x:c r="H1539" s="6" t="str">
        <x:v>proc-factory-train-006-Q08</x:v>
      </x:c>
      <x:c r="I1539" s="6" t="str">
        <x:v>Route planning</x:v>
      </x:c>
      <x:c r="J1539" s="6" t="str">
        <x:v>Warm-up</x:v>
      </x:c>
      <x:c r="K1539" s="6" t="str">
        <x:v>Reachable: ordered path and metres. Unreachable: explicitly state no step-free route.</x:v>
      </x:c>
      <x:c r="L1539" s="6" t="str">
        <x:v>T02, T05, T13</x:v>
      </x:c>
      <x:c r="M1539" s="6" t="str">
        <x:v>Check whether a step-free route exists and give it when possible.</x:v>
      </x:c>
      <x:c r="N1539" s="6" t="str">
        <x:v>{"from_space_id":"proc-factory-train-006-F1-S006","to_space_id":"proc-factory-train-006-F0-S020","optimal_length_m":58.45,"space_path":["proc-factory-train-006-F1-S006","proc-factory-train-006-F1-S001","proc-factory-train-006-F1-S003","proc-factory-train-006-F0-S012","proc-factory-train-006-F0-S010","proc-factory-train-006-F0-S020"],"element_path":["proc-factory-train-006-F1-O0035","proc-factory-train-006-F1-O0035","proc-factory-train-006-F1-O0032","proc-factory-train-006-F1-O0032","proc-factory-train-006-V02","proc-factory-train-006-F0-O0015","proc-factory-train-006-F0-O0015","proc-factory-train-006-F0-O0025","proc-factory-train-006-F0-O0025"]}</x:v>
      </x:c>
      <x:c r="O1539" s="6"/>
      <x:c r="P1539" s="6" t="str">
        <x:v>step_free=true. No stairs or stepped openings. May be unreachable.</x:v>
      </x:c>
      <x:c r="Q1539" s="15" t="n">
        <x:v>58.45</x:v>
      </x:c>
      <x:c r="R1539" s="6" t="str">
        <x:v>m</x:v>
      </x:c>
      <x:c r="S1539" s="16"/>
      <x:c r="T1539" s="15"/>
      <x:c r="U1539" s="6"/>
      <x:c r="V1539" s="6"/>
      <x:c r="W1539" s="6" t="str">
        <x:v>Existing find_route(step_free=true).</x:v>
      </x:c>
      <x:c r="X1539" s="6" t="str">
        <x:v>data/train/proc-factory-train-006/questions_basic.jsonl</x:v>
      </x:c>
      <x:c r="Y1539" s="14" t="n">
        <x:v>8</x:v>
      </x:c>
      <x:c r="Z1539" s="6" t="str">
        <x:v>https://github.com/hagenhaeussler/Industrial-Agents-Hackathon-2026/blob/f41616590b69f3ea0c1cbfb41d6c35edd9ce53df/data/train/proc-factory-train-006/questions_basic.jsonl#L8</x:v>
      </x:c>
      <x:c r="AA1539" s="6" t="str">
        <x:v>procedural</x:v>
      </x:c>
      <x:c r="AB1539" s="6" t="str">
        <x:v>CC0-1.0</x:v>
      </x:c>
    </x:row>
    <x:row r="1540" ht="82" customHeight="1">
      <x:c r="A1540" s="14" t="n">
        <x:v>1535</x:v>
      </x:c>
      <x:c r="B1540" s="6" t="str">
        <x:v>route_step_free</x:v>
      </x:c>
      <x:c r="C1540" s="6" t="str">
        <x:v>Is there a step-free route from Meeting room 0.33 (Ground floor) to Meeting room 0.28 (Ground floor)?</x:v>
      </x:c>
      <x:c r="D1540" s="6" t="str">
        <x:v>25.68 m
From: Meeting room 0.33
To: Meeting room 0.28
Ordered path (3 spaces): Meeting room 0.33 → Office corridor 0.13 → Meeting room 0.28</x:v>
      </x:c>
      <x:c r="E1540" s="6" t="str">
        <x:v>Reference supplied</x:v>
      </x:c>
      <x:c r="F1540" s="6" t="str">
        <x:v>train</x:v>
      </x:c>
      <x:c r="G1540" s="6" t="str">
        <x:v>proc-factory-train-007</x:v>
      </x:c>
      <x:c r="H1540" s="6" t="str">
        <x:v>proc-factory-train-007-Q08</x:v>
      </x:c>
      <x:c r="I1540" s="6" t="str">
        <x:v>Route planning</x:v>
      </x:c>
      <x:c r="J1540" s="6" t="str">
        <x:v>Warm-up</x:v>
      </x:c>
      <x:c r="K1540" s="6" t="str">
        <x:v>Reachable: ordered path and metres. Unreachable: explicitly state no step-free route.</x:v>
      </x:c>
      <x:c r="L1540" s="6" t="str">
        <x:v>T02, T05, T13</x:v>
      </x:c>
      <x:c r="M1540" s="6" t="str">
        <x:v>Check whether a step-free route exists and give it when possible.</x:v>
      </x:c>
      <x:c r="N1540" s="6" t="str">
        <x:v>{"from_space_id":"proc-factory-train-007-F0-S033","to_space_id":"proc-factory-train-007-F0-S028","optimal_length_m":25.68,"space_path":["proc-factory-train-007-F0-S033","proc-factory-train-007-F0-S013","proc-factory-train-007-F0-S028"],"element_path":["proc-factory-train-007-F0-O0038","proc-factory-train-007-F0-O0038","proc-factory-train-007-F0-O0033","proc-factory-train-007-F0-O0033"]}</x:v>
      </x:c>
      <x:c r="O1540" s="6"/>
      <x:c r="P1540" s="6" t="str">
        <x:v>step_free=true. No stairs or stepped openings. May be unreachable.</x:v>
      </x:c>
      <x:c r="Q1540" s="15" t="n">
        <x:v>25.68</x:v>
      </x:c>
      <x:c r="R1540" s="6" t="str">
        <x:v>m</x:v>
      </x:c>
      <x:c r="S1540" s="16"/>
      <x:c r="T1540" s="15"/>
      <x:c r="U1540" s="6"/>
      <x:c r="V1540" s="6"/>
      <x:c r="W1540" s="6" t="str">
        <x:v>Existing find_route(step_free=true).</x:v>
      </x:c>
      <x:c r="X1540" s="6" t="str">
        <x:v>data/train/proc-factory-train-007/questions_basic.jsonl</x:v>
      </x:c>
      <x:c r="Y1540" s="14" t="n">
        <x:v>8</x:v>
      </x:c>
      <x:c r="Z1540" s="6" t="str">
        <x:v>https://github.com/hagenhaeussler/Industrial-Agents-Hackathon-2026/blob/f41616590b69f3ea0c1cbfb41d6c35edd9ce53df/data/train/proc-factory-train-007/questions_basic.jsonl#L8</x:v>
      </x:c>
      <x:c r="AA1540" s="6" t="str">
        <x:v>procedural</x:v>
      </x:c>
      <x:c r="AB1540" s="6" t="str">
        <x:v>CC0-1.0</x:v>
      </x:c>
    </x:row>
    <x:row r="1541" ht="82" customHeight="1">
      <x:c r="A1541" s="14" t="n">
        <x:v>1536</x:v>
      </x:c>
      <x:c r="B1541" s="6" t="str">
        <x:v>route_step_free</x:v>
      </x:c>
      <x:c r="C1541" s="6" t="str">
        <x:v>Is there a step-free route from Meeting room 1.07 (Floor 1) to Meeting room 1.15 (Floor 1)?</x:v>
      </x:c>
      <x:c r="D1541" s="6" t="str">
        <x:v>19.64 m
From: Meeting room 1.07
To: Meeting room 1.15
Ordered path (3 spaces): Meeting room 1.07 → Office corridor 1.01 → Meeting room 1.15</x:v>
      </x:c>
      <x:c r="E1541" s="6" t="str">
        <x:v>Reference supplied</x:v>
      </x:c>
      <x:c r="F1541" s="6" t="str">
        <x:v>train</x:v>
      </x:c>
      <x:c r="G1541" s="6" t="str">
        <x:v>proc-factory-train-008</x:v>
      </x:c>
      <x:c r="H1541" s="6" t="str">
        <x:v>proc-factory-train-008-Q08</x:v>
      </x:c>
      <x:c r="I1541" s="6" t="str">
        <x:v>Route planning</x:v>
      </x:c>
      <x:c r="J1541" s="6" t="str">
        <x:v>Warm-up</x:v>
      </x:c>
      <x:c r="K1541" s="6" t="str">
        <x:v>Reachable: ordered path and metres. Unreachable: explicitly state no step-free route.</x:v>
      </x:c>
      <x:c r="L1541" s="6" t="str">
        <x:v>T02, T05, T13</x:v>
      </x:c>
      <x:c r="M1541" s="6" t="str">
        <x:v>Check whether a step-free route exists and give it when possible.</x:v>
      </x:c>
      <x:c r="N1541" s="6" t="str">
        <x:v>{"from_space_id":"proc-factory-train-008-F1-S007","to_space_id":"proc-factory-train-008-F1-S015","optimal_length_m":19.64,"space_path":["proc-factory-train-008-F1-S007","proc-factory-train-008-F1-S001","proc-factory-train-008-F1-S015"],"element_path":["proc-factory-train-008-F1-O0036","proc-factory-train-008-F1-O0036","proc-factory-train-008-F1-O0044","proc-factory-train-008-F1-O0044"]}</x:v>
      </x:c>
      <x:c r="O1541" s="6"/>
      <x:c r="P1541" s="6" t="str">
        <x:v>step_free=true. No stairs or stepped openings. May be unreachable.</x:v>
      </x:c>
      <x:c r="Q1541" s="15" t="n">
        <x:v>19.64</x:v>
      </x:c>
      <x:c r="R1541" s="6" t="str">
        <x:v>m</x:v>
      </x:c>
      <x:c r="S1541" s="16"/>
      <x:c r="T1541" s="15"/>
      <x:c r="U1541" s="6"/>
      <x:c r="V1541" s="6"/>
      <x:c r="W1541" s="6" t="str">
        <x:v>Existing find_route(step_free=true).</x:v>
      </x:c>
      <x:c r="X1541" s="6" t="str">
        <x:v>data/train/proc-factory-train-008/questions_basic.jsonl</x:v>
      </x:c>
      <x:c r="Y1541" s="14" t="n">
        <x:v>8</x:v>
      </x:c>
      <x:c r="Z1541" s="6" t="str">
        <x:v>https://github.com/hagenhaeussler/Industrial-Agents-Hackathon-2026/blob/f41616590b69f3ea0c1cbfb41d6c35edd9ce53df/data/train/proc-factory-train-008/questions_basic.jsonl#L8</x:v>
      </x:c>
      <x:c r="AA1541" s="6" t="str">
        <x:v>procedural</x:v>
      </x:c>
      <x:c r="AB1541" s="6" t="str">
        <x:v>CC0-1.0</x:v>
      </x:c>
    </x:row>
    <x:row r="1542" ht="124" customHeight="1">
      <x:c r="A1542" s="14" t="n">
        <x:v>1537</x:v>
      </x:c>
      <x:c r="B1542" s="6" t="str">
        <x:v>route_step_free</x:v>
      </x:c>
      <x:c r="C1542" s="6" t="str">
        <x:v>Is there a step-free route from Office 1.14 (Floor 1) to Office 0.18 (Ground floor)?</x:v>
      </x:c>
      <x:c r="D1542" s="6" t="str">
        <x:v>108.34 m
From: Office 1.14
To: Office 0.18
Ordered path (6 spaces): Office 1.14 → Office corridor 1.01 → Lift 1.03 → Lift 0.15 → Office corridor 0.13 → Office 0.18</x:v>
      </x:c>
      <x:c r="E1542" s="6" t="str">
        <x:v>Reference supplied</x:v>
      </x:c>
      <x:c r="F1542" s="6" t="str">
        <x:v>train</x:v>
      </x:c>
      <x:c r="G1542" s="6" t="str">
        <x:v>proc-factory-train-009</x:v>
      </x:c>
      <x:c r="H1542" s="6" t="str">
        <x:v>proc-factory-train-009-Q08</x:v>
      </x:c>
      <x:c r="I1542" s="6" t="str">
        <x:v>Route planning</x:v>
      </x:c>
      <x:c r="J1542" s="6" t="str">
        <x:v>Warm-up</x:v>
      </x:c>
      <x:c r="K1542" s="6" t="str">
        <x:v>Reachable: ordered path and metres. Unreachable: explicitly state no step-free route.</x:v>
      </x:c>
      <x:c r="L1542" s="6" t="str">
        <x:v>T02, T05, T13</x:v>
      </x:c>
      <x:c r="M1542" s="6" t="str">
        <x:v>Check whether a step-free route exists and give it when possible.</x:v>
      </x:c>
      <x:c r="N1542" s="6" t="str">
        <x:v>{"from_space_id":"proc-factory-train-009-F1-S014","to_space_id":"proc-factory-train-009-F0-S018","optimal_length_m":108.34,"space_path":["proc-factory-train-009-F1-S014","proc-factory-train-009-F1-S001","proc-factory-train-009-F1-S003","proc-factory-train-009-F0-S015","proc-factory-train-009-F0-S013","proc-factory-train-009-F0-S018"],"element_path":["proc-factory-train-009-F1-O0055","proc-factory-train-009-F1-O0055","proc-factory-train-009-F1-O0044","proc-factory-train-009-F1-O0044","proc-factory-train-009-V02","proc-factory-train-009-F0-O0018","proc-factory-train-009-F0-O0018","proc-factory-train-009-F0-O0022","proc-factory-train-009-F0-O0022"]}</x:v>
      </x:c>
      <x:c r="O1542" s="6"/>
      <x:c r="P1542" s="6" t="str">
        <x:v>step_free=true. No stairs or stepped openings. May be unreachable.</x:v>
      </x:c>
      <x:c r="Q1542" s="15" t="n">
        <x:v>108.34</x:v>
      </x:c>
      <x:c r="R1542" s="6" t="str">
        <x:v>m</x:v>
      </x:c>
      <x:c r="S1542" s="16"/>
      <x:c r="T1542" s="15"/>
      <x:c r="U1542" s="6"/>
      <x:c r="V1542" s="6"/>
      <x:c r="W1542" s="6" t="str">
        <x:v>Existing find_route(step_free=true).</x:v>
      </x:c>
      <x:c r="X1542" s="6" t="str">
        <x:v>data/train/proc-factory-train-009/questions_basic.jsonl</x:v>
      </x:c>
      <x:c r="Y1542" s="14" t="n">
        <x:v>8</x:v>
      </x:c>
      <x:c r="Z1542" s="6" t="str">
        <x:v>https://github.com/hagenhaeussler/Industrial-Agents-Hackathon-2026/blob/f41616590b69f3ea0c1cbfb41d6c35edd9ce53df/data/train/proc-factory-train-009/questions_basic.jsonl#L8</x:v>
      </x:c>
      <x:c r="AA1542" s="6" t="str">
        <x:v>procedural</x:v>
      </x:c>
      <x:c r="AB1542" s="6" t="str">
        <x:v>CC0-1.0</x:v>
      </x:c>
    </x:row>
    <x:row r="1543" ht="124" customHeight="1">
      <x:c r="A1543" s="14" t="n">
        <x:v>1538</x:v>
      </x:c>
      <x:c r="B1543" s="6" t="str">
        <x:v>route_step_free</x:v>
      </x:c>
      <x:c r="C1543" s="6" t="str">
        <x:v>Is there a step-free route from Meeting room 1.08 (Floor 1) to Office 0.25 (Ground floor)?</x:v>
      </x:c>
      <x:c r="D1543" s="6" t="str">
        <x:v>59.95 m
From: Meeting room 1.08
To: Office 0.25
Ordered path (6 spaces): Meeting room 1.08 → Office corridor 1.01 → Lift 1.03 → Lift 0.12 → Office corridor 0.10 → Office 0.25</x:v>
      </x:c>
      <x:c r="E1543" s="6" t="str">
        <x:v>Reference supplied</x:v>
      </x:c>
      <x:c r="F1543" s="6" t="str">
        <x:v>train</x:v>
      </x:c>
      <x:c r="G1543" s="6" t="str">
        <x:v>proc-factory-train-010</x:v>
      </x:c>
      <x:c r="H1543" s="6" t="str">
        <x:v>proc-factory-train-010-Q08</x:v>
      </x:c>
      <x:c r="I1543" s="6" t="str">
        <x:v>Route planning</x:v>
      </x:c>
      <x:c r="J1543" s="6" t="str">
        <x:v>Warm-up</x:v>
      </x:c>
      <x:c r="K1543" s="6" t="str">
        <x:v>Reachable: ordered path and metres. Unreachable: explicitly state no step-free route.</x:v>
      </x:c>
      <x:c r="L1543" s="6" t="str">
        <x:v>T02, T05, T13</x:v>
      </x:c>
      <x:c r="M1543" s="6" t="str">
        <x:v>Check whether a step-free route exists and give it when possible.</x:v>
      </x:c>
      <x:c r="N1543" s="6" t="str">
        <x:v>{"from_space_id":"proc-factory-train-010-F1-S008","to_space_id":"proc-factory-train-010-F0-S025","optimal_length_m":59.95,"space_path":["proc-factory-train-010-F1-S008","proc-factory-train-010-F1-S001","proc-factory-train-010-F1-S003","proc-factory-train-010-F0-S012","proc-factory-train-010-F0-S010","proc-factory-train-010-F0-S025"],"element_path":["proc-factory-train-010-F1-O0039","proc-factory-train-010-F1-O0039","proc-factory-train-010-F1-O0034","proc-factory-train-010-F1-O0034","proc-factory-train-010-V02","proc-factory-train-010-F0-O0013","proc-factory-train-010-F0-O0013","proc-factory-train-010-F0-O0028","proc-factory-train-010-F0-O0028"]}</x:v>
      </x:c>
      <x:c r="O1543" s="6"/>
      <x:c r="P1543" s="6" t="str">
        <x:v>step_free=true. No stairs or stepped openings. May be unreachable.</x:v>
      </x:c>
      <x:c r="Q1543" s="15" t="n">
        <x:v>59.95</x:v>
      </x:c>
      <x:c r="R1543" s="6" t="str">
        <x:v>m</x:v>
      </x:c>
      <x:c r="S1543" s="16"/>
      <x:c r="T1543" s="15"/>
      <x:c r="U1543" s="6"/>
      <x:c r="V1543" s="6"/>
      <x:c r="W1543" s="6" t="str">
        <x:v>Existing find_route(step_free=true).</x:v>
      </x:c>
      <x:c r="X1543" s="6" t="str">
        <x:v>data/train/proc-factory-train-010/questions_basic.jsonl</x:v>
      </x:c>
      <x:c r="Y1543" s="14" t="n">
        <x:v>8</x:v>
      </x:c>
      <x:c r="Z1543" s="6" t="str">
        <x:v>https://github.com/hagenhaeussler/Industrial-Agents-Hackathon-2026/blob/f41616590b69f3ea0c1cbfb41d6c35edd9ce53df/data/train/proc-factory-train-010/questions_basic.jsonl#L8</x:v>
      </x:c>
      <x:c r="AA1543" s="6" t="str">
        <x:v>procedural</x:v>
      </x:c>
      <x:c r="AB1543" s="6" t="str">
        <x:v>CC0-1.0</x:v>
      </x:c>
    </x:row>
    <x:row r="1544" ht="82" customHeight="1">
      <x:c r="A1544" s="14" t="n">
        <x:v>1539</x:v>
      </x:c>
      <x:c r="B1544" s="6" t="str">
        <x:v>route_step_free</x:v>
      </x:c>
      <x:c r="C1544" s="6" t="str">
        <x:v>Is there a step-free route from Quality lab 0.23 (Ground floor) to Office 0.28 (Ground floor)?</x:v>
      </x:c>
      <x:c r="D1544" s="6" t="str">
        <x:v>28.21 m
From: Quality lab 0.23
To: Office 0.28
Ordered path (3 spaces): Quality lab 0.23 → Office corridor 0.10 → Office 0.28</x:v>
      </x:c>
      <x:c r="E1544" s="6" t="str">
        <x:v>Reference supplied</x:v>
      </x:c>
      <x:c r="F1544" s="6" t="str">
        <x:v>train</x:v>
      </x:c>
      <x:c r="G1544" s="6" t="str">
        <x:v>proc-factory-train-015</x:v>
      </x:c>
      <x:c r="H1544" s="6" t="str">
        <x:v>proc-factory-train-015-Q08</x:v>
      </x:c>
      <x:c r="I1544" s="6" t="str">
        <x:v>Route planning</x:v>
      </x:c>
      <x:c r="J1544" s="6" t="str">
        <x:v>Warm-up</x:v>
      </x:c>
      <x:c r="K1544" s="6" t="str">
        <x:v>Reachable: ordered path and metres. Unreachable: explicitly state no step-free route.</x:v>
      </x:c>
      <x:c r="L1544" s="6" t="str">
        <x:v>T02, T05, T13</x:v>
      </x:c>
      <x:c r="M1544" s="6" t="str">
        <x:v>Check whether a step-free route exists and give it when possible.</x:v>
      </x:c>
      <x:c r="N1544" s="6" t="str">
        <x:v>{"from_space_id":"proc-factory-train-015-F0-S023","to_space_id":"proc-factory-train-015-F0-S028","optimal_length_m":28.21,"space_path":["proc-factory-train-015-F0-S023","proc-factory-train-015-F0-S010","proc-factory-train-015-F0-S028"],"element_path":["proc-factory-train-015-F0-O0026","proc-factory-train-015-F0-O0026","proc-factory-train-015-F0-O0031","proc-factory-train-015-F0-O0031"]}</x:v>
      </x:c>
      <x:c r="O1544" s="6"/>
      <x:c r="P1544" s="6" t="str">
        <x:v>step_free=true. No stairs or stepped openings. May be unreachable.</x:v>
      </x:c>
      <x:c r="Q1544" s="15" t="n">
        <x:v>28.21</x:v>
      </x:c>
      <x:c r="R1544" s="6" t="str">
        <x:v>m</x:v>
      </x:c>
      <x:c r="S1544" s="16"/>
      <x:c r="T1544" s="15"/>
      <x:c r="U1544" s="6"/>
      <x:c r="V1544" s="6"/>
      <x:c r="W1544" s="6" t="str">
        <x:v>Existing find_route(step_free=true).</x:v>
      </x:c>
      <x:c r="X1544" s="6" t="str">
        <x:v>data/train/proc-factory-train-015/questions_basic.jsonl</x:v>
      </x:c>
      <x:c r="Y1544" s="14" t="n">
        <x:v>8</x:v>
      </x:c>
      <x:c r="Z1544" s="6" t="str">
        <x:v>https://github.com/hagenhaeussler/Industrial-Agents-Hackathon-2026/blob/f41616590b69f3ea0c1cbfb41d6c35edd9ce53df/data/train/proc-factory-train-015/questions_basic.jsonl#L8</x:v>
      </x:c>
      <x:c r="AA1544" s="6" t="str">
        <x:v>procedural</x:v>
      </x:c>
      <x:c r="AB1544" s="6" t="str">
        <x:v>CC0-1.0</x:v>
      </x:c>
    </x:row>
    <x:row r="1545" ht="82" customHeight="1">
      <x:c r="A1545" s="14" t="n">
        <x:v>1540</x:v>
      </x:c>
      <x:c r="B1545" s="6" t="str">
        <x:v>route_step_free</x:v>
      </x:c>
      <x:c r="C1545" s="6" t="str">
        <x:v>Is there a step-free route from Meeting room 1.08 (Floor 1) to Meeting room 1.07 (Floor 1)?</x:v>
      </x:c>
      <x:c r="D1545" s="6" t="str">
        <x:v>21.83 m
From: Meeting room 1.08
To: Meeting room 1.07
Ordered path (3 spaces): Meeting room 1.08 → Office corridor 1.01 → Meeting room 1.07</x:v>
      </x:c>
      <x:c r="E1545" s="6" t="str">
        <x:v>Reference supplied</x:v>
      </x:c>
      <x:c r="F1545" s="6" t="str">
        <x:v>train</x:v>
      </x:c>
      <x:c r="G1545" s="6" t="str">
        <x:v>proc-factory-train-017</x:v>
      </x:c>
      <x:c r="H1545" s="6" t="str">
        <x:v>proc-factory-train-017-Q08</x:v>
      </x:c>
      <x:c r="I1545" s="6" t="str">
        <x:v>Route planning</x:v>
      </x:c>
      <x:c r="J1545" s="6" t="str">
        <x:v>Warm-up</x:v>
      </x:c>
      <x:c r="K1545" s="6" t="str">
        <x:v>Reachable: ordered path and metres. Unreachable: explicitly state no step-free route.</x:v>
      </x:c>
      <x:c r="L1545" s="6" t="str">
        <x:v>T02, T05, T13</x:v>
      </x:c>
      <x:c r="M1545" s="6" t="str">
        <x:v>Check whether a step-free route exists and give it when possible.</x:v>
      </x:c>
      <x:c r="N1545" s="6" t="str">
        <x:v>{"from_space_id":"proc-factory-train-017-F1-S008","to_space_id":"proc-factory-train-017-F1-S007","optimal_length_m":21.83,"space_path":["proc-factory-train-017-F1-S008","proc-factory-train-017-F1-S001","proc-factory-train-017-F1-S007"],"element_path":["proc-factory-train-017-F1-O0034","proc-factory-train-017-F1-O0034","proc-factory-train-017-F1-O0033","proc-factory-train-017-F1-O0033"]}</x:v>
      </x:c>
      <x:c r="O1545" s="6"/>
      <x:c r="P1545" s="6" t="str">
        <x:v>step_free=true. No stairs or stepped openings. May be unreachable.</x:v>
      </x:c>
      <x:c r="Q1545" s="15" t="n">
        <x:v>21.83</x:v>
      </x:c>
      <x:c r="R1545" s="6" t="str">
        <x:v>m</x:v>
      </x:c>
      <x:c r="S1545" s="16"/>
      <x:c r="T1545" s="15"/>
      <x:c r="U1545" s="6"/>
      <x:c r="V1545" s="6"/>
      <x:c r="W1545" s="6" t="str">
        <x:v>Existing find_route(step_free=true).</x:v>
      </x:c>
      <x:c r="X1545" s="6" t="str">
        <x:v>data/train/proc-factory-train-017/questions_basic.jsonl</x:v>
      </x:c>
      <x:c r="Y1545" s="14" t="n">
        <x:v>8</x:v>
      </x:c>
      <x:c r="Z1545" s="6" t="str">
        <x:v>https://github.com/hagenhaeussler/Industrial-Agents-Hackathon-2026/blob/f41616590b69f3ea0c1cbfb41d6c35edd9ce53df/data/train/proc-factory-train-017/questions_basic.jsonl#L8</x:v>
      </x:c>
      <x:c r="AA1545" s="6" t="str">
        <x:v>procedural</x:v>
      </x:c>
      <x:c r="AB1545" s="6" t="str">
        <x:v>CC0-1.0</x:v>
      </x:c>
    </x:row>
    <x:row r="1546" ht="124" customHeight="1">
      <x:c r="A1546" s="14" t="n">
        <x:v>1541</x:v>
      </x:c>
      <x:c r="B1546" s="6" t="str">
        <x:v>route_step_free</x:v>
      </x:c>
      <x:c r="C1546" s="6" t="str">
        <x:v>Is there a step-free route from Office 1.12 (Floor 1) to Kitchen 0.16 (Ground floor)?</x:v>
      </x:c>
      <x:c r="D1546" s="6" t="str">
        <x:v>60.63 m
From: Office 1.12
To: Kitchen 0.16
Ordered path (6 spaces): Office 1.12 → Office corridor 1.01 → Lift 1.03 → Lift 0.12 → Office corridor 0.10 → Kitchen 0.16</x:v>
      </x:c>
      <x:c r="E1546" s="6" t="str">
        <x:v>Reference supplied</x:v>
      </x:c>
      <x:c r="F1546" s="6" t="str">
        <x:v>train</x:v>
      </x:c>
      <x:c r="G1546" s="6" t="str">
        <x:v>proc-factory-train-018</x:v>
      </x:c>
      <x:c r="H1546" s="6" t="str">
        <x:v>proc-factory-train-018-Q08</x:v>
      </x:c>
      <x:c r="I1546" s="6" t="str">
        <x:v>Route planning</x:v>
      </x:c>
      <x:c r="J1546" s="6" t="str">
        <x:v>Warm-up</x:v>
      </x:c>
      <x:c r="K1546" s="6" t="str">
        <x:v>Reachable: ordered path and metres. Unreachable: explicitly state no step-free route.</x:v>
      </x:c>
      <x:c r="L1546" s="6" t="str">
        <x:v>T02, T05, T13</x:v>
      </x:c>
      <x:c r="M1546" s="6" t="str">
        <x:v>Check whether a step-free route exists and give it when possible.</x:v>
      </x:c>
      <x:c r="N1546" s="6" t="str">
        <x:v>{"from_space_id":"proc-factory-train-018-F1-S012","to_space_id":"proc-factory-train-018-F0-S016","optimal_length_m":60.63,"space_path":["proc-factory-train-018-F1-S012","proc-factory-train-018-F1-S001","proc-factory-train-018-F1-S003","proc-factory-train-018-F0-S012","proc-factory-train-018-F0-S010","proc-factory-train-018-F0-S016"],"element_path":["proc-factory-train-018-F1-O0043","proc-factory-train-018-F1-O0043","proc-factory-train-018-F1-O0034","proc-factory-train-018-F1-O0034","proc-factory-train-018-V02","proc-factory-train-018-F0-O0015","proc-factory-train-018-F0-O0015","proc-factory-train-018-F0-O0020","proc-factory-train-018-F0-O0020"]}</x:v>
      </x:c>
      <x:c r="O1546" s="6"/>
      <x:c r="P1546" s="6" t="str">
        <x:v>step_free=true. No stairs or stepped openings. May be unreachable.</x:v>
      </x:c>
      <x:c r="Q1546" s="15" t="n">
        <x:v>60.63</x:v>
      </x:c>
      <x:c r="R1546" s="6" t="str">
        <x:v>m</x:v>
      </x:c>
      <x:c r="S1546" s="16"/>
      <x:c r="T1546" s="15"/>
      <x:c r="U1546" s="6"/>
      <x:c r="V1546" s="6"/>
      <x:c r="W1546" s="6" t="str">
        <x:v>Existing find_route(step_free=true).</x:v>
      </x:c>
      <x:c r="X1546" s="6" t="str">
        <x:v>data/train/proc-factory-train-018/questions_basic.jsonl</x:v>
      </x:c>
      <x:c r="Y1546" s="14" t="n">
        <x:v>8</x:v>
      </x:c>
      <x:c r="Z1546" s="6" t="str">
        <x:v>https://github.com/hagenhaeussler/Industrial-Agents-Hackathon-2026/blob/f41616590b69f3ea0c1cbfb41d6c35edd9ce53df/data/train/proc-factory-train-018/questions_basic.jsonl#L8</x:v>
      </x:c>
      <x:c r="AA1546" s="6" t="str">
        <x:v>procedural</x:v>
      </x:c>
      <x:c r="AB1546" s="6" t="str">
        <x:v>CC0-1.0</x:v>
      </x:c>
    </x:row>
    <x:row r="1547" ht="82" customHeight="1">
      <x:c r="A1547" s="14" t="n">
        <x:v>1542</x:v>
      </x:c>
      <x:c r="B1547" s="6" t="str">
        <x:v>route_step_free</x:v>
      </x:c>
      <x:c r="C1547" s="6" t="str">
        <x:v>Is there a step-free route from Kitchen 0.17 (Ground floor) to Server room 0.16 (Ground floor)?</x:v>
      </x:c>
      <x:c r="D1547" s="6" t="str">
        <x:v>11.67 m
From: Kitchen 0.17
To: Server room 0.16
Ordered path (3 spaces): Kitchen 0.17 → Office corridor 0.10 → Server room 0.16</x:v>
      </x:c>
      <x:c r="E1547" s="6" t="str">
        <x:v>Reference supplied</x:v>
      </x:c>
      <x:c r="F1547" s="6" t="str">
        <x:v>train</x:v>
      </x:c>
      <x:c r="G1547" s="6" t="str">
        <x:v>proc-factory-train-020</x:v>
      </x:c>
      <x:c r="H1547" s="6" t="str">
        <x:v>proc-factory-train-020-Q08</x:v>
      </x:c>
      <x:c r="I1547" s="6" t="str">
        <x:v>Route planning</x:v>
      </x:c>
      <x:c r="J1547" s="6" t="str">
        <x:v>Warm-up</x:v>
      </x:c>
      <x:c r="K1547" s="6" t="str">
        <x:v>Reachable: ordered path and metres. Unreachable: explicitly state no step-free route.</x:v>
      </x:c>
      <x:c r="L1547" s="6" t="str">
        <x:v>T02, T05, T13</x:v>
      </x:c>
      <x:c r="M1547" s="6" t="str">
        <x:v>Check whether a step-free route exists and give it when possible.</x:v>
      </x:c>
      <x:c r="N1547" s="6" t="str">
        <x:v>{"from_space_id":"proc-factory-train-020-F0-S017","to_space_id":"proc-factory-train-020-F0-S016","optimal_length_m":11.67,"space_path":["proc-factory-train-020-F0-S017","proc-factory-train-020-F0-S010","proc-factory-train-020-F0-S016"],"element_path":["proc-factory-train-020-F0-O0022","proc-factory-train-020-F0-O0022","proc-factory-train-020-F0-O0021","proc-factory-train-020-F0-O0021"]}</x:v>
      </x:c>
      <x:c r="O1547" s="6"/>
      <x:c r="P1547" s="6" t="str">
        <x:v>step_free=true. No stairs or stepped openings. May be unreachable.</x:v>
      </x:c>
      <x:c r="Q1547" s="15" t="n">
        <x:v>11.67</x:v>
      </x:c>
      <x:c r="R1547" s="6" t="str">
        <x:v>m</x:v>
      </x:c>
      <x:c r="S1547" s="16"/>
      <x:c r="T1547" s="15"/>
      <x:c r="U1547" s="6"/>
      <x:c r="V1547" s="6"/>
      <x:c r="W1547" s="6" t="str">
        <x:v>Existing find_route(step_free=true).</x:v>
      </x:c>
      <x:c r="X1547" s="6" t="str">
        <x:v>data/train/proc-factory-train-020/questions_basic.jsonl</x:v>
      </x:c>
      <x:c r="Y1547" s="14" t="n">
        <x:v>8</x:v>
      </x:c>
      <x:c r="Z1547" s="6" t="str">
        <x:v>https://github.com/hagenhaeussler/Industrial-Agents-Hackathon-2026/blob/f41616590b69f3ea0c1cbfb41d6c35edd9ce53df/data/train/proc-factory-train-020/questions_basic.jsonl#L8</x:v>
      </x:c>
      <x:c r="AA1547" s="6" t="str">
        <x:v>procedural</x:v>
      </x:c>
      <x:c r="AB1547" s="6" t="str">
        <x:v>CC0-1.0</x:v>
      </x:c>
    </x:row>
    <x:row r="1548" ht="72" customHeight="1">
      <x:c r="A1548" s="14" t="n">
        <x:v>1543</x:v>
      </x:c>
      <x:c r="B1548" s="6" t="str">
        <x:v>route_step_free</x:v>
      </x:c>
      <x:c r="C1548" s="6" t="str">
        <x:v>Is there a step-free route from Bedroom 0.02 (Ground floor) to Bathroom 0.04 (Ground floor)?</x:v>
      </x:c>
      <x:c r="D1548" s="6" t="str">
        <x:v>8.74 m
From: Bedroom 0.02
To: Bathroom 0.04
Ordered path (2 spaces): Bedroom 0.02 → Bathroom 0.04</x:v>
      </x:c>
      <x:c r="E1548" s="6" t="str">
        <x:v>Reference supplied</x:v>
      </x:c>
      <x:c r="F1548" s="6" t="str">
        <x:v>train</x:v>
      </x:c>
      <x:c r="G1548" s="6" t="str">
        <x:v>resplan-10002</x:v>
      </x:c>
      <x:c r="H1548" s="6" t="str">
        <x:v>resplan-10002-Q08</x:v>
      </x:c>
      <x:c r="I1548" s="6" t="str">
        <x:v>Route planning</x:v>
      </x:c>
      <x:c r="J1548" s="6" t="str">
        <x:v>Warm-up</x:v>
      </x:c>
      <x:c r="K1548" s="6" t="str">
        <x:v>Reachable: ordered path and metres. Unreachable: explicitly state no step-free route.</x:v>
      </x:c>
      <x:c r="L1548" s="6" t="str">
        <x:v>T02, T05, T13</x:v>
      </x:c>
      <x:c r="M1548" s="6" t="str">
        <x:v>Check whether a step-free route exists and give it when possible.</x:v>
      </x:c>
      <x:c r="N1548" s="6" t="str">
        <x:v>{"from_space_id":"resplan-10002-F0-S002","to_space_id":"resplan-10002-F0-S004","optimal_length_m":8.74,"space_path":["resplan-10002-F0-S002","resplan-10002-F0-S004"],"element_path":["resplan-10002-F0-O0008","resplan-10002-F0-O0008"]}</x:v>
      </x:c>
      <x:c r="O1548" s="6"/>
      <x:c r="P1548" s="6" t="str">
        <x:v>step_free=true. No stairs or stepped openings. May be unreachable.</x:v>
      </x:c>
      <x:c r="Q1548" s="15" t="n">
        <x:v>8.74</x:v>
      </x:c>
      <x:c r="R1548" s="6" t="str">
        <x:v>m</x:v>
      </x:c>
      <x:c r="S1548" s="16"/>
      <x:c r="T1548" s="15"/>
      <x:c r="U1548" s="6"/>
      <x:c r="V1548" s="6"/>
      <x:c r="W1548" s="6" t="str">
        <x:v>Existing find_route(step_free=true).</x:v>
      </x:c>
      <x:c r="X1548" s="6" t="str">
        <x:v>data/train/resplan-10002/questions_basic.jsonl</x:v>
      </x:c>
      <x:c r="Y1548" s="14" t="n">
        <x:v>8</x:v>
      </x:c>
      <x:c r="Z1548" s="6" t="str">
        <x:v>https://github.com/hagenhaeussler/Industrial-Agents-Hackathon-2026/blob/f41616590b69f3ea0c1cbfb41d6c35edd9ce53df/data/train/resplan-10002/questions_basic.jsonl#L8</x:v>
      </x:c>
      <x:c r="AA1548" s="6" t="str">
        <x:v>resplan</x:v>
      </x:c>
      <x:c r="AB1548" s="6" t="str">
        <x:v>CC-BY-4.0</x:v>
      </x:c>
    </x:row>
    <x:row r="1549" ht="82" customHeight="1">
      <x:c r="A1549" s="14" t="n">
        <x:v>1544</x:v>
      </x:c>
      <x:c r="B1549" s="6" t="str">
        <x:v>route_step_free</x:v>
      </x:c>
      <x:c r="C1549" s="6" t="str">
        <x:v>Is there a step-free route from Bathroom 0.03 (Ground floor) to Kitchen 0.05 (Ground floor)?</x:v>
      </x:c>
      <x:c r="D1549" s="6" t="str">
        <x:v>9.4 m
From: Bathroom 0.03
To: Kitchen 0.05
Ordered path (3 spaces): Bathroom 0.03 → Living room 0.01 → Kitchen 0.05</x:v>
      </x:c>
      <x:c r="E1549" s="6" t="str">
        <x:v>Reference supplied</x:v>
      </x:c>
      <x:c r="F1549" s="6" t="str">
        <x:v>train</x:v>
      </x:c>
      <x:c r="G1549" s="6" t="str">
        <x:v>resplan-10192</x:v>
      </x:c>
      <x:c r="H1549" s="6" t="str">
        <x:v>resplan-10192-Q08</x:v>
      </x:c>
      <x:c r="I1549" s="6" t="str">
        <x:v>Route planning</x:v>
      </x:c>
      <x:c r="J1549" s="6" t="str">
        <x:v>Warm-up</x:v>
      </x:c>
      <x:c r="K1549" s="6" t="str">
        <x:v>Reachable: ordered path and metres. Unreachable: explicitly state no step-free route.</x:v>
      </x:c>
      <x:c r="L1549" s="6" t="str">
        <x:v>T02, T05, T13</x:v>
      </x:c>
      <x:c r="M1549" s="6" t="str">
        <x:v>Check whether a step-free route exists and give it when possible.</x:v>
      </x:c>
      <x:c r="N1549" s="6" t="str">
        <x:v>{"from_space_id":"resplan-10192-F0-S003","to_space_id":"resplan-10192-F0-S005","optimal_length_m":9.4,"space_path":["resplan-10192-F0-S003","resplan-10192-F0-S001","resplan-10192-F0-S005"],"element_path":["resplan-10192-F0-O0002","resplan-10192-F0-O0002","resplan-10192-F0-O0004","resplan-10192-F0-O0004"]}</x:v>
      </x:c>
      <x:c r="O1549" s="6"/>
      <x:c r="P1549" s="6" t="str">
        <x:v>step_free=true. No stairs or stepped openings. May be unreachable.</x:v>
      </x:c>
      <x:c r="Q1549" s="15" t="n">
        <x:v>9.4</x:v>
      </x:c>
      <x:c r="R1549" s="6" t="str">
        <x:v>m</x:v>
      </x:c>
      <x:c r="S1549" s="16"/>
      <x:c r="T1549" s="15"/>
      <x:c r="U1549" s="6"/>
      <x:c r="V1549" s="6"/>
      <x:c r="W1549" s="6" t="str">
        <x:v>Existing find_route(step_free=true).</x:v>
      </x:c>
      <x:c r="X1549" s="6" t="str">
        <x:v>data/train/resplan-10192/questions_basic.jsonl</x:v>
      </x:c>
      <x:c r="Y1549" s="14" t="n">
        <x:v>8</x:v>
      </x:c>
      <x:c r="Z1549" s="6" t="str">
        <x:v>https://github.com/hagenhaeussler/Industrial-Agents-Hackathon-2026/blob/f41616590b69f3ea0c1cbfb41d6c35edd9ce53df/data/train/resplan-10192/questions_basic.jsonl#L8</x:v>
      </x:c>
      <x:c r="AA1549" s="6" t="str">
        <x:v>resplan</x:v>
      </x:c>
      <x:c r="AB1549" s="6" t="str">
        <x:v>CC-BY-4.0</x:v>
      </x:c>
    </x:row>
    <x:row r="1550" ht="82" customHeight="1">
      <x:c r="A1550" s="14" t="n">
        <x:v>1545</x:v>
      </x:c>
      <x:c r="B1550" s="6" t="str">
        <x:v>route_step_free</x:v>
      </x:c>
      <x:c r="C1550" s="6" t="str">
        <x:v>Is there a step-free route from Bathroom 0.05 (Ground floor) to Bedroom 0.02 (Ground floor)?</x:v>
      </x:c>
      <x:c r="D1550" s="6" t="str">
        <x:v>19.71 m
From: Bathroom 0.05
To: Bedroom 0.02
Ordered path (4 spaces): Bathroom 0.05 → Bedroom 0.03 → Living room 0.01 → Bedroom 0.02</x:v>
      </x:c>
      <x:c r="E1550" s="6" t="str">
        <x:v>Reference supplied</x:v>
      </x:c>
      <x:c r="F1550" s="6" t="str">
        <x:v>train</x:v>
      </x:c>
      <x:c r="G1550" s="6" t="str">
        <x:v>resplan-10428</x:v>
      </x:c>
      <x:c r="H1550" s="6" t="str">
        <x:v>resplan-10428-Q08</x:v>
      </x:c>
      <x:c r="I1550" s="6" t="str">
        <x:v>Route planning</x:v>
      </x:c>
      <x:c r="J1550" s="6" t="str">
        <x:v>Warm-up</x:v>
      </x:c>
      <x:c r="K1550" s="6" t="str">
        <x:v>Reachable: ordered path and metres. Unreachable: explicitly state no step-free route.</x:v>
      </x:c>
      <x:c r="L1550" s="6" t="str">
        <x:v>T02, T05, T13</x:v>
      </x:c>
      <x:c r="M1550" s="6" t="str">
        <x:v>Check whether a step-free route exists and give it when possible.</x:v>
      </x:c>
      <x:c r="N1550" s="6" t="str">
        <x:v>{"from_space_id":"resplan-10428-F0-S005","to_space_id":"resplan-10428-F0-S002","optimal_length_m":19.71,"space_path":["resplan-10428-F0-S005","resplan-10428-F0-S003","resplan-10428-F0-S001","resplan-10428-F0-S002"],"element_path":["resplan-10428-F0-O0003","resplan-10428-F0-O0003","resplan-10428-F0-O0002","resplan-10428-F0-O0002","resplan-10428-F0-O0001","resplan-10428-F0-O0001"]}</x:v>
      </x:c>
      <x:c r="O1550" s="6"/>
      <x:c r="P1550" s="6" t="str">
        <x:v>step_free=true. No stairs or stepped openings. May be unreachable.</x:v>
      </x:c>
      <x:c r="Q1550" s="15" t="n">
        <x:v>19.71</x:v>
      </x:c>
      <x:c r="R1550" s="6" t="str">
        <x:v>m</x:v>
      </x:c>
      <x:c r="S1550" s="16"/>
      <x:c r="T1550" s="15"/>
      <x:c r="U1550" s="6"/>
      <x:c r="V1550" s="6"/>
      <x:c r="W1550" s="6" t="str">
        <x:v>Existing find_route(step_free=true).</x:v>
      </x:c>
      <x:c r="X1550" s="6" t="str">
        <x:v>data/train/resplan-10428/questions_basic.jsonl</x:v>
      </x:c>
      <x:c r="Y1550" s="14" t="n">
        <x:v>8</x:v>
      </x:c>
      <x:c r="Z1550" s="6" t="str">
        <x:v>https://github.com/hagenhaeussler/Industrial-Agents-Hackathon-2026/blob/f41616590b69f3ea0c1cbfb41d6c35edd9ce53df/data/train/resplan-10428/questions_basic.jsonl#L8</x:v>
      </x:c>
      <x:c r="AA1550" s="6" t="str">
        <x:v>resplan</x:v>
      </x:c>
      <x:c r="AB1550" s="6" t="str">
        <x:v>CC-BY-4.0</x:v>
      </x:c>
    </x:row>
    <x:row r="1551" ht="72" customHeight="1">
      <x:c r="A1551" s="14" t="n">
        <x:v>1546</x:v>
      </x:c>
      <x:c r="B1551" s="6" t="str">
        <x:v>route_step_free</x:v>
      </x:c>
      <x:c r="C1551" s="6" t="str">
        <x:v>Is there a step-free route from Bathroom 0.05 (Ground floor) to Living room 0.01 (Ground floor)?</x:v>
      </x:c>
      <x:c r="D1551" s="6" t="str">
        <x:v>6.7 m
From: Bathroom 0.05
To: Living room 0.01
Ordered path (2 spaces): Bathroom 0.05 → Living room 0.01</x:v>
      </x:c>
      <x:c r="E1551" s="6" t="str">
        <x:v>Reference supplied</x:v>
      </x:c>
      <x:c r="F1551" s="6" t="str">
        <x:v>train</x:v>
      </x:c>
      <x:c r="G1551" s="6" t="str">
        <x:v>resplan-10504</x:v>
      </x:c>
      <x:c r="H1551" s="6" t="str">
        <x:v>resplan-10504-Q08</x:v>
      </x:c>
      <x:c r="I1551" s="6" t="str">
        <x:v>Route planning</x:v>
      </x:c>
      <x:c r="J1551" s="6" t="str">
        <x:v>Warm-up</x:v>
      </x:c>
      <x:c r="K1551" s="6" t="str">
        <x:v>Reachable: ordered path and metres. Unreachable: explicitly state no step-free route.</x:v>
      </x:c>
      <x:c r="L1551" s="6" t="str">
        <x:v>T02, T05, T13</x:v>
      </x:c>
      <x:c r="M1551" s="6" t="str">
        <x:v>Check whether a step-free route exists and give it when possible.</x:v>
      </x:c>
      <x:c r="N1551" s="6" t="str">
        <x:v>{"from_space_id":"resplan-10504-F0-S005","to_space_id":"resplan-10504-F0-S001","optimal_length_m":6.7,"space_path":["resplan-10504-F0-S005","resplan-10504-F0-S001"],"element_path":["resplan-10504-F0-O0003","resplan-10504-F0-O0003"]}</x:v>
      </x:c>
      <x:c r="O1551" s="6"/>
      <x:c r="P1551" s="6" t="str">
        <x:v>step_free=true. No stairs or stepped openings. May be unreachable.</x:v>
      </x:c>
      <x:c r="Q1551" s="15" t="n">
        <x:v>6.7</x:v>
      </x:c>
      <x:c r="R1551" s="6" t="str">
        <x:v>m</x:v>
      </x:c>
      <x:c r="S1551" s="16"/>
      <x:c r="T1551" s="15"/>
      <x:c r="U1551" s="6"/>
      <x:c r="V1551" s="6"/>
      <x:c r="W1551" s="6" t="str">
        <x:v>Existing find_route(step_free=true).</x:v>
      </x:c>
      <x:c r="X1551" s="6" t="str">
        <x:v>data/train/resplan-10504/questions_basic.jsonl</x:v>
      </x:c>
      <x:c r="Y1551" s="14" t="n">
        <x:v>8</x:v>
      </x:c>
      <x:c r="Z1551" s="6" t="str">
        <x:v>https://github.com/hagenhaeussler/Industrial-Agents-Hackathon-2026/blob/f41616590b69f3ea0c1cbfb41d6c35edd9ce53df/data/train/resplan-10504/questions_basic.jsonl#L8</x:v>
      </x:c>
      <x:c r="AA1551" s="6" t="str">
        <x:v>resplan</x:v>
      </x:c>
      <x:c r="AB1551" s="6" t="str">
        <x:v>CC-BY-4.0</x:v>
      </x:c>
    </x:row>
    <x:row r="1552" ht="82" customHeight="1">
      <x:c r="A1552" s="14" t="n">
        <x:v>1547</x:v>
      </x:c>
      <x:c r="B1552" s="6" t="str">
        <x:v>route_step_free</x:v>
      </x:c>
      <x:c r="C1552" s="6" t="str">
        <x:v>Is there a step-free route from Bathroom 0.05 (Ground floor) to Bathroom 0.04 (Ground floor)?</x:v>
      </x:c>
      <x:c r="D1552" s="6" t="str">
        <x:v>15.94 m
From: Bathroom 0.05
To: Bathroom 0.04
Ordered path (4 spaces): Bathroom 0.05 → Bedroom 0.03 → Living room 0.01 → Bathroom 0.04</x:v>
      </x:c>
      <x:c r="E1552" s="6" t="str">
        <x:v>Reference supplied</x:v>
      </x:c>
      <x:c r="F1552" s="6" t="str">
        <x:v>train</x:v>
      </x:c>
      <x:c r="G1552" s="6" t="str">
        <x:v>resplan-10650</x:v>
      </x:c>
      <x:c r="H1552" s="6" t="str">
        <x:v>resplan-10650-Q08</x:v>
      </x:c>
      <x:c r="I1552" s="6" t="str">
        <x:v>Route planning</x:v>
      </x:c>
      <x:c r="J1552" s="6" t="str">
        <x:v>Warm-up</x:v>
      </x:c>
      <x:c r="K1552" s="6" t="str">
        <x:v>Reachable: ordered path and metres. Unreachable: explicitly state no step-free route.</x:v>
      </x:c>
      <x:c r="L1552" s="6" t="str">
        <x:v>T02, T05, T13</x:v>
      </x:c>
      <x:c r="M1552" s="6" t="str">
        <x:v>Check whether a step-free route exists and give it when possible.</x:v>
      </x:c>
      <x:c r="N1552" s="6" t="str">
        <x:v>{"from_space_id":"resplan-10650-F0-S005","to_space_id":"resplan-10650-F0-S004","optimal_length_m":15.94,"space_path":["resplan-10650-F0-S005","resplan-10650-F0-S003","resplan-10650-F0-S001","resplan-10650-F0-S004"],"element_path":["resplan-10650-F0-O0005","resplan-10650-F0-O0005","resplan-10650-F0-O0004","resplan-10650-F0-O0004","resplan-10650-F0-O0003","resplan-10650-F0-O0003"]}</x:v>
      </x:c>
      <x:c r="O1552" s="6"/>
      <x:c r="P1552" s="6" t="str">
        <x:v>step_free=true. No stairs or stepped openings. May be unreachable.</x:v>
      </x:c>
      <x:c r="Q1552" s="15" t="n">
        <x:v>15.94</x:v>
      </x:c>
      <x:c r="R1552" s="6" t="str">
        <x:v>m</x:v>
      </x:c>
      <x:c r="S1552" s="16"/>
      <x:c r="T1552" s="15"/>
      <x:c r="U1552" s="6"/>
      <x:c r="V1552" s="6"/>
      <x:c r="W1552" s="6" t="str">
        <x:v>Existing find_route(step_free=true).</x:v>
      </x:c>
      <x:c r="X1552" s="6" t="str">
        <x:v>data/train/resplan-10650/questions_basic.jsonl</x:v>
      </x:c>
      <x:c r="Y1552" s="14" t="n">
        <x:v>8</x:v>
      </x:c>
      <x:c r="Z1552" s="6" t="str">
        <x:v>https://github.com/hagenhaeussler/Industrial-Agents-Hackathon-2026/blob/f41616590b69f3ea0c1cbfb41d6c35edd9ce53df/data/train/resplan-10650/questions_basic.jsonl#L8</x:v>
      </x:c>
      <x:c r="AA1552" s="6" t="str">
        <x:v>resplan</x:v>
      </x:c>
      <x:c r="AB1552" s="6" t="str">
        <x:v>CC-BY-4.0</x:v>
      </x:c>
    </x:row>
    <x:row r="1553" ht="72" customHeight="1">
      <x:c r="A1553" s="14" t="n">
        <x:v>1548</x:v>
      </x:c>
      <x:c r="B1553" s="6" t="str">
        <x:v>route_step_free</x:v>
      </x:c>
      <x:c r="C1553" s="6" t="str">
        <x:v>Is there a step-free route from Bedroom 0.02 (Ground floor) to Bedroom 0.03 (Ground floor)?</x:v>
      </x:c>
      <x:c r="D1553" s="6" t="str">
        <x:v>13.95 m
From: Bedroom 0.02
To: Bedroom 0.03
Ordered path (3 spaces): Bedroom 0.02 → Living room 0.01 → Bedroom 0.03</x:v>
      </x:c>
      <x:c r="E1553" s="6" t="str">
        <x:v>Reference supplied</x:v>
      </x:c>
      <x:c r="F1553" s="6" t="str">
        <x:v>train</x:v>
      </x:c>
      <x:c r="G1553" s="6" t="str">
        <x:v>resplan-10882</x:v>
      </x:c>
      <x:c r="H1553" s="6" t="str">
        <x:v>resplan-10882-Q08</x:v>
      </x:c>
      <x:c r="I1553" s="6" t="str">
        <x:v>Route planning</x:v>
      </x:c>
      <x:c r="J1553" s="6" t="str">
        <x:v>Warm-up</x:v>
      </x:c>
      <x:c r="K1553" s="6" t="str">
        <x:v>Reachable: ordered path and metres. Unreachable: explicitly state no step-free route.</x:v>
      </x:c>
      <x:c r="L1553" s="6" t="str">
        <x:v>T02, T05, T13</x:v>
      </x:c>
      <x:c r="M1553" s="6" t="str">
        <x:v>Check whether a step-free route exists and give it when possible.</x:v>
      </x:c>
      <x:c r="N1553" s="6" t="str">
        <x:v>{"from_space_id":"resplan-10882-F0-S002","to_space_id":"resplan-10882-F0-S003","optimal_length_m":13.95,"space_path":["resplan-10882-F0-S002","resplan-10882-F0-S001","resplan-10882-F0-S003"],"element_path":["resplan-10882-F0-O0004","resplan-10882-F0-O0004","resplan-10882-F0-O0005","resplan-10882-F0-O0005"]}</x:v>
      </x:c>
      <x:c r="O1553" s="6"/>
      <x:c r="P1553" s="6" t="str">
        <x:v>step_free=true. No stairs or stepped openings. May be unreachable.</x:v>
      </x:c>
      <x:c r="Q1553" s="15" t="n">
        <x:v>13.95</x:v>
      </x:c>
      <x:c r="R1553" s="6" t="str">
        <x:v>m</x:v>
      </x:c>
      <x:c r="S1553" s="16"/>
      <x:c r="T1553" s="15"/>
      <x:c r="U1553" s="6"/>
      <x:c r="V1553" s="6"/>
      <x:c r="W1553" s="6" t="str">
        <x:v>Existing find_route(step_free=true).</x:v>
      </x:c>
      <x:c r="X1553" s="6" t="str">
        <x:v>data/train/resplan-10882/questions_basic.jsonl</x:v>
      </x:c>
      <x:c r="Y1553" s="14" t="n">
        <x:v>8</x:v>
      </x:c>
      <x:c r="Z1553" s="6" t="str">
        <x:v>https://github.com/hagenhaeussler/Industrial-Agents-Hackathon-2026/blob/f41616590b69f3ea0c1cbfb41d6c35edd9ce53df/data/train/resplan-10882/questions_basic.jsonl#L8</x:v>
      </x:c>
      <x:c r="AA1553" s="6" t="str">
        <x:v>resplan</x:v>
      </x:c>
      <x:c r="AB1553" s="6" t="str">
        <x:v>CC-BY-4.0</x:v>
      </x:c>
    </x:row>
    <x:row r="1554" ht="82" customHeight="1">
      <x:c r="A1554" s="14" t="n">
        <x:v>1549</x:v>
      </x:c>
      <x:c r="B1554" s="6" t="str">
        <x:v>route_step_free</x:v>
      </x:c>
      <x:c r="C1554" s="6" t="str">
        <x:v>Is there a step-free route from Bathroom 0.06 (Ground floor) to Bedroom 0.03 (Ground floor)?</x:v>
      </x:c>
      <x:c r="D1554" s="6" t="str">
        <x:v>20.21 m
From: Bathroom 0.06
To: Bedroom 0.03
Ordered path (4 spaces): Bathroom 0.06 → Bedroom 0.02 → Living room 0.01 → Bedroom 0.03</x:v>
      </x:c>
      <x:c r="E1554" s="6" t="str">
        <x:v>Reference supplied</x:v>
      </x:c>
      <x:c r="F1554" s="6" t="str">
        <x:v>train</x:v>
      </x:c>
      <x:c r="G1554" s="6" t="str">
        <x:v>resplan-1095</x:v>
      </x:c>
      <x:c r="H1554" s="6" t="str">
        <x:v>resplan-1095-Q08</x:v>
      </x:c>
      <x:c r="I1554" s="6" t="str">
        <x:v>Route planning</x:v>
      </x:c>
      <x:c r="J1554" s="6" t="str">
        <x:v>Warm-up</x:v>
      </x:c>
      <x:c r="K1554" s="6" t="str">
        <x:v>Reachable: ordered path and metres. Unreachable: explicitly state no step-free route.</x:v>
      </x:c>
      <x:c r="L1554" s="6" t="str">
        <x:v>T02, T05, T13</x:v>
      </x:c>
      <x:c r="M1554" s="6" t="str">
        <x:v>Check whether a step-free route exists and give it when possible.</x:v>
      </x:c>
      <x:c r="N1554" s="6" t="str">
        <x:v>{"from_space_id":"resplan-1095-F0-S006","to_space_id":"resplan-1095-F0-S003","optimal_length_m":20.21,"space_path":["resplan-1095-F0-S006","resplan-1095-F0-S002","resplan-1095-F0-S001","resplan-1095-F0-S003"],"element_path":["resplan-1095-F0-O0002","resplan-1095-F0-O0002","resplan-1095-F0-O0004","resplan-1095-F0-O0004","resplan-1095-F0-O0005","resplan-1095-F0-O0005"]}</x:v>
      </x:c>
      <x:c r="O1554" s="6"/>
      <x:c r="P1554" s="6" t="str">
        <x:v>step_free=true. No stairs or stepped openings. May be unreachable.</x:v>
      </x:c>
      <x:c r="Q1554" s="15" t="n">
        <x:v>20.21</x:v>
      </x:c>
      <x:c r="R1554" s="6" t="str">
        <x:v>m</x:v>
      </x:c>
      <x:c r="S1554" s="16"/>
      <x:c r="T1554" s="15"/>
      <x:c r="U1554" s="6"/>
      <x:c r="V1554" s="6"/>
      <x:c r="W1554" s="6" t="str">
        <x:v>Existing find_route(step_free=true).</x:v>
      </x:c>
      <x:c r="X1554" s="6" t="str">
        <x:v>data/train/resplan-1095/questions_basic.jsonl</x:v>
      </x:c>
      <x:c r="Y1554" s="14" t="n">
        <x:v>8</x:v>
      </x:c>
      <x:c r="Z1554" s="6" t="str">
        <x:v>https://github.com/hagenhaeussler/Industrial-Agents-Hackathon-2026/blob/f41616590b69f3ea0c1cbfb41d6c35edd9ce53df/data/train/resplan-1095/questions_basic.jsonl#L8</x:v>
      </x:c>
      <x:c r="AA1554" s="6" t="str">
        <x:v>resplan</x:v>
      </x:c>
      <x:c r="AB1554" s="6" t="str">
        <x:v>CC-BY-4.0</x:v>
      </x:c>
    </x:row>
    <x:row r="1555" ht="82" customHeight="1">
      <x:c r="A1555" s="14" t="n">
        <x:v>1550</x:v>
      </x:c>
      <x:c r="B1555" s="6" t="str">
        <x:v>route_step_free</x:v>
      </x:c>
      <x:c r="C1555" s="6" t="str">
        <x:v>Is there a step-free route from Bedroom 0.04 (Ground floor) to Bathroom 0.05 (Ground floor)?</x:v>
      </x:c>
      <x:c r="D1555" s="6" t="str">
        <x:v>10.71 m
From: Bedroom 0.04
To: Bathroom 0.05
Ordered path (3 spaces): Bedroom 0.04 → Living room 0.02 → Bathroom 0.05</x:v>
      </x:c>
      <x:c r="E1555" s="6" t="str">
        <x:v>Reference supplied</x:v>
      </x:c>
      <x:c r="F1555" s="6" t="str">
        <x:v>train</x:v>
      </x:c>
      <x:c r="G1555" s="6" t="str">
        <x:v>resplan-11076</x:v>
      </x:c>
      <x:c r="H1555" s="6" t="str">
        <x:v>resplan-11076-Q08</x:v>
      </x:c>
      <x:c r="I1555" s="6" t="str">
        <x:v>Route planning</x:v>
      </x:c>
      <x:c r="J1555" s="6" t="str">
        <x:v>Warm-up</x:v>
      </x:c>
      <x:c r="K1555" s="6" t="str">
        <x:v>Reachable: ordered path and metres. Unreachable: explicitly state no step-free route.</x:v>
      </x:c>
      <x:c r="L1555" s="6" t="str">
        <x:v>T02, T05, T13</x:v>
      </x:c>
      <x:c r="M1555" s="6" t="str">
        <x:v>Check whether a step-free route exists and give it when possible.</x:v>
      </x:c>
      <x:c r="N1555" s="6" t="str">
        <x:v>{"from_space_id":"resplan-11076-F0-S004","to_space_id":"resplan-11076-F0-S005","optimal_length_m":10.71,"space_path":["resplan-11076-F0-S004","resplan-11076-F0-S002","resplan-11076-F0-S005"],"element_path":["resplan-11076-F0-O0003","resplan-11076-F0-O0003","resplan-11076-F0-O0004","resplan-11076-F0-O0004"]}</x:v>
      </x:c>
      <x:c r="O1555" s="6"/>
      <x:c r="P1555" s="6" t="str">
        <x:v>step_free=true. No stairs or stepped openings. May be unreachable.</x:v>
      </x:c>
      <x:c r="Q1555" s="15" t="n">
        <x:v>10.71</x:v>
      </x:c>
      <x:c r="R1555" s="6" t="str">
        <x:v>m</x:v>
      </x:c>
      <x:c r="S1555" s="16"/>
      <x:c r="T1555" s="15"/>
      <x:c r="U1555" s="6"/>
      <x:c r="V1555" s="6"/>
      <x:c r="W1555" s="6" t="str">
        <x:v>Existing find_route(step_free=true).</x:v>
      </x:c>
      <x:c r="X1555" s="6" t="str">
        <x:v>data/train/resplan-11076/questions_basic.jsonl</x:v>
      </x:c>
      <x:c r="Y1555" s="14" t="n">
        <x:v>8</x:v>
      </x:c>
      <x:c r="Z1555" s="6" t="str">
        <x:v>https://github.com/hagenhaeussler/Industrial-Agents-Hackathon-2026/blob/f41616590b69f3ea0c1cbfb41d6c35edd9ce53df/data/train/resplan-11076/questions_basic.jsonl#L8</x:v>
      </x:c>
      <x:c r="AA1555" s="6" t="str">
        <x:v>resplan</x:v>
      </x:c>
      <x:c r="AB1555" s="6" t="str">
        <x:v>CC-BY-4.0</x:v>
      </x:c>
    </x:row>
    <x:row r="1556" ht="72" customHeight="1">
      <x:c r="A1556" s="14" t="n">
        <x:v>1551</x:v>
      </x:c>
      <x:c r="B1556" s="6" t="str">
        <x:v>route_step_free</x:v>
      </x:c>
      <x:c r="C1556" s="6" t="str">
        <x:v>Is there a step-free route from Bedroom 0.02 (Ground floor) to Bedroom 0.03 (Ground floor)?</x:v>
      </x:c>
      <x:c r="D1556" s="6" t="str">
        <x:v>17.09 m
From: Bedroom 0.02
To: Bedroom 0.03
Ordered path (3 spaces): Bedroom 0.02 → Living room 0.01 → Bedroom 0.03</x:v>
      </x:c>
      <x:c r="E1556" s="6" t="str">
        <x:v>Reference supplied</x:v>
      </x:c>
      <x:c r="F1556" s="6" t="str">
        <x:v>train</x:v>
      </x:c>
      <x:c r="G1556" s="6" t="str">
        <x:v>resplan-11706</x:v>
      </x:c>
      <x:c r="H1556" s="6" t="str">
        <x:v>resplan-11706-Q08</x:v>
      </x:c>
      <x:c r="I1556" s="6" t="str">
        <x:v>Route planning</x:v>
      </x:c>
      <x:c r="J1556" s="6" t="str">
        <x:v>Warm-up</x:v>
      </x:c>
      <x:c r="K1556" s="6" t="str">
        <x:v>Reachable: ordered path and metres. Unreachable: explicitly state no step-free route.</x:v>
      </x:c>
      <x:c r="L1556" s="6" t="str">
        <x:v>T02, T05, T13</x:v>
      </x:c>
      <x:c r="M1556" s="6" t="str">
        <x:v>Check whether a step-free route exists and give it when possible.</x:v>
      </x:c>
      <x:c r="N1556" s="6" t="str">
        <x:v>{"from_space_id":"resplan-11706-F0-S002","to_space_id":"resplan-11706-F0-S003","optimal_length_m":17.09,"space_path":["resplan-11706-F0-S002","resplan-11706-F0-S001","resplan-11706-F0-S003"],"element_path":["resplan-11706-F0-O0003","resplan-11706-F0-O0003","resplan-11706-F0-O0004","resplan-11706-F0-O0004"]}</x:v>
      </x:c>
      <x:c r="O1556" s="6"/>
      <x:c r="P1556" s="6" t="str">
        <x:v>step_free=true. No stairs or stepped openings. May be unreachable.</x:v>
      </x:c>
      <x:c r="Q1556" s="15" t="n">
        <x:v>17.09</x:v>
      </x:c>
      <x:c r="R1556" s="6" t="str">
        <x:v>m</x:v>
      </x:c>
      <x:c r="S1556" s="16"/>
      <x:c r="T1556" s="15"/>
      <x:c r="U1556" s="6"/>
      <x:c r="V1556" s="6"/>
      <x:c r="W1556" s="6" t="str">
        <x:v>Existing find_route(step_free=true).</x:v>
      </x:c>
      <x:c r="X1556" s="6" t="str">
        <x:v>data/train/resplan-11706/questions_basic.jsonl</x:v>
      </x:c>
      <x:c r="Y1556" s="14" t="n">
        <x:v>8</x:v>
      </x:c>
      <x:c r="Z1556" s="6" t="str">
        <x:v>https://github.com/hagenhaeussler/Industrial-Agents-Hackathon-2026/blob/f41616590b69f3ea0c1cbfb41d6c35edd9ce53df/data/train/resplan-11706/questions_basic.jsonl#L8</x:v>
      </x:c>
      <x:c r="AA1556" s="6" t="str">
        <x:v>resplan</x:v>
      </x:c>
      <x:c r="AB1556" s="6" t="str">
        <x:v>CC-BY-4.0</x:v>
      </x:c>
    </x:row>
    <x:row r="1557" ht="72" customHeight="1">
      <x:c r="A1557" s="14" t="n">
        <x:v>1552</x:v>
      </x:c>
      <x:c r="B1557" s="6" t="str">
        <x:v>route_step_free</x:v>
      </x:c>
      <x:c r="C1557" s="6" t="str">
        <x:v>Is there a step-free route from Kitchen 0.06 (Ground floor) to Living room 0.01 (Ground floor)?</x:v>
      </x:c>
      <x:c r="D1557" s="6" t="str">
        <x:v>5.77 m
From: Kitchen 0.06
To: Living room 0.01
Ordered path (2 spaces): Kitchen 0.06 → Living room 0.01</x:v>
      </x:c>
      <x:c r="E1557" s="6" t="str">
        <x:v>Reference supplied</x:v>
      </x:c>
      <x:c r="F1557" s="6" t="str">
        <x:v>train</x:v>
      </x:c>
      <x:c r="G1557" s="6" t="str">
        <x:v>resplan-11816</x:v>
      </x:c>
      <x:c r="H1557" s="6" t="str">
        <x:v>resplan-11816-Q08</x:v>
      </x:c>
      <x:c r="I1557" s="6" t="str">
        <x:v>Route planning</x:v>
      </x:c>
      <x:c r="J1557" s="6" t="str">
        <x:v>Warm-up</x:v>
      </x:c>
      <x:c r="K1557" s="6" t="str">
        <x:v>Reachable: ordered path and metres. Unreachable: explicitly state no step-free route.</x:v>
      </x:c>
      <x:c r="L1557" s="6" t="str">
        <x:v>T02, T05, T13</x:v>
      </x:c>
      <x:c r="M1557" s="6" t="str">
        <x:v>Check whether a step-free route exists and give it when possible.</x:v>
      </x:c>
      <x:c r="N1557" s="6" t="str">
        <x:v>{"from_space_id":"resplan-11816-F0-S006","to_space_id":"resplan-11816-F0-S001","optimal_length_m":5.77,"space_path":["resplan-11816-F0-S006","resplan-11816-F0-S001"],"element_path":["resplan-11816-F0-O0005","resplan-11816-F0-O0005"]}</x:v>
      </x:c>
      <x:c r="O1557" s="6"/>
      <x:c r="P1557" s="6" t="str">
        <x:v>step_free=true. No stairs or stepped openings. May be unreachable.</x:v>
      </x:c>
      <x:c r="Q1557" s="15" t="n">
        <x:v>5.77</x:v>
      </x:c>
      <x:c r="R1557" s="6" t="str">
        <x:v>m</x:v>
      </x:c>
      <x:c r="S1557" s="16"/>
      <x:c r="T1557" s="15"/>
      <x:c r="U1557" s="6"/>
      <x:c r="V1557" s="6"/>
      <x:c r="W1557" s="6" t="str">
        <x:v>Existing find_route(step_free=true).</x:v>
      </x:c>
      <x:c r="X1557" s="6" t="str">
        <x:v>data/train/resplan-11816/questions_basic.jsonl</x:v>
      </x:c>
      <x:c r="Y1557" s="14" t="n">
        <x:v>8</x:v>
      </x:c>
      <x:c r="Z1557" s="6" t="str">
        <x:v>https://github.com/hagenhaeussler/Industrial-Agents-Hackathon-2026/blob/f41616590b69f3ea0c1cbfb41d6c35edd9ce53df/data/train/resplan-11816/questions_basic.jsonl#L8</x:v>
      </x:c>
      <x:c r="AA1557" s="6" t="str">
        <x:v>resplan</x:v>
      </x:c>
      <x:c r="AB1557" s="6" t="str">
        <x:v>CC-BY-4.0</x:v>
      </x:c>
    </x:row>
    <x:row r="1558" ht="82" customHeight="1">
      <x:c r="A1558" s="14" t="n">
        <x:v>1553</x:v>
      </x:c>
      <x:c r="B1558" s="6" t="str">
        <x:v>route_step_free</x:v>
      </x:c>
      <x:c r="C1558" s="6" t="str">
        <x:v>Is there a step-free route from Kitchen 0.07 (Ground floor) to Bathroom 0.05 (Ground floor)?</x:v>
      </x:c>
      <x:c r="D1558" s="6" t="str">
        <x:v>12.23 m
From: Kitchen 0.07
To: Bathroom 0.05
Ordered path (3 spaces): Kitchen 0.07 → Living room 0.01 → Bathroom 0.05</x:v>
      </x:c>
      <x:c r="E1558" s="6" t="str">
        <x:v>Reference supplied</x:v>
      </x:c>
      <x:c r="F1558" s="6" t="str">
        <x:v>train</x:v>
      </x:c>
      <x:c r="G1558" s="6" t="str">
        <x:v>resplan-120</x:v>
      </x:c>
      <x:c r="H1558" s="6" t="str">
        <x:v>resplan-120-Q08</x:v>
      </x:c>
      <x:c r="I1558" s="6" t="str">
        <x:v>Route planning</x:v>
      </x:c>
      <x:c r="J1558" s="6" t="str">
        <x:v>Warm-up</x:v>
      </x:c>
      <x:c r="K1558" s="6" t="str">
        <x:v>Reachable: ordered path and metres. Unreachable: explicitly state no step-free route.</x:v>
      </x:c>
      <x:c r="L1558" s="6" t="str">
        <x:v>T02, T05, T13</x:v>
      </x:c>
      <x:c r="M1558" s="6" t="str">
        <x:v>Check whether a step-free route exists and give it when possible.</x:v>
      </x:c>
      <x:c r="N1558" s="6" t="str">
        <x:v>{"from_space_id":"resplan-120-F0-S007","to_space_id":"resplan-120-F0-S005","optimal_length_m":12.23,"space_path":["resplan-120-F0-S007","resplan-120-F0-S001","resplan-120-F0-S005"],"element_path":["resplan-120-F0-O0008","resplan-120-F0-O0008","resplan-120-F0-O0002","resplan-120-F0-O0002"]}</x:v>
      </x:c>
      <x:c r="O1558" s="6"/>
      <x:c r="P1558" s="6" t="str">
        <x:v>step_free=true. No stairs or stepped openings. May be unreachable.</x:v>
      </x:c>
      <x:c r="Q1558" s="15" t="n">
        <x:v>12.23</x:v>
      </x:c>
      <x:c r="R1558" s="6" t="str">
        <x:v>m</x:v>
      </x:c>
      <x:c r="S1558" s="16"/>
      <x:c r="T1558" s="15"/>
      <x:c r="U1558" s="6"/>
      <x:c r="V1558" s="6"/>
      <x:c r="W1558" s="6" t="str">
        <x:v>Existing find_route(step_free=true).</x:v>
      </x:c>
      <x:c r="X1558" s="6" t="str">
        <x:v>data/train/resplan-120/questions_basic.jsonl</x:v>
      </x:c>
      <x:c r="Y1558" s="14" t="n">
        <x:v>8</x:v>
      </x:c>
      <x:c r="Z1558" s="6" t="str">
        <x:v>https://github.com/hagenhaeussler/Industrial-Agents-Hackathon-2026/blob/f41616590b69f3ea0c1cbfb41d6c35edd9ce53df/data/train/resplan-120/questions_basic.jsonl#L8</x:v>
      </x:c>
      <x:c r="AA1558" s="6" t="str">
        <x:v>resplan</x:v>
      </x:c>
      <x:c r="AB1558" s="6" t="str">
        <x:v>CC-BY-4.0</x:v>
      </x:c>
    </x:row>
    <x:row r="1559" ht="72" customHeight="1">
      <x:c r="A1559" s="14" t="n">
        <x:v>1554</x:v>
      </x:c>
      <x:c r="B1559" s="6" t="str">
        <x:v>route_step_free</x:v>
      </x:c>
      <x:c r="C1559" s="6" t="str">
        <x:v>Is there a step-free route from Bathroom 0.05 (Ground floor) to Living room 0.01 (Ground floor)?</x:v>
      </x:c>
      <x:c r="D1559" s="6" t="str">
        <x:v>4.27 m
From: Bathroom 0.05
To: Living room 0.01
Ordered path (2 spaces): Bathroom 0.05 → Living room 0.01</x:v>
      </x:c>
      <x:c r="E1559" s="6" t="str">
        <x:v>Reference supplied</x:v>
      </x:c>
      <x:c r="F1559" s="6" t="str">
        <x:v>train</x:v>
      </x:c>
      <x:c r="G1559" s="6" t="str">
        <x:v>resplan-12034</x:v>
      </x:c>
      <x:c r="H1559" s="6" t="str">
        <x:v>resplan-12034-Q08</x:v>
      </x:c>
      <x:c r="I1559" s="6" t="str">
        <x:v>Route planning</x:v>
      </x:c>
      <x:c r="J1559" s="6" t="str">
        <x:v>Warm-up</x:v>
      </x:c>
      <x:c r="K1559" s="6" t="str">
        <x:v>Reachable: ordered path and metres. Unreachable: explicitly state no step-free route.</x:v>
      </x:c>
      <x:c r="L1559" s="6" t="str">
        <x:v>T02, T05, T13</x:v>
      </x:c>
      <x:c r="M1559" s="6" t="str">
        <x:v>Check whether a step-free route exists and give it when possible.</x:v>
      </x:c>
      <x:c r="N1559" s="6" t="str">
        <x:v>{"from_space_id":"resplan-12034-F0-S005","to_space_id":"resplan-12034-F0-S001","optimal_length_m":4.27,"space_path":["resplan-12034-F0-S005","resplan-12034-F0-S001"],"element_path":["resplan-12034-F0-O0003","resplan-12034-F0-O0003"]}</x:v>
      </x:c>
      <x:c r="O1559" s="6"/>
      <x:c r="P1559" s="6" t="str">
        <x:v>step_free=true. No stairs or stepped openings. May be unreachable.</x:v>
      </x:c>
      <x:c r="Q1559" s="15" t="n">
        <x:v>4.27</x:v>
      </x:c>
      <x:c r="R1559" s="6" t="str">
        <x:v>m</x:v>
      </x:c>
      <x:c r="S1559" s="16"/>
      <x:c r="T1559" s="15"/>
      <x:c r="U1559" s="6"/>
      <x:c r="V1559" s="6"/>
      <x:c r="W1559" s="6" t="str">
        <x:v>Existing find_route(step_free=true).</x:v>
      </x:c>
      <x:c r="X1559" s="6" t="str">
        <x:v>data/train/resplan-12034/questions_basic.jsonl</x:v>
      </x:c>
      <x:c r="Y1559" s="14" t="n">
        <x:v>8</x:v>
      </x:c>
      <x:c r="Z1559" s="6" t="str">
        <x:v>https://github.com/hagenhaeussler/Industrial-Agents-Hackathon-2026/blob/f41616590b69f3ea0c1cbfb41d6c35edd9ce53df/data/train/resplan-12034/questions_basic.jsonl#L8</x:v>
      </x:c>
      <x:c r="AA1559" s="6" t="str">
        <x:v>resplan</x:v>
      </x:c>
      <x:c r="AB1559" s="6" t="str">
        <x:v>CC-BY-4.0</x:v>
      </x:c>
    </x:row>
    <x:row r="1560" ht="72" customHeight="1">
      <x:c r="A1560" s="14" t="n">
        <x:v>1555</x:v>
      </x:c>
      <x:c r="B1560" s="6" t="str">
        <x:v>route_step_free</x:v>
      </x:c>
      <x:c r="C1560" s="6" t="str">
        <x:v>Is there a step-free route from Living room 0.01 (Ground floor) to Bathroom 0.04 (Ground floor)?</x:v>
      </x:c>
      <x:c r="D1560" s="6" t="str">
        <x:v>4.05 m
From: Living room 0.01
To: Bathroom 0.04
Ordered path (2 spaces): Living room 0.01 → Bathroom 0.04</x:v>
      </x:c>
      <x:c r="E1560" s="6" t="str">
        <x:v>Reference supplied</x:v>
      </x:c>
      <x:c r="F1560" s="6" t="str">
        <x:v>train</x:v>
      </x:c>
      <x:c r="G1560" s="6" t="str">
        <x:v>resplan-1224</x:v>
      </x:c>
      <x:c r="H1560" s="6" t="str">
        <x:v>resplan-1224-Q08</x:v>
      </x:c>
      <x:c r="I1560" s="6" t="str">
        <x:v>Route planning</x:v>
      </x:c>
      <x:c r="J1560" s="6" t="str">
        <x:v>Warm-up</x:v>
      </x:c>
      <x:c r="K1560" s="6" t="str">
        <x:v>Reachable: ordered path and metres. Unreachable: explicitly state no step-free route.</x:v>
      </x:c>
      <x:c r="L1560" s="6" t="str">
        <x:v>T02, T05, T13</x:v>
      </x:c>
      <x:c r="M1560" s="6" t="str">
        <x:v>Check whether a step-free route exists and give it when possible.</x:v>
      </x:c>
      <x:c r="N1560" s="6" t="str">
        <x:v>{"from_space_id":"resplan-1224-F0-S001","to_space_id":"resplan-1224-F0-S004","optimal_length_m":4.05,"space_path":["resplan-1224-F0-S001","resplan-1224-F0-S004"],"element_path":["resplan-1224-F0-O0003","resplan-1224-F0-O0003"]}</x:v>
      </x:c>
      <x:c r="O1560" s="6"/>
      <x:c r="P1560" s="6" t="str">
        <x:v>step_free=true. No stairs or stepped openings. May be unreachable.</x:v>
      </x:c>
      <x:c r="Q1560" s="15" t="n">
        <x:v>4.05</x:v>
      </x:c>
      <x:c r="R1560" s="6" t="str">
        <x:v>m</x:v>
      </x:c>
      <x:c r="S1560" s="16"/>
      <x:c r="T1560" s="15"/>
      <x:c r="U1560" s="6"/>
      <x:c r="V1560" s="6"/>
      <x:c r="W1560" s="6" t="str">
        <x:v>Existing find_route(step_free=true).</x:v>
      </x:c>
      <x:c r="X1560" s="6" t="str">
        <x:v>data/train/resplan-1224/questions_basic.jsonl</x:v>
      </x:c>
      <x:c r="Y1560" s="14" t="n">
        <x:v>8</x:v>
      </x:c>
      <x:c r="Z1560" s="6" t="str">
        <x:v>https://github.com/hagenhaeussler/Industrial-Agents-Hackathon-2026/blob/f41616590b69f3ea0c1cbfb41d6c35edd9ce53df/data/train/resplan-1224/questions_basic.jsonl#L8</x:v>
      </x:c>
      <x:c r="AA1560" s="6" t="str">
        <x:v>resplan</x:v>
      </x:c>
      <x:c r="AB1560" s="6" t="str">
        <x:v>CC-BY-4.0</x:v>
      </x:c>
    </x:row>
    <x:row r="1561" ht="72" customHeight="1">
      <x:c r="A1561" s="14" t="n">
        <x:v>1556</x:v>
      </x:c>
      <x:c r="B1561" s="6" t="str">
        <x:v>route_step_free</x:v>
      </x:c>
      <x:c r="C1561" s="6" t="str">
        <x:v>Is there a step-free route from Bedroom 0.02 (Ground floor) to Living room 0.01 (Ground floor)?</x:v>
      </x:c>
      <x:c r="D1561" s="6" t="str">
        <x:v>5.95 m
From: Bedroom 0.02
To: Living room 0.01
Ordered path (2 spaces): Bedroom 0.02 → Living room 0.01</x:v>
      </x:c>
      <x:c r="E1561" s="6" t="str">
        <x:v>Reference supplied</x:v>
      </x:c>
      <x:c r="F1561" s="6" t="str">
        <x:v>train</x:v>
      </x:c>
      <x:c r="G1561" s="6" t="str">
        <x:v>resplan-12304</x:v>
      </x:c>
      <x:c r="H1561" s="6" t="str">
        <x:v>resplan-12304-Q08</x:v>
      </x:c>
      <x:c r="I1561" s="6" t="str">
        <x:v>Route planning</x:v>
      </x:c>
      <x:c r="J1561" s="6" t="str">
        <x:v>Warm-up</x:v>
      </x:c>
      <x:c r="K1561" s="6" t="str">
        <x:v>Reachable: ordered path and metres. Unreachable: explicitly state no step-free route.</x:v>
      </x:c>
      <x:c r="L1561" s="6" t="str">
        <x:v>T02, T05, T13</x:v>
      </x:c>
      <x:c r="M1561" s="6" t="str">
        <x:v>Check whether a step-free route exists and give it when possible.</x:v>
      </x:c>
      <x:c r="N1561" s="6" t="str">
        <x:v>{"from_space_id":"resplan-12304-F0-S002","to_space_id":"resplan-12304-F0-S001","optimal_length_m":5.95,"space_path":["resplan-12304-F0-S002","resplan-12304-F0-S001"],"element_path":["resplan-12304-F0-O0002","resplan-12304-F0-O0002"]}</x:v>
      </x:c>
      <x:c r="O1561" s="6"/>
      <x:c r="P1561" s="6" t="str">
        <x:v>step_free=true. No stairs or stepped openings. May be unreachable.</x:v>
      </x:c>
      <x:c r="Q1561" s="15" t="n">
        <x:v>5.95</x:v>
      </x:c>
      <x:c r="R1561" s="6" t="str">
        <x:v>m</x:v>
      </x:c>
      <x:c r="S1561" s="16"/>
      <x:c r="T1561" s="15"/>
      <x:c r="U1561" s="6"/>
      <x:c r="V1561" s="6"/>
      <x:c r="W1561" s="6" t="str">
        <x:v>Existing find_route(step_free=true).</x:v>
      </x:c>
      <x:c r="X1561" s="6" t="str">
        <x:v>data/train/resplan-12304/questions_basic.jsonl</x:v>
      </x:c>
      <x:c r="Y1561" s="14" t="n">
        <x:v>8</x:v>
      </x:c>
      <x:c r="Z1561" s="6" t="str">
        <x:v>https://github.com/hagenhaeussler/Industrial-Agents-Hackathon-2026/blob/f41616590b69f3ea0c1cbfb41d6c35edd9ce53df/data/train/resplan-12304/questions_basic.jsonl#L8</x:v>
      </x:c>
      <x:c r="AA1561" s="6" t="str">
        <x:v>resplan</x:v>
      </x:c>
      <x:c r="AB1561" s="6" t="str">
        <x:v>CC-BY-4.0</x:v>
      </x:c>
    </x:row>
    <x:row r="1562" ht="72" customHeight="1">
      <x:c r="A1562" s="14" t="n">
        <x:v>1557</x:v>
      </x:c>
      <x:c r="B1562" s="6" t="str">
        <x:v>route_step_free</x:v>
      </x:c>
      <x:c r="C1562" s="6" t="str">
        <x:v>Is there a step-free route from Living room 0.01 (Ground floor) to Bedroom 0.02 (Ground floor)?</x:v>
      </x:c>
      <x:c r="D1562" s="6" t="str">
        <x:v>4.87 m
From: Living room 0.01
To: Bedroom 0.02
Ordered path (2 spaces): Living room 0.01 → Bedroom 0.02</x:v>
      </x:c>
      <x:c r="E1562" s="6" t="str">
        <x:v>Reference supplied</x:v>
      </x:c>
      <x:c r="F1562" s="6" t="str">
        <x:v>train</x:v>
      </x:c>
      <x:c r="G1562" s="6" t="str">
        <x:v>resplan-12336</x:v>
      </x:c>
      <x:c r="H1562" s="6" t="str">
        <x:v>resplan-12336-Q08</x:v>
      </x:c>
      <x:c r="I1562" s="6" t="str">
        <x:v>Route planning</x:v>
      </x:c>
      <x:c r="J1562" s="6" t="str">
        <x:v>Warm-up</x:v>
      </x:c>
      <x:c r="K1562" s="6" t="str">
        <x:v>Reachable: ordered path and metres. Unreachable: explicitly state no step-free route.</x:v>
      </x:c>
      <x:c r="L1562" s="6" t="str">
        <x:v>T02, T05, T13</x:v>
      </x:c>
      <x:c r="M1562" s="6" t="str">
        <x:v>Check whether a step-free route exists and give it when possible.</x:v>
      </x:c>
      <x:c r="N1562" s="6" t="str">
        <x:v>{"from_space_id":"resplan-12336-F0-S001","to_space_id":"resplan-12336-F0-S002","optimal_length_m":4.87,"space_path":["resplan-12336-F0-S001","resplan-12336-F0-S002"],"element_path":["resplan-12336-F0-O0001","resplan-12336-F0-O0001"]}</x:v>
      </x:c>
      <x:c r="O1562" s="6"/>
      <x:c r="P1562" s="6" t="str">
        <x:v>step_free=true. No stairs or stepped openings. May be unreachable.</x:v>
      </x:c>
      <x:c r="Q1562" s="15" t="n">
        <x:v>4.87</x:v>
      </x:c>
      <x:c r="R1562" s="6" t="str">
        <x:v>m</x:v>
      </x:c>
      <x:c r="S1562" s="16"/>
      <x:c r="T1562" s="15"/>
      <x:c r="U1562" s="6"/>
      <x:c r="V1562" s="6"/>
      <x:c r="W1562" s="6" t="str">
        <x:v>Existing find_route(step_free=true).</x:v>
      </x:c>
      <x:c r="X1562" s="6" t="str">
        <x:v>data/train/resplan-12336/questions_basic.jsonl</x:v>
      </x:c>
      <x:c r="Y1562" s="14" t="n">
        <x:v>8</x:v>
      </x:c>
      <x:c r="Z1562" s="6" t="str">
        <x:v>https://github.com/hagenhaeussler/Industrial-Agents-Hackathon-2026/blob/f41616590b69f3ea0c1cbfb41d6c35edd9ce53df/data/train/resplan-12336/questions_basic.jsonl#L8</x:v>
      </x:c>
      <x:c r="AA1562" s="6" t="str">
        <x:v>resplan</x:v>
      </x:c>
      <x:c r="AB1562" s="6" t="str">
        <x:v>CC-BY-4.0</x:v>
      </x:c>
    </x:row>
    <x:row r="1563" ht="72" customHeight="1">
      <x:c r="A1563" s="14" t="n">
        <x:v>1558</x:v>
      </x:c>
      <x:c r="B1563" s="6" t="str">
        <x:v>route_step_free</x:v>
      </x:c>
      <x:c r="C1563" s="6" t="str">
        <x:v>Is there a step-free route from Kitchen 0.08 (Ground floor) to Living room 0.01 (Ground floor)?</x:v>
      </x:c>
      <x:c r="D1563" s="6" t="str">
        <x:v>7.47 m
From: Kitchen 0.08
To: Living room 0.01
Ordered path (2 spaces): Kitchen 0.08 → Living room 0.01</x:v>
      </x:c>
      <x:c r="E1563" s="6" t="str">
        <x:v>Reference supplied</x:v>
      </x:c>
      <x:c r="F1563" s="6" t="str">
        <x:v>train</x:v>
      </x:c>
      <x:c r="G1563" s="6" t="str">
        <x:v>resplan-12462</x:v>
      </x:c>
      <x:c r="H1563" s="6" t="str">
        <x:v>resplan-12462-Q08</x:v>
      </x:c>
      <x:c r="I1563" s="6" t="str">
        <x:v>Route planning</x:v>
      </x:c>
      <x:c r="J1563" s="6" t="str">
        <x:v>Warm-up</x:v>
      </x:c>
      <x:c r="K1563" s="6" t="str">
        <x:v>Reachable: ordered path and metres. Unreachable: explicitly state no step-free route.</x:v>
      </x:c>
      <x:c r="L1563" s="6" t="str">
        <x:v>T02, T05, T13</x:v>
      </x:c>
      <x:c r="M1563" s="6" t="str">
        <x:v>Check whether a step-free route exists and give it when possible.</x:v>
      </x:c>
      <x:c r="N1563" s="6" t="str">
        <x:v>{"from_space_id":"resplan-12462-F0-S008","to_space_id":"resplan-12462-F0-S001","optimal_length_m":7.47,"space_path":["resplan-12462-F0-S008","resplan-12462-F0-S001"],"element_path":["resplan-12462-F0-O0007","resplan-12462-F0-O0007"]}</x:v>
      </x:c>
      <x:c r="O1563" s="6"/>
      <x:c r="P1563" s="6" t="str">
        <x:v>step_free=true. No stairs or stepped openings. May be unreachable.</x:v>
      </x:c>
      <x:c r="Q1563" s="15" t="n">
        <x:v>7.47</x:v>
      </x:c>
      <x:c r="R1563" s="6" t="str">
        <x:v>m</x:v>
      </x:c>
      <x:c r="S1563" s="16"/>
      <x:c r="T1563" s="15"/>
      <x:c r="U1563" s="6"/>
      <x:c r="V1563" s="6"/>
      <x:c r="W1563" s="6" t="str">
        <x:v>Existing find_route(step_free=true).</x:v>
      </x:c>
      <x:c r="X1563" s="6" t="str">
        <x:v>data/train/resplan-12462/questions_basic.jsonl</x:v>
      </x:c>
      <x:c r="Y1563" s="14" t="n">
        <x:v>8</x:v>
      </x:c>
      <x:c r="Z1563" s="6" t="str">
        <x:v>https://github.com/hagenhaeussler/Industrial-Agents-Hackathon-2026/blob/f41616590b69f3ea0c1cbfb41d6c35edd9ce53df/data/train/resplan-12462/questions_basic.jsonl#L8</x:v>
      </x:c>
      <x:c r="AA1563" s="6" t="str">
        <x:v>resplan</x:v>
      </x:c>
      <x:c r="AB1563" s="6" t="str">
        <x:v>CC-BY-4.0</x:v>
      </x:c>
    </x:row>
    <x:row r="1564" ht="82" customHeight="1">
      <x:c r="A1564" s="14" t="n">
        <x:v>1559</x:v>
      </x:c>
      <x:c r="B1564" s="6" t="str">
        <x:v>route_step_free</x:v>
      </x:c>
      <x:c r="C1564" s="6" t="str">
        <x:v>Is there a step-free route from Bathroom 0.04 (Ground floor) to Bedroom 0.02 (Ground floor)?</x:v>
      </x:c>
      <x:c r="D1564" s="6" t="str">
        <x:v>10.46 m
From: Bathroom 0.04
To: Bedroom 0.02
Ordered path (3 spaces): Bathroom 0.04 → Living room 0.01 → Bedroom 0.02</x:v>
      </x:c>
      <x:c r="E1564" s="6" t="str">
        <x:v>Reference supplied</x:v>
      </x:c>
      <x:c r="F1564" s="6" t="str">
        <x:v>train</x:v>
      </x:c>
      <x:c r="G1564" s="6" t="str">
        <x:v>resplan-12750</x:v>
      </x:c>
      <x:c r="H1564" s="6" t="str">
        <x:v>resplan-12750-Q08</x:v>
      </x:c>
      <x:c r="I1564" s="6" t="str">
        <x:v>Route planning</x:v>
      </x:c>
      <x:c r="J1564" s="6" t="str">
        <x:v>Warm-up</x:v>
      </x:c>
      <x:c r="K1564" s="6" t="str">
        <x:v>Reachable: ordered path and metres. Unreachable: explicitly state no step-free route.</x:v>
      </x:c>
      <x:c r="L1564" s="6" t="str">
        <x:v>T02, T05, T13</x:v>
      </x:c>
      <x:c r="M1564" s="6" t="str">
        <x:v>Check whether a step-free route exists and give it when possible.</x:v>
      </x:c>
      <x:c r="N1564" s="6" t="str">
        <x:v>{"from_space_id":"resplan-12750-F0-S004","to_space_id":"resplan-12750-F0-S002","optimal_length_m":10.46,"space_path":["resplan-12750-F0-S004","resplan-12750-F0-S001","resplan-12750-F0-S002"],"element_path":["resplan-12750-F0-O0002","resplan-12750-F0-O0002","resplan-12750-F0-O0003","resplan-12750-F0-O0003"]}</x:v>
      </x:c>
      <x:c r="O1564" s="6"/>
      <x:c r="P1564" s="6" t="str">
        <x:v>step_free=true. No stairs or stepped openings. May be unreachable.</x:v>
      </x:c>
      <x:c r="Q1564" s="15" t="n">
        <x:v>10.46</x:v>
      </x:c>
      <x:c r="R1564" s="6" t="str">
        <x:v>m</x:v>
      </x:c>
      <x:c r="S1564" s="16"/>
      <x:c r="T1564" s="15"/>
      <x:c r="U1564" s="6"/>
      <x:c r="V1564" s="6"/>
      <x:c r="W1564" s="6" t="str">
        <x:v>Existing find_route(step_free=true).</x:v>
      </x:c>
      <x:c r="X1564" s="6" t="str">
        <x:v>data/train/resplan-12750/questions_basic.jsonl</x:v>
      </x:c>
      <x:c r="Y1564" s="14" t="n">
        <x:v>8</x:v>
      </x:c>
      <x:c r="Z1564" s="6" t="str">
        <x:v>https://github.com/hagenhaeussler/Industrial-Agents-Hackathon-2026/blob/f41616590b69f3ea0c1cbfb41d6c35edd9ce53df/data/train/resplan-12750/questions_basic.jsonl#L8</x:v>
      </x:c>
      <x:c r="AA1564" s="6" t="str">
        <x:v>resplan</x:v>
      </x:c>
      <x:c r="AB1564" s="6" t="str">
        <x:v>CC-BY-4.0</x:v>
      </x:c>
    </x:row>
    <x:row r="1565" ht="72" customHeight="1">
      <x:c r="A1565" s="14" t="n">
        <x:v>1560</x:v>
      </x:c>
      <x:c r="B1565" s="6" t="str">
        <x:v>route_step_free</x:v>
      </x:c>
      <x:c r="C1565" s="6" t="str">
        <x:v>Is there a step-free route from Living room 0.01 (Ground floor) to Bedroom 0.03 (Ground floor)?</x:v>
      </x:c>
      <x:c r="D1565" s="6" t="str">
        <x:v>6.44 m
From: Living room 0.01
To: Bedroom 0.03
Ordered path (2 spaces): Living room 0.01 → Bedroom 0.03</x:v>
      </x:c>
      <x:c r="E1565" s="6" t="str">
        <x:v>Reference supplied</x:v>
      </x:c>
      <x:c r="F1565" s="6" t="str">
        <x:v>train</x:v>
      </x:c>
      <x:c r="G1565" s="6" t="str">
        <x:v>resplan-12844</x:v>
      </x:c>
      <x:c r="H1565" s="6" t="str">
        <x:v>resplan-12844-Q08</x:v>
      </x:c>
      <x:c r="I1565" s="6" t="str">
        <x:v>Route planning</x:v>
      </x:c>
      <x:c r="J1565" s="6" t="str">
        <x:v>Warm-up</x:v>
      </x:c>
      <x:c r="K1565" s="6" t="str">
        <x:v>Reachable: ordered path and metres. Unreachable: explicitly state no step-free route.</x:v>
      </x:c>
      <x:c r="L1565" s="6" t="str">
        <x:v>T02, T05, T13</x:v>
      </x:c>
      <x:c r="M1565" s="6" t="str">
        <x:v>Check whether a step-free route exists and give it when possible.</x:v>
      </x:c>
      <x:c r="N1565" s="6" t="str">
        <x:v>{"from_space_id":"resplan-12844-F0-S001","to_space_id":"resplan-12844-F0-S003","optimal_length_m":6.44,"space_path":["resplan-12844-F0-S001","resplan-12844-F0-S003"],"element_path":["resplan-12844-F0-O0003","resplan-12844-F0-O0003"]}</x:v>
      </x:c>
      <x:c r="O1565" s="6"/>
      <x:c r="P1565" s="6" t="str">
        <x:v>step_free=true. No stairs or stepped openings. May be unreachable.</x:v>
      </x:c>
      <x:c r="Q1565" s="15" t="n">
        <x:v>6.44</x:v>
      </x:c>
      <x:c r="R1565" s="6" t="str">
        <x:v>m</x:v>
      </x:c>
      <x:c r="S1565" s="16"/>
      <x:c r="T1565" s="15"/>
      <x:c r="U1565" s="6"/>
      <x:c r="V1565" s="6"/>
      <x:c r="W1565" s="6" t="str">
        <x:v>Existing find_route(step_free=true).</x:v>
      </x:c>
      <x:c r="X1565" s="6" t="str">
        <x:v>data/train/resplan-12844/questions_basic.jsonl</x:v>
      </x:c>
      <x:c r="Y1565" s="14" t="n">
        <x:v>8</x:v>
      </x:c>
      <x:c r="Z1565" s="6" t="str">
        <x:v>https://github.com/hagenhaeussler/Industrial-Agents-Hackathon-2026/blob/f41616590b69f3ea0c1cbfb41d6c35edd9ce53df/data/train/resplan-12844/questions_basic.jsonl#L8</x:v>
      </x:c>
      <x:c r="AA1565" s="6" t="str">
        <x:v>resplan</x:v>
      </x:c>
      <x:c r="AB1565" s="6" t="str">
        <x:v>CC-BY-4.0</x:v>
      </x:c>
    </x:row>
    <x:row r="1566" ht="72" customHeight="1">
      <x:c r="A1566" s="14" t="n">
        <x:v>1561</x:v>
      </x:c>
      <x:c r="B1566" s="6" t="str">
        <x:v>route_step_free</x:v>
      </x:c>
      <x:c r="C1566" s="6" t="str">
        <x:v>Is there a step-free route from Kitchen 0.08 (Ground floor) to Bedroom 0.03 (Ground floor)?</x:v>
      </x:c>
      <x:c r="D1566" s="6" t="str">
        <x:v>14.4 m
From: Kitchen 0.08
To: Bedroom 0.03
Ordered path (3 spaces): Kitchen 0.08 → Living room 0.01 → Bedroom 0.03</x:v>
      </x:c>
      <x:c r="E1566" s="6" t="str">
        <x:v>Reference supplied</x:v>
      </x:c>
      <x:c r="F1566" s="6" t="str">
        <x:v>train</x:v>
      </x:c>
      <x:c r="G1566" s="6" t="str">
        <x:v>resplan-12867</x:v>
      </x:c>
      <x:c r="H1566" s="6" t="str">
        <x:v>resplan-12867-Q08</x:v>
      </x:c>
      <x:c r="I1566" s="6" t="str">
        <x:v>Route planning</x:v>
      </x:c>
      <x:c r="J1566" s="6" t="str">
        <x:v>Warm-up</x:v>
      </x:c>
      <x:c r="K1566" s="6" t="str">
        <x:v>Reachable: ordered path and metres. Unreachable: explicitly state no step-free route.</x:v>
      </x:c>
      <x:c r="L1566" s="6" t="str">
        <x:v>T02, T05, T13</x:v>
      </x:c>
      <x:c r="M1566" s="6" t="str">
        <x:v>Check whether a step-free route exists and give it when possible.</x:v>
      </x:c>
      <x:c r="N1566" s="6" t="str">
        <x:v>{"from_space_id":"resplan-12867-F0-S008","to_space_id":"resplan-12867-F0-S003","optimal_length_m":14.4,"space_path":["resplan-12867-F0-S008","resplan-12867-F0-S001","resplan-12867-F0-S003"],"element_path":["resplan-12867-F0-O0009","resplan-12867-F0-O0009","resplan-12867-F0-O0002","resplan-12867-F0-O0002"]}</x:v>
      </x:c>
      <x:c r="O1566" s="6"/>
      <x:c r="P1566" s="6" t="str">
        <x:v>step_free=true. No stairs or stepped openings. May be unreachable.</x:v>
      </x:c>
      <x:c r="Q1566" s="15" t="n">
        <x:v>14.4</x:v>
      </x:c>
      <x:c r="R1566" s="6" t="str">
        <x:v>m</x:v>
      </x:c>
      <x:c r="S1566" s="16"/>
      <x:c r="T1566" s="15"/>
      <x:c r="U1566" s="6"/>
      <x:c r="V1566" s="6"/>
      <x:c r="W1566" s="6" t="str">
        <x:v>Existing find_route(step_free=true).</x:v>
      </x:c>
      <x:c r="X1566" s="6" t="str">
        <x:v>data/train/resplan-12867/questions_basic.jsonl</x:v>
      </x:c>
      <x:c r="Y1566" s="14" t="n">
        <x:v>8</x:v>
      </x:c>
      <x:c r="Z1566" s="6" t="str">
        <x:v>https://github.com/hagenhaeussler/Industrial-Agents-Hackathon-2026/blob/f41616590b69f3ea0c1cbfb41d6c35edd9ce53df/data/train/resplan-12867/questions_basic.jsonl#L8</x:v>
      </x:c>
      <x:c r="AA1566" s="6" t="str">
        <x:v>resplan</x:v>
      </x:c>
      <x:c r="AB1566" s="6" t="str">
        <x:v>CC-BY-4.0</x:v>
      </x:c>
    </x:row>
    <x:row r="1567" ht="72" customHeight="1">
      <x:c r="A1567" s="14" t="n">
        <x:v>1562</x:v>
      </x:c>
      <x:c r="B1567" s="6" t="str">
        <x:v>route_step_free</x:v>
      </x:c>
      <x:c r="C1567" s="6" t="str">
        <x:v>Is there a step-free route from Bedroom 0.03 (Ground floor) to Kitchen 0.06 (Ground floor)?</x:v>
      </x:c>
      <x:c r="D1567" s="6" t="str">
        <x:v>15.18 m
From: Bedroom 0.03
To: Kitchen 0.06
Ordered path (3 spaces): Bedroom 0.03 → Living room 0.01 → Kitchen 0.06</x:v>
      </x:c>
      <x:c r="E1567" s="6" t="str">
        <x:v>Reference supplied</x:v>
      </x:c>
      <x:c r="F1567" s="6" t="str">
        <x:v>train</x:v>
      </x:c>
      <x:c r="G1567" s="6" t="str">
        <x:v>resplan-12878</x:v>
      </x:c>
      <x:c r="H1567" s="6" t="str">
        <x:v>resplan-12878-Q08</x:v>
      </x:c>
      <x:c r="I1567" s="6" t="str">
        <x:v>Route planning</x:v>
      </x:c>
      <x:c r="J1567" s="6" t="str">
        <x:v>Warm-up</x:v>
      </x:c>
      <x:c r="K1567" s="6" t="str">
        <x:v>Reachable: ordered path and metres. Unreachable: explicitly state no step-free route.</x:v>
      </x:c>
      <x:c r="L1567" s="6" t="str">
        <x:v>T02, T05, T13</x:v>
      </x:c>
      <x:c r="M1567" s="6" t="str">
        <x:v>Check whether a step-free route exists and give it when possible.</x:v>
      </x:c>
      <x:c r="N1567" s="6" t="str">
        <x:v>{"from_space_id":"resplan-12878-F0-S003","to_space_id":"resplan-12878-F0-S006","optimal_length_m":15.18,"space_path":["resplan-12878-F0-S003","resplan-12878-F0-S001","resplan-12878-F0-S006"],"element_path":["resplan-12878-F0-O0003","resplan-12878-F0-O0003","resplan-12878-F0-O0006","resplan-12878-F0-O0006"]}</x:v>
      </x:c>
      <x:c r="O1567" s="6"/>
      <x:c r="P1567" s="6" t="str">
        <x:v>step_free=true. No stairs or stepped openings. May be unreachable.</x:v>
      </x:c>
      <x:c r="Q1567" s="15" t="n">
        <x:v>15.18</x:v>
      </x:c>
      <x:c r="R1567" s="6" t="str">
        <x:v>m</x:v>
      </x:c>
      <x:c r="S1567" s="16"/>
      <x:c r="T1567" s="15"/>
      <x:c r="U1567" s="6"/>
      <x:c r="V1567" s="6"/>
      <x:c r="W1567" s="6" t="str">
        <x:v>Existing find_route(step_free=true).</x:v>
      </x:c>
      <x:c r="X1567" s="6" t="str">
        <x:v>data/train/resplan-12878/questions_basic.jsonl</x:v>
      </x:c>
      <x:c r="Y1567" s="14" t="n">
        <x:v>8</x:v>
      </x:c>
      <x:c r="Z1567" s="6" t="str">
        <x:v>https://github.com/hagenhaeussler/Industrial-Agents-Hackathon-2026/blob/f41616590b69f3ea0c1cbfb41d6c35edd9ce53df/data/train/resplan-12878/questions_basic.jsonl#L8</x:v>
      </x:c>
      <x:c r="AA1567" s="6" t="str">
        <x:v>resplan</x:v>
      </x:c>
      <x:c r="AB1567" s="6" t="str">
        <x:v>CC-BY-4.0</x:v>
      </x:c>
    </x:row>
    <x:row r="1568" ht="82" customHeight="1">
      <x:c r="A1568" s="14" t="n">
        <x:v>1563</x:v>
      </x:c>
      <x:c r="B1568" s="6" t="str">
        <x:v>route_step_free</x:v>
      </x:c>
      <x:c r="C1568" s="6" t="str">
        <x:v>Is there a step-free route from Bathroom 0.04 (Ground floor) to Bedroom 0.02 (Ground floor)?</x:v>
      </x:c>
      <x:c r="D1568" s="6" t="str">
        <x:v>8.69 m
From: Bathroom 0.04
To: Bedroom 0.02
Ordered path (3 spaces): Bathroom 0.04 → Living room 0.01 → Bedroom 0.02</x:v>
      </x:c>
      <x:c r="E1568" s="6" t="str">
        <x:v>Reference supplied</x:v>
      </x:c>
      <x:c r="F1568" s="6" t="str">
        <x:v>train</x:v>
      </x:c>
      <x:c r="G1568" s="6" t="str">
        <x:v>resplan-12897</x:v>
      </x:c>
      <x:c r="H1568" s="6" t="str">
        <x:v>resplan-12897-Q08</x:v>
      </x:c>
      <x:c r="I1568" s="6" t="str">
        <x:v>Route planning</x:v>
      </x:c>
      <x:c r="J1568" s="6" t="str">
        <x:v>Warm-up</x:v>
      </x:c>
      <x:c r="K1568" s="6" t="str">
        <x:v>Reachable: ordered path and metres. Unreachable: explicitly state no step-free route.</x:v>
      </x:c>
      <x:c r="L1568" s="6" t="str">
        <x:v>T02, T05, T13</x:v>
      </x:c>
      <x:c r="M1568" s="6" t="str">
        <x:v>Check whether a step-free route exists and give it when possible.</x:v>
      </x:c>
      <x:c r="N1568" s="6" t="str">
        <x:v>{"from_space_id":"resplan-12897-F0-S004","to_space_id":"resplan-12897-F0-S002","optimal_length_m":8.69,"space_path":["resplan-12897-F0-S004","resplan-12897-F0-S001","resplan-12897-F0-S002"],"element_path":["resplan-12897-F0-O0004","resplan-12897-F0-O0004","resplan-12897-F0-O0002","resplan-12897-F0-O0002"]}</x:v>
      </x:c>
      <x:c r="O1568" s="6"/>
      <x:c r="P1568" s="6" t="str">
        <x:v>step_free=true. No stairs or stepped openings. May be unreachable.</x:v>
      </x:c>
      <x:c r="Q1568" s="15" t="n">
        <x:v>8.69</x:v>
      </x:c>
      <x:c r="R1568" s="6" t="str">
        <x:v>m</x:v>
      </x:c>
      <x:c r="S1568" s="16"/>
      <x:c r="T1568" s="15"/>
      <x:c r="U1568" s="6"/>
      <x:c r="V1568" s="6"/>
      <x:c r="W1568" s="6" t="str">
        <x:v>Existing find_route(step_free=true).</x:v>
      </x:c>
      <x:c r="X1568" s="6" t="str">
        <x:v>data/train/resplan-12897/questions_basic.jsonl</x:v>
      </x:c>
      <x:c r="Y1568" s="14" t="n">
        <x:v>8</x:v>
      </x:c>
      <x:c r="Z1568" s="6" t="str">
        <x:v>https://github.com/hagenhaeussler/Industrial-Agents-Hackathon-2026/blob/f41616590b69f3ea0c1cbfb41d6c35edd9ce53df/data/train/resplan-12897/questions_basic.jsonl#L8</x:v>
      </x:c>
      <x:c r="AA1568" s="6" t="str">
        <x:v>resplan</x:v>
      </x:c>
      <x:c r="AB1568" s="6" t="str">
        <x:v>CC-BY-4.0</x:v>
      </x:c>
    </x:row>
    <x:row r="1569" ht="72" customHeight="1">
      <x:c r="A1569" s="14" t="n">
        <x:v>1564</x:v>
      </x:c>
      <x:c r="B1569" s="6" t="str">
        <x:v>route_step_free</x:v>
      </x:c>
      <x:c r="C1569" s="6" t="str">
        <x:v>Is there a step-free route from Kitchen 0.10 (Ground floor) to Bedroom 0.03 (Ground floor)?</x:v>
      </x:c>
      <x:c r="D1569" s="6" t="str">
        <x:v>13.1 m
From: Kitchen 0.10
To: Bedroom 0.03
Ordered path (3 spaces): Kitchen 0.10 → Living room 0.01 → Bedroom 0.03</x:v>
      </x:c>
      <x:c r="E1569" s="6" t="str">
        <x:v>Reference supplied</x:v>
      </x:c>
      <x:c r="F1569" s="6" t="str">
        <x:v>train</x:v>
      </x:c>
      <x:c r="G1569" s="6" t="str">
        <x:v>resplan-12985</x:v>
      </x:c>
      <x:c r="H1569" s="6" t="str">
        <x:v>resplan-12985-Q08</x:v>
      </x:c>
      <x:c r="I1569" s="6" t="str">
        <x:v>Route planning</x:v>
      </x:c>
      <x:c r="J1569" s="6" t="str">
        <x:v>Warm-up</x:v>
      </x:c>
      <x:c r="K1569" s="6" t="str">
        <x:v>Reachable: ordered path and metres. Unreachable: explicitly state no step-free route.</x:v>
      </x:c>
      <x:c r="L1569" s="6" t="str">
        <x:v>T02, T05, T13</x:v>
      </x:c>
      <x:c r="M1569" s="6" t="str">
        <x:v>Check whether a step-free route exists and give it when possible.</x:v>
      </x:c>
      <x:c r="N1569" s="6" t="str">
        <x:v>{"from_space_id":"resplan-12985-F0-S010","to_space_id":"resplan-12985-F0-S003","optimal_length_m":13.1,"space_path":["resplan-12985-F0-S010","resplan-12985-F0-S001","resplan-12985-F0-S003"],"element_path":["resplan-12985-F0-O0006","resplan-12985-F0-O0006","resplan-12985-F0-O0005","resplan-12985-F0-O0005"]}</x:v>
      </x:c>
      <x:c r="O1569" s="6"/>
      <x:c r="P1569" s="6" t="str">
        <x:v>step_free=true. No stairs or stepped openings. May be unreachable.</x:v>
      </x:c>
      <x:c r="Q1569" s="15" t="n">
        <x:v>13.1</x:v>
      </x:c>
      <x:c r="R1569" s="6" t="str">
        <x:v>m</x:v>
      </x:c>
      <x:c r="S1569" s="16"/>
      <x:c r="T1569" s="15"/>
      <x:c r="U1569" s="6"/>
      <x:c r="V1569" s="6"/>
      <x:c r="W1569" s="6" t="str">
        <x:v>Existing find_route(step_free=true).</x:v>
      </x:c>
      <x:c r="X1569" s="6" t="str">
        <x:v>data/train/resplan-12985/questions_basic.jsonl</x:v>
      </x:c>
      <x:c r="Y1569" s="14" t="n">
        <x:v>8</x:v>
      </x:c>
      <x:c r="Z1569" s="6" t="str">
        <x:v>https://github.com/hagenhaeussler/Industrial-Agents-Hackathon-2026/blob/f41616590b69f3ea0c1cbfb41d6c35edd9ce53df/data/train/resplan-12985/questions_basic.jsonl#L8</x:v>
      </x:c>
      <x:c r="AA1569" s="6" t="str">
        <x:v>resplan</x:v>
      </x:c>
      <x:c r="AB1569" s="6" t="str">
        <x:v>CC-BY-4.0</x:v>
      </x:c>
    </x:row>
    <x:row r="1570" ht="72" customHeight="1">
      <x:c r="A1570" s="14" t="n">
        <x:v>1565</x:v>
      </x:c>
      <x:c r="B1570" s="6" t="str">
        <x:v>route_step_free</x:v>
      </x:c>
      <x:c r="C1570" s="6" t="str">
        <x:v>Is there a step-free route from Bathroom 0.05 (Ground floor) to Living room 0.01 (Ground floor)?</x:v>
      </x:c>
      <x:c r="D1570" s="6" t="str">
        <x:v>4.98 m
From: Bathroom 0.05
To: Living room 0.01
Ordered path (2 spaces): Bathroom 0.05 → Living room 0.01</x:v>
      </x:c>
      <x:c r="E1570" s="6" t="str">
        <x:v>Reference supplied</x:v>
      </x:c>
      <x:c r="F1570" s="6" t="str">
        <x:v>train</x:v>
      </x:c>
      <x:c r="G1570" s="6" t="str">
        <x:v>resplan-13024</x:v>
      </x:c>
      <x:c r="H1570" s="6" t="str">
        <x:v>resplan-13024-Q08</x:v>
      </x:c>
      <x:c r="I1570" s="6" t="str">
        <x:v>Route planning</x:v>
      </x:c>
      <x:c r="J1570" s="6" t="str">
        <x:v>Warm-up</x:v>
      </x:c>
      <x:c r="K1570" s="6" t="str">
        <x:v>Reachable: ordered path and metres. Unreachable: explicitly state no step-free route.</x:v>
      </x:c>
      <x:c r="L1570" s="6" t="str">
        <x:v>T02, T05, T13</x:v>
      </x:c>
      <x:c r="M1570" s="6" t="str">
        <x:v>Check whether a step-free route exists and give it when possible.</x:v>
      </x:c>
      <x:c r="N1570" s="6" t="str">
        <x:v>{"from_space_id":"resplan-13024-F0-S005","to_space_id":"resplan-13024-F0-S001","optimal_length_m":4.98,"space_path":["resplan-13024-F0-S005","resplan-13024-F0-S001"],"element_path":["resplan-13024-F0-O0002","resplan-13024-F0-O0002"]}</x:v>
      </x:c>
      <x:c r="O1570" s="6"/>
      <x:c r="P1570" s="6" t="str">
        <x:v>step_free=true. No stairs or stepped openings. May be unreachable.</x:v>
      </x:c>
      <x:c r="Q1570" s="15" t="n">
        <x:v>4.98</x:v>
      </x:c>
      <x:c r="R1570" s="6" t="str">
        <x:v>m</x:v>
      </x:c>
      <x:c r="S1570" s="16"/>
      <x:c r="T1570" s="15"/>
      <x:c r="U1570" s="6"/>
      <x:c r="V1570" s="6"/>
      <x:c r="W1570" s="6" t="str">
        <x:v>Existing find_route(step_free=true).</x:v>
      </x:c>
      <x:c r="X1570" s="6" t="str">
        <x:v>data/train/resplan-13024/questions_basic.jsonl</x:v>
      </x:c>
      <x:c r="Y1570" s="14" t="n">
        <x:v>8</x:v>
      </x:c>
      <x:c r="Z1570" s="6" t="str">
        <x:v>https://github.com/hagenhaeussler/Industrial-Agents-Hackathon-2026/blob/f41616590b69f3ea0c1cbfb41d6c35edd9ce53df/data/train/resplan-13024/questions_basic.jsonl#L8</x:v>
      </x:c>
      <x:c r="AA1570" s="6" t="str">
        <x:v>resplan</x:v>
      </x:c>
      <x:c r="AB1570" s="6" t="str">
        <x:v>CC-BY-4.0</x:v>
      </x:c>
    </x:row>
    <x:row r="1571" ht="72" customHeight="1">
      <x:c r="A1571" s="14" t="n">
        <x:v>1566</x:v>
      </x:c>
      <x:c r="B1571" s="6" t="str">
        <x:v>route_step_free</x:v>
      </x:c>
      <x:c r="C1571" s="6" t="str">
        <x:v>Is there a step-free route from Bedroom 0.03 (Ground floor) to Bathroom 0.05 (Ground floor)?</x:v>
      </x:c>
      <x:c r="D1571" s="6" t="str">
        <x:v>3.57 m
From: Bedroom 0.03
To: Bathroom 0.05
Ordered path (2 spaces): Bedroom 0.03 → Bathroom 0.05</x:v>
      </x:c>
      <x:c r="E1571" s="6" t="str">
        <x:v>Reference supplied</x:v>
      </x:c>
      <x:c r="F1571" s="6" t="str">
        <x:v>train</x:v>
      </x:c>
      <x:c r="G1571" s="6" t="str">
        <x:v>resplan-13846</x:v>
      </x:c>
      <x:c r="H1571" s="6" t="str">
        <x:v>resplan-13846-Q08</x:v>
      </x:c>
      <x:c r="I1571" s="6" t="str">
        <x:v>Route planning</x:v>
      </x:c>
      <x:c r="J1571" s="6" t="str">
        <x:v>Warm-up</x:v>
      </x:c>
      <x:c r="K1571" s="6" t="str">
        <x:v>Reachable: ordered path and metres. Unreachable: explicitly state no step-free route.</x:v>
      </x:c>
      <x:c r="L1571" s="6" t="str">
        <x:v>T02, T05, T13</x:v>
      </x:c>
      <x:c r="M1571" s="6" t="str">
        <x:v>Check whether a step-free route exists and give it when possible.</x:v>
      </x:c>
      <x:c r="N1571" s="6" t="str">
        <x:v>{"from_space_id":"resplan-13846-F0-S003","to_space_id":"resplan-13846-F0-S005","optimal_length_m":3.57,"space_path":["resplan-13846-F0-S003","resplan-13846-F0-S005"],"element_path":["resplan-13846-F0-O0003","resplan-13846-F0-O0003"]}</x:v>
      </x:c>
      <x:c r="O1571" s="6"/>
      <x:c r="P1571" s="6" t="str">
        <x:v>step_free=true. No stairs or stepped openings. May be unreachable.</x:v>
      </x:c>
      <x:c r="Q1571" s="15" t="n">
        <x:v>3.57</x:v>
      </x:c>
      <x:c r="R1571" s="6" t="str">
        <x:v>m</x:v>
      </x:c>
      <x:c r="S1571" s="16"/>
      <x:c r="T1571" s="15"/>
      <x:c r="U1571" s="6"/>
      <x:c r="V1571" s="6"/>
      <x:c r="W1571" s="6" t="str">
        <x:v>Existing find_route(step_free=true).</x:v>
      </x:c>
      <x:c r="X1571" s="6" t="str">
        <x:v>data/train/resplan-13846/questions_basic.jsonl</x:v>
      </x:c>
      <x:c r="Y1571" s="14" t="n">
        <x:v>8</x:v>
      </x:c>
      <x:c r="Z1571" s="6" t="str">
        <x:v>https://github.com/hagenhaeussler/Industrial-Agents-Hackathon-2026/blob/f41616590b69f3ea0c1cbfb41d6c35edd9ce53df/data/train/resplan-13846/questions_basic.jsonl#L8</x:v>
      </x:c>
      <x:c r="AA1571" s="6" t="str">
        <x:v>resplan</x:v>
      </x:c>
      <x:c r="AB1571" s="6" t="str">
        <x:v>CC-BY-4.0</x:v>
      </x:c>
    </x:row>
    <x:row r="1572" ht="72" customHeight="1">
      <x:c r="A1572" s="14" t="n">
        <x:v>1567</x:v>
      </x:c>
      <x:c r="B1572" s="6" t="str">
        <x:v>route_step_free</x:v>
      </x:c>
      <x:c r="C1572" s="6" t="str">
        <x:v>Is there a step-free route from Kitchen 0.05 (Ground floor) to Bedroom 0.02 (Ground floor)?</x:v>
      </x:c>
      <x:c r="D1572" s="6" t="str">
        <x:v>14.53 m
From: Kitchen 0.05
To: Bedroom 0.02
Ordered path (3 spaces): Kitchen 0.05 → Living room 0.01 → Bedroom 0.02</x:v>
      </x:c>
      <x:c r="E1572" s="6" t="str">
        <x:v>Reference supplied</x:v>
      </x:c>
      <x:c r="F1572" s="6" t="str">
        <x:v>train</x:v>
      </x:c>
      <x:c r="G1572" s="6" t="str">
        <x:v>resplan-14012</x:v>
      </x:c>
      <x:c r="H1572" s="6" t="str">
        <x:v>resplan-14012-Q08</x:v>
      </x:c>
      <x:c r="I1572" s="6" t="str">
        <x:v>Route planning</x:v>
      </x:c>
      <x:c r="J1572" s="6" t="str">
        <x:v>Warm-up</x:v>
      </x:c>
      <x:c r="K1572" s="6" t="str">
        <x:v>Reachable: ordered path and metres. Unreachable: explicitly state no step-free route.</x:v>
      </x:c>
      <x:c r="L1572" s="6" t="str">
        <x:v>T02, T05, T13</x:v>
      </x:c>
      <x:c r="M1572" s="6" t="str">
        <x:v>Check whether a step-free route exists and give it when possible.</x:v>
      </x:c>
      <x:c r="N1572" s="6" t="str">
        <x:v>{"from_space_id":"resplan-14012-F0-S005","to_space_id":"resplan-14012-F0-S002","optimal_length_m":14.53,"space_path":["resplan-14012-F0-S005","resplan-14012-F0-S001","resplan-14012-F0-S002"],"element_path":["resplan-14012-F0-O0004","resplan-14012-F0-O0004","resplan-14012-F0-O0003","resplan-14012-F0-O0003"]}</x:v>
      </x:c>
      <x:c r="O1572" s="6"/>
      <x:c r="P1572" s="6" t="str">
        <x:v>step_free=true. No stairs or stepped openings. May be unreachable.</x:v>
      </x:c>
      <x:c r="Q1572" s="15" t="n">
        <x:v>14.53</x:v>
      </x:c>
      <x:c r="R1572" s="6" t="str">
        <x:v>m</x:v>
      </x:c>
      <x:c r="S1572" s="16"/>
      <x:c r="T1572" s="15"/>
      <x:c r="U1572" s="6"/>
      <x:c r="V1572" s="6"/>
      <x:c r="W1572" s="6" t="str">
        <x:v>Existing find_route(step_free=true).</x:v>
      </x:c>
      <x:c r="X1572" s="6" t="str">
        <x:v>data/train/resplan-14012/questions_basic.jsonl</x:v>
      </x:c>
      <x:c r="Y1572" s="14" t="n">
        <x:v>8</x:v>
      </x:c>
      <x:c r="Z1572" s="6" t="str">
        <x:v>https://github.com/hagenhaeussler/Industrial-Agents-Hackathon-2026/blob/f41616590b69f3ea0c1cbfb41d6c35edd9ce53df/data/train/resplan-14012/questions_basic.jsonl#L8</x:v>
      </x:c>
      <x:c r="AA1572" s="6" t="str">
        <x:v>resplan</x:v>
      </x:c>
      <x:c r="AB1572" s="6" t="str">
        <x:v>CC-BY-4.0</x:v>
      </x:c>
    </x:row>
    <x:row r="1573" ht="82" customHeight="1">
      <x:c r="A1573" s="14" t="n">
        <x:v>1568</x:v>
      </x:c>
      <x:c r="B1573" s="6" t="str">
        <x:v>route_step_free</x:v>
      </x:c>
      <x:c r="C1573" s="6" t="str">
        <x:v>Is there a step-free route from Bedroom 0.03 (Ground floor) to Bathroom 0.05 (Ground floor)?</x:v>
      </x:c>
      <x:c r="D1573" s="6" t="str">
        <x:v>15.18 m
From: Bedroom 0.03
To: Bathroom 0.05
Ordered path (4 spaces): Bedroom 0.03 → Living room 0.01 → Bedroom 0.02 → Bathroom 0.05</x:v>
      </x:c>
      <x:c r="E1573" s="6" t="str">
        <x:v>Reference supplied</x:v>
      </x:c>
      <x:c r="F1573" s="6" t="str">
        <x:v>train</x:v>
      </x:c>
      <x:c r="G1573" s="6" t="str">
        <x:v>resplan-14211</x:v>
      </x:c>
      <x:c r="H1573" s="6" t="str">
        <x:v>resplan-14211-Q08</x:v>
      </x:c>
      <x:c r="I1573" s="6" t="str">
        <x:v>Route planning</x:v>
      </x:c>
      <x:c r="J1573" s="6" t="str">
        <x:v>Warm-up</x:v>
      </x:c>
      <x:c r="K1573" s="6" t="str">
        <x:v>Reachable: ordered path and metres. Unreachable: explicitly state no step-free route.</x:v>
      </x:c>
      <x:c r="L1573" s="6" t="str">
        <x:v>T02, T05, T13</x:v>
      </x:c>
      <x:c r="M1573" s="6" t="str">
        <x:v>Check whether a step-free route exists and give it when possible.</x:v>
      </x:c>
      <x:c r="N1573" s="6" t="str">
        <x:v>{"from_space_id":"resplan-14211-F0-S003","to_space_id":"resplan-14211-F0-S005","optimal_length_m":15.18,"space_path":["resplan-14211-F0-S003","resplan-14211-F0-S001","resplan-14211-F0-S002","resplan-14211-F0-S005"],"element_path":["resplan-14211-F0-O0003","resplan-14211-F0-O0003","resplan-14211-F0-O0002","resplan-14211-F0-O0002","resplan-14211-F0-O0001","resplan-14211-F0-O0001"]}</x:v>
      </x:c>
      <x:c r="O1573" s="6"/>
      <x:c r="P1573" s="6" t="str">
        <x:v>step_free=true. No stairs or stepped openings. May be unreachable.</x:v>
      </x:c>
      <x:c r="Q1573" s="15" t="n">
        <x:v>15.18</x:v>
      </x:c>
      <x:c r="R1573" s="6" t="str">
        <x:v>m</x:v>
      </x:c>
      <x:c r="S1573" s="16"/>
      <x:c r="T1573" s="15"/>
      <x:c r="U1573" s="6"/>
      <x:c r="V1573" s="6"/>
      <x:c r="W1573" s="6" t="str">
        <x:v>Existing find_route(step_free=true).</x:v>
      </x:c>
      <x:c r="X1573" s="6" t="str">
        <x:v>data/train/resplan-14211/questions_basic.jsonl</x:v>
      </x:c>
      <x:c r="Y1573" s="14" t="n">
        <x:v>8</x:v>
      </x:c>
      <x:c r="Z1573" s="6" t="str">
        <x:v>https://github.com/hagenhaeussler/Industrial-Agents-Hackathon-2026/blob/f41616590b69f3ea0c1cbfb41d6c35edd9ce53df/data/train/resplan-14211/questions_basic.jsonl#L8</x:v>
      </x:c>
      <x:c r="AA1573" s="6" t="str">
        <x:v>resplan</x:v>
      </x:c>
      <x:c r="AB1573" s="6" t="str">
        <x:v>CC-BY-4.0</x:v>
      </x:c>
    </x:row>
    <x:row r="1574" ht="82" customHeight="1">
      <x:c r="A1574" s="14" t="n">
        <x:v>1569</x:v>
      </x:c>
      <x:c r="B1574" s="6" t="str">
        <x:v>route_step_free</x:v>
      </x:c>
      <x:c r="C1574" s="6" t="str">
        <x:v>Is there a step-free route from Bathroom 0.05 (Ground floor) to Kitchen 0.08 (Ground floor)?</x:v>
      </x:c>
      <x:c r="D1574" s="6" t="str">
        <x:v>14.1 m
From: Bathroom 0.05
To: Kitchen 0.08
Ordered path (3 spaces): Bathroom 0.05 → Living room 0.01 → Kitchen 0.08</x:v>
      </x:c>
      <x:c r="E1574" s="6" t="str">
        <x:v>Reference supplied</x:v>
      </x:c>
      <x:c r="F1574" s="6" t="str">
        <x:v>train</x:v>
      </x:c>
      <x:c r="G1574" s="6" t="str">
        <x:v>resplan-14407</x:v>
      </x:c>
      <x:c r="H1574" s="6" t="str">
        <x:v>resplan-14407-Q08</x:v>
      </x:c>
      <x:c r="I1574" s="6" t="str">
        <x:v>Route planning</x:v>
      </x:c>
      <x:c r="J1574" s="6" t="str">
        <x:v>Warm-up</x:v>
      </x:c>
      <x:c r="K1574" s="6" t="str">
        <x:v>Reachable: ordered path and metres. Unreachable: explicitly state no step-free route.</x:v>
      </x:c>
      <x:c r="L1574" s="6" t="str">
        <x:v>T02, T05, T13</x:v>
      </x:c>
      <x:c r="M1574" s="6" t="str">
        <x:v>Check whether a step-free route exists and give it when possible.</x:v>
      </x:c>
      <x:c r="N1574" s="6" t="str">
        <x:v>{"from_space_id":"resplan-14407-F0-S005","to_space_id":"resplan-14407-F0-S008","optimal_length_m":14.1,"space_path":["resplan-14407-F0-S005","resplan-14407-F0-S001","resplan-14407-F0-S008"],"element_path":["resplan-14407-F0-O0004","resplan-14407-F0-O0004","resplan-14407-F0-O0011","resplan-14407-F0-O0011"]}</x:v>
      </x:c>
      <x:c r="O1574" s="6"/>
      <x:c r="P1574" s="6" t="str">
        <x:v>step_free=true. No stairs or stepped openings. May be unreachable.</x:v>
      </x:c>
      <x:c r="Q1574" s="15" t="n">
        <x:v>14.1</x:v>
      </x:c>
      <x:c r="R1574" s="6" t="str">
        <x:v>m</x:v>
      </x:c>
      <x:c r="S1574" s="16"/>
      <x:c r="T1574" s="15"/>
      <x:c r="U1574" s="6"/>
      <x:c r="V1574" s="6"/>
      <x:c r="W1574" s="6" t="str">
        <x:v>Existing find_route(step_free=true).</x:v>
      </x:c>
      <x:c r="X1574" s="6" t="str">
        <x:v>data/train/resplan-14407/questions_basic.jsonl</x:v>
      </x:c>
      <x:c r="Y1574" s="14" t="n">
        <x:v>8</x:v>
      </x:c>
      <x:c r="Z1574" s="6" t="str">
        <x:v>https://github.com/hagenhaeussler/Industrial-Agents-Hackathon-2026/blob/f41616590b69f3ea0c1cbfb41d6c35edd9ce53df/data/train/resplan-14407/questions_basic.jsonl#L8</x:v>
      </x:c>
      <x:c r="AA1574" s="6" t="str">
        <x:v>resplan</x:v>
      </x:c>
      <x:c r="AB1574" s="6" t="str">
        <x:v>CC-BY-4.0</x:v>
      </x:c>
    </x:row>
    <x:row r="1575" ht="72" customHeight="1">
      <x:c r="A1575" s="14" t="n">
        <x:v>1570</x:v>
      </x:c>
      <x:c r="B1575" s="6" t="str">
        <x:v>route_step_free</x:v>
      </x:c>
      <x:c r="C1575" s="6" t="str">
        <x:v>Is there a step-free route from Living room 0.01 (Ground floor) to Bedroom 0.04 (Ground floor)?</x:v>
      </x:c>
      <x:c r="D1575" s="6" t="str">
        <x:v>7.48 m
From: Living room 0.01
To: Bedroom 0.04
Ordered path (2 spaces): Living room 0.01 → Bedroom 0.04</x:v>
      </x:c>
      <x:c r="E1575" s="6" t="str">
        <x:v>Reference supplied</x:v>
      </x:c>
      <x:c r="F1575" s="6" t="str">
        <x:v>train</x:v>
      </x:c>
      <x:c r="G1575" s="6" t="str">
        <x:v>resplan-14602</x:v>
      </x:c>
      <x:c r="H1575" s="6" t="str">
        <x:v>resplan-14602-Q08</x:v>
      </x:c>
      <x:c r="I1575" s="6" t="str">
        <x:v>Route planning</x:v>
      </x:c>
      <x:c r="J1575" s="6" t="str">
        <x:v>Warm-up</x:v>
      </x:c>
      <x:c r="K1575" s="6" t="str">
        <x:v>Reachable: ordered path and metres. Unreachable: explicitly state no step-free route.</x:v>
      </x:c>
      <x:c r="L1575" s="6" t="str">
        <x:v>T02, T05, T13</x:v>
      </x:c>
      <x:c r="M1575" s="6" t="str">
        <x:v>Check whether a step-free route exists and give it when possible.</x:v>
      </x:c>
      <x:c r="N1575" s="6" t="str">
        <x:v>{"from_space_id":"resplan-14602-F0-S001","to_space_id":"resplan-14602-F0-S004","optimal_length_m":7.48,"space_path":["resplan-14602-F0-S001","resplan-14602-F0-S004"],"element_path":["resplan-14602-F0-O0004","resplan-14602-F0-O0004"]}</x:v>
      </x:c>
      <x:c r="O1575" s="6"/>
      <x:c r="P1575" s="6" t="str">
        <x:v>step_free=true. No stairs or stepped openings. May be unreachable.</x:v>
      </x:c>
      <x:c r="Q1575" s="15" t="n">
        <x:v>7.48</x:v>
      </x:c>
      <x:c r="R1575" s="6" t="str">
        <x:v>m</x:v>
      </x:c>
      <x:c r="S1575" s="16"/>
      <x:c r="T1575" s="15"/>
      <x:c r="U1575" s="6"/>
      <x:c r="V1575" s="6"/>
      <x:c r="W1575" s="6" t="str">
        <x:v>Existing find_route(step_free=true).</x:v>
      </x:c>
      <x:c r="X1575" s="6" t="str">
        <x:v>data/train/resplan-14602/questions_basic.jsonl</x:v>
      </x:c>
      <x:c r="Y1575" s="14" t="n">
        <x:v>8</x:v>
      </x:c>
      <x:c r="Z1575" s="6" t="str">
        <x:v>https://github.com/hagenhaeussler/Industrial-Agents-Hackathon-2026/blob/f41616590b69f3ea0c1cbfb41d6c35edd9ce53df/data/train/resplan-14602/questions_basic.jsonl#L8</x:v>
      </x:c>
      <x:c r="AA1575" s="6" t="str">
        <x:v>resplan</x:v>
      </x:c>
      <x:c r="AB1575" s="6" t="str">
        <x:v>CC-BY-4.0</x:v>
      </x:c>
    </x:row>
    <x:row r="1576" ht="72" customHeight="1">
      <x:c r="A1576" s="14" t="n">
        <x:v>1571</x:v>
      </x:c>
      <x:c r="B1576" s="6" t="str">
        <x:v>route_step_free</x:v>
      </x:c>
      <x:c r="C1576" s="6" t="str">
        <x:v>Is there a step-free route from Bathroom 0.06 (Ground floor) to Bedroom 0.04 (Ground floor)?</x:v>
      </x:c>
      <x:c r="D1576" s="6" t="str">
        <x:v>3.39 m
From: Bathroom 0.06
To: Bedroom 0.04
Ordered path (2 spaces): Bathroom 0.06 → Bedroom 0.04</x:v>
      </x:c>
      <x:c r="E1576" s="6" t="str">
        <x:v>Reference supplied</x:v>
      </x:c>
      <x:c r="F1576" s="6" t="str">
        <x:v>train</x:v>
      </x:c>
      <x:c r="G1576" s="6" t="str">
        <x:v>resplan-15074</x:v>
      </x:c>
      <x:c r="H1576" s="6" t="str">
        <x:v>resplan-15074-Q08</x:v>
      </x:c>
      <x:c r="I1576" s="6" t="str">
        <x:v>Route planning</x:v>
      </x:c>
      <x:c r="J1576" s="6" t="str">
        <x:v>Warm-up</x:v>
      </x:c>
      <x:c r="K1576" s="6" t="str">
        <x:v>Reachable: ordered path and metres. Unreachable: explicitly state no step-free route.</x:v>
      </x:c>
      <x:c r="L1576" s="6" t="str">
        <x:v>T02, T05, T13</x:v>
      </x:c>
      <x:c r="M1576" s="6" t="str">
        <x:v>Check whether a step-free route exists and give it when possible.</x:v>
      </x:c>
      <x:c r="N1576" s="6" t="str">
        <x:v>{"from_space_id":"resplan-15074-F0-S006","to_space_id":"resplan-15074-F0-S004","optimal_length_m":3.39,"space_path":["resplan-15074-F0-S006","resplan-15074-F0-S004"],"element_path":["resplan-15074-F0-O0006","resplan-15074-F0-O0006"]}</x:v>
      </x:c>
      <x:c r="O1576" s="6"/>
      <x:c r="P1576" s="6" t="str">
        <x:v>step_free=true. No stairs or stepped openings. May be unreachable.</x:v>
      </x:c>
      <x:c r="Q1576" s="15" t="n">
        <x:v>3.39</x:v>
      </x:c>
      <x:c r="R1576" s="6" t="str">
        <x:v>m</x:v>
      </x:c>
      <x:c r="S1576" s="16"/>
      <x:c r="T1576" s="15"/>
      <x:c r="U1576" s="6"/>
      <x:c r="V1576" s="6"/>
      <x:c r="W1576" s="6" t="str">
        <x:v>Existing find_route(step_free=true).</x:v>
      </x:c>
      <x:c r="X1576" s="6" t="str">
        <x:v>data/train/resplan-15074/questions_basic.jsonl</x:v>
      </x:c>
      <x:c r="Y1576" s="14" t="n">
        <x:v>8</x:v>
      </x:c>
      <x:c r="Z1576" s="6" t="str">
        <x:v>https://github.com/hagenhaeussler/Industrial-Agents-Hackathon-2026/blob/f41616590b69f3ea0c1cbfb41d6c35edd9ce53df/data/train/resplan-15074/questions_basic.jsonl#L8</x:v>
      </x:c>
      <x:c r="AA1576" s="6" t="str">
        <x:v>resplan</x:v>
      </x:c>
      <x:c r="AB1576" s="6" t="str">
        <x:v>CC-BY-4.0</x:v>
      </x:c>
    </x:row>
    <x:row r="1577" ht="82" customHeight="1">
      <x:c r="A1577" s="14" t="n">
        <x:v>1572</x:v>
      </x:c>
      <x:c r="B1577" s="6" t="str">
        <x:v>route_step_free</x:v>
      </x:c>
      <x:c r="C1577" s="6" t="str">
        <x:v>Is there a step-free route from Living room 0.01 (Ground floor) to Bathroom 0.04 (Ground floor)?</x:v>
      </x:c>
      <x:c r="D1577" s="6" t="str">
        <x:v>8.82 m
From: Living room 0.01
To: Bathroom 0.04
Ordered path (3 spaces): Living room 0.01 → Bedroom 0.02 → Bathroom 0.04</x:v>
      </x:c>
      <x:c r="E1577" s="6" t="str">
        <x:v>Reference supplied</x:v>
      </x:c>
      <x:c r="F1577" s="6" t="str">
        <x:v>train</x:v>
      </x:c>
      <x:c r="G1577" s="6" t="str">
        <x:v>resplan-15183</x:v>
      </x:c>
      <x:c r="H1577" s="6" t="str">
        <x:v>resplan-15183-Q08</x:v>
      </x:c>
      <x:c r="I1577" s="6" t="str">
        <x:v>Route planning</x:v>
      </x:c>
      <x:c r="J1577" s="6" t="str">
        <x:v>Warm-up</x:v>
      </x:c>
      <x:c r="K1577" s="6" t="str">
        <x:v>Reachable: ordered path and metres. Unreachable: explicitly state no step-free route.</x:v>
      </x:c>
      <x:c r="L1577" s="6" t="str">
        <x:v>T02, T05, T13</x:v>
      </x:c>
      <x:c r="M1577" s="6" t="str">
        <x:v>Check whether a step-free route exists and give it when possible.</x:v>
      </x:c>
      <x:c r="N1577" s="6" t="str">
        <x:v>{"from_space_id":"resplan-15183-F0-S001","to_space_id":"resplan-15183-F0-S004","optimal_length_m":8.82,"space_path":["resplan-15183-F0-S001","resplan-15183-F0-S002","resplan-15183-F0-S004"],"element_path":["resplan-15183-F0-O0003","resplan-15183-F0-O0003","resplan-15183-F0-O0002","resplan-15183-F0-O0002"]}</x:v>
      </x:c>
      <x:c r="O1577" s="6"/>
      <x:c r="P1577" s="6" t="str">
        <x:v>step_free=true. No stairs or stepped openings. May be unreachable.</x:v>
      </x:c>
      <x:c r="Q1577" s="15" t="n">
        <x:v>8.82</x:v>
      </x:c>
      <x:c r="R1577" s="6" t="str">
        <x:v>m</x:v>
      </x:c>
      <x:c r="S1577" s="16"/>
      <x:c r="T1577" s="15"/>
      <x:c r="U1577" s="6"/>
      <x:c r="V1577" s="6"/>
      <x:c r="W1577" s="6" t="str">
        <x:v>Existing find_route(step_free=true).</x:v>
      </x:c>
      <x:c r="X1577" s="6" t="str">
        <x:v>data/train/resplan-15183/questions_basic.jsonl</x:v>
      </x:c>
      <x:c r="Y1577" s="14" t="n">
        <x:v>8</x:v>
      </x:c>
      <x:c r="Z1577" s="6" t="str">
        <x:v>https://github.com/hagenhaeussler/Industrial-Agents-Hackathon-2026/blob/f41616590b69f3ea0c1cbfb41d6c35edd9ce53df/data/train/resplan-15183/questions_basic.jsonl#L8</x:v>
      </x:c>
      <x:c r="AA1577" s="6" t="str">
        <x:v>resplan</x:v>
      </x:c>
      <x:c r="AB1577" s="6" t="str">
        <x:v>CC-BY-4.0</x:v>
      </x:c>
    </x:row>
    <x:row r="1578" ht="72" customHeight="1">
      <x:c r="A1578" s="14" t="n">
        <x:v>1573</x:v>
      </x:c>
      <x:c r="B1578" s="6" t="str">
        <x:v>route_step_free</x:v>
      </x:c>
      <x:c r="C1578" s="6" t="str">
        <x:v>Is there a step-free route from Living room 0.01 (Ground floor) to Bathroom 0.04 (Ground floor)?</x:v>
      </x:c>
      <x:c r="D1578" s="6" t="str">
        <x:v>3.42 m
From: Living room 0.01
To: Bathroom 0.04
Ordered path (2 spaces): Living room 0.01 → Bathroom 0.04</x:v>
      </x:c>
      <x:c r="E1578" s="6" t="str">
        <x:v>Reference supplied</x:v>
      </x:c>
      <x:c r="F1578" s="6" t="str">
        <x:v>train</x:v>
      </x:c>
      <x:c r="G1578" s="6" t="str">
        <x:v>resplan-15550</x:v>
      </x:c>
      <x:c r="H1578" s="6" t="str">
        <x:v>resplan-15550-Q08</x:v>
      </x:c>
      <x:c r="I1578" s="6" t="str">
        <x:v>Route planning</x:v>
      </x:c>
      <x:c r="J1578" s="6" t="str">
        <x:v>Warm-up</x:v>
      </x:c>
      <x:c r="K1578" s="6" t="str">
        <x:v>Reachable: ordered path and metres. Unreachable: explicitly state no step-free route.</x:v>
      </x:c>
      <x:c r="L1578" s="6" t="str">
        <x:v>T02, T05, T13</x:v>
      </x:c>
      <x:c r="M1578" s="6" t="str">
        <x:v>Check whether a step-free route exists and give it when possible.</x:v>
      </x:c>
      <x:c r="N1578" s="6" t="str">
        <x:v>{"from_space_id":"resplan-15550-F0-S001","to_space_id":"resplan-15550-F0-S004","optimal_length_m":3.42,"space_path":["resplan-15550-F0-S001","resplan-15550-F0-S004"],"element_path":["resplan-15550-F0-O0003","resplan-15550-F0-O0003"]}</x:v>
      </x:c>
      <x:c r="O1578" s="6"/>
      <x:c r="P1578" s="6" t="str">
        <x:v>step_free=true. No stairs or stepped openings. May be unreachable.</x:v>
      </x:c>
      <x:c r="Q1578" s="15" t="n">
        <x:v>3.42</x:v>
      </x:c>
      <x:c r="R1578" s="6" t="str">
        <x:v>m</x:v>
      </x:c>
      <x:c r="S1578" s="16"/>
      <x:c r="T1578" s="15"/>
      <x:c r="U1578" s="6"/>
      <x:c r="V1578" s="6"/>
      <x:c r="W1578" s="6" t="str">
        <x:v>Existing find_route(step_free=true).</x:v>
      </x:c>
      <x:c r="X1578" s="6" t="str">
        <x:v>data/train/resplan-15550/questions_basic.jsonl</x:v>
      </x:c>
      <x:c r="Y1578" s="14" t="n">
        <x:v>8</x:v>
      </x:c>
      <x:c r="Z1578" s="6" t="str">
        <x:v>https://github.com/hagenhaeussler/Industrial-Agents-Hackathon-2026/blob/f41616590b69f3ea0c1cbfb41d6c35edd9ce53df/data/train/resplan-15550/questions_basic.jsonl#L8</x:v>
      </x:c>
      <x:c r="AA1578" s="6" t="str">
        <x:v>resplan</x:v>
      </x:c>
      <x:c r="AB1578" s="6" t="str">
        <x:v>CC-BY-4.0</x:v>
      </x:c>
    </x:row>
    <x:row r="1579" ht="82" customHeight="1">
      <x:c r="A1579" s="14" t="n">
        <x:v>1574</x:v>
      </x:c>
      <x:c r="B1579" s="6" t="str">
        <x:v>route_step_free</x:v>
      </x:c>
      <x:c r="C1579" s="6" t="str">
        <x:v>Is there a step-free route from Bathroom 0.04 (Ground floor) to Kitchen 0.06 (Ground floor)?</x:v>
      </x:c>
      <x:c r="D1579" s="6" t="str">
        <x:v>10.78 m
From: Bathroom 0.04
To: Kitchen 0.06
Ordered path (3 spaces): Bathroom 0.04 → Living room 0.01 → Kitchen 0.06</x:v>
      </x:c>
      <x:c r="E1579" s="6" t="str">
        <x:v>Reference supplied</x:v>
      </x:c>
      <x:c r="F1579" s="6" t="str">
        <x:v>train</x:v>
      </x:c>
      <x:c r="G1579" s="6" t="str">
        <x:v>resplan-15793</x:v>
      </x:c>
      <x:c r="H1579" s="6" t="str">
        <x:v>resplan-15793-Q08</x:v>
      </x:c>
      <x:c r="I1579" s="6" t="str">
        <x:v>Route planning</x:v>
      </x:c>
      <x:c r="J1579" s="6" t="str">
        <x:v>Warm-up</x:v>
      </x:c>
      <x:c r="K1579" s="6" t="str">
        <x:v>Reachable: ordered path and metres. Unreachable: explicitly state no step-free route.</x:v>
      </x:c>
      <x:c r="L1579" s="6" t="str">
        <x:v>T02, T05, T13</x:v>
      </x:c>
      <x:c r="M1579" s="6" t="str">
        <x:v>Check whether a step-free route exists and give it when possible.</x:v>
      </x:c>
      <x:c r="N1579" s="6" t="str">
        <x:v>{"from_space_id":"resplan-15793-F0-S004","to_space_id":"resplan-15793-F0-S006","optimal_length_m":10.78,"space_path":["resplan-15793-F0-S004","resplan-15793-F0-S001","resplan-15793-F0-S006"],"element_path":["resplan-15793-F0-O0004","resplan-15793-F0-O0004","resplan-15793-F0-O0006","resplan-15793-F0-O0006"]}</x:v>
      </x:c>
      <x:c r="O1579" s="6"/>
      <x:c r="P1579" s="6" t="str">
        <x:v>step_free=true. No stairs or stepped openings. May be unreachable.</x:v>
      </x:c>
      <x:c r="Q1579" s="15" t="n">
        <x:v>10.78</x:v>
      </x:c>
      <x:c r="R1579" s="6" t="str">
        <x:v>m</x:v>
      </x:c>
      <x:c r="S1579" s="16"/>
      <x:c r="T1579" s="15"/>
      <x:c r="U1579" s="6"/>
      <x:c r="V1579" s="6"/>
      <x:c r="W1579" s="6" t="str">
        <x:v>Existing find_route(step_free=true).</x:v>
      </x:c>
      <x:c r="X1579" s="6" t="str">
        <x:v>data/train/resplan-15793/questions_basic.jsonl</x:v>
      </x:c>
      <x:c r="Y1579" s="14" t="n">
        <x:v>8</x:v>
      </x:c>
      <x:c r="Z1579" s="6" t="str">
        <x:v>https://github.com/hagenhaeussler/Industrial-Agents-Hackathon-2026/blob/f41616590b69f3ea0c1cbfb41d6c35edd9ce53df/data/train/resplan-15793/questions_basic.jsonl#L8</x:v>
      </x:c>
      <x:c r="AA1579" s="6" t="str">
        <x:v>resplan</x:v>
      </x:c>
      <x:c r="AB1579" s="6" t="str">
        <x:v>CC-BY-4.0</x:v>
      </x:c>
    </x:row>
    <x:row r="1580" ht="72" customHeight="1">
      <x:c r="A1580" s="14" t="n">
        <x:v>1575</x:v>
      </x:c>
      <x:c r="B1580" s="6" t="str">
        <x:v>route_step_free</x:v>
      </x:c>
      <x:c r="C1580" s="6" t="str">
        <x:v>Is there a step-free route from Bathroom 0.03 (Ground floor) to Living room 0.01 (Ground floor)?</x:v>
      </x:c>
      <x:c r="D1580" s="6" t="str">
        <x:v>1.82 m
From: Bathroom 0.03
To: Living room 0.01
Ordered path (2 spaces): Bathroom 0.03 → Living room 0.01</x:v>
      </x:c>
      <x:c r="E1580" s="6" t="str">
        <x:v>Reference supplied</x:v>
      </x:c>
      <x:c r="F1580" s="6" t="str">
        <x:v>train</x:v>
      </x:c>
      <x:c r="G1580" s="6" t="str">
        <x:v>resplan-16021</x:v>
      </x:c>
      <x:c r="H1580" s="6" t="str">
        <x:v>resplan-16021-Q08</x:v>
      </x:c>
      <x:c r="I1580" s="6" t="str">
        <x:v>Route planning</x:v>
      </x:c>
      <x:c r="J1580" s="6" t="str">
        <x:v>Warm-up</x:v>
      </x:c>
      <x:c r="K1580" s="6" t="str">
        <x:v>Reachable: ordered path and metres. Unreachable: explicitly state no step-free route.</x:v>
      </x:c>
      <x:c r="L1580" s="6" t="str">
        <x:v>T02, T05, T13</x:v>
      </x:c>
      <x:c r="M1580" s="6" t="str">
        <x:v>Check whether a step-free route exists and give it when possible.</x:v>
      </x:c>
      <x:c r="N1580" s="6" t="str">
        <x:v>{"from_space_id":"resplan-16021-F0-S003","to_space_id":"resplan-16021-F0-S001","optimal_length_m":1.82,"space_path":["resplan-16021-F0-S003","resplan-16021-F0-S001"],"element_path":["resplan-16021-F0-O0002","resplan-16021-F0-O0002"]}</x:v>
      </x:c>
      <x:c r="O1580" s="6"/>
      <x:c r="P1580" s="6" t="str">
        <x:v>step_free=true. No stairs or stepped openings. May be unreachable.</x:v>
      </x:c>
      <x:c r="Q1580" s="15" t="n">
        <x:v>1.82</x:v>
      </x:c>
      <x:c r="R1580" s="6" t="str">
        <x:v>m</x:v>
      </x:c>
      <x:c r="S1580" s="16"/>
      <x:c r="T1580" s="15"/>
      <x:c r="U1580" s="6"/>
      <x:c r="V1580" s="6"/>
      <x:c r="W1580" s="6" t="str">
        <x:v>Existing find_route(step_free=true).</x:v>
      </x:c>
      <x:c r="X1580" s="6" t="str">
        <x:v>data/train/resplan-16021/questions_basic.jsonl</x:v>
      </x:c>
      <x:c r="Y1580" s="14" t="n">
        <x:v>8</x:v>
      </x:c>
      <x:c r="Z1580" s="6" t="str">
        <x:v>https://github.com/hagenhaeussler/Industrial-Agents-Hackathon-2026/blob/f41616590b69f3ea0c1cbfb41d6c35edd9ce53df/data/train/resplan-16021/questions_basic.jsonl#L8</x:v>
      </x:c>
      <x:c r="AA1580" s="6" t="str">
        <x:v>resplan</x:v>
      </x:c>
      <x:c r="AB1580" s="6" t="str">
        <x:v>CC-BY-4.0</x:v>
      </x:c>
    </x:row>
    <x:row r="1581" ht="72" customHeight="1">
      <x:c r="A1581" s="14" t="n">
        <x:v>1576</x:v>
      </x:c>
      <x:c r="B1581" s="6" t="str">
        <x:v>route_step_free</x:v>
      </x:c>
      <x:c r="C1581" s="6" t="str">
        <x:v>Is there a step-free route from Bedroom 0.03 (Ground floor) to Kitchen 0.08 (Ground floor)?</x:v>
      </x:c>
      <x:c r="D1581" s="6" t="str">
        <x:v>16.81 m
From: Bedroom 0.03
To: Kitchen 0.08
Ordered path (3 spaces): Bedroom 0.03 → Living room 0.01 → Kitchen 0.08</x:v>
      </x:c>
      <x:c r="E1581" s="6" t="str">
        <x:v>Reference supplied</x:v>
      </x:c>
      <x:c r="F1581" s="6" t="str">
        <x:v>train</x:v>
      </x:c>
      <x:c r="G1581" s="6" t="str">
        <x:v>resplan-16188</x:v>
      </x:c>
      <x:c r="H1581" s="6" t="str">
        <x:v>resplan-16188-Q08</x:v>
      </x:c>
      <x:c r="I1581" s="6" t="str">
        <x:v>Route planning</x:v>
      </x:c>
      <x:c r="J1581" s="6" t="str">
        <x:v>Warm-up</x:v>
      </x:c>
      <x:c r="K1581" s="6" t="str">
        <x:v>Reachable: ordered path and metres. Unreachable: explicitly state no step-free route.</x:v>
      </x:c>
      <x:c r="L1581" s="6" t="str">
        <x:v>T02, T05, T13</x:v>
      </x:c>
      <x:c r="M1581" s="6" t="str">
        <x:v>Check whether a step-free route exists and give it when possible.</x:v>
      </x:c>
      <x:c r="N1581" s="6" t="str">
        <x:v>{"from_space_id":"resplan-16188-F0-S003","to_space_id":"resplan-16188-F0-S008","optimal_length_m":16.81,"space_path":["resplan-16188-F0-S003","resplan-16188-F0-S001","resplan-16188-F0-S008"],"element_path":["resplan-16188-F0-O0001","resplan-16188-F0-O0001","resplan-16188-F0-O0008","resplan-16188-F0-O0008"]}</x:v>
      </x:c>
      <x:c r="O1581" s="6"/>
      <x:c r="P1581" s="6" t="str">
        <x:v>step_free=true. No stairs or stepped openings. May be unreachable.</x:v>
      </x:c>
      <x:c r="Q1581" s="15" t="n">
        <x:v>16.81</x:v>
      </x:c>
      <x:c r="R1581" s="6" t="str">
        <x:v>m</x:v>
      </x:c>
      <x:c r="S1581" s="16"/>
      <x:c r="T1581" s="15"/>
      <x:c r="U1581" s="6"/>
      <x:c r="V1581" s="6"/>
      <x:c r="W1581" s="6" t="str">
        <x:v>Existing find_route(step_free=true).</x:v>
      </x:c>
      <x:c r="X1581" s="6" t="str">
        <x:v>data/train/resplan-16188/questions_basic.jsonl</x:v>
      </x:c>
      <x:c r="Y1581" s="14" t="n">
        <x:v>8</x:v>
      </x:c>
      <x:c r="Z1581" s="6" t="str">
        <x:v>https://github.com/hagenhaeussler/Industrial-Agents-Hackathon-2026/blob/f41616590b69f3ea0c1cbfb41d6c35edd9ce53df/data/train/resplan-16188/questions_basic.jsonl#L8</x:v>
      </x:c>
      <x:c r="AA1581" s="6" t="str">
        <x:v>resplan</x:v>
      </x:c>
      <x:c r="AB1581" s="6" t="str">
        <x:v>CC-BY-4.0</x:v>
      </x:c>
    </x:row>
    <x:row r="1582" ht="72" customHeight="1">
      <x:c r="A1582" s="14" t="n">
        <x:v>1577</x:v>
      </x:c>
      <x:c r="B1582" s="6" t="str">
        <x:v>route_step_free</x:v>
      </x:c>
      <x:c r="C1582" s="6" t="str">
        <x:v>Is there a step-free route from Bedroom 0.03 (Ground floor) to Living room 0.01 (Ground floor)?</x:v>
      </x:c>
      <x:c r="D1582" s="6" t="str">
        <x:v>7.78 m
From: Bedroom 0.03
To: Living room 0.01
Ordered path (2 spaces): Bedroom 0.03 → Living room 0.01</x:v>
      </x:c>
      <x:c r="E1582" s="6" t="str">
        <x:v>Reference supplied</x:v>
      </x:c>
      <x:c r="F1582" s="6" t="str">
        <x:v>train</x:v>
      </x:c>
      <x:c r="G1582" s="6" t="str">
        <x:v>resplan-16407</x:v>
      </x:c>
      <x:c r="H1582" s="6" t="str">
        <x:v>resplan-16407-Q08</x:v>
      </x:c>
      <x:c r="I1582" s="6" t="str">
        <x:v>Route planning</x:v>
      </x:c>
      <x:c r="J1582" s="6" t="str">
        <x:v>Warm-up</x:v>
      </x:c>
      <x:c r="K1582" s="6" t="str">
        <x:v>Reachable: ordered path and metres. Unreachable: explicitly state no step-free route.</x:v>
      </x:c>
      <x:c r="L1582" s="6" t="str">
        <x:v>T02, T05, T13</x:v>
      </x:c>
      <x:c r="M1582" s="6" t="str">
        <x:v>Check whether a step-free route exists and give it when possible.</x:v>
      </x:c>
      <x:c r="N1582" s="6" t="str">
        <x:v>{"from_space_id":"resplan-16407-F0-S003","to_space_id":"resplan-16407-F0-S001","optimal_length_m":7.78,"space_path":["resplan-16407-F0-S003","resplan-16407-F0-S001"],"element_path":["resplan-16407-F0-O0003","resplan-16407-F0-O0003"]}</x:v>
      </x:c>
      <x:c r="O1582" s="6"/>
      <x:c r="P1582" s="6" t="str">
        <x:v>step_free=true. No stairs or stepped openings. May be unreachable.</x:v>
      </x:c>
      <x:c r="Q1582" s="15" t="n">
        <x:v>7.78</x:v>
      </x:c>
      <x:c r="R1582" s="6" t="str">
        <x:v>m</x:v>
      </x:c>
      <x:c r="S1582" s="16"/>
      <x:c r="T1582" s="15"/>
      <x:c r="U1582" s="6"/>
      <x:c r="V1582" s="6"/>
      <x:c r="W1582" s="6" t="str">
        <x:v>Existing find_route(step_free=true).</x:v>
      </x:c>
      <x:c r="X1582" s="6" t="str">
        <x:v>data/train/resplan-16407/questions_basic.jsonl</x:v>
      </x:c>
      <x:c r="Y1582" s="14" t="n">
        <x:v>8</x:v>
      </x:c>
      <x:c r="Z1582" s="6" t="str">
        <x:v>https://github.com/hagenhaeussler/Industrial-Agents-Hackathon-2026/blob/f41616590b69f3ea0c1cbfb41d6c35edd9ce53df/data/train/resplan-16407/questions_basic.jsonl#L8</x:v>
      </x:c>
      <x:c r="AA1582" s="6" t="str">
        <x:v>resplan</x:v>
      </x:c>
      <x:c r="AB1582" s="6" t="str">
        <x:v>CC-BY-4.0</x:v>
      </x:c>
    </x:row>
    <x:row r="1583" ht="72" customHeight="1">
      <x:c r="A1583" s="14" t="n">
        <x:v>1578</x:v>
      </x:c>
      <x:c r="B1583" s="6" t="str">
        <x:v>route_step_free</x:v>
      </x:c>
      <x:c r="C1583" s="6" t="str">
        <x:v>Is there a step-free route from Living room 0.01 (Ground floor) to Kitchen 0.08 (Ground floor)?</x:v>
      </x:c>
      <x:c r="D1583" s="6" t="str">
        <x:v>3.48 m
From: Living room 0.01
To: Kitchen 0.08
Ordered path (2 spaces): Living room 0.01 → Kitchen 0.08</x:v>
      </x:c>
      <x:c r="E1583" s="6" t="str">
        <x:v>Reference supplied</x:v>
      </x:c>
      <x:c r="F1583" s="6" t="str">
        <x:v>train</x:v>
      </x:c>
      <x:c r="G1583" s="6" t="str">
        <x:v>resplan-16484</x:v>
      </x:c>
      <x:c r="H1583" s="6" t="str">
        <x:v>resplan-16484-Q08</x:v>
      </x:c>
      <x:c r="I1583" s="6" t="str">
        <x:v>Route planning</x:v>
      </x:c>
      <x:c r="J1583" s="6" t="str">
        <x:v>Warm-up</x:v>
      </x:c>
      <x:c r="K1583" s="6" t="str">
        <x:v>Reachable: ordered path and metres. Unreachable: explicitly state no step-free route.</x:v>
      </x:c>
      <x:c r="L1583" s="6" t="str">
        <x:v>T02, T05, T13</x:v>
      </x:c>
      <x:c r="M1583" s="6" t="str">
        <x:v>Check whether a step-free route exists and give it when possible.</x:v>
      </x:c>
      <x:c r="N1583" s="6" t="str">
        <x:v>{"from_space_id":"resplan-16484-F0-S001","to_space_id":"resplan-16484-F0-S008","optimal_length_m":3.48,"space_path":["resplan-16484-F0-S001","resplan-16484-F0-S008"],"element_path":["resplan-16484-F0-O0009","resplan-16484-F0-O0009"]}</x:v>
      </x:c>
      <x:c r="O1583" s="6"/>
      <x:c r="P1583" s="6" t="str">
        <x:v>step_free=true. No stairs or stepped openings. May be unreachable.</x:v>
      </x:c>
      <x:c r="Q1583" s="15" t="n">
        <x:v>3.48</x:v>
      </x:c>
      <x:c r="R1583" s="6" t="str">
        <x:v>m</x:v>
      </x:c>
      <x:c r="S1583" s="16"/>
      <x:c r="T1583" s="15"/>
      <x:c r="U1583" s="6"/>
      <x:c r="V1583" s="6"/>
      <x:c r="W1583" s="6" t="str">
        <x:v>Existing find_route(step_free=true).</x:v>
      </x:c>
      <x:c r="X1583" s="6" t="str">
        <x:v>data/train/resplan-16484/questions_basic.jsonl</x:v>
      </x:c>
      <x:c r="Y1583" s="14" t="n">
        <x:v>8</x:v>
      </x:c>
      <x:c r="Z1583" s="6" t="str">
        <x:v>https://github.com/hagenhaeussler/Industrial-Agents-Hackathon-2026/blob/f41616590b69f3ea0c1cbfb41d6c35edd9ce53df/data/train/resplan-16484/questions_basic.jsonl#L8</x:v>
      </x:c>
      <x:c r="AA1583" s="6" t="str">
        <x:v>resplan</x:v>
      </x:c>
      <x:c r="AB1583" s="6" t="str">
        <x:v>CC-BY-4.0</x:v>
      </x:c>
    </x:row>
    <x:row r="1584" ht="72" customHeight="1">
      <x:c r="A1584" s="14" t="n">
        <x:v>1579</x:v>
      </x:c>
      <x:c r="B1584" s="6" t="str">
        <x:v>route_step_free</x:v>
      </x:c>
      <x:c r="C1584" s="6" t="str">
        <x:v>Is there a step-free route from Living room 0.01 (Ground floor) to Bathroom 0.04 (Ground floor)?</x:v>
      </x:c>
      <x:c r="D1584" s="6" t="str">
        <x:v>3.98 m
From: Living room 0.01
To: Bathroom 0.04
Ordered path (2 spaces): Living room 0.01 → Bathroom 0.04</x:v>
      </x:c>
      <x:c r="E1584" s="6" t="str">
        <x:v>Reference supplied</x:v>
      </x:c>
      <x:c r="F1584" s="6" t="str">
        <x:v>train</x:v>
      </x:c>
      <x:c r="G1584" s="6" t="str">
        <x:v>resplan-16645</x:v>
      </x:c>
      <x:c r="H1584" s="6" t="str">
        <x:v>resplan-16645-Q08</x:v>
      </x:c>
      <x:c r="I1584" s="6" t="str">
        <x:v>Route planning</x:v>
      </x:c>
      <x:c r="J1584" s="6" t="str">
        <x:v>Warm-up</x:v>
      </x:c>
      <x:c r="K1584" s="6" t="str">
        <x:v>Reachable: ordered path and metres. Unreachable: explicitly state no step-free route.</x:v>
      </x:c>
      <x:c r="L1584" s="6" t="str">
        <x:v>T02, T05, T13</x:v>
      </x:c>
      <x:c r="M1584" s="6" t="str">
        <x:v>Check whether a step-free route exists and give it when possible.</x:v>
      </x:c>
      <x:c r="N1584" s="6" t="str">
        <x:v>{"from_space_id":"resplan-16645-F0-S001","to_space_id":"resplan-16645-F0-S004","optimal_length_m":3.98,"space_path":["resplan-16645-F0-S001","resplan-16645-F0-S004"],"element_path":["resplan-16645-F0-O0003","resplan-16645-F0-O0003"]}</x:v>
      </x:c>
      <x:c r="O1584" s="6"/>
      <x:c r="P1584" s="6" t="str">
        <x:v>step_free=true. No stairs or stepped openings. May be unreachable.</x:v>
      </x:c>
      <x:c r="Q1584" s="15" t="n">
        <x:v>3.98</x:v>
      </x:c>
      <x:c r="R1584" s="6" t="str">
        <x:v>m</x:v>
      </x:c>
      <x:c r="S1584" s="16"/>
      <x:c r="T1584" s="15"/>
      <x:c r="U1584" s="6"/>
      <x:c r="V1584" s="6"/>
      <x:c r="W1584" s="6" t="str">
        <x:v>Existing find_route(step_free=true).</x:v>
      </x:c>
      <x:c r="X1584" s="6" t="str">
        <x:v>data/train/resplan-16645/questions_basic.jsonl</x:v>
      </x:c>
      <x:c r="Y1584" s="14" t="n">
        <x:v>8</x:v>
      </x:c>
      <x:c r="Z1584" s="6" t="str">
        <x:v>https://github.com/hagenhaeussler/Industrial-Agents-Hackathon-2026/blob/f41616590b69f3ea0c1cbfb41d6c35edd9ce53df/data/train/resplan-16645/questions_basic.jsonl#L8</x:v>
      </x:c>
      <x:c r="AA1584" s="6" t="str">
        <x:v>resplan</x:v>
      </x:c>
      <x:c r="AB1584" s="6" t="str">
        <x:v>CC-BY-4.0</x:v>
      </x:c>
    </x:row>
    <x:row r="1585" ht="72" customHeight="1">
      <x:c r="A1585" s="14" t="n">
        <x:v>1580</x:v>
      </x:c>
      <x:c r="B1585" s="6" t="str">
        <x:v>route_step_free</x:v>
      </x:c>
      <x:c r="C1585" s="6" t="str">
        <x:v>Is there a step-free route from Living room 0.01 (Ground floor) to Bedroom 0.04 (Ground floor)?</x:v>
      </x:c>
      <x:c r="D1585" s="6" t="str">
        <x:v>4.88 m
From: Living room 0.01
To: Bedroom 0.04
Ordered path (2 spaces): Living room 0.01 → Bedroom 0.04</x:v>
      </x:c>
      <x:c r="E1585" s="6" t="str">
        <x:v>Reference supplied</x:v>
      </x:c>
      <x:c r="F1585" s="6" t="str">
        <x:v>train</x:v>
      </x:c>
      <x:c r="G1585" s="6" t="str">
        <x:v>resplan-16778</x:v>
      </x:c>
      <x:c r="H1585" s="6" t="str">
        <x:v>resplan-16778-Q08</x:v>
      </x:c>
      <x:c r="I1585" s="6" t="str">
        <x:v>Route planning</x:v>
      </x:c>
      <x:c r="J1585" s="6" t="str">
        <x:v>Warm-up</x:v>
      </x:c>
      <x:c r="K1585" s="6" t="str">
        <x:v>Reachable: ordered path and metres. Unreachable: explicitly state no step-free route.</x:v>
      </x:c>
      <x:c r="L1585" s="6" t="str">
        <x:v>T02, T05, T13</x:v>
      </x:c>
      <x:c r="M1585" s="6" t="str">
        <x:v>Check whether a step-free route exists and give it when possible.</x:v>
      </x:c>
      <x:c r="N1585" s="6" t="str">
        <x:v>{"from_space_id":"resplan-16778-F0-S001","to_space_id":"resplan-16778-F0-S004","optimal_length_m":4.88,"space_path":["resplan-16778-F0-S001","resplan-16778-F0-S004"],"element_path":["resplan-16778-F0-O0004","resplan-16778-F0-O0004"]}</x:v>
      </x:c>
      <x:c r="O1585" s="6"/>
      <x:c r="P1585" s="6" t="str">
        <x:v>step_free=true. No stairs or stepped openings. May be unreachable.</x:v>
      </x:c>
      <x:c r="Q1585" s="15" t="n">
        <x:v>4.88</x:v>
      </x:c>
      <x:c r="R1585" s="6" t="str">
        <x:v>m</x:v>
      </x:c>
      <x:c r="S1585" s="16"/>
      <x:c r="T1585" s="15"/>
      <x:c r="U1585" s="6"/>
      <x:c r="V1585" s="6"/>
      <x:c r="W1585" s="6" t="str">
        <x:v>Existing find_route(step_free=true).</x:v>
      </x:c>
      <x:c r="X1585" s="6" t="str">
        <x:v>data/train/resplan-16778/questions_basic.jsonl</x:v>
      </x:c>
      <x:c r="Y1585" s="14" t="n">
        <x:v>8</x:v>
      </x:c>
      <x:c r="Z1585" s="6" t="str">
        <x:v>https://github.com/hagenhaeussler/Industrial-Agents-Hackathon-2026/blob/f41616590b69f3ea0c1cbfb41d6c35edd9ce53df/data/train/resplan-16778/questions_basic.jsonl#L8</x:v>
      </x:c>
      <x:c r="AA1585" s="6" t="str">
        <x:v>resplan</x:v>
      </x:c>
      <x:c r="AB1585" s="6" t="str">
        <x:v>CC-BY-4.0</x:v>
      </x:c>
    </x:row>
    <x:row r="1586" ht="72" customHeight="1">
      <x:c r="A1586" s="14" t="n">
        <x:v>1581</x:v>
      </x:c>
      <x:c r="B1586" s="6" t="str">
        <x:v>route_step_free</x:v>
      </x:c>
      <x:c r="C1586" s="6" t="str">
        <x:v>Is there a step-free route from Kitchen 0.06 (Ground floor) to Living room 0.01 (Ground floor)?</x:v>
      </x:c>
      <x:c r="D1586" s="6" t="str">
        <x:v>2.9 m
From: Kitchen 0.06
To: Living room 0.01
Ordered path (2 spaces): Kitchen 0.06 → Living room 0.01</x:v>
      </x:c>
      <x:c r="E1586" s="6" t="str">
        <x:v>Reference supplied</x:v>
      </x:c>
      <x:c r="F1586" s="6" t="str">
        <x:v>train</x:v>
      </x:c>
      <x:c r="G1586" s="6" t="str">
        <x:v>resplan-1702</x:v>
      </x:c>
      <x:c r="H1586" s="6" t="str">
        <x:v>resplan-1702-Q08</x:v>
      </x:c>
      <x:c r="I1586" s="6" t="str">
        <x:v>Route planning</x:v>
      </x:c>
      <x:c r="J1586" s="6" t="str">
        <x:v>Warm-up</x:v>
      </x:c>
      <x:c r="K1586" s="6" t="str">
        <x:v>Reachable: ordered path and metres. Unreachable: explicitly state no step-free route.</x:v>
      </x:c>
      <x:c r="L1586" s="6" t="str">
        <x:v>T02, T05, T13</x:v>
      </x:c>
      <x:c r="M1586" s="6" t="str">
        <x:v>Check whether a step-free route exists and give it when possible.</x:v>
      </x:c>
      <x:c r="N1586" s="6" t="str">
        <x:v>{"from_space_id":"resplan-1702-F0-S006","to_space_id":"resplan-1702-F0-S001","optimal_length_m":2.9,"space_path":["resplan-1702-F0-S006","resplan-1702-F0-S001"],"element_path":["resplan-1702-F0-O0007","resplan-1702-F0-O0007"]}</x:v>
      </x:c>
      <x:c r="O1586" s="6"/>
      <x:c r="P1586" s="6" t="str">
        <x:v>step_free=true. No stairs or stepped openings. May be unreachable.</x:v>
      </x:c>
      <x:c r="Q1586" s="15" t="n">
        <x:v>2.9</x:v>
      </x:c>
      <x:c r="R1586" s="6" t="str">
        <x:v>m</x:v>
      </x:c>
      <x:c r="S1586" s="16"/>
      <x:c r="T1586" s="15"/>
      <x:c r="U1586" s="6"/>
      <x:c r="V1586" s="6"/>
      <x:c r="W1586" s="6" t="str">
        <x:v>Existing find_route(step_free=true).</x:v>
      </x:c>
      <x:c r="X1586" s="6" t="str">
        <x:v>data/train/resplan-1702/questions_basic.jsonl</x:v>
      </x:c>
      <x:c r="Y1586" s="14" t="n">
        <x:v>8</x:v>
      </x:c>
      <x:c r="Z1586" s="6" t="str">
        <x:v>https://github.com/hagenhaeussler/Industrial-Agents-Hackathon-2026/blob/f41616590b69f3ea0c1cbfb41d6c35edd9ce53df/data/train/resplan-1702/questions_basic.jsonl#L8</x:v>
      </x:c>
      <x:c r="AA1586" s="6" t="str">
        <x:v>resplan</x:v>
      </x:c>
      <x:c r="AB1586" s="6" t="str">
        <x:v>CC-BY-4.0</x:v>
      </x:c>
    </x:row>
    <x:row r="1587" ht="72" customHeight="1">
      <x:c r="A1587" s="14" t="n">
        <x:v>1582</x:v>
      </x:c>
      <x:c r="B1587" s="6" t="str">
        <x:v>route_step_free</x:v>
      </x:c>
      <x:c r="C1587" s="6" t="str">
        <x:v>Is there a step-free route from Bathroom 0.04 (Ground floor) to Living room 0.01 (Ground floor)?</x:v>
      </x:c>
      <x:c r="D1587" s="6" t="str">
        <x:v>3.51 m
From: Bathroom 0.04
To: Living room 0.01
Ordered path (2 spaces): Bathroom 0.04 → Living room 0.01</x:v>
      </x:c>
      <x:c r="E1587" s="6" t="str">
        <x:v>Reference supplied</x:v>
      </x:c>
      <x:c r="F1587" s="6" t="str">
        <x:v>train</x:v>
      </x:c>
      <x:c r="G1587" s="6" t="str">
        <x:v>resplan-1804</x:v>
      </x:c>
      <x:c r="H1587" s="6" t="str">
        <x:v>resplan-1804-Q08</x:v>
      </x:c>
      <x:c r="I1587" s="6" t="str">
        <x:v>Route planning</x:v>
      </x:c>
      <x:c r="J1587" s="6" t="str">
        <x:v>Warm-up</x:v>
      </x:c>
      <x:c r="K1587" s="6" t="str">
        <x:v>Reachable: ordered path and metres. Unreachable: explicitly state no step-free route.</x:v>
      </x:c>
      <x:c r="L1587" s="6" t="str">
        <x:v>T02, T05, T13</x:v>
      </x:c>
      <x:c r="M1587" s="6" t="str">
        <x:v>Check whether a step-free route exists and give it when possible.</x:v>
      </x:c>
      <x:c r="N1587" s="6" t="str">
        <x:v>{"from_space_id":"resplan-1804-F0-S004","to_space_id":"resplan-1804-F0-S001","optimal_length_m":3.51,"space_path":["resplan-1804-F0-S004","resplan-1804-F0-S001"],"element_path":["resplan-1804-F0-O0005","resplan-1804-F0-O0005"]}</x:v>
      </x:c>
      <x:c r="O1587" s="6"/>
      <x:c r="P1587" s="6" t="str">
        <x:v>step_free=true. No stairs or stepped openings. May be unreachable.</x:v>
      </x:c>
      <x:c r="Q1587" s="15" t="n">
        <x:v>3.51</x:v>
      </x:c>
      <x:c r="R1587" s="6" t="str">
        <x:v>m</x:v>
      </x:c>
      <x:c r="S1587" s="16"/>
      <x:c r="T1587" s="15"/>
      <x:c r="U1587" s="6"/>
      <x:c r="V1587" s="6"/>
      <x:c r="W1587" s="6" t="str">
        <x:v>Existing find_route(step_free=true).</x:v>
      </x:c>
      <x:c r="X1587" s="6" t="str">
        <x:v>data/train/resplan-1804/questions_basic.jsonl</x:v>
      </x:c>
      <x:c r="Y1587" s="14" t="n">
        <x:v>8</x:v>
      </x:c>
      <x:c r="Z1587" s="6" t="str">
        <x:v>https://github.com/hagenhaeussler/Industrial-Agents-Hackathon-2026/blob/f41616590b69f3ea0c1cbfb41d6c35edd9ce53df/data/train/resplan-1804/questions_basic.jsonl#L8</x:v>
      </x:c>
      <x:c r="AA1587" s="6" t="str">
        <x:v>resplan</x:v>
      </x:c>
      <x:c r="AB1587" s="6" t="str">
        <x:v>CC-BY-4.0</x:v>
      </x:c>
    </x:row>
    <x:row r="1588" ht="72" customHeight="1">
      <x:c r="A1588" s="14" t="n">
        <x:v>1583</x:v>
      </x:c>
      <x:c r="B1588" s="6" t="str">
        <x:v>route_step_free</x:v>
      </x:c>
      <x:c r="C1588" s="6" t="str">
        <x:v>Is there a step-free route from Kitchen 0.08 (Ground floor) to Bedroom 0.03 (Ground floor)?</x:v>
      </x:c>
      <x:c r="D1588" s="6" t="str">
        <x:v>14.76 m
From: Kitchen 0.08
To: Bedroom 0.03
Ordered path (3 spaces): Kitchen 0.08 → Living room 0.01 → Bedroom 0.03</x:v>
      </x:c>
      <x:c r="E1588" s="6" t="str">
        <x:v>Reference supplied</x:v>
      </x:c>
      <x:c r="F1588" s="6" t="str">
        <x:v>train</x:v>
      </x:c>
      <x:c r="G1588" s="6" t="str">
        <x:v>resplan-2100</x:v>
      </x:c>
      <x:c r="H1588" s="6" t="str">
        <x:v>resplan-2100-Q08</x:v>
      </x:c>
      <x:c r="I1588" s="6" t="str">
        <x:v>Route planning</x:v>
      </x:c>
      <x:c r="J1588" s="6" t="str">
        <x:v>Warm-up</x:v>
      </x:c>
      <x:c r="K1588" s="6" t="str">
        <x:v>Reachable: ordered path and metres. Unreachable: explicitly state no step-free route.</x:v>
      </x:c>
      <x:c r="L1588" s="6" t="str">
        <x:v>T02, T05, T13</x:v>
      </x:c>
      <x:c r="M1588" s="6" t="str">
        <x:v>Check whether a step-free route exists and give it when possible.</x:v>
      </x:c>
      <x:c r="N1588" s="6" t="str">
        <x:v>{"from_space_id":"resplan-2100-F0-S008","to_space_id":"resplan-2100-F0-S003","optimal_length_m":14.76,"space_path":["resplan-2100-F0-S008","resplan-2100-F0-S001","resplan-2100-F0-S003"],"element_path":["resplan-2100-F0-O0009","resplan-2100-F0-O0009","resplan-2100-F0-O0003","resplan-2100-F0-O0003"]}</x:v>
      </x:c>
      <x:c r="O1588" s="6"/>
      <x:c r="P1588" s="6" t="str">
        <x:v>step_free=true. No stairs or stepped openings. May be unreachable.</x:v>
      </x:c>
      <x:c r="Q1588" s="15" t="n">
        <x:v>14.76</x:v>
      </x:c>
      <x:c r="R1588" s="6" t="str">
        <x:v>m</x:v>
      </x:c>
      <x:c r="S1588" s="16"/>
      <x:c r="T1588" s="15"/>
      <x:c r="U1588" s="6"/>
      <x:c r="V1588" s="6"/>
      <x:c r="W1588" s="6" t="str">
        <x:v>Existing find_route(step_free=true).</x:v>
      </x:c>
      <x:c r="X1588" s="6" t="str">
        <x:v>data/train/resplan-2100/questions_basic.jsonl</x:v>
      </x:c>
      <x:c r="Y1588" s="14" t="n">
        <x:v>8</x:v>
      </x:c>
      <x:c r="Z1588" s="6" t="str">
        <x:v>https://github.com/hagenhaeussler/Industrial-Agents-Hackathon-2026/blob/f41616590b69f3ea0c1cbfb41d6c35edd9ce53df/data/train/resplan-2100/questions_basic.jsonl#L8</x:v>
      </x:c>
      <x:c r="AA1588" s="6" t="str">
        <x:v>resplan</x:v>
      </x:c>
      <x:c r="AB1588" s="6" t="str">
        <x:v>CC-BY-4.0</x:v>
      </x:c>
    </x:row>
    <x:row r="1589" ht="82" customHeight="1">
      <x:c r="A1589" s="14" t="n">
        <x:v>1584</x:v>
      </x:c>
      <x:c r="B1589" s="6" t="str">
        <x:v>route_step_free</x:v>
      </x:c>
      <x:c r="C1589" s="6" t="str">
        <x:v>Is there a step-free route from Bathroom 0.03 (Ground floor) to Bedroom 0.02 (Ground floor)?</x:v>
      </x:c>
      <x:c r="D1589" s="6" t="str">
        <x:v>10.14 m
From: Bathroom 0.03
To: Bedroom 0.02
Ordered path (3 spaces): Bathroom 0.03 → Living room 0.01 → Bedroom 0.02</x:v>
      </x:c>
      <x:c r="E1589" s="6" t="str">
        <x:v>Reference supplied</x:v>
      </x:c>
      <x:c r="F1589" s="6" t="str">
        <x:v>train</x:v>
      </x:c>
      <x:c r="G1589" s="6" t="str">
        <x:v>resplan-2247</x:v>
      </x:c>
      <x:c r="H1589" s="6" t="str">
        <x:v>resplan-2247-Q08</x:v>
      </x:c>
      <x:c r="I1589" s="6" t="str">
        <x:v>Route planning</x:v>
      </x:c>
      <x:c r="J1589" s="6" t="str">
        <x:v>Warm-up</x:v>
      </x:c>
      <x:c r="K1589" s="6" t="str">
        <x:v>Reachable: ordered path and metres. Unreachable: explicitly state no step-free route.</x:v>
      </x:c>
      <x:c r="L1589" s="6" t="str">
        <x:v>T02, T05, T13</x:v>
      </x:c>
      <x:c r="M1589" s="6" t="str">
        <x:v>Check whether a step-free route exists and give it when possible.</x:v>
      </x:c>
      <x:c r="N1589" s="6" t="str">
        <x:v>{"from_space_id":"resplan-2247-F0-S003","to_space_id":"resplan-2247-F0-S002","optimal_length_m":10.14,"space_path":["resplan-2247-F0-S003","resplan-2247-F0-S001","resplan-2247-F0-S002"],"element_path":["resplan-2247-F0-O0004","resplan-2247-F0-O0004","resplan-2247-F0-O0002","resplan-2247-F0-O0002"]}</x:v>
      </x:c>
      <x:c r="O1589" s="6"/>
      <x:c r="P1589" s="6" t="str">
        <x:v>step_free=true. No stairs or stepped openings. May be unreachable.</x:v>
      </x:c>
      <x:c r="Q1589" s="15" t="n">
        <x:v>10.14</x:v>
      </x:c>
      <x:c r="R1589" s="6" t="str">
        <x:v>m</x:v>
      </x:c>
      <x:c r="S1589" s="16"/>
      <x:c r="T1589" s="15"/>
      <x:c r="U1589" s="6"/>
      <x:c r="V1589" s="6"/>
      <x:c r="W1589" s="6" t="str">
        <x:v>Existing find_route(step_free=true).</x:v>
      </x:c>
      <x:c r="X1589" s="6" t="str">
        <x:v>data/train/resplan-2247/questions_basic.jsonl</x:v>
      </x:c>
      <x:c r="Y1589" s="14" t="n">
        <x:v>8</x:v>
      </x:c>
      <x:c r="Z1589" s="6" t="str">
        <x:v>https://github.com/hagenhaeussler/Industrial-Agents-Hackathon-2026/blob/f41616590b69f3ea0c1cbfb41d6c35edd9ce53df/data/train/resplan-2247/questions_basic.jsonl#L8</x:v>
      </x:c>
      <x:c r="AA1589" s="6" t="str">
        <x:v>resplan</x:v>
      </x:c>
      <x:c r="AB1589" s="6" t="str">
        <x:v>CC-BY-4.0</x:v>
      </x:c>
    </x:row>
    <x:row r="1590" ht="82" customHeight="1">
      <x:c r="A1590" s="14" t="n">
        <x:v>1585</x:v>
      </x:c>
      <x:c r="B1590" s="6" t="str">
        <x:v>route_step_free</x:v>
      </x:c>
      <x:c r="C1590" s="6" t="str">
        <x:v>Is there a step-free route from Bathroom 0.06 (Ground floor) to Bathroom 0.05 (Ground floor)?</x:v>
      </x:c>
      <x:c r="D1590" s="6" t="str">
        <x:v>21.64 m
From: Bathroom 0.06
To: Bathroom 0.05
Ordered path (4 spaces): Bathroom 0.06 → Living room 0.01 → Bedroom 0.04 → Bathroom 0.05</x:v>
      </x:c>
      <x:c r="E1590" s="6" t="str">
        <x:v>Reference supplied</x:v>
      </x:c>
      <x:c r="F1590" s="6" t="str">
        <x:v>train</x:v>
      </x:c>
      <x:c r="G1590" s="6" t="str">
        <x:v>resplan-2478</x:v>
      </x:c>
      <x:c r="H1590" s="6" t="str">
        <x:v>resplan-2478-Q08</x:v>
      </x:c>
      <x:c r="I1590" s="6" t="str">
        <x:v>Route planning</x:v>
      </x:c>
      <x:c r="J1590" s="6" t="str">
        <x:v>Warm-up</x:v>
      </x:c>
      <x:c r="K1590" s="6" t="str">
        <x:v>Reachable: ordered path and metres. Unreachable: explicitly state no step-free route.</x:v>
      </x:c>
      <x:c r="L1590" s="6" t="str">
        <x:v>T02, T05, T13</x:v>
      </x:c>
      <x:c r="M1590" s="6" t="str">
        <x:v>Check whether a step-free route exists and give it when possible.</x:v>
      </x:c>
      <x:c r="N1590" s="6" t="str">
        <x:v>{"from_space_id":"resplan-2478-F0-S006","to_space_id":"resplan-2478-F0-S005","optimal_length_m":21.64,"space_path":["resplan-2478-F0-S006","resplan-2478-F0-S001","resplan-2478-F0-S004","resplan-2478-F0-S005"],"element_path":["resplan-2478-F0-O0003","resplan-2478-F0-O0003","resplan-2478-F0-O0004","resplan-2478-F0-O0004","resplan-2478-F0-O0005","resplan-2478-F0-O0005"]}</x:v>
      </x:c>
      <x:c r="O1590" s="6"/>
      <x:c r="P1590" s="6" t="str">
        <x:v>step_free=true. No stairs or stepped openings. May be unreachable.</x:v>
      </x:c>
      <x:c r="Q1590" s="15" t="n">
        <x:v>21.64</x:v>
      </x:c>
      <x:c r="R1590" s="6" t="str">
        <x:v>m</x:v>
      </x:c>
      <x:c r="S1590" s="16"/>
      <x:c r="T1590" s="15"/>
      <x:c r="U1590" s="6"/>
      <x:c r="V1590" s="6"/>
      <x:c r="W1590" s="6" t="str">
        <x:v>Existing find_route(step_free=true).</x:v>
      </x:c>
      <x:c r="X1590" s="6" t="str">
        <x:v>data/train/resplan-2478/questions_basic.jsonl</x:v>
      </x:c>
      <x:c r="Y1590" s="14" t="n">
        <x:v>8</x:v>
      </x:c>
      <x:c r="Z1590" s="6" t="str">
        <x:v>https://github.com/hagenhaeussler/Industrial-Agents-Hackathon-2026/blob/f41616590b69f3ea0c1cbfb41d6c35edd9ce53df/data/train/resplan-2478/questions_basic.jsonl#L8</x:v>
      </x:c>
      <x:c r="AA1590" s="6" t="str">
        <x:v>resplan</x:v>
      </x:c>
      <x:c r="AB1590" s="6" t="str">
        <x:v>CC-BY-4.0</x:v>
      </x:c>
    </x:row>
    <x:row r="1591" ht="72" customHeight="1">
      <x:c r="A1591" s="14" t="n">
        <x:v>1586</x:v>
      </x:c>
      <x:c r="B1591" s="6" t="str">
        <x:v>route_step_free</x:v>
      </x:c>
      <x:c r="C1591" s="6" t="str">
        <x:v>Is there a step-free route from Kitchen 0.07 (Ground floor) to Living room 0.01 (Ground floor)?</x:v>
      </x:c>
      <x:c r="D1591" s="6" t="str">
        <x:v>2.27 m
From: Kitchen 0.07
To: Living room 0.01
Ordered path (2 spaces): Kitchen 0.07 → Living room 0.01</x:v>
      </x:c>
      <x:c r="E1591" s="6" t="str">
        <x:v>Reference supplied</x:v>
      </x:c>
      <x:c r="F1591" s="6" t="str">
        <x:v>train</x:v>
      </x:c>
      <x:c r="G1591" s="6" t="str">
        <x:v>resplan-2515</x:v>
      </x:c>
      <x:c r="H1591" s="6" t="str">
        <x:v>resplan-2515-Q08</x:v>
      </x:c>
      <x:c r="I1591" s="6" t="str">
        <x:v>Route planning</x:v>
      </x:c>
      <x:c r="J1591" s="6" t="str">
        <x:v>Warm-up</x:v>
      </x:c>
      <x:c r="K1591" s="6" t="str">
        <x:v>Reachable: ordered path and metres. Unreachable: explicitly state no step-free route.</x:v>
      </x:c>
      <x:c r="L1591" s="6" t="str">
        <x:v>T02, T05, T13</x:v>
      </x:c>
      <x:c r="M1591" s="6" t="str">
        <x:v>Check whether a step-free route exists and give it when possible.</x:v>
      </x:c>
      <x:c r="N1591" s="6" t="str">
        <x:v>{"from_space_id":"resplan-2515-F0-S007","to_space_id":"resplan-2515-F0-S001","optimal_length_m":2.27,"space_path":["resplan-2515-F0-S007","resplan-2515-F0-S001"],"element_path":["resplan-2515-F0-O0008","resplan-2515-F0-O0008"]}</x:v>
      </x:c>
      <x:c r="O1591" s="6"/>
      <x:c r="P1591" s="6" t="str">
        <x:v>step_free=true. No stairs or stepped openings. May be unreachable.</x:v>
      </x:c>
      <x:c r="Q1591" s="15" t="n">
        <x:v>2.27</x:v>
      </x:c>
      <x:c r="R1591" s="6" t="str">
        <x:v>m</x:v>
      </x:c>
      <x:c r="S1591" s="16"/>
      <x:c r="T1591" s="15"/>
      <x:c r="U1591" s="6"/>
      <x:c r="V1591" s="6"/>
      <x:c r="W1591" s="6" t="str">
        <x:v>Existing find_route(step_free=true).</x:v>
      </x:c>
      <x:c r="X1591" s="6" t="str">
        <x:v>data/train/resplan-2515/questions_basic.jsonl</x:v>
      </x:c>
      <x:c r="Y1591" s="14" t="n">
        <x:v>8</x:v>
      </x:c>
      <x:c r="Z1591" s="6" t="str">
        <x:v>https://github.com/hagenhaeussler/Industrial-Agents-Hackathon-2026/blob/f41616590b69f3ea0c1cbfb41d6c35edd9ce53df/data/train/resplan-2515/questions_basic.jsonl#L8</x:v>
      </x:c>
      <x:c r="AA1591" s="6" t="str">
        <x:v>resplan</x:v>
      </x:c>
      <x:c r="AB1591" s="6" t="str">
        <x:v>CC-BY-4.0</x:v>
      </x:c>
    </x:row>
    <x:row r="1592" ht="82" customHeight="1">
      <x:c r="A1592" s="14" t="n">
        <x:v>1587</x:v>
      </x:c>
      <x:c r="B1592" s="6" t="str">
        <x:v>route_step_free</x:v>
      </x:c>
      <x:c r="C1592" s="6" t="str">
        <x:v>Is there a step-free route from Bedroom 0.03 (Ground floor) to Bathroom 0.04 (Ground floor)?</x:v>
      </x:c>
      <x:c r="D1592" s="6" t="str">
        <x:v>9.11 m
From: Bedroom 0.03
To: Bathroom 0.04
Ordered path (3 spaces): Bedroom 0.03 → Living room 0.01 → Bathroom 0.04</x:v>
      </x:c>
      <x:c r="E1592" s="6" t="str">
        <x:v>Reference supplied</x:v>
      </x:c>
      <x:c r="F1592" s="6" t="str">
        <x:v>train</x:v>
      </x:c>
      <x:c r="G1592" s="6" t="str">
        <x:v>resplan-2587</x:v>
      </x:c>
      <x:c r="H1592" s="6" t="str">
        <x:v>resplan-2587-Q08</x:v>
      </x:c>
      <x:c r="I1592" s="6" t="str">
        <x:v>Route planning</x:v>
      </x:c>
      <x:c r="J1592" s="6" t="str">
        <x:v>Warm-up</x:v>
      </x:c>
      <x:c r="K1592" s="6" t="str">
        <x:v>Reachable: ordered path and metres. Unreachable: explicitly state no step-free route.</x:v>
      </x:c>
      <x:c r="L1592" s="6" t="str">
        <x:v>T02, T05, T13</x:v>
      </x:c>
      <x:c r="M1592" s="6" t="str">
        <x:v>Check whether a step-free route exists and give it when possible.</x:v>
      </x:c>
      <x:c r="N1592" s="6" t="str">
        <x:v>{"from_space_id":"resplan-2587-F0-S003","to_space_id":"resplan-2587-F0-S004","optimal_length_m":9.11,"space_path":["resplan-2587-F0-S003","resplan-2587-F0-S001","resplan-2587-F0-S004"],"element_path":["resplan-2587-F0-O0004","resplan-2587-F0-O0004","resplan-2587-F0-O0002","resplan-2587-F0-O0002"]}</x:v>
      </x:c>
      <x:c r="O1592" s="6"/>
      <x:c r="P1592" s="6" t="str">
        <x:v>step_free=true. No stairs or stepped openings. May be unreachable.</x:v>
      </x:c>
      <x:c r="Q1592" s="15" t="n">
        <x:v>9.11</x:v>
      </x:c>
      <x:c r="R1592" s="6" t="str">
        <x:v>m</x:v>
      </x:c>
      <x:c r="S1592" s="16"/>
      <x:c r="T1592" s="15"/>
      <x:c r="U1592" s="6"/>
      <x:c r="V1592" s="6"/>
      <x:c r="W1592" s="6" t="str">
        <x:v>Existing find_route(step_free=true).</x:v>
      </x:c>
      <x:c r="X1592" s="6" t="str">
        <x:v>data/train/resplan-2587/questions_basic.jsonl</x:v>
      </x:c>
      <x:c r="Y1592" s="14" t="n">
        <x:v>8</x:v>
      </x:c>
      <x:c r="Z1592" s="6" t="str">
        <x:v>https://github.com/hagenhaeussler/Industrial-Agents-Hackathon-2026/blob/f41616590b69f3ea0c1cbfb41d6c35edd9ce53df/data/train/resplan-2587/questions_basic.jsonl#L8</x:v>
      </x:c>
      <x:c r="AA1592" s="6" t="str">
        <x:v>resplan</x:v>
      </x:c>
      <x:c r="AB1592" s="6" t="str">
        <x:v>CC-BY-4.0</x:v>
      </x:c>
    </x:row>
    <x:row r="1593" ht="72" customHeight="1">
      <x:c r="A1593" s="14" t="n">
        <x:v>1588</x:v>
      </x:c>
      <x:c r="B1593" s="6" t="str">
        <x:v>route_step_free</x:v>
      </x:c>
      <x:c r="C1593" s="6" t="str">
        <x:v>Is there a step-free route from Bedroom 0.03 (Ground floor) to Bedroom 0.05 (Ground floor)?</x:v>
      </x:c>
      <x:c r="D1593" s="6" t="str">
        <x:v>13.3 m
From: Bedroom 0.03
To: Bedroom 0.05
Ordered path (3 spaces): Bedroom 0.03 → Living room 0.01 → Bedroom 0.05</x:v>
      </x:c>
      <x:c r="E1593" s="6" t="str">
        <x:v>Reference supplied</x:v>
      </x:c>
      <x:c r="F1593" s="6" t="str">
        <x:v>train</x:v>
      </x:c>
      <x:c r="G1593" s="6" t="str">
        <x:v>resplan-3207</x:v>
      </x:c>
      <x:c r="H1593" s="6" t="str">
        <x:v>resplan-3207-Q08</x:v>
      </x:c>
      <x:c r="I1593" s="6" t="str">
        <x:v>Route planning</x:v>
      </x:c>
      <x:c r="J1593" s="6" t="str">
        <x:v>Warm-up</x:v>
      </x:c>
      <x:c r="K1593" s="6" t="str">
        <x:v>Reachable: ordered path and metres. Unreachable: explicitly state no step-free route.</x:v>
      </x:c>
      <x:c r="L1593" s="6" t="str">
        <x:v>T02, T05, T13</x:v>
      </x:c>
      <x:c r="M1593" s="6" t="str">
        <x:v>Check whether a step-free route exists and give it when possible.</x:v>
      </x:c>
      <x:c r="N1593" s="6" t="str">
        <x:v>{"from_space_id":"resplan-3207-F0-S003","to_space_id":"resplan-3207-F0-S005","optimal_length_m":13.3,"space_path":["resplan-3207-F0-S003","resplan-3207-F0-S001","resplan-3207-F0-S005"],"element_path":["resplan-3207-F0-O0002","resplan-3207-F0-O0002","resplan-3207-F0-O0006","resplan-3207-F0-O0006"]}</x:v>
      </x:c>
      <x:c r="O1593" s="6"/>
      <x:c r="P1593" s="6" t="str">
        <x:v>step_free=true. No stairs or stepped openings. May be unreachable.</x:v>
      </x:c>
      <x:c r="Q1593" s="15" t="n">
        <x:v>13.3</x:v>
      </x:c>
      <x:c r="R1593" s="6" t="str">
        <x:v>m</x:v>
      </x:c>
      <x:c r="S1593" s="16"/>
      <x:c r="T1593" s="15"/>
      <x:c r="U1593" s="6"/>
      <x:c r="V1593" s="6"/>
      <x:c r="W1593" s="6" t="str">
        <x:v>Existing find_route(step_free=true).</x:v>
      </x:c>
      <x:c r="X1593" s="6" t="str">
        <x:v>data/train/resplan-3207/questions_basic.jsonl</x:v>
      </x:c>
      <x:c r="Y1593" s="14" t="n">
        <x:v>8</x:v>
      </x:c>
      <x:c r="Z1593" s="6" t="str">
        <x:v>https://github.com/hagenhaeussler/Industrial-Agents-Hackathon-2026/blob/f41616590b69f3ea0c1cbfb41d6c35edd9ce53df/data/train/resplan-3207/questions_basic.jsonl#L8</x:v>
      </x:c>
      <x:c r="AA1593" s="6" t="str">
        <x:v>resplan</x:v>
      </x:c>
      <x:c r="AB1593" s="6" t="str">
        <x:v>CC-BY-4.0</x:v>
      </x:c>
    </x:row>
    <x:row r="1594" ht="82" customHeight="1">
      <x:c r="A1594" s="14" t="n">
        <x:v>1589</x:v>
      </x:c>
      <x:c r="B1594" s="6" t="str">
        <x:v>route_step_free</x:v>
      </x:c>
      <x:c r="C1594" s="6" t="str">
        <x:v>Is there a step-free route from Kitchen 0.09 (Ground floor) to Bathroom 0.07 (Ground floor)?</x:v>
      </x:c>
      <x:c r="D1594" s="6" t="str">
        <x:v>13.11 m
From: Kitchen 0.09
To: Bathroom 0.07
Ordered path (3 spaces): Kitchen 0.09 → Living room 0.01 → Bathroom 0.07</x:v>
      </x:c>
      <x:c r="E1594" s="6" t="str">
        <x:v>Reference supplied</x:v>
      </x:c>
      <x:c r="F1594" s="6" t="str">
        <x:v>train</x:v>
      </x:c>
      <x:c r="G1594" s="6" t="str">
        <x:v>resplan-3221</x:v>
      </x:c>
      <x:c r="H1594" s="6" t="str">
        <x:v>resplan-3221-Q08</x:v>
      </x:c>
      <x:c r="I1594" s="6" t="str">
        <x:v>Route planning</x:v>
      </x:c>
      <x:c r="J1594" s="6" t="str">
        <x:v>Warm-up</x:v>
      </x:c>
      <x:c r="K1594" s="6" t="str">
        <x:v>Reachable: ordered path and metres. Unreachable: explicitly state no step-free route.</x:v>
      </x:c>
      <x:c r="L1594" s="6" t="str">
        <x:v>T02, T05, T13</x:v>
      </x:c>
      <x:c r="M1594" s="6" t="str">
        <x:v>Check whether a step-free route exists and give it when possible.</x:v>
      </x:c>
      <x:c r="N1594" s="6" t="str">
        <x:v>{"from_space_id":"resplan-3221-F0-S009","to_space_id":"resplan-3221-F0-S007","optimal_length_m":13.11,"space_path":["resplan-3221-F0-S009","resplan-3221-F0-S001","resplan-3221-F0-S007"],"element_path":["resplan-3221-F0-O0005","resplan-3221-F0-O0005","resplan-3221-F0-O0002","resplan-3221-F0-O0002"]}</x:v>
      </x:c>
      <x:c r="O1594" s="6"/>
      <x:c r="P1594" s="6" t="str">
        <x:v>step_free=true. No stairs or stepped openings. May be unreachable.</x:v>
      </x:c>
      <x:c r="Q1594" s="15" t="n">
        <x:v>13.11</x:v>
      </x:c>
      <x:c r="R1594" s="6" t="str">
        <x:v>m</x:v>
      </x:c>
      <x:c r="S1594" s="16"/>
      <x:c r="T1594" s="15"/>
      <x:c r="U1594" s="6"/>
      <x:c r="V1594" s="6"/>
      <x:c r="W1594" s="6" t="str">
        <x:v>Existing find_route(step_free=true).</x:v>
      </x:c>
      <x:c r="X1594" s="6" t="str">
        <x:v>data/train/resplan-3221/questions_basic.jsonl</x:v>
      </x:c>
      <x:c r="Y1594" s="14" t="n">
        <x:v>8</x:v>
      </x:c>
      <x:c r="Z1594" s="6" t="str">
        <x:v>https://github.com/hagenhaeussler/Industrial-Agents-Hackathon-2026/blob/f41616590b69f3ea0c1cbfb41d6c35edd9ce53df/data/train/resplan-3221/questions_basic.jsonl#L8</x:v>
      </x:c>
      <x:c r="AA1594" s="6" t="str">
        <x:v>resplan</x:v>
      </x:c>
      <x:c r="AB1594" s="6" t="str">
        <x:v>CC-BY-4.0</x:v>
      </x:c>
    </x:row>
    <x:row r="1595" ht="72" customHeight="1">
      <x:c r="A1595" s="14" t="n">
        <x:v>1590</x:v>
      </x:c>
      <x:c r="B1595" s="6" t="str">
        <x:v>route_step_free</x:v>
      </x:c>
      <x:c r="C1595" s="6" t="str">
        <x:v>Is there a step-free route from Bedroom 0.03 (Ground floor) to Kitchen 0.08 (Ground floor)?</x:v>
      </x:c>
      <x:c r="D1595" s="6" t="str">
        <x:v>12.72 m
From: Bedroom 0.03
To: Kitchen 0.08
Ordered path (3 spaces): Bedroom 0.03 → Living room 0.01 → Kitchen 0.08</x:v>
      </x:c>
      <x:c r="E1595" s="6" t="str">
        <x:v>Reference supplied</x:v>
      </x:c>
      <x:c r="F1595" s="6" t="str">
        <x:v>train</x:v>
      </x:c>
      <x:c r="G1595" s="6" t="str">
        <x:v>resplan-3562</x:v>
      </x:c>
      <x:c r="H1595" s="6" t="str">
        <x:v>resplan-3562-Q08</x:v>
      </x:c>
      <x:c r="I1595" s="6" t="str">
        <x:v>Route planning</x:v>
      </x:c>
      <x:c r="J1595" s="6" t="str">
        <x:v>Warm-up</x:v>
      </x:c>
      <x:c r="K1595" s="6" t="str">
        <x:v>Reachable: ordered path and metres. Unreachable: explicitly state no step-free route.</x:v>
      </x:c>
      <x:c r="L1595" s="6" t="str">
        <x:v>T02, T05, T13</x:v>
      </x:c>
      <x:c r="M1595" s="6" t="str">
        <x:v>Check whether a step-free route exists and give it when possible.</x:v>
      </x:c>
      <x:c r="N1595" s="6" t="str">
        <x:v>{"from_space_id":"resplan-3562-F0-S003","to_space_id":"resplan-3562-F0-S008","optimal_length_m":12.72,"space_path":["resplan-3562-F0-S003","resplan-3562-F0-S001","resplan-3562-F0-S008"],"element_path":["resplan-3562-F0-O0003","resplan-3562-F0-O0003","resplan-3562-F0-O0007","resplan-3562-F0-O0007"]}</x:v>
      </x:c>
      <x:c r="O1595" s="6"/>
      <x:c r="P1595" s="6" t="str">
        <x:v>step_free=true. No stairs or stepped openings. May be unreachable.</x:v>
      </x:c>
      <x:c r="Q1595" s="15" t="n">
        <x:v>12.72</x:v>
      </x:c>
      <x:c r="R1595" s="6" t="str">
        <x:v>m</x:v>
      </x:c>
      <x:c r="S1595" s="16"/>
      <x:c r="T1595" s="15"/>
      <x:c r="U1595" s="6"/>
      <x:c r="V1595" s="6"/>
      <x:c r="W1595" s="6" t="str">
        <x:v>Existing find_route(step_free=true).</x:v>
      </x:c>
      <x:c r="X1595" s="6" t="str">
        <x:v>data/train/resplan-3562/questions_basic.jsonl</x:v>
      </x:c>
      <x:c r="Y1595" s="14" t="n">
        <x:v>8</x:v>
      </x:c>
      <x:c r="Z1595" s="6" t="str">
        <x:v>https://github.com/hagenhaeussler/Industrial-Agents-Hackathon-2026/blob/f41616590b69f3ea0c1cbfb41d6c35edd9ce53df/data/train/resplan-3562/questions_basic.jsonl#L8</x:v>
      </x:c>
      <x:c r="AA1595" s="6" t="str">
        <x:v>resplan</x:v>
      </x:c>
      <x:c r="AB1595" s="6" t="str">
        <x:v>CC-BY-4.0</x:v>
      </x:c>
    </x:row>
    <x:row r="1596" ht="82" customHeight="1">
      <x:c r="A1596" s="14" t="n">
        <x:v>1591</x:v>
      </x:c>
      <x:c r="B1596" s="6" t="str">
        <x:v>route_step_free</x:v>
      </x:c>
      <x:c r="C1596" s="6" t="str">
        <x:v>Is there a step-free route from Kitchen 0.11 (Ground floor) to Bathroom 0.09 (Ground floor)?</x:v>
      </x:c>
      <x:c r="D1596" s="6" t="str">
        <x:v>17.2 m
From: Kitchen 0.11
To: Bathroom 0.09
Ordered path (4 spaces): Kitchen 0.11 → Living room 0.01 → Bedroom 0.03 → Bathroom 0.09</x:v>
      </x:c>
      <x:c r="E1596" s="6" t="str">
        <x:v>Reference supplied</x:v>
      </x:c>
      <x:c r="F1596" s="6" t="str">
        <x:v>train</x:v>
      </x:c>
      <x:c r="G1596" s="6" t="str">
        <x:v>resplan-3806</x:v>
      </x:c>
      <x:c r="H1596" s="6" t="str">
        <x:v>resplan-3806-Q08</x:v>
      </x:c>
      <x:c r="I1596" s="6" t="str">
        <x:v>Route planning</x:v>
      </x:c>
      <x:c r="J1596" s="6" t="str">
        <x:v>Warm-up</x:v>
      </x:c>
      <x:c r="K1596" s="6" t="str">
        <x:v>Reachable: ordered path and metres. Unreachable: explicitly state no step-free route.</x:v>
      </x:c>
      <x:c r="L1596" s="6" t="str">
        <x:v>T02, T05, T13</x:v>
      </x:c>
      <x:c r="M1596" s="6" t="str">
        <x:v>Check whether a step-free route exists and give it when possible.</x:v>
      </x:c>
      <x:c r="N1596" s="6" t="str">
        <x:v>{"from_space_id":"resplan-3806-F0-S011","to_space_id":"resplan-3806-F0-S009","optimal_length_m":17.2,"space_path":["resplan-3806-F0-S011","resplan-3806-F0-S001","resplan-3806-F0-S003","resplan-3806-F0-S009"],"element_path":["resplan-3806-F0-O0013","resplan-3806-F0-O0013","resplan-3806-F0-O0003","resplan-3806-F0-O0003","resplan-3806-F0-O0008","resplan-3806-F0-O0008"]}</x:v>
      </x:c>
      <x:c r="O1596" s="6"/>
      <x:c r="P1596" s="6" t="str">
        <x:v>step_free=true. No stairs or stepped openings. May be unreachable.</x:v>
      </x:c>
      <x:c r="Q1596" s="15" t="n">
        <x:v>17.2</x:v>
      </x:c>
      <x:c r="R1596" s="6" t="str">
        <x:v>m</x:v>
      </x:c>
      <x:c r="S1596" s="16"/>
      <x:c r="T1596" s="15"/>
      <x:c r="U1596" s="6"/>
      <x:c r="V1596" s="6"/>
      <x:c r="W1596" s="6" t="str">
        <x:v>Existing find_route(step_free=true).</x:v>
      </x:c>
      <x:c r="X1596" s="6" t="str">
        <x:v>data/train/resplan-3806/questions_basic.jsonl</x:v>
      </x:c>
      <x:c r="Y1596" s="14" t="n">
        <x:v>8</x:v>
      </x:c>
      <x:c r="Z1596" s="6" t="str">
        <x:v>https://github.com/hagenhaeussler/Industrial-Agents-Hackathon-2026/blob/f41616590b69f3ea0c1cbfb41d6c35edd9ce53df/data/train/resplan-3806/questions_basic.jsonl#L8</x:v>
      </x:c>
      <x:c r="AA1596" s="6" t="str">
        <x:v>resplan</x:v>
      </x:c>
      <x:c r="AB1596" s="6" t="str">
        <x:v>CC-BY-4.0</x:v>
      </x:c>
    </x:row>
    <x:row r="1597" ht="82" customHeight="1">
      <x:c r="A1597" s="14" t="n">
        <x:v>1592</x:v>
      </x:c>
      <x:c r="B1597" s="6" t="str">
        <x:v>route_step_free</x:v>
      </x:c>
      <x:c r="C1597" s="6" t="str">
        <x:v>Is there a step-free route from Living room 0.01 (Ground floor) to Bathroom 0.05 (Ground floor)?</x:v>
      </x:c>
      <x:c r="D1597" s="6" t="str">
        <x:v>11.85 m
From: Living room 0.01
To: Bathroom 0.05
Ordered path (3 spaces): Living room 0.01 → Bedroom 0.03 → Bathroom 0.05</x:v>
      </x:c>
      <x:c r="E1597" s="6" t="str">
        <x:v>Reference supplied</x:v>
      </x:c>
      <x:c r="F1597" s="6" t="str">
        <x:v>train</x:v>
      </x:c>
      <x:c r="G1597" s="6" t="str">
        <x:v>resplan-3971</x:v>
      </x:c>
      <x:c r="H1597" s="6" t="str">
        <x:v>resplan-3971-Q08</x:v>
      </x:c>
      <x:c r="I1597" s="6" t="str">
        <x:v>Route planning</x:v>
      </x:c>
      <x:c r="J1597" s="6" t="str">
        <x:v>Warm-up</x:v>
      </x:c>
      <x:c r="K1597" s="6" t="str">
        <x:v>Reachable: ordered path and metres. Unreachable: explicitly state no step-free route.</x:v>
      </x:c>
      <x:c r="L1597" s="6" t="str">
        <x:v>T02, T05, T13</x:v>
      </x:c>
      <x:c r="M1597" s="6" t="str">
        <x:v>Check whether a step-free route exists and give it when possible.</x:v>
      </x:c>
      <x:c r="N1597" s="6" t="str">
        <x:v>{"from_space_id":"resplan-3971-F0-S001","to_space_id":"resplan-3971-F0-S005","optimal_length_m":11.85,"space_path":["resplan-3971-F0-S001","resplan-3971-F0-S003","resplan-3971-F0-S005"],"element_path":["resplan-3971-F0-O0004","resplan-3971-F0-O0004","resplan-3971-F0-O0005","resplan-3971-F0-O0005"]}</x:v>
      </x:c>
      <x:c r="O1597" s="6"/>
      <x:c r="P1597" s="6" t="str">
        <x:v>step_free=true. No stairs or stepped openings. May be unreachable.</x:v>
      </x:c>
      <x:c r="Q1597" s="15" t="n">
        <x:v>11.85</x:v>
      </x:c>
      <x:c r="R1597" s="6" t="str">
        <x:v>m</x:v>
      </x:c>
      <x:c r="S1597" s="16"/>
      <x:c r="T1597" s="15"/>
      <x:c r="U1597" s="6"/>
      <x:c r="V1597" s="6"/>
      <x:c r="W1597" s="6" t="str">
        <x:v>Existing find_route(step_free=true).</x:v>
      </x:c>
      <x:c r="X1597" s="6" t="str">
        <x:v>data/train/resplan-3971/questions_basic.jsonl</x:v>
      </x:c>
      <x:c r="Y1597" s="14" t="n">
        <x:v>8</x:v>
      </x:c>
      <x:c r="Z1597" s="6" t="str">
        <x:v>https://github.com/hagenhaeussler/Industrial-Agents-Hackathon-2026/blob/f41616590b69f3ea0c1cbfb41d6c35edd9ce53df/data/train/resplan-3971/questions_basic.jsonl#L8</x:v>
      </x:c>
      <x:c r="AA1597" s="6" t="str">
        <x:v>resplan</x:v>
      </x:c>
      <x:c r="AB1597" s="6" t="str">
        <x:v>CC-BY-4.0</x:v>
      </x:c>
    </x:row>
    <x:row r="1598" ht="82" customHeight="1">
      <x:c r="A1598" s="14" t="n">
        <x:v>1593</x:v>
      </x:c>
      <x:c r="B1598" s="6" t="str">
        <x:v>route_step_free</x:v>
      </x:c>
      <x:c r="C1598" s="6" t="str">
        <x:v>Is there a step-free route from Kitchen 0.05 (Ground floor) to Bathroom 0.04 (Ground floor)?</x:v>
      </x:c>
      <x:c r="D1598" s="6" t="str">
        <x:v>9.71 m
From: Kitchen 0.05
To: Bathroom 0.04
Ordered path (3 spaces): Kitchen 0.05 → Living room 0.01 → Bathroom 0.04</x:v>
      </x:c>
      <x:c r="E1598" s="6" t="str">
        <x:v>Reference supplied</x:v>
      </x:c>
      <x:c r="F1598" s="6" t="str">
        <x:v>train</x:v>
      </x:c>
      <x:c r="G1598" s="6" t="str">
        <x:v>resplan-4294</x:v>
      </x:c>
      <x:c r="H1598" s="6" t="str">
        <x:v>resplan-4294-Q08</x:v>
      </x:c>
      <x:c r="I1598" s="6" t="str">
        <x:v>Route planning</x:v>
      </x:c>
      <x:c r="J1598" s="6" t="str">
        <x:v>Warm-up</x:v>
      </x:c>
      <x:c r="K1598" s="6" t="str">
        <x:v>Reachable: ordered path and metres. Unreachable: explicitly state no step-free route.</x:v>
      </x:c>
      <x:c r="L1598" s="6" t="str">
        <x:v>T02, T05, T13</x:v>
      </x:c>
      <x:c r="M1598" s="6" t="str">
        <x:v>Check whether a step-free route exists and give it when possible.</x:v>
      </x:c>
      <x:c r="N1598" s="6" t="str">
        <x:v>{"from_space_id":"resplan-4294-F0-S005","to_space_id":"resplan-4294-F0-S004","optimal_length_m":9.71,"space_path":["resplan-4294-F0-S005","resplan-4294-F0-S001","resplan-4294-F0-S004"],"element_path":["resplan-4294-F0-O0004","resplan-4294-F0-O0004","resplan-4294-F0-O0003","resplan-4294-F0-O0003"]}</x:v>
      </x:c>
      <x:c r="O1598" s="6"/>
      <x:c r="P1598" s="6" t="str">
        <x:v>step_free=true. No stairs or stepped openings. May be unreachable.</x:v>
      </x:c>
      <x:c r="Q1598" s="15" t="n">
        <x:v>9.71</x:v>
      </x:c>
      <x:c r="R1598" s="6" t="str">
        <x:v>m</x:v>
      </x:c>
      <x:c r="S1598" s="16"/>
      <x:c r="T1598" s="15"/>
      <x:c r="U1598" s="6"/>
      <x:c r="V1598" s="6"/>
      <x:c r="W1598" s="6" t="str">
        <x:v>Existing find_route(step_free=true).</x:v>
      </x:c>
      <x:c r="X1598" s="6" t="str">
        <x:v>data/train/resplan-4294/questions_basic.jsonl</x:v>
      </x:c>
      <x:c r="Y1598" s="14" t="n">
        <x:v>8</x:v>
      </x:c>
      <x:c r="Z1598" s="6" t="str">
        <x:v>https://github.com/hagenhaeussler/Industrial-Agents-Hackathon-2026/blob/f41616590b69f3ea0c1cbfb41d6c35edd9ce53df/data/train/resplan-4294/questions_basic.jsonl#L8</x:v>
      </x:c>
      <x:c r="AA1598" s="6" t="str">
        <x:v>resplan</x:v>
      </x:c>
      <x:c r="AB1598" s="6" t="str">
        <x:v>CC-BY-4.0</x:v>
      </x:c>
    </x:row>
    <x:row r="1599" ht="72" customHeight="1">
      <x:c r="A1599" s="14" t="n">
        <x:v>1594</x:v>
      </x:c>
      <x:c r="B1599" s="6" t="str">
        <x:v>route_step_free</x:v>
      </x:c>
      <x:c r="C1599" s="6" t="str">
        <x:v>Is there a step-free route from Kitchen 0.06 (Ground floor) to Living room 0.01 (Ground floor)?</x:v>
      </x:c>
      <x:c r="D1599" s="6" t="str">
        <x:v>4.07 m
From: Kitchen 0.06
To: Living room 0.01
Ordered path (2 spaces): Kitchen 0.06 → Living room 0.01</x:v>
      </x:c>
      <x:c r="E1599" s="6" t="str">
        <x:v>Reference supplied</x:v>
      </x:c>
      <x:c r="F1599" s="6" t="str">
        <x:v>train</x:v>
      </x:c>
      <x:c r="G1599" s="6" t="str">
        <x:v>resplan-4303</x:v>
      </x:c>
      <x:c r="H1599" s="6" t="str">
        <x:v>resplan-4303-Q08</x:v>
      </x:c>
      <x:c r="I1599" s="6" t="str">
        <x:v>Route planning</x:v>
      </x:c>
      <x:c r="J1599" s="6" t="str">
        <x:v>Warm-up</x:v>
      </x:c>
      <x:c r="K1599" s="6" t="str">
        <x:v>Reachable: ordered path and metres. Unreachable: explicitly state no step-free route.</x:v>
      </x:c>
      <x:c r="L1599" s="6" t="str">
        <x:v>T02, T05, T13</x:v>
      </x:c>
      <x:c r="M1599" s="6" t="str">
        <x:v>Check whether a step-free route exists and give it when possible.</x:v>
      </x:c>
      <x:c r="N1599" s="6" t="str">
        <x:v>{"from_space_id":"resplan-4303-F0-S006","to_space_id":"resplan-4303-F0-S001","optimal_length_m":4.07,"space_path":["resplan-4303-F0-S006","resplan-4303-F0-S001"],"element_path":["resplan-4303-F0-O0006","resplan-4303-F0-O0006"]}</x:v>
      </x:c>
      <x:c r="O1599" s="6"/>
      <x:c r="P1599" s="6" t="str">
        <x:v>step_free=true. No stairs or stepped openings. May be unreachable.</x:v>
      </x:c>
      <x:c r="Q1599" s="15" t="n">
        <x:v>4.07</x:v>
      </x:c>
      <x:c r="R1599" s="6" t="str">
        <x:v>m</x:v>
      </x:c>
      <x:c r="S1599" s="16"/>
      <x:c r="T1599" s="15"/>
      <x:c r="U1599" s="6"/>
      <x:c r="V1599" s="6"/>
      <x:c r="W1599" s="6" t="str">
        <x:v>Existing find_route(step_free=true).</x:v>
      </x:c>
      <x:c r="X1599" s="6" t="str">
        <x:v>data/train/resplan-4303/questions_basic.jsonl</x:v>
      </x:c>
      <x:c r="Y1599" s="14" t="n">
        <x:v>8</x:v>
      </x:c>
      <x:c r="Z1599" s="6" t="str">
        <x:v>https://github.com/hagenhaeussler/Industrial-Agents-Hackathon-2026/blob/f41616590b69f3ea0c1cbfb41d6c35edd9ce53df/data/train/resplan-4303/questions_basic.jsonl#L8</x:v>
      </x:c>
      <x:c r="AA1599" s="6" t="str">
        <x:v>resplan</x:v>
      </x:c>
      <x:c r="AB1599" s="6" t="str">
        <x:v>CC-BY-4.0</x:v>
      </x:c>
    </x:row>
    <x:row r="1600" ht="82" customHeight="1">
      <x:c r="A1600" s="14" t="n">
        <x:v>1595</x:v>
      </x:c>
      <x:c r="B1600" s="6" t="str">
        <x:v>route_step_free</x:v>
      </x:c>
      <x:c r="C1600" s="6" t="str">
        <x:v>Is there a step-free route from Bathroom 0.03 (Ground floor) to Kitchen 0.05 (Ground floor)?</x:v>
      </x:c>
      <x:c r="D1600" s="6" t="str">
        <x:v>11.78 m
From: Bathroom 0.03
To: Kitchen 0.05
Ordered path (3 spaces): Bathroom 0.03 → Living room 0.01 → Kitchen 0.05</x:v>
      </x:c>
      <x:c r="E1600" s="6" t="str">
        <x:v>Reference supplied</x:v>
      </x:c>
      <x:c r="F1600" s="6" t="str">
        <x:v>train</x:v>
      </x:c>
      <x:c r="G1600" s="6" t="str">
        <x:v>resplan-433</x:v>
      </x:c>
      <x:c r="H1600" s="6" t="str">
        <x:v>resplan-433-Q07</x:v>
      </x:c>
      <x:c r="I1600" s="6" t="str">
        <x:v>Route planning</x:v>
      </x:c>
      <x:c r="J1600" s="6" t="str">
        <x:v>Warm-up</x:v>
      </x:c>
      <x:c r="K1600" s="6" t="str">
        <x:v>Reachable: ordered path and metres. Unreachable: explicitly state no step-free route.</x:v>
      </x:c>
      <x:c r="L1600" s="6" t="str">
        <x:v>T02, T05, T13</x:v>
      </x:c>
      <x:c r="M1600" s="6" t="str">
        <x:v>Check whether a step-free route exists and give it when possible.</x:v>
      </x:c>
      <x:c r="N1600" s="6" t="str">
        <x:v>{"from_space_id":"resplan-433-F0-S003","to_space_id":"resplan-433-F0-S005","optimal_length_m":11.78,"space_path":["resplan-433-F0-S003","resplan-433-F0-S001","resplan-433-F0-S005"],"element_path":["resplan-433-F0-O0002","resplan-433-F0-O0002","resplan-433-F0-O0004","resplan-433-F0-O0004"]}</x:v>
      </x:c>
      <x:c r="O1600" s="6"/>
      <x:c r="P1600" s="6" t="str">
        <x:v>step_free=true. No stairs or stepped openings. May be unreachable.</x:v>
      </x:c>
      <x:c r="Q1600" s="15" t="n">
        <x:v>11.78</x:v>
      </x:c>
      <x:c r="R1600" s="6" t="str">
        <x:v>m</x:v>
      </x:c>
      <x:c r="S1600" s="16"/>
      <x:c r="T1600" s="15"/>
      <x:c r="U1600" s="6"/>
      <x:c r="V1600" s="6"/>
      <x:c r="W1600" s="6" t="str">
        <x:v>Existing find_route(step_free=true).</x:v>
      </x:c>
      <x:c r="X1600" s="6" t="str">
        <x:v>data/train/resplan-433/questions_basic.jsonl</x:v>
      </x:c>
      <x:c r="Y1600" s="14" t="n">
        <x:v>7</x:v>
      </x:c>
      <x:c r="Z1600" s="6" t="str">
        <x:v>https://github.com/hagenhaeussler/Industrial-Agents-Hackathon-2026/blob/f41616590b69f3ea0c1cbfb41d6c35edd9ce53df/data/train/resplan-433/questions_basic.jsonl#L7</x:v>
      </x:c>
      <x:c r="AA1600" s="6" t="str">
        <x:v>resplan</x:v>
      </x:c>
      <x:c r="AB1600" s="6" t="str">
        <x:v>CC-BY-4.0</x:v>
      </x:c>
    </x:row>
    <x:row r="1601" ht="72" customHeight="1">
      <x:c r="A1601" s="14" t="n">
        <x:v>1596</x:v>
      </x:c>
      <x:c r="B1601" s="6" t="str">
        <x:v>route_step_free</x:v>
      </x:c>
      <x:c r="C1601" s="6" t="str">
        <x:v>Is there a step-free route from Living room 0.01 (Ground floor) to Bedroom 0.02 (Ground floor)?</x:v>
      </x:c>
      <x:c r="D1601" s="6" t="str">
        <x:v>7.13 m
From: Living room 0.01
To: Bedroom 0.02
Ordered path (2 spaces): Living room 0.01 → Bedroom 0.02</x:v>
      </x:c>
      <x:c r="E1601" s="6" t="str">
        <x:v>Reference supplied</x:v>
      </x:c>
      <x:c r="F1601" s="6" t="str">
        <x:v>train</x:v>
      </x:c>
      <x:c r="G1601" s="6" t="str">
        <x:v>resplan-4378</x:v>
      </x:c>
      <x:c r="H1601" s="6" t="str">
        <x:v>resplan-4378-Q08</x:v>
      </x:c>
      <x:c r="I1601" s="6" t="str">
        <x:v>Route planning</x:v>
      </x:c>
      <x:c r="J1601" s="6" t="str">
        <x:v>Warm-up</x:v>
      </x:c>
      <x:c r="K1601" s="6" t="str">
        <x:v>Reachable: ordered path and metres. Unreachable: explicitly state no step-free route.</x:v>
      </x:c>
      <x:c r="L1601" s="6" t="str">
        <x:v>T02, T05, T13</x:v>
      </x:c>
      <x:c r="M1601" s="6" t="str">
        <x:v>Check whether a step-free route exists and give it when possible.</x:v>
      </x:c>
      <x:c r="N1601" s="6" t="str">
        <x:v>{"from_space_id":"resplan-4378-F0-S001","to_space_id":"resplan-4378-F0-S002","optimal_length_m":7.13,"space_path":["resplan-4378-F0-S001","resplan-4378-F0-S002"],"element_path":["resplan-4378-F0-O0002","resplan-4378-F0-O0002"]}</x:v>
      </x:c>
      <x:c r="O1601" s="6"/>
      <x:c r="P1601" s="6" t="str">
        <x:v>step_free=true. No stairs or stepped openings. May be unreachable.</x:v>
      </x:c>
      <x:c r="Q1601" s="15" t="n">
        <x:v>7.13</x:v>
      </x:c>
      <x:c r="R1601" s="6" t="str">
        <x:v>m</x:v>
      </x:c>
      <x:c r="S1601" s="16"/>
      <x:c r="T1601" s="15"/>
      <x:c r="U1601" s="6"/>
      <x:c r="V1601" s="6"/>
      <x:c r="W1601" s="6" t="str">
        <x:v>Existing find_route(step_free=true).</x:v>
      </x:c>
      <x:c r="X1601" s="6" t="str">
        <x:v>data/train/resplan-4378/questions_basic.jsonl</x:v>
      </x:c>
      <x:c r="Y1601" s="14" t="n">
        <x:v>8</x:v>
      </x:c>
      <x:c r="Z1601" s="6" t="str">
        <x:v>https://github.com/hagenhaeussler/Industrial-Agents-Hackathon-2026/blob/f41616590b69f3ea0c1cbfb41d6c35edd9ce53df/data/train/resplan-4378/questions_basic.jsonl#L8</x:v>
      </x:c>
      <x:c r="AA1601" s="6" t="str">
        <x:v>resplan</x:v>
      </x:c>
      <x:c r="AB1601" s="6" t="str">
        <x:v>CC-BY-4.0</x:v>
      </x:c>
    </x:row>
    <x:row r="1602" ht="82" customHeight="1">
      <x:c r="A1602" s="14" t="n">
        <x:v>1597</x:v>
      </x:c>
      <x:c r="B1602" s="6" t="str">
        <x:v>route_step_free</x:v>
      </x:c>
      <x:c r="C1602" s="6" t="str">
        <x:v>Is there a step-free route from Bedroom 0.03 (Ground floor) to Bathroom 0.04 (Ground floor)?</x:v>
      </x:c>
      <x:c r="D1602" s="6" t="str">
        <x:v>18.59 m
From: Bedroom 0.03
To: Bathroom 0.04
Ordered path (4 spaces): Bedroom 0.03 → Living room 0.01 → Bedroom 0.02 → Bathroom 0.04</x:v>
      </x:c>
      <x:c r="E1602" s="6" t="str">
        <x:v>Reference supplied</x:v>
      </x:c>
      <x:c r="F1602" s="6" t="str">
        <x:v>train</x:v>
      </x:c>
      <x:c r="G1602" s="6" t="str">
        <x:v>resplan-4429</x:v>
      </x:c>
      <x:c r="H1602" s="6" t="str">
        <x:v>resplan-4429-Q08</x:v>
      </x:c>
      <x:c r="I1602" s="6" t="str">
        <x:v>Route planning</x:v>
      </x:c>
      <x:c r="J1602" s="6" t="str">
        <x:v>Warm-up</x:v>
      </x:c>
      <x:c r="K1602" s="6" t="str">
        <x:v>Reachable: ordered path and metres. Unreachable: explicitly state no step-free route.</x:v>
      </x:c>
      <x:c r="L1602" s="6" t="str">
        <x:v>T02, T05, T13</x:v>
      </x:c>
      <x:c r="M1602" s="6" t="str">
        <x:v>Check whether a step-free route exists and give it when possible.</x:v>
      </x:c>
      <x:c r="N1602" s="6" t="str">
        <x:v>{"from_space_id":"resplan-4429-F0-S003","to_space_id":"resplan-4429-F0-S004","optimal_length_m":18.59,"space_path":["resplan-4429-F0-S003","resplan-4429-F0-S001","resplan-4429-F0-S002","resplan-4429-F0-S004"],"element_path":["resplan-4429-F0-O0004","resplan-4429-F0-O0004","resplan-4429-F0-O0003","resplan-4429-F0-O0003","resplan-4429-F0-O0001","resplan-4429-F0-O0001"]}</x:v>
      </x:c>
      <x:c r="O1602" s="6"/>
      <x:c r="P1602" s="6" t="str">
        <x:v>step_free=true. No stairs or stepped openings. May be unreachable.</x:v>
      </x:c>
      <x:c r="Q1602" s="15" t="n">
        <x:v>18.59</x:v>
      </x:c>
      <x:c r="R1602" s="6" t="str">
        <x:v>m</x:v>
      </x:c>
      <x:c r="S1602" s="16"/>
      <x:c r="T1602" s="15"/>
      <x:c r="U1602" s="6"/>
      <x:c r="V1602" s="6"/>
      <x:c r="W1602" s="6" t="str">
        <x:v>Existing find_route(step_free=true).</x:v>
      </x:c>
      <x:c r="X1602" s="6" t="str">
        <x:v>data/train/resplan-4429/questions_basic.jsonl</x:v>
      </x:c>
      <x:c r="Y1602" s="14" t="n">
        <x:v>8</x:v>
      </x:c>
      <x:c r="Z1602" s="6" t="str">
        <x:v>https://github.com/hagenhaeussler/Industrial-Agents-Hackathon-2026/blob/f41616590b69f3ea0c1cbfb41d6c35edd9ce53df/data/train/resplan-4429/questions_basic.jsonl#L8</x:v>
      </x:c>
      <x:c r="AA1602" s="6" t="str">
        <x:v>resplan</x:v>
      </x:c>
      <x:c r="AB1602" s="6" t="str">
        <x:v>CC-BY-4.0</x:v>
      </x:c>
    </x:row>
    <x:row r="1603" ht="82" customHeight="1">
      <x:c r="A1603" s="14" t="n">
        <x:v>1598</x:v>
      </x:c>
      <x:c r="B1603" s="6" t="str">
        <x:v>route_step_free</x:v>
      </x:c>
      <x:c r="C1603" s="6" t="str">
        <x:v>Is there a step-free route from Bathroom 0.06 (Ground floor) to Bedroom 0.03 (Ground floor)?</x:v>
      </x:c>
      <x:c r="D1603" s="6" t="str">
        <x:v>8.36 m
From: Bathroom 0.06
To: Bedroom 0.03
Ordered path (3 spaces): Bathroom 0.06 → Living room 0.01 → Bedroom 0.03</x:v>
      </x:c>
      <x:c r="E1603" s="6" t="str">
        <x:v>Reference supplied</x:v>
      </x:c>
      <x:c r="F1603" s="6" t="str">
        <x:v>train</x:v>
      </x:c>
      <x:c r="G1603" s="6" t="str">
        <x:v>resplan-4453</x:v>
      </x:c>
      <x:c r="H1603" s="6" t="str">
        <x:v>resplan-4453-Q08</x:v>
      </x:c>
      <x:c r="I1603" s="6" t="str">
        <x:v>Route planning</x:v>
      </x:c>
      <x:c r="J1603" s="6" t="str">
        <x:v>Warm-up</x:v>
      </x:c>
      <x:c r="K1603" s="6" t="str">
        <x:v>Reachable: ordered path and metres. Unreachable: explicitly state no step-free route.</x:v>
      </x:c>
      <x:c r="L1603" s="6" t="str">
        <x:v>T02, T05, T13</x:v>
      </x:c>
      <x:c r="M1603" s="6" t="str">
        <x:v>Check whether a step-free route exists and give it when possible.</x:v>
      </x:c>
      <x:c r="N1603" s="6" t="str">
        <x:v>{"from_space_id":"resplan-4453-F0-S006","to_space_id":"resplan-4453-F0-S003","optimal_length_m":8.36,"space_path":["resplan-4453-F0-S006","resplan-4453-F0-S001","resplan-4453-F0-S003"],"element_path":["resplan-4453-F0-O0002","resplan-4453-F0-O0002","resplan-4453-F0-O0004","resplan-4453-F0-O0004"]}</x:v>
      </x:c>
      <x:c r="O1603" s="6"/>
      <x:c r="P1603" s="6" t="str">
        <x:v>step_free=true. No stairs or stepped openings. May be unreachable.</x:v>
      </x:c>
      <x:c r="Q1603" s="15" t="n">
        <x:v>8.36</x:v>
      </x:c>
      <x:c r="R1603" s="6" t="str">
        <x:v>m</x:v>
      </x:c>
      <x:c r="S1603" s="16"/>
      <x:c r="T1603" s="15"/>
      <x:c r="U1603" s="6"/>
      <x:c r="V1603" s="6"/>
      <x:c r="W1603" s="6" t="str">
        <x:v>Existing find_route(step_free=true).</x:v>
      </x:c>
      <x:c r="X1603" s="6" t="str">
        <x:v>data/train/resplan-4453/questions_basic.jsonl</x:v>
      </x:c>
      <x:c r="Y1603" s="14" t="n">
        <x:v>8</x:v>
      </x:c>
      <x:c r="Z1603" s="6" t="str">
        <x:v>https://github.com/hagenhaeussler/Industrial-Agents-Hackathon-2026/blob/f41616590b69f3ea0c1cbfb41d6c35edd9ce53df/data/train/resplan-4453/questions_basic.jsonl#L8</x:v>
      </x:c>
      <x:c r="AA1603" s="6" t="str">
        <x:v>resplan</x:v>
      </x:c>
      <x:c r="AB1603" s="6" t="str">
        <x:v>CC-BY-4.0</x:v>
      </x:c>
    </x:row>
    <x:row r="1604" ht="72" customHeight="1">
      <x:c r="A1604" s="14" t="n">
        <x:v>1599</x:v>
      </x:c>
      <x:c r="B1604" s="6" t="str">
        <x:v>route_step_free</x:v>
      </x:c>
      <x:c r="C1604" s="6" t="str">
        <x:v>Is there a step-free route from Bathroom 0.05 (Ground floor) to Bedroom 0.03 (Ground floor)?</x:v>
      </x:c>
      <x:c r="D1604" s="6" t="str">
        <x:v>4.1 m
From: Bathroom 0.05
To: Bedroom 0.03
Ordered path (2 spaces): Bathroom 0.05 → Bedroom 0.03</x:v>
      </x:c>
      <x:c r="E1604" s="6" t="str">
        <x:v>Reference supplied</x:v>
      </x:c>
      <x:c r="F1604" s="6" t="str">
        <x:v>train</x:v>
      </x:c>
      <x:c r="G1604" s="6" t="str">
        <x:v>resplan-457</x:v>
      </x:c>
      <x:c r="H1604" s="6" t="str">
        <x:v>resplan-457-Q08</x:v>
      </x:c>
      <x:c r="I1604" s="6" t="str">
        <x:v>Route planning</x:v>
      </x:c>
      <x:c r="J1604" s="6" t="str">
        <x:v>Warm-up</x:v>
      </x:c>
      <x:c r="K1604" s="6" t="str">
        <x:v>Reachable: ordered path and metres. Unreachable: explicitly state no step-free route.</x:v>
      </x:c>
      <x:c r="L1604" s="6" t="str">
        <x:v>T02, T05, T13</x:v>
      </x:c>
      <x:c r="M1604" s="6" t="str">
        <x:v>Check whether a step-free route exists and give it when possible.</x:v>
      </x:c>
      <x:c r="N1604" s="6" t="str">
        <x:v>{"from_space_id":"resplan-457-F0-S005","to_space_id":"resplan-457-F0-S003","optimal_length_m":4.1,"space_path":["resplan-457-F0-S005","resplan-457-F0-S003"],"element_path":["resplan-457-F0-O0004","resplan-457-F0-O0004"]}</x:v>
      </x:c>
      <x:c r="O1604" s="6"/>
      <x:c r="P1604" s="6" t="str">
        <x:v>step_free=true. No stairs or stepped openings. May be unreachable.</x:v>
      </x:c>
      <x:c r="Q1604" s="15" t="n">
        <x:v>4.1</x:v>
      </x:c>
      <x:c r="R1604" s="6" t="str">
        <x:v>m</x:v>
      </x:c>
      <x:c r="S1604" s="16"/>
      <x:c r="T1604" s="15"/>
      <x:c r="U1604" s="6"/>
      <x:c r="V1604" s="6"/>
      <x:c r="W1604" s="6" t="str">
        <x:v>Existing find_route(step_free=true).</x:v>
      </x:c>
      <x:c r="X1604" s="6" t="str">
        <x:v>data/train/resplan-457/questions_basic.jsonl</x:v>
      </x:c>
      <x:c r="Y1604" s="14" t="n">
        <x:v>8</x:v>
      </x:c>
      <x:c r="Z1604" s="6" t="str">
        <x:v>https://github.com/hagenhaeussler/Industrial-Agents-Hackathon-2026/blob/f41616590b69f3ea0c1cbfb41d6c35edd9ce53df/data/train/resplan-457/questions_basic.jsonl#L8</x:v>
      </x:c>
      <x:c r="AA1604" s="6" t="str">
        <x:v>resplan</x:v>
      </x:c>
      <x:c r="AB1604" s="6" t="str">
        <x:v>CC-BY-4.0</x:v>
      </x:c>
    </x:row>
    <x:row r="1605" ht="72" customHeight="1">
      <x:c r="A1605" s="14" t="n">
        <x:v>1600</x:v>
      </x:c>
      <x:c r="B1605" s="6" t="str">
        <x:v>route_step_free</x:v>
      </x:c>
      <x:c r="C1605" s="6" t="str">
        <x:v>Is there a step-free route from Kitchen 0.09 (Ground floor) to Living room 0.01 (Ground floor)?</x:v>
      </x:c>
      <x:c r="D1605" s="6" t="str">
        <x:v>4.68 m
From: Kitchen 0.09
To: Living room 0.01
Ordered path (2 spaces): Kitchen 0.09 → Living room 0.01</x:v>
      </x:c>
      <x:c r="E1605" s="6" t="str">
        <x:v>Reference supplied</x:v>
      </x:c>
      <x:c r="F1605" s="6" t="str">
        <x:v>train</x:v>
      </x:c>
      <x:c r="G1605" s="6" t="str">
        <x:v>resplan-47</x:v>
      </x:c>
      <x:c r="H1605" s="6" t="str">
        <x:v>resplan-47-Q08</x:v>
      </x:c>
      <x:c r="I1605" s="6" t="str">
        <x:v>Route planning</x:v>
      </x:c>
      <x:c r="J1605" s="6" t="str">
        <x:v>Warm-up</x:v>
      </x:c>
      <x:c r="K1605" s="6" t="str">
        <x:v>Reachable: ordered path and metres. Unreachable: explicitly state no step-free route.</x:v>
      </x:c>
      <x:c r="L1605" s="6" t="str">
        <x:v>T02, T05, T13</x:v>
      </x:c>
      <x:c r="M1605" s="6" t="str">
        <x:v>Check whether a step-free route exists and give it when possible.</x:v>
      </x:c>
      <x:c r="N1605" s="6" t="str">
        <x:v>{"from_space_id":"resplan-47-F0-S009","to_space_id":"resplan-47-F0-S001","optimal_length_m":4.68,"space_path":["resplan-47-F0-S009","resplan-47-F0-S001"],"element_path":["resplan-47-F0-O0011","resplan-47-F0-O0011"]}</x:v>
      </x:c>
      <x:c r="O1605" s="6"/>
      <x:c r="P1605" s="6" t="str">
        <x:v>step_free=true. No stairs or stepped openings. May be unreachable.</x:v>
      </x:c>
      <x:c r="Q1605" s="15" t="n">
        <x:v>4.68</x:v>
      </x:c>
      <x:c r="R1605" s="6" t="str">
        <x:v>m</x:v>
      </x:c>
      <x:c r="S1605" s="16"/>
      <x:c r="T1605" s="15"/>
      <x:c r="U1605" s="6"/>
      <x:c r="V1605" s="6"/>
      <x:c r="W1605" s="6" t="str">
        <x:v>Existing find_route(step_free=true).</x:v>
      </x:c>
      <x:c r="X1605" s="6" t="str">
        <x:v>data/train/resplan-47/questions_basic.jsonl</x:v>
      </x:c>
      <x:c r="Y1605" s="14" t="n">
        <x:v>8</x:v>
      </x:c>
      <x:c r="Z1605" s="6" t="str">
        <x:v>https://github.com/hagenhaeussler/Industrial-Agents-Hackathon-2026/blob/f41616590b69f3ea0c1cbfb41d6c35edd9ce53df/data/train/resplan-47/questions_basic.jsonl#L8</x:v>
      </x:c>
      <x:c r="AA1605" s="6" t="str">
        <x:v>resplan</x:v>
      </x:c>
      <x:c r="AB1605" s="6" t="str">
        <x:v>CC-BY-4.0</x:v>
      </x:c>
    </x:row>
    <x:row r="1606" ht="72" customHeight="1">
      <x:c r="A1606" s="14" t="n">
        <x:v>1601</x:v>
      </x:c>
      <x:c r="B1606" s="6" t="str">
        <x:v>route_step_free</x:v>
      </x:c>
      <x:c r="C1606" s="6" t="str">
        <x:v>Is there a step-free route from Living room 0.01 (Ground floor) to Bathroom 0.03 (Ground floor)?</x:v>
      </x:c>
      <x:c r="D1606" s="6" t="str">
        <x:v>7.49 m
From: Living room 0.01
To: Bathroom 0.03
Ordered path (2 spaces): Living room 0.01 → Bathroom 0.03</x:v>
      </x:c>
      <x:c r="E1606" s="6" t="str">
        <x:v>Reference supplied</x:v>
      </x:c>
      <x:c r="F1606" s="6" t="str">
        <x:v>train</x:v>
      </x:c>
      <x:c r="G1606" s="6" t="str">
        <x:v>resplan-5277</x:v>
      </x:c>
      <x:c r="H1606" s="6" t="str">
        <x:v>resplan-5277-Q08</x:v>
      </x:c>
      <x:c r="I1606" s="6" t="str">
        <x:v>Route planning</x:v>
      </x:c>
      <x:c r="J1606" s="6" t="str">
        <x:v>Warm-up</x:v>
      </x:c>
      <x:c r="K1606" s="6" t="str">
        <x:v>Reachable: ordered path and metres. Unreachable: explicitly state no step-free route.</x:v>
      </x:c>
      <x:c r="L1606" s="6" t="str">
        <x:v>T02, T05, T13</x:v>
      </x:c>
      <x:c r="M1606" s="6" t="str">
        <x:v>Check whether a step-free route exists and give it when possible.</x:v>
      </x:c>
      <x:c r="N1606" s="6" t="str">
        <x:v>{"from_space_id":"resplan-5277-F0-S001","to_space_id":"resplan-5277-F0-S003","optimal_length_m":7.49,"space_path":["resplan-5277-F0-S001","resplan-5277-F0-S003"],"element_path":["resplan-5277-F0-O0003","resplan-5277-F0-O0003"]}</x:v>
      </x:c>
      <x:c r="O1606" s="6"/>
      <x:c r="P1606" s="6" t="str">
        <x:v>step_free=true. No stairs or stepped openings. May be unreachable.</x:v>
      </x:c>
      <x:c r="Q1606" s="15" t="n">
        <x:v>7.49</x:v>
      </x:c>
      <x:c r="R1606" s="6" t="str">
        <x:v>m</x:v>
      </x:c>
      <x:c r="S1606" s="16"/>
      <x:c r="T1606" s="15"/>
      <x:c r="U1606" s="6"/>
      <x:c r="V1606" s="6"/>
      <x:c r="W1606" s="6" t="str">
        <x:v>Existing find_route(step_free=true).</x:v>
      </x:c>
      <x:c r="X1606" s="6" t="str">
        <x:v>data/train/resplan-5277/questions_basic.jsonl</x:v>
      </x:c>
      <x:c r="Y1606" s="14" t="n">
        <x:v>8</x:v>
      </x:c>
      <x:c r="Z1606" s="6" t="str">
        <x:v>https://github.com/hagenhaeussler/Industrial-Agents-Hackathon-2026/blob/f41616590b69f3ea0c1cbfb41d6c35edd9ce53df/data/train/resplan-5277/questions_basic.jsonl#L8</x:v>
      </x:c>
      <x:c r="AA1606" s="6" t="str">
        <x:v>resplan</x:v>
      </x:c>
      <x:c r="AB1606" s="6" t="str">
        <x:v>CC-BY-4.0</x:v>
      </x:c>
    </x:row>
    <x:row r="1607" ht="72" customHeight="1">
      <x:c r="A1607" s="14" t="n">
        <x:v>1602</x:v>
      </x:c>
      <x:c r="B1607" s="6" t="str">
        <x:v>route_step_free</x:v>
      </x:c>
      <x:c r="C1607" s="6" t="str">
        <x:v>Is there a step-free route from Bathroom 0.04 (Ground floor) to Living room 0.01 (Ground floor)?</x:v>
      </x:c>
      <x:c r="D1607" s="6" t="str">
        <x:v>4.29 m
From: Bathroom 0.04
To: Living room 0.01
Ordered path (2 spaces): Bathroom 0.04 → Living room 0.01</x:v>
      </x:c>
      <x:c r="E1607" s="6" t="str">
        <x:v>Reference supplied</x:v>
      </x:c>
      <x:c r="F1607" s="6" t="str">
        <x:v>train</x:v>
      </x:c>
      <x:c r="G1607" s="6" t="str">
        <x:v>resplan-553</x:v>
      </x:c>
      <x:c r="H1607" s="6" t="str">
        <x:v>resplan-553-Q08</x:v>
      </x:c>
      <x:c r="I1607" s="6" t="str">
        <x:v>Route planning</x:v>
      </x:c>
      <x:c r="J1607" s="6" t="str">
        <x:v>Warm-up</x:v>
      </x:c>
      <x:c r="K1607" s="6" t="str">
        <x:v>Reachable: ordered path and metres. Unreachable: explicitly state no step-free route.</x:v>
      </x:c>
      <x:c r="L1607" s="6" t="str">
        <x:v>T02, T05, T13</x:v>
      </x:c>
      <x:c r="M1607" s="6" t="str">
        <x:v>Check whether a step-free route exists and give it when possible.</x:v>
      </x:c>
      <x:c r="N1607" s="6" t="str">
        <x:v>{"from_space_id":"resplan-553-F0-S004","to_space_id":"resplan-553-F0-S001","optimal_length_m":4.29,"space_path":["resplan-553-F0-S004","resplan-553-F0-S001"],"element_path":["resplan-553-F0-O0002","resplan-553-F0-O0002"]}</x:v>
      </x:c>
      <x:c r="O1607" s="6"/>
      <x:c r="P1607" s="6" t="str">
        <x:v>step_free=true. No stairs or stepped openings. May be unreachable.</x:v>
      </x:c>
      <x:c r="Q1607" s="15" t="n">
        <x:v>4.29</x:v>
      </x:c>
      <x:c r="R1607" s="6" t="str">
        <x:v>m</x:v>
      </x:c>
      <x:c r="S1607" s="16"/>
      <x:c r="T1607" s="15"/>
      <x:c r="U1607" s="6"/>
      <x:c r="V1607" s="6"/>
      <x:c r="W1607" s="6" t="str">
        <x:v>Existing find_route(step_free=true).</x:v>
      </x:c>
      <x:c r="X1607" s="6" t="str">
        <x:v>data/train/resplan-553/questions_basic.jsonl</x:v>
      </x:c>
      <x:c r="Y1607" s="14" t="n">
        <x:v>8</x:v>
      </x:c>
      <x:c r="Z1607" s="6" t="str">
        <x:v>https://github.com/hagenhaeussler/Industrial-Agents-Hackathon-2026/blob/f41616590b69f3ea0c1cbfb41d6c35edd9ce53df/data/train/resplan-553/questions_basic.jsonl#L8</x:v>
      </x:c>
      <x:c r="AA1607" s="6" t="str">
        <x:v>resplan</x:v>
      </x:c>
      <x:c r="AB1607" s="6" t="str">
        <x:v>CC-BY-4.0</x:v>
      </x:c>
    </x:row>
    <x:row r="1608" ht="72" customHeight="1">
      <x:c r="A1608" s="14" t="n">
        <x:v>1603</x:v>
      </x:c>
      <x:c r="B1608" s="6" t="str">
        <x:v>route_step_free</x:v>
      </x:c>
      <x:c r="C1608" s="6" t="str">
        <x:v>Is there a step-free route from Living room 0.01 (Ground floor) to Kitchen 0.06 (Ground floor)?</x:v>
      </x:c>
      <x:c r="D1608" s="6" t="str">
        <x:v>4.87 m
From: Living room 0.01
To: Kitchen 0.06
Ordered path (2 spaces): Living room 0.01 → Kitchen 0.06</x:v>
      </x:c>
      <x:c r="E1608" s="6" t="str">
        <x:v>Reference supplied</x:v>
      </x:c>
      <x:c r="F1608" s="6" t="str">
        <x:v>train</x:v>
      </x:c>
      <x:c r="G1608" s="6" t="str">
        <x:v>resplan-56</x:v>
      </x:c>
      <x:c r="H1608" s="6" t="str">
        <x:v>resplan-56-Q08</x:v>
      </x:c>
      <x:c r="I1608" s="6" t="str">
        <x:v>Route planning</x:v>
      </x:c>
      <x:c r="J1608" s="6" t="str">
        <x:v>Warm-up</x:v>
      </x:c>
      <x:c r="K1608" s="6" t="str">
        <x:v>Reachable: ordered path and metres. Unreachable: explicitly state no step-free route.</x:v>
      </x:c>
      <x:c r="L1608" s="6" t="str">
        <x:v>T02, T05, T13</x:v>
      </x:c>
      <x:c r="M1608" s="6" t="str">
        <x:v>Check whether a step-free route exists and give it when possible.</x:v>
      </x:c>
      <x:c r="N1608" s="6" t="str">
        <x:v>{"from_space_id":"resplan-56-F0-S001","to_space_id":"resplan-56-F0-S006","optimal_length_m":4.87,"space_path":["resplan-56-F0-S001","resplan-56-F0-S006"],"element_path":["resplan-56-F0-O0005","resplan-56-F0-O0005"]}</x:v>
      </x:c>
      <x:c r="O1608" s="6"/>
      <x:c r="P1608" s="6" t="str">
        <x:v>step_free=true. No stairs or stepped openings. May be unreachable.</x:v>
      </x:c>
      <x:c r="Q1608" s="15" t="n">
        <x:v>4.87</x:v>
      </x:c>
      <x:c r="R1608" s="6" t="str">
        <x:v>m</x:v>
      </x:c>
      <x:c r="S1608" s="16"/>
      <x:c r="T1608" s="15"/>
      <x:c r="U1608" s="6"/>
      <x:c r="V1608" s="6"/>
      <x:c r="W1608" s="6" t="str">
        <x:v>Existing find_route(step_free=true).</x:v>
      </x:c>
      <x:c r="X1608" s="6" t="str">
        <x:v>data/train/resplan-56/questions_basic.jsonl</x:v>
      </x:c>
      <x:c r="Y1608" s="14" t="n">
        <x:v>8</x:v>
      </x:c>
      <x:c r="Z1608" s="6" t="str">
        <x:v>https://github.com/hagenhaeussler/Industrial-Agents-Hackathon-2026/blob/f41616590b69f3ea0c1cbfb41d6c35edd9ce53df/data/train/resplan-56/questions_basic.jsonl#L8</x:v>
      </x:c>
      <x:c r="AA1608" s="6" t="str">
        <x:v>resplan</x:v>
      </x:c>
      <x:c r="AB1608" s="6" t="str">
        <x:v>CC-BY-4.0</x:v>
      </x:c>
    </x:row>
    <x:row r="1609" ht="72" customHeight="1">
      <x:c r="A1609" s="14" t="n">
        <x:v>1604</x:v>
      </x:c>
      <x:c r="B1609" s="6" t="str">
        <x:v>route_step_free</x:v>
      </x:c>
      <x:c r="C1609" s="6" t="str">
        <x:v>Is there a step-free route from Living room 0.01 (Ground floor) to Bedroom 0.03 (Ground floor)?</x:v>
      </x:c>
      <x:c r="D1609" s="6" t="str">
        <x:v>7.35 m
From: Living room 0.01
To: Bedroom 0.03
Ordered path (2 spaces): Living room 0.01 → Bedroom 0.03</x:v>
      </x:c>
      <x:c r="E1609" s="6" t="str">
        <x:v>Reference supplied</x:v>
      </x:c>
      <x:c r="F1609" s="6" t="str">
        <x:v>train</x:v>
      </x:c>
      <x:c r="G1609" s="6" t="str">
        <x:v>resplan-5783</x:v>
      </x:c>
      <x:c r="H1609" s="6" t="str">
        <x:v>resplan-5783-Q08</x:v>
      </x:c>
      <x:c r="I1609" s="6" t="str">
        <x:v>Route planning</x:v>
      </x:c>
      <x:c r="J1609" s="6" t="str">
        <x:v>Warm-up</x:v>
      </x:c>
      <x:c r="K1609" s="6" t="str">
        <x:v>Reachable: ordered path and metres. Unreachable: explicitly state no step-free route.</x:v>
      </x:c>
      <x:c r="L1609" s="6" t="str">
        <x:v>T02, T05, T13</x:v>
      </x:c>
      <x:c r="M1609" s="6" t="str">
        <x:v>Check whether a step-free route exists and give it when possible.</x:v>
      </x:c>
      <x:c r="N1609" s="6" t="str">
        <x:v>{"from_space_id":"resplan-5783-F0-S001","to_space_id":"resplan-5783-F0-S003","optimal_length_m":7.35,"space_path":["resplan-5783-F0-S001","resplan-5783-F0-S003"],"element_path":["resplan-5783-F0-O0005","resplan-5783-F0-O0005"]}</x:v>
      </x:c>
      <x:c r="O1609" s="6"/>
      <x:c r="P1609" s="6" t="str">
        <x:v>step_free=true. No stairs or stepped openings. May be unreachable.</x:v>
      </x:c>
      <x:c r="Q1609" s="15" t="n">
        <x:v>7.35</x:v>
      </x:c>
      <x:c r="R1609" s="6" t="str">
        <x:v>m</x:v>
      </x:c>
      <x:c r="S1609" s="16"/>
      <x:c r="T1609" s="15"/>
      <x:c r="U1609" s="6"/>
      <x:c r="V1609" s="6"/>
      <x:c r="W1609" s="6" t="str">
        <x:v>Existing find_route(step_free=true).</x:v>
      </x:c>
      <x:c r="X1609" s="6" t="str">
        <x:v>data/train/resplan-5783/questions_basic.jsonl</x:v>
      </x:c>
      <x:c r="Y1609" s="14" t="n">
        <x:v>8</x:v>
      </x:c>
      <x:c r="Z1609" s="6" t="str">
        <x:v>https://github.com/hagenhaeussler/Industrial-Agents-Hackathon-2026/blob/f41616590b69f3ea0c1cbfb41d6c35edd9ce53df/data/train/resplan-5783/questions_basic.jsonl#L8</x:v>
      </x:c>
      <x:c r="AA1609" s="6" t="str">
        <x:v>resplan</x:v>
      </x:c>
      <x:c r="AB1609" s="6" t="str">
        <x:v>CC-BY-4.0</x:v>
      </x:c>
    </x:row>
    <x:row r="1610" ht="72" customHeight="1">
      <x:c r="A1610" s="14" t="n">
        <x:v>1605</x:v>
      </x:c>
      <x:c r="B1610" s="6" t="str">
        <x:v>route_step_free</x:v>
      </x:c>
      <x:c r="C1610" s="6" t="str">
        <x:v>Is there a step-free route from Bathroom 0.06 (Ground floor) to Bedroom 0.03 (Ground floor)?</x:v>
      </x:c>
      <x:c r="D1610" s="6" t="str">
        <x:v>3.11 m
From: Bathroom 0.06
To: Bedroom 0.03
Ordered path (2 spaces): Bathroom 0.06 → Bedroom 0.03</x:v>
      </x:c>
      <x:c r="E1610" s="6" t="str">
        <x:v>Reference supplied</x:v>
      </x:c>
      <x:c r="F1610" s="6" t="str">
        <x:v>train</x:v>
      </x:c>
      <x:c r="G1610" s="6" t="str">
        <x:v>resplan-5871</x:v>
      </x:c>
      <x:c r="H1610" s="6" t="str">
        <x:v>resplan-5871-Q08</x:v>
      </x:c>
      <x:c r="I1610" s="6" t="str">
        <x:v>Route planning</x:v>
      </x:c>
      <x:c r="J1610" s="6" t="str">
        <x:v>Warm-up</x:v>
      </x:c>
      <x:c r="K1610" s="6" t="str">
        <x:v>Reachable: ordered path and metres. Unreachable: explicitly state no step-free route.</x:v>
      </x:c>
      <x:c r="L1610" s="6" t="str">
        <x:v>T02, T05, T13</x:v>
      </x:c>
      <x:c r="M1610" s="6" t="str">
        <x:v>Check whether a step-free route exists and give it when possible.</x:v>
      </x:c>
      <x:c r="N1610" s="6" t="str">
        <x:v>{"from_space_id":"resplan-5871-F0-S006","to_space_id":"resplan-5871-F0-S003","optimal_length_m":3.11,"space_path":["resplan-5871-F0-S006","resplan-5871-F0-S003"],"element_path":["resplan-5871-F0-O0005","resplan-5871-F0-O0005"]}</x:v>
      </x:c>
      <x:c r="O1610" s="6"/>
      <x:c r="P1610" s="6" t="str">
        <x:v>step_free=true. No stairs or stepped openings. May be unreachable.</x:v>
      </x:c>
      <x:c r="Q1610" s="15" t="n">
        <x:v>3.11</x:v>
      </x:c>
      <x:c r="R1610" s="6" t="str">
        <x:v>m</x:v>
      </x:c>
      <x:c r="S1610" s="16"/>
      <x:c r="T1610" s="15"/>
      <x:c r="U1610" s="6"/>
      <x:c r="V1610" s="6"/>
      <x:c r="W1610" s="6" t="str">
        <x:v>Existing find_route(step_free=true).</x:v>
      </x:c>
      <x:c r="X1610" s="6" t="str">
        <x:v>data/train/resplan-5871/questions_basic.jsonl</x:v>
      </x:c>
      <x:c r="Y1610" s="14" t="n">
        <x:v>8</x:v>
      </x:c>
      <x:c r="Z1610" s="6" t="str">
        <x:v>https://github.com/hagenhaeussler/Industrial-Agents-Hackathon-2026/blob/f41616590b69f3ea0c1cbfb41d6c35edd9ce53df/data/train/resplan-5871/questions_basic.jsonl#L8</x:v>
      </x:c>
      <x:c r="AA1610" s="6" t="str">
        <x:v>resplan</x:v>
      </x:c>
      <x:c r="AB1610" s="6" t="str">
        <x:v>CC-BY-4.0</x:v>
      </x:c>
    </x:row>
    <x:row r="1611" ht="82" customHeight="1">
      <x:c r="A1611" s="14" t="n">
        <x:v>1606</x:v>
      </x:c>
      <x:c r="B1611" s="6" t="str">
        <x:v>route_step_free</x:v>
      </x:c>
      <x:c r="C1611" s="6" t="str">
        <x:v>Is there a step-free route from Bathroom 0.05 (Ground floor) to Bathroom 0.07 (Ground floor)?</x:v>
      </x:c>
      <x:c r="D1611" s="6" t="str">
        <x:v>18.36 m
From: Bathroom 0.05
To: Bathroom 0.07
Ordered path (5 spaces): Bathroom 0.05 → Bedroom 0.03 → Balcony 0.09 → Bedroom 0.02 → Bathroom 0.07</x:v>
      </x:c>
      <x:c r="E1611" s="6" t="str">
        <x:v>Reference supplied</x:v>
      </x:c>
      <x:c r="F1611" s="6" t="str">
        <x:v>train</x:v>
      </x:c>
      <x:c r="G1611" s="6" t="str">
        <x:v>resplan-6242</x:v>
      </x:c>
      <x:c r="H1611" s="6" t="str">
        <x:v>resplan-6242-Q08</x:v>
      </x:c>
      <x:c r="I1611" s="6" t="str">
        <x:v>Route planning</x:v>
      </x:c>
      <x:c r="J1611" s="6" t="str">
        <x:v>Warm-up</x:v>
      </x:c>
      <x:c r="K1611" s="6" t="str">
        <x:v>Reachable: ordered path and metres. Unreachable: explicitly state no step-free route.</x:v>
      </x:c>
      <x:c r="L1611" s="6" t="str">
        <x:v>T02, T05, T13</x:v>
      </x:c>
      <x:c r="M1611" s="6" t="str">
        <x:v>Check whether a step-free route exists and give it when possible.</x:v>
      </x:c>
      <x:c r="N1611" s="6" t="str">
        <x:v>{"from_space_id":"resplan-6242-F0-S005","to_space_id":"resplan-6242-F0-S007","optimal_length_m":18.36,"space_path":["resplan-6242-F0-S005","resplan-6242-F0-S003","resplan-6242-F0-S009","resplan-6242-F0-S002","resplan-6242-F0-S007"],"element_path":["resplan-6242-F0-O0002","resplan-6242-F0-O0002","resplan-6242-F0-O0003","resplan-6242-F0-O0003","resplan-6242-F0-O0001","resplan-6242-F0-O0001","resplan-6242-F0-O0006","resplan-6242-F0-O0006"]}</x:v>
      </x:c>
      <x:c r="O1611" s="6"/>
      <x:c r="P1611" s="6" t="str">
        <x:v>step_free=true. No stairs or stepped openings. May be unreachable.</x:v>
      </x:c>
      <x:c r="Q1611" s="15" t="n">
        <x:v>18.36</x:v>
      </x:c>
      <x:c r="R1611" s="6" t="str">
        <x:v>m</x:v>
      </x:c>
      <x:c r="S1611" s="16"/>
      <x:c r="T1611" s="15"/>
      <x:c r="U1611" s="6"/>
      <x:c r="V1611" s="6"/>
      <x:c r="W1611" s="6" t="str">
        <x:v>Existing find_route(step_free=true).</x:v>
      </x:c>
      <x:c r="X1611" s="6" t="str">
        <x:v>data/train/resplan-6242/questions_basic.jsonl</x:v>
      </x:c>
      <x:c r="Y1611" s="14" t="n">
        <x:v>8</x:v>
      </x:c>
      <x:c r="Z1611" s="6" t="str">
        <x:v>https://github.com/hagenhaeussler/Industrial-Agents-Hackathon-2026/blob/f41616590b69f3ea0c1cbfb41d6c35edd9ce53df/data/train/resplan-6242/questions_basic.jsonl#L8</x:v>
      </x:c>
      <x:c r="AA1611" s="6" t="str">
        <x:v>resplan</x:v>
      </x:c>
      <x:c r="AB1611" s="6" t="str">
        <x:v>CC-BY-4.0</x:v>
      </x:c>
    </x:row>
    <x:row r="1612" ht="82" customHeight="1">
      <x:c r="A1612" s="14" t="n">
        <x:v>1607</x:v>
      </x:c>
      <x:c r="B1612" s="6" t="str">
        <x:v>route_step_free</x:v>
      </x:c>
      <x:c r="C1612" s="6" t="str">
        <x:v>Is there a step-free route from Bathroom 0.05 (Ground floor) to Living room 0.01 (Ground floor)?</x:v>
      </x:c>
      <x:c r="D1612" s="6" t="str">
        <x:v>11.81 m
From: Bathroom 0.05
To: Living room 0.01
Ordered path (3 spaces): Bathroom 0.05 → Bedroom 0.02 → Living room 0.01</x:v>
      </x:c>
      <x:c r="E1612" s="6" t="str">
        <x:v>Reference supplied</x:v>
      </x:c>
      <x:c r="F1612" s="6" t="str">
        <x:v>train</x:v>
      </x:c>
      <x:c r="G1612" s="6" t="str">
        <x:v>resplan-6565</x:v>
      </x:c>
      <x:c r="H1612" s="6" t="str">
        <x:v>resplan-6565-Q08</x:v>
      </x:c>
      <x:c r="I1612" s="6" t="str">
        <x:v>Route planning</x:v>
      </x:c>
      <x:c r="J1612" s="6" t="str">
        <x:v>Warm-up</x:v>
      </x:c>
      <x:c r="K1612" s="6" t="str">
        <x:v>Reachable: ordered path and metres. Unreachable: explicitly state no step-free route.</x:v>
      </x:c>
      <x:c r="L1612" s="6" t="str">
        <x:v>T02, T05, T13</x:v>
      </x:c>
      <x:c r="M1612" s="6" t="str">
        <x:v>Check whether a step-free route exists and give it when possible.</x:v>
      </x:c>
      <x:c r="N1612" s="6" t="str">
        <x:v>{"from_space_id":"resplan-6565-F0-S005","to_space_id":"resplan-6565-F0-S001","optimal_length_m":11.81,"space_path":["resplan-6565-F0-S005","resplan-6565-F0-S002","resplan-6565-F0-S001"],"element_path":["resplan-6565-F0-O0004","resplan-6565-F0-O0004","resplan-6565-F0-O0003","resplan-6565-F0-O0003"]}</x:v>
      </x:c>
      <x:c r="O1612" s="6"/>
      <x:c r="P1612" s="6" t="str">
        <x:v>step_free=true. No stairs or stepped openings. May be unreachable.</x:v>
      </x:c>
      <x:c r="Q1612" s="15" t="n">
        <x:v>11.81</x:v>
      </x:c>
      <x:c r="R1612" s="6" t="str">
        <x:v>m</x:v>
      </x:c>
      <x:c r="S1612" s="16"/>
      <x:c r="T1612" s="15"/>
      <x:c r="U1612" s="6"/>
      <x:c r="V1612" s="6"/>
      <x:c r="W1612" s="6" t="str">
        <x:v>Existing find_route(step_free=true).</x:v>
      </x:c>
      <x:c r="X1612" s="6" t="str">
        <x:v>data/train/resplan-6565/questions_basic.jsonl</x:v>
      </x:c>
      <x:c r="Y1612" s="14" t="n">
        <x:v>8</x:v>
      </x:c>
      <x:c r="Z1612" s="6" t="str">
        <x:v>https://github.com/hagenhaeussler/Industrial-Agents-Hackathon-2026/blob/f41616590b69f3ea0c1cbfb41d6c35edd9ce53df/data/train/resplan-6565/questions_basic.jsonl#L8</x:v>
      </x:c>
      <x:c r="AA1612" s="6" t="str">
        <x:v>resplan</x:v>
      </x:c>
      <x:c r="AB1612" s="6" t="str">
        <x:v>CC-BY-4.0</x:v>
      </x:c>
    </x:row>
    <x:row r="1613" ht="82" customHeight="1">
      <x:c r="A1613" s="14" t="n">
        <x:v>1608</x:v>
      </x:c>
      <x:c r="B1613" s="6" t="str">
        <x:v>route_step_free</x:v>
      </x:c>
      <x:c r="C1613" s="6" t="str">
        <x:v>Is there a step-free route from Bathroom 0.07 (Ground floor) to Bedroom 0.03 (Ground floor)?</x:v>
      </x:c>
      <x:c r="D1613" s="6" t="str">
        <x:v>22.06 m
From: Bathroom 0.07
To: Bedroom 0.03
Ordered path (4 spaces): Bathroom 0.07 → Bedroom 0.04 → Living room 0.01 → Bedroom 0.03</x:v>
      </x:c>
      <x:c r="E1613" s="6" t="str">
        <x:v>Reference supplied</x:v>
      </x:c>
      <x:c r="F1613" s="6" t="str">
        <x:v>train</x:v>
      </x:c>
      <x:c r="G1613" s="6" t="str">
        <x:v>resplan-666</x:v>
      </x:c>
      <x:c r="H1613" s="6" t="str">
        <x:v>resplan-666-Q08</x:v>
      </x:c>
      <x:c r="I1613" s="6" t="str">
        <x:v>Route planning</x:v>
      </x:c>
      <x:c r="J1613" s="6" t="str">
        <x:v>Warm-up</x:v>
      </x:c>
      <x:c r="K1613" s="6" t="str">
        <x:v>Reachable: ordered path and metres. Unreachable: explicitly state no step-free route.</x:v>
      </x:c>
      <x:c r="L1613" s="6" t="str">
        <x:v>T02, T05, T13</x:v>
      </x:c>
      <x:c r="M1613" s="6" t="str">
        <x:v>Check whether a step-free route exists and give it when possible.</x:v>
      </x:c>
      <x:c r="N1613" s="6" t="str">
        <x:v>{"from_space_id":"resplan-666-F0-S007","to_space_id":"resplan-666-F0-S003","optimal_length_m":22.06,"space_path":["resplan-666-F0-S007","resplan-666-F0-S004","resplan-666-F0-S001","resplan-666-F0-S003"],"element_path":["resplan-666-F0-O0006","resplan-666-F0-O0006","resplan-666-F0-O0005","resplan-666-F0-O0005","resplan-666-F0-O0003","resplan-666-F0-O0003"]}</x:v>
      </x:c>
      <x:c r="O1613" s="6"/>
      <x:c r="P1613" s="6" t="str">
        <x:v>step_free=true. No stairs or stepped openings. May be unreachable.</x:v>
      </x:c>
      <x:c r="Q1613" s="15" t="n">
        <x:v>22.06</x:v>
      </x:c>
      <x:c r="R1613" s="6" t="str">
        <x:v>m</x:v>
      </x:c>
      <x:c r="S1613" s="16"/>
      <x:c r="T1613" s="15"/>
      <x:c r="U1613" s="6"/>
      <x:c r="V1613" s="6"/>
      <x:c r="W1613" s="6" t="str">
        <x:v>Existing find_route(step_free=true).</x:v>
      </x:c>
      <x:c r="X1613" s="6" t="str">
        <x:v>data/train/resplan-666/questions_basic.jsonl</x:v>
      </x:c>
      <x:c r="Y1613" s="14" t="n">
        <x:v>8</x:v>
      </x:c>
      <x:c r="Z1613" s="6" t="str">
        <x:v>https://github.com/hagenhaeussler/Industrial-Agents-Hackathon-2026/blob/f41616590b69f3ea0c1cbfb41d6c35edd9ce53df/data/train/resplan-666/questions_basic.jsonl#L8</x:v>
      </x:c>
      <x:c r="AA1613" s="6" t="str">
        <x:v>resplan</x:v>
      </x:c>
      <x:c r="AB1613" s="6" t="str">
        <x:v>CC-BY-4.0</x:v>
      </x:c>
    </x:row>
    <x:row r="1614" ht="72" customHeight="1">
      <x:c r="A1614" s="14" t="n">
        <x:v>1609</x:v>
      </x:c>
      <x:c r="B1614" s="6" t="str">
        <x:v>route_step_free</x:v>
      </x:c>
      <x:c r="C1614" s="6" t="str">
        <x:v>Is there a step-free route from Kitchen 0.08 (Ground floor) to Bedroom 0.04 (Ground floor)?</x:v>
      </x:c>
      <x:c r="D1614" s="6" t="str">
        <x:v>11.99 m
From: Kitchen 0.08
To: Bedroom 0.04
Ordered path (3 spaces): Kitchen 0.08 → Living room 0.01 → Bedroom 0.04</x:v>
      </x:c>
      <x:c r="E1614" s="6" t="str">
        <x:v>Reference supplied</x:v>
      </x:c>
      <x:c r="F1614" s="6" t="str">
        <x:v>train</x:v>
      </x:c>
      <x:c r="G1614" s="6" t="str">
        <x:v>resplan-6994</x:v>
      </x:c>
      <x:c r="H1614" s="6" t="str">
        <x:v>resplan-6994-Q08</x:v>
      </x:c>
      <x:c r="I1614" s="6" t="str">
        <x:v>Route planning</x:v>
      </x:c>
      <x:c r="J1614" s="6" t="str">
        <x:v>Warm-up</x:v>
      </x:c>
      <x:c r="K1614" s="6" t="str">
        <x:v>Reachable: ordered path and metres. Unreachable: explicitly state no step-free route.</x:v>
      </x:c>
      <x:c r="L1614" s="6" t="str">
        <x:v>T02, T05, T13</x:v>
      </x:c>
      <x:c r="M1614" s="6" t="str">
        <x:v>Check whether a step-free route exists and give it when possible.</x:v>
      </x:c>
      <x:c r="N1614" s="6" t="str">
        <x:v>{"from_space_id":"resplan-6994-F0-S008","to_space_id":"resplan-6994-F0-S004","optimal_length_m":11.99,"space_path":["resplan-6994-F0-S008","resplan-6994-F0-S001","resplan-6994-F0-S004"],"element_path":["resplan-6994-F0-O0003","resplan-6994-F0-O0003","resplan-6994-F0-O0007","resplan-6994-F0-O0007"]}</x:v>
      </x:c>
      <x:c r="O1614" s="6"/>
      <x:c r="P1614" s="6" t="str">
        <x:v>step_free=true. No stairs or stepped openings. May be unreachable.</x:v>
      </x:c>
      <x:c r="Q1614" s="15" t="n">
        <x:v>11.99</x:v>
      </x:c>
      <x:c r="R1614" s="6" t="str">
        <x:v>m</x:v>
      </x:c>
      <x:c r="S1614" s="16"/>
      <x:c r="T1614" s="15"/>
      <x:c r="U1614" s="6"/>
      <x:c r="V1614" s="6"/>
      <x:c r="W1614" s="6" t="str">
        <x:v>Existing find_route(step_free=true).</x:v>
      </x:c>
      <x:c r="X1614" s="6" t="str">
        <x:v>data/train/resplan-6994/questions_basic.jsonl</x:v>
      </x:c>
      <x:c r="Y1614" s="14" t="n">
        <x:v>8</x:v>
      </x:c>
      <x:c r="Z1614" s="6" t="str">
        <x:v>https://github.com/hagenhaeussler/Industrial-Agents-Hackathon-2026/blob/f41616590b69f3ea0c1cbfb41d6c35edd9ce53df/data/train/resplan-6994/questions_basic.jsonl#L8</x:v>
      </x:c>
      <x:c r="AA1614" s="6" t="str">
        <x:v>resplan</x:v>
      </x:c>
      <x:c r="AB1614" s="6" t="str">
        <x:v>CC-BY-4.0</x:v>
      </x:c>
    </x:row>
    <x:row r="1615" ht="82" customHeight="1">
      <x:c r="A1615" s="14" t="n">
        <x:v>1610</x:v>
      </x:c>
      <x:c r="B1615" s="6" t="str">
        <x:v>route_step_free</x:v>
      </x:c>
      <x:c r="C1615" s="6" t="str">
        <x:v>Is there a step-free route from Kitchen 0.06 (Ground floor) to Bathroom 0.04 (Ground floor)?</x:v>
      </x:c>
      <x:c r="D1615" s="6" t="str">
        <x:v>13.05 m
From: Kitchen 0.06
To: Bathroom 0.04
Ordered path (3 spaces): Kitchen 0.06 → Living room 0.01 → Bathroom 0.04</x:v>
      </x:c>
      <x:c r="E1615" s="6" t="str">
        <x:v>Reference supplied</x:v>
      </x:c>
      <x:c r="F1615" s="6" t="str">
        <x:v>train</x:v>
      </x:c>
      <x:c r="G1615" s="6" t="str">
        <x:v>resplan-7151</x:v>
      </x:c>
      <x:c r="H1615" s="6" t="str">
        <x:v>resplan-7151-Q08</x:v>
      </x:c>
      <x:c r="I1615" s="6" t="str">
        <x:v>Route planning</x:v>
      </x:c>
      <x:c r="J1615" s="6" t="str">
        <x:v>Warm-up</x:v>
      </x:c>
      <x:c r="K1615" s="6" t="str">
        <x:v>Reachable: ordered path and metres. Unreachable: explicitly state no step-free route.</x:v>
      </x:c>
      <x:c r="L1615" s="6" t="str">
        <x:v>T02, T05, T13</x:v>
      </x:c>
      <x:c r="M1615" s="6" t="str">
        <x:v>Check whether a step-free route exists and give it when possible.</x:v>
      </x:c>
      <x:c r="N1615" s="6" t="str">
        <x:v>{"from_space_id":"resplan-7151-F0-S006","to_space_id":"resplan-7151-F0-S004","optimal_length_m":13.05,"space_path":["resplan-7151-F0-S006","resplan-7151-F0-S001","resplan-7151-F0-S004"],"element_path":["resplan-7151-F0-O0006","resplan-7151-F0-O0006","resplan-7151-F0-O0003","resplan-7151-F0-O0003"]}</x:v>
      </x:c>
      <x:c r="O1615" s="6"/>
      <x:c r="P1615" s="6" t="str">
        <x:v>step_free=true. No stairs or stepped openings. May be unreachable.</x:v>
      </x:c>
      <x:c r="Q1615" s="15" t="n">
        <x:v>13.05</x:v>
      </x:c>
      <x:c r="R1615" s="6" t="str">
        <x:v>m</x:v>
      </x:c>
      <x:c r="S1615" s="16"/>
      <x:c r="T1615" s="15"/>
      <x:c r="U1615" s="6"/>
      <x:c r="V1615" s="6"/>
      <x:c r="W1615" s="6" t="str">
        <x:v>Existing find_route(step_free=true).</x:v>
      </x:c>
      <x:c r="X1615" s="6" t="str">
        <x:v>data/train/resplan-7151/questions_basic.jsonl</x:v>
      </x:c>
      <x:c r="Y1615" s="14" t="n">
        <x:v>8</x:v>
      </x:c>
      <x:c r="Z1615" s="6" t="str">
        <x:v>https://github.com/hagenhaeussler/Industrial-Agents-Hackathon-2026/blob/f41616590b69f3ea0c1cbfb41d6c35edd9ce53df/data/train/resplan-7151/questions_basic.jsonl#L8</x:v>
      </x:c>
      <x:c r="AA1615" s="6" t="str">
        <x:v>resplan</x:v>
      </x:c>
      <x:c r="AB1615" s="6" t="str">
        <x:v>CC-BY-4.0</x:v>
      </x:c>
    </x:row>
    <x:row r="1616" ht="82" customHeight="1">
      <x:c r="A1616" s="14" t="n">
        <x:v>1611</x:v>
      </x:c>
      <x:c r="B1616" s="6" t="str">
        <x:v>route_step_free</x:v>
      </x:c>
      <x:c r="C1616" s="6" t="str">
        <x:v>Is there a step-free route from Bathroom 0.05 (Ground floor) to Kitchen 0.06 (Ground floor)?</x:v>
      </x:c>
      <x:c r="D1616" s="6" t="str">
        <x:v>10.64 m
From: Bathroom 0.05
To: Kitchen 0.06
Ordered path (3 spaces): Bathroom 0.05 → Living room 0.01 → Kitchen 0.06</x:v>
      </x:c>
      <x:c r="E1616" s="6" t="str">
        <x:v>Reference supplied</x:v>
      </x:c>
      <x:c r="F1616" s="6" t="str">
        <x:v>train</x:v>
      </x:c>
      <x:c r="G1616" s="6" t="str">
        <x:v>resplan-7471</x:v>
      </x:c>
      <x:c r="H1616" s="6" t="str">
        <x:v>resplan-7471-Q08</x:v>
      </x:c>
      <x:c r="I1616" s="6" t="str">
        <x:v>Route planning</x:v>
      </x:c>
      <x:c r="J1616" s="6" t="str">
        <x:v>Warm-up</x:v>
      </x:c>
      <x:c r="K1616" s="6" t="str">
        <x:v>Reachable: ordered path and metres. Unreachable: explicitly state no step-free route.</x:v>
      </x:c>
      <x:c r="L1616" s="6" t="str">
        <x:v>T02, T05, T13</x:v>
      </x:c>
      <x:c r="M1616" s="6" t="str">
        <x:v>Check whether a step-free route exists and give it when possible.</x:v>
      </x:c>
      <x:c r="N1616" s="6" t="str">
        <x:v>{"from_space_id":"resplan-7471-F0-S005","to_space_id":"resplan-7471-F0-S006","optimal_length_m":10.64,"space_path":["resplan-7471-F0-S005","resplan-7471-F0-S001","resplan-7471-F0-S006"],"element_path":["resplan-7471-F0-O0002","resplan-7471-F0-O0002","resplan-7471-F0-O0005","resplan-7471-F0-O0005"]}</x:v>
      </x:c>
      <x:c r="O1616" s="6"/>
      <x:c r="P1616" s="6" t="str">
        <x:v>step_free=true. No stairs or stepped openings. May be unreachable.</x:v>
      </x:c>
      <x:c r="Q1616" s="15" t="n">
        <x:v>10.64</x:v>
      </x:c>
      <x:c r="R1616" s="6" t="str">
        <x:v>m</x:v>
      </x:c>
      <x:c r="S1616" s="16"/>
      <x:c r="T1616" s="15"/>
      <x:c r="U1616" s="6"/>
      <x:c r="V1616" s="6"/>
      <x:c r="W1616" s="6" t="str">
        <x:v>Existing find_route(step_free=true).</x:v>
      </x:c>
      <x:c r="X1616" s="6" t="str">
        <x:v>data/train/resplan-7471/questions_basic.jsonl</x:v>
      </x:c>
      <x:c r="Y1616" s="14" t="n">
        <x:v>8</x:v>
      </x:c>
      <x:c r="Z1616" s="6" t="str">
        <x:v>https://github.com/hagenhaeussler/Industrial-Agents-Hackathon-2026/blob/f41616590b69f3ea0c1cbfb41d6c35edd9ce53df/data/train/resplan-7471/questions_basic.jsonl#L8</x:v>
      </x:c>
      <x:c r="AA1616" s="6" t="str">
        <x:v>resplan</x:v>
      </x:c>
      <x:c r="AB1616" s="6" t="str">
        <x:v>CC-BY-4.0</x:v>
      </x:c>
    </x:row>
    <x:row r="1617" ht="82" customHeight="1">
      <x:c r="A1617" s="14" t="n">
        <x:v>1612</x:v>
      </x:c>
      <x:c r="B1617" s="6" t="str">
        <x:v>route_step_free</x:v>
      </x:c>
      <x:c r="C1617" s="6" t="str">
        <x:v>Is there a step-free route from Bathroom 0.05 (Ground floor) to Living room 0.01 (Ground floor)?</x:v>
      </x:c>
      <x:c r="D1617" s="6" t="str">
        <x:v>10.21 m
From: Bathroom 0.05
To: Living room 0.01
Ordered path (3 spaces): Bathroom 0.05 → Bedroom 0.02 → Living room 0.01</x:v>
      </x:c>
      <x:c r="E1617" s="6" t="str">
        <x:v>Reference supplied</x:v>
      </x:c>
      <x:c r="F1617" s="6" t="str">
        <x:v>train</x:v>
      </x:c>
      <x:c r="G1617" s="6" t="str">
        <x:v>resplan-7667</x:v>
      </x:c>
      <x:c r="H1617" s="6" t="str">
        <x:v>resplan-7667-Q08</x:v>
      </x:c>
      <x:c r="I1617" s="6" t="str">
        <x:v>Route planning</x:v>
      </x:c>
      <x:c r="J1617" s="6" t="str">
        <x:v>Warm-up</x:v>
      </x:c>
      <x:c r="K1617" s="6" t="str">
        <x:v>Reachable: ordered path and metres. Unreachable: explicitly state no step-free route.</x:v>
      </x:c>
      <x:c r="L1617" s="6" t="str">
        <x:v>T02, T05, T13</x:v>
      </x:c>
      <x:c r="M1617" s="6" t="str">
        <x:v>Check whether a step-free route exists and give it when possible.</x:v>
      </x:c>
      <x:c r="N1617" s="6" t="str">
        <x:v>{"from_space_id":"resplan-7667-F0-S005","to_space_id":"resplan-7667-F0-S001","optimal_length_m":10.21,"space_path":["resplan-7667-F0-S005","resplan-7667-F0-S002","resplan-7667-F0-S001"],"element_path":["resplan-7667-F0-O0001","resplan-7667-F0-O0001","resplan-7667-F0-O0004","resplan-7667-F0-O0004"]}</x:v>
      </x:c>
      <x:c r="O1617" s="6"/>
      <x:c r="P1617" s="6" t="str">
        <x:v>step_free=true. No stairs or stepped openings. May be unreachable.</x:v>
      </x:c>
      <x:c r="Q1617" s="15" t="n">
        <x:v>10.21</x:v>
      </x:c>
      <x:c r="R1617" s="6" t="str">
        <x:v>m</x:v>
      </x:c>
      <x:c r="S1617" s="16"/>
      <x:c r="T1617" s="15"/>
      <x:c r="U1617" s="6"/>
      <x:c r="V1617" s="6"/>
      <x:c r="W1617" s="6" t="str">
        <x:v>Existing find_route(step_free=true).</x:v>
      </x:c>
      <x:c r="X1617" s="6" t="str">
        <x:v>data/train/resplan-7667/questions_basic.jsonl</x:v>
      </x:c>
      <x:c r="Y1617" s="14" t="n">
        <x:v>8</x:v>
      </x:c>
      <x:c r="Z1617" s="6" t="str">
        <x:v>https://github.com/hagenhaeussler/Industrial-Agents-Hackathon-2026/blob/f41616590b69f3ea0c1cbfb41d6c35edd9ce53df/data/train/resplan-7667/questions_basic.jsonl#L8</x:v>
      </x:c>
      <x:c r="AA1617" s="6" t="str">
        <x:v>resplan</x:v>
      </x:c>
      <x:c r="AB1617" s="6" t="str">
        <x:v>CC-BY-4.0</x:v>
      </x:c>
    </x:row>
    <x:row r="1618" ht="72" customHeight="1">
      <x:c r="A1618" s="14" t="n">
        <x:v>1613</x:v>
      </x:c>
      <x:c r="B1618" s="6" t="str">
        <x:v>route_step_free</x:v>
      </x:c>
      <x:c r="C1618" s="6" t="str">
        <x:v>Is there a step-free route from Kitchen 0.06 (Ground floor) to Living room 0.01 (Ground floor)?</x:v>
      </x:c>
      <x:c r="D1618" s="6" t="str">
        <x:v>5.62 m
From: Kitchen 0.06
To: Living room 0.01
Ordered path (2 spaces): Kitchen 0.06 → Living room 0.01</x:v>
      </x:c>
      <x:c r="E1618" s="6" t="str">
        <x:v>Reference supplied</x:v>
      </x:c>
      <x:c r="F1618" s="6" t="str">
        <x:v>train</x:v>
      </x:c>
      <x:c r="G1618" s="6" t="str">
        <x:v>resplan-7709</x:v>
      </x:c>
      <x:c r="H1618" s="6" t="str">
        <x:v>resplan-7709-Q08</x:v>
      </x:c>
      <x:c r="I1618" s="6" t="str">
        <x:v>Route planning</x:v>
      </x:c>
      <x:c r="J1618" s="6" t="str">
        <x:v>Warm-up</x:v>
      </x:c>
      <x:c r="K1618" s="6" t="str">
        <x:v>Reachable: ordered path and metres. Unreachable: explicitly state no step-free route.</x:v>
      </x:c>
      <x:c r="L1618" s="6" t="str">
        <x:v>T02, T05, T13</x:v>
      </x:c>
      <x:c r="M1618" s="6" t="str">
        <x:v>Check whether a step-free route exists and give it when possible.</x:v>
      </x:c>
      <x:c r="N1618" s="6" t="str">
        <x:v>{"from_space_id":"resplan-7709-F0-S006","to_space_id":"resplan-7709-F0-S001","optimal_length_m":5.62,"space_path":["resplan-7709-F0-S006","resplan-7709-F0-S001"],"element_path":["resplan-7709-F0-O0005","resplan-7709-F0-O0005"]}</x:v>
      </x:c>
      <x:c r="O1618" s="6"/>
      <x:c r="P1618" s="6" t="str">
        <x:v>step_free=true. No stairs or stepped openings. May be unreachable.</x:v>
      </x:c>
      <x:c r="Q1618" s="15" t="n">
        <x:v>5.62</x:v>
      </x:c>
      <x:c r="R1618" s="6" t="str">
        <x:v>m</x:v>
      </x:c>
      <x:c r="S1618" s="16"/>
      <x:c r="T1618" s="15"/>
      <x:c r="U1618" s="6"/>
      <x:c r="V1618" s="6"/>
      <x:c r="W1618" s="6" t="str">
        <x:v>Existing find_route(step_free=true).</x:v>
      </x:c>
      <x:c r="X1618" s="6" t="str">
        <x:v>data/train/resplan-7709/questions_basic.jsonl</x:v>
      </x:c>
      <x:c r="Y1618" s="14" t="n">
        <x:v>8</x:v>
      </x:c>
      <x:c r="Z1618" s="6" t="str">
        <x:v>https://github.com/hagenhaeussler/Industrial-Agents-Hackathon-2026/blob/f41616590b69f3ea0c1cbfb41d6c35edd9ce53df/data/train/resplan-7709/questions_basic.jsonl#L8</x:v>
      </x:c>
      <x:c r="AA1618" s="6" t="str">
        <x:v>resplan</x:v>
      </x:c>
      <x:c r="AB1618" s="6" t="str">
        <x:v>CC-BY-4.0</x:v>
      </x:c>
    </x:row>
    <x:row r="1619" ht="72" customHeight="1">
      <x:c r="A1619" s="14" t="n">
        <x:v>1614</x:v>
      </x:c>
      <x:c r="B1619" s="6" t="str">
        <x:v>route_step_free</x:v>
      </x:c>
      <x:c r="C1619" s="6" t="str">
        <x:v>Is there a step-free route from Living room 0.01 (Ground floor) to Kitchen 0.06 (Ground floor)?</x:v>
      </x:c>
      <x:c r="D1619" s="6" t="str">
        <x:v>7.54 m
From: Living room 0.01
To: Kitchen 0.06
Ordered path (2 spaces): Living room 0.01 → Kitchen 0.06</x:v>
      </x:c>
      <x:c r="E1619" s="6" t="str">
        <x:v>Reference supplied</x:v>
      </x:c>
      <x:c r="F1619" s="6" t="str">
        <x:v>train</x:v>
      </x:c>
      <x:c r="G1619" s="6" t="str">
        <x:v>resplan-7948</x:v>
      </x:c>
      <x:c r="H1619" s="6" t="str">
        <x:v>resplan-7948-Q08</x:v>
      </x:c>
      <x:c r="I1619" s="6" t="str">
        <x:v>Route planning</x:v>
      </x:c>
      <x:c r="J1619" s="6" t="str">
        <x:v>Warm-up</x:v>
      </x:c>
      <x:c r="K1619" s="6" t="str">
        <x:v>Reachable: ordered path and metres. Unreachable: explicitly state no step-free route.</x:v>
      </x:c>
      <x:c r="L1619" s="6" t="str">
        <x:v>T02, T05, T13</x:v>
      </x:c>
      <x:c r="M1619" s="6" t="str">
        <x:v>Check whether a step-free route exists and give it when possible.</x:v>
      </x:c>
      <x:c r="N1619" s="6" t="str">
        <x:v>{"from_space_id":"resplan-7948-F0-S001","to_space_id":"resplan-7948-F0-S006","optimal_length_m":7.54,"space_path":["resplan-7948-F0-S001","resplan-7948-F0-S006"],"element_path":["resplan-7948-F0-O0007","resplan-7948-F0-O0007"]}</x:v>
      </x:c>
      <x:c r="O1619" s="6"/>
      <x:c r="P1619" s="6" t="str">
        <x:v>step_free=true. No stairs or stepped openings. May be unreachable.</x:v>
      </x:c>
      <x:c r="Q1619" s="15" t="n">
        <x:v>7.54</x:v>
      </x:c>
      <x:c r="R1619" s="6" t="str">
        <x:v>m</x:v>
      </x:c>
      <x:c r="S1619" s="16"/>
      <x:c r="T1619" s="15"/>
      <x:c r="U1619" s="6"/>
      <x:c r="V1619" s="6"/>
      <x:c r="W1619" s="6" t="str">
        <x:v>Existing find_route(step_free=true).</x:v>
      </x:c>
      <x:c r="X1619" s="6" t="str">
        <x:v>data/train/resplan-7948/questions_basic.jsonl</x:v>
      </x:c>
      <x:c r="Y1619" s="14" t="n">
        <x:v>8</x:v>
      </x:c>
      <x:c r="Z1619" s="6" t="str">
        <x:v>https://github.com/hagenhaeussler/Industrial-Agents-Hackathon-2026/blob/f41616590b69f3ea0c1cbfb41d6c35edd9ce53df/data/train/resplan-7948/questions_basic.jsonl#L8</x:v>
      </x:c>
      <x:c r="AA1619" s="6" t="str">
        <x:v>resplan</x:v>
      </x:c>
      <x:c r="AB1619" s="6" t="str">
        <x:v>CC-BY-4.0</x:v>
      </x:c>
    </x:row>
    <x:row r="1620" ht="72" customHeight="1">
      <x:c r="A1620" s="14" t="n">
        <x:v>1615</x:v>
      </x:c>
      <x:c r="B1620" s="6" t="str">
        <x:v>route_step_free</x:v>
      </x:c>
      <x:c r="C1620" s="6" t="str">
        <x:v>Is there a step-free route from Living room 0.01 (Ground floor) to Bedroom 0.02 (Ground floor)?</x:v>
      </x:c>
      <x:c r="D1620" s="6" t="str">
        <x:v>4.47 m
From: Living room 0.01
To: Bedroom 0.02
Ordered path (2 spaces): Living room 0.01 → Bedroom 0.02</x:v>
      </x:c>
      <x:c r="E1620" s="6" t="str">
        <x:v>Reference supplied</x:v>
      </x:c>
      <x:c r="F1620" s="6" t="str">
        <x:v>train</x:v>
      </x:c>
      <x:c r="G1620" s="6" t="str">
        <x:v>resplan-8006</x:v>
      </x:c>
      <x:c r="H1620" s="6" t="str">
        <x:v>resplan-8006-Q08</x:v>
      </x:c>
      <x:c r="I1620" s="6" t="str">
        <x:v>Route planning</x:v>
      </x:c>
      <x:c r="J1620" s="6" t="str">
        <x:v>Warm-up</x:v>
      </x:c>
      <x:c r="K1620" s="6" t="str">
        <x:v>Reachable: ordered path and metres. Unreachable: explicitly state no step-free route.</x:v>
      </x:c>
      <x:c r="L1620" s="6" t="str">
        <x:v>T02, T05, T13</x:v>
      </x:c>
      <x:c r="M1620" s="6" t="str">
        <x:v>Check whether a step-free route exists and give it when possible.</x:v>
      </x:c>
      <x:c r="N1620" s="6" t="str">
        <x:v>{"from_space_id":"resplan-8006-F0-S001","to_space_id":"resplan-8006-F0-S002","optimal_length_m":4.47,"space_path":["resplan-8006-F0-S001","resplan-8006-F0-S002"],"element_path":["resplan-8006-F0-O0001","resplan-8006-F0-O0001"]}</x:v>
      </x:c>
      <x:c r="O1620" s="6"/>
      <x:c r="P1620" s="6" t="str">
        <x:v>step_free=true. No stairs or stepped openings. May be unreachable.</x:v>
      </x:c>
      <x:c r="Q1620" s="15" t="n">
        <x:v>4.47</x:v>
      </x:c>
      <x:c r="R1620" s="6" t="str">
        <x:v>m</x:v>
      </x:c>
      <x:c r="S1620" s="16"/>
      <x:c r="T1620" s="15"/>
      <x:c r="U1620" s="6"/>
      <x:c r="V1620" s="6"/>
      <x:c r="W1620" s="6" t="str">
        <x:v>Existing find_route(step_free=true).</x:v>
      </x:c>
      <x:c r="X1620" s="6" t="str">
        <x:v>data/train/resplan-8006/questions_basic.jsonl</x:v>
      </x:c>
      <x:c r="Y1620" s="14" t="n">
        <x:v>8</x:v>
      </x:c>
      <x:c r="Z1620" s="6" t="str">
        <x:v>https://github.com/hagenhaeussler/Industrial-Agents-Hackathon-2026/blob/f41616590b69f3ea0c1cbfb41d6c35edd9ce53df/data/train/resplan-8006/questions_basic.jsonl#L8</x:v>
      </x:c>
      <x:c r="AA1620" s="6" t="str">
        <x:v>resplan</x:v>
      </x:c>
      <x:c r="AB1620" s="6" t="str">
        <x:v>CC-BY-4.0</x:v>
      </x:c>
    </x:row>
    <x:row r="1621" ht="82" customHeight="1">
      <x:c r="A1621" s="14" t="n">
        <x:v>1616</x:v>
      </x:c>
      <x:c r="B1621" s="6" t="str">
        <x:v>route_step_free</x:v>
      </x:c>
      <x:c r="C1621" s="6" t="str">
        <x:v>Is there a step-free route from Bedroom 0.03 (Ground floor) to Bathroom 0.05 (Ground floor)?</x:v>
      </x:c>
      <x:c r="D1621" s="6" t="str">
        <x:v>8.29 m
From: Bedroom 0.03
To: Bathroom 0.05
Ordered path (3 spaces): Bedroom 0.03 → Living room 0.01 → Bathroom 0.05</x:v>
      </x:c>
      <x:c r="E1621" s="6" t="str">
        <x:v>Reference supplied</x:v>
      </x:c>
      <x:c r="F1621" s="6" t="str">
        <x:v>train</x:v>
      </x:c>
      <x:c r="G1621" s="6" t="str">
        <x:v>resplan-8080</x:v>
      </x:c>
      <x:c r="H1621" s="6" t="str">
        <x:v>resplan-8080-Q08</x:v>
      </x:c>
      <x:c r="I1621" s="6" t="str">
        <x:v>Route planning</x:v>
      </x:c>
      <x:c r="J1621" s="6" t="str">
        <x:v>Warm-up</x:v>
      </x:c>
      <x:c r="K1621" s="6" t="str">
        <x:v>Reachable: ordered path and metres. Unreachable: explicitly state no step-free route.</x:v>
      </x:c>
      <x:c r="L1621" s="6" t="str">
        <x:v>T02, T05, T13</x:v>
      </x:c>
      <x:c r="M1621" s="6" t="str">
        <x:v>Check whether a step-free route exists and give it when possible.</x:v>
      </x:c>
      <x:c r="N1621" s="6" t="str">
        <x:v>{"from_space_id":"resplan-8080-F0-S003","to_space_id":"resplan-8080-F0-S005","optimal_length_m":8.29,"space_path":["resplan-8080-F0-S003","resplan-8080-F0-S001","resplan-8080-F0-S005"],"element_path":["resplan-8080-F0-O0003","resplan-8080-F0-O0003","resplan-8080-F0-O0002","resplan-8080-F0-O0002"]}</x:v>
      </x:c>
      <x:c r="O1621" s="6"/>
      <x:c r="P1621" s="6" t="str">
        <x:v>step_free=true. No stairs or stepped openings. May be unreachable.</x:v>
      </x:c>
      <x:c r="Q1621" s="15" t="n">
        <x:v>8.29</x:v>
      </x:c>
      <x:c r="R1621" s="6" t="str">
        <x:v>m</x:v>
      </x:c>
      <x:c r="S1621" s="16"/>
      <x:c r="T1621" s="15"/>
      <x:c r="U1621" s="6"/>
      <x:c r="V1621" s="6"/>
      <x:c r="W1621" s="6" t="str">
        <x:v>Existing find_route(step_free=true).</x:v>
      </x:c>
      <x:c r="X1621" s="6" t="str">
        <x:v>data/train/resplan-8080/questions_basic.jsonl</x:v>
      </x:c>
      <x:c r="Y1621" s="14" t="n">
        <x:v>8</x:v>
      </x:c>
      <x:c r="Z1621" s="6" t="str">
        <x:v>https://github.com/hagenhaeussler/Industrial-Agents-Hackathon-2026/blob/f41616590b69f3ea0c1cbfb41d6c35edd9ce53df/data/train/resplan-8080/questions_basic.jsonl#L8</x:v>
      </x:c>
      <x:c r="AA1621" s="6" t="str">
        <x:v>resplan</x:v>
      </x:c>
      <x:c r="AB1621" s="6" t="str">
        <x:v>CC-BY-4.0</x:v>
      </x:c>
    </x:row>
    <x:row r="1622" ht="82" customHeight="1">
      <x:c r="A1622" s="14" t="n">
        <x:v>1617</x:v>
      </x:c>
      <x:c r="B1622" s="6" t="str">
        <x:v>route_step_free</x:v>
      </x:c>
      <x:c r="C1622" s="6" t="str">
        <x:v>Is there a step-free route from Bedroom 0.03 (Ground floor) to Bathroom 0.07 (Ground floor)?</x:v>
      </x:c>
      <x:c r="D1622" s="6" t="str">
        <x:v>8.92 m
From: Bedroom 0.03
To: Bathroom 0.07
Ordered path (3 spaces): Bedroom 0.03 → Living room 0.01 → Bathroom 0.07</x:v>
      </x:c>
      <x:c r="E1622" s="6" t="str">
        <x:v>Reference supplied</x:v>
      </x:c>
      <x:c r="F1622" s="6" t="str">
        <x:v>train</x:v>
      </x:c>
      <x:c r="G1622" s="6" t="str">
        <x:v>resplan-8174</x:v>
      </x:c>
      <x:c r="H1622" s="6" t="str">
        <x:v>resplan-8174-Q08</x:v>
      </x:c>
      <x:c r="I1622" s="6" t="str">
        <x:v>Route planning</x:v>
      </x:c>
      <x:c r="J1622" s="6" t="str">
        <x:v>Warm-up</x:v>
      </x:c>
      <x:c r="K1622" s="6" t="str">
        <x:v>Reachable: ordered path and metres. Unreachable: explicitly state no step-free route.</x:v>
      </x:c>
      <x:c r="L1622" s="6" t="str">
        <x:v>T02, T05, T13</x:v>
      </x:c>
      <x:c r="M1622" s="6" t="str">
        <x:v>Check whether a step-free route exists and give it when possible.</x:v>
      </x:c>
      <x:c r="N1622" s="6" t="str">
        <x:v>{"from_space_id":"resplan-8174-F0-S003","to_space_id":"resplan-8174-F0-S007","optimal_length_m":8.92,"space_path":["resplan-8174-F0-S003","resplan-8174-F0-S001","resplan-8174-F0-S007"],"element_path":["resplan-8174-F0-O0002","resplan-8174-F0-O0002","resplan-8174-F0-O0003","resplan-8174-F0-O0003"]}</x:v>
      </x:c>
      <x:c r="O1622" s="6"/>
      <x:c r="P1622" s="6" t="str">
        <x:v>step_free=true. No stairs or stepped openings. May be unreachable.</x:v>
      </x:c>
      <x:c r="Q1622" s="15" t="n">
        <x:v>8.92</x:v>
      </x:c>
      <x:c r="R1622" s="6" t="str">
        <x:v>m</x:v>
      </x:c>
      <x:c r="S1622" s="16"/>
      <x:c r="T1622" s="15"/>
      <x:c r="U1622" s="6"/>
      <x:c r="V1622" s="6"/>
      <x:c r="W1622" s="6" t="str">
        <x:v>Existing find_route(step_free=true).</x:v>
      </x:c>
      <x:c r="X1622" s="6" t="str">
        <x:v>data/train/resplan-8174/questions_basic.jsonl</x:v>
      </x:c>
      <x:c r="Y1622" s="14" t="n">
        <x:v>8</x:v>
      </x:c>
      <x:c r="Z1622" s="6" t="str">
        <x:v>https://github.com/hagenhaeussler/Industrial-Agents-Hackathon-2026/blob/f41616590b69f3ea0c1cbfb41d6c35edd9ce53df/data/train/resplan-8174/questions_basic.jsonl#L8</x:v>
      </x:c>
      <x:c r="AA1622" s="6" t="str">
        <x:v>resplan</x:v>
      </x:c>
      <x:c r="AB1622" s="6" t="str">
        <x:v>CC-BY-4.0</x:v>
      </x:c>
    </x:row>
    <x:row r="1623" ht="72" customHeight="1">
      <x:c r="A1623" s="14" t="n">
        <x:v>1618</x:v>
      </x:c>
      <x:c r="B1623" s="6" t="str">
        <x:v>route_step_free</x:v>
      </x:c>
      <x:c r="C1623" s="6" t="str">
        <x:v>Is there a step-free route from Bedroom 0.03 (Ground floor) to Living room 0.01 (Ground floor)?</x:v>
      </x:c>
      <x:c r="D1623" s="6" t="str">
        <x:v>10.57 m
From: Bedroom 0.03
To: Living room 0.01
Ordered path (2 spaces): Bedroom 0.03 → Living room 0.01</x:v>
      </x:c>
      <x:c r="E1623" s="6" t="str">
        <x:v>Reference supplied</x:v>
      </x:c>
      <x:c r="F1623" s="6" t="str">
        <x:v>train</x:v>
      </x:c>
      <x:c r="G1623" s="6" t="str">
        <x:v>resplan-8431</x:v>
      </x:c>
      <x:c r="H1623" s="6" t="str">
        <x:v>resplan-8431-Q08</x:v>
      </x:c>
      <x:c r="I1623" s="6" t="str">
        <x:v>Route planning</x:v>
      </x:c>
      <x:c r="J1623" s="6" t="str">
        <x:v>Warm-up</x:v>
      </x:c>
      <x:c r="K1623" s="6" t="str">
        <x:v>Reachable: ordered path and metres. Unreachable: explicitly state no step-free route.</x:v>
      </x:c>
      <x:c r="L1623" s="6" t="str">
        <x:v>T02, T05, T13</x:v>
      </x:c>
      <x:c r="M1623" s="6" t="str">
        <x:v>Check whether a step-free route exists and give it when possible.</x:v>
      </x:c>
      <x:c r="N1623" s="6" t="str">
        <x:v>{"from_space_id":"resplan-8431-F0-S003","to_space_id":"resplan-8431-F0-S001","optimal_length_m":10.57,"space_path":["resplan-8431-F0-S003","resplan-8431-F0-S001"],"element_path":["resplan-8431-F0-O0003","resplan-8431-F0-O0003"]}</x:v>
      </x:c>
      <x:c r="O1623" s="6"/>
      <x:c r="P1623" s="6" t="str">
        <x:v>step_free=true. No stairs or stepped openings. May be unreachable.</x:v>
      </x:c>
      <x:c r="Q1623" s="15" t="n">
        <x:v>10.57</x:v>
      </x:c>
      <x:c r="R1623" s="6" t="str">
        <x:v>m</x:v>
      </x:c>
      <x:c r="S1623" s="16"/>
      <x:c r="T1623" s="15"/>
      <x:c r="U1623" s="6"/>
      <x:c r="V1623" s="6"/>
      <x:c r="W1623" s="6" t="str">
        <x:v>Existing find_route(step_free=true).</x:v>
      </x:c>
      <x:c r="X1623" s="6" t="str">
        <x:v>data/train/resplan-8431/questions_basic.jsonl</x:v>
      </x:c>
      <x:c r="Y1623" s="14" t="n">
        <x:v>8</x:v>
      </x:c>
      <x:c r="Z1623" s="6" t="str">
        <x:v>https://github.com/hagenhaeussler/Industrial-Agents-Hackathon-2026/blob/f41616590b69f3ea0c1cbfb41d6c35edd9ce53df/data/train/resplan-8431/questions_basic.jsonl#L8</x:v>
      </x:c>
      <x:c r="AA1623" s="6" t="str">
        <x:v>resplan</x:v>
      </x:c>
      <x:c r="AB1623" s="6" t="str">
        <x:v>CC-BY-4.0</x:v>
      </x:c>
    </x:row>
    <x:row r="1624" ht="82" customHeight="1">
      <x:c r="A1624" s="14" t="n">
        <x:v>1619</x:v>
      </x:c>
      <x:c r="B1624" s="6" t="str">
        <x:v>route_step_free</x:v>
      </x:c>
      <x:c r="C1624" s="6" t="str">
        <x:v>Is there a step-free route from Bathroom 0.05 (Ground floor) to Bedroom 0.03 (Ground floor)?</x:v>
      </x:c>
      <x:c r="D1624" s="6" t="str">
        <x:v>12.97 m
From: Bathroom 0.05
To: Bedroom 0.03
Ordered path (3 spaces): Bathroom 0.05 → Living room 0.01 → Bedroom 0.03</x:v>
      </x:c>
      <x:c r="E1624" s="6" t="str">
        <x:v>Reference supplied</x:v>
      </x:c>
      <x:c r="F1624" s="6" t="str">
        <x:v>train</x:v>
      </x:c>
      <x:c r="G1624" s="6" t="str">
        <x:v>resplan-8449</x:v>
      </x:c>
      <x:c r="H1624" s="6" t="str">
        <x:v>resplan-8449-Q08</x:v>
      </x:c>
      <x:c r="I1624" s="6" t="str">
        <x:v>Route planning</x:v>
      </x:c>
      <x:c r="J1624" s="6" t="str">
        <x:v>Warm-up</x:v>
      </x:c>
      <x:c r="K1624" s="6" t="str">
        <x:v>Reachable: ordered path and metres. Unreachable: explicitly state no step-free route.</x:v>
      </x:c>
      <x:c r="L1624" s="6" t="str">
        <x:v>T02, T05, T13</x:v>
      </x:c>
      <x:c r="M1624" s="6" t="str">
        <x:v>Check whether a step-free route exists and give it when possible.</x:v>
      </x:c>
      <x:c r="N1624" s="6" t="str">
        <x:v>{"from_space_id":"resplan-8449-F0-S005","to_space_id":"resplan-8449-F0-S003","optimal_length_m":12.97,"space_path":["resplan-8449-F0-S005","resplan-8449-F0-S001","resplan-8449-F0-S003"],"element_path":["resplan-8449-F0-O0003","resplan-8449-F0-O0003","resplan-8449-F0-O0004","resplan-8449-F0-O0004"]}</x:v>
      </x:c>
      <x:c r="O1624" s="6"/>
      <x:c r="P1624" s="6" t="str">
        <x:v>step_free=true. No stairs or stepped openings. May be unreachable.</x:v>
      </x:c>
      <x:c r="Q1624" s="15" t="n">
        <x:v>12.97</x:v>
      </x:c>
      <x:c r="R1624" s="6" t="str">
        <x:v>m</x:v>
      </x:c>
      <x:c r="S1624" s="16"/>
      <x:c r="T1624" s="15"/>
      <x:c r="U1624" s="6"/>
      <x:c r="V1624" s="6"/>
      <x:c r="W1624" s="6" t="str">
        <x:v>Existing find_route(step_free=true).</x:v>
      </x:c>
      <x:c r="X1624" s="6" t="str">
        <x:v>data/train/resplan-8449/questions_basic.jsonl</x:v>
      </x:c>
      <x:c r="Y1624" s="14" t="n">
        <x:v>8</x:v>
      </x:c>
      <x:c r="Z1624" s="6" t="str">
        <x:v>https://github.com/hagenhaeussler/Industrial-Agents-Hackathon-2026/blob/f41616590b69f3ea0c1cbfb41d6c35edd9ce53df/data/train/resplan-8449/questions_basic.jsonl#L8</x:v>
      </x:c>
      <x:c r="AA1624" s="6" t="str">
        <x:v>resplan</x:v>
      </x:c>
      <x:c r="AB1624" s="6" t="str">
        <x:v>CC-BY-4.0</x:v>
      </x:c>
    </x:row>
    <x:row r="1625" ht="72" customHeight="1">
      <x:c r="A1625" s="14" t="n">
        <x:v>1620</x:v>
      </x:c>
      <x:c r="B1625" s="6" t="str">
        <x:v>route_step_free</x:v>
      </x:c>
      <x:c r="C1625" s="6" t="str">
        <x:v>Is there a step-free route from Bedroom 0.04 (Ground floor) to Kitchen 0.10 (Ground floor)?</x:v>
      </x:c>
      <x:c r="D1625" s="6" t="str">
        <x:v>14.82 m
From: Bedroom 0.04
To: Kitchen 0.10
Ordered path (3 spaces): Bedroom 0.04 → Living room 0.01 → Kitchen 0.10</x:v>
      </x:c>
      <x:c r="E1625" s="6" t="str">
        <x:v>Reference supplied</x:v>
      </x:c>
      <x:c r="F1625" s="6" t="str">
        <x:v>train</x:v>
      </x:c>
      <x:c r="G1625" s="6" t="str">
        <x:v>resplan-8565</x:v>
      </x:c>
      <x:c r="H1625" s="6" t="str">
        <x:v>resplan-8565-Q08</x:v>
      </x:c>
      <x:c r="I1625" s="6" t="str">
        <x:v>Route planning</x:v>
      </x:c>
      <x:c r="J1625" s="6" t="str">
        <x:v>Warm-up</x:v>
      </x:c>
      <x:c r="K1625" s="6" t="str">
        <x:v>Reachable: ordered path and metres. Unreachable: explicitly state no step-free route.</x:v>
      </x:c>
      <x:c r="L1625" s="6" t="str">
        <x:v>T02, T05, T13</x:v>
      </x:c>
      <x:c r="M1625" s="6" t="str">
        <x:v>Check whether a step-free route exists and give it when possible.</x:v>
      </x:c>
      <x:c r="N1625" s="6" t="str">
        <x:v>{"from_space_id":"resplan-8565-F0-S004","to_space_id":"resplan-8565-F0-S010","optimal_length_m":14.82,"space_path":["resplan-8565-F0-S004","resplan-8565-F0-S001","resplan-8565-F0-S010"],"element_path":["resplan-8565-F0-O0006","resplan-8565-F0-O0006","resplan-8565-F0-O0012","resplan-8565-F0-O0012"]}</x:v>
      </x:c>
      <x:c r="O1625" s="6"/>
      <x:c r="P1625" s="6" t="str">
        <x:v>step_free=true. No stairs or stepped openings. May be unreachable.</x:v>
      </x:c>
      <x:c r="Q1625" s="15" t="n">
        <x:v>14.82</x:v>
      </x:c>
      <x:c r="R1625" s="6" t="str">
        <x:v>m</x:v>
      </x:c>
      <x:c r="S1625" s="16"/>
      <x:c r="T1625" s="15"/>
      <x:c r="U1625" s="6"/>
      <x:c r="V1625" s="6"/>
      <x:c r="W1625" s="6" t="str">
        <x:v>Existing find_route(step_free=true).</x:v>
      </x:c>
      <x:c r="X1625" s="6" t="str">
        <x:v>data/train/resplan-8565/questions_basic.jsonl</x:v>
      </x:c>
      <x:c r="Y1625" s="14" t="n">
        <x:v>8</x:v>
      </x:c>
      <x:c r="Z1625" s="6" t="str">
        <x:v>https://github.com/hagenhaeussler/Industrial-Agents-Hackathon-2026/blob/f41616590b69f3ea0c1cbfb41d6c35edd9ce53df/data/train/resplan-8565/questions_basic.jsonl#L8</x:v>
      </x:c>
      <x:c r="AA1625" s="6" t="str">
        <x:v>resplan</x:v>
      </x:c>
      <x:c r="AB1625" s="6" t="str">
        <x:v>CC-BY-4.0</x:v>
      </x:c>
    </x:row>
    <x:row r="1626" ht="72" customHeight="1">
      <x:c r="A1626" s="14" t="n">
        <x:v>1621</x:v>
      </x:c>
      <x:c r="B1626" s="6" t="str">
        <x:v>route_step_free</x:v>
      </x:c>
      <x:c r="C1626" s="6" t="str">
        <x:v>Is there a step-free route from Bedroom 0.02 (Ground floor) to Kitchen 0.06 (Ground floor)?</x:v>
      </x:c>
      <x:c r="D1626" s="6" t="str">
        <x:v>10.45 m
From: Bedroom 0.02
To: Kitchen 0.06
Ordered path (3 spaces): Bedroom 0.02 → Living room 0.01 → Kitchen 0.06</x:v>
      </x:c>
      <x:c r="E1626" s="6" t="str">
        <x:v>Reference supplied</x:v>
      </x:c>
      <x:c r="F1626" s="6" t="str">
        <x:v>train</x:v>
      </x:c>
      <x:c r="G1626" s="6" t="str">
        <x:v>resplan-8889</x:v>
      </x:c>
      <x:c r="H1626" s="6" t="str">
        <x:v>resplan-8889-Q08</x:v>
      </x:c>
      <x:c r="I1626" s="6" t="str">
        <x:v>Route planning</x:v>
      </x:c>
      <x:c r="J1626" s="6" t="str">
        <x:v>Warm-up</x:v>
      </x:c>
      <x:c r="K1626" s="6" t="str">
        <x:v>Reachable: ordered path and metres. Unreachable: explicitly state no step-free route.</x:v>
      </x:c>
      <x:c r="L1626" s="6" t="str">
        <x:v>T02, T05, T13</x:v>
      </x:c>
      <x:c r="M1626" s="6" t="str">
        <x:v>Check whether a step-free route exists and give it when possible.</x:v>
      </x:c>
      <x:c r="N1626" s="6" t="str">
        <x:v>{"from_space_id":"resplan-8889-F0-S002","to_space_id":"resplan-8889-F0-S006","optimal_length_m":10.45,"space_path":["resplan-8889-F0-S002","resplan-8889-F0-S001","resplan-8889-F0-S006"],"element_path":["resplan-8889-F0-O0002","resplan-8889-F0-O0002","resplan-8889-F0-O0006","resplan-8889-F0-O0006"]}</x:v>
      </x:c>
      <x:c r="O1626" s="6"/>
      <x:c r="P1626" s="6" t="str">
        <x:v>step_free=true. No stairs or stepped openings. May be unreachable.</x:v>
      </x:c>
      <x:c r="Q1626" s="15" t="n">
        <x:v>10.45</x:v>
      </x:c>
      <x:c r="R1626" s="6" t="str">
        <x:v>m</x:v>
      </x:c>
      <x:c r="S1626" s="16"/>
      <x:c r="T1626" s="15"/>
      <x:c r="U1626" s="6"/>
      <x:c r="V1626" s="6"/>
      <x:c r="W1626" s="6" t="str">
        <x:v>Existing find_route(step_free=true).</x:v>
      </x:c>
      <x:c r="X1626" s="6" t="str">
        <x:v>data/train/resplan-8889/questions_basic.jsonl</x:v>
      </x:c>
      <x:c r="Y1626" s="14" t="n">
        <x:v>8</x:v>
      </x:c>
      <x:c r="Z1626" s="6" t="str">
        <x:v>https://github.com/hagenhaeussler/Industrial-Agents-Hackathon-2026/blob/f41616590b69f3ea0c1cbfb41d6c35edd9ce53df/data/train/resplan-8889/questions_basic.jsonl#L8</x:v>
      </x:c>
      <x:c r="AA1626" s="6" t="str">
        <x:v>resplan</x:v>
      </x:c>
      <x:c r="AB1626" s="6" t="str">
        <x:v>CC-BY-4.0</x:v>
      </x:c>
    </x:row>
    <x:row r="1627" ht="72" customHeight="1">
      <x:c r="A1627" s="14" t="n">
        <x:v>1622</x:v>
      </x:c>
      <x:c r="B1627" s="6" t="str">
        <x:v>route_step_free</x:v>
      </x:c>
      <x:c r="C1627" s="6" t="str">
        <x:v>Is there a step-free route from Kitchen 0.09 (Ground floor) to Living room 0.01 (Ground floor)?</x:v>
      </x:c>
      <x:c r="D1627" s="6" t="str">
        <x:v>3.58 m
From: Kitchen 0.09
To: Living room 0.01
Ordered path (2 spaces): Kitchen 0.09 → Living room 0.01</x:v>
      </x:c>
      <x:c r="E1627" s="6" t="str">
        <x:v>Reference supplied</x:v>
      </x:c>
      <x:c r="F1627" s="6" t="str">
        <x:v>train</x:v>
      </x:c>
      <x:c r="G1627" s="6" t="str">
        <x:v>resplan-9082</x:v>
      </x:c>
      <x:c r="H1627" s="6" t="str">
        <x:v>resplan-9082-Q08</x:v>
      </x:c>
      <x:c r="I1627" s="6" t="str">
        <x:v>Route planning</x:v>
      </x:c>
      <x:c r="J1627" s="6" t="str">
        <x:v>Warm-up</x:v>
      </x:c>
      <x:c r="K1627" s="6" t="str">
        <x:v>Reachable: ordered path and metres. Unreachable: explicitly state no step-free route.</x:v>
      </x:c>
      <x:c r="L1627" s="6" t="str">
        <x:v>T02, T05, T13</x:v>
      </x:c>
      <x:c r="M1627" s="6" t="str">
        <x:v>Check whether a step-free route exists and give it when possible.</x:v>
      </x:c>
      <x:c r="N1627" s="6" t="str">
        <x:v>{"from_space_id":"resplan-9082-F0-S009","to_space_id":"resplan-9082-F0-S001","optimal_length_m":3.58,"space_path":["resplan-9082-F0-S009","resplan-9082-F0-S001"],"element_path":["resplan-9082-F0-O0007","resplan-9082-F0-O0007"]}</x:v>
      </x:c>
      <x:c r="O1627" s="6"/>
      <x:c r="P1627" s="6" t="str">
        <x:v>step_free=true. No stairs or stepped openings. May be unreachable.</x:v>
      </x:c>
      <x:c r="Q1627" s="15" t="n">
        <x:v>3.58</x:v>
      </x:c>
      <x:c r="R1627" s="6" t="str">
        <x:v>m</x:v>
      </x:c>
      <x:c r="S1627" s="16"/>
      <x:c r="T1627" s="15"/>
      <x:c r="U1627" s="6"/>
      <x:c r="V1627" s="6"/>
      <x:c r="W1627" s="6" t="str">
        <x:v>Existing find_route(step_free=true).</x:v>
      </x:c>
      <x:c r="X1627" s="6" t="str">
        <x:v>data/train/resplan-9082/questions_basic.jsonl</x:v>
      </x:c>
      <x:c r="Y1627" s="14" t="n">
        <x:v>8</x:v>
      </x:c>
      <x:c r="Z1627" s="6" t="str">
        <x:v>https://github.com/hagenhaeussler/Industrial-Agents-Hackathon-2026/blob/f41616590b69f3ea0c1cbfb41d6c35edd9ce53df/data/train/resplan-9082/questions_basic.jsonl#L8</x:v>
      </x:c>
      <x:c r="AA1627" s="6" t="str">
        <x:v>resplan</x:v>
      </x:c>
      <x:c r="AB1627" s="6" t="str">
        <x:v>CC-BY-4.0</x:v>
      </x:c>
    </x:row>
    <x:row r="1628" ht="82" customHeight="1">
      <x:c r="A1628" s="14" t="n">
        <x:v>1623</x:v>
      </x:c>
      <x:c r="B1628" s="6" t="str">
        <x:v>route_step_free</x:v>
      </x:c>
      <x:c r="C1628" s="6" t="str">
        <x:v>Is there a step-free route from Bathroom 0.06 (Ground floor) to Kitchen 0.07 (Ground floor)?</x:v>
      </x:c>
      <x:c r="D1628" s="6" t="str">
        <x:v>15.66 m
From: Bathroom 0.06
To: Kitchen 0.07
Ordered path (4 spaces): Bathroom 0.06 → Bedroom 0.04 → Living room 0.01 → Kitchen 0.07</x:v>
      </x:c>
      <x:c r="E1628" s="6" t="str">
        <x:v>Reference supplied</x:v>
      </x:c>
      <x:c r="F1628" s="6" t="str">
        <x:v>train</x:v>
      </x:c>
      <x:c r="G1628" s="6" t="str">
        <x:v>resplan-9204</x:v>
      </x:c>
      <x:c r="H1628" s="6" t="str">
        <x:v>resplan-9204-Q08</x:v>
      </x:c>
      <x:c r="I1628" s="6" t="str">
        <x:v>Route planning</x:v>
      </x:c>
      <x:c r="J1628" s="6" t="str">
        <x:v>Warm-up</x:v>
      </x:c>
      <x:c r="K1628" s="6" t="str">
        <x:v>Reachable: ordered path and metres. Unreachable: explicitly state no step-free route.</x:v>
      </x:c>
      <x:c r="L1628" s="6" t="str">
        <x:v>T02, T05, T13</x:v>
      </x:c>
      <x:c r="M1628" s="6" t="str">
        <x:v>Check whether a step-free route exists and give it when possible.</x:v>
      </x:c>
      <x:c r="N1628" s="6" t="str">
        <x:v>{"from_space_id":"resplan-9204-F0-S006","to_space_id":"resplan-9204-F0-S007","optimal_length_m":15.66,"space_path":["resplan-9204-F0-S006","resplan-9204-F0-S004","resplan-9204-F0-S001","resplan-9204-F0-S007"],"element_path":["resplan-9204-F0-O0007","resplan-9204-F0-O0007","resplan-9204-F0-O0006","resplan-9204-F0-O0006","resplan-9204-F0-O0009","resplan-9204-F0-O0009"]}</x:v>
      </x:c>
      <x:c r="O1628" s="6"/>
      <x:c r="P1628" s="6" t="str">
        <x:v>step_free=true. No stairs or stepped openings. May be unreachable.</x:v>
      </x:c>
      <x:c r="Q1628" s="15" t="n">
        <x:v>15.66</x:v>
      </x:c>
      <x:c r="R1628" s="6" t="str">
        <x:v>m</x:v>
      </x:c>
      <x:c r="S1628" s="16"/>
      <x:c r="T1628" s="15"/>
      <x:c r="U1628" s="6"/>
      <x:c r="V1628" s="6"/>
      <x:c r="W1628" s="6" t="str">
        <x:v>Existing find_route(step_free=true).</x:v>
      </x:c>
      <x:c r="X1628" s="6" t="str">
        <x:v>data/train/resplan-9204/questions_basic.jsonl</x:v>
      </x:c>
      <x:c r="Y1628" s="14" t="n">
        <x:v>8</x:v>
      </x:c>
      <x:c r="Z1628" s="6" t="str">
        <x:v>https://github.com/hagenhaeussler/Industrial-Agents-Hackathon-2026/blob/f41616590b69f3ea0c1cbfb41d6c35edd9ce53df/data/train/resplan-9204/questions_basic.jsonl#L8</x:v>
      </x:c>
      <x:c r="AA1628" s="6" t="str">
        <x:v>resplan</x:v>
      </x:c>
      <x:c r="AB1628" s="6" t="str">
        <x:v>CC-BY-4.0</x:v>
      </x:c>
    </x:row>
    <x:row r="1629" ht="72" customHeight="1">
      <x:c r="A1629" s="14" t="n">
        <x:v>1624</x:v>
      </x:c>
      <x:c r="B1629" s="6" t="str">
        <x:v>route_step_free</x:v>
      </x:c>
      <x:c r="C1629" s="6" t="str">
        <x:v>Is there a step-free route from Bedroom 0.02 (Ground floor) to Kitchen 0.06 (Ground floor)?</x:v>
      </x:c>
      <x:c r="D1629" s="6" t="str">
        <x:v>9.78 m
From: Bedroom 0.02
To: Kitchen 0.06
Ordered path (3 spaces): Bedroom 0.02 → Living room 0.01 → Kitchen 0.06</x:v>
      </x:c>
      <x:c r="E1629" s="6" t="str">
        <x:v>Reference supplied</x:v>
      </x:c>
      <x:c r="F1629" s="6" t="str">
        <x:v>train</x:v>
      </x:c>
      <x:c r="G1629" s="6" t="str">
        <x:v>resplan-9416</x:v>
      </x:c>
      <x:c r="H1629" s="6" t="str">
        <x:v>resplan-9416-Q08</x:v>
      </x:c>
      <x:c r="I1629" s="6" t="str">
        <x:v>Route planning</x:v>
      </x:c>
      <x:c r="J1629" s="6" t="str">
        <x:v>Warm-up</x:v>
      </x:c>
      <x:c r="K1629" s="6" t="str">
        <x:v>Reachable: ordered path and metres. Unreachable: explicitly state no step-free route.</x:v>
      </x:c>
      <x:c r="L1629" s="6" t="str">
        <x:v>T02, T05, T13</x:v>
      </x:c>
      <x:c r="M1629" s="6" t="str">
        <x:v>Check whether a step-free route exists and give it when possible.</x:v>
      </x:c>
      <x:c r="N1629" s="6" t="str">
        <x:v>{"from_space_id":"resplan-9416-F0-S002","to_space_id":"resplan-9416-F0-S006","optimal_length_m":9.78,"space_path":["resplan-9416-F0-S002","resplan-9416-F0-S001","resplan-9416-F0-S006"],"element_path":["resplan-9416-F0-O0002","resplan-9416-F0-O0002","resplan-9416-F0-O0008","resplan-9416-F0-O0008"]}</x:v>
      </x:c>
      <x:c r="O1629" s="6"/>
      <x:c r="P1629" s="6" t="str">
        <x:v>step_free=true. No stairs or stepped openings. May be unreachable.</x:v>
      </x:c>
      <x:c r="Q1629" s="15" t="n">
        <x:v>9.78</x:v>
      </x:c>
      <x:c r="R1629" s="6" t="str">
        <x:v>m</x:v>
      </x:c>
      <x:c r="S1629" s="16"/>
      <x:c r="T1629" s="15"/>
      <x:c r="U1629" s="6"/>
      <x:c r="V1629" s="6"/>
      <x:c r="W1629" s="6" t="str">
        <x:v>Existing find_route(step_free=true).</x:v>
      </x:c>
      <x:c r="X1629" s="6" t="str">
        <x:v>data/train/resplan-9416/questions_basic.jsonl</x:v>
      </x:c>
      <x:c r="Y1629" s="14" t="n">
        <x:v>8</x:v>
      </x:c>
      <x:c r="Z1629" s="6" t="str">
        <x:v>https://github.com/hagenhaeussler/Industrial-Agents-Hackathon-2026/blob/f41616590b69f3ea0c1cbfb41d6c35edd9ce53df/data/train/resplan-9416/questions_basic.jsonl#L8</x:v>
      </x:c>
      <x:c r="AA1629" s="6" t="str">
        <x:v>resplan</x:v>
      </x:c>
      <x:c r="AB1629" s="6" t="str">
        <x:v>CC-BY-4.0</x:v>
      </x:c>
    </x:row>
    <x:row r="1630" ht="82" customHeight="1">
      <x:c r="A1630" s="14" t="n">
        <x:v>1625</x:v>
      </x:c>
      <x:c r="B1630" s="6" t="str">
        <x:v>route_step_free</x:v>
      </x:c>
      <x:c r="C1630" s="6" t="str">
        <x:v>Is there a step-free route from Bedroom 0.03 (Ground floor) to Bathroom 0.05 (Ground floor)?</x:v>
      </x:c>
      <x:c r="D1630" s="6" t="str">
        <x:v>16.69 m
From: Bedroom 0.03
To: Bathroom 0.05
Ordered path (4 spaces): Bedroom 0.03 → Living room 0.01 → Bedroom 0.02 → Bathroom 0.05</x:v>
      </x:c>
      <x:c r="E1630" s="6" t="str">
        <x:v>Reference supplied</x:v>
      </x:c>
      <x:c r="F1630" s="6" t="str">
        <x:v>train</x:v>
      </x:c>
      <x:c r="G1630" s="6" t="str">
        <x:v>resplan-9515</x:v>
      </x:c>
      <x:c r="H1630" s="6" t="str">
        <x:v>resplan-9515-Q08</x:v>
      </x:c>
      <x:c r="I1630" s="6" t="str">
        <x:v>Route planning</x:v>
      </x:c>
      <x:c r="J1630" s="6" t="str">
        <x:v>Warm-up</x:v>
      </x:c>
      <x:c r="K1630" s="6" t="str">
        <x:v>Reachable: ordered path and metres. Unreachable: explicitly state no step-free route.</x:v>
      </x:c>
      <x:c r="L1630" s="6" t="str">
        <x:v>T02, T05, T13</x:v>
      </x:c>
      <x:c r="M1630" s="6" t="str">
        <x:v>Check whether a step-free route exists and give it when possible.</x:v>
      </x:c>
      <x:c r="N1630" s="6" t="str">
        <x:v>{"from_space_id":"resplan-9515-F0-S003","to_space_id":"resplan-9515-F0-S005","optimal_length_m":16.69,"space_path":["resplan-9515-F0-S003","resplan-9515-F0-S001","resplan-9515-F0-S002","resplan-9515-F0-S005"],"element_path":["resplan-9515-F0-O0005","resplan-9515-F0-O0005","resplan-9515-F0-O0002","resplan-9515-F0-O0002","resplan-9515-F0-O0001","resplan-9515-F0-O0001"]}</x:v>
      </x:c>
      <x:c r="O1630" s="6"/>
      <x:c r="P1630" s="6" t="str">
        <x:v>step_free=true. No stairs or stepped openings. May be unreachable.</x:v>
      </x:c>
      <x:c r="Q1630" s="15" t="n">
        <x:v>16.69</x:v>
      </x:c>
      <x:c r="R1630" s="6" t="str">
        <x:v>m</x:v>
      </x:c>
      <x:c r="S1630" s="16"/>
      <x:c r="T1630" s="15"/>
      <x:c r="U1630" s="6"/>
      <x:c r="V1630" s="6"/>
      <x:c r="W1630" s="6" t="str">
        <x:v>Existing find_route(step_free=true).</x:v>
      </x:c>
      <x:c r="X1630" s="6" t="str">
        <x:v>data/train/resplan-9515/questions_basic.jsonl</x:v>
      </x:c>
      <x:c r="Y1630" s="14" t="n">
        <x:v>8</x:v>
      </x:c>
      <x:c r="Z1630" s="6" t="str">
        <x:v>https://github.com/hagenhaeussler/Industrial-Agents-Hackathon-2026/blob/f41616590b69f3ea0c1cbfb41d6c35edd9ce53df/data/train/resplan-9515/questions_basic.jsonl#L8</x:v>
      </x:c>
      <x:c r="AA1630" s="6" t="str">
        <x:v>resplan</x:v>
      </x:c>
      <x:c r="AB1630" s="6" t="str">
        <x:v>CC-BY-4.0</x:v>
      </x:c>
    </x:row>
    <x:row r="1631" ht="72" customHeight="1">
      <x:c r="A1631" s="14" t="n">
        <x:v>1626</x:v>
      </x:c>
      <x:c r="B1631" s="6" t="str">
        <x:v>route_step_free</x:v>
      </x:c>
      <x:c r="C1631" s="6" t="str">
        <x:v>Is there a step-free route from Bedroom 0.04 (Ground floor) to Kitchen 0.08 (Ground floor)?</x:v>
      </x:c>
      <x:c r="D1631" s="6" t="str">
        <x:v>13.09 m
From: Bedroom 0.04
To: Kitchen 0.08
Ordered path (3 spaces): Bedroom 0.04 → Living room 0.01 → Kitchen 0.08</x:v>
      </x:c>
      <x:c r="E1631" s="6" t="str">
        <x:v>Reference supplied</x:v>
      </x:c>
      <x:c r="F1631" s="6" t="str">
        <x:v>train</x:v>
      </x:c>
      <x:c r="G1631" s="6" t="str">
        <x:v>resplan-9809</x:v>
      </x:c>
      <x:c r="H1631" s="6" t="str">
        <x:v>resplan-9809-Q08</x:v>
      </x:c>
      <x:c r="I1631" s="6" t="str">
        <x:v>Route planning</x:v>
      </x:c>
      <x:c r="J1631" s="6" t="str">
        <x:v>Warm-up</x:v>
      </x:c>
      <x:c r="K1631" s="6" t="str">
        <x:v>Reachable: ordered path and metres. Unreachable: explicitly state no step-free route.</x:v>
      </x:c>
      <x:c r="L1631" s="6" t="str">
        <x:v>T02, T05, T13</x:v>
      </x:c>
      <x:c r="M1631" s="6" t="str">
        <x:v>Check whether a step-free route exists and give it when possible.</x:v>
      </x:c>
      <x:c r="N1631" s="6" t="str">
        <x:v>{"from_space_id":"resplan-9809-F0-S004","to_space_id":"resplan-9809-F0-S008","optimal_length_m":13.09,"space_path":["resplan-9809-F0-S004","resplan-9809-F0-S001","resplan-9809-F0-S008"],"element_path":["resplan-9809-F0-O0007","resplan-9809-F0-O0007","resplan-9809-F0-O0008","resplan-9809-F0-O0008"]}</x:v>
      </x:c>
      <x:c r="O1631" s="6"/>
      <x:c r="P1631" s="6" t="str">
        <x:v>step_free=true. No stairs or stepped openings. May be unreachable.</x:v>
      </x:c>
      <x:c r="Q1631" s="15" t="n">
        <x:v>13.09</x:v>
      </x:c>
      <x:c r="R1631" s="6" t="str">
        <x:v>m</x:v>
      </x:c>
      <x:c r="S1631" s="16"/>
      <x:c r="T1631" s="15"/>
      <x:c r="U1631" s="6"/>
      <x:c r="V1631" s="6"/>
      <x:c r="W1631" s="6" t="str">
        <x:v>Existing find_route(step_free=true).</x:v>
      </x:c>
      <x:c r="X1631" s="6" t="str">
        <x:v>data/train/resplan-9809/questions_basic.jsonl</x:v>
      </x:c>
      <x:c r="Y1631" s="14" t="n">
        <x:v>8</x:v>
      </x:c>
      <x:c r="Z1631" s="6" t="str">
        <x:v>https://github.com/hagenhaeussler/Industrial-Agents-Hackathon-2026/blob/f41616590b69f3ea0c1cbfb41d6c35edd9ce53df/data/train/resplan-9809/questions_basic.jsonl#L8</x:v>
      </x:c>
      <x:c r="AA1631" s="6" t="str">
        <x:v>resplan</x:v>
      </x:c>
      <x:c r="AB1631" s="6" t="str">
        <x:v>CC-BY-4.0</x:v>
      </x:c>
    </x:row>
    <x:row r="1632" ht="72" customHeight="1">
      <x:c r="A1632" s="14" t="n">
        <x:v>1627</x:v>
      </x:c>
      <x:c r="B1632" s="6" t="str">
        <x:v>route_step_free</x:v>
      </x:c>
      <x:c r="C1632" s="6" t="str">
        <x:v>Is there a step-free route from Bedroom 0.03 (Ground floor) to Bedroom 0.02 (Ground floor)?</x:v>
      </x:c>
      <x:c r="D1632" s="6" t="str">
        <x:v>12.45 m
From: Bedroom 0.03
To: Bedroom 0.02
Ordered path (3 spaces): Bedroom 0.03 → Living room 0.01 → Bedroom 0.02</x:v>
      </x:c>
      <x:c r="E1632" s="6" t="str">
        <x:v>Reference supplied</x:v>
      </x:c>
      <x:c r="F1632" s="6" t="str">
        <x:v>train</x:v>
      </x:c>
      <x:c r="G1632" s="6" t="str">
        <x:v>resplan-9872</x:v>
      </x:c>
      <x:c r="H1632" s="6" t="str">
        <x:v>resplan-9872-Q08</x:v>
      </x:c>
      <x:c r="I1632" s="6" t="str">
        <x:v>Route planning</x:v>
      </x:c>
      <x:c r="J1632" s="6" t="str">
        <x:v>Warm-up</x:v>
      </x:c>
      <x:c r="K1632" s="6" t="str">
        <x:v>Reachable: ordered path and metres. Unreachable: explicitly state no step-free route.</x:v>
      </x:c>
      <x:c r="L1632" s="6" t="str">
        <x:v>T02, T05, T13</x:v>
      </x:c>
      <x:c r="M1632" s="6" t="str">
        <x:v>Check whether a step-free route exists and give it when possible.</x:v>
      </x:c>
      <x:c r="N1632" s="6" t="str">
        <x:v>{"from_space_id":"resplan-9872-F0-S003","to_space_id":"resplan-9872-F0-S002","optimal_length_m":12.45,"space_path":["resplan-9872-F0-S003","resplan-9872-F0-S001","resplan-9872-F0-S002"],"element_path":["resplan-9872-F0-O0003","resplan-9872-F0-O0003","resplan-9872-F0-O0001","resplan-9872-F0-O0001"]}</x:v>
      </x:c>
      <x:c r="O1632" s="6"/>
      <x:c r="P1632" s="6" t="str">
        <x:v>step_free=true. No stairs or stepped openings. May be unreachable.</x:v>
      </x:c>
      <x:c r="Q1632" s="15" t="n">
        <x:v>12.45</x:v>
      </x:c>
      <x:c r="R1632" s="6" t="str">
        <x:v>m</x:v>
      </x:c>
      <x:c r="S1632" s="16"/>
      <x:c r="T1632" s="15"/>
      <x:c r="U1632" s="6"/>
      <x:c r="V1632" s="6"/>
      <x:c r="W1632" s="6" t="str">
        <x:v>Existing find_route(step_free=true).</x:v>
      </x:c>
      <x:c r="X1632" s="6" t="str">
        <x:v>data/train/resplan-9872/questions_basic.jsonl</x:v>
      </x:c>
      <x:c r="Y1632" s="14" t="n">
        <x:v>8</x:v>
      </x:c>
      <x:c r="Z1632" s="6" t="str">
        <x:v>https://github.com/hagenhaeussler/Industrial-Agents-Hackathon-2026/blob/f41616590b69f3ea0c1cbfb41d6c35edd9ce53df/data/train/resplan-9872/questions_basic.jsonl#L8</x:v>
      </x:c>
      <x:c r="AA1632" s="6" t="str">
        <x:v>resplan</x:v>
      </x:c>
      <x:c r="AB1632" s="6" t="str">
        <x:v>CC-BY-4.0</x:v>
      </x:c>
    </x:row>
    <x:row r="1633" ht="72" customHeight="1">
      <x:c r="A1633" s="14" t="n">
        <x:v>1628</x:v>
      </x:c>
      <x:c r="B1633" s="6" t="str">
        <x:v>route_step_free</x:v>
      </x:c>
      <x:c r="C1633" s="6" t="str">
        <x:v>Is there a step-free route from Living room 2.11 (apartment 6) (Floor 2) to Bathroom 1.10 (apartment 4) (Floor 1)?</x:v>
      </x:c>
      <x:c r="D1633" s="6" t="str">
        <x:v>No route under the requested constraints.
From: Living room 2.11 (apartment 6)
To: Bathroom 1.10 (apartment 4)</x:v>
      </x:c>
      <x:c r="E1633" s="6" t="str">
        <x:v>Reference supplied</x:v>
      </x:c>
      <x:c r="F1633" s="6" t="str">
        <x:v>train</x:v>
      </x:c>
      <x:c r="G1633" s="6" t="str">
        <x:v>swiss-1075</x:v>
      </x:c>
      <x:c r="H1633" s="6" t="str">
        <x:v>swiss-1075-Q08</x:v>
      </x:c>
      <x:c r="I1633" s="6" t="str">
        <x:v>Route planning</x:v>
      </x:c>
      <x:c r="J1633" s="6" t="str">
        <x:v>Warm-up</x:v>
      </x:c>
      <x:c r="K1633" s="6" t="str">
        <x:v>Reachable: ordered path and metres. Unreachable: explicitly state no step-free route.</x:v>
      </x:c>
      <x:c r="L1633" s="6" t="str">
        <x:v>T02, T05, T13</x:v>
      </x:c>
      <x:c r="M1633" s="6" t="str">
        <x:v>Check whether a step-free route exists and give it when possible.</x:v>
      </x:c>
      <x:c r="N1633" s="6" t="str">
        <x:v>{"from_space_id":"swiss-1075-F2-S011","to_space_id":"swiss-1075-F1-S010","reachable":false}</x:v>
      </x:c>
      <x:c r="O1633" s="6"/>
      <x:c r="P1633" s="6" t="str">
        <x:v>step_free=true. No stairs or stepped openings. May be unreachable.</x:v>
      </x:c>
      <x:c r="Q1633" s="15"/>
      <x:c r="R1633" s="6"/>
      <x:c r="S1633" s="16"/>
      <x:c r="T1633" s="15"/>
      <x:c r="U1633" s="6"/>
      <x:c r="V1633" s="6"/>
      <x:c r="W1633" s="6" t="str">
        <x:v>Existing find_route(step_free=true).</x:v>
      </x:c>
      <x:c r="X1633" s="6" t="str">
        <x:v>data/train/swiss-1075/questions_basic.jsonl</x:v>
      </x:c>
      <x:c r="Y1633" s="14" t="n">
        <x:v>8</x:v>
      </x:c>
      <x:c r="Z1633" s="6" t="str">
        <x:v>https://github.com/hagenhaeussler/Industrial-Agents-Hackathon-2026/blob/f41616590b69f3ea0c1cbfb41d6c35edd9ce53df/data/train/swiss-1075/questions_basic.jsonl#L8</x:v>
      </x:c>
      <x:c r="AA1633" s="6" t="str">
        <x:v>swiss_dwellings</x:v>
      </x:c>
      <x:c r="AB1633" s="6" t="str">
        <x:v>CC-BY-4.0</x:v>
      </x:c>
    </x:row>
    <x:row r="1634" ht="72" customHeight="1">
      <x:c r="A1634" s="14" t="n">
        <x:v>1629</x:v>
      </x:c>
      <x:c r="B1634" s="6" t="str">
        <x:v>route_step_free</x:v>
      </x:c>
      <x:c r="C1634" s="6" t="str">
        <x:v>Is there a step-free route from Bedroom 4.17 (apartment 13) (Floor 4) to Bathroom 1.18 (apartment 5) (Floor 1)?</x:v>
      </x:c>
      <x:c r="D1634" s="6" t="str">
        <x:v>No route under the requested constraints.
From: Bedroom 4.17 (apartment 13)
To: Bathroom 1.18 (apartment 5)</x:v>
      </x:c>
      <x:c r="E1634" s="6" t="str">
        <x:v>Reference supplied</x:v>
      </x:c>
      <x:c r="F1634" s="6" t="str">
        <x:v>train</x:v>
      </x:c>
      <x:c r="G1634" s="6" t="str">
        <x:v>swiss-1104</x:v>
      </x:c>
      <x:c r="H1634" s="6" t="str">
        <x:v>swiss-1104-Q05</x:v>
      </x:c>
      <x:c r="I1634" s="6" t="str">
        <x:v>Route planning</x:v>
      </x:c>
      <x:c r="J1634" s="6" t="str">
        <x:v>Warm-up</x:v>
      </x:c>
      <x:c r="K1634" s="6" t="str">
        <x:v>Reachable: ordered path and metres. Unreachable: explicitly state no step-free route.</x:v>
      </x:c>
      <x:c r="L1634" s="6" t="str">
        <x:v>T02, T05, T13</x:v>
      </x:c>
      <x:c r="M1634" s="6" t="str">
        <x:v>Check whether a step-free route exists and give it when possible.</x:v>
      </x:c>
      <x:c r="N1634" s="6" t="str">
        <x:v>{"from_space_id":"swiss-1104-F4-S017","to_space_id":"swiss-1104-F1-S018","reachable":false}</x:v>
      </x:c>
      <x:c r="O1634" s="6"/>
      <x:c r="P1634" s="6" t="str">
        <x:v>step_free=true. No stairs or stepped openings. May be unreachable.</x:v>
      </x:c>
      <x:c r="Q1634" s="15"/>
      <x:c r="R1634" s="6"/>
      <x:c r="S1634" s="16"/>
      <x:c r="T1634" s="15"/>
      <x:c r="U1634" s="6"/>
      <x:c r="V1634" s="6"/>
      <x:c r="W1634" s="6" t="str">
        <x:v>Existing find_route(step_free=true).</x:v>
      </x:c>
      <x:c r="X1634" s="6" t="str">
        <x:v>data/train/swiss-1104/questions_basic.jsonl</x:v>
      </x:c>
      <x:c r="Y1634" s="14" t="n">
        <x:v>5</x:v>
      </x:c>
      <x:c r="Z1634" s="6" t="str">
        <x:v>https://github.com/hagenhaeussler/Industrial-Agents-Hackathon-2026/blob/f41616590b69f3ea0c1cbfb41d6c35edd9ce53df/data/train/swiss-1104/questions_basic.jsonl#L5</x:v>
      </x:c>
      <x:c r="AA1634" s="6" t="str">
        <x:v>swiss_dwellings</x:v>
      </x:c>
      <x:c r="AB1634" s="6" t="str">
        <x:v>CC-BY-4.0</x:v>
      </x:c>
    </x:row>
    <x:row r="1635" ht="72" customHeight="1">
      <x:c r="A1635" s="14" t="n">
        <x:v>1630</x:v>
      </x:c>
      <x:c r="B1635" s="6" t="str">
        <x:v>route_step_free</x:v>
      </x:c>
      <x:c r="C1635" s="6" t="str">
        <x:v>Is there a step-free route from Living room 4.13 (apartment 23) (Floor 4) to Living room 2.05 (apartment 11) (Floor 2)?</x:v>
      </x:c>
      <x:c r="D1635" s="6" t="str">
        <x:v>No route under the requested constraints.
From: Living room 4.13 (apartment 23)
To: Living room 2.05 (apartment 11)</x:v>
      </x:c>
      <x:c r="E1635" s="6" t="str">
        <x:v>Reference supplied</x:v>
      </x:c>
      <x:c r="F1635" s="6" t="str">
        <x:v>train</x:v>
      </x:c>
      <x:c r="G1635" s="6" t="str">
        <x:v>swiss-1110</x:v>
      </x:c>
      <x:c r="H1635" s="6" t="str">
        <x:v>swiss-1110-Q06</x:v>
      </x:c>
      <x:c r="I1635" s="6" t="str">
        <x:v>Route planning</x:v>
      </x:c>
      <x:c r="J1635" s="6" t="str">
        <x:v>Warm-up</x:v>
      </x:c>
      <x:c r="K1635" s="6" t="str">
        <x:v>Reachable: ordered path and metres. Unreachable: explicitly state no step-free route.</x:v>
      </x:c>
      <x:c r="L1635" s="6" t="str">
        <x:v>T02, T05, T13</x:v>
      </x:c>
      <x:c r="M1635" s="6" t="str">
        <x:v>Check whether a step-free route exists and give it when possible.</x:v>
      </x:c>
      <x:c r="N1635" s="6" t="str">
        <x:v>{"from_space_id":"swiss-1110-F4-S013","to_space_id":"swiss-1110-F2-S005","reachable":false}</x:v>
      </x:c>
      <x:c r="O1635" s="6"/>
      <x:c r="P1635" s="6" t="str">
        <x:v>step_free=true. No stairs or stepped openings. May be unreachable.</x:v>
      </x:c>
      <x:c r="Q1635" s="15"/>
      <x:c r="R1635" s="6"/>
      <x:c r="S1635" s="16"/>
      <x:c r="T1635" s="15"/>
      <x:c r="U1635" s="6"/>
      <x:c r="V1635" s="6"/>
      <x:c r="W1635" s="6" t="str">
        <x:v>Existing find_route(step_free=true).</x:v>
      </x:c>
      <x:c r="X1635" s="6" t="str">
        <x:v>data/train/swiss-1110/questions_basic.jsonl</x:v>
      </x:c>
      <x:c r="Y1635" s="14" t="n">
        <x:v>6</x:v>
      </x:c>
      <x:c r="Z1635" s="6" t="str">
        <x:v>https://github.com/hagenhaeussler/Industrial-Agents-Hackathon-2026/blob/f41616590b69f3ea0c1cbfb41d6c35edd9ce53df/data/train/swiss-1110/questions_basic.jsonl#L6</x:v>
      </x:c>
      <x:c r="AA1635" s="6" t="str">
        <x:v>swiss_dwellings</x:v>
      </x:c>
      <x:c r="AB1635" s="6" t="str">
        <x:v>CC-BY-4.0</x:v>
      </x:c>
    </x:row>
    <x:row r="1636" ht="72" customHeight="1">
      <x:c r="A1636" s="14" t="n">
        <x:v>1631</x:v>
      </x:c>
      <x:c r="B1636" s="6" t="str">
        <x:v>route_step_free</x:v>
      </x:c>
      <x:c r="C1636" s="6" t="str">
        <x:v>Is there a step-free route from Bedroom 0.04 (apartment 1) (Ground floor) to Kitchen 2.50 (apartment 18) (Floor 2)?</x:v>
      </x:c>
      <x:c r="D1636" s="6" t="str">
        <x:v>No route under the requested constraints.
From: Bedroom 0.04 (apartment 1)
To: Kitchen 2.50 (apartment 18)</x:v>
      </x:c>
      <x:c r="E1636" s="6" t="str">
        <x:v>Reference supplied</x:v>
      </x:c>
      <x:c r="F1636" s="6" t="str">
        <x:v>train</x:v>
      </x:c>
      <x:c r="G1636" s="6" t="str">
        <x:v>swiss-116</x:v>
      </x:c>
      <x:c r="H1636" s="6" t="str">
        <x:v>swiss-116-Q06</x:v>
      </x:c>
      <x:c r="I1636" s="6" t="str">
        <x:v>Route planning</x:v>
      </x:c>
      <x:c r="J1636" s="6" t="str">
        <x:v>Warm-up</x:v>
      </x:c>
      <x:c r="K1636" s="6" t="str">
        <x:v>Reachable: ordered path and metres. Unreachable: explicitly state no step-free route.</x:v>
      </x:c>
      <x:c r="L1636" s="6" t="str">
        <x:v>T02, T05, T13</x:v>
      </x:c>
      <x:c r="M1636" s="6" t="str">
        <x:v>Check whether a step-free route exists and give it when possible.</x:v>
      </x:c>
      <x:c r="N1636" s="6" t="str">
        <x:v>{"from_space_id":"swiss-116-F0-S004","to_space_id":"swiss-116-F2-S050","reachable":false}</x:v>
      </x:c>
      <x:c r="O1636" s="6"/>
      <x:c r="P1636" s="6" t="str">
        <x:v>step_free=true. No stairs or stepped openings. May be unreachable.</x:v>
      </x:c>
      <x:c r="Q1636" s="15"/>
      <x:c r="R1636" s="6"/>
      <x:c r="S1636" s="16"/>
      <x:c r="T1636" s="15"/>
      <x:c r="U1636" s="6"/>
      <x:c r="V1636" s="6"/>
      <x:c r="W1636" s="6" t="str">
        <x:v>Existing find_route(step_free=true).</x:v>
      </x:c>
      <x:c r="X1636" s="6" t="str">
        <x:v>data/train/swiss-116/questions_basic.jsonl</x:v>
      </x:c>
      <x:c r="Y1636" s="14" t="n">
        <x:v>6</x:v>
      </x:c>
      <x:c r="Z1636" s="6" t="str">
        <x:v>https://github.com/hagenhaeussler/Industrial-Agents-Hackathon-2026/blob/f41616590b69f3ea0c1cbfb41d6c35edd9ce53df/data/train/swiss-116/questions_basic.jsonl#L6</x:v>
      </x:c>
      <x:c r="AA1636" s="6" t="str">
        <x:v>swiss_dwellings</x:v>
      </x:c>
      <x:c r="AB1636" s="6" t="str">
        <x:v>CC-BY-4.0</x:v>
      </x:c>
    </x:row>
    <x:row r="1637" ht="72" customHeight="1">
      <x:c r="A1637" s="14" t="n">
        <x:v>1632</x:v>
      </x:c>
      <x:c r="B1637" s="6" t="str">
        <x:v>route_step_free</x:v>
      </x:c>
      <x:c r="C1637" s="6" t="str">
        <x:v>Is there a step-free route from Bedroom 1.05 (apartment 5) (Floor 1) to Kitchen 1.26 (apartment 7) (Floor 1)?</x:v>
      </x:c>
      <x:c r="D1637" s="6" t="str">
        <x:v>No route under the requested constraints.
From: Bedroom 1.05 (apartment 5)
To: Kitchen 1.26 (apartment 7)</x:v>
      </x:c>
      <x:c r="E1637" s="6" t="str">
        <x:v>Reference supplied</x:v>
      </x:c>
      <x:c r="F1637" s="6" t="str">
        <x:v>train</x:v>
      </x:c>
      <x:c r="G1637" s="6" t="str">
        <x:v>swiss-120</x:v>
      </x:c>
      <x:c r="H1637" s="6" t="str">
        <x:v>swiss-120-Q05</x:v>
      </x:c>
      <x:c r="I1637" s="6" t="str">
        <x:v>Route planning</x:v>
      </x:c>
      <x:c r="J1637" s="6" t="str">
        <x:v>Warm-up</x:v>
      </x:c>
      <x:c r="K1637" s="6" t="str">
        <x:v>Reachable: ordered path and metres. Unreachable: explicitly state no step-free route.</x:v>
      </x:c>
      <x:c r="L1637" s="6" t="str">
        <x:v>T02, T05, T13</x:v>
      </x:c>
      <x:c r="M1637" s="6" t="str">
        <x:v>Check whether a step-free route exists and give it when possible.</x:v>
      </x:c>
      <x:c r="N1637" s="6" t="str">
        <x:v>{"from_space_id":"swiss-120-F1-S005","to_space_id":"swiss-120-F1-S026","reachable":false}</x:v>
      </x:c>
      <x:c r="O1637" s="6"/>
      <x:c r="P1637" s="6" t="str">
        <x:v>step_free=true. No stairs or stepped openings. May be unreachable.</x:v>
      </x:c>
      <x:c r="Q1637" s="15"/>
      <x:c r="R1637" s="6"/>
      <x:c r="S1637" s="16"/>
      <x:c r="T1637" s="15"/>
      <x:c r="U1637" s="6"/>
      <x:c r="V1637" s="6"/>
      <x:c r="W1637" s="6" t="str">
        <x:v>Existing find_route(step_free=true).</x:v>
      </x:c>
      <x:c r="X1637" s="6" t="str">
        <x:v>data/train/swiss-120/questions_basic.jsonl</x:v>
      </x:c>
      <x:c r="Y1637" s="14" t="n">
        <x:v>5</x:v>
      </x:c>
      <x:c r="Z1637" s="6" t="str">
        <x:v>https://github.com/hagenhaeussler/Industrial-Agents-Hackathon-2026/blob/f41616590b69f3ea0c1cbfb41d6c35edd9ce53df/data/train/swiss-120/questions_basic.jsonl#L5</x:v>
      </x:c>
      <x:c r="AA1637" s="6" t="str">
        <x:v>swiss_dwellings</x:v>
      </x:c>
      <x:c r="AB1637" s="6" t="str">
        <x:v>CC-BY-4.0</x:v>
      </x:c>
    </x:row>
    <x:row r="1638" ht="72" customHeight="1">
      <x:c r="A1638" s="14" t="n">
        <x:v>1633</x:v>
      </x:c>
      <x:c r="B1638" s="6" t="str">
        <x:v>route_step_free</x:v>
      </x:c>
      <x:c r="C1638" s="6" t="str">
        <x:v>Is there a step-free route from Bathroom 0.48 (apartment 8) (Ground floor) to Bedroom 1.10 (apartment 11) (Floor 1)?</x:v>
      </x:c>
      <x:c r="D1638" s="6" t="str">
        <x:v>No route under the requested constraints.
From: Bathroom 0.48 (apartment 8)
To: Bedroom 1.10 (apartment 11)</x:v>
      </x:c>
      <x:c r="E1638" s="6" t="str">
        <x:v>Reference supplied</x:v>
      </x:c>
      <x:c r="F1638" s="6" t="str">
        <x:v>train</x:v>
      </x:c>
      <x:c r="G1638" s="6" t="str">
        <x:v>swiss-1224</x:v>
      </x:c>
      <x:c r="H1638" s="6" t="str">
        <x:v>swiss-1224-Q05</x:v>
      </x:c>
      <x:c r="I1638" s="6" t="str">
        <x:v>Route planning</x:v>
      </x:c>
      <x:c r="J1638" s="6" t="str">
        <x:v>Warm-up</x:v>
      </x:c>
      <x:c r="K1638" s="6" t="str">
        <x:v>Reachable: ordered path and metres. Unreachable: explicitly state no step-free route.</x:v>
      </x:c>
      <x:c r="L1638" s="6" t="str">
        <x:v>T02, T05, T13</x:v>
      </x:c>
      <x:c r="M1638" s="6" t="str">
        <x:v>Check whether a step-free route exists and give it when possible.</x:v>
      </x:c>
      <x:c r="N1638" s="6" t="str">
        <x:v>{"from_space_id":"swiss-1224-F0-S048","to_space_id":"swiss-1224-F1-S010","reachable":false}</x:v>
      </x:c>
      <x:c r="O1638" s="6"/>
      <x:c r="P1638" s="6" t="str">
        <x:v>step_free=true. No stairs or stepped openings. May be unreachable.</x:v>
      </x:c>
      <x:c r="Q1638" s="15"/>
      <x:c r="R1638" s="6"/>
      <x:c r="S1638" s="16"/>
      <x:c r="T1638" s="15"/>
      <x:c r="U1638" s="6"/>
      <x:c r="V1638" s="6"/>
      <x:c r="W1638" s="6" t="str">
        <x:v>Existing find_route(step_free=true).</x:v>
      </x:c>
      <x:c r="X1638" s="6" t="str">
        <x:v>data/train/swiss-1224/questions_basic.jsonl</x:v>
      </x:c>
      <x:c r="Y1638" s="14" t="n">
        <x:v>5</x:v>
      </x:c>
      <x:c r="Z1638" s="6" t="str">
        <x:v>https://github.com/hagenhaeussler/Industrial-Agents-Hackathon-2026/blob/f41616590b69f3ea0c1cbfb41d6c35edd9ce53df/data/train/swiss-1224/questions_basic.jsonl#L5</x:v>
      </x:c>
      <x:c r="AA1638" s="6" t="str">
        <x:v>swiss_dwellings</x:v>
      </x:c>
      <x:c r="AB1638" s="6" t="str">
        <x:v>CC-BY-4.0</x:v>
      </x:c>
    </x:row>
    <x:row r="1639" ht="82" customHeight="1">
      <x:c r="A1639" s="14" t="n">
        <x:v>1634</x:v>
      </x:c>
      <x:c r="B1639" s="6" t="str">
        <x:v>route_step_free</x:v>
      </x:c>
      <x:c r="C1639" s="6" t="str">
        <x:v>Is there a step-free route from Living room 1.19 (apartment 4) (Floor 1) to Bathroom 1.23 (apartment 4) (Floor 1)?</x:v>
      </x:c>
      <x:c r="D1639" s="6" t="str">
        <x:v>9.09 m
From: Living room 1.19 (apartment 4)
To: Bathroom 1.23 (apartment 4)
Ordered path (3 spaces): Living room 1.19 (apartment 4) → Corridor 1.22 (apartment 4) → Bathroom 1.23 (apartment 4)</x:v>
      </x:c>
      <x:c r="E1639" s="6" t="str">
        <x:v>Reference supplied</x:v>
      </x:c>
      <x:c r="F1639" s="6" t="str">
        <x:v>train</x:v>
      </x:c>
      <x:c r="G1639" s="6" t="str">
        <x:v>swiss-1283</x:v>
      </x:c>
      <x:c r="H1639" s="6" t="str">
        <x:v>swiss-1283-Q06</x:v>
      </x:c>
      <x:c r="I1639" s="6" t="str">
        <x:v>Route planning</x:v>
      </x:c>
      <x:c r="J1639" s="6" t="str">
        <x:v>Warm-up</x:v>
      </x:c>
      <x:c r="K1639" s="6" t="str">
        <x:v>Reachable: ordered path and metres. Unreachable: explicitly state no step-free route.</x:v>
      </x:c>
      <x:c r="L1639" s="6" t="str">
        <x:v>T02, T05, T13</x:v>
      </x:c>
      <x:c r="M1639" s="6" t="str">
        <x:v>Check whether a step-free route exists and give it when possible.</x:v>
      </x:c>
      <x:c r="N1639" s="6" t="str">
        <x:v>{"from_space_id":"swiss-1283-F1-S019","to_space_id":"swiss-1283-F1-S023","optimal_length_m":9.09,"space_path":["swiss-1283-F1-S019","swiss-1283-F1-S022","swiss-1283-F1-S023"],"element_path":["swiss-1283-F1-O0033","swiss-1283-F1-O0033","swiss-1283-F1-O0028","swiss-1283-F1-O0028"]}</x:v>
      </x:c>
      <x:c r="O1639" s="6"/>
      <x:c r="P1639" s="6" t="str">
        <x:v>step_free=true. No stairs or stepped openings. May be unreachable.</x:v>
      </x:c>
      <x:c r="Q1639" s="15" t="n">
        <x:v>9.09</x:v>
      </x:c>
      <x:c r="R1639" s="6" t="str">
        <x:v>m</x:v>
      </x:c>
      <x:c r="S1639" s="16"/>
      <x:c r="T1639" s="15"/>
      <x:c r="U1639" s="6"/>
      <x:c r="V1639" s="6"/>
      <x:c r="W1639" s="6" t="str">
        <x:v>Existing find_route(step_free=true).</x:v>
      </x:c>
      <x:c r="X1639" s="6" t="str">
        <x:v>data/train/swiss-1283/questions_basic.jsonl</x:v>
      </x:c>
      <x:c r="Y1639" s="14" t="n">
        <x:v>6</x:v>
      </x:c>
      <x:c r="Z1639" s="6" t="str">
        <x:v>https://github.com/hagenhaeussler/Industrial-Agents-Hackathon-2026/blob/f41616590b69f3ea0c1cbfb41d6c35edd9ce53df/data/train/swiss-1283/questions_basic.jsonl#L6</x:v>
      </x:c>
      <x:c r="AA1639" s="6" t="str">
        <x:v>swiss_dwellings</x:v>
      </x:c>
      <x:c r="AB1639" s="6" t="str">
        <x:v>CC-BY-4.0</x:v>
      </x:c>
    </x:row>
    <x:row r="1640" ht="72" customHeight="1">
      <x:c r="A1640" s="14" t="n">
        <x:v>1635</x:v>
      </x:c>
      <x:c r="B1640" s="6" t="str">
        <x:v>route_step_free</x:v>
      </x:c>
      <x:c r="C1640" s="6" t="str">
        <x:v>Is there a step-free route from Kitchen 1.05 (apartment 3) (Floor 1) to Bedroom 0.10 (apartment 2) (Ground floor)?</x:v>
      </x:c>
      <x:c r="D1640" s="6" t="str">
        <x:v>No route under the requested constraints.
From: Kitchen 1.05 (apartment 3)
To: Bedroom 0.10 (apartment 2)</x:v>
      </x:c>
      <x:c r="E1640" s="6" t="str">
        <x:v>Reference supplied</x:v>
      </x:c>
      <x:c r="F1640" s="6" t="str">
        <x:v>train</x:v>
      </x:c>
      <x:c r="G1640" s="6" t="str">
        <x:v>swiss-1355</x:v>
      </x:c>
      <x:c r="H1640" s="6" t="str">
        <x:v>swiss-1355-Q05</x:v>
      </x:c>
      <x:c r="I1640" s="6" t="str">
        <x:v>Route planning</x:v>
      </x:c>
      <x:c r="J1640" s="6" t="str">
        <x:v>Warm-up</x:v>
      </x:c>
      <x:c r="K1640" s="6" t="str">
        <x:v>Reachable: ordered path and metres. Unreachable: explicitly state no step-free route.</x:v>
      </x:c>
      <x:c r="L1640" s="6" t="str">
        <x:v>T02, T05, T13</x:v>
      </x:c>
      <x:c r="M1640" s="6" t="str">
        <x:v>Check whether a step-free route exists and give it when possible.</x:v>
      </x:c>
      <x:c r="N1640" s="6" t="str">
        <x:v>{"from_space_id":"swiss-1355-F1-S005","to_space_id":"swiss-1355-F0-S010","reachable":false}</x:v>
      </x:c>
      <x:c r="O1640" s="6"/>
      <x:c r="P1640" s="6" t="str">
        <x:v>step_free=true. No stairs or stepped openings. May be unreachable.</x:v>
      </x:c>
      <x:c r="Q1640" s="15"/>
      <x:c r="R1640" s="6"/>
      <x:c r="S1640" s="16"/>
      <x:c r="T1640" s="15"/>
      <x:c r="U1640" s="6"/>
      <x:c r="V1640" s="6"/>
      <x:c r="W1640" s="6" t="str">
        <x:v>Existing find_route(step_free=true).</x:v>
      </x:c>
      <x:c r="X1640" s="6" t="str">
        <x:v>data/train/swiss-1355/questions_basic.jsonl</x:v>
      </x:c>
      <x:c r="Y1640" s="14" t="n">
        <x:v>5</x:v>
      </x:c>
      <x:c r="Z1640" s="6" t="str">
        <x:v>https://github.com/hagenhaeussler/Industrial-Agents-Hackathon-2026/blob/f41616590b69f3ea0c1cbfb41d6c35edd9ce53df/data/train/swiss-1355/questions_basic.jsonl#L5</x:v>
      </x:c>
      <x:c r="AA1640" s="6" t="str">
        <x:v>swiss_dwellings</x:v>
      </x:c>
      <x:c r="AB1640" s="6" t="str">
        <x:v>CC-BY-4.0</x:v>
      </x:c>
    </x:row>
    <x:row r="1641" ht="72" customHeight="1">
      <x:c r="A1641" s="14" t="n">
        <x:v>1636</x:v>
      </x:c>
      <x:c r="B1641" s="6" t="str">
        <x:v>route_step_free</x:v>
      </x:c>
      <x:c r="C1641" s="6" t="str">
        <x:v>Is there a step-free route from Bedroom 3.35 (apartment 16) (Floor 3) to Bedroom 0.18 (apartment 2) (Ground floor)?</x:v>
      </x:c>
      <x:c r="D1641" s="6" t="str">
        <x:v>No route under the requested constraints.
From: Bedroom 3.35 (apartment 16)
To: Bedroom 0.18 (apartment 2)</x:v>
      </x:c>
      <x:c r="E1641" s="6" t="str">
        <x:v>Reference supplied</x:v>
      </x:c>
      <x:c r="F1641" s="6" t="str">
        <x:v>train</x:v>
      </x:c>
      <x:c r="G1641" s="6" t="str">
        <x:v>swiss-1390</x:v>
      </x:c>
      <x:c r="H1641" s="6" t="str">
        <x:v>swiss-1390-Q06</x:v>
      </x:c>
      <x:c r="I1641" s="6" t="str">
        <x:v>Route planning</x:v>
      </x:c>
      <x:c r="J1641" s="6" t="str">
        <x:v>Warm-up</x:v>
      </x:c>
      <x:c r="K1641" s="6" t="str">
        <x:v>Reachable: ordered path and metres. Unreachable: explicitly state no step-free route.</x:v>
      </x:c>
      <x:c r="L1641" s="6" t="str">
        <x:v>T02, T05, T13</x:v>
      </x:c>
      <x:c r="M1641" s="6" t="str">
        <x:v>Check whether a step-free route exists and give it when possible.</x:v>
      </x:c>
      <x:c r="N1641" s="6" t="str">
        <x:v>{"from_space_id":"swiss-1390-F3-S035","to_space_id":"swiss-1390-F0-S018","reachable":false}</x:v>
      </x:c>
      <x:c r="O1641" s="6"/>
      <x:c r="P1641" s="6" t="str">
        <x:v>step_free=true. No stairs or stepped openings. May be unreachable.</x:v>
      </x:c>
      <x:c r="Q1641" s="15"/>
      <x:c r="R1641" s="6"/>
      <x:c r="S1641" s="16"/>
      <x:c r="T1641" s="15"/>
      <x:c r="U1641" s="6"/>
      <x:c r="V1641" s="6"/>
      <x:c r="W1641" s="6" t="str">
        <x:v>Existing find_route(step_free=true).</x:v>
      </x:c>
      <x:c r="X1641" s="6" t="str">
        <x:v>data/train/swiss-1390/questions_basic.jsonl</x:v>
      </x:c>
      <x:c r="Y1641" s="14" t="n">
        <x:v>6</x:v>
      </x:c>
      <x:c r="Z1641" s="6" t="str">
        <x:v>https://github.com/hagenhaeussler/Industrial-Agents-Hackathon-2026/blob/f41616590b69f3ea0c1cbfb41d6c35edd9ce53df/data/train/swiss-1390/questions_basic.jsonl#L6</x:v>
      </x:c>
      <x:c r="AA1641" s="6" t="str">
        <x:v>swiss_dwellings</x:v>
      </x:c>
      <x:c r="AB1641" s="6" t="str">
        <x:v>CC-BY-4.0</x:v>
      </x:c>
    </x:row>
    <x:row r="1642" ht="72" customHeight="1">
      <x:c r="A1642" s="14" t="n">
        <x:v>1637</x:v>
      </x:c>
      <x:c r="B1642" s="6" t="str">
        <x:v>route_step_free</x:v>
      </x:c>
      <x:c r="C1642" s="6" t="str">
        <x:v>Is there a step-free route from Bedroom 1.05 (apartment 3) (Floor 1) to Bedroom 2.16 (apartment 6) (Floor 2)?</x:v>
      </x:c>
      <x:c r="D1642" s="6" t="str">
        <x:v>No route under the requested constraints.
From: Bedroom 1.05 (apartment 3)
To: Bedroom 2.16 (apartment 6)</x:v>
      </x:c>
      <x:c r="E1642" s="6" t="str">
        <x:v>Reference supplied</x:v>
      </x:c>
      <x:c r="F1642" s="6" t="str">
        <x:v>train</x:v>
      </x:c>
      <x:c r="G1642" s="6" t="str">
        <x:v>swiss-1433</x:v>
      </x:c>
      <x:c r="H1642" s="6" t="str">
        <x:v>swiss-1433-Q07</x:v>
      </x:c>
      <x:c r="I1642" s="6" t="str">
        <x:v>Route planning</x:v>
      </x:c>
      <x:c r="J1642" s="6" t="str">
        <x:v>Warm-up</x:v>
      </x:c>
      <x:c r="K1642" s="6" t="str">
        <x:v>Reachable: ordered path and metres. Unreachable: explicitly state no step-free route.</x:v>
      </x:c>
      <x:c r="L1642" s="6" t="str">
        <x:v>T02, T05, T13</x:v>
      </x:c>
      <x:c r="M1642" s="6" t="str">
        <x:v>Check whether a step-free route exists and give it when possible.</x:v>
      </x:c>
      <x:c r="N1642" s="6" t="str">
        <x:v>{"from_space_id":"swiss-1433-F1-S005","to_space_id":"swiss-1433-F2-S016","reachable":false}</x:v>
      </x:c>
      <x:c r="O1642" s="6"/>
      <x:c r="P1642" s="6" t="str">
        <x:v>step_free=true. No stairs or stepped openings. May be unreachable.</x:v>
      </x:c>
      <x:c r="Q1642" s="15"/>
      <x:c r="R1642" s="6"/>
      <x:c r="S1642" s="16"/>
      <x:c r="T1642" s="15"/>
      <x:c r="U1642" s="6"/>
      <x:c r="V1642" s="6"/>
      <x:c r="W1642" s="6" t="str">
        <x:v>Existing find_route(step_free=true).</x:v>
      </x:c>
      <x:c r="X1642" s="6" t="str">
        <x:v>data/train/swiss-1433/questions_basic.jsonl</x:v>
      </x:c>
      <x:c r="Y1642" s="14" t="n">
        <x:v>7</x:v>
      </x:c>
      <x:c r="Z1642" s="6" t="str">
        <x:v>https://github.com/hagenhaeussler/Industrial-Agents-Hackathon-2026/blob/f41616590b69f3ea0c1cbfb41d6c35edd9ce53df/data/train/swiss-1433/questions_basic.jsonl#L7</x:v>
      </x:c>
      <x:c r="AA1642" s="6" t="str">
        <x:v>swiss_dwellings</x:v>
      </x:c>
      <x:c r="AB1642" s="6" t="str">
        <x:v>CC-BY-4.0</x:v>
      </x:c>
    </x:row>
    <x:row r="1643" ht="72" customHeight="1">
      <x:c r="A1643" s="14" t="n">
        <x:v>1638</x:v>
      </x:c>
      <x:c r="B1643" s="6" t="str">
        <x:v>route_step_free</x:v>
      </x:c>
      <x:c r="C1643" s="6" t="str">
        <x:v>Is there a step-free route from Storage 0.36 (apartment 3) (Ground floor) to Bathroom 2.33 (apartment 11) (Floor 2)?</x:v>
      </x:c>
      <x:c r="D1643" s="6" t="str">
        <x:v>No route under the requested constraints.
From: Storage 0.36 (apartment 3)
To: Bathroom 2.33 (apartment 11)</x:v>
      </x:c>
      <x:c r="E1643" s="6" t="str">
        <x:v>Reference supplied</x:v>
      </x:c>
      <x:c r="F1643" s="6" t="str">
        <x:v>train</x:v>
      </x:c>
      <x:c r="G1643" s="6" t="str">
        <x:v>swiss-1444</x:v>
      </x:c>
      <x:c r="H1643" s="6" t="str">
        <x:v>swiss-1444-Q06</x:v>
      </x:c>
      <x:c r="I1643" s="6" t="str">
        <x:v>Route planning</x:v>
      </x:c>
      <x:c r="J1643" s="6" t="str">
        <x:v>Warm-up</x:v>
      </x:c>
      <x:c r="K1643" s="6" t="str">
        <x:v>Reachable: ordered path and metres. Unreachable: explicitly state no step-free route.</x:v>
      </x:c>
      <x:c r="L1643" s="6" t="str">
        <x:v>T02, T05, T13</x:v>
      </x:c>
      <x:c r="M1643" s="6" t="str">
        <x:v>Check whether a step-free route exists and give it when possible.</x:v>
      </x:c>
      <x:c r="N1643" s="6" t="str">
        <x:v>{"from_space_id":"swiss-1444-F0-S036","to_space_id":"swiss-1444-F2-S033","reachable":false}</x:v>
      </x:c>
      <x:c r="O1643" s="6"/>
      <x:c r="P1643" s="6" t="str">
        <x:v>step_free=true. No stairs or stepped openings. May be unreachable.</x:v>
      </x:c>
      <x:c r="Q1643" s="15"/>
      <x:c r="R1643" s="6"/>
      <x:c r="S1643" s="16"/>
      <x:c r="T1643" s="15"/>
      <x:c r="U1643" s="6"/>
      <x:c r="V1643" s="6"/>
      <x:c r="W1643" s="6" t="str">
        <x:v>Existing find_route(step_free=true).</x:v>
      </x:c>
      <x:c r="X1643" s="6" t="str">
        <x:v>data/train/swiss-1444/questions_basic.jsonl</x:v>
      </x:c>
      <x:c r="Y1643" s="14" t="n">
        <x:v>6</x:v>
      </x:c>
      <x:c r="Z1643" s="6" t="str">
        <x:v>https://github.com/hagenhaeussler/Industrial-Agents-Hackathon-2026/blob/f41616590b69f3ea0c1cbfb41d6c35edd9ce53df/data/train/swiss-1444/questions_basic.jsonl#L6</x:v>
      </x:c>
      <x:c r="AA1643" s="6" t="str">
        <x:v>swiss_dwellings</x:v>
      </x:c>
      <x:c r="AB1643" s="6" t="str">
        <x:v>CC-BY-4.0</x:v>
      </x:c>
    </x:row>
    <x:row r="1644" ht="72" customHeight="1">
      <x:c r="A1644" s="14" t="n">
        <x:v>1639</x:v>
      </x:c>
      <x:c r="B1644" s="6" t="str">
        <x:v>route_step_free</x:v>
      </x:c>
      <x:c r="C1644" s="6" t="str">
        <x:v>Is there a step-free route from Bathroom 0.08 (apartment 1) (Ground floor) to Bedroom 3.15 (apartment 8) (Floor 3)?</x:v>
      </x:c>
      <x:c r="D1644" s="6" t="str">
        <x:v>No route under the requested constraints.
From: Bathroom 0.08 (apartment 1)
To: Bedroom 3.15 (apartment 8)</x:v>
      </x:c>
      <x:c r="E1644" s="6" t="str">
        <x:v>Reference supplied</x:v>
      </x:c>
      <x:c r="F1644" s="6" t="str">
        <x:v>train</x:v>
      </x:c>
      <x:c r="G1644" s="6" t="str">
        <x:v>swiss-1457</x:v>
      </x:c>
      <x:c r="H1644" s="6" t="str">
        <x:v>swiss-1457-Q07</x:v>
      </x:c>
      <x:c r="I1644" s="6" t="str">
        <x:v>Route planning</x:v>
      </x:c>
      <x:c r="J1644" s="6" t="str">
        <x:v>Warm-up</x:v>
      </x:c>
      <x:c r="K1644" s="6" t="str">
        <x:v>Reachable: ordered path and metres. Unreachable: explicitly state no step-free route.</x:v>
      </x:c>
      <x:c r="L1644" s="6" t="str">
        <x:v>T02, T05, T13</x:v>
      </x:c>
      <x:c r="M1644" s="6" t="str">
        <x:v>Check whether a step-free route exists and give it when possible.</x:v>
      </x:c>
      <x:c r="N1644" s="6" t="str">
        <x:v>{"from_space_id":"swiss-1457-F0-S008","to_space_id":"swiss-1457-F3-S015","reachable":false}</x:v>
      </x:c>
      <x:c r="O1644" s="6"/>
      <x:c r="P1644" s="6" t="str">
        <x:v>step_free=true. No stairs or stepped openings. May be unreachable.</x:v>
      </x:c>
      <x:c r="Q1644" s="15"/>
      <x:c r="R1644" s="6"/>
      <x:c r="S1644" s="16"/>
      <x:c r="T1644" s="15"/>
      <x:c r="U1644" s="6"/>
      <x:c r="V1644" s="6"/>
      <x:c r="W1644" s="6" t="str">
        <x:v>Existing find_route(step_free=true).</x:v>
      </x:c>
      <x:c r="X1644" s="6" t="str">
        <x:v>data/train/swiss-1457/questions_basic.jsonl</x:v>
      </x:c>
      <x:c r="Y1644" s="14" t="n">
        <x:v>7</x:v>
      </x:c>
      <x:c r="Z1644" s="6" t="str">
        <x:v>https://github.com/hagenhaeussler/Industrial-Agents-Hackathon-2026/blob/f41616590b69f3ea0c1cbfb41d6c35edd9ce53df/data/train/swiss-1457/questions_basic.jsonl#L7</x:v>
      </x:c>
      <x:c r="AA1644" s="6" t="str">
        <x:v>swiss_dwellings</x:v>
      </x:c>
      <x:c r="AB1644" s="6" t="str">
        <x:v>CC-BY-4.0</x:v>
      </x:c>
    </x:row>
    <x:row r="1645" ht="96" customHeight="1">
      <x:c r="A1645" s="14" t="n">
        <x:v>1640</x:v>
      </x:c>
      <x:c r="B1645" s="6" t="str">
        <x:v>route_step_free</x:v>
      </x:c>
      <x:c r="C1645" s="6" t="str">
        <x:v>Is there a step-free route from Bathroom 4.11 (apartment 10) (Floor 4) to Bedroom 4.03 (apartment 9) (Floor 4)?</x:v>
      </x:c>
      <x:c r="D1645" s="6" t="str">
        <x:v>22.55 m
From: Bathroom 4.11 (apartment 10)
To: Bedroom 4.03 (apartment 9)
Ordered path (5 spaces): Bathroom 4.11 (apartment 10) → Corridor 4.15 (apartment 10) → Stair hall 4.19 → Corridor 4.09 (apartment 9) → Bedroom 4.03 (apartment 9)</x:v>
      </x:c>
      <x:c r="E1645" s="6" t="str">
        <x:v>Reference supplied</x:v>
      </x:c>
      <x:c r="F1645" s="6" t="str">
        <x:v>train</x:v>
      </x:c>
      <x:c r="G1645" s="6" t="str">
        <x:v>swiss-1463</x:v>
      </x:c>
      <x:c r="H1645" s="6" t="str">
        <x:v>swiss-1463-Q06</x:v>
      </x:c>
      <x:c r="I1645" s="6" t="str">
        <x:v>Route planning</x:v>
      </x:c>
      <x:c r="J1645" s="6" t="str">
        <x:v>Warm-up</x:v>
      </x:c>
      <x:c r="K1645" s="6" t="str">
        <x:v>Reachable: ordered path and metres. Unreachable: explicitly state no step-free route.</x:v>
      </x:c>
      <x:c r="L1645" s="6" t="str">
        <x:v>T02, T05, T13</x:v>
      </x:c>
      <x:c r="M1645" s="6" t="str">
        <x:v>Check whether a step-free route exists and give it when possible.</x:v>
      </x:c>
      <x:c r="N1645" s="6" t="str">
        <x:v>{"from_space_id":"swiss-1463-F4-S011","to_space_id":"swiss-1463-F4-S003","optimal_length_m":22.55,"space_path":["swiss-1463-F4-S011","swiss-1463-F4-S015","swiss-1463-F4-S019","swiss-1463-F4-S009","swiss-1463-F4-S003"],"element_path":["swiss-1463-F4-O0085","swiss-1463-F4-O0085","swiss-1463-F4-O0084","swiss-1463-F4-O0084","swiss-1463-F4-O0075","swiss-1463-F4-O0075","swiss-1463-F4-O0077","swiss-1463-F4-O0077"]}</x:v>
      </x:c>
      <x:c r="O1645" s="6"/>
      <x:c r="P1645" s="6" t="str">
        <x:v>step_free=true. No stairs or stepped openings. May be unreachable.</x:v>
      </x:c>
      <x:c r="Q1645" s="15" t="n">
        <x:v>22.55</x:v>
      </x:c>
      <x:c r="R1645" s="6" t="str">
        <x:v>m</x:v>
      </x:c>
      <x:c r="S1645" s="16"/>
      <x:c r="T1645" s="15"/>
      <x:c r="U1645" s="6"/>
      <x:c r="V1645" s="6"/>
      <x:c r="W1645" s="6" t="str">
        <x:v>Existing find_route(step_free=true).</x:v>
      </x:c>
      <x:c r="X1645" s="6" t="str">
        <x:v>data/train/swiss-1463/questions_basic.jsonl</x:v>
      </x:c>
      <x:c r="Y1645" s="14" t="n">
        <x:v>6</x:v>
      </x:c>
      <x:c r="Z1645" s="6" t="str">
        <x:v>https://github.com/hagenhaeussler/Industrial-Agents-Hackathon-2026/blob/f41616590b69f3ea0c1cbfb41d6c35edd9ce53df/data/train/swiss-1463/questions_basic.jsonl#L6</x:v>
      </x:c>
      <x:c r="AA1645" s="6" t="str">
        <x:v>swiss_dwellings</x:v>
      </x:c>
      <x:c r="AB1645" s="6" t="str">
        <x:v>CC-BY-4.0</x:v>
      </x:c>
    </x:row>
    <x:row r="1646" ht="72" customHeight="1">
      <x:c r="A1646" s="14" t="n">
        <x:v>1641</x:v>
      </x:c>
      <x:c r="B1646" s="6" t="str">
        <x:v>route_step_free</x:v>
      </x:c>
      <x:c r="C1646" s="6" t="str">
        <x:v>Is there a step-free route from Bedroom 0.17 (apartment 2) (Ground floor) to Storage 2.01 (apartment 5) (Floor 2)?</x:v>
      </x:c>
      <x:c r="D1646" s="6" t="str">
        <x:v>No route under the requested constraints.
From: Bedroom 0.17 (apartment 2)
To: Storage 2.01 (apartment 5)</x:v>
      </x:c>
      <x:c r="E1646" s="6" t="str">
        <x:v>Reference supplied</x:v>
      </x:c>
      <x:c r="F1646" s="6" t="str">
        <x:v>train</x:v>
      </x:c>
      <x:c r="G1646" s="6" t="str">
        <x:v>swiss-1470</x:v>
      </x:c>
      <x:c r="H1646" s="6" t="str">
        <x:v>swiss-1470-Q08</x:v>
      </x:c>
      <x:c r="I1646" s="6" t="str">
        <x:v>Route planning</x:v>
      </x:c>
      <x:c r="J1646" s="6" t="str">
        <x:v>Warm-up</x:v>
      </x:c>
      <x:c r="K1646" s="6" t="str">
        <x:v>Reachable: ordered path and metres. Unreachable: explicitly state no step-free route.</x:v>
      </x:c>
      <x:c r="L1646" s="6" t="str">
        <x:v>T02, T05, T13</x:v>
      </x:c>
      <x:c r="M1646" s="6" t="str">
        <x:v>Check whether a step-free route exists and give it when possible.</x:v>
      </x:c>
      <x:c r="N1646" s="6" t="str">
        <x:v>{"from_space_id":"swiss-1470-F0-S017","to_space_id":"swiss-1470-F2-S001","reachable":false}</x:v>
      </x:c>
      <x:c r="O1646" s="6"/>
      <x:c r="P1646" s="6" t="str">
        <x:v>step_free=true. No stairs or stepped openings. May be unreachable.</x:v>
      </x:c>
      <x:c r="Q1646" s="15"/>
      <x:c r="R1646" s="6"/>
      <x:c r="S1646" s="16"/>
      <x:c r="T1646" s="15"/>
      <x:c r="U1646" s="6"/>
      <x:c r="V1646" s="6"/>
      <x:c r="W1646" s="6" t="str">
        <x:v>Existing find_route(step_free=true).</x:v>
      </x:c>
      <x:c r="X1646" s="6" t="str">
        <x:v>data/train/swiss-1470/questions_basic.jsonl</x:v>
      </x:c>
      <x:c r="Y1646" s="14" t="n">
        <x:v>8</x:v>
      </x:c>
      <x:c r="Z1646" s="6" t="str">
        <x:v>https://github.com/hagenhaeussler/Industrial-Agents-Hackathon-2026/blob/f41616590b69f3ea0c1cbfb41d6c35edd9ce53df/data/train/swiss-1470/questions_basic.jsonl#L8</x:v>
      </x:c>
      <x:c r="AA1646" s="6" t="str">
        <x:v>swiss_dwellings</x:v>
      </x:c>
      <x:c r="AB1646" s="6" t="str">
        <x:v>CC-BY-4.0</x:v>
      </x:c>
    </x:row>
    <x:row r="1647" ht="72" customHeight="1">
      <x:c r="A1647" s="14" t="n">
        <x:v>1642</x:v>
      </x:c>
      <x:c r="B1647" s="6" t="str">
        <x:v>route_step_free</x:v>
      </x:c>
      <x:c r="C1647" s="6" t="str">
        <x:v>Is there a step-free route from Bedroom 3.01 (apartment 7) (Floor 3) to Storage 0.21 (apartment 2) (Ground floor)?</x:v>
      </x:c>
      <x:c r="D1647" s="6" t="str">
        <x:v>No route under the requested constraints.
From: Bedroom 3.01 (apartment 7)
To: Storage 0.21 (apartment 2)</x:v>
      </x:c>
      <x:c r="E1647" s="6" t="str">
        <x:v>Reference supplied</x:v>
      </x:c>
      <x:c r="F1647" s="6" t="str">
        <x:v>train</x:v>
      </x:c>
      <x:c r="G1647" s="6" t="str">
        <x:v>swiss-148</x:v>
      </x:c>
      <x:c r="H1647" s="6" t="str">
        <x:v>swiss-148-Q07</x:v>
      </x:c>
      <x:c r="I1647" s="6" t="str">
        <x:v>Route planning</x:v>
      </x:c>
      <x:c r="J1647" s="6" t="str">
        <x:v>Warm-up</x:v>
      </x:c>
      <x:c r="K1647" s="6" t="str">
        <x:v>Reachable: ordered path and metres. Unreachable: explicitly state no step-free route.</x:v>
      </x:c>
      <x:c r="L1647" s="6" t="str">
        <x:v>T02, T05, T13</x:v>
      </x:c>
      <x:c r="M1647" s="6" t="str">
        <x:v>Check whether a step-free route exists and give it when possible.</x:v>
      </x:c>
      <x:c r="N1647" s="6" t="str">
        <x:v>{"from_space_id":"swiss-148-F3-S001","to_space_id":"swiss-148-F0-S021","reachable":false}</x:v>
      </x:c>
      <x:c r="O1647" s="6"/>
      <x:c r="P1647" s="6" t="str">
        <x:v>step_free=true. No stairs or stepped openings. May be unreachable.</x:v>
      </x:c>
      <x:c r="Q1647" s="15"/>
      <x:c r="R1647" s="6"/>
      <x:c r="S1647" s="16"/>
      <x:c r="T1647" s="15"/>
      <x:c r="U1647" s="6"/>
      <x:c r="V1647" s="6"/>
      <x:c r="W1647" s="6" t="str">
        <x:v>Existing find_route(step_free=true).</x:v>
      </x:c>
      <x:c r="X1647" s="6" t="str">
        <x:v>data/train/swiss-148/questions_basic.jsonl</x:v>
      </x:c>
      <x:c r="Y1647" s="14" t="n">
        <x:v>7</x:v>
      </x:c>
      <x:c r="Z1647" s="6" t="str">
        <x:v>https://github.com/hagenhaeussler/Industrial-Agents-Hackathon-2026/blob/f41616590b69f3ea0c1cbfb41d6c35edd9ce53df/data/train/swiss-148/questions_basic.jsonl#L7</x:v>
      </x:c>
      <x:c r="AA1647" s="6" t="str">
        <x:v>swiss_dwellings</x:v>
      </x:c>
      <x:c r="AB1647" s="6" t="str">
        <x:v>CC-BY-4.0</x:v>
      </x:c>
    </x:row>
    <x:row r="1648" ht="110" customHeight="1">
      <x:c r="A1648" s="14" t="n">
        <x:v>1643</x:v>
      </x:c>
      <x:c r="B1648" s="6" t="str">
        <x:v>route_step_free</x:v>
      </x:c>
      <x:c r="C1648" s="6" t="str">
        <x:v>Is there a step-free route from Bedroom 0.18 (apartment 3) (Ground floor) to Living room 0.01 (apartment 1) (Ground floor)?</x:v>
      </x:c>
      <x:c r="D1648" s="6" t="str">
        <x:v>16.79 m
From: Bedroom 0.18 (apartment 3)
To: Living room 0.01 (apartment 1)
Ordered path (8 spaces): Bedroom 0.18 (apartment 3) → Corridor 0.19 (apartment 3) → Corridor 0.20 (apartment 3) → Landing 0.35 → outside → Landing 0.33 → Corridor 0.04 (apartment 1) → Living room 0.01 (apartment 1)</x:v>
      </x:c>
      <x:c r="E1648" s="6" t="str">
        <x:v>Reference supplied</x:v>
      </x:c>
      <x:c r="F1648" s="6" t="str">
        <x:v>train</x:v>
      </x:c>
      <x:c r="G1648" s="6" t="str">
        <x:v>swiss-1543</x:v>
      </x:c>
      <x:c r="H1648" s="6" t="str">
        <x:v>swiss-1543-Q06</x:v>
      </x:c>
      <x:c r="I1648" s="6" t="str">
        <x:v>Route planning</x:v>
      </x:c>
      <x:c r="J1648" s="6" t="str">
        <x:v>Warm-up</x:v>
      </x:c>
      <x:c r="K1648" s="6" t="str">
        <x:v>Reachable: ordered path and metres. Unreachable: explicitly state no step-free route.</x:v>
      </x:c>
      <x:c r="L1648" s="6" t="str">
        <x:v>T02, T05, T13</x:v>
      </x:c>
      <x:c r="M1648" s="6" t="str">
        <x:v>Check whether a step-free route exists and give it when possible.</x:v>
      </x:c>
      <x:c r="N1648" s="6" t="str">
        <x:v>{"from_space_id":"swiss-1543-F0-S018","to_space_id":"swiss-1543-F0-S001","optimal_length_m":16.79,"space_path":["swiss-1543-F0-S018","swiss-1543-F0-S019","swiss-1543-F0-S020","swiss-1543-F0-S035","outside","swiss-1543-F0-S033","swiss-1543-F0-S004","swiss-1543-F0-S001"],"element_path":["swiss-1543-F0-O0026","swiss-1543-F0-O0026","swiss-1543-F0-O0025","swiss-1543-F0-O0025","swiss-1543-F0-O0021","swiss-1543-F0-O0021","swiss-1543-F0-O0116","swiss-1543-F0-O0116","swiss-1543-F0-O0114","swiss-1543-F0-O0114","swiss-1543-F0-O0007","swiss-1543-F0-O0007","swiss-1543-F0-O0005","swiss-1543-F0-O0005"]}</x:v>
      </x:c>
      <x:c r="O1648" s="6"/>
      <x:c r="P1648" s="6" t="str">
        <x:v>step_free=true. No stairs or stepped openings. May be unreachable.</x:v>
      </x:c>
      <x:c r="Q1648" s="15" t="n">
        <x:v>16.79</x:v>
      </x:c>
      <x:c r="R1648" s="6" t="str">
        <x:v>m</x:v>
      </x:c>
      <x:c r="S1648" s="16"/>
      <x:c r="T1648" s="15"/>
      <x:c r="U1648" s="6"/>
      <x:c r="V1648" s="6"/>
      <x:c r="W1648" s="6" t="str">
        <x:v>Existing find_route(step_free=true).</x:v>
      </x:c>
      <x:c r="X1648" s="6" t="str">
        <x:v>data/train/swiss-1543/questions_basic.jsonl</x:v>
      </x:c>
      <x:c r="Y1648" s="14" t="n">
        <x:v>6</x:v>
      </x:c>
      <x:c r="Z1648" s="6" t="str">
        <x:v>https://github.com/hagenhaeussler/Industrial-Agents-Hackathon-2026/blob/f41616590b69f3ea0c1cbfb41d6c35edd9ce53df/data/train/swiss-1543/questions_basic.jsonl#L6</x:v>
      </x:c>
      <x:c r="AA1648" s="6" t="str">
        <x:v>swiss_dwellings</x:v>
      </x:c>
      <x:c r="AB1648" s="6" t="str">
        <x:v>CC-BY-4.0</x:v>
      </x:c>
    </x:row>
    <x:row r="1649" ht="138" customHeight="1">
      <x:c r="A1649" s="14" t="n">
        <x:v>1644</x:v>
      </x:c>
      <x:c r="B1649" s="6" t="str">
        <x:v>route_step_free</x:v>
      </x:c>
      <x:c r="C1649" s="6" t="str">
        <x:v>Is there a step-free route from Bathroom 0.02 (apartment 3) (Ground floor) to Storage 5.13 (apartment 14) (Floor 5)?</x:v>
      </x:c>
      <x:c r="D1649" s="6" t="str">
        <x:v>127.74 m
From: Bathroom 0.02 (apartment 3)
To: Storage 5.13 (apartment 14)
Ordered path (12 spaces): Bathroom 0.02 (apartment 3) → Corridor 0.03 (apartment 3) → Stair hall 0.11 → Stair hall 1.15 → Stair hall 2.15 → Stair hall 3.15 → Stair hall 4.15 → Stair hall 5.15 → Corridor 5.14 (apartment 14) → Living room 5.10 (apartment 14) → Balcony 5.08 (apartment 14) → Storage 5.13 (apartment 14)</x:v>
      </x:c>
      <x:c r="E1649" s="6" t="str">
        <x:v>Reference supplied</x:v>
      </x:c>
      <x:c r="F1649" s="6" t="str">
        <x:v>train</x:v>
      </x:c>
      <x:c r="G1649" s="6" t="str">
        <x:v>swiss-15503</x:v>
      </x:c>
      <x:c r="H1649" s="6" t="str">
        <x:v>swiss-15503-Q07</x:v>
      </x:c>
      <x:c r="I1649" s="6" t="str">
        <x:v>Route planning</x:v>
      </x:c>
      <x:c r="J1649" s="6" t="str">
        <x:v>Warm-up</x:v>
      </x:c>
      <x:c r="K1649" s="6" t="str">
        <x:v>Reachable: ordered path and metres. Unreachable: explicitly state no step-free route.</x:v>
      </x:c>
      <x:c r="L1649" s="6" t="str">
        <x:v>T02, T05, T13</x:v>
      </x:c>
      <x:c r="M1649" s="6" t="str">
        <x:v>Check whether a step-free route exists and give it when possible.</x:v>
      </x:c>
      <x:c r="N1649" s="6" t="str">
        <x:v>{"from_space_id":"swiss-15503-F0-S002","to_space_id":"swiss-15503-F5-S013","optimal_length_m":127.74,"space_path":["swiss-15503-F0-S002","swiss-15503-F0-S003","swiss-15503-F0-S011","swiss-15503-F1-S015","swiss-15503-F2-S015","swiss-15503-F3-S015","swiss-15503-F4-S015","swiss-15503-F5-S015","swiss-15503-F5-S014","swiss-15503-F5-S010","swiss-15503-F5-S008","swiss-15503-F5-S013"],"element_path":["swiss-15503-F0-O0016","swiss-15503-F0-O0016","swiss-15503-F0-O0013","swiss-15503-F0-O0013","swiss-15503-V02","swiss-15503-V02","swiss-15503-V02","swiss-15503-V02","swiss-15503-V02","swiss-15503-F5-O0088","swiss-15503-F5-O0088","swiss-15503-F5-O0095","swiss-15503-F5-O0095","swiss-15503-F5-O0089","swiss-15503-F5-O0089","swiss-15503-F5-O0090","swiss-15503-F5-O0090"]}</x:v>
      </x:c>
      <x:c r="O1649" s="6"/>
      <x:c r="P1649" s="6" t="str">
        <x:v>step_free=true. No stairs or stepped openings. May be unreachable.</x:v>
      </x:c>
      <x:c r="Q1649" s="15" t="n">
        <x:v>127.74</x:v>
      </x:c>
      <x:c r="R1649" s="6" t="str">
        <x:v>m</x:v>
      </x:c>
      <x:c r="S1649" s="16"/>
      <x:c r="T1649" s="15"/>
      <x:c r="U1649" s="6"/>
      <x:c r="V1649" s="6"/>
      <x:c r="W1649" s="6" t="str">
        <x:v>Existing find_route(step_free=true).</x:v>
      </x:c>
      <x:c r="X1649" s="6" t="str">
        <x:v>data/train/swiss-15503/questions_basic.jsonl</x:v>
      </x:c>
      <x:c r="Y1649" s="14" t="n">
        <x:v>7</x:v>
      </x:c>
      <x:c r="Z1649" s="6" t="str">
        <x:v>https://github.com/hagenhaeussler/Industrial-Agents-Hackathon-2026/blob/f41616590b69f3ea0c1cbfb41d6c35edd9ce53df/data/train/swiss-15503/questions_basic.jsonl#L7</x:v>
      </x:c>
      <x:c r="AA1649" s="6" t="str">
        <x:v>swiss_dwellings</x:v>
      </x:c>
      <x:c r="AB1649" s="6" t="str">
        <x:v>CC-BY-4.0</x:v>
      </x:c>
    </x:row>
    <x:row r="1650" ht="72" customHeight="1">
      <x:c r="A1650" s="14" t="n">
        <x:v>1645</x:v>
      </x:c>
      <x:c r="B1650" s="6" t="str">
        <x:v>route_step_free</x:v>
      </x:c>
      <x:c r="C1650" s="6" t="str">
        <x:v>Is there a step-free route from Living room 0.28 (apartment 4) (Ground floor) to Bedroom 2.20 (apartment 11) (Floor 2)?</x:v>
      </x:c>
      <x:c r="D1650" s="6" t="str">
        <x:v>No route under the requested constraints.
From: Living room 0.28 (apartment 4)
To: Bedroom 2.20 (apartment 11)</x:v>
      </x:c>
      <x:c r="E1650" s="6" t="str">
        <x:v>Reference supplied</x:v>
      </x:c>
      <x:c r="F1650" s="6" t="str">
        <x:v>train</x:v>
      </x:c>
      <x:c r="G1650" s="6" t="str">
        <x:v>swiss-1571</x:v>
      </x:c>
      <x:c r="H1650" s="6" t="str">
        <x:v>swiss-1571-Q07</x:v>
      </x:c>
      <x:c r="I1650" s="6" t="str">
        <x:v>Route planning</x:v>
      </x:c>
      <x:c r="J1650" s="6" t="str">
        <x:v>Warm-up</x:v>
      </x:c>
      <x:c r="K1650" s="6" t="str">
        <x:v>Reachable: ordered path and metres. Unreachable: explicitly state no step-free route.</x:v>
      </x:c>
      <x:c r="L1650" s="6" t="str">
        <x:v>T02, T05, T13</x:v>
      </x:c>
      <x:c r="M1650" s="6" t="str">
        <x:v>Check whether a step-free route exists and give it when possible.</x:v>
      </x:c>
      <x:c r="N1650" s="6" t="str">
        <x:v>{"from_space_id":"swiss-1571-F0-S028","to_space_id":"swiss-1571-F2-S020","reachable":false}</x:v>
      </x:c>
      <x:c r="O1650" s="6"/>
      <x:c r="P1650" s="6" t="str">
        <x:v>step_free=true. No stairs or stepped openings. May be unreachable.</x:v>
      </x:c>
      <x:c r="Q1650" s="15"/>
      <x:c r="R1650" s="6"/>
      <x:c r="S1650" s="16"/>
      <x:c r="T1650" s="15"/>
      <x:c r="U1650" s="6"/>
      <x:c r="V1650" s="6"/>
      <x:c r="W1650" s="6" t="str">
        <x:v>Existing find_route(step_free=true).</x:v>
      </x:c>
      <x:c r="X1650" s="6" t="str">
        <x:v>data/train/swiss-1571/questions_basic.jsonl</x:v>
      </x:c>
      <x:c r="Y1650" s="14" t="n">
        <x:v>7</x:v>
      </x:c>
      <x:c r="Z1650" s="6" t="str">
        <x:v>https://github.com/hagenhaeussler/Industrial-Agents-Hackathon-2026/blob/f41616590b69f3ea0c1cbfb41d6c35edd9ce53df/data/train/swiss-1571/questions_basic.jsonl#L7</x:v>
      </x:c>
      <x:c r="AA1650" s="6" t="str">
        <x:v>swiss_dwellings</x:v>
      </x:c>
      <x:c r="AB1650" s="6" t="str">
        <x:v>CC-BY-4.0</x:v>
      </x:c>
    </x:row>
    <x:row r="1651" ht="72" customHeight="1">
      <x:c r="A1651" s="14" t="n">
        <x:v>1646</x:v>
      </x:c>
      <x:c r="B1651" s="6" t="str">
        <x:v>route_step_free</x:v>
      </x:c>
      <x:c r="C1651" s="6" t="str">
        <x:v>Is there a step-free route from Bathroom 1.05 (apartment 2) (Floor 1) to Bedroom 2.04 (apartment 3) (Floor 2)?</x:v>
      </x:c>
      <x:c r="D1651" s="6" t="str">
        <x:v>No route under the requested constraints.
From: Bathroom 1.05 (apartment 2)
To: Bedroom 2.04 (apartment 3)</x:v>
      </x:c>
      <x:c r="E1651" s="6" t="str">
        <x:v>Reference supplied</x:v>
      </x:c>
      <x:c r="F1651" s="6" t="str">
        <x:v>train</x:v>
      </x:c>
      <x:c r="G1651" s="6" t="str">
        <x:v>swiss-16357</x:v>
      </x:c>
      <x:c r="H1651" s="6" t="str">
        <x:v>swiss-16357-Q08</x:v>
      </x:c>
      <x:c r="I1651" s="6" t="str">
        <x:v>Route planning</x:v>
      </x:c>
      <x:c r="J1651" s="6" t="str">
        <x:v>Warm-up</x:v>
      </x:c>
      <x:c r="K1651" s="6" t="str">
        <x:v>Reachable: ordered path and metres. Unreachable: explicitly state no step-free route.</x:v>
      </x:c>
      <x:c r="L1651" s="6" t="str">
        <x:v>T02, T05, T13</x:v>
      </x:c>
      <x:c r="M1651" s="6" t="str">
        <x:v>Check whether a step-free route exists and give it when possible.</x:v>
      </x:c>
      <x:c r="N1651" s="6" t="str">
        <x:v>{"from_space_id":"swiss-16357-F1-S005","to_space_id":"swiss-16357-F2-S004","reachable":false}</x:v>
      </x:c>
      <x:c r="O1651" s="6"/>
      <x:c r="P1651" s="6" t="str">
        <x:v>step_free=true. No stairs or stepped openings. May be unreachable.</x:v>
      </x:c>
      <x:c r="Q1651" s="15"/>
      <x:c r="R1651" s="6"/>
      <x:c r="S1651" s="16"/>
      <x:c r="T1651" s="15"/>
      <x:c r="U1651" s="6"/>
      <x:c r="V1651" s="6"/>
      <x:c r="W1651" s="6" t="str">
        <x:v>Existing find_route(step_free=true).</x:v>
      </x:c>
      <x:c r="X1651" s="6" t="str">
        <x:v>data/train/swiss-16357/questions_basic.jsonl</x:v>
      </x:c>
      <x:c r="Y1651" s="14" t="n">
        <x:v>8</x:v>
      </x:c>
      <x:c r="Z1651" s="6" t="str">
        <x:v>https://github.com/hagenhaeussler/Industrial-Agents-Hackathon-2026/blob/f41616590b69f3ea0c1cbfb41d6c35edd9ce53df/data/train/swiss-16357/questions_basic.jsonl#L8</x:v>
      </x:c>
      <x:c r="AA1651" s="6" t="str">
        <x:v>swiss_dwellings</x:v>
      </x:c>
      <x:c r="AB1651" s="6" t="str">
        <x:v>CC-BY-4.0</x:v>
      </x:c>
    </x:row>
    <x:row r="1652" ht="96" customHeight="1">
      <x:c r="A1652" s="14" t="n">
        <x:v>1647</x:v>
      </x:c>
      <x:c r="B1652" s="6" t="str">
        <x:v>route_step_free</x:v>
      </x:c>
      <x:c r="C1652" s="6" t="str">
        <x:v>Is there a step-free route from Bedroom 3.21 (apartment 7) (Floor 3) to Living room 1.23 (apartment 3) (Floor 1)?</x:v>
      </x:c>
      <x:c r="D1652" s="6" t="str">
        <x:v>66.93 m
From: Bedroom 3.21 (apartment 7)
To: Living room 1.23 (apartment 3)
Ordered path (7 spaces): Bedroom 3.21 (apartment 7) → Corridor 3.22 (apartment 7) → Stair hall 3.27 → Stair hall 2.26 → Stair hall 1.26 → Corridor 1.25 (apartment 3) → Living room 1.23 (apartment 3)</x:v>
      </x:c>
      <x:c r="E1652" s="6" t="str">
        <x:v>Reference supplied</x:v>
      </x:c>
      <x:c r="F1652" s="6" t="str">
        <x:v>train</x:v>
      </x:c>
      <x:c r="G1652" s="6" t="str">
        <x:v>swiss-1650</x:v>
      </x:c>
      <x:c r="H1652" s="6" t="str">
        <x:v>swiss-1650-Q07</x:v>
      </x:c>
      <x:c r="I1652" s="6" t="str">
        <x:v>Route planning</x:v>
      </x:c>
      <x:c r="J1652" s="6" t="str">
        <x:v>Warm-up</x:v>
      </x:c>
      <x:c r="K1652" s="6" t="str">
        <x:v>Reachable: ordered path and metres. Unreachable: explicitly state no step-free route.</x:v>
      </x:c>
      <x:c r="L1652" s="6" t="str">
        <x:v>T02, T05, T13</x:v>
      </x:c>
      <x:c r="M1652" s="6" t="str">
        <x:v>Check whether a step-free route exists and give it when possible.</x:v>
      </x:c>
      <x:c r="N1652" s="6" t="str">
        <x:v>{"from_space_id":"swiss-1650-F3-S021","to_space_id":"swiss-1650-F1-S023","optimal_length_m":66.93,"space_path":["swiss-1650-F3-S021","swiss-1650-F3-S022","swiss-1650-F3-S027","swiss-1650-F2-S026","swiss-1650-F1-S026","swiss-1650-F1-S025","swiss-1650-F1-S023"],"element_path":["swiss-1650-F3-O0096","swiss-1650-F3-O0096","swiss-1650-F3-O0098","swiss-1650-F3-O0098","swiss-1650-V02","swiss-1650-V02","swiss-1650-F1-O0035","swiss-1650-F1-O0035","swiss-1650-F1-O0031","swiss-1650-F1-O0031"]}</x:v>
      </x:c>
      <x:c r="O1652" s="6"/>
      <x:c r="P1652" s="6" t="str">
        <x:v>step_free=true. No stairs or stepped openings. May be unreachable.</x:v>
      </x:c>
      <x:c r="Q1652" s="15" t="n">
        <x:v>66.93</x:v>
      </x:c>
      <x:c r="R1652" s="6" t="str">
        <x:v>m</x:v>
      </x:c>
      <x:c r="S1652" s="16"/>
      <x:c r="T1652" s="15"/>
      <x:c r="U1652" s="6"/>
      <x:c r="V1652" s="6"/>
      <x:c r="W1652" s="6" t="str">
        <x:v>Existing find_route(step_free=true).</x:v>
      </x:c>
      <x:c r="X1652" s="6" t="str">
        <x:v>data/train/swiss-1650/questions_basic.jsonl</x:v>
      </x:c>
      <x:c r="Y1652" s="14" t="n">
        <x:v>7</x:v>
      </x:c>
      <x:c r="Z1652" s="6" t="str">
        <x:v>https://github.com/hagenhaeussler/Industrial-Agents-Hackathon-2026/blob/f41616590b69f3ea0c1cbfb41d6c35edd9ce53df/data/train/swiss-1650/questions_basic.jsonl#L7</x:v>
      </x:c>
      <x:c r="AA1652" s="6" t="str">
        <x:v>swiss_dwellings</x:v>
      </x:c>
      <x:c r="AB1652" s="6" t="str">
        <x:v>CC-BY-4.0</x:v>
      </x:c>
    </x:row>
    <x:row r="1653" ht="72" customHeight="1">
      <x:c r="A1653" s="14" t="n">
        <x:v>1648</x:v>
      </x:c>
      <x:c r="B1653" s="6" t="str">
        <x:v>route_step_free</x:v>
      </x:c>
      <x:c r="C1653" s="6" t="str">
        <x:v>Is there a step-free route from Bedroom 3.13 (apartment 10) (Floor 3) to Bedroom 4.09 (apartment 12) (Floor 4)?</x:v>
      </x:c>
      <x:c r="D1653" s="6" t="str">
        <x:v>No route under the requested constraints.
From: Bedroom 3.13 (apartment 10)
To: Bedroom 4.09 (apartment 12)</x:v>
      </x:c>
      <x:c r="E1653" s="6" t="str">
        <x:v>Reference supplied</x:v>
      </x:c>
      <x:c r="F1653" s="6" t="str">
        <x:v>train</x:v>
      </x:c>
      <x:c r="G1653" s="6" t="str">
        <x:v>swiss-18196</x:v>
      </x:c>
      <x:c r="H1653" s="6" t="str">
        <x:v>swiss-18196-Q07</x:v>
      </x:c>
      <x:c r="I1653" s="6" t="str">
        <x:v>Route planning</x:v>
      </x:c>
      <x:c r="J1653" s="6" t="str">
        <x:v>Warm-up</x:v>
      </x:c>
      <x:c r="K1653" s="6" t="str">
        <x:v>Reachable: ordered path and metres. Unreachable: explicitly state no step-free route.</x:v>
      </x:c>
      <x:c r="L1653" s="6" t="str">
        <x:v>T02, T05, T13</x:v>
      </x:c>
      <x:c r="M1653" s="6" t="str">
        <x:v>Check whether a step-free route exists and give it when possible.</x:v>
      </x:c>
      <x:c r="N1653" s="6" t="str">
        <x:v>{"from_space_id":"swiss-18196-F3-S013","to_space_id":"swiss-18196-F4-S009","reachable":false}</x:v>
      </x:c>
      <x:c r="O1653" s="6"/>
      <x:c r="P1653" s="6" t="str">
        <x:v>step_free=true. No stairs or stepped openings. May be unreachable.</x:v>
      </x:c>
      <x:c r="Q1653" s="15"/>
      <x:c r="R1653" s="6"/>
      <x:c r="S1653" s="16"/>
      <x:c r="T1653" s="15"/>
      <x:c r="U1653" s="6"/>
      <x:c r="V1653" s="6"/>
      <x:c r="W1653" s="6" t="str">
        <x:v>Existing find_route(step_free=true).</x:v>
      </x:c>
      <x:c r="X1653" s="6" t="str">
        <x:v>data/train/swiss-18196/questions_basic.jsonl</x:v>
      </x:c>
      <x:c r="Y1653" s="14" t="n">
        <x:v>7</x:v>
      </x:c>
      <x:c r="Z1653" s="6" t="str">
        <x:v>https://github.com/hagenhaeussler/Industrial-Agents-Hackathon-2026/blob/f41616590b69f3ea0c1cbfb41d6c35edd9ce53df/data/train/swiss-18196/questions_basic.jsonl#L7</x:v>
      </x:c>
      <x:c r="AA1653" s="6" t="str">
        <x:v>swiss_dwellings</x:v>
      </x:c>
      <x:c r="AB1653" s="6" t="str">
        <x:v>CC-BY-4.0</x:v>
      </x:c>
    </x:row>
    <x:row r="1654" ht="82" customHeight="1">
      <x:c r="A1654" s="14" t="n">
        <x:v>1649</x:v>
      </x:c>
      <x:c r="B1654" s="6" t="str">
        <x:v>route_step_free</x:v>
      </x:c>
      <x:c r="C1654" s="6" t="str">
        <x:v>Is there a step-free route from Bedroom 0.21 (apartment 3) (Ground floor) to Living room 0.20 (apartment 3) (Ground floor)?</x:v>
      </x:c>
      <x:c r="D1654" s="6" t="str">
        <x:v>9.21 m
From: Bedroom 0.21 (apartment 3)
To: Living room 0.20 (apartment 3)
Ordered path (3 spaces): Bedroom 0.21 (apartment 3) → Corridor 0.18 (apartment 3) → Living room 0.20 (apartment 3)</x:v>
      </x:c>
      <x:c r="E1654" s="6" t="str">
        <x:v>Reference supplied</x:v>
      </x:c>
      <x:c r="F1654" s="6" t="str">
        <x:v>train</x:v>
      </x:c>
      <x:c r="G1654" s="6" t="str">
        <x:v>swiss-18256</x:v>
      </x:c>
      <x:c r="H1654" s="6" t="str">
        <x:v>swiss-18256-Q07</x:v>
      </x:c>
      <x:c r="I1654" s="6" t="str">
        <x:v>Route planning</x:v>
      </x:c>
      <x:c r="J1654" s="6" t="str">
        <x:v>Warm-up</x:v>
      </x:c>
      <x:c r="K1654" s="6" t="str">
        <x:v>Reachable: ordered path and metres. Unreachable: explicitly state no step-free route.</x:v>
      </x:c>
      <x:c r="L1654" s="6" t="str">
        <x:v>T02, T05, T13</x:v>
      </x:c>
      <x:c r="M1654" s="6" t="str">
        <x:v>Check whether a step-free route exists and give it when possible.</x:v>
      </x:c>
      <x:c r="N1654" s="6" t="str">
        <x:v>{"from_space_id":"swiss-18256-F0-S021","to_space_id":"swiss-18256-F0-S020","optimal_length_m":9.21,"space_path":["swiss-18256-F0-S021","swiss-18256-F0-S018","swiss-18256-F0-S020"],"element_path":["swiss-18256-F0-O0018","swiss-18256-F0-O0018","swiss-18256-F0-O0024","swiss-18256-F0-O0024"]}</x:v>
      </x:c>
      <x:c r="O1654" s="6"/>
      <x:c r="P1654" s="6" t="str">
        <x:v>step_free=true. No stairs or stepped openings. May be unreachable.</x:v>
      </x:c>
      <x:c r="Q1654" s="15" t="n">
        <x:v>9.21</x:v>
      </x:c>
      <x:c r="R1654" s="6" t="str">
        <x:v>m</x:v>
      </x:c>
      <x:c r="S1654" s="16"/>
      <x:c r="T1654" s="15"/>
      <x:c r="U1654" s="6"/>
      <x:c r="V1654" s="6"/>
      <x:c r="W1654" s="6" t="str">
        <x:v>Existing find_route(step_free=true).</x:v>
      </x:c>
      <x:c r="X1654" s="6" t="str">
        <x:v>data/train/swiss-18256/questions_basic.jsonl</x:v>
      </x:c>
      <x:c r="Y1654" s="14" t="n">
        <x:v>7</x:v>
      </x:c>
      <x:c r="Z1654" s="6" t="str">
        <x:v>https://github.com/hagenhaeussler/Industrial-Agents-Hackathon-2026/blob/f41616590b69f3ea0c1cbfb41d6c35edd9ce53df/data/train/swiss-18256/questions_basic.jsonl#L7</x:v>
      </x:c>
      <x:c r="AA1654" s="6" t="str">
        <x:v>swiss_dwellings</x:v>
      </x:c>
      <x:c r="AB1654" s="6" t="str">
        <x:v>CC-BY-4.0</x:v>
      </x:c>
    </x:row>
    <x:row r="1655" ht="82" customHeight="1">
      <x:c r="A1655" s="14" t="n">
        <x:v>1650</x:v>
      </x:c>
      <x:c r="B1655" s="6" t="str">
        <x:v>route_step_free</x:v>
      </x:c>
      <x:c r="C1655" s="6" t="str">
        <x:v>Is there a step-free route from Bathroom 2.07 (apartment 5) (Floor 2) to Bedroom 2.08 (apartment 5) (Floor 2)?</x:v>
      </x:c>
      <x:c r="D1655" s="6" t="str">
        <x:v>8.42 m
From: Bathroom 2.07 (apartment 5)
To: Bedroom 2.08 (apartment 5)
Ordered path (3 spaces): Bathroom 2.07 (apartment 5) → Corridor 2.04 (apartment 5) → Bedroom 2.08 (apartment 5)</x:v>
      </x:c>
      <x:c r="E1655" s="6" t="str">
        <x:v>Reference supplied</x:v>
      </x:c>
      <x:c r="F1655" s="6" t="str">
        <x:v>train</x:v>
      </x:c>
      <x:c r="G1655" s="6" t="str">
        <x:v>swiss-18260</x:v>
      </x:c>
      <x:c r="H1655" s="6" t="str">
        <x:v>swiss-18260-Q08</x:v>
      </x:c>
      <x:c r="I1655" s="6" t="str">
        <x:v>Route planning</x:v>
      </x:c>
      <x:c r="J1655" s="6" t="str">
        <x:v>Warm-up</x:v>
      </x:c>
      <x:c r="K1655" s="6" t="str">
        <x:v>Reachable: ordered path and metres. Unreachable: explicitly state no step-free route.</x:v>
      </x:c>
      <x:c r="L1655" s="6" t="str">
        <x:v>T02, T05, T13</x:v>
      </x:c>
      <x:c r="M1655" s="6" t="str">
        <x:v>Check whether a step-free route exists and give it when possible.</x:v>
      </x:c>
      <x:c r="N1655" s="6" t="str">
        <x:v>{"from_space_id":"swiss-18260-F2-S007","to_space_id":"swiss-18260-F2-S008","optimal_length_m":8.42,"space_path":["swiss-18260-F2-S007","swiss-18260-F2-S004","swiss-18260-F2-S008"],"element_path":["swiss-18260-F2-O0035","swiss-18260-F2-O0035","swiss-18260-F2-O0040","swiss-18260-F2-O0040"]}</x:v>
      </x:c>
      <x:c r="O1655" s="6"/>
      <x:c r="P1655" s="6" t="str">
        <x:v>step_free=true. No stairs or stepped openings. May be unreachable.</x:v>
      </x:c>
      <x:c r="Q1655" s="15" t="n">
        <x:v>8.42</x:v>
      </x:c>
      <x:c r="R1655" s="6" t="str">
        <x:v>m</x:v>
      </x:c>
      <x:c r="S1655" s="16"/>
      <x:c r="T1655" s="15"/>
      <x:c r="U1655" s="6"/>
      <x:c r="V1655" s="6"/>
      <x:c r="W1655" s="6" t="str">
        <x:v>Existing find_route(step_free=true).</x:v>
      </x:c>
      <x:c r="X1655" s="6" t="str">
        <x:v>data/train/swiss-18260/questions_basic.jsonl</x:v>
      </x:c>
      <x:c r="Y1655" s="14" t="n">
        <x:v>8</x:v>
      </x:c>
      <x:c r="Z1655" s="6" t="str">
        <x:v>https://github.com/hagenhaeussler/Industrial-Agents-Hackathon-2026/blob/f41616590b69f3ea0c1cbfb41d6c35edd9ce53df/data/train/swiss-18260/questions_basic.jsonl#L8</x:v>
      </x:c>
      <x:c r="AA1655" s="6" t="str">
        <x:v>swiss_dwellings</x:v>
      </x:c>
      <x:c r="AB1655" s="6" t="str">
        <x:v>CC-BY-4.0</x:v>
      </x:c>
    </x:row>
    <x:row r="1656" ht="72" customHeight="1">
      <x:c r="A1656" s="14" t="n">
        <x:v>1651</x:v>
      </x:c>
      <x:c r="B1656" s="6" t="str">
        <x:v>route_step_free</x:v>
      </x:c>
      <x:c r="C1656" s="6" t="str">
        <x:v>Is there a step-free route from Bathroom 0.07 (apartment 2) (Ground floor) to Kitchen 1.11 (apartment 4) (Floor 1)?</x:v>
      </x:c>
      <x:c r="D1656" s="6" t="str">
        <x:v>No route under the requested constraints.
From: Bathroom 0.07 (apartment 2)
To: Kitchen 1.11 (apartment 4)</x:v>
      </x:c>
      <x:c r="E1656" s="6" t="str">
        <x:v>Reference supplied</x:v>
      </x:c>
      <x:c r="F1656" s="6" t="str">
        <x:v>train</x:v>
      </x:c>
      <x:c r="G1656" s="6" t="str">
        <x:v>swiss-1828</x:v>
      </x:c>
      <x:c r="H1656" s="6" t="str">
        <x:v>swiss-1828-Q07</x:v>
      </x:c>
      <x:c r="I1656" s="6" t="str">
        <x:v>Route planning</x:v>
      </x:c>
      <x:c r="J1656" s="6" t="str">
        <x:v>Warm-up</x:v>
      </x:c>
      <x:c r="K1656" s="6" t="str">
        <x:v>Reachable: ordered path and metres. Unreachable: explicitly state no step-free route.</x:v>
      </x:c>
      <x:c r="L1656" s="6" t="str">
        <x:v>T02, T05, T13</x:v>
      </x:c>
      <x:c r="M1656" s="6" t="str">
        <x:v>Check whether a step-free route exists and give it when possible.</x:v>
      </x:c>
      <x:c r="N1656" s="6" t="str">
        <x:v>{"from_space_id":"swiss-1828-F0-S007","to_space_id":"swiss-1828-F1-S011","reachable":false}</x:v>
      </x:c>
      <x:c r="O1656" s="6"/>
      <x:c r="P1656" s="6" t="str">
        <x:v>step_free=true. No stairs or stepped openings. May be unreachable.</x:v>
      </x:c>
      <x:c r="Q1656" s="15"/>
      <x:c r="R1656" s="6"/>
      <x:c r="S1656" s="16"/>
      <x:c r="T1656" s="15"/>
      <x:c r="U1656" s="6"/>
      <x:c r="V1656" s="6"/>
      <x:c r="W1656" s="6" t="str">
        <x:v>Existing find_route(step_free=true).</x:v>
      </x:c>
      <x:c r="X1656" s="6" t="str">
        <x:v>data/train/swiss-1828/questions_basic.jsonl</x:v>
      </x:c>
      <x:c r="Y1656" s="14" t="n">
        <x:v>7</x:v>
      </x:c>
      <x:c r="Z1656" s="6" t="str">
        <x:v>https://github.com/hagenhaeussler/Industrial-Agents-Hackathon-2026/blob/f41616590b69f3ea0c1cbfb41d6c35edd9ce53df/data/train/swiss-1828/questions_basic.jsonl#L7</x:v>
      </x:c>
      <x:c r="AA1656" s="6" t="str">
        <x:v>swiss_dwellings</x:v>
      </x:c>
      <x:c r="AB1656" s="6" t="str">
        <x:v>CC-BY-4.0</x:v>
      </x:c>
    </x:row>
    <x:row r="1657" ht="96" customHeight="1">
      <x:c r="A1657" s="14" t="n">
        <x:v>1652</x:v>
      </x:c>
      <x:c r="B1657" s="6" t="str">
        <x:v>route_step_free</x:v>
      </x:c>
      <x:c r="C1657" s="6" t="str">
        <x:v>Is there a step-free route from Living room 0.08 (apartment 1) (Ground floor) to Living room 0.14 (apartment 2) (Ground floor)?</x:v>
      </x:c>
      <x:c r="D1657" s="6" t="str">
        <x:v>18.71 m
From: Living room 0.08 (apartment 1)
To: Living room 0.14 (apartment 2)
Ordered path (5 spaces): Living room 0.08 (apartment 1) → Corridor 0.01 (apartment 1) → Stair hall 0.20 → Corridor 0.10 (apartment 2) → Living room 0.14 (apartment 2)</x:v>
      </x:c>
      <x:c r="E1657" s="6" t="str">
        <x:v>Reference supplied</x:v>
      </x:c>
      <x:c r="F1657" s="6" t="str">
        <x:v>train</x:v>
      </x:c>
      <x:c r="G1657" s="6" t="str">
        <x:v>swiss-1829</x:v>
      </x:c>
      <x:c r="H1657" s="6" t="str">
        <x:v>swiss-1829-Q07</x:v>
      </x:c>
      <x:c r="I1657" s="6" t="str">
        <x:v>Route planning</x:v>
      </x:c>
      <x:c r="J1657" s="6" t="str">
        <x:v>Warm-up</x:v>
      </x:c>
      <x:c r="K1657" s="6" t="str">
        <x:v>Reachable: ordered path and metres. Unreachable: explicitly state no step-free route.</x:v>
      </x:c>
      <x:c r="L1657" s="6" t="str">
        <x:v>T02, T05, T13</x:v>
      </x:c>
      <x:c r="M1657" s="6" t="str">
        <x:v>Check whether a step-free route exists and give it when possible.</x:v>
      </x:c>
      <x:c r="N1657" s="6" t="str">
        <x:v>{"from_space_id":"swiss-1829-F0-S008","to_space_id":"swiss-1829-F0-S014","optimal_length_m":18.71,"space_path":["swiss-1829-F0-S008","swiss-1829-F0-S001","swiss-1829-F0-S020","swiss-1829-F0-S010","swiss-1829-F0-S014"],"element_path":["swiss-1829-F0-O0005","swiss-1829-F0-O0005","swiss-1829-F0-O0004","swiss-1829-F0-O0004","swiss-1829-F0-O0009","swiss-1829-F0-O0009","swiss-1829-F0-O0011","swiss-1829-F0-O0011"]}</x:v>
      </x:c>
      <x:c r="O1657" s="6"/>
      <x:c r="P1657" s="6" t="str">
        <x:v>step_free=true. No stairs or stepped openings. May be unreachable.</x:v>
      </x:c>
      <x:c r="Q1657" s="15" t="n">
        <x:v>18.71</x:v>
      </x:c>
      <x:c r="R1657" s="6" t="str">
        <x:v>m</x:v>
      </x:c>
      <x:c r="S1657" s="16"/>
      <x:c r="T1657" s="15"/>
      <x:c r="U1657" s="6"/>
      <x:c r="V1657" s="6"/>
      <x:c r="W1657" s="6" t="str">
        <x:v>Existing find_route(step_free=true).</x:v>
      </x:c>
      <x:c r="X1657" s="6" t="str">
        <x:v>data/train/swiss-1829/questions_basic.jsonl</x:v>
      </x:c>
      <x:c r="Y1657" s="14" t="n">
        <x:v>7</x:v>
      </x:c>
      <x:c r="Z1657" s="6" t="str">
        <x:v>https://github.com/hagenhaeussler/Industrial-Agents-Hackathon-2026/blob/f41616590b69f3ea0c1cbfb41d6c35edd9ce53df/data/train/swiss-1829/questions_basic.jsonl#L7</x:v>
      </x:c>
      <x:c r="AA1657" s="6" t="str">
        <x:v>swiss_dwellings</x:v>
      </x:c>
      <x:c r="AB1657" s="6" t="str">
        <x:v>CC-BY-4.0</x:v>
      </x:c>
    </x:row>
    <x:row r="1658" ht="96" customHeight="1">
      <x:c r="A1658" s="14" t="n">
        <x:v>1653</x:v>
      </x:c>
      <x:c r="B1658" s="6" t="str">
        <x:v>route_step_free</x:v>
      </x:c>
      <x:c r="C1658" s="6" t="str">
        <x:v>Is there a step-free route from Bedroom 4.28 (apartment 18) (Floor 4) to Kitchen 2.22 (apartment 9) (Floor 2)?</x:v>
      </x:c>
      <x:c r="D1658" s="6" t="str">
        <x:v>54.17 m
From: Bedroom 4.28 (apartment 18)
To: Kitchen 2.22 (apartment 9)
Ordered path (8 spaces): Bedroom 4.28 (apartment 18) → Corridor 4.25 (apartment 18) → Landing 4.34 → Landing 4.33 → Landing 3.34 → Landing 2.34 → Corridor 2.20 (apartment 9) → Kitchen 2.22 (apartment 9)</x:v>
      </x:c>
      <x:c r="E1658" s="6" t="str">
        <x:v>Reference supplied</x:v>
      </x:c>
      <x:c r="F1658" s="6" t="str">
        <x:v>train</x:v>
      </x:c>
      <x:c r="G1658" s="6" t="str">
        <x:v>swiss-1860</x:v>
      </x:c>
      <x:c r="H1658" s="6" t="str">
        <x:v>swiss-1860-Q05</x:v>
      </x:c>
      <x:c r="I1658" s="6" t="str">
        <x:v>Route planning</x:v>
      </x:c>
      <x:c r="J1658" s="6" t="str">
        <x:v>Warm-up</x:v>
      </x:c>
      <x:c r="K1658" s="6" t="str">
        <x:v>Reachable: ordered path and metres. Unreachable: explicitly state no step-free route.</x:v>
      </x:c>
      <x:c r="L1658" s="6" t="str">
        <x:v>T02, T05, T13</x:v>
      </x:c>
      <x:c r="M1658" s="6" t="str">
        <x:v>Check whether a step-free route exists and give it when possible.</x:v>
      </x:c>
      <x:c r="N1658" s="6" t="str">
        <x:v>{"from_space_id":"swiss-1860-F4-S028","to_space_id":"swiss-1860-F2-S022","optimal_length_m":54.17,"space_path":["swiss-1860-F4-S028","swiss-1860-F4-S025","swiss-1860-F4-S034","swiss-1860-F4-S033","swiss-1860-F3-S034","swiss-1860-F2-S034","swiss-1860-F2-S020","swiss-1860-F2-S022"],"element_path":["swiss-1860-F4-O0146","swiss-1860-F4-O0146","swiss-1860-F4-O0139","swiss-1860-F4-O0139","swiss-1860-F4-O0115","swiss-1860-F4-O0115","swiss-1860-V02","swiss-1860-V02","swiss-1860-F2-O0070","swiss-1860-F2-O0070","swiss-1860-F2-O0067","swiss-1860-F2-O0067"]}</x:v>
      </x:c>
      <x:c r="O1658" s="6"/>
      <x:c r="P1658" s="6" t="str">
        <x:v>step_free=true. No stairs or stepped openings. May be unreachable.</x:v>
      </x:c>
      <x:c r="Q1658" s="15" t="n">
        <x:v>54.17</x:v>
      </x:c>
      <x:c r="R1658" s="6" t="str">
        <x:v>m</x:v>
      </x:c>
      <x:c r="S1658" s="16"/>
      <x:c r="T1658" s="15"/>
      <x:c r="U1658" s="6"/>
      <x:c r="V1658" s="6"/>
      <x:c r="W1658" s="6" t="str">
        <x:v>Existing find_route(step_free=true).</x:v>
      </x:c>
      <x:c r="X1658" s="6" t="str">
        <x:v>data/train/swiss-1860/questions_basic.jsonl</x:v>
      </x:c>
      <x:c r="Y1658" s="14" t="n">
        <x:v>5</x:v>
      </x:c>
      <x:c r="Z1658" s="6" t="str">
        <x:v>https://github.com/hagenhaeussler/Industrial-Agents-Hackathon-2026/blob/f41616590b69f3ea0c1cbfb41d6c35edd9ce53df/data/train/swiss-1860/questions_basic.jsonl#L5</x:v>
      </x:c>
      <x:c r="AA1658" s="6" t="str">
        <x:v>swiss_dwellings</x:v>
      </x:c>
      <x:c r="AB1658" s="6" t="str">
        <x:v>CC-BY-4.0</x:v>
      </x:c>
    </x:row>
    <x:row r="1659" ht="96" customHeight="1">
      <x:c r="A1659" s="14" t="n">
        <x:v>1654</x:v>
      </x:c>
      <x:c r="B1659" s="6" t="str">
        <x:v>route_step_free</x:v>
      </x:c>
      <x:c r="C1659" s="6" t="str">
        <x:v>Is there a step-free route from Bedroom 1.16 (apartment 6) (Floor 1) to Bedroom 1.22 (apartment 7) (Floor 1)?</x:v>
      </x:c>
      <x:c r="D1659" s="6" t="str">
        <x:v>22.06 m
From: Bedroom 1.16 (apartment 6)
To: Bedroom 1.22 (apartment 7)
Ordered path (5 spaces): Bedroom 1.16 (apartment 6) → Corridor 1.12 (apartment 6) → Stair hall 1.35 → Corridor 1.25 (apartment 7) → Bedroom 1.22 (apartment 7)</x:v>
      </x:c>
      <x:c r="E1659" s="6" t="str">
        <x:v>Reference supplied</x:v>
      </x:c>
      <x:c r="F1659" s="6" t="str">
        <x:v>train</x:v>
      </x:c>
      <x:c r="G1659" s="6" t="str">
        <x:v>swiss-1883</x:v>
      </x:c>
      <x:c r="H1659" s="6" t="str">
        <x:v>swiss-1883-Q05</x:v>
      </x:c>
      <x:c r="I1659" s="6" t="str">
        <x:v>Route planning</x:v>
      </x:c>
      <x:c r="J1659" s="6" t="str">
        <x:v>Warm-up</x:v>
      </x:c>
      <x:c r="K1659" s="6" t="str">
        <x:v>Reachable: ordered path and metres. Unreachable: explicitly state no step-free route.</x:v>
      </x:c>
      <x:c r="L1659" s="6" t="str">
        <x:v>T02, T05, T13</x:v>
      </x:c>
      <x:c r="M1659" s="6" t="str">
        <x:v>Check whether a step-free route exists and give it when possible.</x:v>
      </x:c>
      <x:c r="N1659" s="6" t="str">
        <x:v>{"from_space_id":"swiss-1883-F1-S016","to_space_id":"swiss-1883-F1-S022","optimal_length_m":22.06,"space_path":["swiss-1883-F1-S016","swiss-1883-F1-S012","swiss-1883-F1-S035","swiss-1883-F1-S025","swiss-1883-F1-S022"],"element_path":["swiss-1883-F1-O0044","swiss-1883-F1-O0044","swiss-1883-F1-O0042","swiss-1883-F1-O0042","swiss-1883-F1-O0047","swiss-1883-F1-O0047","swiss-1883-F1-O0052","swiss-1883-F1-O0052"]}</x:v>
      </x:c>
      <x:c r="O1659" s="6"/>
      <x:c r="P1659" s="6" t="str">
        <x:v>step_free=true. No stairs or stepped openings. May be unreachable.</x:v>
      </x:c>
      <x:c r="Q1659" s="15" t="n">
        <x:v>22.06</x:v>
      </x:c>
      <x:c r="R1659" s="6" t="str">
        <x:v>m</x:v>
      </x:c>
      <x:c r="S1659" s="16"/>
      <x:c r="T1659" s="15"/>
      <x:c r="U1659" s="6"/>
      <x:c r="V1659" s="6"/>
      <x:c r="W1659" s="6" t="str">
        <x:v>Existing find_route(step_free=true).</x:v>
      </x:c>
      <x:c r="X1659" s="6" t="str">
        <x:v>data/train/swiss-1883/questions_basic.jsonl</x:v>
      </x:c>
      <x:c r="Y1659" s="14" t="n">
        <x:v>5</x:v>
      </x:c>
      <x:c r="Z1659" s="6" t="str">
        <x:v>https://github.com/hagenhaeussler/Industrial-Agents-Hackathon-2026/blob/f41616590b69f3ea0c1cbfb41d6c35edd9ce53df/data/train/swiss-1883/questions_basic.jsonl#L5</x:v>
      </x:c>
      <x:c r="AA1659" s="6" t="str">
        <x:v>swiss_dwellings</x:v>
      </x:c>
      <x:c r="AB1659" s="6" t="str">
        <x:v>CC-BY-4.0</x:v>
      </x:c>
    </x:row>
    <x:row r="1660" ht="72" customHeight="1">
      <x:c r="A1660" s="14" t="n">
        <x:v>1655</x:v>
      </x:c>
      <x:c r="B1660" s="6" t="str">
        <x:v>route_step_free</x:v>
      </x:c>
      <x:c r="C1660" s="6" t="str">
        <x:v>Is there a step-free route from Living room 2.29 (apartment 12) (Floor 2) to Bedroom 2.21 (apartment 11) (Floor 2)?</x:v>
      </x:c>
      <x:c r="D1660" s="6" t="str">
        <x:v>No route under the requested constraints.
From: Living room 2.29 (apartment 12)
To: Bedroom 2.21 (apartment 11)</x:v>
      </x:c>
      <x:c r="E1660" s="6" t="str">
        <x:v>Reference supplied</x:v>
      </x:c>
      <x:c r="F1660" s="6" t="str">
        <x:v>train</x:v>
      </x:c>
      <x:c r="G1660" s="6" t="str">
        <x:v>swiss-1889</x:v>
      </x:c>
      <x:c r="H1660" s="6" t="str">
        <x:v>swiss-1889-Q07</x:v>
      </x:c>
      <x:c r="I1660" s="6" t="str">
        <x:v>Route planning</x:v>
      </x:c>
      <x:c r="J1660" s="6" t="str">
        <x:v>Warm-up</x:v>
      </x:c>
      <x:c r="K1660" s="6" t="str">
        <x:v>Reachable: ordered path and metres. Unreachable: explicitly state no step-free route.</x:v>
      </x:c>
      <x:c r="L1660" s="6" t="str">
        <x:v>T02, T05, T13</x:v>
      </x:c>
      <x:c r="M1660" s="6" t="str">
        <x:v>Check whether a step-free route exists and give it when possible.</x:v>
      </x:c>
      <x:c r="N1660" s="6" t="str">
        <x:v>{"from_space_id":"swiss-1889-F2-S029","to_space_id":"swiss-1889-F2-S021","reachable":false}</x:v>
      </x:c>
      <x:c r="O1660" s="6"/>
      <x:c r="P1660" s="6" t="str">
        <x:v>step_free=true. No stairs or stepped openings. May be unreachable.</x:v>
      </x:c>
      <x:c r="Q1660" s="15"/>
      <x:c r="R1660" s="6"/>
      <x:c r="S1660" s="16"/>
      <x:c r="T1660" s="15"/>
      <x:c r="U1660" s="6"/>
      <x:c r="V1660" s="6"/>
      <x:c r="W1660" s="6" t="str">
        <x:v>Existing find_route(step_free=true).</x:v>
      </x:c>
      <x:c r="X1660" s="6" t="str">
        <x:v>data/train/swiss-1889/questions_basic.jsonl</x:v>
      </x:c>
      <x:c r="Y1660" s="14" t="n">
        <x:v>7</x:v>
      </x:c>
      <x:c r="Z1660" s="6" t="str">
        <x:v>https://github.com/hagenhaeussler/Industrial-Agents-Hackathon-2026/blob/f41616590b69f3ea0c1cbfb41d6c35edd9ce53df/data/train/swiss-1889/questions_basic.jsonl#L7</x:v>
      </x:c>
      <x:c r="AA1660" s="6" t="str">
        <x:v>swiss_dwellings</x:v>
      </x:c>
      <x:c r="AB1660" s="6" t="str">
        <x:v>CC-BY-4.0</x:v>
      </x:c>
    </x:row>
    <x:row r="1661" ht="72" customHeight="1">
      <x:c r="A1661" s="14" t="n">
        <x:v>1656</x:v>
      </x:c>
      <x:c r="B1661" s="6" t="str">
        <x:v>route_step_free</x:v>
      </x:c>
      <x:c r="C1661" s="6" t="str">
        <x:v>Is there a step-free route from Bedroom 2.14 (apartment 9) (Floor 2) to Bedroom 0.02 (apartment 1) (Ground floor)?</x:v>
      </x:c>
      <x:c r="D1661" s="6" t="str">
        <x:v>No route under the requested constraints.
From: Bedroom 2.14 (apartment 9)
To: Bedroom 0.02 (apartment 1)</x:v>
      </x:c>
      <x:c r="E1661" s="6" t="str">
        <x:v>Reference supplied</x:v>
      </x:c>
      <x:c r="F1661" s="6" t="str">
        <x:v>train</x:v>
      </x:c>
      <x:c r="G1661" s="6" t="str">
        <x:v>swiss-1898</x:v>
      </x:c>
      <x:c r="H1661" s="6" t="str">
        <x:v>swiss-1898-Q07</x:v>
      </x:c>
      <x:c r="I1661" s="6" t="str">
        <x:v>Route planning</x:v>
      </x:c>
      <x:c r="J1661" s="6" t="str">
        <x:v>Warm-up</x:v>
      </x:c>
      <x:c r="K1661" s="6" t="str">
        <x:v>Reachable: ordered path and metres. Unreachable: explicitly state no step-free route.</x:v>
      </x:c>
      <x:c r="L1661" s="6" t="str">
        <x:v>T02, T05, T13</x:v>
      </x:c>
      <x:c r="M1661" s="6" t="str">
        <x:v>Check whether a step-free route exists and give it when possible.</x:v>
      </x:c>
      <x:c r="N1661" s="6" t="str">
        <x:v>{"from_space_id":"swiss-1898-F2-S014","to_space_id":"swiss-1898-F0-S002","reachable":false}</x:v>
      </x:c>
      <x:c r="O1661" s="6"/>
      <x:c r="P1661" s="6" t="str">
        <x:v>step_free=true. No stairs or stepped openings. May be unreachable.</x:v>
      </x:c>
      <x:c r="Q1661" s="15"/>
      <x:c r="R1661" s="6"/>
      <x:c r="S1661" s="16"/>
      <x:c r="T1661" s="15"/>
      <x:c r="U1661" s="6"/>
      <x:c r="V1661" s="6"/>
      <x:c r="W1661" s="6" t="str">
        <x:v>Existing find_route(step_free=true).</x:v>
      </x:c>
      <x:c r="X1661" s="6" t="str">
        <x:v>data/train/swiss-1898/questions_basic.jsonl</x:v>
      </x:c>
      <x:c r="Y1661" s="14" t="n">
        <x:v>7</x:v>
      </x:c>
      <x:c r="Z1661" s="6" t="str">
        <x:v>https://github.com/hagenhaeussler/Industrial-Agents-Hackathon-2026/blob/f41616590b69f3ea0c1cbfb41d6c35edd9ce53df/data/train/swiss-1898/questions_basic.jsonl#L7</x:v>
      </x:c>
      <x:c r="AA1661" s="6" t="str">
        <x:v>swiss_dwellings</x:v>
      </x:c>
      <x:c r="AB1661" s="6" t="str">
        <x:v>CC-BY-4.0</x:v>
      </x:c>
    </x:row>
    <x:row r="1662" ht="72" customHeight="1">
      <x:c r="A1662" s="14" t="n">
        <x:v>1657</x:v>
      </x:c>
      <x:c r="B1662" s="6" t="str">
        <x:v>route_step_free</x:v>
      </x:c>
      <x:c r="C1662" s="6" t="str">
        <x:v>Is there a step-free route from Bathroom 4.03 (apartment 47) (Floor 4) to Kitchen 5.03 (apartment 62) (Floor 5)?</x:v>
      </x:c>
      <x:c r="D1662" s="6" t="str">
        <x:v>No route under the requested constraints.
From: Bathroom 4.03 (apartment 47)
To: Kitchen 5.03 (apartment 62)</x:v>
      </x:c>
      <x:c r="E1662" s="6" t="str">
        <x:v>Reference supplied</x:v>
      </x:c>
      <x:c r="F1662" s="6" t="str">
        <x:v>train</x:v>
      </x:c>
      <x:c r="G1662" s="6" t="str">
        <x:v>swiss-1922</x:v>
      </x:c>
      <x:c r="H1662" s="6" t="str">
        <x:v>swiss-1922-Q06</x:v>
      </x:c>
      <x:c r="I1662" s="6" t="str">
        <x:v>Route planning</x:v>
      </x:c>
      <x:c r="J1662" s="6" t="str">
        <x:v>Warm-up</x:v>
      </x:c>
      <x:c r="K1662" s="6" t="str">
        <x:v>Reachable: ordered path and metres. Unreachable: explicitly state no step-free route.</x:v>
      </x:c>
      <x:c r="L1662" s="6" t="str">
        <x:v>T02, T05, T13</x:v>
      </x:c>
      <x:c r="M1662" s="6" t="str">
        <x:v>Check whether a step-free route exists and give it when possible.</x:v>
      </x:c>
      <x:c r="N1662" s="6" t="str">
        <x:v>{"from_space_id":"swiss-1922-F4-S003","to_space_id":"swiss-1922-F5-S003","reachable":false}</x:v>
      </x:c>
      <x:c r="O1662" s="6"/>
      <x:c r="P1662" s="6" t="str">
        <x:v>step_free=true. No stairs or stepped openings. May be unreachable.</x:v>
      </x:c>
      <x:c r="Q1662" s="15"/>
      <x:c r="R1662" s="6"/>
      <x:c r="S1662" s="16"/>
      <x:c r="T1662" s="15"/>
      <x:c r="U1662" s="6"/>
      <x:c r="V1662" s="6"/>
      <x:c r="W1662" s="6" t="str">
        <x:v>Existing find_route(step_free=true).</x:v>
      </x:c>
      <x:c r="X1662" s="6" t="str">
        <x:v>data/train/swiss-1922/questions_basic.jsonl</x:v>
      </x:c>
      <x:c r="Y1662" s="14" t="n">
        <x:v>6</x:v>
      </x:c>
      <x:c r="Z1662" s="6" t="str">
        <x:v>https://github.com/hagenhaeussler/Industrial-Agents-Hackathon-2026/blob/f41616590b69f3ea0c1cbfb41d6c35edd9ce53df/data/train/swiss-1922/questions_basic.jsonl#L6</x:v>
      </x:c>
      <x:c r="AA1662" s="6" t="str">
        <x:v>swiss_dwellings</x:v>
      </x:c>
      <x:c r="AB1662" s="6" t="str">
        <x:v>CC-BY-4.0</x:v>
      </x:c>
    </x:row>
    <x:row r="1663" ht="82" customHeight="1">
      <x:c r="A1663" s="14" t="n">
        <x:v>1658</x:v>
      </x:c>
      <x:c r="B1663" s="6" t="str">
        <x:v>route_step_free</x:v>
      </x:c>
      <x:c r="C1663" s="6" t="str">
        <x:v>Is there a step-free route from Bedroom 0.13 (apartment 2) (Ground floor) to Bedroom 0.09 (apartment 2) (Ground floor)?</x:v>
      </x:c>
      <x:c r="D1663" s="6" t="str">
        <x:v>6.74 m
From: Bedroom 0.13 (apartment 2)
To: Bedroom 0.09 (apartment 2)
Ordered path (3 spaces): Bedroom 0.13 (apartment 2) → Corridor 0.15 (apartment 2) → Bedroom 0.09 (apartment 2)</x:v>
      </x:c>
      <x:c r="E1663" s="6" t="str">
        <x:v>Reference supplied</x:v>
      </x:c>
      <x:c r="F1663" s="6" t="str">
        <x:v>train</x:v>
      </x:c>
      <x:c r="G1663" s="6" t="str">
        <x:v>swiss-1928</x:v>
      </x:c>
      <x:c r="H1663" s="6" t="str">
        <x:v>swiss-1928-Q08</x:v>
      </x:c>
      <x:c r="I1663" s="6" t="str">
        <x:v>Route planning</x:v>
      </x:c>
      <x:c r="J1663" s="6" t="str">
        <x:v>Warm-up</x:v>
      </x:c>
      <x:c r="K1663" s="6" t="str">
        <x:v>Reachable: ordered path and metres. Unreachable: explicitly state no step-free route.</x:v>
      </x:c>
      <x:c r="L1663" s="6" t="str">
        <x:v>T02, T05, T13</x:v>
      </x:c>
      <x:c r="M1663" s="6" t="str">
        <x:v>Check whether a step-free route exists and give it when possible.</x:v>
      </x:c>
      <x:c r="N1663" s="6" t="str">
        <x:v>{"from_space_id":"swiss-1928-F0-S013","to_space_id":"swiss-1928-F0-S009","optimal_length_m":6.74,"space_path":["swiss-1928-F0-S013","swiss-1928-F0-S015","swiss-1928-F0-S009"],"element_path":["swiss-1928-F0-O0014","swiss-1928-F0-O0014","swiss-1928-F0-O0008","swiss-1928-F0-O0008"]}</x:v>
      </x:c>
      <x:c r="O1663" s="6"/>
      <x:c r="P1663" s="6" t="str">
        <x:v>step_free=true. No stairs or stepped openings. May be unreachable.</x:v>
      </x:c>
      <x:c r="Q1663" s="15" t="n">
        <x:v>6.74</x:v>
      </x:c>
      <x:c r="R1663" s="6" t="str">
        <x:v>m</x:v>
      </x:c>
      <x:c r="S1663" s="16"/>
      <x:c r="T1663" s="15"/>
      <x:c r="U1663" s="6"/>
      <x:c r="V1663" s="6"/>
      <x:c r="W1663" s="6" t="str">
        <x:v>Existing find_route(step_free=true).</x:v>
      </x:c>
      <x:c r="X1663" s="6" t="str">
        <x:v>data/train/swiss-1928/questions_basic.jsonl</x:v>
      </x:c>
      <x:c r="Y1663" s="14" t="n">
        <x:v>8</x:v>
      </x:c>
      <x:c r="Z1663" s="6" t="str">
        <x:v>https://github.com/hagenhaeussler/Industrial-Agents-Hackathon-2026/blob/f41616590b69f3ea0c1cbfb41d6c35edd9ce53df/data/train/swiss-1928/questions_basic.jsonl#L8</x:v>
      </x:c>
      <x:c r="AA1663" s="6" t="str">
        <x:v>swiss_dwellings</x:v>
      </x:c>
      <x:c r="AB1663" s="6" t="str">
        <x:v>CC-BY-4.0</x:v>
      </x:c>
    </x:row>
    <x:row r="1664" ht="110" customHeight="1">
      <x:c r="A1664" s="14" t="n">
        <x:v>1659</x:v>
      </x:c>
      <x:c r="B1664" s="6" t="str">
        <x:v>route_step_free</x:v>
      </x:c>
      <x:c r="C1664" s="6" t="str">
        <x:v>Is there a step-free route from Bathroom 3.03 (apartment 7) (Floor 3) to Bedroom 0.17 (apartment 2) (Ground floor)?</x:v>
      </x:c>
      <x:c r="D1664" s="6" t="str">
        <x:v>76.9 m
From: Bathroom 3.03 (apartment 7)
To: Bedroom 0.17 (apartment 2)
Ordered path (10 spaces): Bathroom 3.03 (apartment 7) → Corridor 3.04 (apartment 7) → Stair hall 3.21 → Landing 2.20 → Landing 1.20 → Landing 0.19 → outside → Landing 0.20 → Corridor 0.10 (apartment 2) → Bedroom 0.17 (apartment 2)</x:v>
      </x:c>
      <x:c r="E1664" s="6" t="str">
        <x:v>Reference supplied</x:v>
      </x:c>
      <x:c r="F1664" s="6" t="str">
        <x:v>train</x:v>
      </x:c>
      <x:c r="G1664" s="6" t="str">
        <x:v>swiss-1936</x:v>
      </x:c>
      <x:c r="H1664" s="6" t="str">
        <x:v>swiss-1936-Q06</x:v>
      </x:c>
      <x:c r="I1664" s="6" t="str">
        <x:v>Route planning</x:v>
      </x:c>
      <x:c r="J1664" s="6" t="str">
        <x:v>Warm-up</x:v>
      </x:c>
      <x:c r="K1664" s="6" t="str">
        <x:v>Reachable: ordered path and metres. Unreachable: explicitly state no step-free route.</x:v>
      </x:c>
      <x:c r="L1664" s="6" t="str">
        <x:v>T02, T05, T13</x:v>
      </x:c>
      <x:c r="M1664" s="6" t="str">
        <x:v>Check whether a step-free route exists and give it when possible.</x:v>
      </x:c>
      <x:c r="N1664" s="6" t="str">
        <x:v>{"from_space_id":"swiss-1936-F3-S003","to_space_id":"swiss-1936-F0-S017","optimal_length_m":76.9,"space_path":["swiss-1936-F3-S003","swiss-1936-F3-S004","swiss-1936-F3-S021","swiss-1936-F2-S020","swiss-1936-F1-S020","swiss-1936-F0-S019","outside","swiss-1936-F0-S020","swiss-1936-F0-S010","swiss-1936-F0-S017"],"element_path":["swiss-1936-F3-O0061","swiss-1936-F3-O0061","swiss-1936-F3-O0065","swiss-1936-F3-O0065","swiss-1936-V02","swiss-1936-V02","swiss-1936-V02","swiss-1936-F0-O0080","swiss-1936-F0-O0080","swiss-1936-F0-O0081","swiss-1936-F0-O0081","swiss-1936-F0-O0012","swiss-1936-F0-O0012","swiss-1936-F0-O0013","swiss-1936-F0-O0013"]}</x:v>
      </x:c>
      <x:c r="O1664" s="6"/>
      <x:c r="P1664" s="6" t="str">
        <x:v>step_free=true. No stairs or stepped openings. May be unreachable.</x:v>
      </x:c>
      <x:c r="Q1664" s="15" t="n">
        <x:v>76.9</x:v>
      </x:c>
      <x:c r="R1664" s="6" t="str">
        <x:v>m</x:v>
      </x:c>
      <x:c r="S1664" s="16"/>
      <x:c r="T1664" s="15"/>
      <x:c r="U1664" s="6"/>
      <x:c r="V1664" s="6"/>
      <x:c r="W1664" s="6" t="str">
        <x:v>Existing find_route(step_free=true).</x:v>
      </x:c>
      <x:c r="X1664" s="6" t="str">
        <x:v>data/train/swiss-1936/questions_basic.jsonl</x:v>
      </x:c>
      <x:c r="Y1664" s="14" t="n">
        <x:v>6</x:v>
      </x:c>
      <x:c r="Z1664" s="6" t="str">
        <x:v>https://github.com/hagenhaeussler/Industrial-Agents-Hackathon-2026/blob/f41616590b69f3ea0c1cbfb41d6c35edd9ce53df/data/train/swiss-1936/questions_basic.jsonl#L6</x:v>
      </x:c>
      <x:c r="AA1664" s="6" t="str">
        <x:v>swiss_dwellings</x:v>
      </x:c>
      <x:c r="AB1664" s="6" t="str">
        <x:v>CC-BY-4.0</x:v>
      </x:c>
    </x:row>
    <x:row r="1665" ht="72" customHeight="1">
      <x:c r="A1665" s="14" t="n">
        <x:v>1660</x:v>
      </x:c>
      <x:c r="B1665" s="6" t="str">
        <x:v>route_step_free</x:v>
      </x:c>
      <x:c r="C1665" s="6" t="str">
        <x:v>Is there a step-free route from Bedroom 2.17 (apartment 11) (Floor 2) to Kitchen 1.02 (apartment 5) (Floor 1)?</x:v>
      </x:c>
      <x:c r="D1665" s="6" t="str">
        <x:v>No route under the requested constraints.
From: Bedroom 2.17 (apartment 11)
To: Kitchen 1.02 (apartment 5)</x:v>
      </x:c>
      <x:c r="E1665" s="6" t="str">
        <x:v>Reference supplied</x:v>
      </x:c>
      <x:c r="F1665" s="6" t="str">
        <x:v>train</x:v>
      </x:c>
      <x:c r="G1665" s="6" t="str">
        <x:v>swiss-1956</x:v>
      </x:c>
      <x:c r="H1665" s="6" t="str">
        <x:v>swiss-1956-Q05</x:v>
      </x:c>
      <x:c r="I1665" s="6" t="str">
        <x:v>Route planning</x:v>
      </x:c>
      <x:c r="J1665" s="6" t="str">
        <x:v>Warm-up</x:v>
      </x:c>
      <x:c r="K1665" s="6" t="str">
        <x:v>Reachable: ordered path and metres. Unreachable: explicitly state no step-free route.</x:v>
      </x:c>
      <x:c r="L1665" s="6" t="str">
        <x:v>T02, T05, T13</x:v>
      </x:c>
      <x:c r="M1665" s="6" t="str">
        <x:v>Check whether a step-free route exists and give it when possible.</x:v>
      </x:c>
      <x:c r="N1665" s="6" t="str">
        <x:v>{"from_space_id":"swiss-1956-F2-S017","to_space_id":"swiss-1956-F1-S002","reachable":false}</x:v>
      </x:c>
      <x:c r="O1665" s="6"/>
      <x:c r="P1665" s="6" t="str">
        <x:v>step_free=true. No stairs or stepped openings. May be unreachable.</x:v>
      </x:c>
      <x:c r="Q1665" s="15"/>
      <x:c r="R1665" s="6"/>
      <x:c r="S1665" s="16"/>
      <x:c r="T1665" s="15"/>
      <x:c r="U1665" s="6"/>
      <x:c r="V1665" s="6"/>
      <x:c r="W1665" s="6" t="str">
        <x:v>Existing find_route(step_free=true).</x:v>
      </x:c>
      <x:c r="X1665" s="6" t="str">
        <x:v>data/train/swiss-1956/questions_basic.jsonl</x:v>
      </x:c>
      <x:c r="Y1665" s="14" t="n">
        <x:v>5</x:v>
      </x:c>
      <x:c r="Z1665" s="6" t="str">
        <x:v>https://github.com/hagenhaeussler/Industrial-Agents-Hackathon-2026/blob/f41616590b69f3ea0c1cbfb41d6c35edd9ce53df/data/train/swiss-1956/questions_basic.jsonl#L5</x:v>
      </x:c>
      <x:c r="AA1665" s="6" t="str">
        <x:v>swiss_dwellings</x:v>
      </x:c>
      <x:c r="AB1665" s="6" t="str">
        <x:v>CC-BY-4.0</x:v>
      </x:c>
    </x:row>
    <x:row r="1666" ht="72" customHeight="1">
      <x:c r="A1666" s="14" t="n">
        <x:v>1661</x:v>
      </x:c>
      <x:c r="B1666" s="6" t="str">
        <x:v>route_step_free</x:v>
      </x:c>
      <x:c r="C1666" s="6" t="str">
        <x:v>Is there a step-free route from Bedroom 0.19 (apartment 6) (Ground floor) to Bathroom 2.34 (apartment 15) (Floor 2)?</x:v>
      </x:c>
      <x:c r="D1666" s="6" t="str">
        <x:v>No route under the requested constraints.
From: Bedroom 0.19 (apartment 6)
To: Bathroom 2.34 (apartment 15)</x:v>
      </x:c>
      <x:c r="E1666" s="6" t="str">
        <x:v>Reference supplied</x:v>
      </x:c>
      <x:c r="F1666" s="6" t="str">
        <x:v>train</x:v>
      </x:c>
      <x:c r="G1666" s="6" t="str">
        <x:v>swiss-1970</x:v>
      </x:c>
      <x:c r="H1666" s="6" t="str">
        <x:v>swiss-1970-Q08</x:v>
      </x:c>
      <x:c r="I1666" s="6" t="str">
        <x:v>Route planning</x:v>
      </x:c>
      <x:c r="J1666" s="6" t="str">
        <x:v>Warm-up</x:v>
      </x:c>
      <x:c r="K1666" s="6" t="str">
        <x:v>Reachable: ordered path and metres. Unreachable: explicitly state no step-free route.</x:v>
      </x:c>
      <x:c r="L1666" s="6" t="str">
        <x:v>T02, T05, T13</x:v>
      </x:c>
      <x:c r="M1666" s="6" t="str">
        <x:v>Check whether a step-free route exists and give it when possible.</x:v>
      </x:c>
      <x:c r="N1666" s="6" t="str">
        <x:v>{"from_space_id":"swiss-1970-F0-S019","to_space_id":"swiss-1970-F2-S034","reachable":false}</x:v>
      </x:c>
      <x:c r="O1666" s="6"/>
      <x:c r="P1666" s="6" t="str">
        <x:v>step_free=true. No stairs or stepped openings. May be unreachable.</x:v>
      </x:c>
      <x:c r="Q1666" s="15"/>
      <x:c r="R1666" s="6"/>
      <x:c r="S1666" s="16"/>
      <x:c r="T1666" s="15"/>
      <x:c r="U1666" s="6"/>
      <x:c r="V1666" s="6"/>
      <x:c r="W1666" s="6" t="str">
        <x:v>Existing find_route(step_free=true).</x:v>
      </x:c>
      <x:c r="X1666" s="6" t="str">
        <x:v>data/train/swiss-1970/questions_basic.jsonl</x:v>
      </x:c>
      <x:c r="Y1666" s="14" t="n">
        <x:v>8</x:v>
      </x:c>
      <x:c r="Z1666" s="6" t="str">
        <x:v>https://github.com/hagenhaeussler/Industrial-Agents-Hackathon-2026/blob/f41616590b69f3ea0c1cbfb41d6c35edd9ce53df/data/train/swiss-1970/questions_basic.jsonl#L8</x:v>
      </x:c>
      <x:c r="AA1666" s="6" t="str">
        <x:v>swiss_dwellings</x:v>
      </x:c>
      <x:c r="AB1666" s="6" t="str">
        <x:v>CC-BY-4.0</x:v>
      </x:c>
    </x:row>
    <x:row r="1667" ht="110" customHeight="1">
      <x:c r="A1667" s="14" t="n">
        <x:v>1662</x:v>
      </x:c>
      <x:c r="B1667" s="6" t="str">
        <x:v>route_step_free</x:v>
      </x:c>
      <x:c r="C1667" s="6" t="str">
        <x:v>Is there a step-free route from Bathroom 0.31 (apartment 4) (Ground floor) to Bedroom 1.09 (apartment 5) (Floor 1)?</x:v>
      </x:c>
      <x:c r="D1667" s="6" t="str">
        <x:v>37.9 m
From: Bathroom 0.31 (apartment 4)
To: Bedroom 1.09 (apartment 5)
Ordered path (9 spaces): Bathroom 0.31 (apartment 4) → Corridor 0.30 (apartment 4) → Landing 0.38 → outside → Landing 0.35 → Landing 1.38 → Landing 1.35 → Corridor 1.06 (apartment 5) → Bedroom 1.09 (apartment 5)</x:v>
      </x:c>
      <x:c r="E1667" s="6" t="str">
        <x:v>Reference supplied</x:v>
      </x:c>
      <x:c r="F1667" s="6" t="str">
        <x:v>train</x:v>
      </x:c>
      <x:c r="G1667" s="6" t="str">
        <x:v>swiss-2049</x:v>
      </x:c>
      <x:c r="H1667" s="6" t="str">
        <x:v>swiss-2049-Q05</x:v>
      </x:c>
      <x:c r="I1667" s="6" t="str">
        <x:v>Route planning</x:v>
      </x:c>
      <x:c r="J1667" s="6" t="str">
        <x:v>Warm-up</x:v>
      </x:c>
      <x:c r="K1667" s="6" t="str">
        <x:v>Reachable: ordered path and metres. Unreachable: explicitly state no step-free route.</x:v>
      </x:c>
      <x:c r="L1667" s="6" t="str">
        <x:v>T02, T05, T13</x:v>
      </x:c>
      <x:c r="M1667" s="6" t="str">
        <x:v>Check whether a step-free route exists and give it when possible.</x:v>
      </x:c>
      <x:c r="N1667" s="6" t="str">
        <x:v>{"from_space_id":"swiss-2049-F0-S031","to_space_id":"swiss-2049-F1-S009","optimal_length_m":37.9,"space_path":["swiss-2049-F0-S031","swiss-2049-F0-S030","swiss-2049-F0-S038","outside","swiss-2049-F0-S035","swiss-2049-F1-S038","swiss-2049-F1-S035","swiss-2049-F1-S006","swiss-2049-F1-S009"],"element_path":["swiss-2049-F0-O0033","swiss-2049-F0-O0033","swiss-2049-F0-O0036","swiss-2049-F0-O0036","swiss-2049-F0-O0184","swiss-2049-F0-O0184","swiss-2049-F0-O0181","swiss-2049-F0-O0181","swiss-2049-V02","swiss-2049-F1-O0037","swiss-2049-F1-O0037","swiss-2049-F1-O0045","swiss-2049-F1-O0045","swiss-2049-F1-O0044","swiss-2049-F1-O0044"]}</x:v>
      </x:c>
      <x:c r="O1667" s="6"/>
      <x:c r="P1667" s="6" t="str">
        <x:v>step_free=true. No stairs or stepped openings. May be unreachable.</x:v>
      </x:c>
      <x:c r="Q1667" s="15" t="n">
        <x:v>37.9</x:v>
      </x:c>
      <x:c r="R1667" s="6" t="str">
        <x:v>m</x:v>
      </x:c>
      <x:c r="S1667" s="16"/>
      <x:c r="T1667" s="15"/>
      <x:c r="U1667" s="6"/>
      <x:c r="V1667" s="6"/>
      <x:c r="W1667" s="6" t="str">
        <x:v>Existing find_route(step_free=true).</x:v>
      </x:c>
      <x:c r="X1667" s="6" t="str">
        <x:v>data/train/swiss-2049/questions_basic.jsonl</x:v>
      </x:c>
      <x:c r="Y1667" s="14" t="n">
        <x:v>5</x:v>
      </x:c>
      <x:c r="Z1667" s="6" t="str">
        <x:v>https://github.com/hagenhaeussler/Industrial-Agents-Hackathon-2026/blob/f41616590b69f3ea0c1cbfb41d6c35edd9ce53df/data/train/swiss-2049/questions_basic.jsonl#L5</x:v>
      </x:c>
      <x:c r="AA1667" s="6" t="str">
        <x:v>swiss_dwellings</x:v>
      </x:c>
      <x:c r="AB1667" s="6" t="str">
        <x:v>CC-BY-4.0</x:v>
      </x:c>
    </x:row>
    <x:row r="1668" ht="110" customHeight="1">
      <x:c r="A1668" s="14" t="n">
        <x:v>1663</x:v>
      </x:c>
      <x:c r="B1668" s="6" t="str">
        <x:v>route_step_free</x:v>
      </x:c>
      <x:c r="C1668" s="6" t="str">
        <x:v>Is there a step-free route from Bathroom 4.18 (apartment 10) (Floor 4) to Bedroom 1.11 (apartment 3) (Floor 1)?</x:v>
      </x:c>
      <x:c r="D1668" s="6" t="str">
        <x:v>88.17 m
From: Bathroom 4.18 (apartment 10)
To: Bedroom 1.11 (apartment 3)
Ordered path (9 spaces): Bathroom 4.18 (apartment 10) → Corridor 4.22 (apartment 10) → Landing 4.27 → Stair hall 3.27 → Stair hall 2.27 → Stair hall 1.27 → Landing 1.28 → Corridor 1.12 (apartment 3) → Bedroom 1.11 (apartment 3)</x:v>
      </x:c>
      <x:c r="E1668" s="6" t="str">
        <x:v>Reference supplied</x:v>
      </x:c>
      <x:c r="F1668" s="6" t="str">
        <x:v>train</x:v>
      </x:c>
      <x:c r="G1668" s="6" t="str">
        <x:v>swiss-2084</x:v>
      </x:c>
      <x:c r="H1668" s="6" t="str">
        <x:v>swiss-2084-Q05</x:v>
      </x:c>
      <x:c r="I1668" s="6" t="str">
        <x:v>Route planning</x:v>
      </x:c>
      <x:c r="J1668" s="6" t="str">
        <x:v>Warm-up</x:v>
      </x:c>
      <x:c r="K1668" s="6" t="str">
        <x:v>Reachable: ordered path and metres. Unreachable: explicitly state no step-free route.</x:v>
      </x:c>
      <x:c r="L1668" s="6" t="str">
        <x:v>T02, T05, T13</x:v>
      </x:c>
      <x:c r="M1668" s="6" t="str">
        <x:v>Check whether a step-free route exists and give it when possible.</x:v>
      </x:c>
      <x:c r="N1668" s="6" t="str">
        <x:v>{"from_space_id":"swiss-2084-F4-S018","to_space_id":"swiss-2084-F1-S011","optimal_length_m":88.17,"space_path":["swiss-2084-F4-S018","swiss-2084-F4-S022","swiss-2084-F4-S027","swiss-2084-F3-S027","swiss-2084-F2-S027","swiss-2084-F1-S027","swiss-2084-F1-S028","swiss-2084-F1-S012","swiss-2084-F1-S011"],"element_path":["swiss-2084-F4-O0134","swiss-2084-F4-O0134","swiss-2084-F4-O0136","swiss-2084-F4-O0136","swiss-2084-V02","swiss-2084-V02","swiss-2084-V02","swiss-2084-F1-O0027","swiss-2084-F1-O0027","swiss-2084-F1-O0032","swiss-2084-F1-O0032","swiss-2084-F1-O0035","swiss-2084-F1-O0035"]}</x:v>
      </x:c>
      <x:c r="O1668" s="6"/>
      <x:c r="P1668" s="6" t="str">
        <x:v>step_free=true. No stairs or stepped openings. May be unreachable.</x:v>
      </x:c>
      <x:c r="Q1668" s="15" t="n">
        <x:v>88.17</x:v>
      </x:c>
      <x:c r="R1668" s="6" t="str">
        <x:v>m</x:v>
      </x:c>
      <x:c r="S1668" s="16"/>
      <x:c r="T1668" s="15"/>
      <x:c r="U1668" s="6"/>
      <x:c r="V1668" s="6"/>
      <x:c r="W1668" s="6" t="str">
        <x:v>Existing find_route(step_free=true).</x:v>
      </x:c>
      <x:c r="X1668" s="6" t="str">
        <x:v>data/train/swiss-2084/questions_basic.jsonl</x:v>
      </x:c>
      <x:c r="Y1668" s="14" t="n">
        <x:v>5</x:v>
      </x:c>
      <x:c r="Z1668" s="6" t="str">
        <x:v>https://github.com/hagenhaeussler/Industrial-Agents-Hackathon-2026/blob/f41616590b69f3ea0c1cbfb41d6c35edd9ce53df/data/train/swiss-2084/questions_basic.jsonl#L5</x:v>
      </x:c>
      <x:c r="AA1668" s="6" t="str">
        <x:v>swiss_dwellings</x:v>
      </x:c>
      <x:c r="AB1668" s="6" t="str">
        <x:v>CC-BY-4.0</x:v>
      </x:c>
    </x:row>
    <x:row r="1669" ht="110" customHeight="1">
      <x:c r="A1669" s="14" t="n">
        <x:v>1664</x:v>
      </x:c>
      <x:c r="B1669" s="6" t="str">
        <x:v>route_step_free</x:v>
      </x:c>
      <x:c r="C1669" s="6" t="str">
        <x:v>Is there a step-free route from Bathroom 3.38 (apartment 23) (Floor 3) to Living room 0.26 (apartment 3) (Ground floor)?</x:v>
      </x:c>
      <x:c r="D1669" s="6" t="str">
        <x:v>82.7 m
From: Bathroom 3.38 (apartment 23)
To: Living room 0.26 (apartment 3)
Ordered path (8 spaces): Bathroom 3.38 (apartment 23) → Corridor 3.40 (apartment 23) → Stair hall 3.55 → Stair hall 2.55 → Stair hall 1.55 → Stair hall 0.54 → Corridor 0.21 (apartment 3) → Living room 0.26 (apartment 3)</x:v>
      </x:c>
      <x:c r="E1669" s="6" t="str">
        <x:v>Reference supplied</x:v>
      </x:c>
      <x:c r="F1669" s="6" t="str">
        <x:v>train</x:v>
      </x:c>
      <x:c r="G1669" s="6" t="str">
        <x:v>swiss-210</x:v>
      </x:c>
      <x:c r="H1669" s="6" t="str">
        <x:v>swiss-210-Q06</x:v>
      </x:c>
      <x:c r="I1669" s="6" t="str">
        <x:v>Route planning</x:v>
      </x:c>
      <x:c r="J1669" s="6" t="str">
        <x:v>Warm-up</x:v>
      </x:c>
      <x:c r="K1669" s="6" t="str">
        <x:v>Reachable: ordered path and metres. Unreachable: explicitly state no step-free route.</x:v>
      </x:c>
      <x:c r="L1669" s="6" t="str">
        <x:v>T02, T05, T13</x:v>
      </x:c>
      <x:c r="M1669" s="6" t="str">
        <x:v>Check whether a step-free route exists and give it when possible.</x:v>
      </x:c>
      <x:c r="N1669" s="6" t="str">
        <x:v>{"from_space_id":"swiss-210-F3-S038","to_space_id":"swiss-210-F0-S026","optimal_length_m":82.7,"space_path":["swiss-210-F3-S038","swiss-210-F3-S040","swiss-210-F3-S055","swiss-210-F2-S055","swiss-210-F1-S055","swiss-210-F0-S054","swiss-210-F0-S021","swiss-210-F0-S026"],"element_path":["swiss-210-F3-O0248","swiss-210-F3-O0248","swiss-210-F3-O0242","swiss-210-F3-O0242","swiss-210-V02","swiss-210-V02","swiss-210-V02","swiss-210-F0-O0008","swiss-210-F0-O0008","swiss-210-F0-O0058","swiss-210-F0-O0058"]}</x:v>
      </x:c>
      <x:c r="O1669" s="6"/>
      <x:c r="P1669" s="6" t="str">
        <x:v>step_free=true. No stairs or stepped openings. May be unreachable.</x:v>
      </x:c>
      <x:c r="Q1669" s="15" t="n">
        <x:v>82.7</x:v>
      </x:c>
      <x:c r="R1669" s="6" t="str">
        <x:v>m</x:v>
      </x:c>
      <x:c r="S1669" s="16"/>
      <x:c r="T1669" s="15"/>
      <x:c r="U1669" s="6"/>
      <x:c r="V1669" s="6"/>
      <x:c r="W1669" s="6" t="str">
        <x:v>Existing find_route(step_free=true).</x:v>
      </x:c>
      <x:c r="X1669" s="6" t="str">
        <x:v>data/train/swiss-210/questions_basic.jsonl</x:v>
      </x:c>
      <x:c r="Y1669" s="14" t="n">
        <x:v>6</x:v>
      </x:c>
      <x:c r="Z1669" s="6" t="str">
        <x:v>https://github.com/hagenhaeussler/Industrial-Agents-Hackathon-2026/blob/f41616590b69f3ea0c1cbfb41d6c35edd9ce53df/data/train/swiss-210/questions_basic.jsonl#L6</x:v>
      </x:c>
      <x:c r="AA1669" s="6" t="str">
        <x:v>swiss_dwellings</x:v>
      </x:c>
      <x:c r="AB1669" s="6" t="str">
        <x:v>CC-BY-4.0</x:v>
      </x:c>
    </x:row>
    <x:row r="1670" ht="72" customHeight="1">
      <x:c r="A1670" s="14" t="n">
        <x:v>1665</x:v>
      </x:c>
      <x:c r="B1670" s="6" t="str">
        <x:v>route_step_free</x:v>
      </x:c>
      <x:c r="C1670" s="6" t="str">
        <x:v>Is there a step-free route from Bedroom 3.20 (apartment 12) (Floor 3) to Kitchen 2.17 (apartment 9) (Floor 2)?</x:v>
      </x:c>
      <x:c r="D1670" s="6" t="str">
        <x:v>No route under the requested constraints.
From: Bedroom 3.20 (apartment 12)
To: Kitchen 2.17 (apartment 9)</x:v>
      </x:c>
      <x:c r="E1670" s="6" t="str">
        <x:v>Reference supplied</x:v>
      </x:c>
      <x:c r="F1670" s="6" t="str">
        <x:v>train</x:v>
      </x:c>
      <x:c r="G1670" s="6" t="str">
        <x:v>swiss-22</x:v>
      </x:c>
      <x:c r="H1670" s="6" t="str">
        <x:v>swiss-22-Q05</x:v>
      </x:c>
      <x:c r="I1670" s="6" t="str">
        <x:v>Route planning</x:v>
      </x:c>
      <x:c r="J1670" s="6" t="str">
        <x:v>Warm-up</x:v>
      </x:c>
      <x:c r="K1670" s="6" t="str">
        <x:v>Reachable: ordered path and metres. Unreachable: explicitly state no step-free route.</x:v>
      </x:c>
      <x:c r="L1670" s="6" t="str">
        <x:v>T02, T05, T13</x:v>
      </x:c>
      <x:c r="M1670" s="6" t="str">
        <x:v>Check whether a step-free route exists and give it when possible.</x:v>
      </x:c>
      <x:c r="N1670" s="6" t="str">
        <x:v>{"from_space_id":"swiss-22-F3-S020","to_space_id":"swiss-22-F2-S017","reachable":false}</x:v>
      </x:c>
      <x:c r="O1670" s="6"/>
      <x:c r="P1670" s="6" t="str">
        <x:v>step_free=true. No stairs or stepped openings. May be unreachable.</x:v>
      </x:c>
      <x:c r="Q1670" s="15"/>
      <x:c r="R1670" s="6"/>
      <x:c r="S1670" s="16"/>
      <x:c r="T1670" s="15"/>
      <x:c r="U1670" s="6"/>
      <x:c r="V1670" s="6"/>
      <x:c r="W1670" s="6" t="str">
        <x:v>Existing find_route(step_free=true).</x:v>
      </x:c>
      <x:c r="X1670" s="6" t="str">
        <x:v>data/train/swiss-22/questions_basic.jsonl</x:v>
      </x:c>
      <x:c r="Y1670" s="14" t="n">
        <x:v>5</x:v>
      </x:c>
      <x:c r="Z1670" s="6" t="str">
        <x:v>https://github.com/hagenhaeussler/Industrial-Agents-Hackathon-2026/blob/f41616590b69f3ea0c1cbfb41d6c35edd9ce53df/data/train/swiss-22/questions_basic.jsonl#L5</x:v>
      </x:c>
      <x:c r="AA1670" s="6" t="str">
        <x:v>swiss_dwellings</x:v>
      </x:c>
      <x:c r="AB1670" s="6" t="str">
        <x:v>CC-BY-4.0</x:v>
      </x:c>
    </x:row>
    <x:row r="1671" ht="72" customHeight="1">
      <x:c r="A1671" s="14" t="n">
        <x:v>1666</x:v>
      </x:c>
      <x:c r="B1671" s="6" t="str">
        <x:v>route_step_free</x:v>
      </x:c>
      <x:c r="C1671" s="6" t="str">
        <x:v>Is there a step-free route from Bedroom 3.02 (apartment 21) (Floor 3) to Bathroom 0.33 (apartment 5) (Ground floor)?</x:v>
      </x:c>
      <x:c r="D1671" s="6" t="str">
        <x:v>No route under the requested constraints.
From: Bedroom 3.02 (apartment 21)
To: Bathroom 0.33 (apartment 5)</x:v>
      </x:c>
      <x:c r="E1671" s="6" t="str">
        <x:v>Reference supplied</x:v>
      </x:c>
      <x:c r="F1671" s="6" t="str">
        <x:v>train</x:v>
      </x:c>
      <x:c r="G1671" s="6" t="str">
        <x:v>swiss-2214</x:v>
      </x:c>
      <x:c r="H1671" s="6" t="str">
        <x:v>swiss-2214-Q05</x:v>
      </x:c>
      <x:c r="I1671" s="6" t="str">
        <x:v>Route planning</x:v>
      </x:c>
      <x:c r="J1671" s="6" t="str">
        <x:v>Warm-up</x:v>
      </x:c>
      <x:c r="K1671" s="6" t="str">
        <x:v>Reachable: ordered path and metres. Unreachable: explicitly state no step-free route.</x:v>
      </x:c>
      <x:c r="L1671" s="6" t="str">
        <x:v>T02, T05, T13</x:v>
      </x:c>
      <x:c r="M1671" s="6" t="str">
        <x:v>Check whether a step-free route exists and give it when possible.</x:v>
      </x:c>
      <x:c r="N1671" s="6" t="str">
        <x:v>{"from_space_id":"swiss-2214-F3-S002","to_space_id":"swiss-2214-F0-S033","reachable":false}</x:v>
      </x:c>
      <x:c r="O1671" s="6"/>
      <x:c r="P1671" s="6" t="str">
        <x:v>step_free=true. No stairs or stepped openings. May be unreachable.</x:v>
      </x:c>
      <x:c r="Q1671" s="15"/>
      <x:c r="R1671" s="6"/>
      <x:c r="S1671" s="16"/>
      <x:c r="T1671" s="15"/>
      <x:c r="U1671" s="6"/>
      <x:c r="V1671" s="6"/>
      <x:c r="W1671" s="6" t="str">
        <x:v>Existing find_route(step_free=true).</x:v>
      </x:c>
      <x:c r="X1671" s="6" t="str">
        <x:v>data/train/swiss-2214/questions_basic.jsonl</x:v>
      </x:c>
      <x:c r="Y1671" s="14" t="n">
        <x:v>5</x:v>
      </x:c>
      <x:c r="Z1671" s="6" t="str">
        <x:v>https://github.com/hagenhaeussler/Industrial-Agents-Hackathon-2026/blob/f41616590b69f3ea0c1cbfb41d6c35edd9ce53df/data/train/swiss-2214/questions_basic.jsonl#L5</x:v>
      </x:c>
      <x:c r="AA1671" s="6" t="str">
        <x:v>swiss_dwellings</x:v>
      </x:c>
      <x:c r="AB1671" s="6" t="str">
        <x:v>CC-BY-4.0</x:v>
      </x:c>
    </x:row>
    <x:row r="1672" ht="72" customHeight="1">
      <x:c r="A1672" s="14" t="n">
        <x:v>1667</x:v>
      </x:c>
      <x:c r="B1672" s="6" t="str">
        <x:v>route_step_free</x:v>
      </x:c>
      <x:c r="C1672" s="6" t="str">
        <x:v>Is there a step-free route from Bathroom 1.24 (apartment 8) (Floor 1) to Living room 3.24 (apartment 16) (Floor 3)?</x:v>
      </x:c>
      <x:c r="D1672" s="6" t="str">
        <x:v>No route under the requested constraints.
From: Bathroom 1.24 (apartment 8)
To: Living room 3.24 (apartment 16)</x:v>
      </x:c>
      <x:c r="E1672" s="6" t="str">
        <x:v>Reference supplied</x:v>
      </x:c>
      <x:c r="F1672" s="6" t="str">
        <x:v>train</x:v>
      </x:c>
      <x:c r="G1672" s="6" t="str">
        <x:v>swiss-2216</x:v>
      </x:c>
      <x:c r="H1672" s="6" t="str">
        <x:v>swiss-2216-Q06</x:v>
      </x:c>
      <x:c r="I1672" s="6" t="str">
        <x:v>Route planning</x:v>
      </x:c>
      <x:c r="J1672" s="6" t="str">
        <x:v>Warm-up</x:v>
      </x:c>
      <x:c r="K1672" s="6" t="str">
        <x:v>Reachable: ordered path and metres. Unreachable: explicitly state no step-free route.</x:v>
      </x:c>
      <x:c r="L1672" s="6" t="str">
        <x:v>T02, T05, T13</x:v>
      </x:c>
      <x:c r="M1672" s="6" t="str">
        <x:v>Check whether a step-free route exists and give it when possible.</x:v>
      </x:c>
      <x:c r="N1672" s="6" t="str">
        <x:v>{"from_space_id":"swiss-2216-F1-S024","to_space_id":"swiss-2216-F3-S024","reachable":false}</x:v>
      </x:c>
      <x:c r="O1672" s="6"/>
      <x:c r="P1672" s="6" t="str">
        <x:v>step_free=true. No stairs or stepped openings. May be unreachable.</x:v>
      </x:c>
      <x:c r="Q1672" s="15"/>
      <x:c r="R1672" s="6"/>
      <x:c r="S1672" s="16"/>
      <x:c r="T1672" s="15"/>
      <x:c r="U1672" s="6"/>
      <x:c r="V1672" s="6"/>
      <x:c r="W1672" s="6" t="str">
        <x:v>Existing find_route(step_free=true).</x:v>
      </x:c>
      <x:c r="X1672" s="6" t="str">
        <x:v>data/train/swiss-2216/questions_basic.jsonl</x:v>
      </x:c>
      <x:c r="Y1672" s="14" t="n">
        <x:v>6</x:v>
      </x:c>
      <x:c r="Z1672" s="6" t="str">
        <x:v>https://github.com/hagenhaeussler/Industrial-Agents-Hackathon-2026/blob/f41616590b69f3ea0c1cbfb41d6c35edd9ce53df/data/train/swiss-2216/questions_basic.jsonl#L6</x:v>
      </x:c>
      <x:c r="AA1672" s="6" t="str">
        <x:v>swiss_dwellings</x:v>
      </x:c>
      <x:c r="AB1672" s="6" t="str">
        <x:v>CC-BY-4.0</x:v>
      </x:c>
    </x:row>
    <x:row r="1673" ht="72" customHeight="1">
      <x:c r="A1673" s="14" t="n">
        <x:v>1668</x:v>
      </x:c>
      <x:c r="B1673" s="6" t="str">
        <x:v>route_step_free</x:v>
      </x:c>
      <x:c r="C1673" s="6" t="str">
        <x:v>Is there a step-free route from Bedroom 2.03 (apartment 5) (Floor 2) to Bedroom 3.13 (apartment 8) (Floor 3)?</x:v>
      </x:c>
      <x:c r="D1673" s="6" t="str">
        <x:v>No route under the requested constraints.
From: Bedroom 2.03 (apartment 5)
To: Bedroom 3.13 (apartment 8)</x:v>
      </x:c>
      <x:c r="E1673" s="6" t="str">
        <x:v>Reference supplied</x:v>
      </x:c>
      <x:c r="F1673" s="6" t="str">
        <x:v>train</x:v>
      </x:c>
      <x:c r="G1673" s="6" t="str">
        <x:v>swiss-2221</x:v>
      </x:c>
      <x:c r="H1673" s="6" t="str">
        <x:v>swiss-2221-Q08</x:v>
      </x:c>
      <x:c r="I1673" s="6" t="str">
        <x:v>Route planning</x:v>
      </x:c>
      <x:c r="J1673" s="6" t="str">
        <x:v>Warm-up</x:v>
      </x:c>
      <x:c r="K1673" s="6" t="str">
        <x:v>Reachable: ordered path and metres. Unreachable: explicitly state no step-free route.</x:v>
      </x:c>
      <x:c r="L1673" s="6" t="str">
        <x:v>T02, T05, T13</x:v>
      </x:c>
      <x:c r="M1673" s="6" t="str">
        <x:v>Check whether a step-free route exists and give it when possible.</x:v>
      </x:c>
      <x:c r="N1673" s="6" t="str">
        <x:v>{"from_space_id":"swiss-2221-F2-S003","to_space_id":"swiss-2221-F3-S013","reachable":false}</x:v>
      </x:c>
      <x:c r="O1673" s="6"/>
      <x:c r="P1673" s="6" t="str">
        <x:v>step_free=true. No stairs or stepped openings. May be unreachable.</x:v>
      </x:c>
      <x:c r="Q1673" s="15"/>
      <x:c r="R1673" s="6"/>
      <x:c r="S1673" s="16"/>
      <x:c r="T1673" s="15"/>
      <x:c r="U1673" s="6"/>
      <x:c r="V1673" s="6"/>
      <x:c r="W1673" s="6" t="str">
        <x:v>Existing find_route(step_free=true).</x:v>
      </x:c>
      <x:c r="X1673" s="6" t="str">
        <x:v>data/train/swiss-2221/questions_basic.jsonl</x:v>
      </x:c>
      <x:c r="Y1673" s="14" t="n">
        <x:v>8</x:v>
      </x:c>
      <x:c r="Z1673" s="6" t="str">
        <x:v>https://github.com/hagenhaeussler/Industrial-Agents-Hackathon-2026/blob/f41616590b69f3ea0c1cbfb41d6c35edd9ce53df/data/train/swiss-2221/questions_basic.jsonl#L8</x:v>
      </x:c>
      <x:c r="AA1673" s="6" t="str">
        <x:v>swiss_dwellings</x:v>
      </x:c>
      <x:c r="AB1673" s="6" t="str">
        <x:v>CC-BY-4.0</x:v>
      </x:c>
    </x:row>
    <x:row r="1674" ht="72" customHeight="1">
      <x:c r="A1674" s="14" t="n">
        <x:v>1669</x:v>
      </x:c>
      <x:c r="B1674" s="6" t="str">
        <x:v>route_step_free</x:v>
      </x:c>
      <x:c r="C1674" s="6" t="str">
        <x:v>Is there a step-free route from Bedroom 2.04 (apartment 13) (Floor 2) to Kitchen 3.45 (apartment 24) (Floor 3)?</x:v>
      </x:c>
      <x:c r="D1674" s="6" t="str">
        <x:v>No route under the requested constraints.
From: Bedroom 2.04 (apartment 13)
To: Kitchen 3.45 (apartment 24)</x:v>
      </x:c>
      <x:c r="E1674" s="6" t="str">
        <x:v>Reference supplied</x:v>
      </x:c>
      <x:c r="F1674" s="6" t="str">
        <x:v>train</x:v>
      </x:c>
      <x:c r="G1674" s="6" t="str">
        <x:v>swiss-2235</x:v>
      </x:c>
      <x:c r="H1674" s="6" t="str">
        <x:v>swiss-2235-Q06</x:v>
      </x:c>
      <x:c r="I1674" s="6" t="str">
        <x:v>Route planning</x:v>
      </x:c>
      <x:c r="J1674" s="6" t="str">
        <x:v>Warm-up</x:v>
      </x:c>
      <x:c r="K1674" s="6" t="str">
        <x:v>Reachable: ordered path and metres. Unreachable: explicitly state no step-free route.</x:v>
      </x:c>
      <x:c r="L1674" s="6" t="str">
        <x:v>T02, T05, T13</x:v>
      </x:c>
      <x:c r="M1674" s="6" t="str">
        <x:v>Check whether a step-free route exists and give it when possible.</x:v>
      </x:c>
      <x:c r="N1674" s="6" t="str">
        <x:v>{"from_space_id":"swiss-2235-F2-S004","to_space_id":"swiss-2235-F3-S045","reachable":false}</x:v>
      </x:c>
      <x:c r="O1674" s="6"/>
      <x:c r="P1674" s="6" t="str">
        <x:v>step_free=true. No stairs or stepped openings. May be unreachable.</x:v>
      </x:c>
      <x:c r="Q1674" s="15"/>
      <x:c r="R1674" s="6"/>
      <x:c r="S1674" s="16"/>
      <x:c r="T1674" s="15"/>
      <x:c r="U1674" s="6"/>
      <x:c r="V1674" s="6"/>
      <x:c r="W1674" s="6" t="str">
        <x:v>Existing find_route(step_free=true).</x:v>
      </x:c>
      <x:c r="X1674" s="6" t="str">
        <x:v>data/train/swiss-2235/questions_basic.jsonl</x:v>
      </x:c>
      <x:c r="Y1674" s="14" t="n">
        <x:v>6</x:v>
      </x:c>
      <x:c r="Z1674" s="6" t="str">
        <x:v>https://github.com/hagenhaeussler/Industrial-Agents-Hackathon-2026/blob/f41616590b69f3ea0c1cbfb41d6c35edd9ce53df/data/train/swiss-2235/questions_basic.jsonl#L6</x:v>
      </x:c>
      <x:c r="AA1674" s="6" t="str">
        <x:v>swiss_dwellings</x:v>
      </x:c>
      <x:c r="AB1674" s="6" t="str">
        <x:v>CC-BY-4.0</x:v>
      </x:c>
    </x:row>
    <x:row r="1675" ht="96" customHeight="1">
      <x:c r="A1675" s="14" t="n">
        <x:v>1670</x:v>
      </x:c>
      <x:c r="B1675" s="6" t="str">
        <x:v>route_step_free</x:v>
      </x:c>
      <x:c r="C1675" s="6" t="str">
        <x:v>Is there a step-free route from Kitchen 2.13 (apartment 16) (Floor 2) to Bedroom 0.43 (apartment 6) (Ground floor)?</x:v>
      </x:c>
      <x:c r="D1675" s="6" t="str">
        <x:v>57.5 m
From: Kitchen 2.13 (apartment 16)
To: Bedroom 0.43 (apartment 6)
Ordered path (7 spaces): Kitchen 2.13 (apartment 16) → Corridor 2.10 (apartment 16) → Stair hall 2.60 → Stair hall 1.60 → Landing 0.60 → Corridor 0.46 (apartment 6) → Bedroom 0.43 (apartment 6)</x:v>
      </x:c>
      <x:c r="E1675" s="6" t="str">
        <x:v>Reference supplied</x:v>
      </x:c>
      <x:c r="F1675" s="6" t="str">
        <x:v>train</x:v>
      </x:c>
      <x:c r="G1675" s="6" t="str">
        <x:v>swiss-2274</x:v>
      </x:c>
      <x:c r="H1675" s="6" t="str">
        <x:v>swiss-2274-Q06</x:v>
      </x:c>
      <x:c r="I1675" s="6" t="str">
        <x:v>Route planning</x:v>
      </x:c>
      <x:c r="J1675" s="6" t="str">
        <x:v>Warm-up</x:v>
      </x:c>
      <x:c r="K1675" s="6" t="str">
        <x:v>Reachable: ordered path and metres. Unreachable: explicitly state no step-free route.</x:v>
      </x:c>
      <x:c r="L1675" s="6" t="str">
        <x:v>T02, T05, T13</x:v>
      </x:c>
      <x:c r="M1675" s="6" t="str">
        <x:v>Check whether a step-free route exists and give it when possible.</x:v>
      </x:c>
      <x:c r="N1675" s="6" t="str">
        <x:v>{"from_space_id":"swiss-2274-F2-S013","to_space_id":"swiss-2274-F0-S043","optimal_length_m":57.5,"space_path":["swiss-2274-F2-S013","swiss-2274-F2-S010","swiss-2274-F2-S060","swiss-2274-F1-S060","swiss-2274-F0-S060","swiss-2274-F0-S046","swiss-2274-F0-S043"],"element_path":["swiss-2274-F2-O0146","swiss-2274-F2-O0146","swiss-2274-F2-O0141","swiss-2274-F2-O0141","swiss-2274-V02","swiss-2274-V02","swiss-2274-F0-O0049","swiss-2274-F0-O0049","swiss-2274-F0-O0051","swiss-2274-F0-O0051"]}</x:v>
      </x:c>
      <x:c r="O1675" s="6"/>
      <x:c r="P1675" s="6" t="str">
        <x:v>step_free=true. No stairs or stepped openings. May be unreachable.</x:v>
      </x:c>
      <x:c r="Q1675" s="15" t="n">
        <x:v>57.5</x:v>
      </x:c>
      <x:c r="R1675" s="6" t="str">
        <x:v>m</x:v>
      </x:c>
      <x:c r="S1675" s="16"/>
      <x:c r="T1675" s="15"/>
      <x:c r="U1675" s="6"/>
      <x:c r="V1675" s="6"/>
      <x:c r="W1675" s="6" t="str">
        <x:v>Existing find_route(step_free=true).</x:v>
      </x:c>
      <x:c r="X1675" s="6" t="str">
        <x:v>data/train/swiss-2274/questions_basic.jsonl</x:v>
      </x:c>
      <x:c r="Y1675" s="14" t="n">
        <x:v>6</x:v>
      </x:c>
      <x:c r="Z1675" s="6" t="str">
        <x:v>https://github.com/hagenhaeussler/Industrial-Agents-Hackathon-2026/blob/f41616590b69f3ea0c1cbfb41d6c35edd9ce53df/data/train/swiss-2274/questions_basic.jsonl#L6</x:v>
      </x:c>
      <x:c r="AA1675" s="6" t="str">
        <x:v>swiss_dwellings</x:v>
      </x:c>
      <x:c r="AB1675" s="6" t="str">
        <x:v>CC-BY-4.0</x:v>
      </x:c>
    </x:row>
    <x:row r="1676" ht="72" customHeight="1">
      <x:c r="A1676" s="14" t="n">
        <x:v>1671</x:v>
      </x:c>
      <x:c r="B1676" s="6" t="str">
        <x:v>route_step_free</x:v>
      </x:c>
      <x:c r="C1676" s="6" t="str">
        <x:v>Is there a step-free route from Bathroom 1.38 (apartment 12) (Floor 1) to Kitchen 1.06 (apartment 7) (Floor 1)?</x:v>
      </x:c>
      <x:c r="D1676" s="6" t="str">
        <x:v>No route under the requested constraints.
From: Bathroom 1.38 (apartment 12)
To: Kitchen 1.06 (apartment 7)</x:v>
      </x:c>
      <x:c r="E1676" s="6" t="str">
        <x:v>Reference supplied</x:v>
      </x:c>
      <x:c r="F1676" s="6" t="str">
        <x:v>train</x:v>
      </x:c>
      <x:c r="G1676" s="6" t="str">
        <x:v>swiss-2314</x:v>
      </x:c>
      <x:c r="H1676" s="6" t="str">
        <x:v>swiss-2314-Q06</x:v>
      </x:c>
      <x:c r="I1676" s="6" t="str">
        <x:v>Route planning</x:v>
      </x:c>
      <x:c r="J1676" s="6" t="str">
        <x:v>Warm-up</x:v>
      </x:c>
      <x:c r="K1676" s="6" t="str">
        <x:v>Reachable: ordered path and metres. Unreachable: explicitly state no step-free route.</x:v>
      </x:c>
      <x:c r="L1676" s="6" t="str">
        <x:v>T02, T05, T13</x:v>
      </x:c>
      <x:c r="M1676" s="6" t="str">
        <x:v>Check whether a step-free route exists and give it when possible.</x:v>
      </x:c>
      <x:c r="N1676" s="6" t="str">
        <x:v>{"from_space_id":"swiss-2314-F1-S038","to_space_id":"swiss-2314-F1-S006","reachable":false}</x:v>
      </x:c>
      <x:c r="O1676" s="6"/>
      <x:c r="P1676" s="6" t="str">
        <x:v>step_free=true. No stairs or stepped openings. May be unreachable.</x:v>
      </x:c>
      <x:c r="Q1676" s="15"/>
      <x:c r="R1676" s="6"/>
      <x:c r="S1676" s="16"/>
      <x:c r="T1676" s="15"/>
      <x:c r="U1676" s="6"/>
      <x:c r="V1676" s="6"/>
      <x:c r="W1676" s="6" t="str">
        <x:v>Existing find_route(step_free=true).</x:v>
      </x:c>
      <x:c r="X1676" s="6" t="str">
        <x:v>data/train/swiss-2314/questions_basic.jsonl</x:v>
      </x:c>
      <x:c r="Y1676" s="14" t="n">
        <x:v>6</x:v>
      </x:c>
      <x:c r="Z1676" s="6" t="str">
        <x:v>https://github.com/hagenhaeussler/Industrial-Agents-Hackathon-2026/blob/f41616590b69f3ea0c1cbfb41d6c35edd9ce53df/data/train/swiss-2314/questions_basic.jsonl#L6</x:v>
      </x:c>
      <x:c r="AA1676" s="6" t="str">
        <x:v>swiss_dwellings</x:v>
      </x:c>
      <x:c r="AB1676" s="6" t="str">
        <x:v>CC-BY-4.0</x:v>
      </x:c>
    </x:row>
    <x:row r="1677" ht="72" customHeight="1">
      <x:c r="A1677" s="14" t="n">
        <x:v>1672</x:v>
      </x:c>
      <x:c r="B1677" s="6" t="str">
        <x:v>route_step_free</x:v>
      </x:c>
      <x:c r="C1677" s="6" t="str">
        <x:v>Is there a step-free route from Bedroom 1.21 (apartment 7) (Floor 1) to Bathroom 3.09 (apartment 14) (Floor 3)?</x:v>
      </x:c>
      <x:c r="D1677" s="6" t="str">
        <x:v>No route under the requested constraints.
From: Bedroom 1.21 (apartment 7)
To: Bathroom 3.09 (apartment 14)</x:v>
      </x:c>
      <x:c r="E1677" s="6" t="str">
        <x:v>Reference supplied</x:v>
      </x:c>
      <x:c r="F1677" s="6" t="str">
        <x:v>train</x:v>
      </x:c>
      <x:c r="G1677" s="6" t="str">
        <x:v>swiss-2390</x:v>
      </x:c>
      <x:c r="H1677" s="6" t="str">
        <x:v>swiss-2390-Q06</x:v>
      </x:c>
      <x:c r="I1677" s="6" t="str">
        <x:v>Route planning</x:v>
      </x:c>
      <x:c r="J1677" s="6" t="str">
        <x:v>Warm-up</x:v>
      </x:c>
      <x:c r="K1677" s="6" t="str">
        <x:v>Reachable: ordered path and metres. Unreachable: explicitly state no step-free route.</x:v>
      </x:c>
      <x:c r="L1677" s="6" t="str">
        <x:v>T02, T05, T13</x:v>
      </x:c>
      <x:c r="M1677" s="6" t="str">
        <x:v>Check whether a step-free route exists and give it when possible.</x:v>
      </x:c>
      <x:c r="N1677" s="6" t="str">
        <x:v>{"from_space_id":"swiss-2390-F1-S021","to_space_id":"swiss-2390-F3-S009","reachable":false}</x:v>
      </x:c>
      <x:c r="O1677" s="6"/>
      <x:c r="P1677" s="6" t="str">
        <x:v>step_free=true. No stairs or stepped openings. May be unreachable.</x:v>
      </x:c>
      <x:c r="Q1677" s="15"/>
      <x:c r="R1677" s="6"/>
      <x:c r="S1677" s="16"/>
      <x:c r="T1677" s="15"/>
      <x:c r="U1677" s="6"/>
      <x:c r="V1677" s="6"/>
      <x:c r="W1677" s="6" t="str">
        <x:v>Existing find_route(step_free=true).</x:v>
      </x:c>
      <x:c r="X1677" s="6" t="str">
        <x:v>data/train/swiss-2390/questions_basic.jsonl</x:v>
      </x:c>
      <x:c r="Y1677" s="14" t="n">
        <x:v>6</x:v>
      </x:c>
      <x:c r="Z1677" s="6" t="str">
        <x:v>https://github.com/hagenhaeussler/Industrial-Agents-Hackathon-2026/blob/f41616590b69f3ea0c1cbfb41d6c35edd9ce53df/data/train/swiss-2390/questions_basic.jsonl#L6</x:v>
      </x:c>
      <x:c r="AA1677" s="6" t="str">
        <x:v>swiss_dwellings</x:v>
      </x:c>
      <x:c r="AB1677" s="6" t="str">
        <x:v>CC-BY-4.0</x:v>
      </x:c>
    </x:row>
    <x:row r="1678" ht="72" customHeight="1">
      <x:c r="A1678" s="14" t="n">
        <x:v>1673</x:v>
      </x:c>
      <x:c r="B1678" s="6" t="str">
        <x:v>route_step_free</x:v>
      </x:c>
      <x:c r="C1678" s="6" t="str">
        <x:v>Is there a step-free route from Bedroom 0.18 (apartment 3) (Ground floor) to Bedroom 2.14 (apartment 8) (Floor 2)?</x:v>
      </x:c>
      <x:c r="D1678" s="6" t="str">
        <x:v>No route under the requested constraints.
From: Bedroom 0.18 (apartment 3)
To: Bedroom 2.14 (apartment 8)</x:v>
      </x:c>
      <x:c r="E1678" s="6" t="str">
        <x:v>Reference supplied</x:v>
      </x:c>
      <x:c r="F1678" s="6" t="str">
        <x:v>train</x:v>
      </x:c>
      <x:c r="G1678" s="6" t="str">
        <x:v>swiss-2476</x:v>
      </x:c>
      <x:c r="H1678" s="6" t="str">
        <x:v>swiss-2476-Q06</x:v>
      </x:c>
      <x:c r="I1678" s="6" t="str">
        <x:v>Route planning</x:v>
      </x:c>
      <x:c r="J1678" s="6" t="str">
        <x:v>Warm-up</x:v>
      </x:c>
      <x:c r="K1678" s="6" t="str">
        <x:v>Reachable: ordered path and metres. Unreachable: explicitly state no step-free route.</x:v>
      </x:c>
      <x:c r="L1678" s="6" t="str">
        <x:v>T02, T05, T13</x:v>
      </x:c>
      <x:c r="M1678" s="6" t="str">
        <x:v>Check whether a step-free route exists and give it when possible.</x:v>
      </x:c>
      <x:c r="N1678" s="6" t="str">
        <x:v>{"from_space_id":"swiss-2476-F0-S018","to_space_id":"swiss-2476-F2-S014","reachable":false}</x:v>
      </x:c>
      <x:c r="O1678" s="6"/>
      <x:c r="P1678" s="6" t="str">
        <x:v>step_free=true. No stairs or stepped openings. May be unreachable.</x:v>
      </x:c>
      <x:c r="Q1678" s="15"/>
      <x:c r="R1678" s="6"/>
      <x:c r="S1678" s="16"/>
      <x:c r="T1678" s="15"/>
      <x:c r="U1678" s="6"/>
      <x:c r="V1678" s="6"/>
      <x:c r="W1678" s="6" t="str">
        <x:v>Existing find_route(step_free=true).</x:v>
      </x:c>
      <x:c r="X1678" s="6" t="str">
        <x:v>data/train/swiss-2476/questions_basic.jsonl</x:v>
      </x:c>
      <x:c r="Y1678" s="14" t="n">
        <x:v>6</x:v>
      </x:c>
      <x:c r="Z1678" s="6" t="str">
        <x:v>https://github.com/hagenhaeussler/Industrial-Agents-Hackathon-2026/blob/f41616590b69f3ea0c1cbfb41d6c35edd9ce53df/data/train/swiss-2476/questions_basic.jsonl#L6</x:v>
      </x:c>
      <x:c r="AA1678" s="6" t="str">
        <x:v>swiss_dwellings</x:v>
      </x:c>
      <x:c r="AB1678" s="6" t="str">
        <x:v>CC-BY-4.0</x:v>
      </x:c>
    </x:row>
    <x:row r="1679" ht="72" customHeight="1">
      <x:c r="A1679" s="14" t="n">
        <x:v>1674</x:v>
      </x:c>
      <x:c r="B1679" s="6" t="str">
        <x:v>route_step_free</x:v>
      </x:c>
      <x:c r="C1679" s="6" t="str">
        <x:v>Is there a step-free route from Kitchen 1.19 (apartment 6) (Floor 1) to Living room 2.10 (apartment 8) (Floor 2)?</x:v>
      </x:c>
      <x:c r="D1679" s="6" t="str">
        <x:v>No route under the requested constraints.
From: Kitchen 1.19 (apartment 6)
To: Living room 2.10 (apartment 8)</x:v>
      </x:c>
      <x:c r="E1679" s="6" t="str">
        <x:v>Reference supplied</x:v>
      </x:c>
      <x:c r="F1679" s="6" t="str">
        <x:v>train</x:v>
      </x:c>
      <x:c r="G1679" s="6" t="str">
        <x:v>swiss-2482</x:v>
      </x:c>
      <x:c r="H1679" s="6" t="str">
        <x:v>swiss-2482-Q07</x:v>
      </x:c>
      <x:c r="I1679" s="6" t="str">
        <x:v>Route planning</x:v>
      </x:c>
      <x:c r="J1679" s="6" t="str">
        <x:v>Warm-up</x:v>
      </x:c>
      <x:c r="K1679" s="6" t="str">
        <x:v>Reachable: ordered path and metres. Unreachable: explicitly state no step-free route.</x:v>
      </x:c>
      <x:c r="L1679" s="6" t="str">
        <x:v>T02, T05, T13</x:v>
      </x:c>
      <x:c r="M1679" s="6" t="str">
        <x:v>Check whether a step-free route exists and give it when possible.</x:v>
      </x:c>
      <x:c r="N1679" s="6" t="str">
        <x:v>{"from_space_id":"swiss-2482-F1-S019","to_space_id":"swiss-2482-F2-S010","reachable":false}</x:v>
      </x:c>
      <x:c r="O1679" s="6"/>
      <x:c r="P1679" s="6" t="str">
        <x:v>step_free=true. No stairs or stepped openings. May be unreachable.</x:v>
      </x:c>
      <x:c r="Q1679" s="15"/>
      <x:c r="R1679" s="6"/>
      <x:c r="S1679" s="16"/>
      <x:c r="T1679" s="15"/>
      <x:c r="U1679" s="6"/>
      <x:c r="V1679" s="6"/>
      <x:c r="W1679" s="6" t="str">
        <x:v>Existing find_route(step_free=true).</x:v>
      </x:c>
      <x:c r="X1679" s="6" t="str">
        <x:v>data/train/swiss-2482/questions_basic.jsonl</x:v>
      </x:c>
      <x:c r="Y1679" s="14" t="n">
        <x:v>7</x:v>
      </x:c>
      <x:c r="Z1679" s="6" t="str">
        <x:v>https://github.com/hagenhaeussler/Industrial-Agents-Hackathon-2026/blob/f41616590b69f3ea0c1cbfb41d6c35edd9ce53df/data/train/swiss-2482/questions_basic.jsonl#L7</x:v>
      </x:c>
      <x:c r="AA1679" s="6" t="str">
        <x:v>swiss_dwellings</x:v>
      </x:c>
      <x:c r="AB1679" s="6" t="str">
        <x:v>CC-BY-4.0</x:v>
      </x:c>
    </x:row>
    <x:row r="1680" ht="72" customHeight="1">
      <x:c r="A1680" s="14" t="n">
        <x:v>1675</x:v>
      </x:c>
      <x:c r="B1680" s="6" t="str">
        <x:v>route_step_free</x:v>
      </x:c>
      <x:c r="C1680" s="6" t="str">
        <x:v>Is there a step-free route from Living room 2.12 (apartment 10) (Floor 2) to Kitchen 0.18 (apartment 2) (Ground floor)?</x:v>
      </x:c>
      <x:c r="D1680" s="6" t="str">
        <x:v>No route under the requested constraints.
From: Living room 2.12 (apartment 10)
To: Kitchen 0.18 (apartment 2)</x:v>
      </x:c>
      <x:c r="E1680" s="6" t="str">
        <x:v>Reference supplied</x:v>
      </x:c>
      <x:c r="F1680" s="6" t="str">
        <x:v>train</x:v>
      </x:c>
      <x:c r="G1680" s="6" t="str">
        <x:v>swiss-256</x:v>
      </x:c>
      <x:c r="H1680" s="6" t="str">
        <x:v>swiss-256-Q05</x:v>
      </x:c>
      <x:c r="I1680" s="6" t="str">
        <x:v>Route planning</x:v>
      </x:c>
      <x:c r="J1680" s="6" t="str">
        <x:v>Warm-up</x:v>
      </x:c>
      <x:c r="K1680" s="6" t="str">
        <x:v>Reachable: ordered path and metres. Unreachable: explicitly state no step-free route.</x:v>
      </x:c>
      <x:c r="L1680" s="6" t="str">
        <x:v>T02, T05, T13</x:v>
      </x:c>
      <x:c r="M1680" s="6" t="str">
        <x:v>Check whether a step-free route exists and give it when possible.</x:v>
      </x:c>
      <x:c r="N1680" s="6" t="str">
        <x:v>{"from_space_id":"swiss-256-F2-S012","to_space_id":"swiss-256-F0-S018","reachable":false}</x:v>
      </x:c>
      <x:c r="O1680" s="6"/>
      <x:c r="P1680" s="6" t="str">
        <x:v>step_free=true. No stairs or stepped openings. May be unreachable.</x:v>
      </x:c>
      <x:c r="Q1680" s="15"/>
      <x:c r="R1680" s="6"/>
      <x:c r="S1680" s="16"/>
      <x:c r="T1680" s="15"/>
      <x:c r="U1680" s="6"/>
      <x:c r="V1680" s="6"/>
      <x:c r="W1680" s="6" t="str">
        <x:v>Existing find_route(step_free=true).</x:v>
      </x:c>
      <x:c r="X1680" s="6" t="str">
        <x:v>data/train/swiss-256/questions_basic.jsonl</x:v>
      </x:c>
      <x:c r="Y1680" s="14" t="n">
        <x:v>5</x:v>
      </x:c>
      <x:c r="Z1680" s="6" t="str">
        <x:v>https://github.com/hagenhaeussler/Industrial-Agents-Hackathon-2026/blob/f41616590b69f3ea0c1cbfb41d6c35edd9ce53df/data/train/swiss-256/questions_basic.jsonl#L5</x:v>
      </x:c>
      <x:c r="AA1680" s="6" t="str">
        <x:v>swiss_dwellings</x:v>
      </x:c>
      <x:c r="AB1680" s="6" t="str">
        <x:v>CC-BY-4.0</x:v>
      </x:c>
    </x:row>
    <x:row r="1681" ht="96" customHeight="1">
      <x:c r="A1681" s="14" t="n">
        <x:v>1676</x:v>
      </x:c>
      <x:c r="B1681" s="6" t="str">
        <x:v>route_step_free</x:v>
      </x:c>
      <x:c r="C1681" s="6" t="str">
        <x:v>Is there a step-free route from Bathroom 0.15 (apartment 6) (Ground floor) to Kitchen 1.30 (apartment 23) (Floor 1)?</x:v>
      </x:c>
      <x:c r="D1681" s="6" t="str">
        <x:v>28.16 m
From: Bathroom 0.15 (apartment 6)
To: Kitchen 1.30 (apartment 23)
Ordered path (5 spaces): Bathroom 0.15 (apartment 6) → Kitchen 0.13 (apartment 6) → Stair hall 0.54 → Stair hall 1.54 → Kitchen 1.30 (apartment 23)</x:v>
      </x:c>
      <x:c r="E1681" s="6" t="str">
        <x:v>Reference supplied</x:v>
      </x:c>
      <x:c r="F1681" s="6" t="str">
        <x:v>train</x:v>
      </x:c>
      <x:c r="G1681" s="6" t="str">
        <x:v>swiss-2798</x:v>
      </x:c>
      <x:c r="H1681" s="6" t="str">
        <x:v>swiss-2798-Q06</x:v>
      </x:c>
      <x:c r="I1681" s="6" t="str">
        <x:v>Route planning</x:v>
      </x:c>
      <x:c r="J1681" s="6" t="str">
        <x:v>Warm-up</x:v>
      </x:c>
      <x:c r="K1681" s="6" t="str">
        <x:v>Reachable: ordered path and metres. Unreachable: explicitly state no step-free route.</x:v>
      </x:c>
      <x:c r="L1681" s="6" t="str">
        <x:v>T02, T05, T13</x:v>
      </x:c>
      <x:c r="M1681" s="6" t="str">
        <x:v>Check whether a step-free route exists and give it when possible.</x:v>
      </x:c>
      <x:c r="N1681" s="6" t="str">
        <x:v>{"from_space_id":"swiss-2798-F0-S015","to_space_id":"swiss-2798-F1-S030","optimal_length_m":28.16,"space_path":["swiss-2798-F0-S015","swiss-2798-F0-S013","swiss-2798-F0-S054","swiss-2798-F1-S054","swiss-2798-F1-S030"],"element_path":["swiss-2798-F0-O0021","swiss-2798-F0-O0021","swiss-2798-F0-O0020","swiss-2798-F0-O0020","swiss-2798-V02","swiss-2798-F1-O0086","swiss-2798-F1-O0086"]}</x:v>
      </x:c>
      <x:c r="O1681" s="6"/>
      <x:c r="P1681" s="6" t="str">
        <x:v>step_free=true. No stairs or stepped openings. May be unreachable.</x:v>
      </x:c>
      <x:c r="Q1681" s="15" t="n">
        <x:v>28.16</x:v>
      </x:c>
      <x:c r="R1681" s="6" t="str">
        <x:v>m</x:v>
      </x:c>
      <x:c r="S1681" s="16"/>
      <x:c r="T1681" s="15"/>
      <x:c r="U1681" s="6"/>
      <x:c r="V1681" s="6"/>
      <x:c r="W1681" s="6" t="str">
        <x:v>Existing find_route(step_free=true).</x:v>
      </x:c>
      <x:c r="X1681" s="6" t="str">
        <x:v>data/train/swiss-2798/questions_basic.jsonl</x:v>
      </x:c>
      <x:c r="Y1681" s="14" t="n">
        <x:v>6</x:v>
      </x:c>
      <x:c r="Z1681" s="6" t="str">
        <x:v>https://github.com/hagenhaeussler/Industrial-Agents-Hackathon-2026/blob/f41616590b69f3ea0c1cbfb41d6c35edd9ce53df/data/train/swiss-2798/questions_basic.jsonl#L6</x:v>
      </x:c>
      <x:c r="AA1681" s="6" t="str">
        <x:v>swiss_dwellings</x:v>
      </x:c>
      <x:c r="AB1681" s="6" t="str">
        <x:v>CC-BY-4.0</x:v>
      </x:c>
    </x:row>
    <x:row r="1682" ht="110" customHeight="1">
      <x:c r="A1682" s="14" t="n">
        <x:v>1677</x:v>
      </x:c>
      <x:c r="B1682" s="6" t="str">
        <x:v>route_step_free</x:v>
      </x:c>
      <x:c r="C1682" s="6" t="str">
        <x:v>Is there a step-free route from Bedroom 0.17 (apartment 2) (Ground floor) to Bedroom 4.11 (apartment 9) (Floor 4)?</x:v>
      </x:c>
      <x:c r="D1682" s="6" t="str">
        <x:v>98.17 m
From: Bedroom 0.17 (apartment 2)
To: Bedroom 4.11 (apartment 9)
Ordered path (9 spaces): Bedroom 0.17 (apartment 2) → Corridor 0.13 (apartment 2) → Stair hall 0.19 → Stair hall 1.19 → Stair hall 2.19 → Stair hall 3.19 → Stair hall 4.14 → Corridor 4.02 (apartment 9) → Bedroom 4.11 (apartment 9)</x:v>
      </x:c>
      <x:c r="E1682" s="6" t="str">
        <x:v>Reference supplied</x:v>
      </x:c>
      <x:c r="F1682" s="6" t="str">
        <x:v>train</x:v>
      </x:c>
      <x:c r="G1682" s="6" t="str">
        <x:v>swiss-28</x:v>
      </x:c>
      <x:c r="H1682" s="6" t="str">
        <x:v>swiss-28-Q08</x:v>
      </x:c>
      <x:c r="I1682" s="6" t="str">
        <x:v>Route planning</x:v>
      </x:c>
      <x:c r="J1682" s="6" t="str">
        <x:v>Warm-up</x:v>
      </x:c>
      <x:c r="K1682" s="6" t="str">
        <x:v>Reachable: ordered path and metres. Unreachable: explicitly state no step-free route.</x:v>
      </x:c>
      <x:c r="L1682" s="6" t="str">
        <x:v>T02, T05, T13</x:v>
      </x:c>
      <x:c r="M1682" s="6" t="str">
        <x:v>Check whether a step-free route exists and give it when possible.</x:v>
      </x:c>
      <x:c r="N1682" s="6" t="str">
        <x:v>{"from_space_id":"swiss-28-F0-S017","to_space_id":"swiss-28-F4-S011","optimal_length_m":98.17,"space_path":["swiss-28-F0-S017","swiss-28-F0-S013","swiss-28-F0-S019","swiss-28-F1-S019","swiss-28-F2-S019","swiss-28-F3-S019","swiss-28-F4-S014","swiss-28-F4-S002","swiss-28-F4-S011"],"element_path":["swiss-28-F0-O0014","swiss-28-F0-O0014","swiss-28-F0-O0013","swiss-28-F0-O0013","swiss-28-V02","swiss-28-V02","swiss-28-V02","swiss-28-V02","swiss-28-F4-O0089","swiss-28-F4-O0089","swiss-28-F4-O0088","swiss-28-F4-O0088"]}</x:v>
      </x:c>
      <x:c r="O1682" s="6"/>
      <x:c r="P1682" s="6" t="str">
        <x:v>step_free=true. No stairs or stepped openings. May be unreachable.</x:v>
      </x:c>
      <x:c r="Q1682" s="15" t="n">
        <x:v>98.17</x:v>
      </x:c>
      <x:c r="R1682" s="6" t="str">
        <x:v>m</x:v>
      </x:c>
      <x:c r="S1682" s="16"/>
      <x:c r="T1682" s="15"/>
      <x:c r="U1682" s="6"/>
      <x:c r="V1682" s="6"/>
      <x:c r="W1682" s="6" t="str">
        <x:v>Existing find_route(step_free=true).</x:v>
      </x:c>
      <x:c r="X1682" s="6" t="str">
        <x:v>data/train/swiss-28/questions_basic.jsonl</x:v>
      </x:c>
      <x:c r="Y1682" s="14" t="n">
        <x:v>8</x:v>
      </x:c>
      <x:c r="Z1682" s="6" t="str">
        <x:v>https://github.com/hagenhaeussler/Industrial-Agents-Hackathon-2026/blob/f41616590b69f3ea0c1cbfb41d6c35edd9ce53df/data/train/swiss-28/questions_basic.jsonl#L8</x:v>
      </x:c>
      <x:c r="AA1682" s="6" t="str">
        <x:v>swiss_dwellings</x:v>
      </x:c>
      <x:c r="AB1682" s="6" t="str">
        <x:v>CC-BY-4.0</x:v>
      </x:c>
    </x:row>
    <x:row r="1683" ht="110" customHeight="1">
      <x:c r="A1683" s="14" t="n">
        <x:v>1678</x:v>
      </x:c>
      <x:c r="B1683" s="6" t="str">
        <x:v>route_step_free</x:v>
      </x:c>
      <x:c r="C1683" s="6" t="str">
        <x:v>Is there a step-free route from Bathroom 1.14 (apartment 7) (Floor 1) to Bathroom 4.14 (apartment 19) (Floor 4)?</x:v>
      </x:c>
      <x:c r="D1683" s="6" t="str">
        <x:v>77.47 m
From: Bathroom 1.14 (apartment 7)
To: Bathroom 4.14 (apartment 19)
Ordered path (8 spaces): Bathroom 1.14 (apartment 7) → Corridor 1.18 (apartment 7) → Stair hall 1.25 → Stair hall 2.25 → Stair hall 3.25 → Stair hall 4.25 → Corridor 4.17 (apartment 19) → Bathroom 4.14 (apartment 19)</x:v>
      </x:c>
      <x:c r="E1683" s="6" t="str">
        <x:v>Reference supplied</x:v>
      </x:c>
      <x:c r="F1683" s="6" t="str">
        <x:v>train</x:v>
      </x:c>
      <x:c r="G1683" s="6" t="str">
        <x:v>swiss-2974</x:v>
      </x:c>
      <x:c r="H1683" s="6" t="str">
        <x:v>swiss-2974-Q06</x:v>
      </x:c>
      <x:c r="I1683" s="6" t="str">
        <x:v>Route planning</x:v>
      </x:c>
      <x:c r="J1683" s="6" t="str">
        <x:v>Warm-up</x:v>
      </x:c>
      <x:c r="K1683" s="6" t="str">
        <x:v>Reachable: ordered path and metres. Unreachable: explicitly state no step-free route.</x:v>
      </x:c>
      <x:c r="L1683" s="6" t="str">
        <x:v>T02, T05, T13</x:v>
      </x:c>
      <x:c r="M1683" s="6" t="str">
        <x:v>Check whether a step-free route exists and give it when possible.</x:v>
      </x:c>
      <x:c r="N1683" s="6" t="str">
        <x:v>{"from_space_id":"swiss-2974-F1-S014","to_space_id":"swiss-2974-F4-S014","optimal_length_m":77.47,"space_path":["swiss-2974-F1-S014","swiss-2974-F1-S018","swiss-2974-F1-S025","swiss-2974-F2-S025","swiss-2974-F3-S025","swiss-2974-F4-S025","swiss-2974-F4-S017","swiss-2974-F4-S014"],"element_path":["swiss-2974-F1-O0038","swiss-2974-F1-O0038","swiss-2974-F1-O0037","swiss-2974-F1-O0037","swiss-2974-V02","swiss-2974-V02","swiss-2974-V02","swiss-2974-F4-O0111","swiss-2974-F4-O0111","swiss-2974-F4-O0114","swiss-2974-F4-O0114"]}</x:v>
      </x:c>
      <x:c r="O1683" s="6"/>
      <x:c r="P1683" s="6" t="str">
        <x:v>step_free=true. No stairs or stepped openings. May be unreachable.</x:v>
      </x:c>
      <x:c r="Q1683" s="15" t="n">
        <x:v>77.47</x:v>
      </x:c>
      <x:c r="R1683" s="6" t="str">
        <x:v>m</x:v>
      </x:c>
      <x:c r="S1683" s="16"/>
      <x:c r="T1683" s="15"/>
      <x:c r="U1683" s="6"/>
      <x:c r="V1683" s="6"/>
      <x:c r="W1683" s="6" t="str">
        <x:v>Existing find_route(step_free=true).</x:v>
      </x:c>
      <x:c r="X1683" s="6" t="str">
        <x:v>data/train/swiss-2974/questions_basic.jsonl</x:v>
      </x:c>
      <x:c r="Y1683" s="14" t="n">
        <x:v>6</x:v>
      </x:c>
      <x:c r="Z1683" s="6" t="str">
        <x:v>https://github.com/hagenhaeussler/Industrial-Agents-Hackathon-2026/blob/f41616590b69f3ea0c1cbfb41d6c35edd9ce53df/data/train/swiss-2974/questions_basic.jsonl#L6</x:v>
      </x:c>
      <x:c r="AA1683" s="6" t="str">
        <x:v>swiss_dwellings</x:v>
      </x:c>
      <x:c r="AB1683" s="6" t="str">
        <x:v>CC-BY-4.0</x:v>
      </x:c>
    </x:row>
    <x:row r="1684" ht="72" customHeight="1">
      <x:c r="A1684" s="14" t="n">
        <x:v>1679</x:v>
      </x:c>
      <x:c r="B1684" s="6" t="str">
        <x:v>route_step_free</x:v>
      </x:c>
      <x:c r="C1684" s="6" t="str">
        <x:v>Is there a step-free route from Kitchen 4.13 (apartment 26) (Floor 4) to Kitchen 2.19 (apartment 15) (Floor 2)?</x:v>
      </x:c>
      <x:c r="D1684" s="6" t="str">
        <x:v>No route under the requested constraints.
From: Kitchen 4.13 (apartment 26)
To: Kitchen 2.19 (apartment 15)</x:v>
      </x:c>
      <x:c r="E1684" s="6" t="str">
        <x:v>Reference supplied</x:v>
      </x:c>
      <x:c r="F1684" s="6" t="str">
        <x:v>train</x:v>
      </x:c>
      <x:c r="G1684" s="6" t="str">
        <x:v>swiss-2975</x:v>
      </x:c>
      <x:c r="H1684" s="6" t="str">
        <x:v>swiss-2975-Q07</x:v>
      </x:c>
      <x:c r="I1684" s="6" t="str">
        <x:v>Route planning</x:v>
      </x:c>
      <x:c r="J1684" s="6" t="str">
        <x:v>Warm-up</x:v>
      </x:c>
      <x:c r="K1684" s="6" t="str">
        <x:v>Reachable: ordered path and metres. Unreachable: explicitly state no step-free route.</x:v>
      </x:c>
      <x:c r="L1684" s="6" t="str">
        <x:v>T02, T05, T13</x:v>
      </x:c>
      <x:c r="M1684" s="6" t="str">
        <x:v>Check whether a step-free route exists and give it when possible.</x:v>
      </x:c>
      <x:c r="N1684" s="6" t="str">
        <x:v>{"from_space_id":"swiss-2975-F4-S013","to_space_id":"swiss-2975-F2-S019","reachable":false}</x:v>
      </x:c>
      <x:c r="O1684" s="6"/>
      <x:c r="P1684" s="6" t="str">
        <x:v>step_free=true. No stairs or stepped openings. May be unreachable.</x:v>
      </x:c>
      <x:c r="Q1684" s="15"/>
      <x:c r="R1684" s="6"/>
      <x:c r="S1684" s="16"/>
      <x:c r="T1684" s="15"/>
      <x:c r="U1684" s="6"/>
      <x:c r="V1684" s="6"/>
      <x:c r="W1684" s="6" t="str">
        <x:v>Existing find_route(step_free=true).</x:v>
      </x:c>
      <x:c r="X1684" s="6" t="str">
        <x:v>data/train/swiss-2975/questions_basic.jsonl</x:v>
      </x:c>
      <x:c r="Y1684" s="14" t="n">
        <x:v>7</x:v>
      </x:c>
      <x:c r="Z1684" s="6" t="str">
        <x:v>https://github.com/hagenhaeussler/Industrial-Agents-Hackathon-2026/blob/f41616590b69f3ea0c1cbfb41d6c35edd9ce53df/data/train/swiss-2975/questions_basic.jsonl#L7</x:v>
      </x:c>
      <x:c r="AA1684" s="6" t="str">
        <x:v>swiss_dwellings</x:v>
      </x:c>
      <x:c r="AB1684" s="6" t="str">
        <x:v>CC-BY-4.0</x:v>
      </x:c>
    </x:row>
    <x:row r="1685" ht="72" customHeight="1">
      <x:c r="A1685" s="14" t="n">
        <x:v>1680</x:v>
      </x:c>
      <x:c r="B1685" s="6" t="str">
        <x:v>route_step_free</x:v>
      </x:c>
      <x:c r="C1685" s="6" t="str">
        <x:v>Is there a step-free route from Living room 1.04 (apartment 5) (Floor 1) to Living room 1.29 (apartment 7) (Floor 1)?</x:v>
      </x:c>
      <x:c r="D1685" s="6" t="str">
        <x:v>No route under the requested constraints.
From: Living room 1.04 (apartment 5)
To: Living room 1.29 (apartment 7)</x:v>
      </x:c>
      <x:c r="E1685" s="6" t="str">
        <x:v>Reference supplied</x:v>
      </x:c>
      <x:c r="F1685" s="6" t="str">
        <x:v>train</x:v>
      </x:c>
      <x:c r="G1685" s="6" t="str">
        <x:v>swiss-3066</x:v>
      </x:c>
      <x:c r="H1685" s="6" t="str">
        <x:v>swiss-3066-Q07</x:v>
      </x:c>
      <x:c r="I1685" s="6" t="str">
        <x:v>Route planning</x:v>
      </x:c>
      <x:c r="J1685" s="6" t="str">
        <x:v>Warm-up</x:v>
      </x:c>
      <x:c r="K1685" s="6" t="str">
        <x:v>Reachable: ordered path and metres. Unreachable: explicitly state no step-free route.</x:v>
      </x:c>
      <x:c r="L1685" s="6" t="str">
        <x:v>T02, T05, T13</x:v>
      </x:c>
      <x:c r="M1685" s="6" t="str">
        <x:v>Check whether a step-free route exists and give it when possible.</x:v>
      </x:c>
      <x:c r="N1685" s="6" t="str">
        <x:v>{"from_space_id":"swiss-3066-F1-S004","to_space_id":"swiss-3066-F1-S029","reachable":false}</x:v>
      </x:c>
      <x:c r="O1685" s="6"/>
      <x:c r="P1685" s="6" t="str">
        <x:v>step_free=true. No stairs or stepped openings. May be unreachable.</x:v>
      </x:c>
      <x:c r="Q1685" s="15"/>
      <x:c r="R1685" s="6"/>
      <x:c r="S1685" s="16"/>
      <x:c r="T1685" s="15"/>
      <x:c r="U1685" s="6"/>
      <x:c r="V1685" s="6"/>
      <x:c r="W1685" s="6" t="str">
        <x:v>Existing find_route(step_free=true).</x:v>
      </x:c>
      <x:c r="X1685" s="6" t="str">
        <x:v>data/train/swiss-3066/questions_basic.jsonl</x:v>
      </x:c>
      <x:c r="Y1685" s="14" t="n">
        <x:v>7</x:v>
      </x:c>
      <x:c r="Z1685" s="6" t="str">
        <x:v>https://github.com/hagenhaeussler/Industrial-Agents-Hackathon-2026/blob/f41616590b69f3ea0c1cbfb41d6c35edd9ce53df/data/train/swiss-3066/questions_basic.jsonl#L7</x:v>
      </x:c>
      <x:c r="AA1685" s="6" t="str">
        <x:v>swiss_dwellings</x:v>
      </x:c>
      <x:c r="AB1685" s="6" t="str">
        <x:v>CC-BY-4.0</x:v>
      </x:c>
    </x:row>
    <x:row r="1686" ht="72" customHeight="1">
      <x:c r="A1686" s="14" t="n">
        <x:v>1681</x:v>
      </x:c>
      <x:c r="B1686" s="6" t="str">
        <x:v>route_step_free</x:v>
      </x:c>
      <x:c r="C1686" s="6" t="str">
        <x:v>Is there a step-free route from Living room 0.21 (apartment 3) (Ground floor) to Bedroom 1.41 (apartment 10) (Floor 1)?</x:v>
      </x:c>
      <x:c r="D1686" s="6" t="str">
        <x:v>No route under the requested constraints.
From: Living room 0.21 (apartment 3)
To: Bedroom 1.41 (apartment 10)</x:v>
      </x:c>
      <x:c r="E1686" s="6" t="str">
        <x:v>Reference supplied</x:v>
      </x:c>
      <x:c r="F1686" s="6" t="str">
        <x:v>train</x:v>
      </x:c>
      <x:c r="G1686" s="6" t="str">
        <x:v>swiss-3092</x:v>
      </x:c>
      <x:c r="H1686" s="6" t="str">
        <x:v>swiss-3092-Q05</x:v>
      </x:c>
      <x:c r="I1686" s="6" t="str">
        <x:v>Route planning</x:v>
      </x:c>
      <x:c r="J1686" s="6" t="str">
        <x:v>Warm-up</x:v>
      </x:c>
      <x:c r="K1686" s="6" t="str">
        <x:v>Reachable: ordered path and metres. Unreachable: explicitly state no step-free route.</x:v>
      </x:c>
      <x:c r="L1686" s="6" t="str">
        <x:v>T02, T05, T13</x:v>
      </x:c>
      <x:c r="M1686" s="6" t="str">
        <x:v>Check whether a step-free route exists and give it when possible.</x:v>
      </x:c>
      <x:c r="N1686" s="6" t="str">
        <x:v>{"from_space_id":"swiss-3092-F0-S021","to_space_id":"swiss-3092-F1-S041","reachable":false}</x:v>
      </x:c>
      <x:c r="O1686" s="6"/>
      <x:c r="P1686" s="6" t="str">
        <x:v>step_free=true. No stairs or stepped openings. May be unreachable.</x:v>
      </x:c>
      <x:c r="Q1686" s="15"/>
      <x:c r="R1686" s="6"/>
      <x:c r="S1686" s="16"/>
      <x:c r="T1686" s="15"/>
      <x:c r="U1686" s="6"/>
      <x:c r="V1686" s="6"/>
      <x:c r="W1686" s="6" t="str">
        <x:v>Existing find_route(step_free=true).</x:v>
      </x:c>
      <x:c r="X1686" s="6" t="str">
        <x:v>data/train/swiss-3092/questions_basic.jsonl</x:v>
      </x:c>
      <x:c r="Y1686" s="14" t="n">
        <x:v>5</x:v>
      </x:c>
      <x:c r="Z1686" s="6" t="str">
        <x:v>https://github.com/hagenhaeussler/Industrial-Agents-Hackathon-2026/blob/f41616590b69f3ea0c1cbfb41d6c35edd9ce53df/data/train/swiss-3092/questions_basic.jsonl#L5</x:v>
      </x:c>
      <x:c r="AA1686" s="6" t="str">
        <x:v>swiss_dwellings</x:v>
      </x:c>
      <x:c r="AB1686" s="6" t="str">
        <x:v>CC-BY-4.0</x:v>
      </x:c>
    </x:row>
    <x:row r="1687" ht="124" customHeight="1">
      <x:c r="A1687" s="14" t="n">
        <x:v>1682</x:v>
      </x:c>
      <x:c r="B1687" s="6" t="str">
        <x:v>route_step_free</x:v>
      </x:c>
      <x:c r="C1687" s="6" t="str">
        <x:v>Is there a step-free route from Bathroom 0.04 (apartment 1) (Ground floor) to Kitchen 3.14 (apartment 8) (Floor 3)?</x:v>
      </x:c>
      <x:c r="D1687" s="6" t="str">
        <x:v>89.35 m
From: Bathroom 0.04 (apartment 1)
To: Kitchen 3.14 (apartment 8)
Ordered path (11 spaces): Bathroom 0.04 (apartment 1) → Corridor 0.01 (apartment 1) → Landing 0.23 → outside → Landing 0.24 → Landing 1.24 → Landing 2.24 → Stair hall 3.18 → Corridor 3.17 (apartment 8) → Living room 3.11 (apartment 8) → Kitchen 3.14 (apartment 8)</x:v>
      </x:c>
      <x:c r="E1687" s="6" t="str">
        <x:v>Reference supplied</x:v>
      </x:c>
      <x:c r="F1687" s="6" t="str">
        <x:v>train</x:v>
      </x:c>
      <x:c r="G1687" s="6" t="str">
        <x:v>swiss-3096</x:v>
      </x:c>
      <x:c r="H1687" s="6" t="str">
        <x:v>swiss-3096-Q08</x:v>
      </x:c>
      <x:c r="I1687" s="6" t="str">
        <x:v>Route planning</x:v>
      </x:c>
      <x:c r="J1687" s="6" t="str">
        <x:v>Warm-up</x:v>
      </x:c>
      <x:c r="K1687" s="6" t="str">
        <x:v>Reachable: ordered path and metres. Unreachable: explicitly state no step-free route.</x:v>
      </x:c>
      <x:c r="L1687" s="6" t="str">
        <x:v>T02, T05, T13</x:v>
      </x:c>
      <x:c r="M1687" s="6" t="str">
        <x:v>Check whether a step-free route exists and give it when possible.</x:v>
      </x:c>
      <x:c r="N1687" s="6" t="str">
        <x:v>{"from_space_id":"swiss-3096-F0-S004","to_space_id":"swiss-3096-F3-S014","optimal_length_m":89.35,"space_path":["swiss-3096-F0-S004","swiss-3096-F0-S001","swiss-3096-F0-S023","outside","swiss-3096-F0-S024","swiss-3096-F1-S024","swiss-3096-F2-S024","swiss-3096-F3-S018","swiss-3096-F3-S017","swiss-3096-F3-S011","swiss-3096-F3-S014"],"element_path":["swiss-3096-F0-O0009","swiss-3096-F0-O0009","swiss-3096-F0-O0006","swiss-3096-F0-O0006","swiss-3096-F0-O0090","swiss-3096-F0-O0090","swiss-3096-F0-O0091","swiss-3096-F0-O0091","swiss-3096-V02","swiss-3096-V02","swiss-3096-V02","swiss-3096-F3-O0084","swiss-3096-F3-O0084","swiss-3096-F3-O0089","swiss-3096-F3-O0089","swiss-3096-F3-O0082","swiss-3096-F3-O0082"]}</x:v>
      </x:c>
      <x:c r="O1687" s="6"/>
      <x:c r="P1687" s="6" t="str">
        <x:v>step_free=true. No stairs or stepped openings. May be unreachable.</x:v>
      </x:c>
      <x:c r="Q1687" s="15" t="n">
        <x:v>89.35</x:v>
      </x:c>
      <x:c r="R1687" s="6" t="str">
        <x:v>m</x:v>
      </x:c>
      <x:c r="S1687" s="16"/>
      <x:c r="T1687" s="15"/>
      <x:c r="U1687" s="6"/>
      <x:c r="V1687" s="6"/>
      <x:c r="W1687" s="6" t="str">
        <x:v>Existing find_route(step_free=true).</x:v>
      </x:c>
      <x:c r="X1687" s="6" t="str">
        <x:v>data/train/swiss-3096/questions_basic.jsonl</x:v>
      </x:c>
      <x:c r="Y1687" s="14" t="n">
        <x:v>8</x:v>
      </x:c>
      <x:c r="Z1687" s="6" t="str">
        <x:v>https://github.com/hagenhaeussler/Industrial-Agents-Hackathon-2026/blob/f41616590b69f3ea0c1cbfb41d6c35edd9ce53df/data/train/swiss-3096/questions_basic.jsonl#L8</x:v>
      </x:c>
      <x:c r="AA1687" s="6" t="str">
        <x:v>swiss_dwellings</x:v>
      </x:c>
      <x:c r="AB1687" s="6" t="str">
        <x:v>CC-BY-4.0</x:v>
      </x:c>
    </x:row>
    <x:row r="1688" ht="96" customHeight="1">
      <x:c r="A1688" s="14" t="n">
        <x:v>1683</x:v>
      </x:c>
      <x:c r="B1688" s="6" t="str">
        <x:v>route_step_free</x:v>
      </x:c>
      <x:c r="C1688" s="6" t="str">
        <x:v>Is there a step-free route from Living room 1.13 (apartment 4) (Floor 1) to Bedroom 2.06 (apartment 7) (Floor 2)?</x:v>
      </x:c>
      <x:c r="D1688" s="6" t="str">
        <x:v>42.75 m
From: Living room 1.13 (apartment 4)
To: Bedroom 2.06 (apartment 7)
Ordered path (6 spaces): Living room 1.13 (apartment 4) → Corridor 1.14 (apartment 4) → Stair hall 1.22 → Stair hall 2.22 → Bedroom 2.10 (apartment 7) → Bedroom 2.06 (apartment 7)</x:v>
      </x:c>
      <x:c r="E1688" s="6" t="str">
        <x:v>Reference supplied</x:v>
      </x:c>
      <x:c r="F1688" s="6" t="str">
        <x:v>train</x:v>
      </x:c>
      <x:c r="G1688" s="6" t="str">
        <x:v>swiss-3197</x:v>
      </x:c>
      <x:c r="H1688" s="6" t="str">
        <x:v>swiss-3197-Q06</x:v>
      </x:c>
      <x:c r="I1688" s="6" t="str">
        <x:v>Route planning</x:v>
      </x:c>
      <x:c r="J1688" s="6" t="str">
        <x:v>Warm-up</x:v>
      </x:c>
      <x:c r="K1688" s="6" t="str">
        <x:v>Reachable: ordered path and metres. Unreachable: explicitly state no step-free route.</x:v>
      </x:c>
      <x:c r="L1688" s="6" t="str">
        <x:v>T02, T05, T13</x:v>
      </x:c>
      <x:c r="M1688" s="6" t="str">
        <x:v>Check whether a step-free route exists and give it when possible.</x:v>
      </x:c>
      <x:c r="N1688" s="6" t="str">
        <x:v>{"from_space_id":"swiss-3197-F1-S013","to_space_id":"swiss-3197-F2-S006","optimal_length_m":42.75,"space_path":["swiss-3197-F1-S013","swiss-3197-F1-S014","swiss-3197-F1-S022","swiss-3197-F2-S022","swiss-3197-F2-S010","swiss-3197-F2-S006"],"element_path":["swiss-3197-F1-O0037","swiss-3197-F1-O0037","swiss-3197-F1-O0022","swiss-3197-F1-O0022","swiss-3197-V02","swiss-3197-F2-O0045","swiss-3197-F2-O0045","swiss-3197-F2-O0046","swiss-3197-F2-O0046"]}</x:v>
      </x:c>
      <x:c r="O1688" s="6"/>
      <x:c r="P1688" s="6" t="str">
        <x:v>step_free=true. No stairs or stepped openings. May be unreachable.</x:v>
      </x:c>
      <x:c r="Q1688" s="15" t="n">
        <x:v>42.75</x:v>
      </x:c>
      <x:c r="R1688" s="6" t="str">
        <x:v>m</x:v>
      </x:c>
      <x:c r="S1688" s="16"/>
      <x:c r="T1688" s="15"/>
      <x:c r="U1688" s="6"/>
      <x:c r="V1688" s="6"/>
      <x:c r="W1688" s="6" t="str">
        <x:v>Existing find_route(step_free=true).</x:v>
      </x:c>
      <x:c r="X1688" s="6" t="str">
        <x:v>data/train/swiss-3197/questions_basic.jsonl</x:v>
      </x:c>
      <x:c r="Y1688" s="14" t="n">
        <x:v>6</x:v>
      </x:c>
      <x:c r="Z1688" s="6" t="str">
        <x:v>https://github.com/hagenhaeussler/Industrial-Agents-Hackathon-2026/blob/f41616590b69f3ea0c1cbfb41d6c35edd9ce53df/data/train/swiss-3197/questions_basic.jsonl#L6</x:v>
      </x:c>
      <x:c r="AA1688" s="6" t="str">
        <x:v>swiss_dwellings</x:v>
      </x:c>
      <x:c r="AB1688" s="6" t="str">
        <x:v>CC-BY-4.0</x:v>
      </x:c>
    </x:row>
    <x:row r="1689" ht="72" customHeight="1">
      <x:c r="A1689" s="14" t="n">
        <x:v>1684</x:v>
      </x:c>
      <x:c r="B1689" s="6" t="str">
        <x:v>route_step_free</x:v>
      </x:c>
      <x:c r="C1689" s="6" t="str">
        <x:v>Is there a step-free route from Living room 2.06 (apartment 6) (Floor 2) to Bathroom 0.18 (apartment 3) (Ground floor)?</x:v>
      </x:c>
      <x:c r="D1689" s="6" t="str">
        <x:v>No route under the requested constraints.
From: Living room 2.06 (apartment 6)
To: Bathroom 0.18 (apartment 3)</x:v>
      </x:c>
      <x:c r="E1689" s="6" t="str">
        <x:v>Reference supplied</x:v>
      </x:c>
      <x:c r="F1689" s="6" t="str">
        <x:v>train</x:v>
      </x:c>
      <x:c r="G1689" s="6" t="str">
        <x:v>swiss-325</x:v>
      </x:c>
      <x:c r="H1689" s="6" t="str">
        <x:v>swiss-325-Q07</x:v>
      </x:c>
      <x:c r="I1689" s="6" t="str">
        <x:v>Route planning</x:v>
      </x:c>
      <x:c r="J1689" s="6" t="str">
        <x:v>Warm-up</x:v>
      </x:c>
      <x:c r="K1689" s="6" t="str">
        <x:v>Reachable: ordered path and metres. Unreachable: explicitly state no step-free route.</x:v>
      </x:c>
      <x:c r="L1689" s="6" t="str">
        <x:v>T02, T05, T13</x:v>
      </x:c>
      <x:c r="M1689" s="6" t="str">
        <x:v>Check whether a step-free route exists and give it when possible.</x:v>
      </x:c>
      <x:c r="N1689" s="6" t="str">
        <x:v>{"from_space_id":"swiss-325-F2-S006","to_space_id":"swiss-325-F0-S018","reachable":false}</x:v>
      </x:c>
      <x:c r="O1689" s="6"/>
      <x:c r="P1689" s="6" t="str">
        <x:v>step_free=true. No stairs or stepped openings. May be unreachable.</x:v>
      </x:c>
      <x:c r="Q1689" s="15"/>
      <x:c r="R1689" s="6"/>
      <x:c r="S1689" s="16"/>
      <x:c r="T1689" s="15"/>
      <x:c r="U1689" s="6"/>
      <x:c r="V1689" s="6"/>
      <x:c r="W1689" s="6" t="str">
        <x:v>Existing find_route(step_free=true).</x:v>
      </x:c>
      <x:c r="X1689" s="6" t="str">
        <x:v>data/train/swiss-325/questions_basic.jsonl</x:v>
      </x:c>
      <x:c r="Y1689" s="14" t="n">
        <x:v>7</x:v>
      </x:c>
      <x:c r="Z1689" s="6" t="str">
        <x:v>https://github.com/hagenhaeussler/Industrial-Agents-Hackathon-2026/blob/f41616590b69f3ea0c1cbfb41d6c35edd9ce53df/data/train/swiss-325/questions_basic.jsonl#L7</x:v>
      </x:c>
      <x:c r="AA1689" s="6" t="str">
        <x:v>swiss_dwellings</x:v>
      </x:c>
      <x:c r="AB1689" s="6" t="str">
        <x:v>CC-BY-4.0</x:v>
      </x:c>
    </x:row>
    <x:row r="1690" ht="72" customHeight="1">
      <x:c r="A1690" s="14" t="n">
        <x:v>1685</x:v>
      </x:c>
      <x:c r="B1690" s="6" t="str">
        <x:v>route_step_free</x:v>
      </x:c>
      <x:c r="C1690" s="6" t="str">
        <x:v>Is there a step-free route from Bathroom 1.25 (apartment 8) (Floor 1) to Bedroom 2.20 (apartment 11) (Floor 2)?</x:v>
      </x:c>
      <x:c r="D1690" s="6" t="str">
        <x:v>No route under the requested constraints.
From: Bathroom 1.25 (apartment 8)
To: Bedroom 2.20 (apartment 11)</x:v>
      </x:c>
      <x:c r="E1690" s="6" t="str">
        <x:v>Reference supplied</x:v>
      </x:c>
      <x:c r="F1690" s="6" t="str">
        <x:v>train</x:v>
      </x:c>
      <x:c r="G1690" s="6" t="str">
        <x:v>swiss-328</x:v>
      </x:c>
      <x:c r="H1690" s="6" t="str">
        <x:v>swiss-328-Q05</x:v>
      </x:c>
      <x:c r="I1690" s="6" t="str">
        <x:v>Route planning</x:v>
      </x:c>
      <x:c r="J1690" s="6" t="str">
        <x:v>Warm-up</x:v>
      </x:c>
      <x:c r="K1690" s="6" t="str">
        <x:v>Reachable: ordered path and metres. Unreachable: explicitly state no step-free route.</x:v>
      </x:c>
      <x:c r="L1690" s="6" t="str">
        <x:v>T02, T05, T13</x:v>
      </x:c>
      <x:c r="M1690" s="6" t="str">
        <x:v>Check whether a step-free route exists and give it when possible.</x:v>
      </x:c>
      <x:c r="N1690" s="6" t="str">
        <x:v>{"from_space_id":"swiss-328-F1-S025","to_space_id":"swiss-328-F2-S020","reachable":false}</x:v>
      </x:c>
      <x:c r="O1690" s="6"/>
      <x:c r="P1690" s="6" t="str">
        <x:v>step_free=true. No stairs or stepped openings. May be unreachable.</x:v>
      </x:c>
      <x:c r="Q1690" s="15"/>
      <x:c r="R1690" s="6"/>
      <x:c r="S1690" s="16"/>
      <x:c r="T1690" s="15"/>
      <x:c r="U1690" s="6"/>
      <x:c r="V1690" s="6"/>
      <x:c r="W1690" s="6" t="str">
        <x:v>Existing find_route(step_free=true).</x:v>
      </x:c>
      <x:c r="X1690" s="6" t="str">
        <x:v>data/train/swiss-328/questions_basic.jsonl</x:v>
      </x:c>
      <x:c r="Y1690" s="14" t="n">
        <x:v>5</x:v>
      </x:c>
      <x:c r="Z1690" s="6" t="str">
        <x:v>https://github.com/hagenhaeussler/Industrial-Agents-Hackathon-2026/blob/f41616590b69f3ea0c1cbfb41d6c35edd9ce53df/data/train/swiss-328/questions_basic.jsonl#L5</x:v>
      </x:c>
      <x:c r="AA1690" s="6" t="str">
        <x:v>swiss_dwellings</x:v>
      </x:c>
      <x:c r="AB1690" s="6" t="str">
        <x:v>CC-BY-4.0</x:v>
      </x:c>
    </x:row>
    <x:row r="1691" ht="96" customHeight="1">
      <x:c r="A1691" s="14" t="n">
        <x:v>1686</x:v>
      </x:c>
      <x:c r="B1691" s="6" t="str">
        <x:v>route_step_free</x:v>
      </x:c>
      <x:c r="C1691" s="6" t="str">
        <x:v>Is there a step-free route from Bathroom 0.30 (apartment 3) (Ground floor) to Bathroom 2.25 (apartment 11) (Floor 2)?</x:v>
      </x:c>
      <x:c r="D1691" s="6" t="str">
        <x:v>56.84 m
From: Bathroom 0.30 (apartment 3)
To: Bathroom 2.25 (apartment 11)
Ordered path (7 spaces): Bathroom 0.30 (apartment 3) → Corridor 0.32 (apartment 3) → Stair hall 0.46 → Stair hall 1.46 → Stair hall 2.46 → Corridor 2.28 (apartment 11) → Bathroom 2.25 (apartment 11)</x:v>
      </x:c>
      <x:c r="E1691" s="6" t="str">
        <x:v>Reference supplied</x:v>
      </x:c>
      <x:c r="F1691" s="6" t="str">
        <x:v>train</x:v>
      </x:c>
      <x:c r="G1691" s="6" t="str">
        <x:v>swiss-3284</x:v>
      </x:c>
      <x:c r="H1691" s="6" t="str">
        <x:v>swiss-3284-Q06</x:v>
      </x:c>
      <x:c r="I1691" s="6" t="str">
        <x:v>Route planning</x:v>
      </x:c>
      <x:c r="J1691" s="6" t="str">
        <x:v>Warm-up</x:v>
      </x:c>
      <x:c r="K1691" s="6" t="str">
        <x:v>Reachable: ordered path and metres. Unreachable: explicitly state no step-free route.</x:v>
      </x:c>
      <x:c r="L1691" s="6" t="str">
        <x:v>T02, T05, T13</x:v>
      </x:c>
      <x:c r="M1691" s="6" t="str">
        <x:v>Check whether a step-free route exists and give it when possible.</x:v>
      </x:c>
      <x:c r="N1691" s="6" t="str">
        <x:v>{"from_space_id":"swiss-3284-F0-S030","to_space_id":"swiss-3284-F2-S025","optimal_length_m":56.84,"space_path":["swiss-3284-F0-S030","swiss-3284-F0-S032","swiss-3284-F0-S046","swiss-3284-F1-S046","swiss-3284-F2-S046","swiss-3284-F2-S028","swiss-3284-F2-S025"],"element_path":["swiss-3284-F0-O0022","swiss-3284-F0-O0022","swiss-3284-F0-O0024","swiss-3284-F0-O0024","swiss-3284-V02","swiss-3284-V02","swiss-3284-F2-O0116","swiss-3284-F2-O0116","swiss-3284-F2-O0119","swiss-3284-F2-O0119"]}</x:v>
      </x:c>
      <x:c r="O1691" s="6"/>
      <x:c r="P1691" s="6" t="str">
        <x:v>step_free=true. No stairs or stepped openings. May be unreachable.</x:v>
      </x:c>
      <x:c r="Q1691" s="15" t="n">
        <x:v>56.84</x:v>
      </x:c>
      <x:c r="R1691" s="6" t="str">
        <x:v>m</x:v>
      </x:c>
      <x:c r="S1691" s="16"/>
      <x:c r="T1691" s="15"/>
      <x:c r="U1691" s="6"/>
      <x:c r="V1691" s="6"/>
      <x:c r="W1691" s="6" t="str">
        <x:v>Existing find_route(step_free=true).</x:v>
      </x:c>
      <x:c r="X1691" s="6" t="str">
        <x:v>data/train/swiss-3284/questions_basic.jsonl</x:v>
      </x:c>
      <x:c r="Y1691" s="14" t="n">
        <x:v>6</x:v>
      </x:c>
      <x:c r="Z1691" s="6" t="str">
        <x:v>https://github.com/hagenhaeussler/Industrial-Agents-Hackathon-2026/blob/f41616590b69f3ea0c1cbfb41d6c35edd9ce53df/data/train/swiss-3284/questions_basic.jsonl#L6</x:v>
      </x:c>
      <x:c r="AA1691" s="6" t="str">
        <x:v>swiss_dwellings</x:v>
      </x:c>
      <x:c r="AB1691" s="6" t="str">
        <x:v>CC-BY-4.0</x:v>
      </x:c>
    </x:row>
    <x:row r="1692" ht="72" customHeight="1">
      <x:c r="A1692" s="14" t="n">
        <x:v>1687</x:v>
      </x:c>
      <x:c r="B1692" s="6" t="str">
        <x:v>route_step_free</x:v>
      </x:c>
      <x:c r="C1692" s="6" t="str">
        <x:v>Is there a step-free route from Bedroom 2.03 (apartment 5) (Floor 2) to Bedroom 1.08 (apartment 4) (Floor 1)?</x:v>
      </x:c>
      <x:c r="D1692" s="6" t="str">
        <x:v>No route under the requested constraints.
From: Bedroom 2.03 (apartment 5)
To: Bedroom 1.08 (apartment 4)</x:v>
      </x:c>
      <x:c r="E1692" s="6" t="str">
        <x:v>Reference supplied</x:v>
      </x:c>
      <x:c r="F1692" s="6" t="str">
        <x:v>train</x:v>
      </x:c>
      <x:c r="G1692" s="6" t="str">
        <x:v>swiss-333</x:v>
      </x:c>
      <x:c r="H1692" s="6" t="str">
        <x:v>swiss-333-Q07</x:v>
      </x:c>
      <x:c r="I1692" s="6" t="str">
        <x:v>Route planning</x:v>
      </x:c>
      <x:c r="J1692" s="6" t="str">
        <x:v>Warm-up</x:v>
      </x:c>
      <x:c r="K1692" s="6" t="str">
        <x:v>Reachable: ordered path and metres. Unreachable: explicitly state no step-free route.</x:v>
      </x:c>
      <x:c r="L1692" s="6" t="str">
        <x:v>T02, T05, T13</x:v>
      </x:c>
      <x:c r="M1692" s="6" t="str">
        <x:v>Check whether a step-free route exists and give it when possible.</x:v>
      </x:c>
      <x:c r="N1692" s="6" t="str">
        <x:v>{"from_space_id":"swiss-333-F2-S003","to_space_id":"swiss-333-F1-S008","reachable":false}</x:v>
      </x:c>
      <x:c r="O1692" s="6"/>
      <x:c r="P1692" s="6" t="str">
        <x:v>step_free=true. No stairs or stepped openings. May be unreachable.</x:v>
      </x:c>
      <x:c r="Q1692" s="15"/>
      <x:c r="R1692" s="6"/>
      <x:c r="S1692" s="16"/>
      <x:c r="T1692" s="15"/>
      <x:c r="U1692" s="6"/>
      <x:c r="V1692" s="6"/>
      <x:c r="W1692" s="6" t="str">
        <x:v>Existing find_route(step_free=true).</x:v>
      </x:c>
      <x:c r="X1692" s="6" t="str">
        <x:v>data/train/swiss-333/questions_basic.jsonl</x:v>
      </x:c>
      <x:c r="Y1692" s="14" t="n">
        <x:v>7</x:v>
      </x:c>
      <x:c r="Z1692" s="6" t="str">
        <x:v>https://github.com/hagenhaeussler/Industrial-Agents-Hackathon-2026/blob/f41616590b69f3ea0c1cbfb41d6c35edd9ce53df/data/train/swiss-333/questions_basic.jsonl#L7</x:v>
      </x:c>
      <x:c r="AA1692" s="6" t="str">
        <x:v>swiss_dwellings</x:v>
      </x:c>
      <x:c r="AB1692" s="6" t="str">
        <x:v>CC-BY-4.0</x:v>
      </x:c>
    </x:row>
    <x:row r="1693" ht="72" customHeight="1">
      <x:c r="A1693" s="14" t="n">
        <x:v>1688</x:v>
      </x:c>
      <x:c r="B1693" s="6" t="str">
        <x:v>route_step_free</x:v>
      </x:c>
      <x:c r="C1693" s="6" t="str">
        <x:v>Is there a step-free route from Bathroom 1.35 (apartment 8) (Floor 1) to Bathroom 0.22 (apartment 3) (Ground floor)?</x:v>
      </x:c>
      <x:c r="D1693" s="6" t="str">
        <x:v>No route under the requested constraints.
From: Bathroom 1.35 (apartment 8)
To: Bathroom 0.22 (apartment 3)</x:v>
      </x:c>
      <x:c r="E1693" s="6" t="str">
        <x:v>Reference supplied</x:v>
      </x:c>
      <x:c r="F1693" s="6" t="str">
        <x:v>train</x:v>
      </x:c>
      <x:c r="G1693" s="6" t="str">
        <x:v>swiss-3338</x:v>
      </x:c>
      <x:c r="H1693" s="6" t="str">
        <x:v>swiss-3338-Q06</x:v>
      </x:c>
      <x:c r="I1693" s="6" t="str">
        <x:v>Route planning</x:v>
      </x:c>
      <x:c r="J1693" s="6" t="str">
        <x:v>Warm-up</x:v>
      </x:c>
      <x:c r="K1693" s="6" t="str">
        <x:v>Reachable: ordered path and metres. Unreachable: explicitly state no step-free route.</x:v>
      </x:c>
      <x:c r="L1693" s="6" t="str">
        <x:v>T02, T05, T13</x:v>
      </x:c>
      <x:c r="M1693" s="6" t="str">
        <x:v>Check whether a step-free route exists and give it when possible.</x:v>
      </x:c>
      <x:c r="N1693" s="6" t="str">
        <x:v>{"from_space_id":"swiss-3338-F1-S035","to_space_id":"swiss-3338-F0-S022","reachable":false}</x:v>
      </x:c>
      <x:c r="O1693" s="6"/>
      <x:c r="P1693" s="6" t="str">
        <x:v>step_free=true. No stairs or stepped openings. May be unreachable.</x:v>
      </x:c>
      <x:c r="Q1693" s="15"/>
      <x:c r="R1693" s="6"/>
      <x:c r="S1693" s="16"/>
      <x:c r="T1693" s="15"/>
      <x:c r="U1693" s="6"/>
      <x:c r="V1693" s="6"/>
      <x:c r="W1693" s="6" t="str">
        <x:v>Existing find_route(step_free=true).</x:v>
      </x:c>
      <x:c r="X1693" s="6" t="str">
        <x:v>data/train/swiss-3338/questions_basic.jsonl</x:v>
      </x:c>
      <x:c r="Y1693" s="14" t="n">
        <x:v>6</x:v>
      </x:c>
      <x:c r="Z1693" s="6" t="str">
        <x:v>https://github.com/hagenhaeussler/Industrial-Agents-Hackathon-2026/blob/f41616590b69f3ea0c1cbfb41d6c35edd9ce53df/data/train/swiss-3338/questions_basic.jsonl#L6</x:v>
      </x:c>
      <x:c r="AA1693" s="6" t="str">
        <x:v>swiss_dwellings</x:v>
      </x:c>
      <x:c r="AB1693" s="6" t="str">
        <x:v>CC-BY-4.0</x:v>
      </x:c>
    </x:row>
    <x:row r="1694" ht="72" customHeight="1">
      <x:c r="A1694" s="14" t="n">
        <x:v>1689</x:v>
      </x:c>
      <x:c r="B1694" s="6" t="str">
        <x:v>route_step_free</x:v>
      </x:c>
      <x:c r="C1694" s="6" t="str">
        <x:v>Is there a step-free route from Bedroom 2.19 (apartment 9) (Floor 2) to Bedroom 1.03 (apartment 5) (Floor 1)?</x:v>
      </x:c>
      <x:c r="D1694" s="6" t="str">
        <x:v>No route under the requested constraints.
From: Bedroom 2.19 (apartment 9)
To: Bedroom 1.03 (apartment 5)</x:v>
      </x:c>
      <x:c r="E1694" s="6" t="str">
        <x:v>Reference supplied</x:v>
      </x:c>
      <x:c r="F1694" s="6" t="str">
        <x:v>train</x:v>
      </x:c>
      <x:c r="G1694" s="6" t="str">
        <x:v>swiss-3355</x:v>
      </x:c>
      <x:c r="H1694" s="6" t="str">
        <x:v>swiss-3355-Q07</x:v>
      </x:c>
      <x:c r="I1694" s="6" t="str">
        <x:v>Route planning</x:v>
      </x:c>
      <x:c r="J1694" s="6" t="str">
        <x:v>Warm-up</x:v>
      </x:c>
      <x:c r="K1694" s="6" t="str">
        <x:v>Reachable: ordered path and metres. Unreachable: explicitly state no step-free route.</x:v>
      </x:c>
      <x:c r="L1694" s="6" t="str">
        <x:v>T02, T05, T13</x:v>
      </x:c>
      <x:c r="M1694" s="6" t="str">
        <x:v>Check whether a step-free route exists and give it when possible.</x:v>
      </x:c>
      <x:c r="N1694" s="6" t="str">
        <x:v>{"from_space_id":"swiss-3355-F2-S019","to_space_id":"swiss-3355-F1-S003","reachable":false}</x:v>
      </x:c>
      <x:c r="O1694" s="6"/>
      <x:c r="P1694" s="6" t="str">
        <x:v>step_free=true. No stairs or stepped openings. May be unreachable.</x:v>
      </x:c>
      <x:c r="Q1694" s="15"/>
      <x:c r="R1694" s="6"/>
      <x:c r="S1694" s="16"/>
      <x:c r="T1694" s="15"/>
      <x:c r="U1694" s="6"/>
      <x:c r="V1694" s="6"/>
      <x:c r="W1694" s="6" t="str">
        <x:v>Existing find_route(step_free=true).</x:v>
      </x:c>
      <x:c r="X1694" s="6" t="str">
        <x:v>data/train/swiss-3355/questions_basic.jsonl</x:v>
      </x:c>
      <x:c r="Y1694" s="14" t="n">
        <x:v>7</x:v>
      </x:c>
      <x:c r="Z1694" s="6" t="str">
        <x:v>https://github.com/hagenhaeussler/Industrial-Agents-Hackathon-2026/blob/f41616590b69f3ea0c1cbfb41d6c35edd9ce53df/data/train/swiss-3355/questions_basic.jsonl#L7</x:v>
      </x:c>
      <x:c r="AA1694" s="6" t="str">
        <x:v>swiss_dwellings</x:v>
      </x:c>
      <x:c r="AB1694" s="6" t="str">
        <x:v>CC-BY-4.0</x:v>
      </x:c>
    </x:row>
    <x:row r="1695" ht="72" customHeight="1">
      <x:c r="A1695" s="14" t="n">
        <x:v>1690</x:v>
      </x:c>
      <x:c r="B1695" s="6" t="str">
        <x:v>route_step_free</x:v>
      </x:c>
      <x:c r="C1695" s="6" t="str">
        <x:v>Is there a step-free route from Bathroom 2.03 (apartment 5) (Floor 2) to Bedroom 3.11 (apartment 8) (Floor 3)?</x:v>
      </x:c>
      <x:c r="D1695" s="6" t="str">
        <x:v>No route under the requested constraints.
From: Bathroom 2.03 (apartment 5)
To: Bedroom 3.11 (apartment 8)</x:v>
      </x:c>
      <x:c r="E1695" s="6" t="str">
        <x:v>Reference supplied</x:v>
      </x:c>
      <x:c r="F1695" s="6" t="str">
        <x:v>train</x:v>
      </x:c>
      <x:c r="G1695" s="6" t="str">
        <x:v>swiss-3418</x:v>
      </x:c>
      <x:c r="H1695" s="6" t="str">
        <x:v>swiss-3418-Q06</x:v>
      </x:c>
      <x:c r="I1695" s="6" t="str">
        <x:v>Route planning</x:v>
      </x:c>
      <x:c r="J1695" s="6" t="str">
        <x:v>Warm-up</x:v>
      </x:c>
      <x:c r="K1695" s="6" t="str">
        <x:v>Reachable: ordered path and metres. Unreachable: explicitly state no step-free route.</x:v>
      </x:c>
      <x:c r="L1695" s="6" t="str">
        <x:v>T02, T05, T13</x:v>
      </x:c>
      <x:c r="M1695" s="6" t="str">
        <x:v>Check whether a step-free route exists and give it when possible.</x:v>
      </x:c>
      <x:c r="N1695" s="6" t="str">
        <x:v>{"from_space_id":"swiss-3418-F2-S003","to_space_id":"swiss-3418-F3-S011","reachable":false}</x:v>
      </x:c>
      <x:c r="O1695" s="6"/>
      <x:c r="P1695" s="6" t="str">
        <x:v>step_free=true. No stairs or stepped openings. May be unreachable.</x:v>
      </x:c>
      <x:c r="Q1695" s="15"/>
      <x:c r="R1695" s="6"/>
      <x:c r="S1695" s="16"/>
      <x:c r="T1695" s="15"/>
      <x:c r="U1695" s="6"/>
      <x:c r="V1695" s="6"/>
      <x:c r="W1695" s="6" t="str">
        <x:v>Existing find_route(step_free=true).</x:v>
      </x:c>
      <x:c r="X1695" s="6" t="str">
        <x:v>data/train/swiss-3418/questions_basic.jsonl</x:v>
      </x:c>
      <x:c r="Y1695" s="14" t="n">
        <x:v>6</x:v>
      </x:c>
      <x:c r="Z1695" s="6" t="str">
        <x:v>https://github.com/hagenhaeussler/Industrial-Agents-Hackathon-2026/blob/f41616590b69f3ea0c1cbfb41d6c35edd9ce53df/data/train/swiss-3418/questions_basic.jsonl#L6</x:v>
      </x:c>
      <x:c r="AA1695" s="6" t="str">
        <x:v>swiss_dwellings</x:v>
      </x:c>
      <x:c r="AB1695" s="6" t="str">
        <x:v>CC-BY-4.0</x:v>
      </x:c>
    </x:row>
    <x:row r="1696" ht="72" customHeight="1">
      <x:c r="A1696" s="14" t="n">
        <x:v>1691</x:v>
      </x:c>
      <x:c r="B1696" s="6" t="str">
        <x:v>route_step_free</x:v>
      </x:c>
      <x:c r="C1696" s="6" t="str">
        <x:v>Is there a step-free route from Bedroom 2.06 (apartment 3) (Floor 2) to Bedroom 1.08 (apartment 2) (Floor 1)?</x:v>
      </x:c>
      <x:c r="D1696" s="6" t="str">
        <x:v>No route under the requested constraints.
From: Bedroom 2.06 (apartment 3)
To: Bedroom 1.08 (apartment 2)</x:v>
      </x:c>
      <x:c r="E1696" s="6" t="str">
        <x:v>Reference supplied</x:v>
      </x:c>
      <x:c r="F1696" s="6" t="str">
        <x:v>train</x:v>
      </x:c>
      <x:c r="G1696" s="6" t="str">
        <x:v>swiss-373</x:v>
      </x:c>
      <x:c r="H1696" s="6" t="str">
        <x:v>swiss-373-Q08</x:v>
      </x:c>
      <x:c r="I1696" s="6" t="str">
        <x:v>Route planning</x:v>
      </x:c>
      <x:c r="J1696" s="6" t="str">
        <x:v>Warm-up</x:v>
      </x:c>
      <x:c r="K1696" s="6" t="str">
        <x:v>Reachable: ordered path and metres. Unreachable: explicitly state no step-free route.</x:v>
      </x:c>
      <x:c r="L1696" s="6" t="str">
        <x:v>T02, T05, T13</x:v>
      </x:c>
      <x:c r="M1696" s="6" t="str">
        <x:v>Check whether a step-free route exists and give it when possible.</x:v>
      </x:c>
      <x:c r="N1696" s="6" t="str">
        <x:v>{"from_space_id":"swiss-373-F2-S006","to_space_id":"swiss-373-F1-S008","reachable":false}</x:v>
      </x:c>
      <x:c r="O1696" s="6"/>
      <x:c r="P1696" s="6" t="str">
        <x:v>step_free=true. No stairs or stepped openings. May be unreachable.</x:v>
      </x:c>
      <x:c r="Q1696" s="15"/>
      <x:c r="R1696" s="6"/>
      <x:c r="S1696" s="16"/>
      <x:c r="T1696" s="15"/>
      <x:c r="U1696" s="6"/>
      <x:c r="V1696" s="6"/>
      <x:c r="W1696" s="6" t="str">
        <x:v>Existing find_route(step_free=true).</x:v>
      </x:c>
      <x:c r="X1696" s="6" t="str">
        <x:v>data/train/swiss-373/questions_basic.jsonl</x:v>
      </x:c>
      <x:c r="Y1696" s="14" t="n">
        <x:v>8</x:v>
      </x:c>
      <x:c r="Z1696" s="6" t="str">
        <x:v>https://github.com/hagenhaeussler/Industrial-Agents-Hackathon-2026/blob/f41616590b69f3ea0c1cbfb41d6c35edd9ce53df/data/train/swiss-373/questions_basic.jsonl#L8</x:v>
      </x:c>
      <x:c r="AA1696" s="6" t="str">
        <x:v>swiss_dwellings</x:v>
      </x:c>
      <x:c r="AB1696" s="6" t="str">
        <x:v>CC-BY-4.0</x:v>
      </x:c>
    </x:row>
    <x:row r="1697" ht="72" customHeight="1">
      <x:c r="A1697" s="14" t="n">
        <x:v>1692</x:v>
      </x:c>
      <x:c r="B1697" s="6" t="str">
        <x:v>route_step_free</x:v>
      </x:c>
      <x:c r="C1697" s="6" t="str">
        <x:v>Is there a step-free route from Living room 4.02 (apartment 5) (Floor 4) to Bedroom 1.04 (apartment 2) (Floor 1)?</x:v>
      </x:c>
      <x:c r="D1697" s="6" t="str">
        <x:v>No route under the requested constraints.
From: Living room 4.02 (apartment 5)
To: Bedroom 1.04 (apartment 2)</x:v>
      </x:c>
      <x:c r="E1697" s="6" t="str">
        <x:v>Reference supplied</x:v>
      </x:c>
      <x:c r="F1697" s="6" t="str">
        <x:v>train</x:v>
      </x:c>
      <x:c r="G1697" s="6" t="str">
        <x:v>swiss-390</x:v>
      </x:c>
      <x:c r="H1697" s="6" t="str">
        <x:v>swiss-390-Q08</x:v>
      </x:c>
      <x:c r="I1697" s="6" t="str">
        <x:v>Route planning</x:v>
      </x:c>
      <x:c r="J1697" s="6" t="str">
        <x:v>Warm-up</x:v>
      </x:c>
      <x:c r="K1697" s="6" t="str">
        <x:v>Reachable: ordered path and metres. Unreachable: explicitly state no step-free route.</x:v>
      </x:c>
      <x:c r="L1697" s="6" t="str">
        <x:v>T02, T05, T13</x:v>
      </x:c>
      <x:c r="M1697" s="6" t="str">
        <x:v>Check whether a step-free route exists and give it when possible.</x:v>
      </x:c>
      <x:c r="N1697" s="6" t="str">
        <x:v>{"from_space_id":"swiss-390-F4-S002","to_space_id":"swiss-390-F1-S004","reachable":false}</x:v>
      </x:c>
      <x:c r="O1697" s="6"/>
      <x:c r="P1697" s="6" t="str">
        <x:v>step_free=true. No stairs or stepped openings. May be unreachable.</x:v>
      </x:c>
      <x:c r="Q1697" s="15"/>
      <x:c r="R1697" s="6"/>
      <x:c r="S1697" s="16"/>
      <x:c r="T1697" s="15"/>
      <x:c r="U1697" s="6"/>
      <x:c r="V1697" s="6"/>
      <x:c r="W1697" s="6" t="str">
        <x:v>Existing find_route(step_free=true).</x:v>
      </x:c>
      <x:c r="X1697" s="6" t="str">
        <x:v>data/train/swiss-390/questions_basic.jsonl</x:v>
      </x:c>
      <x:c r="Y1697" s="14" t="n">
        <x:v>8</x:v>
      </x:c>
      <x:c r="Z1697" s="6" t="str">
        <x:v>https://github.com/hagenhaeussler/Industrial-Agents-Hackathon-2026/blob/f41616590b69f3ea0c1cbfb41d6c35edd9ce53df/data/train/swiss-390/questions_basic.jsonl#L8</x:v>
      </x:c>
      <x:c r="AA1697" s="6" t="str">
        <x:v>swiss_dwellings</x:v>
      </x:c>
      <x:c r="AB1697" s="6" t="str">
        <x:v>CC-BY-4.0</x:v>
      </x:c>
    </x:row>
    <x:row r="1698" ht="72" customHeight="1">
      <x:c r="A1698" s="14" t="n">
        <x:v>1693</x:v>
      </x:c>
      <x:c r="B1698" s="6" t="str">
        <x:v>route_step_free</x:v>
      </x:c>
      <x:c r="C1698" s="6" t="str">
        <x:v>Is there a step-free route from Living room 1.13 (apartment 4) (Floor 1) to Living room 0.18 (apartment 2) (Ground floor)?</x:v>
      </x:c>
      <x:c r="D1698" s="6" t="str">
        <x:v>No route under the requested constraints.
From: Living room 1.13 (apartment 4)
To: Living room 0.18 (apartment 2)</x:v>
      </x:c>
      <x:c r="E1698" s="6" t="str">
        <x:v>Reference supplied</x:v>
      </x:c>
      <x:c r="F1698" s="6" t="str">
        <x:v>train</x:v>
      </x:c>
      <x:c r="G1698" s="6" t="str">
        <x:v>swiss-401</x:v>
      </x:c>
      <x:c r="H1698" s="6" t="str">
        <x:v>swiss-401-Q08</x:v>
      </x:c>
      <x:c r="I1698" s="6" t="str">
        <x:v>Route planning</x:v>
      </x:c>
      <x:c r="J1698" s="6" t="str">
        <x:v>Warm-up</x:v>
      </x:c>
      <x:c r="K1698" s="6" t="str">
        <x:v>Reachable: ordered path and metres. Unreachable: explicitly state no step-free route.</x:v>
      </x:c>
      <x:c r="L1698" s="6" t="str">
        <x:v>T02, T05, T13</x:v>
      </x:c>
      <x:c r="M1698" s="6" t="str">
        <x:v>Check whether a step-free route exists and give it when possible.</x:v>
      </x:c>
      <x:c r="N1698" s="6" t="str">
        <x:v>{"from_space_id":"swiss-401-F1-S013","to_space_id":"swiss-401-F0-S018","reachable":false}</x:v>
      </x:c>
      <x:c r="O1698" s="6"/>
      <x:c r="P1698" s="6" t="str">
        <x:v>step_free=true. No stairs or stepped openings. May be unreachable.</x:v>
      </x:c>
      <x:c r="Q1698" s="15"/>
      <x:c r="R1698" s="6"/>
      <x:c r="S1698" s="16"/>
      <x:c r="T1698" s="15"/>
      <x:c r="U1698" s="6"/>
      <x:c r="V1698" s="6"/>
      <x:c r="W1698" s="6" t="str">
        <x:v>Existing find_route(step_free=true).</x:v>
      </x:c>
      <x:c r="X1698" s="6" t="str">
        <x:v>data/train/swiss-401/questions_basic.jsonl</x:v>
      </x:c>
      <x:c r="Y1698" s="14" t="n">
        <x:v>8</x:v>
      </x:c>
      <x:c r="Z1698" s="6" t="str">
        <x:v>https://github.com/hagenhaeussler/Industrial-Agents-Hackathon-2026/blob/f41616590b69f3ea0c1cbfb41d6c35edd9ce53df/data/train/swiss-401/questions_basic.jsonl#L8</x:v>
      </x:c>
      <x:c r="AA1698" s="6" t="str">
        <x:v>swiss_dwellings</x:v>
      </x:c>
      <x:c r="AB1698" s="6" t="str">
        <x:v>CC-BY-4.0</x:v>
      </x:c>
    </x:row>
    <x:row r="1699" ht="72" customHeight="1">
      <x:c r="A1699" s="14" t="n">
        <x:v>1694</x:v>
      </x:c>
      <x:c r="B1699" s="6" t="str">
        <x:v>route_step_free</x:v>
      </x:c>
      <x:c r="C1699" s="6" t="str">
        <x:v>Is there a step-free route from Bedroom 3.14 (apartment 8) (Floor 3) to Bedroom 1.09 (apartment 3) (Floor 1)?</x:v>
      </x:c>
      <x:c r="D1699" s="6" t="str">
        <x:v>No route under the requested constraints.
From: Bedroom 3.14 (apartment 8)
To: Bedroom 1.09 (apartment 3)</x:v>
      </x:c>
      <x:c r="E1699" s="6" t="str">
        <x:v>Reference supplied</x:v>
      </x:c>
      <x:c r="F1699" s="6" t="str">
        <x:v>train</x:v>
      </x:c>
      <x:c r="G1699" s="6" t="str">
        <x:v>swiss-430</x:v>
      </x:c>
      <x:c r="H1699" s="6" t="str">
        <x:v>swiss-430-Q08</x:v>
      </x:c>
      <x:c r="I1699" s="6" t="str">
        <x:v>Route planning</x:v>
      </x:c>
      <x:c r="J1699" s="6" t="str">
        <x:v>Warm-up</x:v>
      </x:c>
      <x:c r="K1699" s="6" t="str">
        <x:v>Reachable: ordered path and metres. Unreachable: explicitly state no step-free route.</x:v>
      </x:c>
      <x:c r="L1699" s="6" t="str">
        <x:v>T02, T05, T13</x:v>
      </x:c>
      <x:c r="M1699" s="6" t="str">
        <x:v>Check whether a step-free route exists and give it when possible.</x:v>
      </x:c>
      <x:c r="N1699" s="6" t="str">
        <x:v>{"from_space_id":"swiss-430-F3-S014","to_space_id":"swiss-430-F1-S009","reachable":false}</x:v>
      </x:c>
      <x:c r="O1699" s="6"/>
      <x:c r="P1699" s="6" t="str">
        <x:v>step_free=true. No stairs or stepped openings. May be unreachable.</x:v>
      </x:c>
      <x:c r="Q1699" s="15"/>
      <x:c r="R1699" s="6"/>
      <x:c r="S1699" s="16"/>
      <x:c r="T1699" s="15"/>
      <x:c r="U1699" s="6"/>
      <x:c r="V1699" s="6"/>
      <x:c r="W1699" s="6" t="str">
        <x:v>Existing find_route(step_free=true).</x:v>
      </x:c>
      <x:c r="X1699" s="6" t="str">
        <x:v>data/train/swiss-430/questions_basic.jsonl</x:v>
      </x:c>
      <x:c r="Y1699" s="14" t="n">
        <x:v>8</x:v>
      </x:c>
      <x:c r="Z1699" s="6" t="str">
        <x:v>https://github.com/hagenhaeussler/Industrial-Agents-Hackathon-2026/blob/f41616590b69f3ea0c1cbfb41d6c35edd9ce53df/data/train/swiss-430/questions_basic.jsonl#L8</x:v>
      </x:c>
      <x:c r="AA1699" s="6" t="str">
        <x:v>swiss_dwellings</x:v>
      </x:c>
      <x:c r="AB1699" s="6" t="str">
        <x:v>CC-BY-4.0</x:v>
      </x:c>
    </x:row>
    <x:row r="1700" ht="110" customHeight="1">
      <x:c r="A1700" s="14" t="n">
        <x:v>1695</x:v>
      </x:c>
      <x:c r="B1700" s="6" t="str">
        <x:v>route_step_free</x:v>
      </x:c>
      <x:c r="C1700" s="6" t="str">
        <x:v>Is there a step-free route from Kitchen 1.09 (apartment 5) (Floor 1) to Kitchen 5.19 (apartment 18) (Floor 5)?</x:v>
      </x:c>
      <x:c r="D1700" s="6" t="str">
        <x:v>99.46 m
From: Kitchen 1.09 (apartment 5)
To: Kitchen 5.19 (apartment 18)
Ordered path (9 spaces): Kitchen 1.09 (apartment 5) → Corridor 1.14 (apartment 5) → Stair hall 1.24 → Stair hall 2.24 → Stair hall 3.24 → Stair hall 4.24 → Stair hall 5.24 → Corridor 5.23 (apartment 18) → Kitchen 5.19 (apartment 18)</x:v>
      </x:c>
      <x:c r="E1700" s="6" t="str">
        <x:v>Reference supplied</x:v>
      </x:c>
      <x:c r="F1700" s="6" t="str">
        <x:v>train</x:v>
      </x:c>
      <x:c r="G1700" s="6" t="str">
        <x:v>swiss-433</x:v>
      </x:c>
      <x:c r="H1700" s="6" t="str">
        <x:v>swiss-433-Q05</x:v>
      </x:c>
      <x:c r="I1700" s="6" t="str">
        <x:v>Route planning</x:v>
      </x:c>
      <x:c r="J1700" s="6" t="str">
        <x:v>Warm-up</x:v>
      </x:c>
      <x:c r="K1700" s="6" t="str">
        <x:v>Reachable: ordered path and metres. Unreachable: explicitly state no step-free route.</x:v>
      </x:c>
      <x:c r="L1700" s="6" t="str">
        <x:v>T02, T05, T13</x:v>
      </x:c>
      <x:c r="M1700" s="6" t="str">
        <x:v>Check whether a step-free route exists and give it when possible.</x:v>
      </x:c>
      <x:c r="N1700" s="6" t="str">
        <x:v>{"from_space_id":"swiss-433-F1-S009","to_space_id":"swiss-433-F5-S019","optimal_length_m":99.46,"space_path":["swiss-433-F1-S009","swiss-433-F1-S014","swiss-433-F1-S024","swiss-433-F2-S024","swiss-433-F3-S024","swiss-433-F4-S024","swiss-433-F5-S024","swiss-433-F5-S023","swiss-433-F5-S019"],"element_path":["swiss-433-F1-O0035","swiss-433-F1-O0035","swiss-433-F1-O0040","swiss-433-F1-O0040","swiss-433-V02","swiss-433-V02","swiss-433-V02","swiss-433-V02","swiss-433-F5-O0150","swiss-433-F5-O0150","swiss-433-F5-O0152","swiss-433-F5-O0152"]}</x:v>
      </x:c>
      <x:c r="O1700" s="6"/>
      <x:c r="P1700" s="6" t="str">
        <x:v>step_free=true. No stairs or stepped openings. May be unreachable.</x:v>
      </x:c>
      <x:c r="Q1700" s="15" t="n">
        <x:v>99.46</x:v>
      </x:c>
      <x:c r="R1700" s="6" t="str">
        <x:v>m</x:v>
      </x:c>
      <x:c r="S1700" s="16"/>
      <x:c r="T1700" s="15"/>
      <x:c r="U1700" s="6"/>
      <x:c r="V1700" s="6"/>
      <x:c r="W1700" s="6" t="str">
        <x:v>Existing find_route(step_free=true).</x:v>
      </x:c>
      <x:c r="X1700" s="6" t="str">
        <x:v>data/train/swiss-433/questions_basic.jsonl</x:v>
      </x:c>
      <x:c r="Y1700" s="14" t="n">
        <x:v>5</x:v>
      </x:c>
      <x:c r="Z1700" s="6" t="str">
        <x:v>https://github.com/hagenhaeussler/Industrial-Agents-Hackathon-2026/blob/f41616590b69f3ea0c1cbfb41d6c35edd9ce53df/data/train/swiss-433/questions_basic.jsonl#L5</x:v>
      </x:c>
      <x:c r="AA1700" s="6" t="str">
        <x:v>swiss_dwellings</x:v>
      </x:c>
      <x:c r="AB1700" s="6" t="str">
        <x:v>CC-BY-4.0</x:v>
      </x:c>
    </x:row>
    <x:row r="1701" ht="124" customHeight="1">
      <x:c r="A1701" s="14" t="n">
        <x:v>1696</x:v>
      </x:c>
      <x:c r="B1701" s="6" t="str">
        <x:v>route_step_free</x:v>
      </x:c>
      <x:c r="C1701" s="6" t="str">
        <x:v>Is there a step-free route from Bedroom 2.19 (apartment 11) (Floor 2) to Bedroom 0.22 (apartment 4) (Ground floor)?</x:v>
      </x:c>
      <x:c r="D1701" s="6" t="str">
        <x:v>63.94 m
From: Bedroom 2.19 (apartment 11)
To: Bedroom 0.22 (apartment 4)
Ordered path (11 spaces): Bedroom 2.19 (apartment 11) → Corridor 2.27 (apartment 11) → Living room 2.18 (apartment 11) → Corridor 2.24 (apartment 11) → Stair hall 2.39 → Stair hall 1.39 → Landing 0.26 → outside → Landing 0.29 → Corridor 0.23 (apartment 4) → Bedroom 0.22 (apartment 4)</x:v>
      </x:c>
      <x:c r="E1701" s="6" t="str">
        <x:v>Reference supplied</x:v>
      </x:c>
      <x:c r="F1701" s="6" t="str">
        <x:v>train</x:v>
      </x:c>
      <x:c r="G1701" s="6" t="str">
        <x:v>swiss-437</x:v>
      </x:c>
      <x:c r="H1701" s="6" t="str">
        <x:v>swiss-437-Q06</x:v>
      </x:c>
      <x:c r="I1701" s="6" t="str">
        <x:v>Route planning</x:v>
      </x:c>
      <x:c r="J1701" s="6" t="str">
        <x:v>Warm-up</x:v>
      </x:c>
      <x:c r="K1701" s="6" t="str">
        <x:v>Reachable: ordered path and metres. Unreachable: explicitly state no step-free route.</x:v>
      </x:c>
      <x:c r="L1701" s="6" t="str">
        <x:v>T02, T05, T13</x:v>
      </x:c>
      <x:c r="M1701" s="6" t="str">
        <x:v>Check whether a step-free route exists and give it when possible.</x:v>
      </x:c>
      <x:c r="N1701" s="6" t="str">
        <x:v>{"from_space_id":"swiss-437-F2-S019","to_space_id":"swiss-437-F0-S022","optimal_length_m":63.94,"space_path":["swiss-437-F2-S019","swiss-437-F2-S027","swiss-437-F2-S018","swiss-437-F2-S024","swiss-437-F2-S039","swiss-437-F1-S039","swiss-437-F0-S026","outside","swiss-437-F0-S029","swiss-437-F0-S023","swiss-437-F0-S022"],"element_path":["swiss-437-F2-O0088","swiss-437-F2-O0088","swiss-437-F2-O0105","swiss-437-F2-O0105","swiss-437-F2-O0104","swiss-437-F2-O0104","swiss-437-F2-O0087","swiss-437-F2-O0087","swiss-437-V02","swiss-437-V02","swiss-437-F0-O0206","swiss-437-F0-O0206","swiss-437-F0-O0209","swiss-437-F0-O0209","swiss-437-F0-O0016","swiss-437-F0-O0016","swiss-437-F0-O0025","swiss-437-F0-O0025"]}</x:v>
      </x:c>
      <x:c r="O1701" s="6"/>
      <x:c r="P1701" s="6" t="str">
        <x:v>step_free=true. No stairs or stepped openings. May be unreachable.</x:v>
      </x:c>
      <x:c r="Q1701" s="15" t="n">
        <x:v>63.94</x:v>
      </x:c>
      <x:c r="R1701" s="6" t="str">
        <x:v>m</x:v>
      </x:c>
      <x:c r="S1701" s="16"/>
      <x:c r="T1701" s="15"/>
      <x:c r="U1701" s="6"/>
      <x:c r="V1701" s="6"/>
      <x:c r="W1701" s="6" t="str">
        <x:v>Existing find_route(step_free=true).</x:v>
      </x:c>
      <x:c r="X1701" s="6" t="str">
        <x:v>data/train/swiss-437/questions_basic.jsonl</x:v>
      </x:c>
      <x:c r="Y1701" s="14" t="n">
        <x:v>6</x:v>
      </x:c>
      <x:c r="Z1701" s="6" t="str">
        <x:v>https://github.com/hagenhaeussler/Industrial-Agents-Hackathon-2026/blob/f41616590b69f3ea0c1cbfb41d6c35edd9ce53df/data/train/swiss-437/questions_basic.jsonl#L6</x:v>
      </x:c>
      <x:c r="AA1701" s="6" t="str">
        <x:v>swiss_dwellings</x:v>
      </x:c>
      <x:c r="AB1701" s="6" t="str">
        <x:v>CC-BY-4.0</x:v>
      </x:c>
    </x:row>
    <x:row r="1702" ht="72" customHeight="1">
      <x:c r="A1702" s="14" t="n">
        <x:v>1697</x:v>
      </x:c>
      <x:c r="B1702" s="6" t="str">
        <x:v>route_step_free</x:v>
      </x:c>
      <x:c r="C1702" s="6" t="str">
        <x:v>Is there a step-free route from Bedroom 2.19 (apartment 16) (Floor 2) to Bathroom 0.17 (apartment 6) (Ground floor)?</x:v>
      </x:c>
      <x:c r="D1702" s="6" t="str">
        <x:v>No route under the requested constraints.
From: Bedroom 2.19 (apartment 16)
To: Bathroom 0.17 (apartment 6)</x:v>
      </x:c>
      <x:c r="E1702" s="6" t="str">
        <x:v>Reference supplied</x:v>
      </x:c>
      <x:c r="F1702" s="6" t="str">
        <x:v>train</x:v>
      </x:c>
      <x:c r="G1702" s="6" t="str">
        <x:v>swiss-442</x:v>
      </x:c>
      <x:c r="H1702" s="6" t="str">
        <x:v>swiss-442-Q05</x:v>
      </x:c>
      <x:c r="I1702" s="6" t="str">
        <x:v>Route planning</x:v>
      </x:c>
      <x:c r="J1702" s="6" t="str">
        <x:v>Warm-up</x:v>
      </x:c>
      <x:c r="K1702" s="6" t="str">
        <x:v>Reachable: ordered path and metres. Unreachable: explicitly state no step-free route.</x:v>
      </x:c>
      <x:c r="L1702" s="6" t="str">
        <x:v>T02, T05, T13</x:v>
      </x:c>
      <x:c r="M1702" s="6" t="str">
        <x:v>Check whether a step-free route exists and give it when possible.</x:v>
      </x:c>
      <x:c r="N1702" s="6" t="str">
        <x:v>{"from_space_id":"swiss-442-F2-S019","to_space_id":"swiss-442-F0-S017","reachable":false}</x:v>
      </x:c>
      <x:c r="O1702" s="6"/>
      <x:c r="P1702" s="6" t="str">
        <x:v>step_free=true. No stairs or stepped openings. May be unreachable.</x:v>
      </x:c>
      <x:c r="Q1702" s="15"/>
      <x:c r="R1702" s="6"/>
      <x:c r="S1702" s="16"/>
      <x:c r="T1702" s="15"/>
      <x:c r="U1702" s="6"/>
      <x:c r="V1702" s="6"/>
      <x:c r="W1702" s="6" t="str">
        <x:v>Existing find_route(step_free=true).</x:v>
      </x:c>
      <x:c r="X1702" s="6" t="str">
        <x:v>data/train/swiss-442/questions_basic.jsonl</x:v>
      </x:c>
      <x:c r="Y1702" s="14" t="n">
        <x:v>5</x:v>
      </x:c>
      <x:c r="Z1702" s="6" t="str">
        <x:v>https://github.com/hagenhaeussler/Industrial-Agents-Hackathon-2026/blob/f41616590b69f3ea0c1cbfb41d6c35edd9ce53df/data/train/swiss-442/questions_basic.jsonl#L5</x:v>
      </x:c>
      <x:c r="AA1702" s="6" t="str">
        <x:v>swiss_dwellings</x:v>
      </x:c>
      <x:c r="AB1702" s="6" t="str">
        <x:v>CC-BY-4.0</x:v>
      </x:c>
    </x:row>
    <x:row r="1703" ht="72" customHeight="1">
      <x:c r="A1703" s="14" t="n">
        <x:v>1698</x:v>
      </x:c>
      <x:c r="B1703" s="6" t="str">
        <x:v>route_step_free</x:v>
      </x:c>
      <x:c r="C1703" s="6" t="str">
        <x:v>Is there a step-free route from Bathroom 2.02 (apartment 17) (Floor 2) to Bathroom 0.28 (apartment 5) (Ground floor)?</x:v>
      </x:c>
      <x:c r="D1703" s="6" t="str">
        <x:v>No route under the requested constraints.
From: Bathroom 2.02 (apartment 17)
To: Bathroom 0.28 (apartment 5)</x:v>
      </x:c>
      <x:c r="E1703" s="6" t="str">
        <x:v>Reference supplied</x:v>
      </x:c>
      <x:c r="F1703" s="6" t="str">
        <x:v>train</x:v>
      </x:c>
      <x:c r="G1703" s="6" t="str">
        <x:v>swiss-474</x:v>
      </x:c>
      <x:c r="H1703" s="6" t="str">
        <x:v>swiss-474-Q05</x:v>
      </x:c>
      <x:c r="I1703" s="6" t="str">
        <x:v>Route planning</x:v>
      </x:c>
      <x:c r="J1703" s="6" t="str">
        <x:v>Warm-up</x:v>
      </x:c>
      <x:c r="K1703" s="6" t="str">
        <x:v>Reachable: ordered path and metres. Unreachable: explicitly state no step-free route.</x:v>
      </x:c>
      <x:c r="L1703" s="6" t="str">
        <x:v>T02, T05, T13</x:v>
      </x:c>
      <x:c r="M1703" s="6" t="str">
        <x:v>Check whether a step-free route exists and give it when possible.</x:v>
      </x:c>
      <x:c r="N1703" s="6" t="str">
        <x:v>{"from_space_id":"swiss-474-F2-S002","to_space_id":"swiss-474-F0-S028","reachable":false}</x:v>
      </x:c>
      <x:c r="O1703" s="6"/>
      <x:c r="P1703" s="6" t="str">
        <x:v>step_free=true. No stairs or stepped openings. May be unreachable.</x:v>
      </x:c>
      <x:c r="Q1703" s="15"/>
      <x:c r="R1703" s="6"/>
      <x:c r="S1703" s="16"/>
      <x:c r="T1703" s="15"/>
      <x:c r="U1703" s="6"/>
      <x:c r="V1703" s="6"/>
      <x:c r="W1703" s="6" t="str">
        <x:v>Existing find_route(step_free=true).</x:v>
      </x:c>
      <x:c r="X1703" s="6" t="str">
        <x:v>data/train/swiss-474/questions_basic.jsonl</x:v>
      </x:c>
      <x:c r="Y1703" s="14" t="n">
        <x:v>5</x:v>
      </x:c>
      <x:c r="Z1703" s="6" t="str">
        <x:v>https://github.com/hagenhaeussler/Industrial-Agents-Hackathon-2026/blob/f41616590b69f3ea0c1cbfb41d6c35edd9ce53df/data/train/swiss-474/questions_basic.jsonl#L5</x:v>
      </x:c>
      <x:c r="AA1703" s="6" t="str">
        <x:v>swiss_dwellings</x:v>
      </x:c>
      <x:c r="AB1703" s="6" t="str">
        <x:v>CC-BY-4.0</x:v>
      </x:c>
    </x:row>
    <x:row r="1704" ht="72" customHeight="1">
      <x:c r="A1704" s="14" t="n">
        <x:v>1699</x:v>
      </x:c>
      <x:c r="B1704" s="6" t="str">
        <x:v>route_step_free</x:v>
      </x:c>
      <x:c r="C1704" s="6" t="str">
        <x:v>Is there a step-free route from Bedroom 4.04 (apartment 5) (Floor 4) to Kitchen 0.04 (apartment 1) (Ground floor)?</x:v>
      </x:c>
      <x:c r="D1704" s="6" t="str">
        <x:v>No route under the requested constraints.
From: Bedroom 4.04 (apartment 5)
To: Kitchen 0.04 (apartment 1)</x:v>
      </x:c>
      <x:c r="E1704" s="6" t="str">
        <x:v>Reference supplied</x:v>
      </x:c>
      <x:c r="F1704" s="6" t="str">
        <x:v>train</x:v>
      </x:c>
      <x:c r="G1704" s="6" t="str">
        <x:v>swiss-4967</x:v>
      </x:c>
      <x:c r="H1704" s="6" t="str">
        <x:v>swiss-4967-Q08</x:v>
      </x:c>
      <x:c r="I1704" s="6" t="str">
        <x:v>Route planning</x:v>
      </x:c>
      <x:c r="J1704" s="6" t="str">
        <x:v>Warm-up</x:v>
      </x:c>
      <x:c r="K1704" s="6" t="str">
        <x:v>Reachable: ordered path and metres. Unreachable: explicitly state no step-free route.</x:v>
      </x:c>
      <x:c r="L1704" s="6" t="str">
        <x:v>T02, T05, T13</x:v>
      </x:c>
      <x:c r="M1704" s="6" t="str">
        <x:v>Check whether a step-free route exists and give it when possible.</x:v>
      </x:c>
      <x:c r="N1704" s="6" t="str">
        <x:v>{"from_space_id":"swiss-4967-F4-S004","to_space_id":"swiss-4967-F0-S004","reachable":false}</x:v>
      </x:c>
      <x:c r="O1704" s="6"/>
      <x:c r="P1704" s="6" t="str">
        <x:v>step_free=true. No stairs or stepped openings. May be unreachable.</x:v>
      </x:c>
      <x:c r="Q1704" s="15"/>
      <x:c r="R1704" s="6"/>
      <x:c r="S1704" s="16"/>
      <x:c r="T1704" s="15"/>
      <x:c r="U1704" s="6"/>
      <x:c r="V1704" s="6"/>
      <x:c r="W1704" s="6" t="str">
        <x:v>Existing find_route(step_free=true).</x:v>
      </x:c>
      <x:c r="X1704" s="6" t="str">
        <x:v>data/train/swiss-4967/questions_basic.jsonl</x:v>
      </x:c>
      <x:c r="Y1704" s="14" t="n">
        <x:v>8</x:v>
      </x:c>
      <x:c r="Z1704" s="6" t="str">
        <x:v>https://github.com/hagenhaeussler/Industrial-Agents-Hackathon-2026/blob/f41616590b69f3ea0c1cbfb41d6c35edd9ce53df/data/train/swiss-4967/questions_basic.jsonl#L8</x:v>
      </x:c>
      <x:c r="AA1704" s="6" t="str">
        <x:v>swiss_dwellings</x:v>
      </x:c>
      <x:c r="AB1704" s="6" t="str">
        <x:v>CC-BY-4.0</x:v>
      </x:c>
    </x:row>
    <x:row r="1705" ht="96" customHeight="1">
      <x:c r="A1705" s="14" t="n">
        <x:v>1700</x:v>
      </x:c>
      <x:c r="B1705" s="6" t="str">
        <x:v>route_step_free</x:v>
      </x:c>
      <x:c r="C1705" s="6" t="str">
        <x:v>Is there a step-free route from Bedroom 3.02 (apartment 7) (Floor 3) to Living room 3.13 (apartment 8) (Floor 3)?</x:v>
      </x:c>
      <x:c r="D1705" s="6" t="str">
        <x:v>23.38 m
From: Bedroom 3.02 (apartment 7)
To: Living room 3.13 (apartment 8)
Ordered path (6 spaces): Bedroom 3.02 (apartment 7) → Corridor 3.04 (apartment 7) → Landing 3.18 → Landing 3.19 → Corridor 3.15 (apartment 8) → Living room 3.13 (apartment 8)</x:v>
      </x:c>
      <x:c r="E1705" s="6" t="str">
        <x:v>Reference supplied</x:v>
      </x:c>
      <x:c r="F1705" s="6" t="str">
        <x:v>train</x:v>
      </x:c>
      <x:c r="G1705" s="6" t="str">
        <x:v>swiss-5354</x:v>
      </x:c>
      <x:c r="H1705" s="6" t="str">
        <x:v>swiss-5354-Q06</x:v>
      </x:c>
      <x:c r="I1705" s="6" t="str">
        <x:v>Route planning</x:v>
      </x:c>
      <x:c r="J1705" s="6" t="str">
        <x:v>Warm-up</x:v>
      </x:c>
      <x:c r="K1705" s="6" t="str">
        <x:v>Reachable: ordered path and metres. Unreachable: explicitly state no step-free route.</x:v>
      </x:c>
      <x:c r="L1705" s="6" t="str">
        <x:v>T02, T05, T13</x:v>
      </x:c>
      <x:c r="M1705" s="6" t="str">
        <x:v>Check whether a step-free route exists and give it when possible.</x:v>
      </x:c>
      <x:c r="N1705" s="6" t="str">
        <x:v>{"from_space_id":"swiss-5354-F3-S002","to_space_id":"swiss-5354-F3-S013","optimal_length_m":23.38,"space_path":["swiss-5354-F3-S002","swiss-5354-F3-S004","swiss-5354-F3-S018","swiss-5354-F3-S019","swiss-5354-F3-S015","swiss-5354-F3-S013"],"element_path":["swiss-5354-F3-O0062","swiss-5354-F3-O0062","swiss-5354-F3-O0060","swiss-5354-F3-O0060","swiss-5354-F3-O0058","swiss-5354-F3-O0058","swiss-5354-F3-O0066","swiss-5354-F3-O0066","swiss-5354-F3-O0075","swiss-5354-F3-O0075"]}</x:v>
      </x:c>
      <x:c r="O1705" s="6"/>
      <x:c r="P1705" s="6" t="str">
        <x:v>step_free=true. No stairs or stepped openings. May be unreachable.</x:v>
      </x:c>
      <x:c r="Q1705" s="15" t="n">
        <x:v>23.38</x:v>
      </x:c>
      <x:c r="R1705" s="6" t="str">
        <x:v>m</x:v>
      </x:c>
      <x:c r="S1705" s="16"/>
      <x:c r="T1705" s="15"/>
      <x:c r="U1705" s="6"/>
      <x:c r="V1705" s="6"/>
      <x:c r="W1705" s="6" t="str">
        <x:v>Existing find_route(step_free=true).</x:v>
      </x:c>
      <x:c r="X1705" s="6" t="str">
        <x:v>data/train/swiss-5354/questions_basic.jsonl</x:v>
      </x:c>
      <x:c r="Y1705" s="14" t="n">
        <x:v>6</x:v>
      </x:c>
      <x:c r="Z1705" s="6" t="str">
        <x:v>https://github.com/hagenhaeussler/Industrial-Agents-Hackathon-2026/blob/f41616590b69f3ea0c1cbfb41d6c35edd9ce53df/data/train/swiss-5354/questions_basic.jsonl#L6</x:v>
      </x:c>
      <x:c r="AA1705" s="6" t="str">
        <x:v>swiss_dwellings</x:v>
      </x:c>
      <x:c r="AB1705" s="6" t="str">
        <x:v>CC-BY-4.0</x:v>
      </x:c>
    </x:row>
    <x:row r="1706" ht="82" customHeight="1">
      <x:c r="A1706" s="14" t="n">
        <x:v>1701</x:v>
      </x:c>
      <x:c r="B1706" s="6" t="str">
        <x:v>route_step_free</x:v>
      </x:c>
      <x:c r="C1706" s="6" t="str">
        <x:v>Is there a step-free route from Bathroom 2.05 (apartment 5) (Floor 2) to Bedroom 2.01 (apartment 5) (Floor 2)?</x:v>
      </x:c>
      <x:c r="D1706" s="6" t="str">
        <x:v>6.24 m
From: Bathroom 2.05 (apartment 5)
To: Bedroom 2.01 (apartment 5)
Ordered path (3 spaces): Bathroom 2.05 (apartment 5) → Corridor 2.04 (apartment 5) → Bedroom 2.01 (apartment 5)</x:v>
      </x:c>
      <x:c r="E1706" s="6" t="str">
        <x:v>Reference supplied</x:v>
      </x:c>
      <x:c r="F1706" s="6" t="str">
        <x:v>train</x:v>
      </x:c>
      <x:c r="G1706" s="6" t="str">
        <x:v>swiss-5422</x:v>
      </x:c>
      <x:c r="H1706" s="6" t="str">
        <x:v>swiss-5422-Q08</x:v>
      </x:c>
      <x:c r="I1706" s="6" t="str">
        <x:v>Route planning</x:v>
      </x:c>
      <x:c r="J1706" s="6" t="str">
        <x:v>Warm-up</x:v>
      </x:c>
      <x:c r="K1706" s="6" t="str">
        <x:v>Reachable: ordered path and metres. Unreachable: explicitly state no step-free route.</x:v>
      </x:c>
      <x:c r="L1706" s="6" t="str">
        <x:v>T02, T05, T13</x:v>
      </x:c>
      <x:c r="M1706" s="6" t="str">
        <x:v>Check whether a step-free route exists and give it when possible.</x:v>
      </x:c>
      <x:c r="N1706" s="6" t="str">
        <x:v>{"from_space_id":"swiss-5422-F2-S005","to_space_id":"swiss-5422-F2-S001","optimal_length_m":6.24,"space_path":["swiss-5422-F2-S005","swiss-5422-F2-S004","swiss-5422-F2-S001"],"element_path":["swiss-5422-F2-O0021","swiss-5422-F2-O0021","swiss-5422-F2-O0020","swiss-5422-F2-O0020"]}</x:v>
      </x:c>
      <x:c r="O1706" s="6"/>
      <x:c r="P1706" s="6" t="str">
        <x:v>step_free=true. No stairs or stepped openings. May be unreachable.</x:v>
      </x:c>
      <x:c r="Q1706" s="15" t="n">
        <x:v>6.24</x:v>
      </x:c>
      <x:c r="R1706" s="6" t="str">
        <x:v>m</x:v>
      </x:c>
      <x:c r="S1706" s="16"/>
      <x:c r="T1706" s="15"/>
      <x:c r="U1706" s="6"/>
      <x:c r="V1706" s="6"/>
      <x:c r="W1706" s="6" t="str">
        <x:v>Existing find_route(step_free=true).</x:v>
      </x:c>
      <x:c r="X1706" s="6" t="str">
        <x:v>data/train/swiss-5422/questions_basic.jsonl</x:v>
      </x:c>
      <x:c r="Y1706" s="14" t="n">
        <x:v>8</x:v>
      </x:c>
      <x:c r="Z1706" s="6" t="str">
        <x:v>https://github.com/hagenhaeussler/Industrial-Agents-Hackathon-2026/blob/f41616590b69f3ea0c1cbfb41d6c35edd9ce53df/data/train/swiss-5422/questions_basic.jsonl#L8</x:v>
      </x:c>
      <x:c r="AA1706" s="6" t="str">
        <x:v>swiss_dwellings</x:v>
      </x:c>
      <x:c r="AB1706" s="6" t="str">
        <x:v>CC-BY-4.0</x:v>
      </x:c>
    </x:row>
    <x:row r="1707" ht="82" customHeight="1">
      <x:c r="A1707" s="14" t="n">
        <x:v>1702</x:v>
      </x:c>
      <x:c r="B1707" s="6" t="str">
        <x:v>route_step_free</x:v>
      </x:c>
      <x:c r="C1707" s="6" t="str">
        <x:v>Is there a step-free route from Bedroom 1.03 (apartment 3) (Floor 1) to Living room 1.04 (apartment 3) (Floor 1)?</x:v>
      </x:c>
      <x:c r="D1707" s="6" t="str">
        <x:v>10.89 m
From: Bedroom 1.03 (apartment 3)
To: Living room 1.04 (apartment 3)
Ordered path (3 spaces): Bedroom 1.03 (apartment 3) → Corridor 1.01 (apartment 3) → Living room 1.04 (apartment 3)</x:v>
      </x:c>
      <x:c r="E1707" s="6" t="str">
        <x:v>Reference supplied</x:v>
      </x:c>
      <x:c r="F1707" s="6" t="str">
        <x:v>train</x:v>
      </x:c>
      <x:c r="G1707" s="6" t="str">
        <x:v>swiss-5690</x:v>
      </x:c>
      <x:c r="H1707" s="6" t="str">
        <x:v>swiss-5690-Q06</x:v>
      </x:c>
      <x:c r="I1707" s="6" t="str">
        <x:v>Route planning</x:v>
      </x:c>
      <x:c r="J1707" s="6" t="str">
        <x:v>Warm-up</x:v>
      </x:c>
      <x:c r="K1707" s="6" t="str">
        <x:v>Reachable: ordered path and metres. Unreachable: explicitly state no step-free route.</x:v>
      </x:c>
      <x:c r="L1707" s="6" t="str">
        <x:v>T02, T05, T13</x:v>
      </x:c>
      <x:c r="M1707" s="6" t="str">
        <x:v>Check whether a step-free route exists and give it when possible.</x:v>
      </x:c>
      <x:c r="N1707" s="6" t="str">
        <x:v>{"from_space_id":"swiss-5690-F1-S003","to_space_id":"swiss-5690-F1-S004","optimal_length_m":10.89,"space_path":["swiss-5690-F1-S003","swiss-5690-F1-S001","swiss-5690-F1-S004"],"element_path":["swiss-5690-F1-O0026","swiss-5690-F1-O0026","swiss-5690-F1-O0025","swiss-5690-F1-O0025"]}</x:v>
      </x:c>
      <x:c r="O1707" s="6"/>
      <x:c r="P1707" s="6" t="str">
        <x:v>step_free=true. No stairs or stepped openings. May be unreachable.</x:v>
      </x:c>
      <x:c r="Q1707" s="15" t="n">
        <x:v>10.89</x:v>
      </x:c>
      <x:c r="R1707" s="6" t="str">
        <x:v>m</x:v>
      </x:c>
      <x:c r="S1707" s="16"/>
      <x:c r="T1707" s="15"/>
      <x:c r="U1707" s="6"/>
      <x:c r="V1707" s="6"/>
      <x:c r="W1707" s="6" t="str">
        <x:v>Existing find_route(step_free=true).</x:v>
      </x:c>
      <x:c r="X1707" s="6" t="str">
        <x:v>data/train/swiss-5690/questions_basic.jsonl</x:v>
      </x:c>
      <x:c r="Y1707" s="14" t="n">
        <x:v>6</x:v>
      </x:c>
      <x:c r="Z1707" s="6" t="str">
        <x:v>https://github.com/hagenhaeussler/Industrial-Agents-Hackathon-2026/blob/f41616590b69f3ea0c1cbfb41d6c35edd9ce53df/data/train/swiss-5690/questions_basic.jsonl#L6</x:v>
      </x:c>
      <x:c r="AA1707" s="6" t="str">
        <x:v>swiss_dwellings</x:v>
      </x:c>
      <x:c r="AB1707" s="6" t="str">
        <x:v>CC-BY-4.0</x:v>
      </x:c>
    </x:row>
    <x:row r="1708" ht="82" customHeight="1">
      <x:c r="A1708" s="14" t="n">
        <x:v>1703</x:v>
      </x:c>
      <x:c r="B1708" s="6" t="str">
        <x:v>route_step_free</x:v>
      </x:c>
      <x:c r="C1708" s="6" t="str">
        <x:v>Is there a step-free route from Bathroom 0.03 (apartment 1) (Ground floor) to Bathroom 0.01 (apartment 1) (Ground floor)?</x:v>
      </x:c>
      <x:c r="D1708" s="6" t="str">
        <x:v>12.28 m
From: Bathroom 0.03 (apartment 1)
To: Bathroom 0.01 (apartment 1)
Ordered path (3 spaces): Bathroom 0.03 (apartment 1) → Corridor 0.08 (apartment 1) → Bathroom 0.01 (apartment 1)</x:v>
      </x:c>
      <x:c r="E1708" s="6" t="str">
        <x:v>Reference supplied</x:v>
      </x:c>
      <x:c r="F1708" s="6" t="str">
        <x:v>train</x:v>
      </x:c>
      <x:c r="G1708" s="6" t="str">
        <x:v>swiss-5779</x:v>
      </x:c>
      <x:c r="H1708" s="6" t="str">
        <x:v>swiss-5779-Q08</x:v>
      </x:c>
      <x:c r="I1708" s="6" t="str">
        <x:v>Route planning</x:v>
      </x:c>
      <x:c r="J1708" s="6" t="str">
        <x:v>Warm-up</x:v>
      </x:c>
      <x:c r="K1708" s="6" t="str">
        <x:v>Reachable: ordered path and metres. Unreachable: explicitly state no step-free route.</x:v>
      </x:c>
      <x:c r="L1708" s="6" t="str">
        <x:v>T02, T05, T13</x:v>
      </x:c>
      <x:c r="M1708" s="6" t="str">
        <x:v>Check whether a step-free route exists and give it when possible.</x:v>
      </x:c>
      <x:c r="N1708" s="6" t="str">
        <x:v>{"from_space_id":"swiss-5779-F0-S003","to_space_id":"swiss-5779-F0-S001","optimal_length_m":12.28,"space_path":["swiss-5779-F0-S003","swiss-5779-F0-S008","swiss-5779-F0-S001"],"element_path":["swiss-5779-F0-O0006","swiss-5779-F0-O0006","swiss-5779-F0-O0005","swiss-5779-F0-O0005"]}</x:v>
      </x:c>
      <x:c r="O1708" s="6"/>
      <x:c r="P1708" s="6" t="str">
        <x:v>step_free=true. No stairs or stepped openings. May be unreachable.</x:v>
      </x:c>
      <x:c r="Q1708" s="15" t="n">
        <x:v>12.28</x:v>
      </x:c>
      <x:c r="R1708" s="6" t="str">
        <x:v>m</x:v>
      </x:c>
      <x:c r="S1708" s="16"/>
      <x:c r="T1708" s="15"/>
      <x:c r="U1708" s="6"/>
      <x:c r="V1708" s="6"/>
      <x:c r="W1708" s="6" t="str">
        <x:v>Existing find_route(step_free=true).</x:v>
      </x:c>
      <x:c r="X1708" s="6" t="str">
        <x:v>data/train/swiss-5779/questions_basic.jsonl</x:v>
      </x:c>
      <x:c r="Y1708" s="14" t="n">
        <x:v>8</x:v>
      </x:c>
      <x:c r="Z1708" s="6" t="str">
        <x:v>https://github.com/hagenhaeussler/Industrial-Agents-Hackathon-2026/blob/f41616590b69f3ea0c1cbfb41d6c35edd9ce53df/data/train/swiss-5779/questions_basic.jsonl#L8</x:v>
      </x:c>
      <x:c r="AA1708" s="6" t="str">
        <x:v>swiss_dwellings</x:v>
      </x:c>
      <x:c r="AB1708" s="6" t="str">
        <x:v>CC-BY-4.0</x:v>
      </x:c>
    </x:row>
    <x:row r="1709" ht="72" customHeight="1">
      <x:c r="A1709" s="14" t="n">
        <x:v>1704</x:v>
      </x:c>
      <x:c r="B1709" s="6" t="str">
        <x:v>route_step_free</x:v>
      </x:c>
      <x:c r="C1709" s="6" t="str">
        <x:v>Is there a step-free route from Bedroom 2.02 (apartment 3) (Floor 2) to Bedroom 0.01 (apartment 1) (Ground floor)?</x:v>
      </x:c>
      <x:c r="D1709" s="6" t="str">
        <x:v>No route under the requested constraints.
From: Bedroom 2.02 (apartment 3)
To: Bedroom 0.01 (apartment 1)</x:v>
      </x:c>
      <x:c r="E1709" s="6" t="str">
        <x:v>Reference supplied</x:v>
      </x:c>
      <x:c r="F1709" s="6" t="str">
        <x:v>train</x:v>
      </x:c>
      <x:c r="G1709" s="6" t="str">
        <x:v>swiss-59</x:v>
      </x:c>
      <x:c r="H1709" s="6" t="str">
        <x:v>swiss-59-Q06</x:v>
      </x:c>
      <x:c r="I1709" s="6" t="str">
        <x:v>Route planning</x:v>
      </x:c>
      <x:c r="J1709" s="6" t="str">
        <x:v>Warm-up</x:v>
      </x:c>
      <x:c r="K1709" s="6" t="str">
        <x:v>Reachable: ordered path and metres. Unreachable: explicitly state no step-free route.</x:v>
      </x:c>
      <x:c r="L1709" s="6" t="str">
        <x:v>T02, T05, T13</x:v>
      </x:c>
      <x:c r="M1709" s="6" t="str">
        <x:v>Check whether a step-free route exists and give it when possible.</x:v>
      </x:c>
      <x:c r="N1709" s="6" t="str">
        <x:v>{"from_space_id":"swiss-59-F2-S002","to_space_id":"swiss-59-F0-S001","reachable":false}</x:v>
      </x:c>
      <x:c r="O1709" s="6"/>
      <x:c r="P1709" s="6" t="str">
        <x:v>step_free=true. No stairs or stepped openings. May be unreachable.</x:v>
      </x:c>
      <x:c r="Q1709" s="15"/>
      <x:c r="R1709" s="6"/>
      <x:c r="S1709" s="16"/>
      <x:c r="T1709" s="15"/>
      <x:c r="U1709" s="6"/>
      <x:c r="V1709" s="6"/>
      <x:c r="W1709" s="6" t="str">
        <x:v>Existing find_route(step_free=true).</x:v>
      </x:c>
      <x:c r="X1709" s="6" t="str">
        <x:v>data/train/swiss-59/questions_basic.jsonl</x:v>
      </x:c>
      <x:c r="Y1709" s="14" t="n">
        <x:v>6</x:v>
      </x:c>
      <x:c r="Z1709" s="6" t="str">
        <x:v>https://github.com/hagenhaeussler/Industrial-Agents-Hackathon-2026/blob/f41616590b69f3ea0c1cbfb41d6c35edd9ce53df/data/train/swiss-59/questions_basic.jsonl#L6</x:v>
      </x:c>
      <x:c r="AA1709" s="6" t="str">
        <x:v>swiss_dwellings</x:v>
      </x:c>
      <x:c r="AB1709" s="6" t="str">
        <x:v>CC-BY-4.0</x:v>
      </x:c>
    </x:row>
    <x:row r="1710" ht="72" customHeight="1">
      <x:c r="A1710" s="14" t="n">
        <x:v>1705</x:v>
      </x:c>
      <x:c r="B1710" s="6" t="str">
        <x:v>route_step_free</x:v>
      </x:c>
      <x:c r="C1710" s="6" t="str">
        <x:v>Is there a step-free route from Bedroom 2.03 (apartment 5) (Floor 2) to Bathroom 0.04 (apartment 1) (Ground floor)?</x:v>
      </x:c>
      <x:c r="D1710" s="6" t="str">
        <x:v>No route under the requested constraints.
From: Bedroom 2.03 (apartment 5)
To: Bathroom 0.04 (apartment 1)</x:v>
      </x:c>
      <x:c r="E1710" s="6" t="str">
        <x:v>Reference supplied</x:v>
      </x:c>
      <x:c r="F1710" s="6" t="str">
        <x:v>train</x:v>
      </x:c>
      <x:c r="G1710" s="6" t="str">
        <x:v>swiss-6148</x:v>
      </x:c>
      <x:c r="H1710" s="6" t="str">
        <x:v>swiss-6148-Q07</x:v>
      </x:c>
      <x:c r="I1710" s="6" t="str">
        <x:v>Route planning</x:v>
      </x:c>
      <x:c r="J1710" s="6" t="str">
        <x:v>Warm-up</x:v>
      </x:c>
      <x:c r="K1710" s="6" t="str">
        <x:v>Reachable: ordered path and metres. Unreachable: explicitly state no step-free route.</x:v>
      </x:c>
      <x:c r="L1710" s="6" t="str">
        <x:v>T02, T05, T13</x:v>
      </x:c>
      <x:c r="M1710" s="6" t="str">
        <x:v>Check whether a step-free route exists and give it when possible.</x:v>
      </x:c>
      <x:c r="N1710" s="6" t="str">
        <x:v>{"from_space_id":"swiss-6148-F2-S003","to_space_id":"swiss-6148-F0-S004","reachable":false}</x:v>
      </x:c>
      <x:c r="O1710" s="6"/>
      <x:c r="P1710" s="6" t="str">
        <x:v>step_free=true. No stairs or stepped openings. May be unreachable.</x:v>
      </x:c>
      <x:c r="Q1710" s="15"/>
      <x:c r="R1710" s="6"/>
      <x:c r="S1710" s="16"/>
      <x:c r="T1710" s="15"/>
      <x:c r="U1710" s="6"/>
      <x:c r="V1710" s="6"/>
      <x:c r="W1710" s="6" t="str">
        <x:v>Existing find_route(step_free=true).</x:v>
      </x:c>
      <x:c r="X1710" s="6" t="str">
        <x:v>data/train/swiss-6148/questions_basic.jsonl</x:v>
      </x:c>
      <x:c r="Y1710" s="14" t="n">
        <x:v>7</x:v>
      </x:c>
      <x:c r="Z1710" s="6" t="str">
        <x:v>https://github.com/hagenhaeussler/Industrial-Agents-Hackathon-2026/blob/f41616590b69f3ea0c1cbfb41d6c35edd9ce53df/data/train/swiss-6148/questions_basic.jsonl#L7</x:v>
      </x:c>
      <x:c r="AA1710" s="6" t="str">
        <x:v>swiss_dwellings</x:v>
      </x:c>
      <x:c r="AB1710" s="6" t="str">
        <x:v>CC-BY-4.0</x:v>
      </x:c>
    </x:row>
    <x:row r="1711" ht="72" customHeight="1">
      <x:c r="A1711" s="14" t="n">
        <x:v>1706</x:v>
      </x:c>
      <x:c r="B1711" s="6" t="str">
        <x:v>route_step_free</x:v>
      </x:c>
      <x:c r="C1711" s="6" t="str">
        <x:v>Is there a step-free route from Kitchen 4.08 (apartment 9) (Floor 4) to Storage 0.04 (apartment 1) (Ground floor)?</x:v>
      </x:c>
      <x:c r="D1711" s="6" t="str">
        <x:v>No route under the requested constraints.
From: Kitchen 4.08 (apartment 9)
To: Storage 0.04 (apartment 1)</x:v>
      </x:c>
      <x:c r="E1711" s="6" t="str">
        <x:v>Reference supplied</x:v>
      </x:c>
      <x:c r="F1711" s="6" t="str">
        <x:v>train</x:v>
      </x:c>
      <x:c r="G1711" s="6" t="str">
        <x:v>swiss-624</x:v>
      </x:c>
      <x:c r="H1711" s="6" t="str">
        <x:v>swiss-624-Q07</x:v>
      </x:c>
      <x:c r="I1711" s="6" t="str">
        <x:v>Route planning</x:v>
      </x:c>
      <x:c r="J1711" s="6" t="str">
        <x:v>Warm-up</x:v>
      </x:c>
      <x:c r="K1711" s="6" t="str">
        <x:v>Reachable: ordered path and metres. Unreachable: explicitly state no step-free route.</x:v>
      </x:c>
      <x:c r="L1711" s="6" t="str">
        <x:v>T02, T05, T13</x:v>
      </x:c>
      <x:c r="M1711" s="6" t="str">
        <x:v>Check whether a step-free route exists and give it when possible.</x:v>
      </x:c>
      <x:c r="N1711" s="6" t="str">
        <x:v>{"from_space_id":"swiss-624-F4-S008","to_space_id":"swiss-624-F0-S004","reachable":false}</x:v>
      </x:c>
      <x:c r="O1711" s="6"/>
      <x:c r="P1711" s="6" t="str">
        <x:v>step_free=true. No stairs or stepped openings. May be unreachable.</x:v>
      </x:c>
      <x:c r="Q1711" s="15"/>
      <x:c r="R1711" s="6"/>
      <x:c r="S1711" s="16"/>
      <x:c r="T1711" s="15"/>
      <x:c r="U1711" s="6"/>
      <x:c r="V1711" s="6"/>
      <x:c r="W1711" s="6" t="str">
        <x:v>Existing find_route(step_free=true).</x:v>
      </x:c>
      <x:c r="X1711" s="6" t="str">
        <x:v>data/train/swiss-624/questions_basic.jsonl</x:v>
      </x:c>
      <x:c r="Y1711" s="14" t="n">
        <x:v>7</x:v>
      </x:c>
      <x:c r="Z1711" s="6" t="str">
        <x:v>https://github.com/hagenhaeussler/Industrial-Agents-Hackathon-2026/blob/f41616590b69f3ea0c1cbfb41d6c35edd9ce53df/data/train/swiss-624/questions_basic.jsonl#L7</x:v>
      </x:c>
      <x:c r="AA1711" s="6" t="str">
        <x:v>swiss_dwellings</x:v>
      </x:c>
      <x:c r="AB1711" s="6" t="str">
        <x:v>CC-BY-4.0</x:v>
      </x:c>
    </x:row>
    <x:row r="1712" ht="72" customHeight="1">
      <x:c r="A1712" s="14" t="n">
        <x:v>1707</x:v>
      </x:c>
      <x:c r="B1712" s="6" t="str">
        <x:v>route_step_free</x:v>
      </x:c>
      <x:c r="C1712" s="6" t="str">
        <x:v>Is there a step-free route from Bedroom 4.07 (apartment 11) (Floor 4) to Bedroom 3.05 (apartment 9) (Floor 3)?</x:v>
      </x:c>
      <x:c r="D1712" s="6" t="str">
        <x:v>No route under the requested constraints.
From: Bedroom 4.07 (apartment 11)
To: Bedroom 3.05 (apartment 9)</x:v>
      </x:c>
      <x:c r="E1712" s="6" t="str">
        <x:v>Reference supplied</x:v>
      </x:c>
      <x:c r="F1712" s="6" t="str">
        <x:v>train</x:v>
      </x:c>
      <x:c r="G1712" s="6" t="str">
        <x:v>swiss-6456</x:v>
      </x:c>
      <x:c r="H1712" s="6" t="str">
        <x:v>swiss-6456-Q05</x:v>
      </x:c>
      <x:c r="I1712" s="6" t="str">
        <x:v>Route planning</x:v>
      </x:c>
      <x:c r="J1712" s="6" t="str">
        <x:v>Warm-up</x:v>
      </x:c>
      <x:c r="K1712" s="6" t="str">
        <x:v>Reachable: ordered path and metres. Unreachable: explicitly state no step-free route.</x:v>
      </x:c>
      <x:c r="L1712" s="6" t="str">
        <x:v>T02, T05, T13</x:v>
      </x:c>
      <x:c r="M1712" s="6" t="str">
        <x:v>Check whether a step-free route exists and give it when possible.</x:v>
      </x:c>
      <x:c r="N1712" s="6" t="str">
        <x:v>{"from_space_id":"swiss-6456-F4-S007","to_space_id":"swiss-6456-F3-S005","reachable":false}</x:v>
      </x:c>
      <x:c r="O1712" s="6"/>
      <x:c r="P1712" s="6" t="str">
        <x:v>step_free=true. No stairs or stepped openings. May be unreachable.</x:v>
      </x:c>
      <x:c r="Q1712" s="15"/>
      <x:c r="R1712" s="6"/>
      <x:c r="S1712" s="16"/>
      <x:c r="T1712" s="15"/>
      <x:c r="U1712" s="6"/>
      <x:c r="V1712" s="6"/>
      <x:c r="W1712" s="6" t="str">
        <x:v>Existing find_route(step_free=true).</x:v>
      </x:c>
      <x:c r="X1712" s="6" t="str">
        <x:v>data/train/swiss-6456/questions_basic.jsonl</x:v>
      </x:c>
      <x:c r="Y1712" s="14" t="n">
        <x:v>5</x:v>
      </x:c>
      <x:c r="Z1712" s="6" t="str">
        <x:v>https://github.com/hagenhaeussler/Industrial-Agents-Hackathon-2026/blob/f41616590b69f3ea0c1cbfb41d6c35edd9ce53df/data/train/swiss-6456/questions_basic.jsonl#L5</x:v>
      </x:c>
      <x:c r="AA1712" s="6" t="str">
        <x:v>swiss_dwellings</x:v>
      </x:c>
      <x:c r="AB1712" s="6" t="str">
        <x:v>CC-BY-4.0</x:v>
      </x:c>
    </x:row>
    <x:row r="1713" ht="72" customHeight="1">
      <x:c r="A1713" s="14" t="n">
        <x:v>1708</x:v>
      </x:c>
      <x:c r="B1713" s="6" t="str">
        <x:v>route_step_free</x:v>
      </x:c>
      <x:c r="C1713" s="6" t="str">
        <x:v>Is there a step-free route from Kitchen 4.23 (apartment 15) (Floor 4) to Storage 1.07 (apartment 4) (Floor 1)?</x:v>
      </x:c>
      <x:c r="D1713" s="6" t="str">
        <x:v>No route under the requested constraints.
From: Kitchen 4.23 (apartment 15)
To: Storage 1.07 (apartment 4)</x:v>
      </x:c>
      <x:c r="E1713" s="6" t="str">
        <x:v>Reference supplied</x:v>
      </x:c>
      <x:c r="F1713" s="6" t="str">
        <x:v>train</x:v>
      </x:c>
      <x:c r="G1713" s="6" t="str">
        <x:v>swiss-668</x:v>
      </x:c>
      <x:c r="H1713" s="6" t="str">
        <x:v>swiss-668-Q06</x:v>
      </x:c>
      <x:c r="I1713" s="6" t="str">
        <x:v>Route planning</x:v>
      </x:c>
      <x:c r="J1713" s="6" t="str">
        <x:v>Warm-up</x:v>
      </x:c>
      <x:c r="K1713" s="6" t="str">
        <x:v>Reachable: ordered path and metres. Unreachable: explicitly state no step-free route.</x:v>
      </x:c>
      <x:c r="L1713" s="6" t="str">
        <x:v>T02, T05, T13</x:v>
      </x:c>
      <x:c r="M1713" s="6" t="str">
        <x:v>Check whether a step-free route exists and give it when possible.</x:v>
      </x:c>
      <x:c r="N1713" s="6" t="str">
        <x:v>{"from_space_id":"swiss-668-F4-S023","to_space_id":"swiss-668-F1-S007","reachable":false}</x:v>
      </x:c>
      <x:c r="O1713" s="6"/>
      <x:c r="P1713" s="6" t="str">
        <x:v>step_free=true. No stairs or stepped openings. May be unreachable.</x:v>
      </x:c>
      <x:c r="Q1713" s="15"/>
      <x:c r="R1713" s="6"/>
      <x:c r="S1713" s="16"/>
      <x:c r="T1713" s="15"/>
      <x:c r="U1713" s="6"/>
      <x:c r="V1713" s="6"/>
      <x:c r="W1713" s="6" t="str">
        <x:v>Existing find_route(step_free=true).</x:v>
      </x:c>
      <x:c r="X1713" s="6" t="str">
        <x:v>data/train/swiss-668/questions_basic.jsonl</x:v>
      </x:c>
      <x:c r="Y1713" s="14" t="n">
        <x:v>6</x:v>
      </x:c>
      <x:c r="Z1713" s="6" t="str">
        <x:v>https://github.com/hagenhaeussler/Industrial-Agents-Hackathon-2026/blob/f41616590b69f3ea0c1cbfb41d6c35edd9ce53df/data/train/swiss-668/questions_basic.jsonl#L6</x:v>
      </x:c>
      <x:c r="AA1713" s="6" t="str">
        <x:v>swiss_dwellings</x:v>
      </x:c>
      <x:c r="AB1713" s="6" t="str">
        <x:v>CC-BY-4.0</x:v>
      </x:c>
    </x:row>
    <x:row r="1714" ht="96" customHeight="1">
      <x:c r="A1714" s="14" t="n">
        <x:v>1709</x:v>
      </x:c>
      <x:c r="B1714" s="6" t="str">
        <x:v>route_step_free</x:v>
      </x:c>
      <x:c r="C1714" s="6" t="str">
        <x:v>Is there a step-free route from Bedroom 1.23 (apartment 9) (Floor 1) to Kitchen 1.30 (apartment 10) (Floor 1)?</x:v>
      </x:c>
      <x:c r="D1714" s="6" t="str">
        <x:v>22.98 m
From: Bedroom 1.23 (apartment 9)
To: Kitchen 1.30 (apartment 10)
Ordered path (6 spaces): Bedroom 1.23 (apartment 9) → Corridor 1.19 (apartment 9) → Stair hall 1.34 → Corridor 1.27 (apartment 10) → Living room 1.31 (apartment 10) → Kitchen 1.30 (apartment 10)</x:v>
      </x:c>
      <x:c r="E1714" s="6" t="str">
        <x:v>Reference supplied</x:v>
      </x:c>
      <x:c r="F1714" s="6" t="str">
        <x:v>train</x:v>
      </x:c>
      <x:c r="G1714" s="6" t="str">
        <x:v>swiss-685</x:v>
      </x:c>
      <x:c r="H1714" s="6" t="str">
        <x:v>swiss-685-Q06</x:v>
      </x:c>
      <x:c r="I1714" s="6" t="str">
        <x:v>Route planning</x:v>
      </x:c>
      <x:c r="J1714" s="6" t="str">
        <x:v>Warm-up</x:v>
      </x:c>
      <x:c r="K1714" s="6" t="str">
        <x:v>Reachable: ordered path and metres. Unreachable: explicitly state no step-free route.</x:v>
      </x:c>
      <x:c r="L1714" s="6" t="str">
        <x:v>T02, T05, T13</x:v>
      </x:c>
      <x:c r="M1714" s="6" t="str">
        <x:v>Check whether a step-free route exists and give it when possible.</x:v>
      </x:c>
      <x:c r="N1714" s="6" t="str">
        <x:v>{"from_space_id":"swiss-685-F1-S023","to_space_id":"swiss-685-F1-S030","optimal_length_m":22.98,"space_path":["swiss-685-F1-S023","swiss-685-F1-S019","swiss-685-F1-S034","swiss-685-F1-S027","swiss-685-F1-S031","swiss-685-F1-S030"],"element_path":["swiss-685-F1-O0068","swiss-685-F1-O0068","swiss-685-F1-O0070","swiss-685-F1-O0070","swiss-685-F1-O0078","swiss-685-F1-O0078","swiss-685-F1-O0084","swiss-685-F1-O0084","swiss-685-F1-O0080","swiss-685-F1-O0080"]}</x:v>
      </x:c>
      <x:c r="O1714" s="6"/>
      <x:c r="P1714" s="6" t="str">
        <x:v>step_free=true. No stairs or stepped openings. May be unreachable.</x:v>
      </x:c>
      <x:c r="Q1714" s="15" t="n">
        <x:v>22.98</x:v>
      </x:c>
      <x:c r="R1714" s="6" t="str">
        <x:v>m</x:v>
      </x:c>
      <x:c r="S1714" s="16"/>
      <x:c r="T1714" s="15"/>
      <x:c r="U1714" s="6"/>
      <x:c r="V1714" s="6"/>
      <x:c r="W1714" s="6" t="str">
        <x:v>Existing find_route(step_free=true).</x:v>
      </x:c>
      <x:c r="X1714" s="6" t="str">
        <x:v>data/train/swiss-685/questions_basic.jsonl</x:v>
      </x:c>
      <x:c r="Y1714" s="14" t="n">
        <x:v>6</x:v>
      </x:c>
      <x:c r="Z1714" s="6" t="str">
        <x:v>https://github.com/hagenhaeussler/Industrial-Agents-Hackathon-2026/blob/f41616590b69f3ea0c1cbfb41d6c35edd9ce53df/data/train/swiss-685/questions_basic.jsonl#L6</x:v>
      </x:c>
      <x:c r="AA1714" s="6" t="str">
        <x:v>swiss_dwellings</x:v>
      </x:c>
      <x:c r="AB1714" s="6" t="str">
        <x:v>CC-BY-4.0</x:v>
      </x:c>
    </x:row>
    <x:row r="1715" ht="72" customHeight="1">
      <x:c r="A1715" s="14" t="n">
        <x:v>1710</x:v>
      </x:c>
      <x:c r="B1715" s="6" t="str">
        <x:v>route_step_free</x:v>
      </x:c>
      <x:c r="C1715" s="6" t="str">
        <x:v>Is there a step-free route from Bedroom 4.34 (apartment 37) (Floor 4) to Bedroom 4.16 (apartment 35) (Floor 4)?</x:v>
      </x:c>
      <x:c r="D1715" s="6" t="str">
        <x:v>No route under the requested constraints.
From: Bedroom 4.34 (apartment 37)
To: Bedroom 4.16 (apartment 35)</x:v>
      </x:c>
      <x:c r="E1715" s="6" t="str">
        <x:v>Reference supplied</x:v>
      </x:c>
      <x:c r="F1715" s="6" t="str">
        <x:v>train</x:v>
      </x:c>
      <x:c r="G1715" s="6" t="str">
        <x:v>swiss-692</x:v>
      </x:c>
      <x:c r="H1715" s="6" t="str">
        <x:v>swiss-692-Q05</x:v>
      </x:c>
      <x:c r="I1715" s="6" t="str">
        <x:v>Route planning</x:v>
      </x:c>
      <x:c r="J1715" s="6" t="str">
        <x:v>Warm-up</x:v>
      </x:c>
      <x:c r="K1715" s="6" t="str">
        <x:v>Reachable: ordered path and metres. Unreachable: explicitly state no step-free route.</x:v>
      </x:c>
      <x:c r="L1715" s="6" t="str">
        <x:v>T02, T05, T13</x:v>
      </x:c>
      <x:c r="M1715" s="6" t="str">
        <x:v>Check whether a step-free route exists and give it when possible.</x:v>
      </x:c>
      <x:c r="N1715" s="6" t="str">
        <x:v>{"from_space_id":"swiss-692-F4-S034","to_space_id":"swiss-692-F4-S016","reachable":false}</x:v>
      </x:c>
      <x:c r="O1715" s="6"/>
      <x:c r="P1715" s="6" t="str">
        <x:v>step_free=true. No stairs or stepped openings. May be unreachable.</x:v>
      </x:c>
      <x:c r="Q1715" s="15"/>
      <x:c r="R1715" s="6"/>
      <x:c r="S1715" s="16"/>
      <x:c r="T1715" s="15"/>
      <x:c r="U1715" s="6"/>
      <x:c r="V1715" s="6"/>
      <x:c r="W1715" s="6" t="str">
        <x:v>Existing find_route(step_free=true).</x:v>
      </x:c>
      <x:c r="X1715" s="6" t="str">
        <x:v>data/train/swiss-692/questions_basic.jsonl</x:v>
      </x:c>
      <x:c r="Y1715" s="14" t="n">
        <x:v>5</x:v>
      </x:c>
      <x:c r="Z1715" s="6" t="str">
        <x:v>https://github.com/hagenhaeussler/Industrial-Agents-Hackathon-2026/blob/f41616590b69f3ea0c1cbfb41d6c35edd9ce53df/data/train/swiss-692/questions_basic.jsonl#L5</x:v>
      </x:c>
      <x:c r="AA1715" s="6" t="str">
        <x:v>swiss_dwellings</x:v>
      </x:c>
      <x:c r="AB1715" s="6" t="str">
        <x:v>CC-BY-4.0</x:v>
      </x:c>
    </x:row>
    <x:row r="1716" ht="124" customHeight="1">
      <x:c r="A1716" s="14" t="n">
        <x:v>1711</x:v>
      </x:c>
      <x:c r="B1716" s="6" t="str">
        <x:v>route_step_free</x:v>
      </x:c>
      <x:c r="C1716" s="6" t="str">
        <x:v>Is there a step-free route from Bedroom 0.05 (apartment 1) (Ground floor) to Kitchen 1.01 (apartment 3) (Floor 1)?</x:v>
      </x:c>
      <x:c r="D1716" s="6" t="str">
        <x:v>46.98 m
From: Bedroom 0.05 (apartment 1)
To: Kitchen 1.01 (apartment 3)
Ordered path (10 spaces): Bedroom 0.05 (apartment 1) → Living room 0.09 (apartment 1) → Corridor 0.12 (apartment 1) → Landing 0.23 → outside → Landing 0.24 → Landing 1.23 → Corridor 1.10 (apartment 3) → Living room 1.02 (apartment 3) → Kitchen 1.01 (apartment 3)</x:v>
      </x:c>
      <x:c r="E1716" s="6" t="str">
        <x:v>Reference supplied</x:v>
      </x:c>
      <x:c r="F1716" s="6" t="str">
        <x:v>train</x:v>
      </x:c>
      <x:c r="G1716" s="6" t="str">
        <x:v>swiss-920</x:v>
      </x:c>
      <x:c r="H1716" s="6" t="str">
        <x:v>swiss-920-Q05</x:v>
      </x:c>
      <x:c r="I1716" s="6" t="str">
        <x:v>Route planning</x:v>
      </x:c>
      <x:c r="J1716" s="6" t="str">
        <x:v>Warm-up</x:v>
      </x:c>
      <x:c r="K1716" s="6" t="str">
        <x:v>Reachable: ordered path and metres. Unreachable: explicitly state no step-free route.</x:v>
      </x:c>
      <x:c r="L1716" s="6" t="str">
        <x:v>T02, T05, T13</x:v>
      </x:c>
      <x:c r="M1716" s="6" t="str">
        <x:v>Check whether a step-free route exists and give it when possible.</x:v>
      </x:c>
      <x:c r="N1716" s="6" t="str">
        <x:v>{"from_space_id":"swiss-920-F0-S005","to_space_id":"swiss-920-F1-S001","optimal_length_m":46.98,"space_path":["swiss-920-F0-S005","swiss-920-F0-S009","swiss-920-F0-S012","swiss-920-F0-S023","outside","swiss-920-F0-S024","swiss-920-F1-S023","swiss-920-F1-S010","swiss-920-F1-S002","swiss-920-F1-S001"],"element_path":["swiss-920-F0-O0008","swiss-920-F0-O0008","swiss-920-F0-O0021","swiss-920-F0-O0021","swiss-920-F0-O0006","swiss-920-F0-O0006","swiss-920-F0-O0088","swiss-920-F0-O0088","swiss-920-F0-O0089","swiss-920-F0-O0089","swiss-920-V02","swiss-920-F1-O0027","swiss-920-F1-O0027","swiss-920-F1-O0046","swiss-920-F1-O0046","swiss-920-F1-O0044","swiss-920-F1-O0044"]}</x:v>
      </x:c>
      <x:c r="O1716" s="6"/>
      <x:c r="P1716" s="6" t="str">
        <x:v>step_free=true. No stairs or stepped openings. May be unreachable.</x:v>
      </x:c>
      <x:c r="Q1716" s="15" t="n">
        <x:v>46.98</x:v>
      </x:c>
      <x:c r="R1716" s="6" t="str">
        <x:v>m</x:v>
      </x:c>
      <x:c r="S1716" s="16"/>
      <x:c r="T1716" s="15"/>
      <x:c r="U1716" s="6"/>
      <x:c r="V1716" s="6"/>
      <x:c r="W1716" s="6" t="str">
        <x:v>Existing find_route(step_free=true).</x:v>
      </x:c>
      <x:c r="X1716" s="6" t="str">
        <x:v>data/train/swiss-920/questions_basic.jsonl</x:v>
      </x:c>
      <x:c r="Y1716" s="14" t="n">
        <x:v>5</x:v>
      </x:c>
      <x:c r="Z1716" s="6" t="str">
        <x:v>https://github.com/hagenhaeussler/Industrial-Agents-Hackathon-2026/blob/f41616590b69f3ea0c1cbfb41d6c35edd9ce53df/data/train/swiss-920/questions_basic.jsonl#L5</x:v>
      </x:c>
      <x:c r="AA1716" s="6" t="str">
        <x:v>swiss_dwellings</x:v>
      </x:c>
      <x:c r="AB1716" s="6" t="str">
        <x:v>CC-BY-4.0</x:v>
      </x:c>
    </x:row>
    <x:row r="1717" ht="138" customHeight="1">
      <x:c r="A1717" s="14" t="n">
        <x:v>1712</x:v>
      </x:c>
      <x:c r="B1717" s="6" t="str">
        <x:v>route_step_free</x:v>
      </x:c>
      <x:c r="C1717" s="6" t="str">
        <x:v>Is there a step-free route from Bedroom 5.06 (apartment 21) (Floor 5) to Bedroom 0.30 (apartment 4) (Ground floor)?</x:v>
      </x:c>
      <x:c r="D1717" s="6" t="str">
        <x:v>130.67 m
From: Bedroom 5.06 (apartment 21)
To: Bedroom 0.30 (apartment 4)
Ordered path (13 spaces): Bedroom 5.06 (apartment 21) → Corridor 5.11 (apartment 21) → Corridor 5.02 (apartment 21) → Stair hall 5.40 → Landing 4.38 → Landing 3.39 → Landing 2.38 → Landing 1.38 → Landing 0.39 → outside → Landing 0.38 → Corridor 0.29 (apartment 4) → Bedroom 0.30 (apartment 4)</x:v>
      </x:c>
      <x:c r="E1717" s="6" t="str">
        <x:v>Reference supplied</x:v>
      </x:c>
      <x:c r="F1717" s="6" t="str">
        <x:v>train</x:v>
      </x:c>
      <x:c r="G1717" s="6" t="str">
        <x:v>swiss-921</x:v>
      </x:c>
      <x:c r="H1717" s="6" t="str">
        <x:v>swiss-921-Q05</x:v>
      </x:c>
      <x:c r="I1717" s="6" t="str">
        <x:v>Route planning</x:v>
      </x:c>
      <x:c r="J1717" s="6" t="str">
        <x:v>Warm-up</x:v>
      </x:c>
      <x:c r="K1717" s="6" t="str">
        <x:v>Reachable: ordered path and metres. Unreachable: explicitly state no step-free route.</x:v>
      </x:c>
      <x:c r="L1717" s="6" t="str">
        <x:v>T02, T05, T13</x:v>
      </x:c>
      <x:c r="M1717" s="6" t="str">
        <x:v>Check whether a step-free route exists and give it when possible.</x:v>
      </x:c>
      <x:c r="N1717" s="6" t="str">
        <x:v>{"from_space_id":"swiss-921-F5-S006","to_space_id":"swiss-921-F0-S030","optimal_length_m":130.67,"space_path":["swiss-921-F5-S006","swiss-921-F5-S011","swiss-921-F5-S002","swiss-921-F5-S040","swiss-921-F4-S038","swiss-921-F3-S039","swiss-921-F2-S038","swiss-921-F1-S038","swiss-921-F0-S039","outside","swiss-921-F0-S038","swiss-921-F0-S029","swiss-921-F0-S030"],"element_path":["swiss-921-F5-O0218","swiss-921-F5-O0218","swiss-921-F5-O0248","swiss-921-F5-O0248","swiss-921-F5-O0212","swiss-921-F5-O0212","swiss-921-V02","swiss-921-V02","swiss-921-V02","swiss-921-V02","swiss-921-V02","swiss-921-F0-O0300","swiss-921-F0-O0300","swiss-921-F0-O0299","swiss-921-F0-O0299","swiss-921-F0-O0029","swiss-921-F0-O0029","swiss-921-F0-O0024","swiss-921-F0-O0024"]}</x:v>
      </x:c>
      <x:c r="O1717" s="6"/>
      <x:c r="P1717" s="6" t="str">
        <x:v>step_free=true. No stairs or stepped openings. May be unreachable.</x:v>
      </x:c>
      <x:c r="Q1717" s="15" t="n">
        <x:v>130.67</x:v>
      </x:c>
      <x:c r="R1717" s="6" t="str">
        <x:v>m</x:v>
      </x:c>
      <x:c r="S1717" s="16"/>
      <x:c r="T1717" s="15"/>
      <x:c r="U1717" s="6"/>
      <x:c r="V1717" s="6"/>
      <x:c r="W1717" s="6" t="str">
        <x:v>Existing find_route(step_free=true).</x:v>
      </x:c>
      <x:c r="X1717" s="6" t="str">
        <x:v>data/train/swiss-921/questions_basic.jsonl</x:v>
      </x:c>
      <x:c r="Y1717" s="14" t="n">
        <x:v>5</x:v>
      </x:c>
      <x:c r="Z1717" s="6" t="str">
        <x:v>https://github.com/hagenhaeussler/Industrial-Agents-Hackathon-2026/blob/f41616590b69f3ea0c1cbfb41d6c35edd9ce53df/data/train/swiss-921/questions_basic.jsonl#L5</x:v>
      </x:c>
      <x:c r="AA1717" s="6" t="str">
        <x:v>swiss_dwellings</x:v>
      </x:c>
      <x:c r="AB1717" s="6" t="str">
        <x:v>CC-BY-4.0</x:v>
      </x:c>
    </x:row>
    <x:row r="1718" ht="194" customHeight="1">
      <x:c r="A1718" s="14" t="n">
        <x:v>1713</x:v>
      </x:c>
      <x:c r="B1718" s="6" t="str">
        <x:v>route_step_free</x:v>
      </x:c>
      <x:c r="C1718" s="6" t="str">
        <x:v>Is there a step-free route from Generic room N4304 (Floor 4) to Generic room -1316 (Basement 1)?</x:v>
      </x:c>
      <x:c r="D1718" s="6" t="str">
        <x:v>182.51 m
From: Generic room N4304
To: Generic room -1316
Ordered path (15 spaces): Generic room N4304 → Corridor N4332 → Corridor N4450 → Generic room N4310 → Generic room N4312 → Corridor N4330 → Lift N4337 → Lift N3336 → Lift N2326 → Lift N1361 → Lift N0359 → Lift -1361 → Corridor -1351 → Corridor -1352 → Generic room -1316</x:v>
      </x:c>
      <x:c r="E1718" s="6" t="str">
        <x:v>Reference supplied</x:v>
      </x:c>
      <x:c r="F1718" s="6" t="str">
        <x:v>dev</x:v>
      </x:c>
      <x:c r="G1718" s="6" t="str">
        <x:v>osm-way22744230</x:v>
      </x:c>
      <x:c r="H1718" s="6" t="str">
        <x:v>osm-way22744230-Q08</x:v>
      </x:c>
      <x:c r="I1718" s="6" t="str">
        <x:v>Route planning</x:v>
      </x:c>
      <x:c r="J1718" s="6" t="str">
        <x:v>Warm-up</x:v>
      </x:c>
      <x:c r="K1718" s="6" t="str">
        <x:v>Reachable: ordered path and metres. Unreachable: explicitly state no step-free route.</x:v>
      </x:c>
      <x:c r="L1718" s="6" t="str">
        <x:v>T02, T05, T13</x:v>
      </x:c>
      <x:c r="M1718" s="6" t="str">
        <x:v>Check whether a step-free route exists and give it when possible.</x:v>
      </x:c>
      <x:c r="N1718" s="6" t="str">
        <x:v>{"from_space_id":"osm-way22744230-F4-S021","to_space_id":"osm-way22744230-F-1-S004","optimal_length_m":182.51,"space_path":["osm-way22744230-F4-S021","osm-way22744230-F4-S005","osm-way22744230-F4-S003","osm-way22744230-F4-S019","osm-way22744230-F4-S010","osm-way22744230-F4-S012","osm-way22744230-F4-S008","osm-way22744230-F3-S005","osm-way22744230-F2-S044","osm-way22744230-F1-S019","osm-way22744230-F0-S006","osm-way22744230-F-1-S048","osm-way22744230-F-1-S055","osm-way22744230-F-1-S016","osm-way22744230-F-1-S004"],"element_path":["osm-way22744230-F4-O0295","osm-way22744230-F4-O0295","osm-way22744230-F4-O0308","osm-way22744230-F4-O0308","osm-way22744230-F4-O0276","osm-way22744230-F4-O0276","osm-way22744230-F4-O0309","osm-way22744230-F4-O0309","osm-way22744230-F4-O0271","osm-way22744230-F4-O0271","osm-way22744230-F4-O0275","osm-way22744230-F4-O0275","osm-way22744230-V08","osm-way22744230-V08","osm-way22744230-V08","osm-way22744230-V08","osm-way22744230-V08","osm-way22744230-F-1-O0046","osm-way22744230-F-1-O0046","osm-way22744230-F-1-O0064","osm-way22744230-F-1-O0064","osm-way22744230-F-1-O0034","osm-way22744230-F-1-O0034"]}</x:v>
      </x:c>
      <x:c r="O1718" s="6"/>
      <x:c r="P1718" s="6" t="str">
        <x:v>step_free=true. No stairs or stepped openings. May be unreachable.</x:v>
      </x:c>
      <x:c r="Q1718" s="15" t="n">
        <x:v>182.51</x:v>
      </x:c>
      <x:c r="R1718" s="6" t="str">
        <x:v>m</x:v>
      </x:c>
      <x:c r="S1718" s="16"/>
      <x:c r="T1718" s="15"/>
      <x:c r="U1718" s="6"/>
      <x:c r="V1718" s="6"/>
      <x:c r="W1718" s="6" t="str">
        <x:v>Existing find_route(step_free=true).</x:v>
      </x:c>
      <x:c r="X1718" s="6" t="str">
        <x:v>data/dev/osm-way22744230/questions_basic.jsonl</x:v>
      </x:c>
      <x:c r="Y1718" s="14" t="n">
        <x:v>8</x:v>
      </x:c>
      <x:c r="Z1718" s="6" t="str">
        <x:v>https://github.com/hagenhaeussler/Industrial-Agents-Hackathon-2026/blob/f41616590b69f3ea0c1cbfb41d6c35edd9ce53df/data/dev/osm-way22744230/questions_basic.jsonl#L8</x:v>
      </x:c>
      <x:c r="AA1718" s="6" t="str">
        <x:v>osm_indoor</x:v>
      </x:c>
      <x:c r="AB1718" s="6" t="str">
        <x:v>ODbL-1.0</x:v>
      </x:c>
    </x:row>
    <x:row r="1719" ht="72" customHeight="1">
      <x:c r="A1719" s="14" t="n">
        <x:v>1714</x:v>
      </x:c>
      <x:c r="B1719" s="6" t="str">
        <x:v>route_step_free</x:v>
      </x:c>
      <x:c r="C1719" s="6" t="str">
        <x:v>Is there a step-free route from Generic room K15 (Basement 2) to Generic room 101 (Floor 1)?</x:v>
      </x:c>
      <x:c r="D1719" s="6" t="str">
        <x:v>No route under the requested constraints.
From: Generic room K15
To: Generic room 101</x:v>
      </x:c>
      <x:c r="E1719" s="6" t="str">
        <x:v>Reference supplied</x:v>
      </x:c>
      <x:c r="F1719" s="6" t="str">
        <x:v>dev</x:v>
      </x:c>
      <x:c r="G1719" s="6" t="str">
        <x:v>osm-way27326387</x:v>
      </x:c>
      <x:c r="H1719" s="6" t="str">
        <x:v>osm-way27326387-Q05</x:v>
      </x:c>
      <x:c r="I1719" s="6" t="str">
        <x:v>Route planning</x:v>
      </x:c>
      <x:c r="J1719" s="6" t="str">
        <x:v>Warm-up</x:v>
      </x:c>
      <x:c r="K1719" s="6" t="str">
        <x:v>Reachable: ordered path and metres. Unreachable: explicitly state no step-free route.</x:v>
      </x:c>
      <x:c r="L1719" s="6" t="str">
        <x:v>T02, T05, T13</x:v>
      </x:c>
      <x:c r="M1719" s="6" t="str">
        <x:v>Check whether a step-free route exists and give it when possible.</x:v>
      </x:c>
      <x:c r="N1719" s="6" t="str">
        <x:v>{"from_space_id":"osm-way27326387-F-2-S004","to_space_id":"osm-way27326387-F1-S019","reachable":false}</x:v>
      </x:c>
      <x:c r="O1719" s="6"/>
      <x:c r="P1719" s="6" t="str">
        <x:v>step_free=true. No stairs or stepped openings. May be unreachable.</x:v>
      </x:c>
      <x:c r="Q1719" s="15"/>
      <x:c r="R1719" s="6"/>
      <x:c r="S1719" s="16"/>
      <x:c r="T1719" s="15"/>
      <x:c r="U1719" s="6"/>
      <x:c r="V1719" s="6"/>
      <x:c r="W1719" s="6" t="str">
        <x:v>Existing find_route(step_free=true).</x:v>
      </x:c>
      <x:c r="X1719" s="6" t="str">
        <x:v>data/dev/osm-way27326387/questions_basic.jsonl</x:v>
      </x:c>
      <x:c r="Y1719" s="14" t="n">
        <x:v>5</x:v>
      </x:c>
      <x:c r="Z1719" s="6" t="str">
        <x:v>https://github.com/hagenhaeussler/Industrial-Agents-Hackathon-2026/blob/f41616590b69f3ea0c1cbfb41d6c35edd9ce53df/data/dev/osm-way27326387/questions_basic.jsonl#L5</x:v>
      </x:c>
      <x:c r="AA1719" s="6" t="str">
        <x:v>osm_indoor</x:v>
      </x:c>
      <x:c r="AB1719" s="6" t="str">
        <x:v>ODbL-1.0</x:v>
      </x:c>
    </x:row>
    <x:row r="1720" ht="152" customHeight="1">
      <x:c r="A1720" s="14" t="n">
        <x:v>1715</x:v>
      </x:c>
      <x:c r="B1720" s="6" t="str">
        <x:v>route_step_free</x:v>
      </x:c>
      <x:c r="C1720" s="6" t="str">
        <x:v>Is there a step-free route from Generic room 02.05.034B (Floor 2) to Generic room 01.11.015A (Floor 1)?</x:v>
      </x:c>
      <x:c r="D1720" s="6" t="str">
        <x:v>159.9 m
From: Generic room 02.05.034B
To: Generic room 01.11.015A
Ordered path (11 spaces): Generic room 02.05.034B → Corridor 02.05.030 → Corridor 02.05.016 → Corridor 02.05.001 → Lift 02.05.015 → Lift 01.05.015 → Lift 00.05.015 → MI Magistrale → outside → Corridor 01.11.030 → Generic room 01.11.015A</x:v>
      </x:c>
      <x:c r="E1720" s="6" t="str">
        <x:v>Reference supplied</x:v>
      </x:c>
      <x:c r="F1720" s="6" t="str">
        <x:v>dev</x:v>
      </x:c>
      <x:c r="G1720" s="6" t="str">
        <x:v>osm-way27917482</x:v>
      </x:c>
      <x:c r="H1720" s="6" t="str">
        <x:v>osm-way27917482-Q08</x:v>
      </x:c>
      <x:c r="I1720" s="6" t="str">
        <x:v>Route planning</x:v>
      </x:c>
      <x:c r="J1720" s="6" t="str">
        <x:v>Warm-up</x:v>
      </x:c>
      <x:c r="K1720" s="6" t="str">
        <x:v>Reachable: ordered path and metres. Unreachable: explicitly state no step-free route.</x:v>
      </x:c>
      <x:c r="L1720" s="6" t="str">
        <x:v>T02, T05, T13</x:v>
      </x:c>
      <x:c r="M1720" s="6" t="str">
        <x:v>Check whether a step-free route exists and give it when possible.</x:v>
      </x:c>
      <x:c r="N1720" s="6" t="str">
        <x:v>{"from_space_id":"osm-way27917482-F2-S375","to_space_id":"osm-way27917482-F1-S262","optimal_length_m":159.9,"space_path":["osm-way27917482-F2-S375","osm-way27917482-F2-S381","osm-way27917482-F2-S386","osm-way27917482-F2-S357","osm-way27917482-F2-S382","osm-way27917482-F1-S385","osm-way27917482-F0-S312","osm-way27917482-F0-S026","outside","osm-way27917482-F1-S259","osm-way27917482-F1-S262"],"element_path":["osm-way27917482-F2-O1699","osm-way27917482-F2-O1699","osm-way27917482-F2-O1678","osm-way27917482-F2-O1678","osm-way27917482-F2-O1676","osm-way27917482-F2-O1676","osm-way27917482-F2-O1712","osm-way27917482-F2-O1712","osm-way27917482-V31","osm-way27917482-V31","osm-way27917482-F0-O1668","osm-way27917482-F0-O1668","osm-way27917482-F0-O1763","osm-way27917482-F0-O1763","osm-way27917482-F1-O1037","osm-way27917482-F1-O1037","osm-way27917482-F1-O1053","osm-way27917482-F1-O1053"]}</x:v>
      </x:c>
      <x:c r="O1720" s="6"/>
      <x:c r="P1720" s="6" t="str">
        <x:v>step_free=true. No stairs or stepped openings. May be unreachable.</x:v>
      </x:c>
      <x:c r="Q1720" s="15" t="n">
        <x:v>159.9</x:v>
      </x:c>
      <x:c r="R1720" s="6" t="str">
        <x:v>m</x:v>
      </x:c>
      <x:c r="S1720" s="16"/>
      <x:c r="T1720" s="15"/>
      <x:c r="U1720" s="6"/>
      <x:c r="V1720" s="6"/>
      <x:c r="W1720" s="6" t="str">
        <x:v>Existing find_route(step_free=true).</x:v>
      </x:c>
      <x:c r="X1720" s="6" t="str">
        <x:v>data/dev/osm-way27917482/questions_basic.jsonl</x:v>
      </x:c>
      <x:c r="Y1720" s="14" t="n">
        <x:v>8</x:v>
      </x:c>
      <x:c r="Z1720" s="6" t="str">
        <x:v>https://github.com/hagenhaeussler/Industrial-Agents-Hackathon-2026/blob/f41616590b69f3ea0c1cbfb41d6c35edd9ce53df/data/dev/osm-way27917482/questions_basic.jsonl#L8</x:v>
      </x:c>
      <x:c r="AA1720" s="6" t="str">
        <x:v>osm_indoor</x:v>
      </x:c>
      <x:c r="AB1720" s="6" t="str">
        <x:v>ODbL-1.0</x:v>
      </x:c>
    </x:row>
    <x:row r="1721" ht="72" customHeight="1">
      <x:c r="A1721" s="14" t="n">
        <x:v>1716</x:v>
      </x:c>
      <x:c r="B1721" s="6" t="str">
        <x:v>route_step_free</x:v>
      </x:c>
      <x:c r="C1721" s="6" t="str">
        <x:v>Is there a step-free route from Hermes (Floor 2) to Lufthansa Lounge (Floor 2)?</x:v>
      </x:c>
      <x:c r="D1721" s="6" t="str">
        <x:v>109.5 m
From: Hermes
To: Lufthansa Lounge
Ordered path (3 spaces): Hermes → Corridor 2.01 → Lufthansa Lounge</x:v>
      </x:c>
      <x:c r="E1721" s="6" t="str">
        <x:v>Reference supplied</x:v>
      </x:c>
      <x:c r="F1721" s="6" t="str">
        <x:v>dev</x:v>
      </x:c>
      <x:c r="G1721" s="6" t="str">
        <x:v>osm-way360544293</x:v>
      </x:c>
      <x:c r="H1721" s="6" t="str">
        <x:v>osm-way360544293-Q08</x:v>
      </x:c>
      <x:c r="I1721" s="6" t="str">
        <x:v>Route planning</x:v>
      </x:c>
      <x:c r="J1721" s="6" t="str">
        <x:v>Warm-up</x:v>
      </x:c>
      <x:c r="K1721" s="6" t="str">
        <x:v>Reachable: ordered path and metres. Unreachable: explicitly state no step-free route.</x:v>
      </x:c>
      <x:c r="L1721" s="6" t="str">
        <x:v>T02, T05, T13</x:v>
      </x:c>
      <x:c r="M1721" s="6" t="str">
        <x:v>Check whether a step-free route exists and give it when possible.</x:v>
      </x:c>
      <x:c r="N1721" s="6" t="str">
        <x:v>{"from_space_id":"osm-way360544293-F2-S006","to_space_id":"osm-way360544293-F2-S002","optimal_length_m":109.5,"space_path":["osm-way360544293-F2-S006","osm-way360544293-F2-S001","osm-way360544293-F2-S002"],"element_path":["osm-way360544293-F2-O0038","osm-way360544293-F2-O0038","osm-way360544293-F2-O0034","osm-way360544293-F2-O0034"]}</x:v>
      </x:c>
      <x:c r="O1721" s="6"/>
      <x:c r="P1721" s="6" t="str">
        <x:v>step_free=true. No stairs or stepped openings. May be unreachable.</x:v>
      </x:c>
      <x:c r="Q1721" s="15" t="n">
        <x:v>109.5</x:v>
      </x:c>
      <x:c r="R1721" s="6" t="str">
        <x:v>m</x:v>
      </x:c>
      <x:c r="S1721" s="16"/>
      <x:c r="T1721" s="15"/>
      <x:c r="U1721" s="6"/>
      <x:c r="V1721" s="6"/>
      <x:c r="W1721" s="6" t="str">
        <x:v>Existing find_route(step_free=true).</x:v>
      </x:c>
      <x:c r="X1721" s="6" t="str">
        <x:v>data/dev/osm-way360544293/questions_basic.jsonl</x:v>
      </x:c>
      <x:c r="Y1721" s="14" t="n">
        <x:v>8</x:v>
      </x:c>
      <x:c r="Z1721" s="6" t="str">
        <x:v>https://github.com/hagenhaeussler/Industrial-Agents-Hackathon-2026/blob/f41616590b69f3ea0c1cbfb41d6c35edd9ce53df/data/dev/osm-way360544293/questions_basic.jsonl#L8</x:v>
      </x:c>
      <x:c r="AA1721" s="6" t="str">
        <x:v>osm_indoor</x:v>
      </x:c>
      <x:c r="AB1721" s="6" t="str">
        <x:v>ODbL-1.0</x:v>
      </x:c>
    </x:row>
    <x:row r="1722" ht="124" customHeight="1">
      <x:c r="A1722" s="14" t="n">
        <x:v>1717</x:v>
      </x:c>
      <x:c r="B1722" s="6" t="str">
        <x:v>route_step_free</x:v>
      </x:c>
      <x:c r="C1722" s="6" t="str">
        <x:v>Is there a step-free route from Kitchen 1.07 (Floor 1) to Kitchen 4.28 (Floor 4)?</x:v>
      </x:c>
      <x:c r="D1722" s="6" t="str">
        <x:v>110.74 m
From: Kitchen 1.07
To: Kitchen 4.28
Ordered path (8 spaces): Kitchen 1.07 → Corridor 1.01 → Lift 2 → Lift 2 → Lift 2 → Lift 2 → Corridor 4.01 → Kitchen 4.28</x:v>
      </x:c>
      <x:c r="E1722" s="6" t="str">
        <x:v>Reference supplied</x:v>
      </x:c>
      <x:c r="F1722" s="6" t="str">
        <x:v>dev</x:v>
      </x:c>
      <x:c r="G1722" s="6" t="str">
        <x:v>proc-campus-dev-000</x:v>
      </x:c>
      <x:c r="H1722" s="6" t="str">
        <x:v>proc-campus-dev-000-Q08</x:v>
      </x:c>
      <x:c r="I1722" s="6" t="str">
        <x:v>Route planning</x:v>
      </x:c>
      <x:c r="J1722" s="6" t="str">
        <x:v>Warm-up</x:v>
      </x:c>
      <x:c r="K1722" s="6" t="str">
        <x:v>Reachable: ordered path and metres. Unreachable: explicitly state no step-free route.</x:v>
      </x:c>
      <x:c r="L1722" s="6" t="str">
        <x:v>T02, T05, T13</x:v>
      </x:c>
      <x:c r="M1722" s="6" t="str">
        <x:v>Check whether a step-free route exists and give it when possible.</x:v>
      </x:c>
      <x:c r="N1722" s="6" t="str">
        <x:v>{"from_space_id":"proc-campus-dev-000-F1-S007","to_space_id":"proc-campus-dev-000-F4-S028","optimal_length_m":110.74,"space_path":["proc-campus-dev-000-F1-S007","proc-campus-dev-000-F1-S001","proc-campus-dev-000-F1-S010","proc-campus-dev-000-F2-S010","proc-campus-dev-000-F3-S010","proc-campus-dev-000-F4-S010","proc-campus-dev-000-F4-S001","proc-campus-dev-000-F4-S028"],"element_path":["proc-campus-dev-000-F1-O0035","proc-campus-dev-000-F1-O0035","proc-campus-dev-000-F1-O0038","proc-campus-dev-000-F1-O0038","proc-campus-dev-000-V04","proc-campus-dev-000-V04","proc-campus-dev-000-V04","proc-campus-dev-000-F4-O0128","proc-campus-dev-000-F4-O0128","proc-campus-dev-000-F4-O0146","proc-campus-dev-000-F4-O0146"]}</x:v>
      </x:c>
      <x:c r="O1722" s="6"/>
      <x:c r="P1722" s="6" t="str">
        <x:v>step_free=true. No stairs or stepped openings. May be unreachable.</x:v>
      </x:c>
      <x:c r="Q1722" s="15" t="n">
        <x:v>110.74</x:v>
      </x:c>
      <x:c r="R1722" s="6" t="str">
        <x:v>m</x:v>
      </x:c>
      <x:c r="S1722" s="16"/>
      <x:c r="T1722" s="15"/>
      <x:c r="U1722" s="6"/>
      <x:c r="V1722" s="6"/>
      <x:c r="W1722" s="6" t="str">
        <x:v>Existing find_route(step_free=true).</x:v>
      </x:c>
      <x:c r="X1722" s="6" t="str">
        <x:v>data/dev/proc-campus-dev-000/questions_basic.jsonl</x:v>
      </x:c>
      <x:c r="Y1722" s="14" t="n">
        <x:v>8</x:v>
      </x:c>
      <x:c r="Z1722" s="6" t="str">
        <x:v>https://github.com/hagenhaeussler/Industrial-Agents-Hackathon-2026/blob/f41616590b69f3ea0c1cbfb41d6c35edd9ce53df/data/dev/proc-campus-dev-000/questions_basic.jsonl#L8</x:v>
      </x:c>
      <x:c r="AA1722" s="6" t="str">
        <x:v>procedural</x:v>
      </x:c>
      <x:c r="AB1722" s="6" t="str">
        <x:v>CC0-1.0</x:v>
      </x:c>
    </x:row>
    <x:row r="1723" ht="72" customHeight="1">
      <x:c r="A1723" s="14" t="n">
        <x:v>1718</x:v>
      </x:c>
      <x:c r="B1723" s="6" t="str">
        <x:v>route_step_free</x:v>
      </x:c>
      <x:c r="C1723" s="6" t="str">
        <x:v>Is there a step-free route from Toilet 1.16 (Floor 1) to Print room 1.19 (Floor 1)?</x:v>
      </x:c>
      <x:c r="D1723" s="6" t="str">
        <x:v>21.43 m
From: Toilet 1.16
To: Print room 1.19
Ordered path (3 spaces): Toilet 1.16 → Corridor 1.01 → Print room 1.19</x:v>
      </x:c>
      <x:c r="E1723" s="6" t="str">
        <x:v>Reference supplied</x:v>
      </x:c>
      <x:c r="F1723" s="6" t="str">
        <x:v>dev</x:v>
      </x:c>
      <x:c r="G1723" s="6" t="str">
        <x:v>proc-campus-dev-001</x:v>
      </x:c>
      <x:c r="H1723" s="6" t="str">
        <x:v>proc-campus-dev-001-Q08</x:v>
      </x:c>
      <x:c r="I1723" s="6" t="str">
        <x:v>Route planning</x:v>
      </x:c>
      <x:c r="J1723" s="6" t="str">
        <x:v>Warm-up</x:v>
      </x:c>
      <x:c r="K1723" s="6" t="str">
        <x:v>Reachable: ordered path and metres. Unreachable: explicitly state no step-free route.</x:v>
      </x:c>
      <x:c r="L1723" s="6" t="str">
        <x:v>T02, T05, T13</x:v>
      </x:c>
      <x:c r="M1723" s="6" t="str">
        <x:v>Check whether a step-free route exists and give it when possible.</x:v>
      </x:c>
      <x:c r="N1723" s="6" t="str">
        <x:v>{"from_space_id":"proc-campus-dev-001-F1-S016","to_space_id":"proc-campus-dev-001-F1-S019","optimal_length_m":21.43,"space_path":["proc-campus-dev-001-F1-S016","proc-campus-dev-001-F1-S001","proc-campus-dev-001-F1-S019"],"element_path":["proc-campus-dev-001-F1-O0038","proc-campus-dev-001-F1-O0038","proc-campus-dev-001-F1-O0041","proc-campus-dev-001-F1-O0041"]}</x:v>
      </x:c>
      <x:c r="O1723" s="6"/>
      <x:c r="P1723" s="6" t="str">
        <x:v>step_free=true. No stairs or stepped openings. May be unreachable.</x:v>
      </x:c>
      <x:c r="Q1723" s="15" t="n">
        <x:v>21.43</x:v>
      </x:c>
      <x:c r="R1723" s="6" t="str">
        <x:v>m</x:v>
      </x:c>
      <x:c r="S1723" s="16"/>
      <x:c r="T1723" s="15"/>
      <x:c r="U1723" s="6"/>
      <x:c r="V1723" s="6"/>
      <x:c r="W1723" s="6" t="str">
        <x:v>Existing find_route(step_free=true).</x:v>
      </x:c>
      <x:c r="X1723" s="6" t="str">
        <x:v>data/dev/proc-campus-dev-001/questions_basic.jsonl</x:v>
      </x:c>
      <x:c r="Y1723" s="14" t="n">
        <x:v>8</x:v>
      </x:c>
      <x:c r="Z1723" s="6" t="str">
        <x:v>https://github.com/hagenhaeussler/Industrial-Agents-Hackathon-2026/blob/f41616590b69f3ea0c1cbfb41d6c35edd9ce53df/data/dev/proc-campus-dev-001/questions_basic.jsonl#L8</x:v>
      </x:c>
      <x:c r="AA1723" s="6" t="str">
        <x:v>procedural</x:v>
      </x:c>
      <x:c r="AB1723" s="6" t="str">
        <x:v>CC0-1.0</x:v>
      </x:c>
    </x:row>
    <x:row r="1724" ht="124" customHeight="1">
      <x:c r="A1724" s="14" t="n">
        <x:v>1719</x:v>
      </x:c>
      <x:c r="B1724" s="6" t="str">
        <x:v>route_step_free</x:v>
      </x:c>
      <x:c r="C1724" s="6" t="str">
        <x:v>Is there a step-free route from Toilet 0.16 (Ground floor) to Office 3.18 (Floor 3)?</x:v>
      </x:c>
      <x:c r="D1724" s="6" t="str">
        <x:v>114.95 m
From: Toilet 0.16
To: Office 3.18
Ordered path (8 spaces): Toilet 0.16 → Corridor 0.01 → Lift 1 → Lift 1 → Lift 1 → Lift 1 → Corridor 3.01 → Office 3.18</x:v>
      </x:c>
      <x:c r="E1724" s="6" t="str">
        <x:v>Reference supplied</x:v>
      </x:c>
      <x:c r="F1724" s="6" t="str">
        <x:v>dev</x:v>
      </x:c>
      <x:c r="G1724" s="6" t="str">
        <x:v>proc-campus-dev-002</x:v>
      </x:c>
      <x:c r="H1724" s="6" t="str">
        <x:v>proc-campus-dev-002-Q08</x:v>
      </x:c>
      <x:c r="I1724" s="6" t="str">
        <x:v>Route planning</x:v>
      </x:c>
      <x:c r="J1724" s="6" t="str">
        <x:v>Warm-up</x:v>
      </x:c>
      <x:c r="K1724" s="6" t="str">
        <x:v>Reachable: ordered path and metres. Unreachable: explicitly state no step-free route.</x:v>
      </x:c>
      <x:c r="L1724" s="6" t="str">
        <x:v>T02, T05, T13</x:v>
      </x:c>
      <x:c r="M1724" s="6" t="str">
        <x:v>Check whether a step-free route exists and give it when possible.</x:v>
      </x:c>
      <x:c r="N1724" s="6" t="str">
        <x:v>{"from_space_id":"proc-campus-dev-002-F0-S016","to_space_id":"proc-campus-dev-002-F3-S018","optimal_length_m":114.95,"space_path":["proc-campus-dev-002-F0-S016","proc-campus-dev-002-F0-S001","proc-campus-dev-002-F0-S005","proc-campus-dev-002-F1-S005","proc-campus-dev-002-F2-S005","proc-campus-dev-002-F3-S005","proc-campus-dev-002-F3-S001","proc-campus-dev-002-F3-S018"],"element_path":["proc-campus-dev-002-F0-O0015","proc-campus-dev-002-F0-O0015","proc-campus-dev-002-F0-O0004","proc-campus-dev-002-F0-O0004","proc-campus-dev-002-V02","proc-campus-dev-002-V02","proc-campus-dev-002-V02","proc-campus-dev-002-F3-O0069","proc-campus-dev-002-F3-O0069","proc-campus-dev-002-F3-O0082","proc-campus-dev-002-F3-O0082"]}</x:v>
      </x:c>
      <x:c r="O1724" s="6"/>
      <x:c r="P1724" s="6" t="str">
        <x:v>step_free=true. No stairs or stepped openings. May be unreachable.</x:v>
      </x:c>
      <x:c r="Q1724" s="15" t="n">
        <x:v>114.95</x:v>
      </x:c>
      <x:c r="R1724" s="6" t="str">
        <x:v>m</x:v>
      </x:c>
      <x:c r="S1724" s="16"/>
      <x:c r="T1724" s="15"/>
      <x:c r="U1724" s="6"/>
      <x:c r="V1724" s="6"/>
      <x:c r="W1724" s="6" t="str">
        <x:v>Existing find_route(step_free=true).</x:v>
      </x:c>
      <x:c r="X1724" s="6" t="str">
        <x:v>data/dev/proc-campus-dev-002/questions_basic.jsonl</x:v>
      </x:c>
      <x:c r="Y1724" s="14" t="n">
        <x:v>8</x:v>
      </x:c>
      <x:c r="Z1724" s="6" t="str">
        <x:v>https://github.com/hagenhaeussler/Industrial-Agents-Hackathon-2026/blob/f41616590b69f3ea0c1cbfb41d6c35edd9ce53df/data/dev/proc-campus-dev-002/questions_basic.jsonl#L8</x:v>
      </x:c>
      <x:c r="AA1724" s="6" t="str">
        <x:v>procedural</x:v>
      </x:c>
      <x:c r="AB1724" s="6" t="str">
        <x:v>CC0-1.0</x:v>
      </x:c>
    </x:row>
    <x:row r="1725" ht="124" customHeight="1">
      <x:c r="A1725" s="14" t="n">
        <x:v>1720</x:v>
      </x:c>
      <x:c r="B1725" s="6" t="str">
        <x:v>route_step_free</x:v>
      </x:c>
      <x:c r="C1725" s="6" t="str">
        <x:v>Is there a step-free route from Office 1.03 (Floor 1) to Office 3.10 (Floor 3)?</x:v>
      </x:c>
      <x:c r="D1725" s="6" t="str">
        <x:v>88.83 m
From: Office 1.03
To: Office 3.10
Ordered path (7 spaces): Office 1.03 → Corridor 1.01 → Lift 1 → Lift 1 → Lift 1 → Corridor 3.01 → Office 3.10</x:v>
      </x:c>
      <x:c r="E1725" s="6" t="str">
        <x:v>Reference supplied</x:v>
      </x:c>
      <x:c r="F1725" s="6" t="str">
        <x:v>dev</x:v>
      </x:c>
      <x:c r="G1725" s="6" t="str">
        <x:v>proc-campus-dev-006</x:v>
      </x:c>
      <x:c r="H1725" s="6" t="str">
        <x:v>proc-campus-dev-006-Q08</x:v>
      </x:c>
      <x:c r="I1725" s="6" t="str">
        <x:v>Route planning</x:v>
      </x:c>
      <x:c r="J1725" s="6" t="str">
        <x:v>Warm-up</x:v>
      </x:c>
      <x:c r="K1725" s="6" t="str">
        <x:v>Reachable: ordered path and metres. Unreachable: explicitly state no step-free route.</x:v>
      </x:c>
      <x:c r="L1725" s="6" t="str">
        <x:v>T02, T05, T13</x:v>
      </x:c>
      <x:c r="M1725" s="6" t="str">
        <x:v>Check whether a step-free route exists and give it when possible.</x:v>
      </x:c>
      <x:c r="N1725" s="6" t="str">
        <x:v>{"from_space_id":"proc-campus-dev-006-F1-S003","to_space_id":"proc-campus-dev-006-F3-S010","optimal_length_m":88.83,"space_path":["proc-campus-dev-006-F1-S003","proc-campus-dev-006-F1-S001","proc-campus-dev-006-F1-S007","proc-campus-dev-006-F2-S007","proc-campus-dev-006-F3-S007","proc-campus-dev-006-F3-S001","proc-campus-dev-006-F3-S010"],"element_path":["proc-campus-dev-006-F1-O0022","proc-campus-dev-006-F1-O0022","proc-campus-dev-006-F1-O0026","proc-campus-dev-006-F1-O0026","proc-campus-dev-006-V02","proc-campus-dev-006-V02","proc-campus-dev-006-F3-O0068","proc-campus-dev-006-F3-O0068","proc-campus-dev-006-F3-O0071","proc-campus-dev-006-F3-O0071"]}</x:v>
      </x:c>
      <x:c r="O1725" s="6"/>
      <x:c r="P1725" s="6" t="str">
        <x:v>step_free=true. No stairs or stepped openings. May be unreachable.</x:v>
      </x:c>
      <x:c r="Q1725" s="15" t="n">
        <x:v>88.83</x:v>
      </x:c>
      <x:c r="R1725" s="6" t="str">
        <x:v>m</x:v>
      </x:c>
      <x:c r="S1725" s="16"/>
      <x:c r="T1725" s="15"/>
      <x:c r="U1725" s="6"/>
      <x:c r="V1725" s="6"/>
      <x:c r="W1725" s="6" t="str">
        <x:v>Existing find_route(step_free=true).</x:v>
      </x:c>
      <x:c r="X1725" s="6" t="str">
        <x:v>data/dev/proc-campus-dev-006/questions_basic.jsonl</x:v>
      </x:c>
      <x:c r="Y1725" s="14" t="n">
        <x:v>8</x:v>
      </x:c>
      <x:c r="Z1725" s="6" t="str">
        <x:v>https://github.com/hagenhaeussler/Industrial-Agents-Hackathon-2026/blob/f41616590b69f3ea0c1cbfb41d6c35edd9ce53df/data/dev/proc-campus-dev-006/questions_basic.jsonl#L8</x:v>
      </x:c>
      <x:c r="AA1725" s="6" t="str">
        <x:v>procedural</x:v>
      </x:c>
      <x:c r="AB1725" s="6" t="str">
        <x:v>CC0-1.0</x:v>
      </x:c>
    </x:row>
    <x:row r="1726" ht="124" customHeight="1">
      <x:c r="A1726" s="14" t="n">
        <x:v>1721</x:v>
      </x:c>
      <x:c r="B1726" s="6" t="str">
        <x:v>route_step_free</x:v>
      </x:c>
      <x:c r="C1726" s="6" t="str">
        <x:v>Is there a step-free route from Seminar room 3.20 (Floor 3) to Kitchen 5.28 (Floor 5)?</x:v>
      </x:c>
      <x:c r="D1726" s="6" t="str">
        <x:v>97.45 m
From: Seminar room 3.20
To: Kitchen 5.28
Ordered path (7 spaces): Seminar room 3.20 → Corridor 3.01 → Lift 2 → Lift 2 → Lift 2 → Corridor 5.01 → Kitchen 5.28</x:v>
      </x:c>
      <x:c r="E1726" s="6" t="str">
        <x:v>Reference supplied</x:v>
      </x:c>
      <x:c r="F1726" s="6" t="str">
        <x:v>dev</x:v>
      </x:c>
      <x:c r="G1726" s="6" t="str">
        <x:v>proc-campus-dev-009</x:v>
      </x:c>
      <x:c r="H1726" s="6" t="str">
        <x:v>proc-campus-dev-009-Q08</x:v>
      </x:c>
      <x:c r="I1726" s="6" t="str">
        <x:v>Route planning</x:v>
      </x:c>
      <x:c r="J1726" s="6" t="str">
        <x:v>Warm-up</x:v>
      </x:c>
      <x:c r="K1726" s="6" t="str">
        <x:v>Reachable: ordered path and metres. Unreachable: explicitly state no step-free route.</x:v>
      </x:c>
      <x:c r="L1726" s="6" t="str">
        <x:v>T02, T05, T13</x:v>
      </x:c>
      <x:c r="M1726" s="6" t="str">
        <x:v>Check whether a step-free route exists and give it when possible.</x:v>
      </x:c>
      <x:c r="N1726" s="6" t="str">
        <x:v>{"from_space_id":"proc-campus-dev-009-F3-S020","to_space_id":"proc-campus-dev-009-F5-S028","optimal_length_m":97.45,"space_path":["proc-campus-dev-009-F3-S020","proc-campus-dev-009-F3-S001","proc-campus-dev-009-F3-S011","proc-campus-dev-009-F4-S011","proc-campus-dev-009-F5-S011","proc-campus-dev-009-F5-S001","proc-campus-dev-009-F5-S028"],"element_path":["proc-campus-dev-009-F3-O0120","proc-campus-dev-009-F3-O0120","proc-campus-dev-009-F3-O0111","proc-campus-dev-009-F3-O0111","proc-campus-dev-009-V04","proc-campus-dev-009-V04","proc-campus-dev-009-F5-O0179","proc-campus-dev-009-F5-O0179","proc-campus-dev-009-F5-O0196","proc-campus-dev-009-F5-O0196"]}</x:v>
      </x:c>
      <x:c r="O1726" s="6"/>
      <x:c r="P1726" s="6" t="str">
        <x:v>step_free=true. No stairs or stepped openings. May be unreachable.</x:v>
      </x:c>
      <x:c r="Q1726" s="15" t="n">
        <x:v>97.45</x:v>
      </x:c>
      <x:c r="R1726" s="6" t="str">
        <x:v>m</x:v>
      </x:c>
      <x:c r="S1726" s="16"/>
      <x:c r="T1726" s="15"/>
      <x:c r="U1726" s="6"/>
      <x:c r="V1726" s="6"/>
      <x:c r="W1726" s="6" t="str">
        <x:v>Existing find_route(step_free=true).</x:v>
      </x:c>
      <x:c r="X1726" s="6" t="str">
        <x:v>data/dev/proc-campus-dev-009/questions_basic.jsonl</x:v>
      </x:c>
      <x:c r="Y1726" s="14" t="n">
        <x:v>8</x:v>
      </x:c>
      <x:c r="Z1726" s="6" t="str">
        <x:v>https://github.com/hagenhaeussler/Industrial-Agents-Hackathon-2026/blob/f41616590b69f3ea0c1cbfb41d6c35edd9ce53df/data/dev/proc-campus-dev-009/questions_basic.jsonl#L8</x:v>
      </x:c>
      <x:c r="AA1726" s="6" t="str">
        <x:v>procedural</x:v>
      </x:c>
      <x:c r="AB1726" s="6" t="str">
        <x:v>CC0-1.0</x:v>
      </x:c>
    </x:row>
    <x:row r="1727" ht="124" customHeight="1">
      <x:c r="A1727" s="14" t="n">
        <x:v>1722</x:v>
      </x:c>
      <x:c r="B1727" s="6" t="str">
        <x:v>route_step_free</x:v>
      </x:c>
      <x:c r="C1727" s="6" t="str">
        <x:v>Is there a step-free route from Office 2.08 (Floor 2) to Office 0.13 (Ground floor)?</x:v>
      </x:c>
      <x:c r="D1727" s="6" t="str">
        <x:v>98.48 m
From: Office 2.08
To: Office 0.13
Ordered path (7 spaces): Office 2.08 → Corridor 2.01 → Lift 1 → Lift 1 → Lift 1 → Corridor 0.01 → Office 0.13</x:v>
      </x:c>
      <x:c r="E1727" s="6" t="str">
        <x:v>Reference supplied</x:v>
      </x:c>
      <x:c r="F1727" s="6" t="str">
        <x:v>dev</x:v>
      </x:c>
      <x:c r="G1727" s="6" t="str">
        <x:v>proc-campus-dev-013</x:v>
      </x:c>
      <x:c r="H1727" s="6" t="str">
        <x:v>proc-campus-dev-013-Q08</x:v>
      </x:c>
      <x:c r="I1727" s="6" t="str">
        <x:v>Route planning</x:v>
      </x:c>
      <x:c r="J1727" s="6" t="str">
        <x:v>Warm-up</x:v>
      </x:c>
      <x:c r="K1727" s="6" t="str">
        <x:v>Reachable: ordered path and metres. Unreachable: explicitly state no step-free route.</x:v>
      </x:c>
      <x:c r="L1727" s="6" t="str">
        <x:v>T02, T05, T13</x:v>
      </x:c>
      <x:c r="M1727" s="6" t="str">
        <x:v>Check whether a step-free route exists and give it when possible.</x:v>
      </x:c>
      <x:c r="N1727" s="6" t="str">
        <x:v>{"from_space_id":"proc-campus-dev-013-F2-S008","to_space_id":"proc-campus-dev-013-F0-S013","optimal_length_m":98.48,"space_path":["proc-campus-dev-013-F2-S008","proc-campus-dev-013-F2-S001","proc-campus-dev-013-F2-S005","proc-campus-dev-013-F1-S005","proc-campus-dev-013-F0-S005","proc-campus-dev-013-F0-S001","proc-campus-dev-013-F0-S013"],"element_path":["proc-campus-dev-013-F2-O0048","proc-campus-dev-013-F2-O0048","proc-campus-dev-013-F2-O0045","proc-campus-dev-013-F2-O0045","proc-campus-dev-013-V02","proc-campus-dev-013-V02","proc-campus-dev-013-F0-O0004","proc-campus-dev-013-F0-O0004","proc-campus-dev-013-F0-O0012","proc-campus-dev-013-F0-O0012"]}</x:v>
      </x:c>
      <x:c r="O1727" s="6"/>
      <x:c r="P1727" s="6" t="str">
        <x:v>step_free=true. No stairs or stepped openings. May be unreachable.</x:v>
      </x:c>
      <x:c r="Q1727" s="15" t="n">
        <x:v>98.48</x:v>
      </x:c>
      <x:c r="R1727" s="6" t="str">
        <x:v>m</x:v>
      </x:c>
      <x:c r="S1727" s="16"/>
      <x:c r="T1727" s="15"/>
      <x:c r="U1727" s="6"/>
      <x:c r="V1727" s="6"/>
      <x:c r="W1727" s="6" t="str">
        <x:v>Existing find_route(step_free=true).</x:v>
      </x:c>
      <x:c r="X1727" s="6" t="str">
        <x:v>data/dev/proc-campus-dev-013/questions_basic.jsonl</x:v>
      </x:c>
      <x:c r="Y1727" s="14" t="n">
        <x:v>8</x:v>
      </x:c>
      <x:c r="Z1727" s="6" t="str">
        <x:v>https://github.com/hagenhaeussler/Industrial-Agents-Hackathon-2026/blob/f41616590b69f3ea0c1cbfb41d6c35edd9ce53df/data/dev/proc-campus-dev-013/questions_basic.jsonl#L8</x:v>
      </x:c>
      <x:c r="AA1727" s="6" t="str">
        <x:v>procedural</x:v>
      </x:c>
      <x:c r="AB1727" s="6" t="str">
        <x:v>CC0-1.0</x:v>
      </x:c>
    </x:row>
    <x:row r="1728" ht="82" customHeight="1">
      <x:c r="A1728" s="14" t="n">
        <x:v>1723</x:v>
      </x:c>
      <x:c r="B1728" s="6" t="str">
        <x:v>route_step_free</x:v>
      </x:c>
      <x:c r="C1728" s="6" t="str">
        <x:v>Is there a step-free route from Kitchen 1.28 (Floor 1) to Meeting room 1.10 (Floor 1)?</x:v>
      </x:c>
      <x:c r="D1728" s="6" t="str">
        <x:v>26.16 m
From: Kitchen 1.28
To: Meeting room 1.10
Ordered path (3 spaces): Kitchen 1.28 → Office corridor 1.01 → Meeting room 1.10</x:v>
      </x:c>
      <x:c r="E1728" s="6" t="str">
        <x:v>Reference supplied</x:v>
      </x:c>
      <x:c r="F1728" s="6" t="str">
        <x:v>dev</x:v>
      </x:c>
      <x:c r="G1728" s="6" t="str">
        <x:v>proc-factory-dev-003</x:v>
      </x:c>
      <x:c r="H1728" s="6" t="str">
        <x:v>proc-factory-dev-003-Q08</x:v>
      </x:c>
      <x:c r="I1728" s="6" t="str">
        <x:v>Route planning</x:v>
      </x:c>
      <x:c r="J1728" s="6" t="str">
        <x:v>Warm-up</x:v>
      </x:c>
      <x:c r="K1728" s="6" t="str">
        <x:v>Reachable: ordered path and metres. Unreachable: explicitly state no step-free route.</x:v>
      </x:c>
      <x:c r="L1728" s="6" t="str">
        <x:v>T02, T05, T13</x:v>
      </x:c>
      <x:c r="M1728" s="6" t="str">
        <x:v>Check whether a step-free route exists and give it when possible.</x:v>
      </x:c>
      <x:c r="N1728" s="6" t="str">
        <x:v>{"from_space_id":"proc-factory-dev-003-F1-S028","to_space_id":"proc-factory-dev-003-F1-S010","optimal_length_m":26.16,"space_path":["proc-factory-dev-003-F1-S028","proc-factory-dev-003-F1-S001","proc-factory-dev-003-F1-S010"],"element_path":["proc-factory-dev-003-F1-O0081","proc-factory-dev-003-F1-O0081","proc-factory-dev-003-F1-O0063","proc-factory-dev-003-F1-O0063"]}</x:v>
      </x:c>
      <x:c r="O1728" s="6"/>
      <x:c r="P1728" s="6" t="str">
        <x:v>step_free=true. No stairs or stepped openings. May be unreachable.</x:v>
      </x:c>
      <x:c r="Q1728" s="15" t="n">
        <x:v>26.16</x:v>
      </x:c>
      <x:c r="R1728" s="6" t="str">
        <x:v>m</x:v>
      </x:c>
      <x:c r="S1728" s="16"/>
      <x:c r="T1728" s="15"/>
      <x:c r="U1728" s="6"/>
      <x:c r="V1728" s="6"/>
      <x:c r="W1728" s="6" t="str">
        <x:v>Existing find_route(step_free=true).</x:v>
      </x:c>
      <x:c r="X1728" s="6" t="str">
        <x:v>data/dev/proc-factory-dev-003/questions_basic.jsonl</x:v>
      </x:c>
      <x:c r="Y1728" s="14" t="n">
        <x:v>8</x:v>
      </x:c>
      <x:c r="Z1728" s="6" t="str">
        <x:v>https://github.com/hagenhaeussler/Industrial-Agents-Hackathon-2026/blob/f41616590b69f3ea0c1cbfb41d6c35edd9ce53df/data/dev/proc-factory-dev-003/questions_basic.jsonl#L8</x:v>
      </x:c>
      <x:c r="AA1728" s="6" t="str">
        <x:v>procedural</x:v>
      </x:c>
      <x:c r="AB1728" s="6" t="str">
        <x:v>CC0-1.0</x:v>
      </x:c>
    </x:row>
    <x:row r="1729" ht="110" customHeight="1">
      <x:c r="A1729" s="14" t="n">
        <x:v>1724</x:v>
      </x:c>
      <x:c r="B1729" s="6" t="str">
        <x:v>route_step_free</x:v>
      </x:c>
      <x:c r="C1729" s="6" t="str">
        <x:v>Is there a step-free route from Meeting room 0.22 (Ground floor) to Kitchen 1.15 (Floor 1)?</x:v>
      </x:c>
      <x:c r="D1729" s="6" t="str">
        <x:v>72.98 m
From: Meeting room 0.22
To: Kitchen 1.15
Ordered path (6 spaces): Meeting room 0.22 → Office corridor 0.13 → Lift 0.15 → Lift 1.03 → Office corridor 1.01 → Kitchen 1.15</x:v>
      </x:c>
      <x:c r="E1729" s="6" t="str">
        <x:v>Reference supplied</x:v>
      </x:c>
      <x:c r="F1729" s="6" t="str">
        <x:v>dev</x:v>
      </x:c>
      <x:c r="G1729" s="6" t="str">
        <x:v>proc-factory-dev-004</x:v>
      </x:c>
      <x:c r="H1729" s="6" t="str">
        <x:v>proc-factory-dev-004-Q08</x:v>
      </x:c>
      <x:c r="I1729" s="6" t="str">
        <x:v>Route planning</x:v>
      </x:c>
      <x:c r="J1729" s="6" t="str">
        <x:v>Warm-up</x:v>
      </x:c>
      <x:c r="K1729" s="6" t="str">
        <x:v>Reachable: ordered path and metres. Unreachable: explicitly state no step-free route.</x:v>
      </x:c>
      <x:c r="L1729" s="6" t="str">
        <x:v>T02, T05, T13</x:v>
      </x:c>
      <x:c r="M1729" s="6" t="str">
        <x:v>Check whether a step-free route exists and give it when possible.</x:v>
      </x:c>
      <x:c r="N1729" s="6" t="str">
        <x:v>{"from_space_id":"proc-factory-dev-004-F0-S022","to_space_id":"proc-factory-dev-004-F1-S015","optimal_length_m":72.98,"space_path":["proc-factory-dev-004-F0-S022","proc-factory-dev-004-F0-S013","proc-factory-dev-004-F0-S015","proc-factory-dev-004-F1-S003","proc-factory-dev-004-F1-S001","proc-factory-dev-004-F1-S015"],"element_path":["proc-factory-dev-004-F0-O0028","proc-factory-dev-004-F0-O0028","proc-factory-dev-004-F0-O0020","proc-factory-dev-004-F0-O0020","proc-factory-dev-004-V02","proc-factory-dev-004-F1-O0041","proc-factory-dev-004-F1-O0041","proc-factory-dev-004-F1-O0053","proc-factory-dev-004-F1-O0053"]}</x:v>
      </x:c>
      <x:c r="O1729" s="6"/>
      <x:c r="P1729" s="6" t="str">
        <x:v>step_free=true. No stairs or stepped openings. May be unreachable.</x:v>
      </x:c>
      <x:c r="Q1729" s="15" t="n">
        <x:v>72.98</x:v>
      </x:c>
      <x:c r="R1729" s="6" t="str">
        <x:v>m</x:v>
      </x:c>
      <x:c r="S1729" s="16"/>
      <x:c r="T1729" s="15"/>
      <x:c r="U1729" s="6"/>
      <x:c r="V1729" s="6"/>
      <x:c r="W1729" s="6" t="str">
        <x:v>Existing find_route(step_free=true).</x:v>
      </x:c>
      <x:c r="X1729" s="6" t="str">
        <x:v>data/dev/proc-factory-dev-004/questions_basic.jsonl</x:v>
      </x:c>
      <x:c r="Y1729" s="14" t="n">
        <x:v>8</x:v>
      </x:c>
      <x:c r="Z1729" s="6" t="str">
        <x:v>https://github.com/hagenhaeussler/Industrial-Agents-Hackathon-2026/blob/f41616590b69f3ea0c1cbfb41d6c35edd9ce53df/data/dev/proc-factory-dev-004/questions_basic.jsonl#L8</x:v>
      </x:c>
      <x:c r="AA1729" s="6" t="str">
        <x:v>procedural</x:v>
      </x:c>
      <x:c r="AB1729" s="6" t="str">
        <x:v>CC0-1.0</x:v>
      </x:c>
    </x:row>
    <x:row r="1730" ht="82" customHeight="1">
      <x:c r="A1730" s="14" t="n">
        <x:v>1725</x:v>
      </x:c>
      <x:c r="B1730" s="6" t="str">
        <x:v>route_step_free</x:v>
      </x:c>
      <x:c r="C1730" s="6" t="str">
        <x:v>Is there a step-free route from Toilet 0.46 (Ground floor) to Server room 0.53 (Ground floor)?</x:v>
      </x:c>
      <x:c r="D1730" s="6" t="str">
        <x:v>40.39 m
From: Toilet 0.46
To: Server room 0.53
Ordered path (3 spaces): Toilet 0.46 → Office corridor 0.19 → Server room 0.53</x:v>
      </x:c>
      <x:c r="E1730" s="6" t="str">
        <x:v>Reference supplied</x:v>
      </x:c>
      <x:c r="F1730" s="6" t="str">
        <x:v>dev</x:v>
      </x:c>
      <x:c r="G1730" s="6" t="str">
        <x:v>proc-factory-dev-005</x:v>
      </x:c>
      <x:c r="H1730" s="6" t="str">
        <x:v>proc-factory-dev-005-Q08</x:v>
      </x:c>
      <x:c r="I1730" s="6" t="str">
        <x:v>Route planning</x:v>
      </x:c>
      <x:c r="J1730" s="6" t="str">
        <x:v>Warm-up</x:v>
      </x:c>
      <x:c r="K1730" s="6" t="str">
        <x:v>Reachable: ordered path and metres. Unreachable: explicitly state no step-free route.</x:v>
      </x:c>
      <x:c r="L1730" s="6" t="str">
        <x:v>T02, T05, T13</x:v>
      </x:c>
      <x:c r="M1730" s="6" t="str">
        <x:v>Check whether a step-free route exists and give it when possible.</x:v>
      </x:c>
      <x:c r="N1730" s="6" t="str">
        <x:v>{"from_space_id":"proc-factory-dev-005-F0-S046","to_space_id":"proc-factory-dev-005-F0-S053","optimal_length_m":40.39,"space_path":["proc-factory-dev-005-F0-S046","proc-factory-dev-005-F0-S019","proc-factory-dev-005-F0-S053"],"element_path":["proc-factory-dev-005-F0-O0052","proc-factory-dev-005-F0-O0052","proc-factory-dev-005-F0-O0059","proc-factory-dev-005-F0-O0059"]}</x:v>
      </x:c>
      <x:c r="O1730" s="6"/>
      <x:c r="P1730" s="6" t="str">
        <x:v>step_free=true. No stairs or stepped openings. May be unreachable.</x:v>
      </x:c>
      <x:c r="Q1730" s="15" t="n">
        <x:v>40.39</x:v>
      </x:c>
      <x:c r="R1730" s="6" t="str">
        <x:v>m</x:v>
      </x:c>
      <x:c r="S1730" s="16"/>
      <x:c r="T1730" s="15"/>
      <x:c r="U1730" s="6"/>
      <x:c r="V1730" s="6"/>
      <x:c r="W1730" s="6" t="str">
        <x:v>Existing find_route(step_free=true).</x:v>
      </x:c>
      <x:c r="X1730" s="6" t="str">
        <x:v>data/dev/proc-factory-dev-005/questions_basic.jsonl</x:v>
      </x:c>
      <x:c r="Y1730" s="14" t="n">
        <x:v>8</x:v>
      </x:c>
      <x:c r="Z1730" s="6" t="str">
        <x:v>https://github.com/hagenhaeussler/Industrial-Agents-Hackathon-2026/blob/f41616590b69f3ea0c1cbfb41d6c35edd9ce53df/data/dev/proc-factory-dev-005/questions_basic.jsonl#L8</x:v>
      </x:c>
      <x:c r="AA1730" s="6" t="str">
        <x:v>procedural</x:v>
      </x:c>
      <x:c r="AB1730" s="6" t="str">
        <x:v>CC0-1.0</x:v>
      </x:c>
    </x:row>
    <x:row r="1731" ht="82" customHeight="1">
      <x:c r="A1731" s="14" t="n">
        <x:v>1726</x:v>
      </x:c>
      <x:c r="B1731" s="6" t="str">
        <x:v>route_step_free</x:v>
      </x:c>
      <x:c r="C1731" s="6" t="str">
        <x:v>Is there a step-free route from Kitchen 1.06 (Floor 1) to Meeting room 1.11 (Floor 1)?</x:v>
      </x:c>
      <x:c r="D1731" s="6" t="str">
        <x:v>27.8 m
From: Kitchen 1.06
To: Meeting room 1.11
Ordered path (3 spaces): Kitchen 1.06 → Office corridor 1.01 → Meeting room 1.11</x:v>
      </x:c>
      <x:c r="E1731" s="6" t="str">
        <x:v>Reference supplied</x:v>
      </x:c>
      <x:c r="F1731" s="6" t="str">
        <x:v>dev</x:v>
      </x:c>
      <x:c r="G1731" s="6" t="str">
        <x:v>proc-factory-dev-007</x:v>
      </x:c>
      <x:c r="H1731" s="6" t="str">
        <x:v>proc-factory-dev-007-Q08</x:v>
      </x:c>
      <x:c r="I1731" s="6" t="str">
        <x:v>Route planning</x:v>
      </x:c>
      <x:c r="J1731" s="6" t="str">
        <x:v>Warm-up</x:v>
      </x:c>
      <x:c r="K1731" s="6" t="str">
        <x:v>Reachable: ordered path and metres. Unreachable: explicitly state no step-free route.</x:v>
      </x:c>
      <x:c r="L1731" s="6" t="str">
        <x:v>T02, T05, T13</x:v>
      </x:c>
      <x:c r="M1731" s="6" t="str">
        <x:v>Check whether a step-free route exists and give it when possible.</x:v>
      </x:c>
      <x:c r="N1731" s="6" t="str">
        <x:v>{"from_space_id":"proc-factory-dev-007-F1-S006","to_space_id":"proc-factory-dev-007-F1-S011","optimal_length_m":27.8,"space_path":["proc-factory-dev-007-F1-S006","proc-factory-dev-007-F1-S001","proc-factory-dev-007-F1-S011"],"element_path":["proc-factory-dev-007-F1-O0037","proc-factory-dev-007-F1-O0037","proc-factory-dev-007-F1-O0042","proc-factory-dev-007-F1-O0042"]}</x:v>
      </x:c>
      <x:c r="O1731" s="6"/>
      <x:c r="P1731" s="6" t="str">
        <x:v>step_free=true. No stairs or stepped openings. May be unreachable.</x:v>
      </x:c>
      <x:c r="Q1731" s="15" t="n">
        <x:v>27.8</x:v>
      </x:c>
      <x:c r="R1731" s="6" t="str">
        <x:v>m</x:v>
      </x:c>
      <x:c r="S1731" s="16"/>
      <x:c r="T1731" s="15"/>
      <x:c r="U1731" s="6"/>
      <x:c r="V1731" s="6"/>
      <x:c r="W1731" s="6" t="str">
        <x:v>Existing find_route(step_free=true).</x:v>
      </x:c>
      <x:c r="X1731" s="6" t="str">
        <x:v>data/dev/proc-factory-dev-007/questions_basic.jsonl</x:v>
      </x:c>
      <x:c r="Y1731" s="14" t="n">
        <x:v>8</x:v>
      </x:c>
      <x:c r="Z1731" s="6" t="str">
        <x:v>https://github.com/hagenhaeussler/Industrial-Agents-Hackathon-2026/blob/f41616590b69f3ea0c1cbfb41d6c35edd9ce53df/data/dev/proc-factory-dev-007/questions_basic.jsonl#L8</x:v>
      </x:c>
      <x:c r="AA1731" s="6" t="str">
        <x:v>procedural</x:v>
      </x:c>
      <x:c r="AB1731" s="6" t="str">
        <x:v>CC0-1.0</x:v>
      </x:c>
    </x:row>
    <x:row r="1732" ht="110" customHeight="1">
      <x:c r="A1732" s="14" t="n">
        <x:v>1727</x:v>
      </x:c>
      <x:c r="B1732" s="6" t="str">
        <x:v>route_step_free</x:v>
      </x:c>
      <x:c r="C1732" s="6" t="str">
        <x:v>Is there a step-free route from Office 1.16 (Floor 1) to Meeting room 0.43 (Ground floor)?</x:v>
      </x:c>
      <x:c r="D1732" s="6" t="str">
        <x:v>123.28 m
From: Office 1.16
To: Meeting room 0.43
Ordered path (6 spaces): Office 1.16 → Office corridor 1.01 → Lift 1.03 → Lift 0.27 → Office corridor 0.25 → Meeting room 0.43</x:v>
      </x:c>
      <x:c r="E1732" s="6" t="str">
        <x:v>Reference supplied</x:v>
      </x:c>
      <x:c r="F1732" s="6" t="str">
        <x:v>dev</x:v>
      </x:c>
      <x:c r="G1732" s="6" t="str">
        <x:v>proc-factory-dev-008</x:v>
      </x:c>
      <x:c r="H1732" s="6" t="str">
        <x:v>proc-factory-dev-008-Q08</x:v>
      </x:c>
      <x:c r="I1732" s="6" t="str">
        <x:v>Route planning</x:v>
      </x:c>
      <x:c r="J1732" s="6" t="str">
        <x:v>Warm-up</x:v>
      </x:c>
      <x:c r="K1732" s="6" t="str">
        <x:v>Reachable: ordered path and metres. Unreachable: explicitly state no step-free route.</x:v>
      </x:c>
      <x:c r="L1732" s="6" t="str">
        <x:v>T02, T05, T13</x:v>
      </x:c>
      <x:c r="M1732" s="6" t="str">
        <x:v>Check whether a step-free route exists and give it when possible.</x:v>
      </x:c>
      <x:c r="N1732" s="6" t="str">
        <x:v>{"from_space_id":"proc-factory-dev-008-F1-S016","to_space_id":"proc-factory-dev-008-F0-S043","optimal_length_m":123.28,"space_path":["proc-factory-dev-008-F1-S016","proc-factory-dev-008-F1-S001","proc-factory-dev-008-F1-S003","proc-factory-dev-008-F0-S027","proc-factory-dev-008-F0-S025","proc-factory-dev-008-F0-S043"],"element_path":["proc-factory-dev-008-F1-O0086","proc-factory-dev-008-F1-O0086","proc-factory-dev-008-F1-O0073","proc-factory-dev-008-F1-O0073","proc-factory-dev-008-V02","proc-factory-dev-008-F0-O0042","proc-factory-dev-008-F0-O0042","proc-factory-dev-008-F0-O0060","proc-factory-dev-008-F0-O0060"]}</x:v>
      </x:c>
      <x:c r="O1732" s="6"/>
      <x:c r="P1732" s="6" t="str">
        <x:v>step_free=true. No stairs or stepped openings. May be unreachable.</x:v>
      </x:c>
      <x:c r="Q1732" s="15" t="n">
        <x:v>123.28</x:v>
      </x:c>
      <x:c r="R1732" s="6" t="str">
        <x:v>m</x:v>
      </x:c>
      <x:c r="S1732" s="16"/>
      <x:c r="T1732" s="15"/>
      <x:c r="U1732" s="6"/>
      <x:c r="V1732" s="6"/>
      <x:c r="W1732" s="6" t="str">
        <x:v>Existing find_route(step_free=true).</x:v>
      </x:c>
      <x:c r="X1732" s="6" t="str">
        <x:v>data/dev/proc-factory-dev-008/questions_basic.jsonl</x:v>
      </x:c>
      <x:c r="Y1732" s="14" t="n">
        <x:v>8</x:v>
      </x:c>
      <x:c r="Z1732" s="6" t="str">
        <x:v>https://github.com/hagenhaeussler/Industrial-Agents-Hackathon-2026/blob/f41616590b69f3ea0c1cbfb41d6c35edd9ce53df/data/dev/proc-factory-dev-008/questions_basic.jsonl#L8</x:v>
      </x:c>
      <x:c r="AA1732" s="6" t="str">
        <x:v>procedural</x:v>
      </x:c>
      <x:c r="AB1732" s="6" t="str">
        <x:v>CC0-1.0</x:v>
      </x:c>
    </x:row>
    <x:row r="1733" ht="110" customHeight="1">
      <x:c r="A1733" s="14" t="n">
        <x:v>1728</x:v>
      </x:c>
      <x:c r="B1733" s="6" t="str">
        <x:v>route_step_free</x:v>
      </x:c>
      <x:c r="C1733" s="6" t="str">
        <x:v>Is there a step-free route from Quality lab 0.23 (Ground floor) to Office 1.16 (Floor 1)?</x:v>
      </x:c>
      <x:c r="D1733" s="6" t="str">
        <x:v>74.96 m
From: Quality lab 0.23
To: Office 1.16
Ordered path (6 spaces): Quality lab 0.23 → Office corridor 0.13 → Lift 0.15 → Lift 1.03 → Office corridor 1.01 → Office 1.16</x:v>
      </x:c>
      <x:c r="E1733" s="6" t="str">
        <x:v>Reference supplied</x:v>
      </x:c>
      <x:c r="F1733" s="6" t="str">
        <x:v>dev</x:v>
      </x:c>
      <x:c r="G1733" s="6" t="str">
        <x:v>proc-factory-dev-010</x:v>
      </x:c>
      <x:c r="H1733" s="6" t="str">
        <x:v>proc-factory-dev-010-Q08</x:v>
      </x:c>
      <x:c r="I1733" s="6" t="str">
        <x:v>Route planning</x:v>
      </x:c>
      <x:c r="J1733" s="6" t="str">
        <x:v>Warm-up</x:v>
      </x:c>
      <x:c r="K1733" s="6" t="str">
        <x:v>Reachable: ordered path and metres. Unreachable: explicitly state no step-free route.</x:v>
      </x:c>
      <x:c r="L1733" s="6" t="str">
        <x:v>T02, T05, T13</x:v>
      </x:c>
      <x:c r="M1733" s="6" t="str">
        <x:v>Check whether a step-free route exists and give it when possible.</x:v>
      </x:c>
      <x:c r="N1733" s="6" t="str">
        <x:v>{"from_space_id":"proc-factory-dev-010-F0-S023","to_space_id":"proc-factory-dev-010-F1-S016","optimal_length_m":74.96,"space_path":["proc-factory-dev-010-F0-S023","proc-factory-dev-010-F0-S013","proc-factory-dev-010-F0-S015","proc-factory-dev-010-F1-S003","proc-factory-dev-010-F1-S001","proc-factory-dev-010-F1-S016"],"element_path":["proc-factory-dev-010-F0-O0027","proc-factory-dev-010-F0-O0027","proc-factory-dev-010-F0-O0018","proc-factory-dev-010-F0-O0018","proc-factory-dev-010-V02","proc-factory-dev-010-F1-O0040","proc-factory-dev-010-F1-O0040","proc-factory-dev-010-F1-O0053","proc-factory-dev-010-F1-O0053"]}</x:v>
      </x:c>
      <x:c r="O1733" s="6"/>
      <x:c r="P1733" s="6" t="str">
        <x:v>step_free=true. No stairs or stepped openings. May be unreachable.</x:v>
      </x:c>
      <x:c r="Q1733" s="15" t="n">
        <x:v>74.96</x:v>
      </x:c>
      <x:c r="R1733" s="6" t="str">
        <x:v>m</x:v>
      </x:c>
      <x:c r="S1733" s="16"/>
      <x:c r="T1733" s="15"/>
      <x:c r="U1733" s="6"/>
      <x:c r="V1733" s="6"/>
      <x:c r="W1733" s="6" t="str">
        <x:v>Existing find_route(step_free=true).</x:v>
      </x:c>
      <x:c r="X1733" s="6" t="str">
        <x:v>data/dev/proc-factory-dev-010/questions_basic.jsonl</x:v>
      </x:c>
      <x:c r="Y1733" s="14" t="n">
        <x:v>8</x:v>
      </x:c>
      <x:c r="Z1733" s="6" t="str">
        <x:v>https://github.com/hagenhaeussler/Industrial-Agents-Hackathon-2026/blob/f41616590b69f3ea0c1cbfb41d6c35edd9ce53df/data/dev/proc-factory-dev-010/questions_basic.jsonl#L8</x:v>
      </x:c>
      <x:c r="AA1733" s="6" t="str">
        <x:v>procedural</x:v>
      </x:c>
      <x:c r="AB1733" s="6" t="str">
        <x:v>CC0-1.0</x:v>
      </x:c>
    </x:row>
    <x:row r="1734" ht="82" customHeight="1">
      <x:c r="A1734" s="14" t="n">
        <x:v>1729</x:v>
      </x:c>
      <x:c r="B1734" s="6" t="str">
        <x:v>route_step_free</x:v>
      </x:c>
      <x:c r="C1734" s="6" t="str">
        <x:v>Is there a step-free route from Office 0.27 (Ground floor) to Meeting room 0.38 (Ground floor)?</x:v>
      </x:c>
      <x:c r="D1734" s="6" t="str">
        <x:v>57.59 m
From: Office 0.27
To: Meeting room 0.38
Ordered path (3 spaces): Office 0.27 → Office corridor 0.21 → Meeting room 0.38</x:v>
      </x:c>
      <x:c r="E1734" s="6" t="str">
        <x:v>Reference supplied</x:v>
      </x:c>
      <x:c r="F1734" s="6" t="str">
        <x:v>dev</x:v>
      </x:c>
      <x:c r="G1734" s="6" t="str">
        <x:v>proc-factory-dev-011</x:v>
      </x:c>
      <x:c r="H1734" s="6" t="str">
        <x:v>proc-factory-dev-011-Q08</x:v>
      </x:c>
      <x:c r="I1734" s="6" t="str">
        <x:v>Route planning</x:v>
      </x:c>
      <x:c r="J1734" s="6" t="str">
        <x:v>Warm-up</x:v>
      </x:c>
      <x:c r="K1734" s="6" t="str">
        <x:v>Reachable: ordered path and metres. Unreachable: explicitly state no step-free route.</x:v>
      </x:c>
      <x:c r="L1734" s="6" t="str">
        <x:v>T02, T05, T13</x:v>
      </x:c>
      <x:c r="M1734" s="6" t="str">
        <x:v>Check whether a step-free route exists and give it when possible.</x:v>
      </x:c>
      <x:c r="N1734" s="6" t="str">
        <x:v>{"from_space_id":"proc-factory-dev-011-F0-S027","to_space_id":"proc-factory-dev-011-F0-S038","optimal_length_m":57.59,"space_path":["proc-factory-dev-011-F0-S027","proc-factory-dev-011-F0-S021","proc-factory-dev-011-F0-S038"],"element_path":["proc-factory-dev-011-F0-O0039","proc-factory-dev-011-F0-O0039","proc-factory-dev-011-F0-O0050","proc-factory-dev-011-F0-O0050"]}</x:v>
      </x:c>
      <x:c r="O1734" s="6"/>
      <x:c r="P1734" s="6" t="str">
        <x:v>step_free=true. No stairs or stepped openings. May be unreachable.</x:v>
      </x:c>
      <x:c r="Q1734" s="15" t="n">
        <x:v>57.59</x:v>
      </x:c>
      <x:c r="R1734" s="6" t="str">
        <x:v>m</x:v>
      </x:c>
      <x:c r="S1734" s="16"/>
      <x:c r="T1734" s="15"/>
      <x:c r="U1734" s="6"/>
      <x:c r="V1734" s="6"/>
      <x:c r="W1734" s="6" t="str">
        <x:v>Existing find_route(step_free=true).</x:v>
      </x:c>
      <x:c r="X1734" s="6" t="str">
        <x:v>data/dev/proc-factory-dev-011/questions_basic.jsonl</x:v>
      </x:c>
      <x:c r="Y1734" s="14" t="n">
        <x:v>8</x:v>
      </x:c>
      <x:c r="Z1734" s="6" t="str">
        <x:v>https://github.com/hagenhaeussler/Industrial-Agents-Hackathon-2026/blob/f41616590b69f3ea0c1cbfb41d6c35edd9ce53df/data/dev/proc-factory-dev-011/questions_basic.jsonl#L8</x:v>
      </x:c>
      <x:c r="AA1734" s="6" t="str">
        <x:v>procedural</x:v>
      </x:c>
      <x:c r="AB1734" s="6" t="str">
        <x:v>CC0-1.0</x:v>
      </x:c>
    </x:row>
    <x:row r="1735" ht="124" customHeight="1">
      <x:c r="A1735" s="14" t="n">
        <x:v>1730</x:v>
      </x:c>
      <x:c r="B1735" s="6" t="str">
        <x:v>route_step_free</x:v>
      </x:c>
      <x:c r="C1735" s="6" t="str">
        <x:v>Is there a step-free route from Office 0.29 (Ground floor) to Office 2.13 (Floor 2)?</x:v>
      </x:c>
      <x:c r="D1735" s="6" t="str">
        <x:v>149.19 m
From: Office 0.29
To: Office 2.13
Ordered path (7 spaces): Office 0.29 → Office corridor 0.25 → Lift 0.27 → Lift 1.03 → Lift 2.03 → Office corridor 2.01 → Office 2.13</x:v>
      </x:c>
      <x:c r="E1735" s="6" t="str">
        <x:v>Reference supplied</x:v>
      </x:c>
      <x:c r="F1735" s="6" t="str">
        <x:v>dev</x:v>
      </x:c>
      <x:c r="G1735" s="6" t="str">
        <x:v>proc-factory-dev-012</x:v>
      </x:c>
      <x:c r="H1735" s="6" t="str">
        <x:v>proc-factory-dev-012-Q08</x:v>
      </x:c>
      <x:c r="I1735" s="6" t="str">
        <x:v>Route planning</x:v>
      </x:c>
      <x:c r="J1735" s="6" t="str">
        <x:v>Warm-up</x:v>
      </x:c>
      <x:c r="K1735" s="6" t="str">
        <x:v>Reachable: ordered path and metres. Unreachable: explicitly state no step-free route.</x:v>
      </x:c>
      <x:c r="L1735" s="6" t="str">
        <x:v>T02, T05, T13</x:v>
      </x:c>
      <x:c r="M1735" s="6" t="str">
        <x:v>Check whether a step-free route exists and give it when possible.</x:v>
      </x:c>
      <x:c r="N1735" s="6" t="str">
        <x:v>{"from_space_id":"proc-factory-dev-012-F0-S029","to_space_id":"proc-factory-dev-012-F2-S013","optimal_length_m":149.19,"space_path":["proc-factory-dev-012-F0-S029","proc-factory-dev-012-F0-S025","proc-factory-dev-012-F0-S027","proc-factory-dev-012-F1-S003","proc-factory-dev-012-F2-S003","proc-factory-dev-012-F2-S001","proc-factory-dev-012-F2-S013"],"element_path":["proc-factory-dev-012-F0-O0041","proc-factory-dev-012-F0-O0041","proc-factory-dev-012-F0-O0038","proc-factory-dev-012-F0-O0038","proc-factory-dev-012-V02","proc-factory-dev-012-V02","proc-factory-dev-012-F2-O0109","proc-factory-dev-012-F2-O0109","proc-factory-dev-012-F2-O0119","proc-factory-dev-012-F2-O0119"]}</x:v>
      </x:c>
      <x:c r="O1735" s="6"/>
      <x:c r="P1735" s="6" t="str">
        <x:v>step_free=true. No stairs or stepped openings. May be unreachable.</x:v>
      </x:c>
      <x:c r="Q1735" s="15" t="n">
        <x:v>149.19</x:v>
      </x:c>
      <x:c r="R1735" s="6" t="str">
        <x:v>m</x:v>
      </x:c>
      <x:c r="S1735" s="16"/>
      <x:c r="T1735" s="15"/>
      <x:c r="U1735" s="6"/>
      <x:c r="V1735" s="6"/>
      <x:c r="W1735" s="6" t="str">
        <x:v>Existing find_route(step_free=true).</x:v>
      </x:c>
      <x:c r="X1735" s="6" t="str">
        <x:v>data/dev/proc-factory-dev-012/questions_basic.jsonl</x:v>
      </x:c>
      <x:c r="Y1735" s="14" t="n">
        <x:v>8</x:v>
      </x:c>
      <x:c r="Z1735" s="6" t="str">
        <x:v>https://github.com/hagenhaeussler/Industrial-Agents-Hackathon-2026/blob/f41616590b69f3ea0c1cbfb41d6c35edd9ce53df/data/dev/proc-factory-dev-012/questions_basic.jsonl#L8</x:v>
      </x:c>
      <x:c r="AA1735" s="6" t="str">
        <x:v>procedural</x:v>
      </x:c>
      <x:c r="AB1735" s="6" t="str">
        <x:v>CC0-1.0</x:v>
      </x:c>
    </x:row>
    <x:row r="1736" ht="82" customHeight="1">
      <x:c r="A1736" s="14" t="n">
        <x:v>1731</x:v>
      </x:c>
      <x:c r="B1736" s="6" t="str">
        <x:v>route_step_free</x:v>
      </x:c>
      <x:c r="C1736" s="6" t="str">
        <x:v>Is there a step-free route from Bathroom 0.05 (Ground floor) to Living room 0.01 (Ground floor)?</x:v>
      </x:c>
      <x:c r="D1736" s="6" t="str">
        <x:v>6.01 m
From: Bathroom 0.05
To: Living room 0.01
Ordered path (3 spaces): Bathroom 0.05 → Kitchen 0.06 → Living room 0.01</x:v>
      </x:c>
      <x:c r="E1736" s="6" t="str">
        <x:v>Reference supplied</x:v>
      </x:c>
      <x:c r="F1736" s="6" t="str">
        <x:v>dev</x:v>
      </x:c>
      <x:c r="G1736" s="6" t="str">
        <x:v>resplan-14509</x:v>
      </x:c>
      <x:c r="H1736" s="6" t="str">
        <x:v>resplan-14509-Q08</x:v>
      </x:c>
      <x:c r="I1736" s="6" t="str">
        <x:v>Route planning</x:v>
      </x:c>
      <x:c r="J1736" s="6" t="str">
        <x:v>Warm-up</x:v>
      </x:c>
      <x:c r="K1736" s="6" t="str">
        <x:v>Reachable: ordered path and metres. Unreachable: explicitly state no step-free route.</x:v>
      </x:c>
      <x:c r="L1736" s="6" t="str">
        <x:v>T02, T05, T13</x:v>
      </x:c>
      <x:c r="M1736" s="6" t="str">
        <x:v>Check whether a step-free route exists and give it when possible.</x:v>
      </x:c>
      <x:c r="N1736" s="6" t="str">
        <x:v>{"from_space_id":"resplan-14509-F0-S005","to_space_id":"resplan-14509-F0-S001","optimal_length_m":6.01,"space_path":["resplan-14509-F0-S005","resplan-14509-F0-S006","resplan-14509-F0-S001"],"element_path":["resplan-14509-F0-O0006","resplan-14509-F0-O0006","resplan-14509-F0-O0005","resplan-14509-F0-O0005"]}</x:v>
      </x:c>
      <x:c r="O1736" s="6"/>
      <x:c r="P1736" s="6" t="str">
        <x:v>step_free=true. No stairs or stepped openings. May be unreachable.</x:v>
      </x:c>
      <x:c r="Q1736" s="15" t="n">
        <x:v>6.01</x:v>
      </x:c>
      <x:c r="R1736" s="6" t="str">
        <x:v>m</x:v>
      </x:c>
      <x:c r="S1736" s="16"/>
      <x:c r="T1736" s="15"/>
      <x:c r="U1736" s="6"/>
      <x:c r="V1736" s="6"/>
      <x:c r="W1736" s="6" t="str">
        <x:v>Existing find_route(step_free=true).</x:v>
      </x:c>
      <x:c r="X1736" s="6" t="str">
        <x:v>data/dev/resplan-14509/questions_basic.jsonl</x:v>
      </x:c>
      <x:c r="Y1736" s="14" t="n">
        <x:v>8</x:v>
      </x:c>
      <x:c r="Z1736" s="6" t="str">
        <x:v>https://github.com/hagenhaeussler/Industrial-Agents-Hackathon-2026/blob/f41616590b69f3ea0c1cbfb41d6c35edd9ce53df/data/dev/resplan-14509/questions_basic.jsonl#L8</x:v>
      </x:c>
      <x:c r="AA1736" s="6" t="str">
        <x:v>resplan</x:v>
      </x:c>
      <x:c r="AB1736" s="6" t="str">
        <x:v>CC-BY-4.0</x:v>
      </x:c>
    </x:row>
    <x:row r="1737" ht="82" customHeight="1">
      <x:c r="A1737" s="14" t="n">
        <x:v>1732</x:v>
      </x:c>
      <x:c r="B1737" s="6" t="str">
        <x:v>route_step_free</x:v>
      </x:c>
      <x:c r="C1737" s="6" t="str">
        <x:v>Is there a step-free route from Bedroom 0.03 (Ground floor) to Bathroom 0.05 (Ground floor)?</x:v>
      </x:c>
      <x:c r="D1737" s="6" t="str">
        <x:v>20.62 m
From: Bedroom 0.03
To: Bathroom 0.05
Ordered path (4 spaces): Bedroom 0.03 → Living room 0.01 → Bedroom 0.02 → Bathroom 0.05</x:v>
      </x:c>
      <x:c r="E1737" s="6" t="str">
        <x:v>Reference supplied</x:v>
      </x:c>
      <x:c r="F1737" s="6" t="str">
        <x:v>dev</x:v>
      </x:c>
      <x:c r="G1737" s="6" t="str">
        <x:v>resplan-1465</x:v>
      </x:c>
      <x:c r="H1737" s="6" t="str">
        <x:v>resplan-1465-Q08</x:v>
      </x:c>
      <x:c r="I1737" s="6" t="str">
        <x:v>Route planning</x:v>
      </x:c>
      <x:c r="J1737" s="6" t="str">
        <x:v>Warm-up</x:v>
      </x:c>
      <x:c r="K1737" s="6" t="str">
        <x:v>Reachable: ordered path and metres. Unreachable: explicitly state no step-free route.</x:v>
      </x:c>
      <x:c r="L1737" s="6" t="str">
        <x:v>T02, T05, T13</x:v>
      </x:c>
      <x:c r="M1737" s="6" t="str">
        <x:v>Check whether a step-free route exists and give it when possible.</x:v>
      </x:c>
      <x:c r="N1737" s="6" t="str">
        <x:v>{"from_space_id":"resplan-1465-F0-S003","to_space_id":"resplan-1465-F0-S005","optimal_length_m":20.62,"space_path":["resplan-1465-F0-S003","resplan-1465-F0-S001","resplan-1465-F0-S002","resplan-1465-F0-S005"],"element_path":["resplan-1465-F0-O0004","resplan-1465-F0-O0004","resplan-1465-F0-O0002","resplan-1465-F0-O0002","resplan-1465-F0-O0001","resplan-1465-F0-O0001"]}</x:v>
      </x:c>
      <x:c r="O1737" s="6"/>
      <x:c r="P1737" s="6" t="str">
        <x:v>step_free=true. No stairs or stepped openings. May be unreachable.</x:v>
      </x:c>
      <x:c r="Q1737" s="15" t="n">
        <x:v>20.62</x:v>
      </x:c>
      <x:c r="R1737" s="6" t="str">
        <x:v>m</x:v>
      </x:c>
      <x:c r="S1737" s="16"/>
      <x:c r="T1737" s="15"/>
      <x:c r="U1737" s="6"/>
      <x:c r="V1737" s="6"/>
      <x:c r="W1737" s="6" t="str">
        <x:v>Existing find_route(step_free=true).</x:v>
      </x:c>
      <x:c r="X1737" s="6" t="str">
        <x:v>data/dev/resplan-1465/questions_basic.jsonl</x:v>
      </x:c>
      <x:c r="Y1737" s="14" t="n">
        <x:v>8</x:v>
      </x:c>
      <x:c r="Z1737" s="6" t="str">
        <x:v>https://github.com/hagenhaeussler/Industrial-Agents-Hackathon-2026/blob/f41616590b69f3ea0c1cbfb41d6c35edd9ce53df/data/dev/resplan-1465/questions_basic.jsonl#L8</x:v>
      </x:c>
      <x:c r="AA1737" s="6" t="str">
        <x:v>resplan</x:v>
      </x:c>
      <x:c r="AB1737" s="6" t="str">
        <x:v>CC-BY-4.0</x:v>
      </x:c>
    </x:row>
    <x:row r="1738" ht="72" customHeight="1">
      <x:c r="A1738" s="14" t="n">
        <x:v>1733</x:v>
      </x:c>
      <x:c r="B1738" s="6" t="str">
        <x:v>route_step_free</x:v>
      </x:c>
      <x:c r="C1738" s="6" t="str">
        <x:v>Is there a step-free route from Bedroom 0.03 (Ground floor) to Bedroom 0.04 (Ground floor)?</x:v>
      </x:c>
      <x:c r="D1738" s="6" t="str">
        <x:v>14.22 m
From: Bedroom 0.03
To: Bedroom 0.04
Ordered path (3 spaces): Bedroom 0.03 → Living room 0.01 → Bedroom 0.04</x:v>
      </x:c>
      <x:c r="E1738" s="6" t="str">
        <x:v>Reference supplied</x:v>
      </x:c>
      <x:c r="F1738" s="6" t="str">
        <x:v>dev</x:v>
      </x:c>
      <x:c r="G1738" s="6" t="str">
        <x:v>resplan-15179</x:v>
      </x:c>
      <x:c r="H1738" s="6" t="str">
        <x:v>resplan-15179-Q08</x:v>
      </x:c>
      <x:c r="I1738" s="6" t="str">
        <x:v>Route planning</x:v>
      </x:c>
      <x:c r="J1738" s="6" t="str">
        <x:v>Warm-up</x:v>
      </x:c>
      <x:c r="K1738" s="6" t="str">
        <x:v>Reachable: ordered path and metres. Unreachable: explicitly state no step-free route.</x:v>
      </x:c>
      <x:c r="L1738" s="6" t="str">
        <x:v>T02, T05, T13</x:v>
      </x:c>
      <x:c r="M1738" s="6" t="str">
        <x:v>Check whether a step-free route exists and give it when possible.</x:v>
      </x:c>
      <x:c r="N1738" s="6" t="str">
        <x:v>{"from_space_id":"resplan-15179-F0-S003","to_space_id":"resplan-15179-F0-S004","optimal_length_m":14.22,"space_path":["resplan-15179-F0-S003","resplan-15179-F0-S001","resplan-15179-F0-S004"],"element_path":["resplan-15179-F0-O0004","resplan-15179-F0-O0004","resplan-15179-F0-O0005","resplan-15179-F0-O0005"]}</x:v>
      </x:c>
      <x:c r="O1738" s="6"/>
      <x:c r="P1738" s="6" t="str">
        <x:v>step_free=true. No stairs or stepped openings. May be unreachable.</x:v>
      </x:c>
      <x:c r="Q1738" s="15" t="n">
        <x:v>14.22</x:v>
      </x:c>
      <x:c r="R1738" s="6" t="str">
        <x:v>m</x:v>
      </x:c>
      <x:c r="S1738" s="16"/>
      <x:c r="T1738" s="15"/>
      <x:c r="U1738" s="6"/>
      <x:c r="V1738" s="6"/>
      <x:c r="W1738" s="6" t="str">
        <x:v>Existing find_route(step_free=true).</x:v>
      </x:c>
      <x:c r="X1738" s="6" t="str">
        <x:v>data/dev/resplan-15179/questions_basic.jsonl</x:v>
      </x:c>
      <x:c r="Y1738" s="14" t="n">
        <x:v>8</x:v>
      </x:c>
      <x:c r="Z1738" s="6" t="str">
        <x:v>https://github.com/hagenhaeussler/Industrial-Agents-Hackathon-2026/blob/f41616590b69f3ea0c1cbfb41d6c35edd9ce53df/data/dev/resplan-15179/questions_basic.jsonl#L8</x:v>
      </x:c>
      <x:c r="AA1738" s="6" t="str">
        <x:v>resplan</x:v>
      </x:c>
      <x:c r="AB1738" s="6" t="str">
        <x:v>CC-BY-4.0</x:v>
      </x:c>
    </x:row>
    <x:row r="1739" ht="82" customHeight="1">
      <x:c r="A1739" s="14" t="n">
        <x:v>1734</x:v>
      </x:c>
      <x:c r="B1739" s="6" t="str">
        <x:v>route_step_free</x:v>
      </x:c>
      <x:c r="C1739" s="6" t="str">
        <x:v>Is there a step-free route from Bathroom 0.04 (Ground floor) to Bedroom 0.03 (Ground floor)?</x:v>
      </x:c>
      <x:c r="D1739" s="6" t="str">
        <x:v>15.92 m
From: Bathroom 0.04
To: Bedroom 0.03
Ordered path (3 spaces): Bathroom 0.04 → Living room 0.01 → Bedroom 0.03</x:v>
      </x:c>
      <x:c r="E1739" s="6" t="str">
        <x:v>Reference supplied</x:v>
      </x:c>
      <x:c r="F1739" s="6" t="str">
        <x:v>dev</x:v>
      </x:c>
      <x:c r="G1739" s="6" t="str">
        <x:v>resplan-16154</x:v>
      </x:c>
      <x:c r="H1739" s="6" t="str">
        <x:v>resplan-16154-Q08</x:v>
      </x:c>
      <x:c r="I1739" s="6" t="str">
        <x:v>Route planning</x:v>
      </x:c>
      <x:c r="J1739" s="6" t="str">
        <x:v>Warm-up</x:v>
      </x:c>
      <x:c r="K1739" s="6" t="str">
        <x:v>Reachable: ordered path and metres. Unreachable: explicitly state no step-free route.</x:v>
      </x:c>
      <x:c r="L1739" s="6" t="str">
        <x:v>T02, T05, T13</x:v>
      </x:c>
      <x:c r="M1739" s="6" t="str">
        <x:v>Check whether a step-free route exists and give it when possible.</x:v>
      </x:c>
      <x:c r="N1739" s="6" t="str">
        <x:v>{"from_space_id":"resplan-16154-F0-S004","to_space_id":"resplan-16154-F0-S003","optimal_length_m":15.92,"space_path":["resplan-16154-F0-S004","resplan-16154-F0-S001","resplan-16154-F0-S003"],"element_path":["resplan-16154-F0-O0005","resplan-16154-F0-O0005","resplan-16154-F0-O0002","resplan-16154-F0-O0002"]}</x:v>
      </x:c>
      <x:c r="O1739" s="6"/>
      <x:c r="P1739" s="6" t="str">
        <x:v>step_free=true. No stairs or stepped openings. May be unreachable.</x:v>
      </x:c>
      <x:c r="Q1739" s="15" t="n">
        <x:v>15.92</x:v>
      </x:c>
      <x:c r="R1739" s="6" t="str">
        <x:v>m</x:v>
      </x:c>
      <x:c r="S1739" s="16"/>
      <x:c r="T1739" s="15"/>
      <x:c r="U1739" s="6"/>
      <x:c r="V1739" s="6"/>
      <x:c r="W1739" s="6" t="str">
        <x:v>Existing find_route(step_free=true).</x:v>
      </x:c>
      <x:c r="X1739" s="6" t="str">
        <x:v>data/dev/resplan-16154/questions_basic.jsonl</x:v>
      </x:c>
      <x:c r="Y1739" s="14" t="n">
        <x:v>8</x:v>
      </x:c>
      <x:c r="Z1739" s="6" t="str">
        <x:v>https://github.com/hagenhaeussler/Industrial-Agents-Hackathon-2026/blob/f41616590b69f3ea0c1cbfb41d6c35edd9ce53df/data/dev/resplan-16154/questions_basic.jsonl#L8</x:v>
      </x:c>
      <x:c r="AA1739" s="6" t="str">
        <x:v>resplan</x:v>
      </x:c>
      <x:c r="AB1739" s="6" t="str">
        <x:v>CC-BY-4.0</x:v>
      </x:c>
    </x:row>
    <x:row r="1740" ht="82" customHeight="1">
      <x:c r="A1740" s="14" t="n">
        <x:v>1735</x:v>
      </x:c>
      <x:c r="B1740" s="6" t="str">
        <x:v>route_step_free</x:v>
      </x:c>
      <x:c r="C1740" s="6" t="str">
        <x:v>Is there a step-free route from Bedroom 0.03 (Ground floor) to Bathroom 0.07 (Ground floor)?</x:v>
      </x:c>
      <x:c r="D1740" s="6" t="str">
        <x:v>16.37 m
From: Bedroom 0.03
To: Bathroom 0.07
Ordered path (4 spaces): Bedroom 0.03 → Living room 0.01 → Bedroom 0.04 → Bathroom 0.07</x:v>
      </x:c>
      <x:c r="E1740" s="6" t="str">
        <x:v>Reference supplied</x:v>
      </x:c>
      <x:c r="F1740" s="6" t="str">
        <x:v>dev</x:v>
      </x:c>
      <x:c r="G1740" s="6" t="str">
        <x:v>resplan-1677</x:v>
      </x:c>
      <x:c r="H1740" s="6" t="str">
        <x:v>resplan-1677-Q08</x:v>
      </x:c>
      <x:c r="I1740" s="6" t="str">
        <x:v>Route planning</x:v>
      </x:c>
      <x:c r="J1740" s="6" t="str">
        <x:v>Warm-up</x:v>
      </x:c>
      <x:c r="K1740" s="6" t="str">
        <x:v>Reachable: ordered path and metres. Unreachable: explicitly state no step-free route.</x:v>
      </x:c>
      <x:c r="L1740" s="6" t="str">
        <x:v>T02, T05, T13</x:v>
      </x:c>
      <x:c r="M1740" s="6" t="str">
        <x:v>Check whether a step-free route exists and give it when possible.</x:v>
      </x:c>
      <x:c r="N1740" s="6" t="str">
        <x:v>{"from_space_id":"resplan-1677-F0-S003","to_space_id":"resplan-1677-F0-S007","optimal_length_m":16.37,"space_path":["resplan-1677-F0-S003","resplan-1677-F0-S001","resplan-1677-F0-S004","resplan-1677-F0-S007"],"element_path":["resplan-1677-F0-O0004","resplan-1677-F0-O0004","resplan-1677-F0-O0005","resplan-1677-F0-O0005","resplan-1677-F0-O0008","resplan-1677-F0-O0008"]}</x:v>
      </x:c>
      <x:c r="O1740" s="6"/>
      <x:c r="P1740" s="6" t="str">
        <x:v>step_free=true. No stairs or stepped openings. May be unreachable.</x:v>
      </x:c>
      <x:c r="Q1740" s="15" t="n">
        <x:v>16.37</x:v>
      </x:c>
      <x:c r="R1740" s="6" t="str">
        <x:v>m</x:v>
      </x:c>
      <x:c r="S1740" s="16"/>
      <x:c r="T1740" s="15"/>
      <x:c r="U1740" s="6"/>
      <x:c r="V1740" s="6"/>
      <x:c r="W1740" s="6" t="str">
        <x:v>Existing find_route(step_free=true).</x:v>
      </x:c>
      <x:c r="X1740" s="6" t="str">
        <x:v>data/dev/resplan-1677/questions_basic.jsonl</x:v>
      </x:c>
      <x:c r="Y1740" s="14" t="n">
        <x:v>8</x:v>
      </x:c>
      <x:c r="Z1740" s="6" t="str">
        <x:v>https://github.com/hagenhaeussler/Industrial-Agents-Hackathon-2026/blob/f41616590b69f3ea0c1cbfb41d6c35edd9ce53df/data/dev/resplan-1677/questions_basic.jsonl#L8</x:v>
      </x:c>
      <x:c r="AA1740" s="6" t="str">
        <x:v>resplan</x:v>
      </x:c>
      <x:c r="AB1740" s="6" t="str">
        <x:v>CC-BY-4.0</x:v>
      </x:c>
    </x:row>
    <x:row r="1741" ht="82" customHeight="1">
      <x:c r="A1741" s="14" t="n">
        <x:v>1736</x:v>
      </x:c>
      <x:c r="B1741" s="6" t="str">
        <x:v>route_step_free</x:v>
      </x:c>
      <x:c r="C1741" s="6" t="str">
        <x:v>Is there a step-free route from Storage 0.07 (Ground floor) to Bathroom 0.05 (Ground floor)?</x:v>
      </x:c>
      <x:c r="D1741" s="6" t="str">
        <x:v>14.3 m
From: Storage 0.07
To: Bathroom 0.05
Ordered path (4 spaces): Storage 0.07 → Living room 0.01 → Bedroom 0.02 → Bathroom 0.05</x:v>
      </x:c>
      <x:c r="E1741" s="6" t="str">
        <x:v>Reference supplied</x:v>
      </x:c>
      <x:c r="F1741" s="6" t="str">
        <x:v>dev</x:v>
      </x:c>
      <x:c r="G1741" s="6" t="str">
        <x:v>resplan-3832</x:v>
      </x:c>
      <x:c r="H1741" s="6" t="str">
        <x:v>resplan-3832-Q08</x:v>
      </x:c>
      <x:c r="I1741" s="6" t="str">
        <x:v>Route planning</x:v>
      </x:c>
      <x:c r="J1741" s="6" t="str">
        <x:v>Warm-up</x:v>
      </x:c>
      <x:c r="K1741" s="6" t="str">
        <x:v>Reachable: ordered path and metres. Unreachable: explicitly state no step-free route.</x:v>
      </x:c>
      <x:c r="L1741" s="6" t="str">
        <x:v>T02, T05, T13</x:v>
      </x:c>
      <x:c r="M1741" s="6" t="str">
        <x:v>Check whether a step-free route exists and give it when possible.</x:v>
      </x:c>
      <x:c r="N1741" s="6" t="str">
        <x:v>{"from_space_id":"resplan-3832-F0-S007","to_space_id":"resplan-3832-F0-S005","optimal_length_m":14.3,"space_path":["resplan-3832-F0-S007","resplan-3832-F0-S001","resplan-3832-F0-S002","resplan-3832-F0-S005"],"element_path":["resplan-3832-F0-O0003","resplan-3832-F0-O0003","resplan-3832-F0-O0002","resplan-3832-F0-O0002","resplan-3832-F0-O0001","resplan-3832-F0-O0001"]}</x:v>
      </x:c>
      <x:c r="O1741" s="6"/>
      <x:c r="P1741" s="6" t="str">
        <x:v>step_free=true. No stairs or stepped openings. May be unreachable.</x:v>
      </x:c>
      <x:c r="Q1741" s="15" t="n">
        <x:v>14.3</x:v>
      </x:c>
      <x:c r="R1741" s="6" t="str">
        <x:v>m</x:v>
      </x:c>
      <x:c r="S1741" s="16"/>
      <x:c r="T1741" s="15"/>
      <x:c r="U1741" s="6"/>
      <x:c r="V1741" s="6"/>
      <x:c r="W1741" s="6" t="str">
        <x:v>Existing find_route(step_free=true).</x:v>
      </x:c>
      <x:c r="X1741" s="6" t="str">
        <x:v>data/dev/resplan-3832/questions_basic.jsonl</x:v>
      </x:c>
      <x:c r="Y1741" s="14" t="n">
        <x:v>8</x:v>
      </x:c>
      <x:c r="Z1741" s="6" t="str">
        <x:v>https://github.com/hagenhaeussler/Industrial-Agents-Hackathon-2026/blob/f41616590b69f3ea0c1cbfb41d6c35edd9ce53df/data/dev/resplan-3832/questions_basic.jsonl#L8</x:v>
      </x:c>
      <x:c r="AA1741" s="6" t="str">
        <x:v>resplan</x:v>
      </x:c>
      <x:c r="AB1741" s="6" t="str">
        <x:v>CC-BY-4.0</x:v>
      </x:c>
    </x:row>
    <x:row r="1742" ht="72" customHeight="1">
      <x:c r="A1742" s="14" t="n">
        <x:v>1737</x:v>
      </x:c>
      <x:c r="B1742" s="6" t="str">
        <x:v>route_step_free</x:v>
      </x:c>
      <x:c r="C1742" s="6" t="str">
        <x:v>Is there a step-free route from Kitchen 0.06 (Ground floor) to Living room 0.01 (Ground floor)?</x:v>
      </x:c>
      <x:c r="D1742" s="6" t="str">
        <x:v>5.71 m
From: Kitchen 0.06
To: Living room 0.01
Ordered path (2 spaces): Kitchen 0.06 → Living room 0.01</x:v>
      </x:c>
      <x:c r="E1742" s="6" t="str">
        <x:v>Reference supplied</x:v>
      </x:c>
      <x:c r="F1742" s="6" t="str">
        <x:v>dev</x:v>
      </x:c>
      <x:c r="G1742" s="6" t="str">
        <x:v>resplan-439</x:v>
      </x:c>
      <x:c r="H1742" s="6" t="str">
        <x:v>resplan-439-Q08</x:v>
      </x:c>
      <x:c r="I1742" s="6" t="str">
        <x:v>Route planning</x:v>
      </x:c>
      <x:c r="J1742" s="6" t="str">
        <x:v>Warm-up</x:v>
      </x:c>
      <x:c r="K1742" s="6" t="str">
        <x:v>Reachable: ordered path and metres. Unreachable: explicitly state no step-free route.</x:v>
      </x:c>
      <x:c r="L1742" s="6" t="str">
        <x:v>T02, T05, T13</x:v>
      </x:c>
      <x:c r="M1742" s="6" t="str">
        <x:v>Check whether a step-free route exists and give it when possible.</x:v>
      </x:c>
      <x:c r="N1742" s="6" t="str">
        <x:v>{"from_space_id":"resplan-439-F0-S006","to_space_id":"resplan-439-F0-S001","optimal_length_m":5.71,"space_path":["resplan-439-F0-S006","resplan-439-F0-S001"],"element_path":["resplan-439-F0-O0007","resplan-439-F0-O0007"]}</x:v>
      </x:c>
      <x:c r="O1742" s="6"/>
      <x:c r="P1742" s="6" t="str">
        <x:v>step_free=true. No stairs or stepped openings. May be unreachable.</x:v>
      </x:c>
      <x:c r="Q1742" s="15" t="n">
        <x:v>5.71</x:v>
      </x:c>
      <x:c r="R1742" s="6" t="str">
        <x:v>m</x:v>
      </x:c>
      <x:c r="S1742" s="16"/>
      <x:c r="T1742" s="15"/>
      <x:c r="U1742" s="6"/>
      <x:c r="V1742" s="6"/>
      <x:c r="W1742" s="6" t="str">
        <x:v>Existing find_route(step_free=true).</x:v>
      </x:c>
      <x:c r="X1742" s="6" t="str">
        <x:v>data/dev/resplan-439/questions_basic.jsonl</x:v>
      </x:c>
      <x:c r="Y1742" s="14" t="n">
        <x:v>8</x:v>
      </x:c>
      <x:c r="Z1742" s="6" t="str">
        <x:v>https://github.com/hagenhaeussler/Industrial-Agents-Hackathon-2026/blob/f41616590b69f3ea0c1cbfb41d6c35edd9ce53df/data/dev/resplan-439/questions_basic.jsonl#L8</x:v>
      </x:c>
      <x:c r="AA1742" s="6" t="str">
        <x:v>resplan</x:v>
      </x:c>
      <x:c r="AB1742" s="6" t="str">
        <x:v>CC-BY-4.0</x:v>
      </x:c>
    </x:row>
    <x:row r="1743" ht="72" customHeight="1">
      <x:c r="A1743" s="14" t="n">
        <x:v>1738</x:v>
      </x:c>
      <x:c r="B1743" s="6" t="str">
        <x:v>route_step_free</x:v>
      </x:c>
      <x:c r="C1743" s="6" t="str">
        <x:v>Is there a step-free route from Living room 0.01 (Ground floor) to Kitchen 0.06 (Ground floor)?</x:v>
      </x:c>
      <x:c r="D1743" s="6" t="str">
        <x:v>6.52 m
From: Living room 0.01
To: Kitchen 0.06
Ordered path (2 spaces): Living room 0.01 → Kitchen 0.06</x:v>
      </x:c>
      <x:c r="E1743" s="6" t="str">
        <x:v>Reference supplied</x:v>
      </x:c>
      <x:c r="F1743" s="6" t="str">
        <x:v>dev</x:v>
      </x:c>
      <x:c r="G1743" s="6" t="str">
        <x:v>resplan-7336</x:v>
      </x:c>
      <x:c r="H1743" s="6" t="str">
        <x:v>resplan-7336-Q08</x:v>
      </x:c>
      <x:c r="I1743" s="6" t="str">
        <x:v>Route planning</x:v>
      </x:c>
      <x:c r="J1743" s="6" t="str">
        <x:v>Warm-up</x:v>
      </x:c>
      <x:c r="K1743" s="6" t="str">
        <x:v>Reachable: ordered path and metres. Unreachable: explicitly state no step-free route.</x:v>
      </x:c>
      <x:c r="L1743" s="6" t="str">
        <x:v>T02, T05, T13</x:v>
      </x:c>
      <x:c r="M1743" s="6" t="str">
        <x:v>Check whether a step-free route exists and give it when possible.</x:v>
      </x:c>
      <x:c r="N1743" s="6" t="str">
        <x:v>{"from_space_id":"resplan-7336-F0-S001","to_space_id":"resplan-7336-F0-S006","optimal_length_m":6.52,"space_path":["resplan-7336-F0-S001","resplan-7336-F0-S006"],"element_path":["resplan-7336-F0-O0008","resplan-7336-F0-O0008"]}</x:v>
      </x:c>
      <x:c r="O1743" s="6"/>
      <x:c r="P1743" s="6" t="str">
        <x:v>step_free=true. No stairs or stepped openings. May be unreachable.</x:v>
      </x:c>
      <x:c r="Q1743" s="15" t="n">
        <x:v>6.52</x:v>
      </x:c>
      <x:c r="R1743" s="6" t="str">
        <x:v>m</x:v>
      </x:c>
      <x:c r="S1743" s="16"/>
      <x:c r="T1743" s="15"/>
      <x:c r="U1743" s="6"/>
      <x:c r="V1743" s="6"/>
      <x:c r="W1743" s="6" t="str">
        <x:v>Existing find_route(step_free=true).</x:v>
      </x:c>
      <x:c r="X1743" s="6" t="str">
        <x:v>data/dev/resplan-7336/questions_basic.jsonl</x:v>
      </x:c>
      <x:c r="Y1743" s="14" t="n">
        <x:v>8</x:v>
      </x:c>
      <x:c r="Z1743" s="6" t="str">
        <x:v>https://github.com/hagenhaeussler/Industrial-Agents-Hackathon-2026/blob/f41616590b69f3ea0c1cbfb41d6c35edd9ce53df/data/dev/resplan-7336/questions_basic.jsonl#L8</x:v>
      </x:c>
      <x:c r="AA1743" s="6" t="str">
        <x:v>resplan</x:v>
      </x:c>
      <x:c r="AB1743" s="6" t="str">
        <x:v>CC-BY-4.0</x:v>
      </x:c>
    </x:row>
    <x:row r="1744" ht="72" customHeight="1">
      <x:c r="A1744" s="14" t="n">
        <x:v>1739</x:v>
      </x:c>
      <x:c r="B1744" s="6" t="str">
        <x:v>route_step_free</x:v>
      </x:c>
      <x:c r="C1744" s="6" t="str">
        <x:v>Is there a step-free route from Bedroom 0.03 (Ground floor) to Living room 0.01 (Ground floor)?</x:v>
      </x:c>
      <x:c r="D1744" s="6" t="str">
        <x:v>4.33 m
From: Bedroom 0.03
To: Living room 0.01
Ordered path (2 spaces): Bedroom 0.03 → Living room 0.01</x:v>
      </x:c>
      <x:c r="E1744" s="6" t="str">
        <x:v>Reference supplied</x:v>
      </x:c>
      <x:c r="F1744" s="6" t="str">
        <x:v>dev</x:v>
      </x:c>
      <x:c r="G1744" s="6" t="str">
        <x:v>resplan-8169</x:v>
      </x:c>
      <x:c r="H1744" s="6" t="str">
        <x:v>resplan-8169-Q08</x:v>
      </x:c>
      <x:c r="I1744" s="6" t="str">
        <x:v>Route planning</x:v>
      </x:c>
      <x:c r="J1744" s="6" t="str">
        <x:v>Warm-up</x:v>
      </x:c>
      <x:c r="K1744" s="6" t="str">
        <x:v>Reachable: ordered path and metres. Unreachable: explicitly state no step-free route.</x:v>
      </x:c>
      <x:c r="L1744" s="6" t="str">
        <x:v>T02, T05, T13</x:v>
      </x:c>
      <x:c r="M1744" s="6" t="str">
        <x:v>Check whether a step-free route exists and give it when possible.</x:v>
      </x:c>
      <x:c r="N1744" s="6" t="str">
        <x:v>{"from_space_id":"resplan-8169-F0-S003","to_space_id":"resplan-8169-F0-S001","optimal_length_m":4.33,"space_path":["resplan-8169-F0-S003","resplan-8169-F0-S001"],"element_path":["resplan-8169-F0-O0002","resplan-8169-F0-O0002"]}</x:v>
      </x:c>
      <x:c r="O1744" s="6"/>
      <x:c r="P1744" s="6" t="str">
        <x:v>step_free=true. No stairs or stepped openings. May be unreachable.</x:v>
      </x:c>
      <x:c r="Q1744" s="15" t="n">
        <x:v>4.33</x:v>
      </x:c>
      <x:c r="R1744" s="6" t="str">
        <x:v>m</x:v>
      </x:c>
      <x:c r="S1744" s="16"/>
      <x:c r="T1744" s="15"/>
      <x:c r="U1744" s="6"/>
      <x:c r="V1744" s="6"/>
      <x:c r="W1744" s="6" t="str">
        <x:v>Existing find_route(step_free=true).</x:v>
      </x:c>
      <x:c r="X1744" s="6" t="str">
        <x:v>data/dev/resplan-8169/questions_basic.jsonl</x:v>
      </x:c>
      <x:c r="Y1744" s="14" t="n">
        <x:v>8</x:v>
      </x:c>
      <x:c r="Z1744" s="6" t="str">
        <x:v>https://github.com/hagenhaeussler/Industrial-Agents-Hackathon-2026/blob/f41616590b69f3ea0c1cbfb41d6c35edd9ce53df/data/dev/resplan-8169/questions_basic.jsonl#L8</x:v>
      </x:c>
      <x:c r="AA1744" s="6" t="str">
        <x:v>resplan</x:v>
      </x:c>
      <x:c r="AB1744" s="6" t="str">
        <x:v>CC-BY-4.0</x:v>
      </x:c>
    </x:row>
    <x:row r="1745" ht="72" customHeight="1">
      <x:c r="A1745" s="14" t="n">
        <x:v>1740</x:v>
      </x:c>
      <x:c r="B1745" s="6" t="str">
        <x:v>route_step_free</x:v>
      </x:c>
      <x:c r="C1745" s="6" t="str">
        <x:v>Is there a step-free route from Bathroom 0.04 (Ground floor) to Living room 0.01 (Ground floor)?</x:v>
      </x:c>
      <x:c r="D1745" s="6" t="str">
        <x:v>2.04 m
From: Bathroom 0.04
To: Living room 0.01
Ordered path (2 spaces): Bathroom 0.04 → Living room 0.01</x:v>
      </x:c>
      <x:c r="E1745" s="6" t="str">
        <x:v>Reference supplied</x:v>
      </x:c>
      <x:c r="F1745" s="6" t="str">
        <x:v>dev</x:v>
      </x:c>
      <x:c r="G1745" s="6" t="str">
        <x:v>resplan-8269</x:v>
      </x:c>
      <x:c r="H1745" s="6" t="str">
        <x:v>resplan-8269-Q08</x:v>
      </x:c>
      <x:c r="I1745" s="6" t="str">
        <x:v>Route planning</x:v>
      </x:c>
      <x:c r="J1745" s="6" t="str">
        <x:v>Warm-up</x:v>
      </x:c>
      <x:c r="K1745" s="6" t="str">
        <x:v>Reachable: ordered path and metres. Unreachable: explicitly state no step-free route.</x:v>
      </x:c>
      <x:c r="L1745" s="6" t="str">
        <x:v>T02, T05, T13</x:v>
      </x:c>
      <x:c r="M1745" s="6" t="str">
        <x:v>Check whether a step-free route exists and give it when possible.</x:v>
      </x:c>
      <x:c r="N1745" s="6" t="str">
        <x:v>{"from_space_id":"resplan-8269-F0-S004","to_space_id":"resplan-8269-F0-S001","optimal_length_m":2.04,"space_path":["resplan-8269-F0-S004","resplan-8269-F0-S001"],"element_path":["resplan-8269-F0-O0001","resplan-8269-F0-O0001"]}</x:v>
      </x:c>
      <x:c r="O1745" s="6"/>
      <x:c r="P1745" s="6" t="str">
        <x:v>step_free=true. No stairs or stepped openings. May be unreachable.</x:v>
      </x:c>
      <x:c r="Q1745" s="15" t="n">
        <x:v>2.04</x:v>
      </x:c>
      <x:c r="R1745" s="6" t="str">
        <x:v>m</x:v>
      </x:c>
      <x:c r="S1745" s="16"/>
      <x:c r="T1745" s="15"/>
      <x:c r="U1745" s="6"/>
      <x:c r="V1745" s="6"/>
      <x:c r="W1745" s="6" t="str">
        <x:v>Existing find_route(step_free=true).</x:v>
      </x:c>
      <x:c r="X1745" s="6" t="str">
        <x:v>data/dev/resplan-8269/questions_basic.jsonl</x:v>
      </x:c>
      <x:c r="Y1745" s="14" t="n">
        <x:v>8</x:v>
      </x:c>
      <x:c r="Z1745" s="6" t="str">
        <x:v>https://github.com/hagenhaeussler/Industrial-Agents-Hackathon-2026/blob/f41616590b69f3ea0c1cbfb41d6c35edd9ce53df/data/dev/resplan-8269/questions_basic.jsonl#L8</x:v>
      </x:c>
      <x:c r="AA1745" s="6" t="str">
        <x:v>resplan</x:v>
      </x:c>
      <x:c r="AB1745" s="6" t="str">
        <x:v>CC-BY-4.0</x:v>
      </x:c>
    </x:row>
    <x:row r="1746" ht="72" customHeight="1">
      <x:c r="A1746" s="14" t="n">
        <x:v>1741</x:v>
      </x:c>
      <x:c r="B1746" s="6" t="str">
        <x:v>route_step_free</x:v>
      </x:c>
      <x:c r="C1746" s="6" t="str">
        <x:v>Is there a step-free route from Living room 1.70 (apartment 18) (Floor 1) to Bathroom 2.42 (apartment 22) (Floor 2)?</x:v>
      </x:c>
      <x:c r="D1746" s="6" t="str">
        <x:v>No route under the requested constraints.
From: Living room 1.70 (apartment 18)
To: Bathroom 2.42 (apartment 22)</x:v>
      </x:c>
      <x:c r="E1746" s="6" t="str">
        <x:v>Reference supplied</x:v>
      </x:c>
      <x:c r="F1746" s="6" t="str">
        <x:v>dev</x:v>
      </x:c>
      <x:c r="G1746" s="6" t="str">
        <x:v>swiss-1689</x:v>
      </x:c>
      <x:c r="H1746" s="6" t="str">
        <x:v>swiss-1689-Q05</x:v>
      </x:c>
      <x:c r="I1746" s="6" t="str">
        <x:v>Route planning</x:v>
      </x:c>
      <x:c r="J1746" s="6" t="str">
        <x:v>Warm-up</x:v>
      </x:c>
      <x:c r="K1746" s="6" t="str">
        <x:v>Reachable: ordered path and metres. Unreachable: explicitly state no step-free route.</x:v>
      </x:c>
      <x:c r="L1746" s="6" t="str">
        <x:v>T02, T05, T13</x:v>
      </x:c>
      <x:c r="M1746" s="6" t="str">
        <x:v>Check whether a step-free route exists and give it when possible.</x:v>
      </x:c>
      <x:c r="N1746" s="6" t="str">
        <x:v>{"from_space_id":"swiss-1689-F1-S070","to_space_id":"swiss-1689-F2-S042","reachable":false}</x:v>
      </x:c>
      <x:c r="O1746" s="6"/>
      <x:c r="P1746" s="6" t="str">
        <x:v>step_free=true. No stairs or stepped openings. May be unreachable.</x:v>
      </x:c>
      <x:c r="Q1746" s="15"/>
      <x:c r="R1746" s="6"/>
      <x:c r="S1746" s="16"/>
      <x:c r="T1746" s="15"/>
      <x:c r="U1746" s="6"/>
      <x:c r="V1746" s="6"/>
      <x:c r="W1746" s="6" t="str">
        <x:v>Existing find_route(step_free=true).</x:v>
      </x:c>
      <x:c r="X1746" s="6" t="str">
        <x:v>data/dev/swiss-1689/questions_basic.jsonl</x:v>
      </x:c>
      <x:c r="Y1746" s="14" t="n">
        <x:v>5</x:v>
      </x:c>
      <x:c r="Z1746" s="6" t="str">
        <x:v>https://github.com/hagenhaeussler/Industrial-Agents-Hackathon-2026/blob/f41616590b69f3ea0c1cbfb41d6c35edd9ce53df/data/dev/swiss-1689/questions_basic.jsonl#L5</x:v>
      </x:c>
      <x:c r="AA1746" s="6" t="str">
        <x:v>swiss_dwellings</x:v>
      </x:c>
      <x:c r="AB1746" s="6" t="str">
        <x:v>CC-BY-4.0</x:v>
      </x:c>
    </x:row>
    <x:row r="1747" ht="110" customHeight="1">
      <x:c r="A1747" s="14" t="n">
        <x:v>1742</x:v>
      </x:c>
      <x:c r="B1747" s="6" t="str">
        <x:v>route_step_free</x:v>
      </x:c>
      <x:c r="C1747" s="6" t="str">
        <x:v>Is there a step-free route from Bathroom 1.29 (apartment 8) (Floor 1) to Bathroom 0.33 (apartment 4) (Ground floor)?</x:v>
      </x:c>
      <x:c r="D1747" s="6" t="str">
        <x:v>42.57 m
From: Bathroom 1.29 (apartment 8)
To: Bathroom 0.33 (apartment 4)
Ordered path (8 spaces): Bathroom 1.29 (apartment 8) → Corridor 1.31 (apartment 8) → Stair hall 1.34 → Stair hall 0.35 → outside → Stair hall 0.34 → Corridor 0.32 (apartment 4) → Bathroom 0.33 (apartment 4)</x:v>
      </x:c>
      <x:c r="E1747" s="6" t="str">
        <x:v>Reference supplied</x:v>
      </x:c>
      <x:c r="F1747" s="6" t="str">
        <x:v>dev</x:v>
      </x:c>
      <x:c r="G1747" s="6" t="str">
        <x:v>swiss-1785</x:v>
      </x:c>
      <x:c r="H1747" s="6" t="str">
        <x:v>swiss-1785-Q06</x:v>
      </x:c>
      <x:c r="I1747" s="6" t="str">
        <x:v>Route planning</x:v>
      </x:c>
      <x:c r="J1747" s="6" t="str">
        <x:v>Warm-up</x:v>
      </x:c>
      <x:c r="K1747" s="6" t="str">
        <x:v>Reachable: ordered path and metres. Unreachable: explicitly state no step-free route.</x:v>
      </x:c>
      <x:c r="L1747" s="6" t="str">
        <x:v>T02, T05, T13</x:v>
      </x:c>
      <x:c r="M1747" s="6" t="str">
        <x:v>Check whether a step-free route exists and give it when possible.</x:v>
      </x:c>
      <x:c r="N1747" s="6" t="str">
        <x:v>{"from_space_id":"swiss-1785-F1-S029","to_space_id":"swiss-1785-F0-S033","optimal_length_m":42.57,"space_path":["swiss-1785-F1-S029","swiss-1785-F1-S031","swiss-1785-F1-S034","swiss-1785-F0-S035","outside","swiss-1785-F0-S034","swiss-1785-F0-S032","swiss-1785-F0-S033"],"element_path":["swiss-1785-F1-O0055","swiss-1785-F1-O0055","swiss-1785-F1-O0060","swiss-1785-F1-O0060","swiss-1785-V02","swiss-1785-F0-O0110","swiss-1785-F0-O0110","swiss-1785-F0-O0109","swiss-1785-F0-O0109","swiss-1785-F0-O0021","swiss-1785-F0-O0021","swiss-1785-F0-O0024","swiss-1785-F0-O0024"]}</x:v>
      </x:c>
      <x:c r="O1747" s="6"/>
      <x:c r="P1747" s="6" t="str">
        <x:v>step_free=true. No stairs or stepped openings. May be unreachable.</x:v>
      </x:c>
      <x:c r="Q1747" s="15" t="n">
        <x:v>42.57</x:v>
      </x:c>
      <x:c r="R1747" s="6" t="str">
        <x:v>m</x:v>
      </x:c>
      <x:c r="S1747" s="16"/>
      <x:c r="T1747" s="15"/>
      <x:c r="U1747" s="6"/>
      <x:c r="V1747" s="6"/>
      <x:c r="W1747" s="6" t="str">
        <x:v>Existing find_route(step_free=true).</x:v>
      </x:c>
      <x:c r="X1747" s="6" t="str">
        <x:v>data/dev/swiss-1785/questions_basic.jsonl</x:v>
      </x:c>
      <x:c r="Y1747" s="14" t="n">
        <x:v>6</x:v>
      </x:c>
      <x:c r="Z1747" s="6" t="str">
        <x:v>https://github.com/hagenhaeussler/Industrial-Agents-Hackathon-2026/blob/f41616590b69f3ea0c1cbfb41d6c35edd9ce53df/data/dev/swiss-1785/questions_basic.jsonl#L6</x:v>
      </x:c>
      <x:c r="AA1747" s="6" t="str">
        <x:v>swiss_dwellings</x:v>
      </x:c>
      <x:c r="AB1747" s="6" t="str">
        <x:v>CC-BY-4.0</x:v>
      </x:c>
    </x:row>
    <x:row r="1748" ht="72" customHeight="1">
      <x:c r="A1748" s="14" t="n">
        <x:v>1743</x:v>
      </x:c>
      <x:c r="B1748" s="6" t="str">
        <x:v>route_step_free</x:v>
      </x:c>
      <x:c r="C1748" s="6" t="str">
        <x:v>Is there a step-free route from Kitchen 1.06 (apartment 5) (Floor 1) to Living room 2.06 (apartment 9) (Floor 2)?</x:v>
      </x:c>
      <x:c r="D1748" s="6" t="str">
        <x:v>No route under the requested constraints.
From: Kitchen 1.06 (apartment 5)
To: Living room 2.06 (apartment 9)</x:v>
      </x:c>
      <x:c r="E1748" s="6" t="str">
        <x:v>Reference supplied</x:v>
      </x:c>
      <x:c r="F1748" s="6" t="str">
        <x:v>dev</x:v>
      </x:c>
      <x:c r="G1748" s="6" t="str">
        <x:v>swiss-203</x:v>
      </x:c>
      <x:c r="H1748" s="6" t="str">
        <x:v>swiss-203-Q05</x:v>
      </x:c>
      <x:c r="I1748" s="6" t="str">
        <x:v>Route planning</x:v>
      </x:c>
      <x:c r="J1748" s="6" t="str">
        <x:v>Warm-up</x:v>
      </x:c>
      <x:c r="K1748" s="6" t="str">
        <x:v>Reachable: ordered path and metres. Unreachable: explicitly state no step-free route.</x:v>
      </x:c>
      <x:c r="L1748" s="6" t="str">
        <x:v>T02, T05, T13</x:v>
      </x:c>
      <x:c r="M1748" s="6" t="str">
        <x:v>Check whether a step-free route exists and give it when possible.</x:v>
      </x:c>
      <x:c r="N1748" s="6" t="str">
        <x:v>{"from_space_id":"swiss-203-F1-S006","to_space_id":"swiss-203-F2-S006","reachable":false}</x:v>
      </x:c>
      <x:c r="O1748" s="6"/>
      <x:c r="P1748" s="6" t="str">
        <x:v>step_free=true. No stairs or stepped openings. May be unreachable.</x:v>
      </x:c>
      <x:c r="Q1748" s="15"/>
      <x:c r="R1748" s="6"/>
      <x:c r="S1748" s="16"/>
      <x:c r="T1748" s="15"/>
      <x:c r="U1748" s="6"/>
      <x:c r="V1748" s="6"/>
      <x:c r="W1748" s="6" t="str">
        <x:v>Existing find_route(step_free=true).</x:v>
      </x:c>
      <x:c r="X1748" s="6" t="str">
        <x:v>data/dev/swiss-203/questions_basic.jsonl</x:v>
      </x:c>
      <x:c r="Y1748" s="14" t="n">
        <x:v>5</x:v>
      </x:c>
      <x:c r="Z1748" s="6" t="str">
        <x:v>https://github.com/hagenhaeussler/Industrial-Agents-Hackathon-2026/blob/f41616590b69f3ea0c1cbfb41d6c35edd9ce53df/data/dev/swiss-203/questions_basic.jsonl#L5</x:v>
      </x:c>
      <x:c r="AA1748" s="6" t="str">
        <x:v>swiss_dwellings</x:v>
      </x:c>
      <x:c r="AB1748" s="6" t="str">
        <x:v>CC-BY-4.0</x:v>
      </x:c>
    </x:row>
    <x:row r="1749" ht="72" customHeight="1">
      <x:c r="A1749" s="14" t="n">
        <x:v>1744</x:v>
      </x:c>
      <x:c r="B1749" s="6" t="str">
        <x:v>route_step_free</x:v>
      </x:c>
      <x:c r="C1749" s="6" t="str">
        <x:v>Is there a step-free route from Bedroom 1.10 (apartment 4) (Floor 1) to Kitchen 0.09 (apartment 2) (Ground floor)?</x:v>
      </x:c>
      <x:c r="D1749" s="6" t="str">
        <x:v>No route under the requested constraints.
From: Bedroom 1.10 (apartment 4)
To: Kitchen 0.09 (apartment 2)</x:v>
      </x:c>
      <x:c r="E1749" s="6" t="str">
        <x:v>Reference supplied</x:v>
      </x:c>
      <x:c r="F1749" s="6" t="str">
        <x:v>dev</x:v>
      </x:c>
      <x:c r="G1749" s="6" t="str">
        <x:v>swiss-2074</x:v>
      </x:c>
      <x:c r="H1749" s="6" t="str">
        <x:v>swiss-2074-Q07</x:v>
      </x:c>
      <x:c r="I1749" s="6" t="str">
        <x:v>Route planning</x:v>
      </x:c>
      <x:c r="J1749" s="6" t="str">
        <x:v>Warm-up</x:v>
      </x:c>
      <x:c r="K1749" s="6" t="str">
        <x:v>Reachable: ordered path and metres. Unreachable: explicitly state no step-free route.</x:v>
      </x:c>
      <x:c r="L1749" s="6" t="str">
        <x:v>T02, T05, T13</x:v>
      </x:c>
      <x:c r="M1749" s="6" t="str">
        <x:v>Check whether a step-free route exists and give it when possible.</x:v>
      </x:c>
      <x:c r="N1749" s="6" t="str">
        <x:v>{"from_space_id":"swiss-2074-F1-S010","to_space_id":"swiss-2074-F0-S009","reachable":false}</x:v>
      </x:c>
      <x:c r="O1749" s="6"/>
      <x:c r="P1749" s="6" t="str">
        <x:v>step_free=true. No stairs or stepped openings. May be unreachable.</x:v>
      </x:c>
      <x:c r="Q1749" s="15"/>
      <x:c r="R1749" s="6"/>
      <x:c r="S1749" s="16"/>
      <x:c r="T1749" s="15"/>
      <x:c r="U1749" s="6"/>
      <x:c r="V1749" s="6"/>
      <x:c r="W1749" s="6" t="str">
        <x:v>Existing find_route(step_free=true).</x:v>
      </x:c>
      <x:c r="X1749" s="6" t="str">
        <x:v>data/dev/swiss-2074/questions_basic.jsonl</x:v>
      </x:c>
      <x:c r="Y1749" s="14" t="n">
        <x:v>7</x:v>
      </x:c>
      <x:c r="Z1749" s="6" t="str">
        <x:v>https://github.com/hagenhaeussler/Industrial-Agents-Hackathon-2026/blob/f41616590b69f3ea0c1cbfb41d6c35edd9ce53df/data/dev/swiss-2074/questions_basic.jsonl#L7</x:v>
      </x:c>
      <x:c r="AA1749" s="6" t="str">
        <x:v>swiss_dwellings</x:v>
      </x:c>
      <x:c r="AB1749" s="6" t="str">
        <x:v>CC-BY-4.0</x:v>
      </x:c>
    </x:row>
    <x:row r="1750" ht="96" customHeight="1">
      <x:c r="A1750" s="14" t="n">
        <x:v>1745</x:v>
      </x:c>
      <x:c r="B1750" s="6" t="str">
        <x:v>route_step_free</x:v>
      </x:c>
      <x:c r="C1750" s="6" t="str">
        <x:v>Is there a step-free route from Bedroom 1.15 (apartment 6) (Floor 1) to Bedroom 3.22 (apartment 15) (Floor 3)?</x:v>
      </x:c>
      <x:c r="D1750" s="6" t="str">
        <x:v>60.21 m
From: Bedroom 1.15 (apartment 6)
To: Bedroom 3.22 (apartment 15)
Ordered path (7 spaces): Bedroom 1.15 (apartment 6) → Corridor 1.14 (apartment 6) → Landing 1.39 → Landing 2.38 → Landing 3.39 → Corridor 3.25 (apartment 15) → Bedroom 3.22 (apartment 15)</x:v>
      </x:c>
      <x:c r="E1750" s="6" t="str">
        <x:v>Reference supplied</x:v>
      </x:c>
      <x:c r="F1750" s="6" t="str">
        <x:v>dev</x:v>
      </x:c>
      <x:c r="G1750" s="6" t="str">
        <x:v>swiss-2211</x:v>
      </x:c>
      <x:c r="H1750" s="6" t="str">
        <x:v>swiss-2211-Q05</x:v>
      </x:c>
      <x:c r="I1750" s="6" t="str">
        <x:v>Route planning</x:v>
      </x:c>
      <x:c r="J1750" s="6" t="str">
        <x:v>Warm-up</x:v>
      </x:c>
      <x:c r="K1750" s="6" t="str">
        <x:v>Reachable: ordered path and metres. Unreachable: explicitly state no step-free route.</x:v>
      </x:c>
      <x:c r="L1750" s="6" t="str">
        <x:v>T02, T05, T13</x:v>
      </x:c>
      <x:c r="M1750" s="6" t="str">
        <x:v>Check whether a step-free route exists and give it when possible.</x:v>
      </x:c>
      <x:c r="N1750" s="6" t="str">
        <x:v>{"from_space_id":"swiss-2211-F1-S015","to_space_id":"swiss-2211-F3-S022","optimal_length_m":60.21,"space_path":["swiss-2211-F1-S015","swiss-2211-F1-S014","swiss-2211-F1-S039","swiss-2211-F2-S038","swiss-2211-F3-S039","swiss-2211-F3-S025","swiss-2211-F3-S022"],"element_path":["swiss-2211-F1-O0052","swiss-2211-F1-O0052","swiss-2211-F1-O0049","swiss-2211-F1-O0049","swiss-2211-V02","swiss-2211-V02","swiss-2211-F3-O0138","swiss-2211-F3-O0138","swiss-2211-F3-O0142","swiss-2211-F3-O0142"]}</x:v>
      </x:c>
      <x:c r="O1750" s="6"/>
      <x:c r="P1750" s="6" t="str">
        <x:v>step_free=true. No stairs or stepped openings. May be unreachable.</x:v>
      </x:c>
      <x:c r="Q1750" s="15" t="n">
        <x:v>60.21</x:v>
      </x:c>
      <x:c r="R1750" s="6" t="str">
        <x:v>m</x:v>
      </x:c>
      <x:c r="S1750" s="16"/>
      <x:c r="T1750" s="15"/>
      <x:c r="U1750" s="6"/>
      <x:c r="V1750" s="6"/>
      <x:c r="W1750" s="6" t="str">
        <x:v>Existing find_route(step_free=true).</x:v>
      </x:c>
      <x:c r="X1750" s="6" t="str">
        <x:v>data/dev/swiss-2211/questions_basic.jsonl</x:v>
      </x:c>
      <x:c r="Y1750" s="14" t="n">
        <x:v>5</x:v>
      </x:c>
      <x:c r="Z1750" s="6" t="str">
        <x:v>https://github.com/hagenhaeussler/Industrial-Agents-Hackathon-2026/blob/f41616590b69f3ea0c1cbfb41d6c35edd9ce53df/data/dev/swiss-2211/questions_basic.jsonl#L5</x:v>
      </x:c>
      <x:c r="AA1750" s="6" t="str">
        <x:v>swiss_dwellings</x:v>
      </x:c>
      <x:c r="AB1750" s="6" t="str">
        <x:v>CC-BY-4.0</x:v>
      </x:c>
    </x:row>
    <x:row r="1751" ht="96" customHeight="1">
      <x:c r="A1751" s="14" t="n">
        <x:v>1746</x:v>
      </x:c>
      <x:c r="B1751" s="6" t="str">
        <x:v>route_step_free</x:v>
      </x:c>
      <x:c r="C1751" s="6" t="str">
        <x:v>Is there a step-free route from Bedroom 1.05 (apartment 3) (Floor 1) to Bathroom 1.10 (apartment 4) (Floor 1)?</x:v>
      </x:c>
      <x:c r="D1751" s="6" t="str">
        <x:v>21.45 m
From: Bedroom 1.05 (apartment 3)
To: Bathroom 1.10 (apartment 4)
Ordered path (6 spaces): Bedroom 1.05 (apartment 3) → Corridor 1.08 (apartment 3) → Landing 1.18 → Landing 1.19 → Corridor 1.16 (apartment 4) → Bathroom 1.10 (apartment 4)</x:v>
      </x:c>
      <x:c r="E1751" s="6" t="str">
        <x:v>Reference supplied</x:v>
      </x:c>
      <x:c r="F1751" s="6" t="str">
        <x:v>dev</x:v>
      </x:c>
      <x:c r="G1751" s="6" t="str">
        <x:v>swiss-2325</x:v>
      </x:c>
      <x:c r="H1751" s="6" t="str">
        <x:v>swiss-2325-Q08</x:v>
      </x:c>
      <x:c r="I1751" s="6" t="str">
        <x:v>Route planning</x:v>
      </x:c>
      <x:c r="J1751" s="6" t="str">
        <x:v>Warm-up</x:v>
      </x:c>
      <x:c r="K1751" s="6" t="str">
        <x:v>Reachable: ordered path and metres. Unreachable: explicitly state no step-free route.</x:v>
      </x:c>
      <x:c r="L1751" s="6" t="str">
        <x:v>T02, T05, T13</x:v>
      </x:c>
      <x:c r="M1751" s="6" t="str">
        <x:v>Check whether a step-free route exists and give it when possible.</x:v>
      </x:c>
      <x:c r="N1751" s="6" t="str">
        <x:v>{"from_space_id":"swiss-2325-F1-S005","to_space_id":"swiss-2325-F1-S010","optimal_length_m":21.45,"space_path":["swiss-2325-F1-S005","swiss-2325-F1-S008","swiss-2325-F1-S018","swiss-2325-F1-S019","swiss-2325-F1-S016","swiss-2325-F1-S010"],"element_path":["swiss-2325-F1-O0025","swiss-2325-F1-O0025","swiss-2325-F1-O0020","swiss-2325-F1-O0020","swiss-2325-F1-O0019","swiss-2325-F1-O0019","swiss-2325-F1-O0028","swiss-2325-F1-O0028","swiss-2325-F1-O0030","swiss-2325-F1-O0030"]}</x:v>
      </x:c>
      <x:c r="O1751" s="6"/>
      <x:c r="P1751" s="6" t="str">
        <x:v>step_free=true. No stairs or stepped openings. May be unreachable.</x:v>
      </x:c>
      <x:c r="Q1751" s="15" t="n">
        <x:v>21.45</x:v>
      </x:c>
      <x:c r="R1751" s="6" t="str">
        <x:v>m</x:v>
      </x:c>
      <x:c r="S1751" s="16"/>
      <x:c r="T1751" s="15"/>
      <x:c r="U1751" s="6"/>
      <x:c r="V1751" s="6"/>
      <x:c r="W1751" s="6" t="str">
        <x:v>Existing find_route(step_free=true).</x:v>
      </x:c>
      <x:c r="X1751" s="6" t="str">
        <x:v>data/dev/swiss-2325/questions_basic.jsonl</x:v>
      </x:c>
      <x:c r="Y1751" s="14" t="n">
        <x:v>8</x:v>
      </x:c>
      <x:c r="Z1751" s="6" t="str">
        <x:v>https://github.com/hagenhaeussler/Industrial-Agents-Hackathon-2026/blob/f41616590b69f3ea0c1cbfb41d6c35edd9ce53df/data/dev/swiss-2325/questions_basic.jsonl#L8</x:v>
      </x:c>
      <x:c r="AA1751" s="6" t="str">
        <x:v>swiss_dwellings</x:v>
      </x:c>
      <x:c r="AB1751" s="6" t="str">
        <x:v>CC-BY-4.0</x:v>
      </x:c>
    </x:row>
    <x:row r="1752" ht="72" customHeight="1">
      <x:c r="A1752" s="14" t="n">
        <x:v>1747</x:v>
      </x:c>
      <x:c r="B1752" s="6" t="str">
        <x:v>route_step_free</x:v>
      </x:c>
      <x:c r="C1752" s="6" t="str">
        <x:v>Is there a step-free route from Bedroom 1.23 (apartment 8) (Floor 1) to Bedroom 1.06 (apartment 5) (Floor 1)?</x:v>
      </x:c>
      <x:c r="D1752" s="6" t="str">
        <x:v>No route under the requested constraints.
From: Bedroom 1.23 (apartment 8)
To: Bedroom 1.06 (apartment 5)</x:v>
      </x:c>
      <x:c r="E1752" s="6" t="str">
        <x:v>Reference supplied</x:v>
      </x:c>
      <x:c r="F1752" s="6" t="str">
        <x:v>dev</x:v>
      </x:c>
      <x:c r="G1752" s="6" t="str">
        <x:v>swiss-31</x:v>
      </x:c>
      <x:c r="H1752" s="6" t="str">
        <x:v>swiss-31-Q06</x:v>
      </x:c>
      <x:c r="I1752" s="6" t="str">
        <x:v>Route planning</x:v>
      </x:c>
      <x:c r="J1752" s="6" t="str">
        <x:v>Warm-up</x:v>
      </x:c>
      <x:c r="K1752" s="6" t="str">
        <x:v>Reachable: ordered path and metres. Unreachable: explicitly state no step-free route.</x:v>
      </x:c>
      <x:c r="L1752" s="6" t="str">
        <x:v>T02, T05, T13</x:v>
      </x:c>
      <x:c r="M1752" s="6" t="str">
        <x:v>Check whether a step-free route exists and give it when possible.</x:v>
      </x:c>
      <x:c r="N1752" s="6" t="str">
        <x:v>{"from_space_id":"swiss-31-F1-S023","to_space_id":"swiss-31-F1-S006","reachable":false}</x:v>
      </x:c>
      <x:c r="O1752" s="6"/>
      <x:c r="P1752" s="6" t="str">
        <x:v>step_free=true. No stairs or stepped openings. May be unreachable.</x:v>
      </x:c>
      <x:c r="Q1752" s="15"/>
      <x:c r="R1752" s="6"/>
      <x:c r="S1752" s="16"/>
      <x:c r="T1752" s="15"/>
      <x:c r="U1752" s="6"/>
      <x:c r="V1752" s="6"/>
      <x:c r="W1752" s="6" t="str">
        <x:v>Existing find_route(step_free=true).</x:v>
      </x:c>
      <x:c r="X1752" s="6" t="str">
        <x:v>data/dev/swiss-31/questions_basic.jsonl</x:v>
      </x:c>
      <x:c r="Y1752" s="14" t="n">
        <x:v>6</x:v>
      </x:c>
      <x:c r="Z1752" s="6" t="str">
        <x:v>https://github.com/hagenhaeussler/Industrial-Agents-Hackathon-2026/blob/f41616590b69f3ea0c1cbfb41d6c35edd9ce53df/data/dev/swiss-31/questions_basic.jsonl#L6</x:v>
      </x:c>
      <x:c r="AA1752" s="6" t="str">
        <x:v>swiss_dwellings</x:v>
      </x:c>
      <x:c r="AB1752" s="6" t="str">
        <x:v>CC-BY-4.0</x:v>
      </x:c>
    </x:row>
    <x:row r="1753" ht="72" customHeight="1">
      <x:c r="A1753" s="14" t="n">
        <x:v>1748</x:v>
      </x:c>
      <x:c r="B1753" s="6" t="str">
        <x:v>route_step_free</x:v>
      </x:c>
      <x:c r="C1753" s="6" t="str">
        <x:v>Is there a step-free route from Bedroom 1.05 (apartment 3) (Floor 1) to Kitchen 0.06 (apartment 1) (Ground floor)?</x:v>
      </x:c>
      <x:c r="D1753" s="6" t="str">
        <x:v>No route under the requested constraints.
From: Bedroom 1.05 (apartment 3)
To: Kitchen 0.06 (apartment 1)</x:v>
      </x:c>
      <x:c r="E1753" s="6" t="str">
        <x:v>Reference supplied</x:v>
      </x:c>
      <x:c r="F1753" s="6" t="str">
        <x:v>dev</x:v>
      </x:c>
      <x:c r="G1753" s="6" t="str">
        <x:v>swiss-3254</x:v>
      </x:c>
      <x:c r="H1753" s="6" t="str">
        <x:v>swiss-3254-Q07</x:v>
      </x:c>
      <x:c r="I1753" s="6" t="str">
        <x:v>Route planning</x:v>
      </x:c>
      <x:c r="J1753" s="6" t="str">
        <x:v>Warm-up</x:v>
      </x:c>
      <x:c r="K1753" s="6" t="str">
        <x:v>Reachable: ordered path and metres. Unreachable: explicitly state no step-free route.</x:v>
      </x:c>
      <x:c r="L1753" s="6" t="str">
        <x:v>T02, T05, T13</x:v>
      </x:c>
      <x:c r="M1753" s="6" t="str">
        <x:v>Check whether a step-free route exists and give it when possible.</x:v>
      </x:c>
      <x:c r="N1753" s="6" t="str">
        <x:v>{"from_space_id":"swiss-3254-F1-S005","to_space_id":"swiss-3254-F0-S006","reachable":false}</x:v>
      </x:c>
      <x:c r="O1753" s="6"/>
      <x:c r="P1753" s="6" t="str">
        <x:v>step_free=true. No stairs or stepped openings. May be unreachable.</x:v>
      </x:c>
      <x:c r="Q1753" s="15"/>
      <x:c r="R1753" s="6"/>
      <x:c r="S1753" s="16"/>
      <x:c r="T1753" s="15"/>
      <x:c r="U1753" s="6"/>
      <x:c r="V1753" s="6"/>
      <x:c r="W1753" s="6" t="str">
        <x:v>Existing find_route(step_free=true).</x:v>
      </x:c>
      <x:c r="X1753" s="6" t="str">
        <x:v>data/dev/swiss-3254/questions_basic.jsonl</x:v>
      </x:c>
      <x:c r="Y1753" s="14" t="n">
        <x:v>7</x:v>
      </x:c>
      <x:c r="Z1753" s="6" t="str">
        <x:v>https://github.com/hagenhaeussler/Industrial-Agents-Hackathon-2026/blob/f41616590b69f3ea0c1cbfb41d6c35edd9ce53df/data/dev/swiss-3254/questions_basic.jsonl#L7</x:v>
      </x:c>
      <x:c r="AA1753" s="6" t="str">
        <x:v>swiss_dwellings</x:v>
      </x:c>
      <x:c r="AB1753" s="6" t="str">
        <x:v>CC-BY-4.0</x:v>
      </x:c>
    </x:row>
    <x:row r="1754" ht="72" customHeight="1">
      <x:c r="A1754" s="14" t="n">
        <x:v>1749</x:v>
      </x:c>
      <x:c r="B1754" s="6" t="str">
        <x:v>route_step_free</x:v>
      </x:c>
      <x:c r="C1754" s="6" t="str">
        <x:v>Is there a step-free route from Bathroom 1.07 (apartment 3) (Floor 1) to Bedroom 2.07 (apartment 5) (Floor 2)?</x:v>
      </x:c>
      <x:c r="D1754" s="6" t="str">
        <x:v>No route under the requested constraints.
From: Bathroom 1.07 (apartment 3)
To: Bedroom 2.07 (apartment 5)</x:v>
      </x:c>
      <x:c r="E1754" s="6" t="str">
        <x:v>Reference supplied</x:v>
      </x:c>
      <x:c r="F1754" s="6" t="str">
        <x:v>dev</x:v>
      </x:c>
      <x:c r="G1754" s="6" t="str">
        <x:v>swiss-450</x:v>
      </x:c>
      <x:c r="H1754" s="6" t="str">
        <x:v>swiss-450-Q08</x:v>
      </x:c>
      <x:c r="I1754" s="6" t="str">
        <x:v>Route planning</x:v>
      </x:c>
      <x:c r="J1754" s="6" t="str">
        <x:v>Warm-up</x:v>
      </x:c>
      <x:c r="K1754" s="6" t="str">
        <x:v>Reachable: ordered path and metres. Unreachable: explicitly state no step-free route.</x:v>
      </x:c>
      <x:c r="L1754" s="6" t="str">
        <x:v>T02, T05, T13</x:v>
      </x:c>
      <x:c r="M1754" s="6" t="str">
        <x:v>Check whether a step-free route exists and give it when possible.</x:v>
      </x:c>
      <x:c r="N1754" s="6" t="str">
        <x:v>{"from_space_id":"swiss-450-F1-S007","to_space_id":"swiss-450-F2-S007","reachable":false}</x:v>
      </x:c>
      <x:c r="O1754" s="6"/>
      <x:c r="P1754" s="6" t="str">
        <x:v>step_free=true. No stairs or stepped openings. May be unreachable.</x:v>
      </x:c>
      <x:c r="Q1754" s="15"/>
      <x:c r="R1754" s="6"/>
      <x:c r="S1754" s="16"/>
      <x:c r="T1754" s="15"/>
      <x:c r="U1754" s="6"/>
      <x:c r="V1754" s="6"/>
      <x:c r="W1754" s="6" t="str">
        <x:v>Existing find_route(step_free=true).</x:v>
      </x:c>
      <x:c r="X1754" s="6" t="str">
        <x:v>data/dev/swiss-450/questions_basic.jsonl</x:v>
      </x:c>
      <x:c r="Y1754" s="14" t="n">
        <x:v>8</x:v>
      </x:c>
      <x:c r="Z1754" s="6" t="str">
        <x:v>https://github.com/hagenhaeussler/Industrial-Agents-Hackathon-2026/blob/f41616590b69f3ea0c1cbfb41d6c35edd9ce53df/data/dev/swiss-450/questions_basic.jsonl#L8</x:v>
      </x:c>
      <x:c r="AA1754" s="6" t="str">
        <x:v>swiss_dwellings</x:v>
      </x:c>
      <x:c r="AB1754" s="6" t="str">
        <x:v>CC-BY-4.0</x:v>
      </x:c>
    </x:row>
    <x:row r="1755" ht="96" customHeight="1">
      <x:c r="A1755" s="14" t="n">
        <x:v>1750</x:v>
      </x:c>
      <x:c r="B1755" s="6" t="str">
        <x:v>route_step_free</x:v>
      </x:c>
      <x:c r="C1755" s="6" t="str">
        <x:v>Is there a step-free route from Storage 2.06 (apartment 5) (Floor 2) to Bedroom 2.13 (apartment 6) (Floor 2)?</x:v>
      </x:c>
      <x:c r="D1755" s="6" t="str">
        <x:v>22.49 m
From: Storage 2.06 (apartment 5)
To: Bedroom 2.13 (apartment 6)
Ordered path (6 spaces): Storage 2.06 (apartment 5) → Kitchen 2.03 (apartment 5) → Corridor 2.07 (apartment 5) → Stair hall 2.18 → Corridor 2.16 (apartment 6) → Bedroom 2.13 (apartment 6)</x:v>
      </x:c>
      <x:c r="E1755" s="6" t="str">
        <x:v>Reference supplied</x:v>
      </x:c>
      <x:c r="F1755" s="6" t="str">
        <x:v>dev</x:v>
      </x:c>
      <x:c r="G1755" s="6" t="str">
        <x:v>swiss-460</x:v>
      </x:c>
      <x:c r="H1755" s="6" t="str">
        <x:v>swiss-460-Q08</x:v>
      </x:c>
      <x:c r="I1755" s="6" t="str">
        <x:v>Route planning</x:v>
      </x:c>
      <x:c r="J1755" s="6" t="str">
        <x:v>Warm-up</x:v>
      </x:c>
      <x:c r="K1755" s="6" t="str">
        <x:v>Reachable: ordered path and metres. Unreachable: explicitly state no step-free route.</x:v>
      </x:c>
      <x:c r="L1755" s="6" t="str">
        <x:v>T02, T05, T13</x:v>
      </x:c>
      <x:c r="M1755" s="6" t="str">
        <x:v>Check whether a step-free route exists and give it when possible.</x:v>
      </x:c>
      <x:c r="N1755" s="6" t="str">
        <x:v>{"from_space_id":"swiss-460-F2-S006","to_space_id":"swiss-460-F2-S013","optimal_length_m":22.49,"space_path":["swiss-460-F2-S006","swiss-460-F2-S003","swiss-460-F2-S007","swiss-460-F2-S018","swiss-460-F2-S016","swiss-460-F2-S013"],"element_path":["swiss-460-F2-O0039","swiss-460-F2-O0039","swiss-460-F2-O0035","swiss-460-F2-O0035","swiss-460-F2-O0040","swiss-460-F2-O0040","swiss-460-F2-O0051","swiss-460-F2-O0051","swiss-460-F2-O0044","swiss-460-F2-O0044"]}</x:v>
      </x:c>
      <x:c r="O1755" s="6"/>
      <x:c r="P1755" s="6" t="str">
        <x:v>step_free=true. No stairs or stepped openings. May be unreachable.</x:v>
      </x:c>
      <x:c r="Q1755" s="15" t="n">
        <x:v>22.49</x:v>
      </x:c>
      <x:c r="R1755" s="6" t="str">
        <x:v>m</x:v>
      </x:c>
      <x:c r="S1755" s="16"/>
      <x:c r="T1755" s="15"/>
      <x:c r="U1755" s="6"/>
      <x:c r="V1755" s="6"/>
      <x:c r="W1755" s="6" t="str">
        <x:v>Existing find_route(step_free=true).</x:v>
      </x:c>
      <x:c r="X1755" s="6" t="str">
        <x:v>data/dev/swiss-460/questions_basic.jsonl</x:v>
      </x:c>
      <x:c r="Y1755" s="14" t="n">
        <x:v>8</x:v>
      </x:c>
      <x:c r="Z1755" s="6" t="str">
        <x:v>https://github.com/hagenhaeussler/Industrial-Agents-Hackathon-2026/blob/f41616590b69f3ea0c1cbfb41d6c35edd9ce53df/data/dev/swiss-460/questions_basic.jsonl#L8</x:v>
      </x:c>
      <x:c r="AA1755" s="6" t="str">
        <x:v>swiss_dwellings</x:v>
      </x:c>
      <x:c r="AB1755" s="6" t="str">
        <x:v>CC-BY-4.0</x:v>
      </x:c>
    </x:row>
    <x:row r="1756" ht="72" customHeight="1">
      <x:c r="A1756" s="14" t="n">
        <x:v>1751</x:v>
      </x:c>
      <x:c r="B1756" s="6" t="str">
        <x:v>route_step_free</x:v>
      </x:c>
      <x:c r="C1756" s="6" t="str">
        <x:v>Is there a step-free route from Bathroom 2.29 (apartment 40) (Floor 2) to Living room 2.80 (apartment 47) (Floor 2)?</x:v>
      </x:c>
      <x:c r="D1756" s="6" t="str">
        <x:v>No route under the requested constraints.
From: Bathroom 2.29 (apartment 40)
To: Living room 2.80 (apartment 47)</x:v>
      </x:c>
      <x:c r="E1756" s="6" t="str">
        <x:v>Reference supplied</x:v>
      </x:c>
      <x:c r="F1756" s="6" t="str">
        <x:v>dev</x:v>
      </x:c>
      <x:c r="G1756" s="6" t="str">
        <x:v>swiss-5097</x:v>
      </x:c>
      <x:c r="H1756" s="6" t="str">
        <x:v>swiss-5097-Q06</x:v>
      </x:c>
      <x:c r="I1756" s="6" t="str">
        <x:v>Route planning</x:v>
      </x:c>
      <x:c r="J1756" s="6" t="str">
        <x:v>Warm-up</x:v>
      </x:c>
      <x:c r="K1756" s="6" t="str">
        <x:v>Reachable: ordered path and metres. Unreachable: explicitly state no step-free route.</x:v>
      </x:c>
      <x:c r="L1756" s="6" t="str">
        <x:v>T02, T05, T13</x:v>
      </x:c>
      <x:c r="M1756" s="6" t="str">
        <x:v>Check whether a step-free route exists and give it when possible.</x:v>
      </x:c>
      <x:c r="N1756" s="6" t="str">
        <x:v>{"from_space_id":"swiss-5097-F2-S029","to_space_id":"swiss-5097-F2-S080","reachable":false}</x:v>
      </x:c>
      <x:c r="O1756" s="6"/>
      <x:c r="P1756" s="6" t="str">
        <x:v>step_free=true. No stairs or stepped openings. May be unreachable.</x:v>
      </x:c>
      <x:c r="Q1756" s="15"/>
      <x:c r="R1756" s="6"/>
      <x:c r="S1756" s="16"/>
      <x:c r="T1756" s="15"/>
      <x:c r="U1756" s="6"/>
      <x:c r="V1756" s="6"/>
      <x:c r="W1756" s="6" t="str">
        <x:v>Existing find_route(step_free=true).</x:v>
      </x:c>
      <x:c r="X1756" s="6" t="str">
        <x:v>data/dev/swiss-5097/questions_basic.jsonl</x:v>
      </x:c>
      <x:c r="Y1756" s="14" t="n">
        <x:v>6</x:v>
      </x:c>
      <x:c r="Z1756" s="6" t="str">
        <x:v>https://github.com/hagenhaeussler/Industrial-Agents-Hackathon-2026/blob/f41616590b69f3ea0c1cbfb41d6c35edd9ce53df/data/dev/swiss-5097/questions_basic.jsonl#L6</x:v>
      </x:c>
      <x:c r="AA1756" s="6" t="str">
        <x:v>swiss_dwellings</x:v>
      </x:c>
      <x:c r="AB1756" s="6" t="str">
        <x:v>CC-BY-4.0</x:v>
      </x:c>
    </x:row>
    <x:row r="1757" ht="72" customHeight="1">
      <x:c r="A1757" s="14" t="n">
        <x:v>1752</x:v>
      </x:c>
      <x:c r="B1757" s="6" t="str">
        <x:v>route_step_free</x:v>
      </x:c>
      <x:c r="C1757" s="6" t="str">
        <x:v>Is there a step-free route from Bedroom 0.04 (apartment 1) (Ground floor) to Bathroom 2.04 (apartment 3) (Floor 2)?</x:v>
      </x:c>
      <x:c r="D1757" s="6" t="str">
        <x:v>No route under the requested constraints.
From: Bedroom 0.04 (apartment 1)
To: Bathroom 2.04 (apartment 3)</x:v>
      </x:c>
      <x:c r="E1757" s="6" t="str">
        <x:v>Reference supplied</x:v>
      </x:c>
      <x:c r="F1757" s="6" t="str">
        <x:v>dev</x:v>
      </x:c>
      <x:c r="G1757" s="6" t="str">
        <x:v>swiss-5462</x:v>
      </x:c>
      <x:c r="H1757" s="6" t="str">
        <x:v>swiss-5462-Q08</x:v>
      </x:c>
      <x:c r="I1757" s="6" t="str">
        <x:v>Route planning</x:v>
      </x:c>
      <x:c r="J1757" s="6" t="str">
        <x:v>Warm-up</x:v>
      </x:c>
      <x:c r="K1757" s="6" t="str">
        <x:v>Reachable: ordered path and metres. Unreachable: explicitly state no step-free route.</x:v>
      </x:c>
      <x:c r="L1757" s="6" t="str">
        <x:v>T02, T05, T13</x:v>
      </x:c>
      <x:c r="M1757" s="6" t="str">
        <x:v>Check whether a step-free route exists and give it when possible.</x:v>
      </x:c>
      <x:c r="N1757" s="6" t="str">
        <x:v>{"from_space_id":"swiss-5462-F0-S004","to_space_id":"swiss-5462-F2-S004","reachable":false}</x:v>
      </x:c>
      <x:c r="O1757" s="6"/>
      <x:c r="P1757" s="6" t="str">
        <x:v>step_free=true. No stairs or stepped openings. May be unreachable.</x:v>
      </x:c>
      <x:c r="Q1757" s="15"/>
      <x:c r="R1757" s="6"/>
      <x:c r="S1757" s="16"/>
      <x:c r="T1757" s="15"/>
      <x:c r="U1757" s="6"/>
      <x:c r="V1757" s="6"/>
      <x:c r="W1757" s="6" t="str">
        <x:v>Existing find_route(step_free=true).</x:v>
      </x:c>
      <x:c r="X1757" s="6" t="str">
        <x:v>data/dev/swiss-5462/questions_basic.jsonl</x:v>
      </x:c>
      <x:c r="Y1757" s="14" t="n">
        <x:v>8</x:v>
      </x:c>
      <x:c r="Z1757" s="6" t="str">
        <x:v>https://github.com/hagenhaeussler/Industrial-Agents-Hackathon-2026/blob/f41616590b69f3ea0c1cbfb41d6c35edd9ce53df/data/dev/swiss-5462/questions_basic.jsonl#L8</x:v>
      </x:c>
      <x:c r="AA1757" s="6" t="str">
        <x:v>swiss_dwellings</x:v>
      </x:c>
      <x:c r="AB1757" s="6" t="str">
        <x:v>CC-BY-4.0</x:v>
      </x:c>
    </x:row>
    <x:row r="1758" ht="124" customHeight="1">
      <x:c r="A1758" s="14" t="n">
        <x:v>1753</x:v>
      </x:c>
      <x:c r="B1758" s="6" t="str">
        <x:v>route_with_closure</x:v>
      </x:c>
      <x:c r="C1758" s="6" t="str">
        <x:v>Stairs is closed for maintenance. How do I get from Büro (Floor 1) to Toilet 0.04 (Ground floor)?</x:v>
      </x:c>
      <x:c r="D1758" s="6" t="str">
        <x:v>80.27 m
From: Büro
To: Toilet 0.04
Ordered path (8 spaces): Büro → Flur → Treppenhaus → Lift 1.18 → Lift 0.08 → Eingangshalle → Flur → Toilet 0.04
Closed: osm-way37850565-V01</x:v>
      </x:c>
      <x:c r="E1758" s="6" t="str">
        <x:v>Reference supplied</x:v>
      </x:c>
      <x:c r="F1758" s="6" t="str">
        <x:v>train</x:v>
      </x:c>
      <x:c r="G1758" s="6" t="str">
        <x:v>osm-way37850565</x:v>
      </x:c>
      <x:c r="H1758" s="6" t="str">
        <x:v>osm-way37850565-Q09</x:v>
      </x:c>
      <x:c r="I1758" s="6" t="str">
        <x:v>Route planning</x:v>
      </x:c>
      <x:c r="J1758" s="6" t="str">
        <x:v>Warm-up</x:v>
      </x:c>
      <x:c r="K1758" s="6" t="str">
        <x:v>Alternative ordered path and metres, or an explicit no-route response.</x:v>
      </x:c>
      <x:c r="L1758" s="6" t="str">
        <x:v>T02, T05, T12, T13</x:v>
      </x:c>
      <x:c r="M1758" s="6" t="str">
        <x:v>Reroute while a named lift, staircase, door or room is closed.</x:v>
      </x:c>
      <x:c r="N1758" s="6" t="str">
        <x:v>{"from_space_id":"osm-way37850565-F1-S006","to_space_id":"osm-way37850565-F0-S004","optimal_length_m":80.27,"space_path":["osm-way37850565-F1-S006","osm-way37850565-F1-S015","osm-way37850565-F1-S016","osm-way37850565-F1-S018","osm-way37850565-F0-S008","osm-way37850565-F0-S002","osm-way37850565-F0-S001","osm-way37850565-F0-S004"],"element_path":["osm-way37850565-F1-O0010","osm-way37850565-F1-O0010","osm-way37850565-F1-O0008","osm-way37850565-F1-O0008","osm-way37850565-F1-O0026","osm-way37850565-F1-O0026","osm-way37850565-V02","osm-way37850565-F0-O0031","osm-way37850565-F0-O0031","osm-way37850565-F0-O0027","osm-way37850565-F0-O0027","osm-way37850565-F0-O0029","osm-way37850565-F0-O0029"],"closed_element_id":"osm-way37850565-V01"}</x:v>
      </x:c>
      <x:c r="O1758" s="6"/>
      <x:c r="P1758" s="6" t="str">
        <x:v>Avoid named closed element: osm-way37850565-V01. May be unreachable.</x:v>
      </x:c>
      <x:c r="Q1758" s="15" t="n">
        <x:v>80.27</x:v>
      </x:c>
      <x:c r="R1758" s="6" t="str">
        <x:v>m</x:v>
      </x:c>
      <x:c r="S1758" s="16"/>
      <x:c r="T1758" s="15"/>
      <x:c r="U1758" s="6"/>
      <x:c r="V1758" s="6"/>
      <x:c r="W1758" s="6" t="str">
        <x:v>Existing set_closed followed by find_route. State reset is caller responsibility.</x:v>
      </x:c>
      <x:c r="X1758" s="6" t="str">
        <x:v>data/train/osm-way37850565/questions_basic.jsonl</x:v>
      </x:c>
      <x:c r="Y1758" s="14" t="n">
        <x:v>9</x:v>
      </x:c>
      <x:c r="Z1758" s="6" t="str">
        <x:v>https://github.com/hagenhaeussler/Industrial-Agents-Hackathon-2026/blob/f41616590b69f3ea0c1cbfb41d6c35edd9ce53df/data/train/osm-way37850565/questions_basic.jsonl#L9</x:v>
      </x:c>
      <x:c r="AA1758" s="6" t="str">
        <x:v>osm_indoor</x:v>
      </x:c>
      <x:c r="AB1758" s="6" t="str">
        <x:v>ODbL-1.0</x:v>
      </x:c>
    </x:row>
    <x:row r="1759" ht="152" customHeight="1">
      <x:c r="A1759" s="14" t="n">
        <x:v>1754</x:v>
      </x:c>
      <x:c r="B1759" s="6" t="str">
        <x:v>route_with_closure</x:v>
      </x:c>
      <x:c r="C1759" s="6" t="str">
        <x:v>Lift 2 is closed for maintenance. How do I get from Toilet U.013 (Basement 1) to Toilet 1.111 (Floor 2)?</x:v>
      </x:c>
      <x:c r="D1759" s="6" t="str">
        <x:v>69.11 m
From: Toilet U.013
To: Toilet 1.111
Ordered path (10 spaces): Toilet U.013 → Corridor -1.07 → Lift -1.01 → Lift -1.10 → Lift 0.08 → Lift 0.02 → Corridor 0.01 → outside → Corridor 2.16 → Toilet 1.111
Closed: osm-way476929995-V02</x:v>
      </x:c>
      <x:c r="E1759" s="6" t="str">
        <x:v>Reference supplied</x:v>
      </x:c>
      <x:c r="F1759" s="6" t="str">
        <x:v>train</x:v>
      </x:c>
      <x:c r="G1759" s="6" t="str">
        <x:v>osm-way476929995</x:v>
      </x:c>
      <x:c r="H1759" s="6" t="str">
        <x:v>osm-way476929995-Q09</x:v>
      </x:c>
      <x:c r="I1759" s="6" t="str">
        <x:v>Route planning</x:v>
      </x:c>
      <x:c r="J1759" s="6" t="str">
        <x:v>Warm-up</x:v>
      </x:c>
      <x:c r="K1759" s="6" t="str">
        <x:v>Alternative ordered path and metres, or an explicit no-route response.</x:v>
      </x:c>
      <x:c r="L1759" s="6" t="str">
        <x:v>T02, T05, T12, T13</x:v>
      </x:c>
      <x:c r="M1759" s="6" t="str">
        <x:v>Reroute while a named lift, staircase, door or room is closed.</x:v>
      </x:c>
      <x:c r="N1759" s="6" t="str">
        <x:v>{"from_space_id":"osm-way476929995-F-1-S005","to_space_id":"osm-way476929995-F2-S012","optimal_length_m":69.11,"space_path":["osm-way476929995-F-1-S005","osm-way476929995-F-1-S007","osm-way476929995-F-1-S001","osm-way476929995-F-1-S010","osm-way476929995-F0-S008","osm-way476929995-F0-S002","osm-way476929995-F0-S001","outside","osm-way476929995-F2-S016","osm-way476929995-F2-S012"],"element_path":["osm-way476929995-F-1-O0056","osm-way476929995-F-1-O0056","osm-way476929995-F-1-O0001","osm-way476929995-F-1-O0001","osm-way476929995-F-1-O0076","osm-way476929995-F-1-O0076","osm-way476929995-V01","osm-way476929995-F0-O0077","osm-way476929995-F0-O0077","osm-way476929995-F0-O0002","osm-way476929995-F0-O0002","osm-way476929995-F0-O0062","osm-way476929995-F0-O0062","osm-way476929995-F2-O0026","osm-way476929995-F2-O0026","osm-way476929995-F2-O0019","osm-way476929995-F2-O0019"],"closed_element_id":"osm-way476929995-V02"}</x:v>
      </x:c>
      <x:c r="O1759" s="6"/>
      <x:c r="P1759" s="6" t="str">
        <x:v>Avoid named closed element: osm-way476929995-V02. May be unreachable.</x:v>
      </x:c>
      <x:c r="Q1759" s="15" t="n">
        <x:v>69.11</x:v>
      </x:c>
      <x:c r="R1759" s="6" t="str">
        <x:v>m</x:v>
      </x:c>
      <x:c r="S1759" s="16"/>
      <x:c r="T1759" s="15"/>
      <x:c r="U1759" s="6"/>
      <x:c r="V1759" s="6"/>
      <x:c r="W1759" s="6" t="str">
        <x:v>Existing set_closed followed by find_route. State reset is caller responsibility.</x:v>
      </x:c>
      <x:c r="X1759" s="6" t="str">
        <x:v>data/train/osm-way476929995/questions_basic.jsonl</x:v>
      </x:c>
      <x:c r="Y1759" s="14" t="n">
        <x:v>9</x:v>
      </x:c>
      <x:c r="Z1759" s="6" t="str">
        <x:v>https://github.com/hagenhaeussler/Industrial-Agents-Hackathon-2026/blob/f41616590b69f3ea0c1cbfb41d6c35edd9ce53df/data/train/osm-way476929995/questions_basic.jsonl#L9</x:v>
      </x:c>
      <x:c r="AA1759" s="6" t="str">
        <x:v>osm_indoor</x:v>
      </x:c>
      <x:c r="AB1759" s="6" t="str">
        <x:v>ODbL-1.0</x:v>
      </x:c>
    </x:row>
    <x:row r="1760" ht="138" customHeight="1">
      <x:c r="A1760" s="14" t="n">
        <x:v>1755</x:v>
      </x:c>
      <x:c r="B1760" s="6" t="str">
        <x:v>route_with_closure</x:v>
      </x:c>
      <x:c r="C1760" s="6" t="str">
        <x:v>Lift 1 is closed for maintenance. How do I get from Generic room N2197H (Floor 2) to Generic room N0197D (Ground floor)?</x:v>
      </x:c>
      <x:c r="D1760" s="6" t="str">
        <x:v>167.34 m
From: Generic room N2197H
To: Generic room N0197D
Ordered path (9 spaces): Generic room N2197H → Corridor N2196 → Corridor N2100 → Corridor N2197 → Lift N2199M → Lift 0.87 → Corridor N0110A → Corridor N0171A → Generic room N0197D
Closed: osm-way58216509-V07</x:v>
      </x:c>
      <x:c r="E1760" s="6" t="str">
        <x:v>Reference supplied</x:v>
      </x:c>
      <x:c r="F1760" s="6" t="str">
        <x:v>train</x:v>
      </x:c>
      <x:c r="G1760" s="6" t="str">
        <x:v>osm-way58216509</x:v>
      </x:c>
      <x:c r="H1760" s="6" t="str">
        <x:v>osm-way58216509-Q06</x:v>
      </x:c>
      <x:c r="I1760" s="6" t="str">
        <x:v>Route planning</x:v>
      </x:c>
      <x:c r="J1760" s="6" t="str">
        <x:v>Warm-up</x:v>
      </x:c>
      <x:c r="K1760" s="6" t="str">
        <x:v>Alternative ordered path and metres, or an explicit no-route response.</x:v>
      </x:c>
      <x:c r="L1760" s="6" t="str">
        <x:v>T02, T05, T12, T13</x:v>
      </x:c>
      <x:c r="M1760" s="6" t="str">
        <x:v>Reroute while a named lift, staircase, door or room is closed.</x:v>
      </x:c>
      <x:c r="N1760" s="6" t="str">
        <x:v>{"from_space_id":"osm-way58216509-F2-S073","to_space_id":"osm-way58216509-F0-S073","optimal_length_m":167.34,"space_path":["osm-way58216509-F2-S073","osm-way58216509-F2-S003","osm-way58216509-F2-S014","osm-way58216509-F2-S007","osm-way58216509-F2-S050","osm-way58216509-F0-S087","osm-way58216509-F0-S013","osm-way58216509-F0-S068","osm-way58216509-F0-S073"],"element_path":["osm-way58216509-F2-O0163","osm-way58216509-F2-O0163","osm-way58216509-F2-O0168","osm-way58216509-F2-O0168","osm-way58216509-F2-O0001","osm-way58216509-F2-O0001","osm-way58216509-F2-O0148","osm-way58216509-F2-O0148","osm-way58216509-V08","osm-way58216509-F0-O0336","osm-way58216509-F0-O0336","osm-way58216509-F0-O0045","osm-way58216509-F0-O0045","osm-way58216509-F0-O0061","osm-way58216509-F0-O0061"],"closed_element_id":"osm-way58216509-V07"}</x:v>
      </x:c>
      <x:c r="O1760" s="6"/>
      <x:c r="P1760" s="6" t="str">
        <x:v>Avoid named closed element: osm-way58216509-V07. May be unreachable.</x:v>
      </x:c>
      <x:c r="Q1760" s="15" t="n">
        <x:v>167.34</x:v>
      </x:c>
      <x:c r="R1760" s="6" t="str">
        <x:v>m</x:v>
      </x:c>
      <x:c r="S1760" s="16"/>
      <x:c r="T1760" s="15"/>
      <x:c r="U1760" s="6"/>
      <x:c r="V1760" s="6"/>
      <x:c r="W1760" s="6" t="str">
        <x:v>Existing set_closed followed by find_route. State reset is caller responsibility.</x:v>
      </x:c>
      <x:c r="X1760" s="6" t="str">
        <x:v>data/train/osm-way58216509/questions_basic.jsonl</x:v>
      </x:c>
      <x:c r="Y1760" s="14" t="n">
        <x:v>6</x:v>
      </x:c>
      <x:c r="Z1760" s="6" t="str">
        <x:v>https://github.com/hagenhaeussler/Industrial-Agents-Hackathon-2026/blob/f41616590b69f3ea0c1cbfb41d6c35edd9ce53df/data/train/osm-way58216509/questions_basic.jsonl#L6</x:v>
      </x:c>
      <x:c r="AA1760" s="6" t="str">
        <x:v>osm_indoor</x:v>
      </x:c>
      <x:c r="AB1760" s="6" t="str">
        <x:v>ODbL-1.0</x:v>
      </x:c>
    </x:row>
    <x:row r="1761" ht="166" customHeight="1">
      <x:c r="A1761" s="14" t="n">
        <x:v>1756</x:v>
      </x:c>
      <x:c r="B1761" s="6" t="str">
        <x:v>route_with_closure</x:v>
      </x:c>
      <x:c r="C1761" s="6" t="str">
        <x:v>Stairs 2 is closed for maintenance. How do I get from Generic room 0331 (Ground floor) to Generic room 1338 (Floor 1)?</x:v>
      </x:c>
      <x:c r="D1761" s="6" t="str">
        <x:v>117.1 m
From: Generic room 0331
To: Generic room 1338
Ordered path (11 spaces): Generic room 0331 → Corridor 0317 → Stairwell 0315 → Stairwell 0314 → outside → Stairwell 0348 → Lift 0348a → Lift 1374C → Stairwell 1374B → Corridor 1374A → Generic room 1338
Closed: osm-way61408163-V02</x:v>
      </x:c>
      <x:c r="E1761" s="6" t="str">
        <x:v>Reference supplied</x:v>
      </x:c>
      <x:c r="F1761" s="6" t="str">
        <x:v>train</x:v>
      </x:c>
      <x:c r="G1761" s="6" t="str">
        <x:v>osm-way61408163</x:v>
      </x:c>
      <x:c r="H1761" s="6" t="str">
        <x:v>osm-way61408163-Q08</x:v>
      </x:c>
      <x:c r="I1761" s="6" t="str">
        <x:v>Route planning</x:v>
      </x:c>
      <x:c r="J1761" s="6" t="str">
        <x:v>Warm-up</x:v>
      </x:c>
      <x:c r="K1761" s="6" t="str">
        <x:v>Alternative ordered path and metres, or an explicit no-route response.</x:v>
      </x:c>
      <x:c r="L1761" s="6" t="str">
        <x:v>T02, T05, T12, T13</x:v>
      </x:c>
      <x:c r="M1761" s="6" t="str">
        <x:v>Reroute while a named lift, staircase, door or room is closed.</x:v>
      </x:c>
      <x:c r="N1761" s="6" t="str">
        <x:v>{"from_space_id":"osm-way61408163-F0-S032","to_space_id":"osm-way61408163-F1-S020","optimal_length_m":117.1,"space_path":["osm-way61408163-F0-S032","osm-way61408163-F0-S037","osm-way61408163-F0-S055","osm-way61408163-F0-S053","outside","osm-way61408163-F0-S021","osm-way61408163-F0-S019","osm-way61408163-F1-S016","osm-way61408163-F1-S002","osm-way61408163-F1-S059","osm-way61408163-F1-S020"],"element_path":["osm-way61408163-F0-O0059","osm-way61408163-F0-O0059","osm-way61408163-F0-O0022","osm-way61408163-F0-O0022","osm-way61408163-F0-O0044","osm-way61408163-F0-O0044","osm-way61408163-F0-O0038","osm-way61408163-F0-O0038","osm-way61408163-F0-O0251","osm-way61408163-F0-O0251","osm-way61408163-F0-O0025","osm-way61408163-F0-O0025","osm-way61408163-V06","osm-way61408163-F1-O0104","osm-way61408163-F1-O0104","osm-way61408163-F1-O0137","osm-way61408163-F1-O0137","osm-way61408163-F1-O0133","osm-way61408163-F1-O0133"],"closed_element_id":"osm-way61408163-V02"}</x:v>
      </x:c>
      <x:c r="O1761" s="6"/>
      <x:c r="P1761" s="6" t="str">
        <x:v>Avoid named closed element: osm-way61408163-V02. May be unreachable.</x:v>
      </x:c>
      <x:c r="Q1761" s="15" t="n">
        <x:v>117.1</x:v>
      </x:c>
      <x:c r="R1761" s="6" t="str">
        <x:v>m</x:v>
      </x:c>
      <x:c r="S1761" s="16"/>
      <x:c r="T1761" s="15"/>
      <x:c r="U1761" s="6"/>
      <x:c r="V1761" s="6"/>
      <x:c r="W1761" s="6" t="str">
        <x:v>Existing set_closed followed by find_route. State reset is caller responsibility.</x:v>
      </x:c>
      <x:c r="X1761" s="6" t="str">
        <x:v>data/train/osm-way61408163/questions_basic.jsonl</x:v>
      </x:c>
      <x:c r="Y1761" s="14" t="n">
        <x:v>8</x:v>
      </x:c>
      <x:c r="Z1761" s="6" t="str">
        <x:v>https://github.com/hagenhaeussler/Industrial-Agents-Hackathon-2026/blob/f41616590b69f3ea0c1cbfb41d6c35edd9ce53df/data/train/osm-way61408163/questions_basic.jsonl#L8</x:v>
      </x:c>
      <x:c r="AA1761" s="6" t="str">
        <x:v>osm_indoor</x:v>
      </x:c>
      <x:c r="AB1761" s="6" t="str">
        <x:v>ODbL-1.0</x:v>
      </x:c>
    </x:row>
    <x:row r="1762" ht="124" customHeight="1">
      <x:c r="A1762" s="14" t="n">
        <x:v>1757</x:v>
      </x:c>
      <x:c r="B1762" s="6" t="str">
        <x:v>route_with_closure</x:v>
      </x:c>
      <x:c r="C1762" s="6" t="str">
        <x:v>Staircase 2 is closed for maintenance. How do I get from Print room 3.19 (Floor 3) to Lab 2.23 (Floor 2)?</x:v>
      </x:c>
      <x:c r="D1762" s="6" t="str">
        <x:v>80.16 m
From: Print room 3.19
To: Lab 2.23
Ordered path (6 spaces): Print room 3.19 → Corridor 3.01 → Staircase 1 → Staircase 1 → Corridor 2.01 → Lab 2.23
Closed: proc-campus-train-000-V03</x:v>
      </x:c>
      <x:c r="E1762" s="6" t="str">
        <x:v>Reference supplied</x:v>
      </x:c>
      <x:c r="F1762" s="6" t="str">
        <x:v>train</x:v>
      </x:c>
      <x:c r="G1762" s="6" t="str">
        <x:v>proc-campus-train-000</x:v>
      </x:c>
      <x:c r="H1762" s="6" t="str">
        <x:v>proc-campus-train-000-Q09</x:v>
      </x:c>
      <x:c r="I1762" s="6" t="str">
        <x:v>Route planning</x:v>
      </x:c>
      <x:c r="J1762" s="6" t="str">
        <x:v>Warm-up</x:v>
      </x:c>
      <x:c r="K1762" s="6" t="str">
        <x:v>Alternative ordered path and metres, or an explicit no-route response.</x:v>
      </x:c>
      <x:c r="L1762" s="6" t="str">
        <x:v>T02, T05, T12, T13</x:v>
      </x:c>
      <x:c r="M1762" s="6" t="str">
        <x:v>Reroute while a named lift, staircase, door or room is closed.</x:v>
      </x:c>
      <x:c r="N1762" s="6" t="str">
        <x:v>{"from_space_id":"proc-campus-train-000-F3-S019","to_space_id":"proc-campus-train-000-F2-S023","optimal_length_m":80.16,"space_path":["proc-campus-train-000-F3-S019","proc-campus-train-000-F3-S001","proc-campus-train-000-F3-S004","proc-campus-train-000-F2-S004","proc-campus-train-000-F2-S001","proc-campus-train-000-F2-S023"],"element_path":["proc-campus-train-000-F3-O0083","proc-campus-train-000-F3-O0083","proc-campus-train-000-F3-O0068","proc-campus-train-000-F3-O0068","proc-campus-train-000-V01","proc-campus-train-000-F2-O0046","proc-campus-train-000-F2-O0046","proc-campus-train-000-F2-O0065","proc-campus-train-000-F2-O0065"],"closed_element_id":"proc-campus-train-000-V03"}</x:v>
      </x:c>
      <x:c r="O1762" s="6"/>
      <x:c r="P1762" s="6" t="str">
        <x:v>Avoid named closed element: proc-campus-train-000-V03. May be unreachable.</x:v>
      </x:c>
      <x:c r="Q1762" s="15" t="n">
        <x:v>80.16</x:v>
      </x:c>
      <x:c r="R1762" s="6" t="str">
        <x:v>m</x:v>
      </x:c>
      <x:c r="S1762" s="16"/>
      <x:c r="T1762" s="15"/>
      <x:c r="U1762" s="6"/>
      <x:c r="V1762" s="6"/>
      <x:c r="W1762" s="6" t="str">
        <x:v>Existing set_closed followed by find_route. State reset is caller responsibility.</x:v>
      </x:c>
      <x:c r="X1762" s="6" t="str">
        <x:v>data/train/proc-campus-train-000/questions_basic.jsonl</x:v>
      </x:c>
      <x:c r="Y1762" s="14" t="n">
        <x:v>9</x:v>
      </x:c>
      <x:c r="Z1762" s="6" t="str">
        <x:v>https://github.com/hagenhaeussler/Industrial-Agents-Hackathon-2026/blob/f41616590b69f3ea0c1cbfb41d6c35edd9ce53df/data/train/proc-campus-train-000/questions_basic.jsonl#L9</x:v>
      </x:c>
      <x:c r="AA1762" s="6" t="str">
        <x:v>procedural</x:v>
      </x:c>
      <x:c r="AB1762" s="6" t="str">
        <x:v>CC0-1.0</x:v>
      </x:c>
    </x:row>
    <x:row r="1763" ht="124" customHeight="1">
      <x:c r="A1763" s="14" t="n">
        <x:v>1758</x:v>
      </x:c>
      <x:c r="B1763" s="6" t="str">
        <x:v>route_with_closure</x:v>
      </x:c>
      <x:c r="C1763" s="6" t="str">
        <x:v>Staircase 1 is closed for maintenance. How do I get from Print room 2.09 (Floor 2) to Lab 1.02 (Floor 1)?</x:v>
      </x:c>
      <x:c r="D1763" s="6" t="str">
        <x:v>70.99 m
From: Print room 2.09
To: Lab 1.02
Ordered path (6 spaces): Print room 2.09 → Corridor 2.01 → Lift 1 → Lift 1 → Corridor 1.01 → Lab 1.02
Closed: proc-campus-train-001-V01</x:v>
      </x:c>
      <x:c r="E1763" s="6" t="str">
        <x:v>Reference supplied</x:v>
      </x:c>
      <x:c r="F1763" s="6" t="str">
        <x:v>train</x:v>
      </x:c>
      <x:c r="G1763" s="6" t="str">
        <x:v>proc-campus-train-001</x:v>
      </x:c>
      <x:c r="H1763" s="6" t="str">
        <x:v>proc-campus-train-001-Q09</x:v>
      </x:c>
      <x:c r="I1763" s="6" t="str">
        <x:v>Route planning</x:v>
      </x:c>
      <x:c r="J1763" s="6" t="str">
        <x:v>Warm-up</x:v>
      </x:c>
      <x:c r="K1763" s="6" t="str">
        <x:v>Alternative ordered path and metres, or an explicit no-route response.</x:v>
      </x:c>
      <x:c r="L1763" s="6" t="str">
        <x:v>T02, T05, T12, T13</x:v>
      </x:c>
      <x:c r="M1763" s="6" t="str">
        <x:v>Reroute while a named lift, staircase, door or room is closed.</x:v>
      </x:c>
      <x:c r="N1763" s="6" t="str">
        <x:v>{"from_space_id":"proc-campus-train-001-F2-S009","to_space_id":"proc-campus-train-001-F1-S002","optimal_length_m":70.99,"space_path":["proc-campus-train-001-F2-S009","proc-campus-train-001-F2-S001","proc-campus-train-001-F2-S007","proc-campus-train-001-F1-S007","proc-campus-train-001-F1-S001","proc-campus-train-001-F1-S002"],"element_path":["proc-campus-train-001-F2-O0047","proc-campus-train-001-F2-O0047","proc-campus-train-001-F2-O0045","proc-campus-train-001-F2-O0045","proc-campus-train-001-V02","proc-campus-train-001-F1-O0025","proc-campus-train-001-F1-O0025","proc-campus-train-001-F1-O0020","proc-campus-train-001-F1-O0020"],"closed_element_id":"proc-campus-train-001-V01"}</x:v>
      </x:c>
      <x:c r="O1763" s="6"/>
      <x:c r="P1763" s="6" t="str">
        <x:v>Avoid named closed element: proc-campus-train-001-V01. May be unreachable.</x:v>
      </x:c>
      <x:c r="Q1763" s="15" t="n">
        <x:v>70.99</x:v>
      </x:c>
      <x:c r="R1763" s="6" t="str">
        <x:v>m</x:v>
      </x:c>
      <x:c r="S1763" s="16"/>
      <x:c r="T1763" s="15"/>
      <x:c r="U1763" s="6"/>
      <x:c r="V1763" s="6"/>
      <x:c r="W1763" s="6" t="str">
        <x:v>Existing set_closed followed by find_route. State reset is caller responsibility.</x:v>
      </x:c>
      <x:c r="X1763" s="6" t="str">
        <x:v>data/train/proc-campus-train-001/questions_basic.jsonl</x:v>
      </x:c>
      <x:c r="Y1763" s="14" t="n">
        <x:v>9</x:v>
      </x:c>
      <x:c r="Z1763" s="6" t="str">
        <x:v>https://github.com/hagenhaeussler/Industrial-Agents-Hackathon-2026/blob/f41616590b69f3ea0c1cbfb41d6c35edd9ce53df/data/train/proc-campus-train-001/questions_basic.jsonl#L9</x:v>
      </x:c>
      <x:c r="AA1763" s="6" t="str">
        <x:v>procedural</x:v>
      </x:c>
      <x:c r="AB1763" s="6" t="str">
        <x:v>CC0-1.0</x:v>
      </x:c>
    </x:row>
    <x:row r="1764" ht="124" customHeight="1">
      <x:c r="A1764" s="14" t="n">
        <x:v>1759</x:v>
      </x:c>
      <x:c r="B1764" s="6" t="str">
        <x:v>route_with_closure</x:v>
      </x:c>
      <x:c r="C1764" s="6" t="str">
        <x:v>Staircase 1 is closed for maintenance. How do I get from Lab 0.04 (Ground floor) to Seminar room 1.03 (Floor 1)?</x:v>
      </x:c>
      <x:c r="D1764" s="6" t="str">
        <x:v>57.12 m
From: Lab 0.04
To: Seminar room 1.03
Ordered path (6 spaces): Lab 0.04 → Corridor 0.01 → Lift 1 → Lift 1 → Corridor 1.01 → Seminar room 1.03
Closed: proc-campus-train-002-V01</x:v>
      </x:c>
      <x:c r="E1764" s="6" t="str">
        <x:v>Reference supplied</x:v>
      </x:c>
      <x:c r="F1764" s="6" t="str">
        <x:v>train</x:v>
      </x:c>
      <x:c r="G1764" s="6" t="str">
        <x:v>proc-campus-train-002</x:v>
      </x:c>
      <x:c r="H1764" s="6" t="str">
        <x:v>proc-campus-train-002-Q09</x:v>
      </x:c>
      <x:c r="I1764" s="6" t="str">
        <x:v>Route planning</x:v>
      </x:c>
      <x:c r="J1764" s="6" t="str">
        <x:v>Warm-up</x:v>
      </x:c>
      <x:c r="K1764" s="6" t="str">
        <x:v>Alternative ordered path and metres, or an explicit no-route response.</x:v>
      </x:c>
      <x:c r="L1764" s="6" t="str">
        <x:v>T02, T05, T12, T13</x:v>
      </x:c>
      <x:c r="M1764" s="6" t="str">
        <x:v>Reroute while a named lift, staircase, door or room is closed.</x:v>
      </x:c>
      <x:c r="N1764" s="6" t="str">
        <x:v>{"from_space_id":"proc-campus-train-002-F0-S004","to_space_id":"proc-campus-train-002-F1-S003","optimal_length_m":57.12,"space_path":["proc-campus-train-002-F0-S004","proc-campus-train-002-F0-S001","proc-campus-train-002-F0-S006","proc-campus-train-002-F1-S006","proc-campus-train-002-F1-S001","proc-campus-train-002-F1-S003"],"element_path":["proc-campus-train-002-F0-O0003","proc-campus-train-002-F0-O0003","proc-campus-train-002-F0-O0005","proc-campus-train-002-F0-O0005","proc-campus-train-002-V02","proc-campus-train-002-F1-O0021","proc-campus-train-002-F1-O0021","proc-campus-train-002-F1-O0018","proc-campus-train-002-F1-O0018"],"closed_element_id":"proc-campus-train-002-V01"}</x:v>
      </x:c>
      <x:c r="O1764" s="6"/>
      <x:c r="P1764" s="6" t="str">
        <x:v>Avoid named closed element: proc-campus-train-002-V01. May be unreachable.</x:v>
      </x:c>
      <x:c r="Q1764" s="15" t="n">
        <x:v>57.12</x:v>
      </x:c>
      <x:c r="R1764" s="6" t="str">
        <x:v>m</x:v>
      </x:c>
      <x:c r="S1764" s="16"/>
      <x:c r="T1764" s="15"/>
      <x:c r="U1764" s="6"/>
      <x:c r="V1764" s="6"/>
      <x:c r="W1764" s="6" t="str">
        <x:v>Existing set_closed followed by find_route. State reset is caller responsibility.</x:v>
      </x:c>
      <x:c r="X1764" s="6" t="str">
        <x:v>data/train/proc-campus-train-002/questions_basic.jsonl</x:v>
      </x:c>
      <x:c r="Y1764" s="14" t="n">
        <x:v>9</x:v>
      </x:c>
      <x:c r="Z1764" s="6" t="str">
        <x:v>https://github.com/hagenhaeussler/Industrial-Agents-Hackathon-2026/blob/f41616590b69f3ea0c1cbfb41d6c35edd9ce53df/data/train/proc-campus-train-002/questions_basic.jsonl#L9</x:v>
      </x:c>
      <x:c r="AA1764" s="6" t="str">
        <x:v>procedural</x:v>
      </x:c>
      <x:c r="AB1764" s="6" t="str">
        <x:v>CC0-1.0</x:v>
      </x:c>
    </x:row>
    <x:row r="1765" ht="124" customHeight="1">
      <x:c r="A1765" s="14" t="n">
        <x:v>1760</x:v>
      </x:c>
      <x:c r="B1765" s="6" t="str">
        <x:v>route_with_closure</x:v>
      </x:c>
      <x:c r="C1765" s="6" t="str">
        <x:v>Staircase 1 is closed for maintenance. How do I get from Lab 1.08 (Floor 1) to Office 0.02 (Ground floor)?</x:v>
      </x:c>
      <x:c r="D1765" s="6" t="str">
        <x:v>61.51 m
From: Lab 1.08
To: Office 0.02
Ordered path (6 spaces): Lab 1.08 → Corridor 1.01 → Lift 1 → Lift 1 → Corridor 0.01 → Office 0.02
Closed: proc-campus-train-003-V01</x:v>
      </x:c>
      <x:c r="E1765" s="6" t="str">
        <x:v>Reference supplied</x:v>
      </x:c>
      <x:c r="F1765" s="6" t="str">
        <x:v>train</x:v>
      </x:c>
      <x:c r="G1765" s="6" t="str">
        <x:v>proc-campus-train-003</x:v>
      </x:c>
      <x:c r="H1765" s="6" t="str">
        <x:v>proc-campus-train-003-Q09</x:v>
      </x:c>
      <x:c r="I1765" s="6" t="str">
        <x:v>Route planning</x:v>
      </x:c>
      <x:c r="J1765" s="6" t="str">
        <x:v>Warm-up</x:v>
      </x:c>
      <x:c r="K1765" s="6" t="str">
        <x:v>Alternative ordered path and metres, or an explicit no-route response.</x:v>
      </x:c>
      <x:c r="L1765" s="6" t="str">
        <x:v>T02, T05, T12, T13</x:v>
      </x:c>
      <x:c r="M1765" s="6" t="str">
        <x:v>Reroute while a named lift, staircase, door or room is closed.</x:v>
      </x:c>
      <x:c r="N1765" s="6" t="str">
        <x:v>{"from_space_id":"proc-campus-train-003-F1-S008","to_space_id":"proc-campus-train-003-F0-S002","optimal_length_m":61.51,"space_path":["proc-campus-train-003-F1-S008","proc-campus-train-003-F1-S001","proc-campus-train-003-F1-S007","proc-campus-train-003-F0-S005","proc-campus-train-003-F0-S001","proc-campus-train-003-F0-S002"],"element_path":["proc-campus-train-003-F1-O0025","proc-campus-train-003-F1-O0025","proc-campus-train-003-F1-O0024","proc-campus-train-003-F1-O0024","proc-campus-train-003-V02","proc-campus-train-003-F0-O0004","proc-campus-train-003-F0-O0004","proc-campus-train-003-F0-O0001","proc-campus-train-003-F0-O0001"],"closed_element_id":"proc-campus-train-003-V01"}</x:v>
      </x:c>
      <x:c r="O1765" s="6"/>
      <x:c r="P1765" s="6" t="str">
        <x:v>Avoid named closed element: proc-campus-train-003-V01. May be unreachable.</x:v>
      </x:c>
      <x:c r="Q1765" s="15" t="n">
        <x:v>61.51</x:v>
      </x:c>
      <x:c r="R1765" s="6" t="str">
        <x:v>m</x:v>
      </x:c>
      <x:c r="S1765" s="16"/>
      <x:c r="T1765" s="15"/>
      <x:c r="U1765" s="6"/>
      <x:c r="V1765" s="6"/>
      <x:c r="W1765" s="6" t="str">
        <x:v>Existing set_closed followed by find_route. State reset is caller responsibility.</x:v>
      </x:c>
      <x:c r="X1765" s="6" t="str">
        <x:v>data/train/proc-campus-train-003/questions_basic.jsonl</x:v>
      </x:c>
      <x:c r="Y1765" s="14" t="n">
        <x:v>9</x:v>
      </x:c>
      <x:c r="Z1765" s="6" t="str">
        <x:v>https://github.com/hagenhaeussler/Industrial-Agents-Hackathon-2026/blob/f41616590b69f3ea0c1cbfb41d6c35edd9ce53df/data/train/proc-campus-train-003/questions_basic.jsonl#L9</x:v>
      </x:c>
      <x:c r="AA1765" s="6" t="str">
        <x:v>procedural</x:v>
      </x:c>
      <x:c r="AB1765" s="6" t="str">
        <x:v>CC0-1.0</x:v>
      </x:c>
    </x:row>
    <x:row r="1766" ht="124" customHeight="1">
      <x:c r="A1766" s="14" t="n">
        <x:v>1761</x:v>
      </x:c>
      <x:c r="B1766" s="6" t="str">
        <x:v>route_with_closure</x:v>
      </x:c>
      <x:c r="C1766" s="6" t="str">
        <x:v>Staircase 1 is closed for maintenance. How do I get from Seminar room 1.21 (Floor 1) to Seminar room 2.16 (Floor 2)?</x:v>
      </x:c>
      <x:c r="D1766" s="6" t="str">
        <x:v>61.84 m
From: Seminar room 1.21
To: Seminar room 2.16
Ordered path (6 spaces): Seminar room 1.21 → Corridor 1.01 → Lift 1 → Lift 1 → Corridor 2.01 → Seminar room 2.16
Closed: proc-campus-train-004-V01</x:v>
      </x:c>
      <x:c r="E1766" s="6" t="str">
        <x:v>Reference supplied</x:v>
      </x:c>
      <x:c r="F1766" s="6" t="str">
        <x:v>train</x:v>
      </x:c>
      <x:c r="G1766" s="6" t="str">
        <x:v>proc-campus-train-004</x:v>
      </x:c>
      <x:c r="H1766" s="6" t="str">
        <x:v>proc-campus-train-004-Q09</x:v>
      </x:c>
      <x:c r="I1766" s="6" t="str">
        <x:v>Route planning</x:v>
      </x:c>
      <x:c r="J1766" s="6" t="str">
        <x:v>Warm-up</x:v>
      </x:c>
      <x:c r="K1766" s="6" t="str">
        <x:v>Alternative ordered path and metres, or an explicit no-route response.</x:v>
      </x:c>
      <x:c r="L1766" s="6" t="str">
        <x:v>T02, T05, T12, T13</x:v>
      </x:c>
      <x:c r="M1766" s="6" t="str">
        <x:v>Reroute while a named lift, staircase, door or room is closed.</x:v>
      </x:c>
      <x:c r="N1766" s="6" t="str">
        <x:v>{"from_space_id":"proc-campus-train-004-F1-S021","to_space_id":"proc-campus-train-004-F2-S016","optimal_length_m":61.84,"space_path":["proc-campus-train-004-F1-S021","proc-campus-train-004-F1-S001","proc-campus-train-004-F1-S009","proc-campus-train-004-F2-S009","proc-campus-train-004-F2-S001","proc-campus-train-004-F2-S016"],"element_path":["proc-campus-train-004-F1-O0044","proc-campus-train-004-F1-O0044","proc-campus-train-004-F1-O0032","proc-campus-train-004-F1-O0032","proc-campus-train-004-V02","proc-campus-train-004-F2-O0057","proc-campus-train-004-F2-O0057","proc-campus-train-004-F2-O0064","proc-campus-train-004-F2-O0064"],"closed_element_id":"proc-campus-train-004-V01"}</x:v>
      </x:c>
      <x:c r="O1766" s="6"/>
      <x:c r="P1766" s="6" t="str">
        <x:v>Avoid named closed element: proc-campus-train-004-V01. May be unreachable.</x:v>
      </x:c>
      <x:c r="Q1766" s="15" t="n">
        <x:v>61.84</x:v>
      </x:c>
      <x:c r="R1766" s="6" t="str">
        <x:v>m</x:v>
      </x:c>
      <x:c r="S1766" s="16"/>
      <x:c r="T1766" s="15"/>
      <x:c r="U1766" s="6"/>
      <x:c r="V1766" s="6"/>
      <x:c r="W1766" s="6" t="str">
        <x:v>Existing set_closed followed by find_route. State reset is caller responsibility.</x:v>
      </x:c>
      <x:c r="X1766" s="6" t="str">
        <x:v>data/train/proc-campus-train-004/questions_basic.jsonl</x:v>
      </x:c>
      <x:c r="Y1766" s="14" t="n">
        <x:v>9</x:v>
      </x:c>
      <x:c r="Z1766" s="6" t="str">
        <x:v>https://github.com/hagenhaeussler/Industrial-Agents-Hackathon-2026/blob/f41616590b69f3ea0c1cbfb41d6c35edd9ce53df/data/train/proc-campus-train-004/questions_basic.jsonl#L9</x:v>
      </x:c>
      <x:c r="AA1766" s="6" t="str">
        <x:v>procedural</x:v>
      </x:c>
      <x:c r="AB1766" s="6" t="str">
        <x:v>CC0-1.0</x:v>
      </x:c>
    </x:row>
    <x:row r="1767" ht="124" customHeight="1">
      <x:c r="A1767" s="14" t="n">
        <x:v>1762</x:v>
      </x:c>
      <x:c r="B1767" s="6" t="str">
        <x:v>route_with_closure</x:v>
      </x:c>
      <x:c r="C1767" s="6" t="str">
        <x:v>Staircase 1 is closed for maintenance. How do I get from Lab 0.02 (Ground floor) to Office 1.03 (Floor 1)?</x:v>
      </x:c>
      <x:c r="D1767" s="6" t="str">
        <x:v>73.27 m
From: Lab 0.02
To: Office 1.03
Ordered path (6 spaces): Lab 0.02 → Corridor 0.01 → Lift 1 → Lift 1 → Corridor 1.01 → Office 1.03
Closed: proc-campus-train-011-V01</x:v>
      </x:c>
      <x:c r="E1767" s="6" t="str">
        <x:v>Reference supplied</x:v>
      </x:c>
      <x:c r="F1767" s="6" t="str">
        <x:v>train</x:v>
      </x:c>
      <x:c r="G1767" s="6" t="str">
        <x:v>proc-campus-train-011</x:v>
      </x:c>
      <x:c r="H1767" s="6" t="str">
        <x:v>proc-campus-train-011-Q09</x:v>
      </x:c>
      <x:c r="I1767" s="6" t="str">
        <x:v>Route planning</x:v>
      </x:c>
      <x:c r="J1767" s="6" t="str">
        <x:v>Warm-up</x:v>
      </x:c>
      <x:c r="K1767" s="6" t="str">
        <x:v>Alternative ordered path and metres, or an explicit no-route response.</x:v>
      </x:c>
      <x:c r="L1767" s="6" t="str">
        <x:v>T02, T05, T12, T13</x:v>
      </x:c>
      <x:c r="M1767" s="6" t="str">
        <x:v>Reroute while a named lift, staircase, door or room is closed.</x:v>
      </x:c>
      <x:c r="N1767" s="6" t="str">
        <x:v>{"from_space_id":"proc-campus-train-011-F0-S002","to_space_id":"proc-campus-train-011-F1-S003","optimal_length_m":73.27,"space_path":["proc-campus-train-011-F0-S002","proc-campus-train-011-F0-S001","proc-campus-train-011-F0-S005","proc-campus-train-011-F1-S007","proc-campus-train-011-F1-S001","proc-campus-train-011-F1-S003"],"element_path":["proc-campus-train-011-F0-O0001","proc-campus-train-011-F0-O0001","proc-campus-train-011-F0-O0004","proc-campus-train-011-F0-O0004","proc-campus-train-011-V02","proc-campus-train-011-F1-O0026","proc-campus-train-011-F1-O0026","proc-campus-train-011-F1-O0022","proc-campus-train-011-F1-O0022"],"closed_element_id":"proc-campus-train-011-V01"}</x:v>
      </x:c>
      <x:c r="O1767" s="6"/>
      <x:c r="P1767" s="6" t="str">
        <x:v>Avoid named closed element: proc-campus-train-011-V01. May be unreachable.</x:v>
      </x:c>
      <x:c r="Q1767" s="15" t="n">
        <x:v>73.27</x:v>
      </x:c>
      <x:c r="R1767" s="6" t="str">
        <x:v>m</x:v>
      </x:c>
      <x:c r="S1767" s="16"/>
      <x:c r="T1767" s="15"/>
      <x:c r="U1767" s="6"/>
      <x:c r="V1767" s="6"/>
      <x:c r="W1767" s="6" t="str">
        <x:v>Existing set_closed followed by find_route. State reset is caller responsibility.</x:v>
      </x:c>
      <x:c r="X1767" s="6" t="str">
        <x:v>data/train/proc-campus-train-011/questions_basic.jsonl</x:v>
      </x:c>
      <x:c r="Y1767" s="14" t="n">
        <x:v>9</x:v>
      </x:c>
      <x:c r="Z1767" s="6" t="str">
        <x:v>https://github.com/hagenhaeussler/Industrial-Agents-Hackathon-2026/blob/f41616590b69f3ea0c1cbfb41d6c35edd9ce53df/data/train/proc-campus-train-011/questions_basic.jsonl#L9</x:v>
      </x:c>
      <x:c r="AA1767" s="6" t="str">
        <x:v>procedural</x:v>
      </x:c>
      <x:c r="AB1767" s="6" t="str">
        <x:v>CC0-1.0</x:v>
      </x:c>
    </x:row>
    <x:row r="1768" ht="138" customHeight="1">
      <x:c r="A1768" s="14" t="n">
        <x:v>1763</x:v>
      </x:c>
      <x:c r="B1768" s="6" t="str">
        <x:v>route_with_closure</x:v>
      </x:c>
      <x:c r="C1768" s="6" t="str">
        <x:v>Staircase 1 is closed for maintenance. How do I get from Office 2.10 (Floor 2) to Canteen 0.16 (Ground floor)?</x:v>
      </x:c>
      <x:c r="D1768" s="6" t="str">
        <x:v>81.64 m
From: Office 2.10
To: Canteen 0.16
Ordered path (7 spaces): Office 2.10 → Corridor 2.01 → Lift 1 → Lift 1 → Lift 1 → Corridor 0.01 → Canteen 0.16
Closed: proc-campus-train-012-V01</x:v>
      </x:c>
      <x:c r="E1768" s="6" t="str">
        <x:v>Reference supplied</x:v>
      </x:c>
      <x:c r="F1768" s="6" t="str">
        <x:v>train</x:v>
      </x:c>
      <x:c r="G1768" s="6" t="str">
        <x:v>proc-campus-train-012</x:v>
      </x:c>
      <x:c r="H1768" s="6" t="str">
        <x:v>proc-campus-train-012-Q09</x:v>
      </x:c>
      <x:c r="I1768" s="6" t="str">
        <x:v>Route planning</x:v>
      </x:c>
      <x:c r="J1768" s="6" t="str">
        <x:v>Warm-up</x:v>
      </x:c>
      <x:c r="K1768" s="6" t="str">
        <x:v>Alternative ordered path and metres, or an explicit no-route response.</x:v>
      </x:c>
      <x:c r="L1768" s="6" t="str">
        <x:v>T02, T05, T12, T13</x:v>
      </x:c>
      <x:c r="M1768" s="6" t="str">
        <x:v>Reroute while a named lift, staircase, door or room is closed.</x:v>
      </x:c>
      <x:c r="N1768" s="6" t="str">
        <x:v>{"from_space_id":"proc-campus-train-012-F2-S010","to_space_id":"proc-campus-train-012-F0-S016","optimal_length_m":81.64,"space_path":["proc-campus-train-012-F2-S010","proc-campus-train-012-F2-S001","proc-campus-train-012-F2-S007","proc-campus-train-012-F1-S007","proc-campus-train-012-F0-S007","proc-campus-train-012-F0-S001","proc-campus-train-012-F0-S016"],"element_path":["proc-campus-train-012-F2-O0044","proc-campus-train-012-F2-O0044","proc-campus-train-012-F2-O0041","proc-campus-train-012-F2-O0041","proc-campus-train-012-V02","proc-campus-train-012-V02","proc-campus-train-012-F0-O0006","proc-campus-train-012-F0-O0006","proc-campus-train-012-F0-O0015","proc-campus-train-012-F0-O0015"],"closed_element_id":"proc-campus-train-012-V01"}</x:v>
      </x:c>
      <x:c r="O1768" s="6"/>
      <x:c r="P1768" s="6" t="str">
        <x:v>Avoid named closed element: proc-campus-train-012-V01. May be unreachable.</x:v>
      </x:c>
      <x:c r="Q1768" s="15" t="n">
        <x:v>81.64</x:v>
      </x:c>
      <x:c r="R1768" s="6" t="str">
        <x:v>m</x:v>
      </x:c>
      <x:c r="S1768" s="16"/>
      <x:c r="T1768" s="15"/>
      <x:c r="U1768" s="6"/>
      <x:c r="V1768" s="6"/>
      <x:c r="W1768" s="6" t="str">
        <x:v>Existing set_closed followed by find_route. State reset is caller responsibility.</x:v>
      </x:c>
      <x:c r="X1768" s="6" t="str">
        <x:v>data/train/proc-campus-train-012/questions_basic.jsonl</x:v>
      </x:c>
      <x:c r="Y1768" s="14" t="n">
        <x:v>9</x:v>
      </x:c>
      <x:c r="Z1768" s="6" t="str">
        <x:v>https://github.com/hagenhaeussler/Industrial-Agents-Hackathon-2026/blob/f41616590b69f3ea0c1cbfb41d6c35edd9ce53df/data/train/proc-campus-train-012/questions_basic.jsonl#L9</x:v>
      </x:c>
      <x:c r="AA1768" s="6" t="str">
        <x:v>procedural</x:v>
      </x:c>
      <x:c r="AB1768" s="6" t="str">
        <x:v>CC0-1.0</x:v>
      </x:c>
    </x:row>
    <x:row r="1769" ht="138" customHeight="1">
      <x:c r="A1769" s="14" t="n">
        <x:v>1764</x:v>
      </x:c>
      <x:c r="B1769" s="6" t="str">
        <x:v>route_with_closure</x:v>
      </x:c>
      <x:c r="C1769" s="6" t="str">
        <x:v>Staircase 2 is closed for maintenance. How do I get from Canteen 0.22 (Ground floor) to Storage 3.16 (Floor 3)?</x:v>
      </x:c>
      <x:c r="D1769" s="6" t="str">
        <x:v>96.53 m
From: Canteen 0.22
To: Storage 3.16
Ordered path (8 spaces): Canteen 0.22 → Corridor 0.01 → Staircase 1 → Staircase 1 → Staircase 1 → Staircase 1 → Corridor 3.01 → Storage 3.16
Closed: proc-campus-train-013-V03</x:v>
      </x:c>
      <x:c r="E1769" s="6" t="str">
        <x:v>Reference supplied</x:v>
      </x:c>
      <x:c r="F1769" s="6" t="str">
        <x:v>train</x:v>
      </x:c>
      <x:c r="G1769" s="6" t="str">
        <x:v>proc-campus-train-013</x:v>
      </x:c>
      <x:c r="H1769" s="6" t="str">
        <x:v>proc-campus-train-013-Q09</x:v>
      </x:c>
      <x:c r="I1769" s="6" t="str">
        <x:v>Route planning</x:v>
      </x:c>
      <x:c r="J1769" s="6" t="str">
        <x:v>Warm-up</x:v>
      </x:c>
      <x:c r="K1769" s="6" t="str">
        <x:v>Alternative ordered path and metres, or an explicit no-route response.</x:v>
      </x:c>
      <x:c r="L1769" s="6" t="str">
        <x:v>T02, T05, T12, T13</x:v>
      </x:c>
      <x:c r="M1769" s="6" t="str">
        <x:v>Reroute while a named lift, staircase, door or room is closed.</x:v>
      </x:c>
      <x:c r="N1769" s="6" t="str">
        <x:v>{"from_space_id":"proc-campus-train-013-F0-S022","to_space_id":"proc-campus-train-013-F3-S016","optimal_length_m":96.53,"space_path":["proc-campus-train-013-F0-S022","proc-campus-train-013-F0-S001","proc-campus-train-013-F0-S004","proc-campus-train-013-F1-S004","proc-campus-train-013-F2-S004","proc-campus-train-013-F3-S004","proc-campus-train-013-F3-S001","proc-campus-train-013-F3-S016"],"element_path":["proc-campus-train-013-F0-O0021","proc-campus-train-013-F0-O0021","proc-campus-train-013-F0-O0003","proc-campus-train-013-F0-O0003","proc-campus-train-013-V01","proc-campus-train-013-V01","proc-campus-train-013-V01","proc-campus-train-013-F3-O0074","proc-campus-train-013-F3-O0074","proc-campus-train-013-F3-O0086","proc-campus-train-013-F3-O0086"],"closed_element_id":"proc-campus-train-013-V03"}</x:v>
      </x:c>
      <x:c r="O1769" s="6"/>
      <x:c r="P1769" s="6" t="str">
        <x:v>Avoid named closed element: proc-campus-train-013-V03. May be unreachable.</x:v>
      </x:c>
      <x:c r="Q1769" s="15" t="n">
        <x:v>96.53</x:v>
      </x:c>
      <x:c r="R1769" s="6" t="str">
        <x:v>m</x:v>
      </x:c>
      <x:c r="S1769" s="16"/>
      <x:c r="T1769" s="15"/>
      <x:c r="U1769" s="6"/>
      <x:c r="V1769" s="6"/>
      <x:c r="W1769" s="6" t="str">
        <x:v>Existing set_closed followed by find_route. State reset is caller responsibility.</x:v>
      </x:c>
      <x:c r="X1769" s="6" t="str">
        <x:v>data/train/proc-campus-train-013/questions_basic.jsonl</x:v>
      </x:c>
      <x:c r="Y1769" s="14" t="n">
        <x:v>9</x:v>
      </x:c>
      <x:c r="Z1769" s="6" t="str">
        <x:v>https://github.com/hagenhaeussler/Industrial-Agents-Hackathon-2026/blob/f41616590b69f3ea0c1cbfb41d6c35edd9ce53df/data/train/proc-campus-train-013/questions_basic.jsonl#L9</x:v>
      </x:c>
      <x:c r="AA1769" s="6" t="str">
        <x:v>procedural</x:v>
      </x:c>
      <x:c r="AB1769" s="6" t="str">
        <x:v>CC0-1.0</x:v>
      </x:c>
    </x:row>
    <x:row r="1770" ht="124" customHeight="1">
      <x:c r="A1770" s="14" t="n">
        <x:v>1765</x:v>
      </x:c>
      <x:c r="B1770" s="6" t="str">
        <x:v>route_with_closure</x:v>
      </x:c>
      <x:c r="C1770" s="6" t="str">
        <x:v>Staircase 1 is closed for maintenance. How do I get from Office 3.13 (Floor 3) to Storage 2.19 (Floor 2)?</x:v>
      </x:c>
      <x:c r="D1770" s="6" t="str">
        <x:v>66.58 m
From: Office 3.13
To: Storage 2.19
Ordered path (6 spaces): Office 3.13 → Corridor 3.01 → Lift 1 → Lift 1 → Corridor 2.01 → Storage 2.19
Closed: proc-campus-train-014-V01</x:v>
      </x:c>
      <x:c r="E1770" s="6" t="str">
        <x:v>Reference supplied</x:v>
      </x:c>
      <x:c r="F1770" s="6" t="str">
        <x:v>train</x:v>
      </x:c>
      <x:c r="G1770" s="6" t="str">
        <x:v>proc-campus-train-014</x:v>
      </x:c>
      <x:c r="H1770" s="6" t="str">
        <x:v>proc-campus-train-014-Q09</x:v>
      </x:c>
      <x:c r="I1770" s="6" t="str">
        <x:v>Route planning</x:v>
      </x:c>
      <x:c r="J1770" s="6" t="str">
        <x:v>Warm-up</x:v>
      </x:c>
      <x:c r="K1770" s="6" t="str">
        <x:v>Alternative ordered path and metres, or an explicit no-route response.</x:v>
      </x:c>
      <x:c r="L1770" s="6" t="str">
        <x:v>T02, T05, T12, T13</x:v>
      </x:c>
      <x:c r="M1770" s="6" t="str">
        <x:v>Reroute while a named lift, staircase, door or room is closed.</x:v>
      </x:c>
      <x:c r="N1770" s="6" t="str">
        <x:v>{"from_space_id":"proc-campus-train-014-F3-S013","to_space_id":"proc-campus-train-014-F2-S019","optimal_length_m":66.58,"space_path":["proc-campus-train-014-F3-S013","proc-campus-train-014-F3-S001","proc-campus-train-014-F3-S009","proc-campus-train-014-F2-S009","proc-campus-train-014-F2-S001","proc-campus-train-014-F2-S019"],"element_path":["proc-campus-train-014-F3-O0086","proc-campus-train-014-F3-O0086","proc-campus-train-014-F3-O0082","proc-campus-train-014-F3-O0082","proc-campus-train-014-V02","proc-campus-train-014-F2-O0057","proc-campus-train-014-F2-O0057","proc-campus-train-014-F2-O0067","proc-campus-train-014-F2-O0067"],"closed_element_id":"proc-campus-train-014-V01"}</x:v>
      </x:c>
      <x:c r="O1770" s="6"/>
      <x:c r="P1770" s="6" t="str">
        <x:v>Avoid named closed element: proc-campus-train-014-V01. May be unreachable.</x:v>
      </x:c>
      <x:c r="Q1770" s="15" t="n">
        <x:v>66.58</x:v>
      </x:c>
      <x:c r="R1770" s="6" t="str">
        <x:v>m</x:v>
      </x:c>
      <x:c r="S1770" s="16"/>
      <x:c r="T1770" s="15"/>
      <x:c r="U1770" s="6"/>
      <x:c r="V1770" s="6"/>
      <x:c r="W1770" s="6" t="str">
        <x:v>Existing set_closed followed by find_route. State reset is caller responsibility.</x:v>
      </x:c>
      <x:c r="X1770" s="6" t="str">
        <x:v>data/train/proc-campus-train-014/questions_basic.jsonl</x:v>
      </x:c>
      <x:c r="Y1770" s="14" t="n">
        <x:v>9</x:v>
      </x:c>
      <x:c r="Z1770" s="6" t="str">
        <x:v>https://github.com/hagenhaeussler/Industrial-Agents-Hackathon-2026/blob/f41616590b69f3ea0c1cbfb41d6c35edd9ce53df/data/train/proc-campus-train-014/questions_basic.jsonl#L9</x:v>
      </x:c>
      <x:c r="AA1770" s="6" t="str">
        <x:v>procedural</x:v>
      </x:c>
      <x:c r="AB1770" s="6" t="str">
        <x:v>CC0-1.0</x:v>
      </x:c>
    </x:row>
    <x:row r="1771" ht="124" customHeight="1">
      <x:c r="A1771" s="14" t="n">
        <x:v>1766</x:v>
      </x:c>
      <x:c r="B1771" s="6" t="str">
        <x:v>route_with_closure</x:v>
      </x:c>
      <x:c r="C1771" s="6" t="str">
        <x:v>Staircase 2 is closed for maintenance. How do I get from Office 1.25 (Floor 1) to Lab 2.25 (Floor 2)?</x:v>
      </x:c>
      <x:c r="D1771" s="6" t="str">
        <x:v>106.39 m
From: Office 1.25
To: Lab 2.25
Ordered path (6 spaces): Office 1.25 → Corridor 1.01 → Staircase 1 → Staircase 1 → Corridor 2.01 → Lab 2.25
Closed: proc-campus-train-016-V03</x:v>
      </x:c>
      <x:c r="E1771" s="6" t="str">
        <x:v>Reference supplied</x:v>
      </x:c>
      <x:c r="F1771" s="6" t="str">
        <x:v>train</x:v>
      </x:c>
      <x:c r="G1771" s="6" t="str">
        <x:v>proc-campus-train-016</x:v>
      </x:c>
      <x:c r="H1771" s="6" t="str">
        <x:v>proc-campus-train-016-Q09</x:v>
      </x:c>
      <x:c r="I1771" s="6" t="str">
        <x:v>Route planning</x:v>
      </x:c>
      <x:c r="J1771" s="6" t="str">
        <x:v>Warm-up</x:v>
      </x:c>
      <x:c r="K1771" s="6" t="str">
        <x:v>Alternative ordered path and metres, or an explicit no-route response.</x:v>
      </x:c>
      <x:c r="L1771" s="6" t="str">
        <x:v>T02, T05, T12, T13</x:v>
      </x:c>
      <x:c r="M1771" s="6" t="str">
        <x:v>Reroute while a named lift, staircase, door or room is closed.</x:v>
      </x:c>
      <x:c r="N1771" s="6" t="str">
        <x:v>{"from_space_id":"proc-campus-train-016-F1-S025","to_space_id":"proc-campus-train-016-F2-S025","optimal_length_m":106.39,"space_path":["proc-campus-train-016-F1-S025","proc-campus-train-016-F1-S001","proc-campus-train-016-F1-S004","proc-campus-train-016-F2-S004","proc-campus-train-016-F2-S001","proc-campus-train-016-F2-S025"],"element_path":["proc-campus-train-016-F1-O0047","proc-campus-train-016-F1-O0047","proc-campus-train-016-F1-O0026","proc-campus-train-016-F1-O0026","proc-campus-train-016-V01","proc-campus-train-016-F2-O0050","proc-campus-train-016-F2-O0050","proc-campus-train-016-F2-O0071","proc-campus-train-016-F2-O0071"],"closed_element_id":"proc-campus-train-016-V03"}</x:v>
      </x:c>
      <x:c r="O1771" s="6"/>
      <x:c r="P1771" s="6" t="str">
        <x:v>Avoid named closed element: proc-campus-train-016-V03. May be unreachable.</x:v>
      </x:c>
      <x:c r="Q1771" s="15" t="n">
        <x:v>106.39</x:v>
      </x:c>
      <x:c r="R1771" s="6" t="str">
        <x:v>m</x:v>
      </x:c>
      <x:c r="S1771" s="16"/>
      <x:c r="T1771" s="15"/>
      <x:c r="U1771" s="6"/>
      <x:c r="V1771" s="6"/>
      <x:c r="W1771" s="6" t="str">
        <x:v>Existing set_closed followed by find_route. State reset is caller responsibility.</x:v>
      </x:c>
      <x:c r="X1771" s="6" t="str">
        <x:v>data/train/proc-campus-train-016/questions_basic.jsonl</x:v>
      </x:c>
      <x:c r="Y1771" s="14" t="n">
        <x:v>9</x:v>
      </x:c>
      <x:c r="Z1771" s="6" t="str">
        <x:v>https://github.com/hagenhaeussler/Industrial-Agents-Hackathon-2026/blob/f41616590b69f3ea0c1cbfb41d6c35edd9ce53df/data/train/proc-campus-train-016/questions_basic.jsonl#L9</x:v>
      </x:c>
      <x:c r="AA1771" s="6" t="str">
        <x:v>procedural</x:v>
      </x:c>
      <x:c r="AB1771" s="6" t="str">
        <x:v>CC0-1.0</x:v>
      </x:c>
    </x:row>
    <x:row r="1772" ht="124" customHeight="1">
      <x:c r="A1772" s="14" t="n">
        <x:v>1767</x:v>
      </x:c>
      <x:c r="B1772" s="6" t="str">
        <x:v>route_with_closure</x:v>
      </x:c>
      <x:c r="C1772" s="6" t="str">
        <x:v>Staircase 1 is closed for maintenance. How do I get from Meeting room 1.17 (Floor 1) to Seminar room 0.09 (Ground floor)?</x:v>
      </x:c>
      <x:c r="D1772" s="6" t="str">
        <x:v>65.53 m
From: Meeting room 1.17
To: Seminar room 0.09
Ordered path (6 spaces): Meeting room 1.17 → Corridor 1.01 → Lift 1 → Lift 1 → Corridor 0.01 → Seminar room 0.09
Closed: proc-campus-train-019-V01</x:v>
      </x:c>
      <x:c r="E1772" s="6" t="str">
        <x:v>Reference supplied</x:v>
      </x:c>
      <x:c r="F1772" s="6" t="str">
        <x:v>train</x:v>
      </x:c>
      <x:c r="G1772" s="6" t="str">
        <x:v>proc-campus-train-019</x:v>
      </x:c>
      <x:c r="H1772" s="6" t="str">
        <x:v>proc-campus-train-019-Q09</x:v>
      </x:c>
      <x:c r="I1772" s="6" t="str">
        <x:v>Route planning</x:v>
      </x:c>
      <x:c r="J1772" s="6" t="str">
        <x:v>Warm-up</x:v>
      </x:c>
      <x:c r="K1772" s="6" t="str">
        <x:v>Alternative ordered path and metres, or an explicit no-route response.</x:v>
      </x:c>
      <x:c r="L1772" s="6" t="str">
        <x:v>T02, T05, T12, T13</x:v>
      </x:c>
      <x:c r="M1772" s="6" t="str">
        <x:v>Reroute while a named lift, staircase, door or room is closed.</x:v>
      </x:c>
      <x:c r="N1772" s="6" t="str">
        <x:v>{"from_space_id":"proc-campus-train-019-F1-S017","to_space_id":"proc-campus-train-019-F0-S009","optimal_length_m":65.53,"space_path":["proc-campus-train-019-F1-S017","proc-campus-train-019-F1-S001","proc-campus-train-019-F1-S007","proc-campus-train-019-F0-S007","proc-campus-train-019-F0-S001","proc-campus-train-019-F0-S009"],"element_path":["proc-campus-train-019-F1-O0036","proc-campus-train-019-F1-O0036","proc-campus-train-019-F1-O0026","proc-campus-train-019-F1-O0026","proc-campus-train-019-V02","proc-campus-train-019-F0-O0006","proc-campus-train-019-F0-O0006","proc-campus-train-019-F0-O0008","proc-campus-train-019-F0-O0008"],"closed_element_id":"proc-campus-train-019-V01"}</x:v>
      </x:c>
      <x:c r="O1772" s="6"/>
      <x:c r="P1772" s="6" t="str">
        <x:v>Avoid named closed element: proc-campus-train-019-V01. May be unreachable.</x:v>
      </x:c>
      <x:c r="Q1772" s="15" t="n">
        <x:v>65.53</x:v>
      </x:c>
      <x:c r="R1772" s="6" t="str">
        <x:v>m</x:v>
      </x:c>
      <x:c r="S1772" s="16"/>
      <x:c r="T1772" s="15"/>
      <x:c r="U1772" s="6"/>
      <x:c r="V1772" s="6"/>
      <x:c r="W1772" s="6" t="str">
        <x:v>Existing set_closed followed by find_route. State reset is caller responsibility.</x:v>
      </x:c>
      <x:c r="X1772" s="6" t="str">
        <x:v>data/train/proc-campus-train-019/questions_basic.jsonl</x:v>
      </x:c>
      <x:c r="Y1772" s="14" t="n">
        <x:v>9</x:v>
      </x:c>
      <x:c r="Z1772" s="6" t="str">
        <x:v>https://github.com/hagenhaeussler/Industrial-Agents-Hackathon-2026/blob/f41616590b69f3ea0c1cbfb41d6c35edd9ce53df/data/train/proc-campus-train-019/questions_basic.jsonl#L9</x:v>
      </x:c>
      <x:c r="AA1772" s="6" t="str">
        <x:v>procedural</x:v>
      </x:c>
      <x:c r="AB1772" s="6" t="str">
        <x:v>CC0-1.0</x:v>
      </x:c>
    </x:row>
    <x:row r="1773" ht="124" customHeight="1">
      <x:c r="A1773" s="14" t="n">
        <x:v>1768</x:v>
      </x:c>
      <x:c r="B1773" s="6" t="str">
        <x:v>route_with_closure</x:v>
      </x:c>
      <x:c r="C1773" s="6" t="str">
        <x:v>Office staircase is closed for maintenance. How do I get from Office 1.21 (Floor 1) to Server room 0.30 (Ground floor)?</x:v>
      </x:c>
      <x:c r="D1773" s="6" t="str">
        <x:v>87.17 m
From: Office 1.21
To: Server room 0.30
Ordered path (6 spaces): Office 1.21 → Office corridor 1.01 → Lift 1.03 → Lift 0.15 → Office corridor 0.13 → Server room 0.30
Closed: proc-factory-train-005-V01</x:v>
      </x:c>
      <x:c r="E1773" s="6" t="str">
        <x:v>Reference supplied</x:v>
      </x:c>
      <x:c r="F1773" s="6" t="str">
        <x:v>train</x:v>
      </x:c>
      <x:c r="G1773" s="6" t="str">
        <x:v>proc-factory-train-005</x:v>
      </x:c>
      <x:c r="H1773" s="6" t="str">
        <x:v>proc-factory-train-005-Q09</x:v>
      </x:c>
      <x:c r="I1773" s="6" t="str">
        <x:v>Route planning</x:v>
      </x:c>
      <x:c r="J1773" s="6" t="str">
        <x:v>Warm-up</x:v>
      </x:c>
      <x:c r="K1773" s="6" t="str">
        <x:v>Alternative ordered path and metres, or an explicit no-route response.</x:v>
      </x:c>
      <x:c r="L1773" s="6" t="str">
        <x:v>T02, T05, T12, T13</x:v>
      </x:c>
      <x:c r="M1773" s="6" t="str">
        <x:v>Reroute while a named lift, staircase, door or room is closed.</x:v>
      </x:c>
      <x:c r="N1773" s="6" t="str">
        <x:v>{"from_space_id":"proc-factory-train-005-F1-S021","to_space_id":"proc-factory-train-005-F0-S030","optimal_length_m":87.17,"space_path":["proc-factory-train-005-F1-S021","proc-factory-train-005-F1-S001","proc-factory-train-005-F1-S003","proc-factory-train-005-F0-S015","proc-factory-train-005-F0-S013","proc-factory-train-005-F0-S030"],"element_path":["proc-factory-train-005-F1-O0056","proc-factory-train-005-F1-O0056","proc-factory-train-005-F1-O0038","proc-factory-train-005-F1-O0038","proc-factory-train-005-V02","proc-factory-train-005-F0-O0015","proc-factory-train-005-F0-O0015","proc-factory-train-005-F0-O0032","proc-factory-train-005-F0-O0032"],"closed_element_id":"proc-factory-train-005-V01"}</x:v>
      </x:c>
      <x:c r="O1773" s="6"/>
      <x:c r="P1773" s="6" t="str">
        <x:v>Avoid named closed element: proc-factory-train-005-V01. May be unreachable.</x:v>
      </x:c>
      <x:c r="Q1773" s="15" t="n">
        <x:v>87.17</x:v>
      </x:c>
      <x:c r="R1773" s="6" t="str">
        <x:v>m</x:v>
      </x:c>
      <x:c r="S1773" s="16"/>
      <x:c r="T1773" s="15"/>
      <x:c r="U1773" s="6"/>
      <x:c r="V1773" s="6"/>
      <x:c r="W1773" s="6" t="str">
        <x:v>Existing set_closed followed by find_route. State reset is caller responsibility.</x:v>
      </x:c>
      <x:c r="X1773" s="6" t="str">
        <x:v>data/train/proc-factory-train-005/questions_basic.jsonl</x:v>
      </x:c>
      <x:c r="Y1773" s="14" t="n">
        <x:v>9</x:v>
      </x:c>
      <x:c r="Z1773" s="6" t="str">
        <x:v>https://github.com/hagenhaeussler/Industrial-Agents-Hackathon-2026/blob/f41616590b69f3ea0c1cbfb41d6c35edd9ce53df/data/train/proc-factory-train-005/questions_basic.jsonl#L9</x:v>
      </x:c>
      <x:c r="AA1773" s="6" t="str">
        <x:v>procedural</x:v>
      </x:c>
      <x:c r="AB1773" s="6" t="str">
        <x:v>CC0-1.0</x:v>
      </x:c>
    </x:row>
    <x:row r="1774" ht="124" customHeight="1">
      <x:c r="A1774" s="14" t="n">
        <x:v>1769</x:v>
      </x:c>
      <x:c r="B1774" s="6" t="str">
        <x:v>route_with_closure</x:v>
      </x:c>
      <x:c r="C1774" s="6" t="str">
        <x:v>Office staircase is closed for maintenance. How do I get from Office 1.09 (Floor 1) to Meeting room 0.16 (Ground floor)?</x:v>
      </x:c>
      <x:c r="D1774" s="6" t="str">
        <x:v>62.44 m
From: Office 1.09
To: Meeting room 0.16
Ordered path (6 spaces): Office 1.09 → Office corridor 1.01 → Lift 1.03 → Lift 0.12 → Office corridor 0.10 → Meeting room 0.16
Closed: proc-factory-train-006-V01</x:v>
      </x:c>
      <x:c r="E1774" s="6" t="str">
        <x:v>Reference supplied</x:v>
      </x:c>
      <x:c r="F1774" s="6" t="str">
        <x:v>train</x:v>
      </x:c>
      <x:c r="G1774" s="6" t="str">
        <x:v>proc-factory-train-006</x:v>
      </x:c>
      <x:c r="H1774" s="6" t="str">
        <x:v>proc-factory-train-006-Q09</x:v>
      </x:c>
      <x:c r="I1774" s="6" t="str">
        <x:v>Route planning</x:v>
      </x:c>
      <x:c r="J1774" s="6" t="str">
        <x:v>Warm-up</x:v>
      </x:c>
      <x:c r="K1774" s="6" t="str">
        <x:v>Alternative ordered path and metres, or an explicit no-route response.</x:v>
      </x:c>
      <x:c r="L1774" s="6" t="str">
        <x:v>T02, T05, T12, T13</x:v>
      </x:c>
      <x:c r="M1774" s="6" t="str">
        <x:v>Reroute while a named lift, staircase, door or room is closed.</x:v>
      </x:c>
      <x:c r="N1774" s="6" t="str">
        <x:v>{"from_space_id":"proc-factory-train-006-F1-S009","to_space_id":"proc-factory-train-006-F0-S016","optimal_length_m":62.44,"space_path":["proc-factory-train-006-F1-S009","proc-factory-train-006-F1-S001","proc-factory-train-006-F1-S003","proc-factory-train-006-F0-S012","proc-factory-train-006-F0-S010","proc-factory-train-006-F0-S016"],"element_path":["proc-factory-train-006-F1-O0038","proc-factory-train-006-F1-O0038","proc-factory-train-006-F1-O0032","proc-factory-train-006-F1-O0032","proc-factory-train-006-V02","proc-factory-train-006-F0-O0015","proc-factory-train-006-F0-O0015","proc-factory-train-006-F0-O0020","proc-factory-train-006-F0-O0020"],"closed_element_id":"proc-factory-train-006-V01"}</x:v>
      </x:c>
      <x:c r="O1774" s="6"/>
      <x:c r="P1774" s="6" t="str">
        <x:v>Avoid named closed element: proc-factory-train-006-V01. May be unreachable.</x:v>
      </x:c>
      <x:c r="Q1774" s="15" t="n">
        <x:v>62.44</x:v>
      </x:c>
      <x:c r="R1774" s="6" t="str">
        <x:v>m</x:v>
      </x:c>
      <x:c r="S1774" s="16"/>
      <x:c r="T1774" s="15"/>
      <x:c r="U1774" s="6"/>
      <x:c r="V1774" s="6"/>
      <x:c r="W1774" s="6" t="str">
        <x:v>Existing set_closed followed by find_route. State reset is caller responsibility.</x:v>
      </x:c>
      <x:c r="X1774" s="6" t="str">
        <x:v>data/train/proc-factory-train-006/questions_basic.jsonl</x:v>
      </x:c>
      <x:c r="Y1774" s="14" t="n">
        <x:v>9</x:v>
      </x:c>
      <x:c r="Z1774" s="6" t="str">
        <x:v>https://github.com/hagenhaeussler/Industrial-Agents-Hackathon-2026/blob/f41616590b69f3ea0c1cbfb41d6c35edd9ce53df/data/train/proc-factory-train-006/questions_basic.jsonl#L9</x:v>
      </x:c>
      <x:c r="AA1774" s="6" t="str">
        <x:v>procedural</x:v>
      </x:c>
      <x:c r="AB1774" s="6" t="str">
        <x:v>CC0-1.0</x:v>
      </x:c>
    </x:row>
    <x:row r="1775" ht="124" customHeight="1">
      <x:c r="A1775" s="14" t="n">
        <x:v>1770</x:v>
      </x:c>
      <x:c r="B1775" s="6" t="str">
        <x:v>route_with_closure</x:v>
      </x:c>
      <x:c r="C1775" s="6" t="str">
        <x:v>Office staircase is closed for maintenance. How do I get from Office 0.23 (Ground floor) to Office 1.12 (Floor 1)?</x:v>
      </x:c>
      <x:c r="D1775" s="6" t="str">
        <x:v>90.48 m
From: Office 0.23
To: Office 1.12
Ordered path (6 spaces): Office 0.23 → Office corridor 0.13 → Lift 0.15 → Lift 1.03 → Office corridor 1.01 → Office 1.12
Closed: proc-factory-train-007-V01</x:v>
      </x:c>
      <x:c r="E1775" s="6" t="str">
        <x:v>Reference supplied</x:v>
      </x:c>
      <x:c r="F1775" s="6" t="str">
        <x:v>train</x:v>
      </x:c>
      <x:c r="G1775" s="6" t="str">
        <x:v>proc-factory-train-007</x:v>
      </x:c>
      <x:c r="H1775" s="6" t="str">
        <x:v>proc-factory-train-007-Q09</x:v>
      </x:c>
      <x:c r="I1775" s="6" t="str">
        <x:v>Route planning</x:v>
      </x:c>
      <x:c r="J1775" s="6" t="str">
        <x:v>Warm-up</x:v>
      </x:c>
      <x:c r="K1775" s="6" t="str">
        <x:v>Alternative ordered path and metres, or an explicit no-route response.</x:v>
      </x:c>
      <x:c r="L1775" s="6" t="str">
        <x:v>T02, T05, T12, T13</x:v>
      </x:c>
      <x:c r="M1775" s="6" t="str">
        <x:v>Reroute while a named lift, staircase, door or room is closed.</x:v>
      </x:c>
      <x:c r="N1775" s="6" t="str">
        <x:v>{"from_space_id":"proc-factory-train-007-F0-S023","to_space_id":"proc-factory-train-007-F1-S012","optimal_length_m":90.48,"space_path":["proc-factory-train-007-F0-S023","proc-factory-train-007-F0-S013","proc-factory-train-007-F0-S015","proc-factory-train-007-F1-S003","proc-factory-train-007-F1-S001","proc-factory-train-007-F1-S012"],"element_path":["proc-factory-train-007-F0-O0027","proc-factory-train-007-F0-O0027","proc-factory-train-007-F0-O0018","proc-factory-train-007-F0-O0018","proc-factory-train-007-V02","proc-factory-train-007-F1-O0041","proc-factory-train-007-F1-O0041","proc-factory-train-007-F1-O0050","proc-factory-train-007-F1-O0050"],"closed_element_id":"proc-factory-train-007-V01"}</x:v>
      </x:c>
      <x:c r="O1775" s="6"/>
      <x:c r="P1775" s="6" t="str">
        <x:v>Avoid named closed element: proc-factory-train-007-V01. May be unreachable.</x:v>
      </x:c>
      <x:c r="Q1775" s="15" t="n">
        <x:v>90.48</x:v>
      </x:c>
      <x:c r="R1775" s="6" t="str">
        <x:v>m</x:v>
      </x:c>
      <x:c r="S1775" s="16"/>
      <x:c r="T1775" s="15"/>
      <x:c r="U1775" s="6"/>
      <x:c r="V1775" s="6"/>
      <x:c r="W1775" s="6" t="str">
        <x:v>Existing set_closed followed by find_route. State reset is caller responsibility.</x:v>
      </x:c>
      <x:c r="X1775" s="6" t="str">
        <x:v>data/train/proc-factory-train-007/questions_basic.jsonl</x:v>
      </x:c>
      <x:c r="Y1775" s="14" t="n">
        <x:v>9</x:v>
      </x:c>
      <x:c r="Z1775" s="6" t="str">
        <x:v>https://github.com/hagenhaeussler/Industrial-Agents-Hackathon-2026/blob/f41616590b69f3ea0c1cbfb41d6c35edd9ce53df/data/train/proc-factory-train-007/questions_basic.jsonl#L9</x:v>
      </x:c>
      <x:c r="AA1775" s="6" t="str">
        <x:v>procedural</x:v>
      </x:c>
      <x:c r="AB1775" s="6" t="str">
        <x:v>CC0-1.0</x:v>
      </x:c>
    </x:row>
    <x:row r="1776" ht="124" customHeight="1">
      <x:c r="A1776" s="14" t="n">
        <x:v>1771</x:v>
      </x:c>
      <x:c r="B1776" s="6" t="str">
        <x:v>route_with_closure</x:v>
      </x:c>
      <x:c r="C1776" s="6" t="str">
        <x:v>Office staircase is closed for maintenance. How do I get from Office 0.21 (Ground floor) to Meeting room 1.15 (Floor 1)?</x:v>
      </x:c>
      <x:c r="D1776" s="6" t="str">
        <x:v>67.79 m
From: Office 0.21
To: Meeting room 1.15
Ordered path (6 spaces): Office 0.21 → Office corridor 0.10 → Lift 0.12 → Lift 1.03 → Office corridor 1.01 → Meeting room 1.15
Closed: proc-factory-train-008-V01</x:v>
      </x:c>
      <x:c r="E1776" s="6" t="str">
        <x:v>Reference supplied</x:v>
      </x:c>
      <x:c r="F1776" s="6" t="str">
        <x:v>train</x:v>
      </x:c>
      <x:c r="G1776" s="6" t="str">
        <x:v>proc-factory-train-008</x:v>
      </x:c>
      <x:c r="H1776" s="6" t="str">
        <x:v>proc-factory-train-008-Q09</x:v>
      </x:c>
      <x:c r="I1776" s="6" t="str">
        <x:v>Route planning</x:v>
      </x:c>
      <x:c r="J1776" s="6" t="str">
        <x:v>Warm-up</x:v>
      </x:c>
      <x:c r="K1776" s="6" t="str">
        <x:v>Alternative ordered path and metres, or an explicit no-route response.</x:v>
      </x:c>
      <x:c r="L1776" s="6" t="str">
        <x:v>T02, T05, T12, T13</x:v>
      </x:c>
      <x:c r="M1776" s="6" t="str">
        <x:v>Reroute while a named lift, staircase, door or room is closed.</x:v>
      </x:c>
      <x:c r="N1776" s="6" t="str">
        <x:v>{"from_space_id":"proc-factory-train-008-F0-S021","to_space_id":"proc-factory-train-008-F1-S015","optimal_length_m":67.79,"space_path":["proc-factory-train-008-F0-S021","proc-factory-train-008-F0-S010","proc-factory-train-008-F0-S012","proc-factory-train-008-F1-S003","proc-factory-train-008-F1-S001","proc-factory-train-008-F1-S015"],"element_path":["proc-factory-train-008-F0-O0026","proc-factory-train-008-F0-O0026","proc-factory-train-008-F0-O0015","proc-factory-train-008-F0-O0015","proc-factory-train-008-V02","proc-factory-train-008-F1-O0032","proc-factory-train-008-F1-O0032","proc-factory-train-008-F1-O0044","proc-factory-train-008-F1-O0044"],"closed_element_id":"proc-factory-train-008-V01"}</x:v>
      </x:c>
      <x:c r="O1776" s="6"/>
      <x:c r="P1776" s="6" t="str">
        <x:v>Avoid named closed element: proc-factory-train-008-V01. May be unreachable.</x:v>
      </x:c>
      <x:c r="Q1776" s="15" t="n">
        <x:v>67.79</x:v>
      </x:c>
      <x:c r="R1776" s="6" t="str">
        <x:v>m</x:v>
      </x:c>
      <x:c r="S1776" s="16"/>
      <x:c r="T1776" s="15"/>
      <x:c r="U1776" s="6"/>
      <x:c r="V1776" s="6"/>
      <x:c r="W1776" s="6" t="str">
        <x:v>Existing set_closed followed by find_route. State reset is caller responsibility.</x:v>
      </x:c>
      <x:c r="X1776" s="6" t="str">
        <x:v>data/train/proc-factory-train-008/questions_basic.jsonl</x:v>
      </x:c>
      <x:c r="Y1776" s="14" t="n">
        <x:v>9</x:v>
      </x:c>
      <x:c r="Z1776" s="6" t="str">
        <x:v>https://github.com/hagenhaeussler/Industrial-Agents-Hackathon-2026/blob/f41616590b69f3ea0c1cbfb41d6c35edd9ce53df/data/train/proc-factory-train-008/questions_basic.jsonl#L9</x:v>
      </x:c>
      <x:c r="AA1776" s="6" t="str">
        <x:v>procedural</x:v>
      </x:c>
      <x:c r="AB1776" s="6" t="str">
        <x:v>CC0-1.0</x:v>
      </x:c>
    </x:row>
    <x:row r="1777" ht="124" customHeight="1">
      <x:c r="A1777" s="14" t="n">
        <x:v>1772</x:v>
      </x:c>
      <x:c r="B1777" s="6" t="str">
        <x:v>route_with_closure</x:v>
      </x:c>
      <x:c r="C1777" s="6" t="str">
        <x:v>Office staircase is closed for maintenance. How do I get from Meeting room 1.12 (Floor 1) to Toilet 0.36 (Ground floor)?</x:v>
      </x:c>
      <x:c r="D1777" s="6" t="str">
        <x:v>107.49 m
From: Meeting room 1.12
To: Toilet 0.36
Ordered path (6 spaces): Meeting room 1.12 → Office corridor 1.01 → Lift 1.03 → Lift 0.15 → Office corridor 0.13 → Toilet 0.36
Closed: proc-factory-train-009-V01</x:v>
      </x:c>
      <x:c r="E1777" s="6" t="str">
        <x:v>Reference supplied</x:v>
      </x:c>
      <x:c r="F1777" s="6" t="str">
        <x:v>train</x:v>
      </x:c>
      <x:c r="G1777" s="6" t="str">
        <x:v>proc-factory-train-009</x:v>
      </x:c>
      <x:c r="H1777" s="6" t="str">
        <x:v>proc-factory-train-009-Q09</x:v>
      </x:c>
      <x:c r="I1777" s="6" t="str">
        <x:v>Route planning</x:v>
      </x:c>
      <x:c r="J1777" s="6" t="str">
        <x:v>Warm-up</x:v>
      </x:c>
      <x:c r="K1777" s="6" t="str">
        <x:v>Alternative ordered path and metres, or an explicit no-route response.</x:v>
      </x:c>
      <x:c r="L1777" s="6" t="str">
        <x:v>T02, T05, T12, T13</x:v>
      </x:c>
      <x:c r="M1777" s="6" t="str">
        <x:v>Reroute while a named lift, staircase, door or room is closed.</x:v>
      </x:c>
      <x:c r="N1777" s="6" t="str">
        <x:v>{"from_space_id":"proc-factory-train-009-F1-S012","to_space_id":"proc-factory-train-009-F0-S036","optimal_length_m":107.49,"space_path":["proc-factory-train-009-F1-S012","proc-factory-train-009-F1-S001","proc-factory-train-009-F1-S003","proc-factory-train-009-F0-S015","proc-factory-train-009-F0-S013","proc-factory-train-009-F0-S036"],"element_path":["proc-factory-train-009-F1-O0053","proc-factory-train-009-F1-O0053","proc-factory-train-009-F1-O0044","proc-factory-train-009-F1-O0044","proc-factory-train-009-V02","proc-factory-train-009-F0-O0018","proc-factory-train-009-F0-O0018","proc-factory-train-009-F0-O0041","proc-factory-train-009-F0-O0041"],"closed_element_id":"proc-factory-train-009-V01"}</x:v>
      </x:c>
      <x:c r="O1777" s="6"/>
      <x:c r="P1777" s="6" t="str">
        <x:v>Avoid named closed element: proc-factory-train-009-V01. May be unreachable.</x:v>
      </x:c>
      <x:c r="Q1777" s="15" t="n">
        <x:v>107.49</x:v>
      </x:c>
      <x:c r="R1777" s="6" t="str">
        <x:v>m</x:v>
      </x:c>
      <x:c r="S1777" s="16"/>
      <x:c r="T1777" s="15"/>
      <x:c r="U1777" s="6"/>
      <x:c r="V1777" s="6"/>
      <x:c r="W1777" s="6" t="str">
        <x:v>Existing set_closed followed by find_route. State reset is caller responsibility.</x:v>
      </x:c>
      <x:c r="X1777" s="6" t="str">
        <x:v>data/train/proc-factory-train-009/questions_basic.jsonl</x:v>
      </x:c>
      <x:c r="Y1777" s="14" t="n">
        <x:v>9</x:v>
      </x:c>
      <x:c r="Z1777" s="6" t="str">
        <x:v>https://github.com/hagenhaeussler/Industrial-Agents-Hackathon-2026/blob/f41616590b69f3ea0c1cbfb41d6c35edd9ce53df/data/train/proc-factory-train-009/questions_basic.jsonl#L9</x:v>
      </x:c>
      <x:c r="AA1777" s="6" t="str">
        <x:v>procedural</x:v>
      </x:c>
      <x:c r="AB1777" s="6" t="str">
        <x:v>CC0-1.0</x:v>
      </x:c>
    </x:row>
    <x:row r="1778" ht="124" customHeight="1">
      <x:c r="A1778" s="14" t="n">
        <x:v>1773</x:v>
      </x:c>
      <x:c r="B1778" s="6" t="str">
        <x:v>route_with_closure</x:v>
      </x:c>
      <x:c r="C1778" s="6" t="str">
        <x:v>Office staircase is closed for maintenance. How do I get from Office 1.13 (Floor 1) to Office 0.17 (Ground floor)?</x:v>
      </x:c>
      <x:c r="D1778" s="6" t="str">
        <x:v>68.96 m
From: Office 1.13
To: Office 0.17
Ordered path (6 spaces): Office 1.13 → Office corridor 1.01 → Lift 1.03 → Lift 0.12 → Office corridor 0.10 → Office 0.17
Closed: proc-factory-train-010-V01</x:v>
      </x:c>
      <x:c r="E1778" s="6" t="str">
        <x:v>Reference supplied</x:v>
      </x:c>
      <x:c r="F1778" s="6" t="str">
        <x:v>train</x:v>
      </x:c>
      <x:c r="G1778" s="6" t="str">
        <x:v>proc-factory-train-010</x:v>
      </x:c>
      <x:c r="H1778" s="6" t="str">
        <x:v>proc-factory-train-010-Q09</x:v>
      </x:c>
      <x:c r="I1778" s="6" t="str">
        <x:v>Route planning</x:v>
      </x:c>
      <x:c r="J1778" s="6" t="str">
        <x:v>Warm-up</x:v>
      </x:c>
      <x:c r="K1778" s="6" t="str">
        <x:v>Alternative ordered path and metres, or an explicit no-route response.</x:v>
      </x:c>
      <x:c r="L1778" s="6" t="str">
        <x:v>T02, T05, T12, T13</x:v>
      </x:c>
      <x:c r="M1778" s="6" t="str">
        <x:v>Reroute while a named lift, staircase, door or room is closed.</x:v>
      </x:c>
      <x:c r="N1778" s="6" t="str">
        <x:v>{"from_space_id":"proc-factory-train-010-F1-S013","to_space_id":"proc-factory-train-010-F0-S017","optimal_length_m":68.96,"space_path":["proc-factory-train-010-F1-S013","proc-factory-train-010-F1-S001","proc-factory-train-010-F1-S003","proc-factory-train-010-F0-S012","proc-factory-train-010-F0-S010","proc-factory-train-010-F0-S017"],"element_path":["proc-factory-train-010-F1-O0044","proc-factory-train-010-F1-O0044","proc-factory-train-010-F1-O0034","proc-factory-train-010-F1-O0034","proc-factory-train-010-V02","proc-factory-train-010-F0-O0013","proc-factory-train-010-F0-O0013","proc-factory-train-010-F0-O0019","proc-factory-train-010-F0-O0019"],"closed_element_id":"proc-factory-train-010-V01"}</x:v>
      </x:c>
      <x:c r="O1778" s="6"/>
      <x:c r="P1778" s="6" t="str">
        <x:v>Avoid named closed element: proc-factory-train-010-V01. May be unreachable.</x:v>
      </x:c>
      <x:c r="Q1778" s="15" t="n">
        <x:v>68.96</x:v>
      </x:c>
      <x:c r="R1778" s="6" t="str">
        <x:v>m</x:v>
      </x:c>
      <x:c r="S1778" s="16"/>
      <x:c r="T1778" s="15"/>
      <x:c r="U1778" s="6"/>
      <x:c r="V1778" s="6"/>
      <x:c r="W1778" s="6" t="str">
        <x:v>Existing set_closed followed by find_route. State reset is caller responsibility.</x:v>
      </x:c>
      <x:c r="X1778" s="6" t="str">
        <x:v>data/train/proc-factory-train-010/questions_basic.jsonl</x:v>
      </x:c>
      <x:c r="Y1778" s="14" t="n">
        <x:v>9</x:v>
      </x:c>
      <x:c r="Z1778" s="6" t="str">
        <x:v>https://github.com/hagenhaeussler/Industrial-Agents-Hackathon-2026/blob/f41616590b69f3ea0c1cbfb41d6c35edd9ce53df/data/train/proc-factory-train-010/questions_basic.jsonl#L9</x:v>
      </x:c>
      <x:c r="AA1778" s="6" t="str">
        <x:v>procedural</x:v>
      </x:c>
      <x:c r="AB1778" s="6" t="str">
        <x:v>CC0-1.0</x:v>
      </x:c>
    </x:row>
    <x:row r="1779" ht="124" customHeight="1">
      <x:c r="A1779" s="14" t="n">
        <x:v>1774</x:v>
      </x:c>
      <x:c r="B1779" s="6" t="str">
        <x:v>route_with_closure</x:v>
      </x:c>
      <x:c r="C1779" s="6" t="str">
        <x:v>Office staircase is closed for maintenance. How do I get from Office 1.05 (Floor 1) to Office 0.15 (Ground floor)?</x:v>
      </x:c>
      <x:c r="D1779" s="6" t="str">
        <x:v>87.18 m
From: Office 1.05
To: Office 0.15
Ordered path (6 spaces): Office 1.05 → Office corridor 1.01 → Lift 1.03 → Lift 0.12 → Office corridor 0.10 → Office 0.15
Closed: proc-factory-train-015-V01</x:v>
      </x:c>
      <x:c r="E1779" s="6" t="str">
        <x:v>Reference supplied</x:v>
      </x:c>
      <x:c r="F1779" s="6" t="str">
        <x:v>train</x:v>
      </x:c>
      <x:c r="G1779" s="6" t="str">
        <x:v>proc-factory-train-015</x:v>
      </x:c>
      <x:c r="H1779" s="6" t="str">
        <x:v>proc-factory-train-015-Q09</x:v>
      </x:c>
      <x:c r="I1779" s="6" t="str">
        <x:v>Route planning</x:v>
      </x:c>
      <x:c r="J1779" s="6" t="str">
        <x:v>Warm-up</x:v>
      </x:c>
      <x:c r="K1779" s="6" t="str">
        <x:v>Alternative ordered path and metres, or an explicit no-route response.</x:v>
      </x:c>
      <x:c r="L1779" s="6" t="str">
        <x:v>T02, T05, T12, T13</x:v>
      </x:c>
      <x:c r="M1779" s="6" t="str">
        <x:v>Reroute while a named lift, staircase, door or room is closed.</x:v>
      </x:c>
      <x:c r="N1779" s="6" t="str">
        <x:v>{"from_space_id":"proc-factory-train-015-F1-S005","to_space_id":"proc-factory-train-015-F0-S015","optimal_length_m":87.18,"space_path":["proc-factory-train-015-F1-S005","proc-factory-train-015-F1-S001","proc-factory-train-015-F1-S003","proc-factory-train-015-F0-S012","proc-factory-train-015-F0-S010","proc-factory-train-015-F0-S015"],"element_path":["proc-factory-train-015-F1-O0037","proc-factory-train-015-F1-O0037","proc-factory-train-015-F1-O0035","proc-factory-train-015-F1-O0035","proc-factory-train-015-V02","proc-factory-train-015-F0-O0013","proc-factory-train-015-F0-O0013","proc-factory-train-015-F0-O0017","proc-factory-train-015-F0-O0017"],"closed_element_id":"proc-factory-train-015-V01"}</x:v>
      </x:c>
      <x:c r="O1779" s="6"/>
      <x:c r="P1779" s="6" t="str">
        <x:v>Avoid named closed element: proc-factory-train-015-V01. May be unreachable.</x:v>
      </x:c>
      <x:c r="Q1779" s="15" t="n">
        <x:v>87.18</x:v>
      </x:c>
      <x:c r="R1779" s="6" t="str">
        <x:v>m</x:v>
      </x:c>
      <x:c r="S1779" s="16"/>
      <x:c r="T1779" s="15"/>
      <x:c r="U1779" s="6"/>
      <x:c r="V1779" s="6"/>
      <x:c r="W1779" s="6" t="str">
        <x:v>Existing set_closed followed by find_route. State reset is caller responsibility.</x:v>
      </x:c>
      <x:c r="X1779" s="6" t="str">
        <x:v>data/train/proc-factory-train-015/questions_basic.jsonl</x:v>
      </x:c>
      <x:c r="Y1779" s="14" t="n">
        <x:v>9</x:v>
      </x:c>
      <x:c r="Z1779" s="6" t="str">
        <x:v>https://github.com/hagenhaeussler/Industrial-Agents-Hackathon-2026/blob/f41616590b69f3ea0c1cbfb41d6c35edd9ce53df/data/train/proc-factory-train-015/questions_basic.jsonl#L9</x:v>
      </x:c>
      <x:c r="AA1779" s="6" t="str">
        <x:v>procedural</x:v>
      </x:c>
      <x:c r="AB1779" s="6" t="str">
        <x:v>CC0-1.0</x:v>
      </x:c>
    </x:row>
    <x:row r="1780" ht="124" customHeight="1">
      <x:c r="A1780" s="14" t="n">
        <x:v>1775</x:v>
      </x:c>
      <x:c r="B1780" s="6" t="str">
        <x:v>route_with_closure</x:v>
      </x:c>
      <x:c r="C1780" s="6" t="str">
        <x:v>Office staircase is closed for maintenance. How do I get from Kitchen 1.10 (Floor 1) to Office 0.18 (Ground floor)?</x:v>
      </x:c>
      <x:c r="D1780" s="6" t="str">
        <x:v>50.73 m
From: Kitchen 1.10
To: Office 0.18
Ordered path (6 spaces): Kitchen 1.10 → Office corridor 1.01 → Lift 1.03 → Lift 0.12 → Office corridor 0.10 → Office 0.18
Closed: proc-factory-train-017-V01</x:v>
      </x:c>
      <x:c r="E1780" s="6" t="str">
        <x:v>Reference supplied</x:v>
      </x:c>
      <x:c r="F1780" s="6" t="str">
        <x:v>train</x:v>
      </x:c>
      <x:c r="G1780" s="6" t="str">
        <x:v>proc-factory-train-017</x:v>
      </x:c>
      <x:c r="H1780" s="6" t="str">
        <x:v>proc-factory-train-017-Q09</x:v>
      </x:c>
      <x:c r="I1780" s="6" t="str">
        <x:v>Route planning</x:v>
      </x:c>
      <x:c r="J1780" s="6" t="str">
        <x:v>Warm-up</x:v>
      </x:c>
      <x:c r="K1780" s="6" t="str">
        <x:v>Alternative ordered path and metres, or an explicit no-route response.</x:v>
      </x:c>
      <x:c r="L1780" s="6" t="str">
        <x:v>T02, T05, T12, T13</x:v>
      </x:c>
      <x:c r="M1780" s="6" t="str">
        <x:v>Reroute while a named lift, staircase, door or room is closed.</x:v>
      </x:c>
      <x:c r="N1780" s="6" t="str">
        <x:v>{"from_space_id":"proc-factory-train-017-F1-S010","to_space_id":"proc-factory-train-017-F0-S018","optimal_length_m":50.73,"space_path":["proc-factory-train-017-F1-S010","proc-factory-train-017-F1-S001","proc-factory-train-017-F1-S003","proc-factory-train-017-F0-S012","proc-factory-train-017-F0-S010","proc-factory-train-017-F0-S018"],"element_path":["proc-factory-train-017-F1-O0036","proc-factory-train-017-F1-O0036","proc-factory-train-017-F1-O0029","proc-factory-train-017-F1-O0029","proc-factory-train-017-V02","proc-factory-train-017-F0-O0015","proc-factory-train-017-F0-O0015","proc-factory-train-017-F0-O0023","proc-factory-train-017-F0-O0023"],"closed_element_id":"proc-factory-train-017-V01"}</x:v>
      </x:c>
      <x:c r="O1780" s="6"/>
      <x:c r="P1780" s="6" t="str">
        <x:v>Avoid named closed element: proc-factory-train-017-V01. May be unreachable.</x:v>
      </x:c>
      <x:c r="Q1780" s="15" t="n">
        <x:v>50.73</x:v>
      </x:c>
      <x:c r="R1780" s="6" t="str">
        <x:v>m</x:v>
      </x:c>
      <x:c r="S1780" s="16"/>
      <x:c r="T1780" s="15"/>
      <x:c r="U1780" s="6"/>
      <x:c r="V1780" s="6"/>
      <x:c r="W1780" s="6" t="str">
        <x:v>Existing set_closed followed by find_route. State reset is caller responsibility.</x:v>
      </x:c>
      <x:c r="X1780" s="6" t="str">
        <x:v>data/train/proc-factory-train-017/questions_basic.jsonl</x:v>
      </x:c>
      <x:c r="Y1780" s="14" t="n">
        <x:v>9</x:v>
      </x:c>
      <x:c r="Z1780" s="6" t="str">
        <x:v>https://github.com/hagenhaeussler/Industrial-Agents-Hackathon-2026/blob/f41616590b69f3ea0c1cbfb41d6c35edd9ce53df/data/train/proc-factory-train-017/questions_basic.jsonl#L9</x:v>
      </x:c>
      <x:c r="AA1780" s="6" t="str">
        <x:v>procedural</x:v>
      </x:c>
      <x:c r="AB1780" s="6" t="str">
        <x:v>CC0-1.0</x:v>
      </x:c>
    </x:row>
    <x:row r="1781" ht="124" customHeight="1">
      <x:c r="A1781" s="14" t="n">
        <x:v>1776</x:v>
      </x:c>
      <x:c r="B1781" s="6" t="str">
        <x:v>route_with_closure</x:v>
      </x:c>
      <x:c r="C1781" s="6" t="str">
        <x:v>Office staircase is closed for maintenance. How do I get from Office 1.15 (Floor 1) to Quality lab 0.18 (Ground floor)?</x:v>
      </x:c>
      <x:c r="D1781" s="6" t="str">
        <x:v>65.58 m
From: Office 1.15
To: Quality lab 0.18
Ordered path (6 spaces): Office 1.15 → Office corridor 1.01 → Lift 1.03 → Lift 0.12 → Office corridor 0.10 → Quality lab 0.18
Closed: proc-factory-train-018-V01</x:v>
      </x:c>
      <x:c r="E1781" s="6" t="str">
        <x:v>Reference supplied</x:v>
      </x:c>
      <x:c r="F1781" s="6" t="str">
        <x:v>train</x:v>
      </x:c>
      <x:c r="G1781" s="6" t="str">
        <x:v>proc-factory-train-018</x:v>
      </x:c>
      <x:c r="H1781" s="6" t="str">
        <x:v>proc-factory-train-018-Q09</x:v>
      </x:c>
      <x:c r="I1781" s="6" t="str">
        <x:v>Route planning</x:v>
      </x:c>
      <x:c r="J1781" s="6" t="str">
        <x:v>Warm-up</x:v>
      </x:c>
      <x:c r="K1781" s="6" t="str">
        <x:v>Alternative ordered path and metres, or an explicit no-route response.</x:v>
      </x:c>
      <x:c r="L1781" s="6" t="str">
        <x:v>T02, T05, T12, T13</x:v>
      </x:c>
      <x:c r="M1781" s="6" t="str">
        <x:v>Reroute while a named lift, staircase, door or room is closed.</x:v>
      </x:c>
      <x:c r="N1781" s="6" t="str">
        <x:v>{"from_space_id":"proc-factory-train-018-F1-S015","to_space_id":"proc-factory-train-018-F0-S018","optimal_length_m":65.58,"space_path":["proc-factory-train-018-F1-S015","proc-factory-train-018-F1-S001","proc-factory-train-018-F1-S003","proc-factory-train-018-F0-S012","proc-factory-train-018-F0-S010","proc-factory-train-018-F0-S018"],"element_path":["proc-factory-train-018-F1-O0046","proc-factory-train-018-F1-O0046","proc-factory-train-018-F1-O0034","proc-factory-train-018-F1-O0034","proc-factory-train-018-V02","proc-factory-train-018-F0-O0015","proc-factory-train-018-F0-O0015","proc-factory-train-018-F0-O0022","proc-factory-train-018-F0-O0022"],"closed_element_id":"proc-factory-train-018-V01"}</x:v>
      </x:c>
      <x:c r="O1781" s="6"/>
      <x:c r="P1781" s="6" t="str">
        <x:v>Avoid named closed element: proc-factory-train-018-V01. May be unreachable.</x:v>
      </x:c>
      <x:c r="Q1781" s="15" t="n">
        <x:v>65.58</x:v>
      </x:c>
      <x:c r="R1781" s="6" t="str">
        <x:v>m</x:v>
      </x:c>
      <x:c r="S1781" s="16"/>
      <x:c r="T1781" s="15"/>
      <x:c r="U1781" s="6"/>
      <x:c r="V1781" s="6"/>
      <x:c r="W1781" s="6" t="str">
        <x:v>Existing set_closed followed by find_route. State reset is caller responsibility.</x:v>
      </x:c>
      <x:c r="X1781" s="6" t="str">
        <x:v>data/train/proc-factory-train-018/questions_basic.jsonl</x:v>
      </x:c>
      <x:c r="Y1781" s="14" t="n">
        <x:v>9</x:v>
      </x:c>
      <x:c r="Z1781" s="6" t="str">
        <x:v>https://github.com/hagenhaeussler/Industrial-Agents-Hackathon-2026/blob/f41616590b69f3ea0c1cbfb41d6c35edd9ce53df/data/train/proc-factory-train-018/questions_basic.jsonl#L9</x:v>
      </x:c>
      <x:c r="AA1781" s="6" t="str">
        <x:v>procedural</x:v>
      </x:c>
      <x:c r="AB1781" s="6" t="str">
        <x:v>CC0-1.0</x:v>
      </x:c>
    </x:row>
    <x:row r="1782" ht="124" customHeight="1">
      <x:c r="A1782" s="14" t="n">
        <x:v>1777</x:v>
      </x:c>
      <x:c r="B1782" s="6" t="str">
        <x:v>route_with_closure</x:v>
      </x:c>
      <x:c r="C1782" s="6" t="str">
        <x:v>Office staircase is closed for maintenance. How do I get from Office 1.05 (Floor 1) to Server room 0.16 (Ground floor)?</x:v>
      </x:c>
      <x:c r="D1782" s="6" t="str">
        <x:v>67.89 m
From: Office 1.05
To: Server room 0.16
Ordered path (6 spaces): Office 1.05 → Office corridor 1.01 → Lift 1.03 → Lift 0.12 → Office corridor 0.10 → Server room 0.16
Closed: proc-factory-train-020-V01</x:v>
      </x:c>
      <x:c r="E1782" s="6" t="str">
        <x:v>Reference supplied</x:v>
      </x:c>
      <x:c r="F1782" s="6" t="str">
        <x:v>train</x:v>
      </x:c>
      <x:c r="G1782" s="6" t="str">
        <x:v>proc-factory-train-020</x:v>
      </x:c>
      <x:c r="H1782" s="6" t="str">
        <x:v>proc-factory-train-020-Q09</x:v>
      </x:c>
      <x:c r="I1782" s="6" t="str">
        <x:v>Route planning</x:v>
      </x:c>
      <x:c r="J1782" s="6" t="str">
        <x:v>Warm-up</x:v>
      </x:c>
      <x:c r="K1782" s="6" t="str">
        <x:v>Alternative ordered path and metres, or an explicit no-route response.</x:v>
      </x:c>
      <x:c r="L1782" s="6" t="str">
        <x:v>T02, T05, T12, T13</x:v>
      </x:c>
      <x:c r="M1782" s="6" t="str">
        <x:v>Reroute while a named lift, staircase, door or room is closed.</x:v>
      </x:c>
      <x:c r="N1782" s="6" t="str">
        <x:v>{"from_space_id":"proc-factory-train-020-F1-S005","to_space_id":"proc-factory-train-020-F0-S016","optimal_length_m":67.89,"space_path":["proc-factory-train-020-F1-S005","proc-factory-train-020-F1-S001","proc-factory-train-020-F1-S003","proc-factory-train-020-F0-S012","proc-factory-train-020-F0-S010","proc-factory-train-020-F0-S016"],"element_path":["proc-factory-train-020-F1-O0036","proc-factory-train-020-F1-O0036","proc-factory-train-020-F1-O0034","proc-factory-train-020-F1-O0034","proc-factory-train-020-V02","proc-factory-train-020-F0-O0016","proc-factory-train-020-F0-O0016","proc-factory-train-020-F0-O0021","proc-factory-train-020-F0-O0021"],"closed_element_id":"proc-factory-train-020-V01"}</x:v>
      </x:c>
      <x:c r="O1782" s="6"/>
      <x:c r="P1782" s="6" t="str">
        <x:v>Avoid named closed element: proc-factory-train-020-V01. May be unreachable.</x:v>
      </x:c>
      <x:c r="Q1782" s="15" t="n">
        <x:v>67.89</x:v>
      </x:c>
      <x:c r="R1782" s="6" t="str">
        <x:v>m</x:v>
      </x:c>
      <x:c r="S1782" s="16"/>
      <x:c r="T1782" s="15"/>
      <x:c r="U1782" s="6"/>
      <x:c r="V1782" s="6"/>
      <x:c r="W1782" s="6" t="str">
        <x:v>Existing set_closed followed by find_route. State reset is caller responsibility.</x:v>
      </x:c>
      <x:c r="X1782" s="6" t="str">
        <x:v>data/train/proc-factory-train-020/questions_basic.jsonl</x:v>
      </x:c>
      <x:c r="Y1782" s="14" t="n">
        <x:v>9</x:v>
      </x:c>
      <x:c r="Z1782" s="6" t="str">
        <x:v>https://github.com/hagenhaeussler/Industrial-Agents-Hackathon-2026/blob/f41616590b69f3ea0c1cbfb41d6c35edd9ce53df/data/train/proc-factory-train-020/questions_basic.jsonl#L9</x:v>
      </x:c>
      <x:c r="AA1782" s="6" t="str">
        <x:v>procedural</x:v>
      </x:c>
      <x:c r="AB1782" s="6" t="str">
        <x:v>CC0-1.0</x:v>
      </x:c>
    </x:row>
    <x:row r="1783" ht="72" customHeight="1">
      <x:c r="A1783" s="14" t="n">
        <x:v>1778</x:v>
      </x:c>
      <x:c r="B1783" s="6" t="str">
        <x:v>route_with_closure</x:v>
      </x:c>
      <x:c r="C1783" s="6" t="str">
        <x:v>Main staircase is closed for maintenance. How do I get from Living room 0.10 (apartment 2) (Ground floor) to Bathroom 1.16 (apartment 4) (Floor 1)?</x:v>
      </x:c>
      <x:c r="D1783" s="6" t="str">
        <x:v>No route under the requested constraints.
From: Living room 0.10 (apartment 2)
To: Bathroom 1.16 (apartment 4)
Closed: swiss-1075-V01</x:v>
      </x:c>
      <x:c r="E1783" s="6" t="str">
        <x:v>Reference supplied</x:v>
      </x:c>
      <x:c r="F1783" s="6" t="str">
        <x:v>train</x:v>
      </x:c>
      <x:c r="G1783" s="6" t="str">
        <x:v>swiss-1075</x:v>
      </x:c>
      <x:c r="H1783" s="6" t="str">
        <x:v>swiss-1075-Q09</x:v>
      </x:c>
      <x:c r="I1783" s="6" t="str">
        <x:v>Route planning</x:v>
      </x:c>
      <x:c r="J1783" s="6" t="str">
        <x:v>Warm-up</x:v>
      </x:c>
      <x:c r="K1783" s="6" t="str">
        <x:v>Alternative ordered path and metres, or an explicit no-route response.</x:v>
      </x:c>
      <x:c r="L1783" s="6" t="str">
        <x:v>T02, T05, T12, T13</x:v>
      </x:c>
      <x:c r="M1783" s="6" t="str">
        <x:v>Reroute while a named lift, staircase, door or room is closed.</x:v>
      </x:c>
      <x:c r="N1783" s="6" t="str">
        <x:v>{"from_space_id":"swiss-1075-F0-S010","to_space_id":"swiss-1075-F1-S016","reachable":false,"closed_element_id":"swiss-1075-V01"}</x:v>
      </x:c>
      <x:c r="O1783" s="6"/>
      <x:c r="P1783" s="6" t="str">
        <x:v>Avoid named closed element: swiss-1075-V01. May be unreachable.</x:v>
      </x:c>
      <x:c r="Q1783" s="15"/>
      <x:c r="R1783" s="6"/>
      <x:c r="S1783" s="16"/>
      <x:c r="T1783" s="15"/>
      <x:c r="U1783" s="6"/>
      <x:c r="V1783" s="6"/>
      <x:c r="W1783" s="6" t="str">
        <x:v>Existing set_closed followed by find_route. State reset is caller responsibility.</x:v>
      </x:c>
      <x:c r="X1783" s="6" t="str">
        <x:v>data/train/swiss-1075/questions_basic.jsonl</x:v>
      </x:c>
      <x:c r="Y1783" s="14" t="n">
        <x:v>9</x:v>
      </x:c>
      <x:c r="Z1783" s="6" t="str">
        <x:v>https://github.com/hagenhaeussler/Industrial-Agents-Hackathon-2026/blob/f41616590b69f3ea0c1cbfb41d6c35edd9ce53df/data/train/swiss-1075/questions_basic.jsonl#L9</x:v>
      </x:c>
      <x:c r="AA1783" s="6" t="str">
        <x:v>swiss_dwellings</x:v>
      </x:c>
      <x:c r="AB1783" s="6" t="str">
        <x:v>CC-BY-4.0</x:v>
      </x:c>
    </x:row>
    <x:row r="1784" ht="72" customHeight="1">
      <x:c r="A1784" s="14" t="n">
        <x:v>1779</x:v>
      </x:c>
      <x:c r="B1784" s="6" t="str">
        <x:v>route_with_closure</x:v>
      </x:c>
      <x:c r="C1784" s="6" t="str">
        <x:v>Main staircase is closed for maintenance. How do I get from Bathroom 4.18 (apartment 13) (Floor 4) to Living room 2.11 (apartment 6) (Floor 2)?</x:v>
      </x:c>
      <x:c r="D1784" s="6" t="str">
        <x:v>No route under the requested constraints.
From: Bathroom 4.18 (apartment 13)
To: Living room 2.11 (apartment 6)
Closed: swiss-1104-V01</x:v>
      </x:c>
      <x:c r="E1784" s="6" t="str">
        <x:v>Reference supplied</x:v>
      </x:c>
      <x:c r="F1784" s="6" t="str">
        <x:v>train</x:v>
      </x:c>
      <x:c r="G1784" s="6" t="str">
        <x:v>swiss-1104</x:v>
      </x:c>
      <x:c r="H1784" s="6" t="str">
        <x:v>swiss-1104-Q06</x:v>
      </x:c>
      <x:c r="I1784" s="6" t="str">
        <x:v>Route planning</x:v>
      </x:c>
      <x:c r="J1784" s="6" t="str">
        <x:v>Warm-up</x:v>
      </x:c>
      <x:c r="K1784" s="6" t="str">
        <x:v>Alternative ordered path and metres, or an explicit no-route response.</x:v>
      </x:c>
      <x:c r="L1784" s="6" t="str">
        <x:v>T02, T05, T12, T13</x:v>
      </x:c>
      <x:c r="M1784" s="6" t="str">
        <x:v>Reroute while a named lift, staircase, door or room is closed.</x:v>
      </x:c>
      <x:c r="N1784" s="6" t="str">
        <x:v>{"from_space_id":"swiss-1104-F4-S018","to_space_id":"swiss-1104-F2-S011","reachable":false,"closed_element_id":"swiss-1104-V01"}</x:v>
      </x:c>
      <x:c r="O1784" s="6"/>
      <x:c r="P1784" s="6" t="str">
        <x:v>Avoid named closed element: swiss-1104-V01. May be unreachable.</x:v>
      </x:c>
      <x:c r="Q1784" s="15"/>
      <x:c r="R1784" s="6"/>
      <x:c r="S1784" s="16"/>
      <x:c r="T1784" s="15"/>
      <x:c r="U1784" s="6"/>
      <x:c r="V1784" s="6"/>
      <x:c r="W1784" s="6" t="str">
        <x:v>Existing set_closed followed by find_route. State reset is caller responsibility.</x:v>
      </x:c>
      <x:c r="X1784" s="6" t="str">
        <x:v>data/train/swiss-1104/questions_basic.jsonl</x:v>
      </x:c>
      <x:c r="Y1784" s="14" t="n">
        <x:v>6</x:v>
      </x:c>
      <x:c r="Z1784" s="6" t="str">
        <x:v>https://github.com/hagenhaeussler/Industrial-Agents-Hackathon-2026/blob/f41616590b69f3ea0c1cbfb41d6c35edd9ce53df/data/train/swiss-1104/questions_basic.jsonl#L6</x:v>
      </x:c>
      <x:c r="AA1784" s="6" t="str">
        <x:v>swiss_dwellings</x:v>
      </x:c>
      <x:c r="AB1784" s="6" t="str">
        <x:v>CC-BY-4.0</x:v>
      </x:c>
    </x:row>
    <x:row r="1785" ht="138" customHeight="1">
      <x:c r="A1785" s="14" t="n">
        <x:v>1780</x:v>
      </x:c>
      <x:c r="B1785" s="6" t="str">
        <x:v>route_with_closure</x:v>
      </x:c>
      <x:c r="C1785" s="6" t="str">
        <x:v>Staircase 4 is closed for maintenance. How do I get from Living room 2.13 (apartment 12) (Floor 2) to Living room 2.19 (apartment 13) (Floor 2)?</x:v>
      </x:c>
      <x:c r="D1785" s="6" t="str">
        <x:v>69.71 m
From: Living room 2.13 (apartment 12)
To: Living room 2.19 (apartment 13)
Ordered path (12 spaces): Living room 2.13 (apartment 12) → Corridor 2.14 (apartment 12) → Landing 2.35 → Landing 2.36 → Landing 1.36 → Landing 0.37 → outside → Stair hall 0.35 → Stair hall 1.34 → Stair hall 2.34 → Corridor 2.18 (apartment 13) → Living room 2.19 (apartment 13)
Closed: swiss-1110-V05</x:v>
      </x:c>
      <x:c r="E1785" s="6" t="str">
        <x:v>Reference supplied</x:v>
      </x:c>
      <x:c r="F1785" s="6" t="str">
        <x:v>train</x:v>
      </x:c>
      <x:c r="G1785" s="6" t="str">
        <x:v>swiss-1110</x:v>
      </x:c>
      <x:c r="H1785" s="6" t="str">
        <x:v>swiss-1110-Q07</x:v>
      </x:c>
      <x:c r="I1785" s="6" t="str">
        <x:v>Route planning</x:v>
      </x:c>
      <x:c r="J1785" s="6" t="str">
        <x:v>Warm-up</x:v>
      </x:c>
      <x:c r="K1785" s="6" t="str">
        <x:v>Alternative ordered path and metres, or an explicit no-route response.</x:v>
      </x:c>
      <x:c r="L1785" s="6" t="str">
        <x:v>T02, T05, T12, T13</x:v>
      </x:c>
      <x:c r="M1785" s="6" t="str">
        <x:v>Reroute while a named lift, staircase, door or room is closed.</x:v>
      </x:c>
      <x:c r="N1785" s="6" t="str">
        <x:v>{"from_space_id":"swiss-1110-F2-S013","to_space_id":"swiss-1110-F2-S019","optimal_length_m":69.71,"space_path":["swiss-1110-F2-S013","swiss-1110-F2-S014","swiss-1110-F2-S035","swiss-1110-F2-S036","swiss-1110-F1-S036","swiss-1110-F0-S037","outside","swiss-1110-F0-S035","swiss-1110-F1-S034","swiss-1110-F2-S034","swiss-1110-F2-S018","swiss-1110-F2-S019"],"element_path":["swiss-1110-F2-O0091","swiss-1110-F2-O0091","swiss-1110-F2-O0084","swiss-1110-F2-O0084","swiss-1110-F2-O0079","swiss-1110-F2-O0079","swiss-1110-V06","swiss-1110-V04","swiss-1110-F0-O0207","swiss-1110-F0-O0207","swiss-1110-F0-O0205","swiss-1110-F0-O0205","swiss-1110-V01","swiss-1110-V01","swiss-1110-F2-O0096","swiss-1110-F2-O0096","swiss-1110-F2-O0093","swiss-1110-F2-O0093"],"closed_element_id":"swiss-1110-V05"}</x:v>
      </x:c>
      <x:c r="O1785" s="6"/>
      <x:c r="P1785" s="6" t="str">
        <x:v>Avoid named closed element: swiss-1110-V05. May be unreachable.</x:v>
      </x:c>
      <x:c r="Q1785" s="15" t="n">
        <x:v>69.71</x:v>
      </x:c>
      <x:c r="R1785" s="6" t="str">
        <x:v>m</x:v>
      </x:c>
      <x:c r="S1785" s="16"/>
      <x:c r="T1785" s="15"/>
      <x:c r="U1785" s="6"/>
      <x:c r="V1785" s="6"/>
      <x:c r="W1785" s="6" t="str">
        <x:v>Existing set_closed followed by find_route. State reset is caller responsibility.</x:v>
      </x:c>
      <x:c r="X1785" s="6" t="str">
        <x:v>data/train/swiss-1110/questions_basic.jsonl</x:v>
      </x:c>
      <x:c r="Y1785" s="14" t="n">
        <x:v>7</x:v>
      </x:c>
      <x:c r="Z1785" s="6" t="str">
        <x:v>https://github.com/hagenhaeussler/Industrial-Agents-Hackathon-2026/blob/f41616590b69f3ea0c1cbfb41d6c35edd9ce53df/data/train/swiss-1110/questions_basic.jsonl#L7</x:v>
      </x:c>
      <x:c r="AA1785" s="6" t="str">
        <x:v>swiss_dwellings</x:v>
      </x:c>
      <x:c r="AB1785" s="6" t="str">
        <x:v>CC-BY-4.0</x:v>
      </x:c>
    </x:row>
    <x:row r="1786" ht="72" customHeight="1">
      <x:c r="A1786" s="14" t="n">
        <x:v>1781</x:v>
      </x:c>
      <x:c r="B1786" s="6" t="str">
        <x:v>route_with_closure</x:v>
      </x:c>
      <x:c r="C1786" s="6" t="str">
        <x:v>Main staircase is closed for maintenance. How do I get from Bedroom 1.22 (apartment 9) (Floor 1) to Bedroom 2.17 (apartment 14) (Floor 2)?</x:v>
      </x:c>
      <x:c r="D1786" s="6" t="str">
        <x:v>No route under the requested constraints.
From: Bedroom 1.22 (apartment 9)
To: Bedroom 2.17 (apartment 14)
Closed: swiss-116-V01</x:v>
      </x:c>
      <x:c r="E1786" s="6" t="str">
        <x:v>Reference supplied</x:v>
      </x:c>
      <x:c r="F1786" s="6" t="str">
        <x:v>train</x:v>
      </x:c>
      <x:c r="G1786" s="6" t="str">
        <x:v>swiss-116</x:v>
      </x:c>
      <x:c r="H1786" s="6" t="str">
        <x:v>swiss-116-Q07</x:v>
      </x:c>
      <x:c r="I1786" s="6" t="str">
        <x:v>Route planning</x:v>
      </x:c>
      <x:c r="J1786" s="6" t="str">
        <x:v>Warm-up</x:v>
      </x:c>
      <x:c r="K1786" s="6" t="str">
        <x:v>Alternative ordered path and metres, or an explicit no-route response.</x:v>
      </x:c>
      <x:c r="L1786" s="6" t="str">
        <x:v>T02, T05, T12, T13</x:v>
      </x:c>
      <x:c r="M1786" s="6" t="str">
        <x:v>Reroute while a named lift, staircase, door or room is closed.</x:v>
      </x:c>
      <x:c r="N1786" s="6" t="str">
        <x:v>{"from_space_id":"swiss-116-F1-S022","to_space_id":"swiss-116-F2-S017","reachable":false,"closed_element_id":"swiss-116-V01"}</x:v>
      </x:c>
      <x:c r="O1786" s="6"/>
      <x:c r="P1786" s="6" t="str">
        <x:v>Avoid named closed element: swiss-116-V01. May be unreachable.</x:v>
      </x:c>
      <x:c r="Q1786" s="15"/>
      <x:c r="R1786" s="6"/>
      <x:c r="S1786" s="16"/>
      <x:c r="T1786" s="15"/>
      <x:c r="U1786" s="6"/>
      <x:c r="V1786" s="6"/>
      <x:c r="W1786" s="6" t="str">
        <x:v>Existing set_closed followed by find_route. State reset is caller responsibility.</x:v>
      </x:c>
      <x:c r="X1786" s="6" t="str">
        <x:v>data/train/swiss-116/questions_basic.jsonl</x:v>
      </x:c>
      <x:c r="Y1786" s="14" t="n">
        <x:v>7</x:v>
      </x:c>
      <x:c r="Z1786" s="6" t="str">
        <x:v>https://github.com/hagenhaeussler/Industrial-Agents-Hackathon-2026/blob/f41616590b69f3ea0c1cbfb41d6c35edd9ce53df/data/train/swiss-116/questions_basic.jsonl#L7</x:v>
      </x:c>
      <x:c r="AA1786" s="6" t="str">
        <x:v>swiss_dwellings</x:v>
      </x:c>
      <x:c r="AB1786" s="6" t="str">
        <x:v>CC-BY-4.0</x:v>
      </x:c>
    </x:row>
    <x:row r="1787" ht="72" customHeight="1">
      <x:c r="A1787" s="14" t="n">
        <x:v>1782</x:v>
      </x:c>
      <x:c r="B1787" s="6" t="str">
        <x:v>route_with_closure</x:v>
      </x:c>
      <x:c r="C1787" s="6" t="str">
        <x:v>Staircase 2 is closed for maintenance. How do I get from Bedroom 1.03 (apartment 5) (Floor 1) to Living room 1.13 (apartment 6) (Floor 1)?</x:v>
      </x:c>
      <x:c r="D1787" s="6" t="str">
        <x:v>No route under the requested constraints.
From: Bedroom 1.03 (apartment 5)
To: Living room 1.13 (apartment 6)
Closed: swiss-120-V02</x:v>
      </x:c>
      <x:c r="E1787" s="6" t="str">
        <x:v>Reference supplied</x:v>
      </x:c>
      <x:c r="F1787" s="6" t="str">
        <x:v>train</x:v>
      </x:c>
      <x:c r="G1787" s="6" t="str">
        <x:v>swiss-120</x:v>
      </x:c>
      <x:c r="H1787" s="6" t="str">
        <x:v>swiss-120-Q06</x:v>
      </x:c>
      <x:c r="I1787" s="6" t="str">
        <x:v>Route planning</x:v>
      </x:c>
      <x:c r="J1787" s="6" t="str">
        <x:v>Warm-up</x:v>
      </x:c>
      <x:c r="K1787" s="6" t="str">
        <x:v>Alternative ordered path and metres, or an explicit no-route response.</x:v>
      </x:c>
      <x:c r="L1787" s="6" t="str">
        <x:v>T02, T05, T12, T13</x:v>
      </x:c>
      <x:c r="M1787" s="6" t="str">
        <x:v>Reroute while a named lift, staircase, door or room is closed.</x:v>
      </x:c>
      <x:c r="N1787" s="6" t="str">
        <x:v>{"from_space_id":"swiss-120-F1-S003","to_space_id":"swiss-120-F1-S013","reachable":false,"closed_element_id":"swiss-120-V02"}</x:v>
      </x:c>
      <x:c r="O1787" s="6"/>
      <x:c r="P1787" s="6" t="str">
        <x:v>Avoid named closed element: swiss-120-V02. May be unreachable.</x:v>
      </x:c>
      <x:c r="Q1787" s="15"/>
      <x:c r="R1787" s="6"/>
      <x:c r="S1787" s="16"/>
      <x:c r="T1787" s="15"/>
      <x:c r="U1787" s="6"/>
      <x:c r="V1787" s="6"/>
      <x:c r="W1787" s="6" t="str">
        <x:v>Existing set_closed followed by find_route. State reset is caller responsibility.</x:v>
      </x:c>
      <x:c r="X1787" s="6" t="str">
        <x:v>data/train/swiss-120/questions_basic.jsonl</x:v>
      </x:c>
      <x:c r="Y1787" s="14" t="n">
        <x:v>6</x:v>
      </x:c>
      <x:c r="Z1787" s="6" t="str">
        <x:v>https://github.com/hagenhaeussler/Industrial-Agents-Hackathon-2026/blob/f41616590b69f3ea0c1cbfb41d6c35edd9ce53df/data/train/swiss-120/questions_basic.jsonl#L6</x:v>
      </x:c>
      <x:c r="AA1787" s="6" t="str">
        <x:v>swiss_dwellings</x:v>
      </x:c>
      <x:c r="AB1787" s="6" t="str">
        <x:v>CC-BY-4.0</x:v>
      </x:c>
    </x:row>
    <x:row r="1788" ht="72" customHeight="1">
      <x:c r="A1788" s="14" t="n">
        <x:v>1783</x:v>
      </x:c>
      <x:c r="B1788" s="6" t="str">
        <x:v>route_with_closure</x:v>
      </x:c>
      <x:c r="C1788" s="6" t="str">
        <x:v>Staircase 5 is closed for maintenance. How do I get from Bathroom 2.48 (apartment 26) (Floor 2) to Bedroom 1.25 (apartment 13) (Floor 1)?</x:v>
      </x:c>
      <x:c r="D1788" s="6" t="str">
        <x:v>No route under the requested constraints.
From: Bathroom 2.48 (apartment 26)
To: Bedroom 1.25 (apartment 13)
Closed: swiss-1224-V05</x:v>
      </x:c>
      <x:c r="E1788" s="6" t="str">
        <x:v>Reference supplied</x:v>
      </x:c>
      <x:c r="F1788" s="6" t="str">
        <x:v>train</x:v>
      </x:c>
      <x:c r="G1788" s="6" t="str">
        <x:v>swiss-1224</x:v>
      </x:c>
      <x:c r="H1788" s="6" t="str">
        <x:v>swiss-1224-Q06</x:v>
      </x:c>
      <x:c r="I1788" s="6" t="str">
        <x:v>Route planning</x:v>
      </x:c>
      <x:c r="J1788" s="6" t="str">
        <x:v>Warm-up</x:v>
      </x:c>
      <x:c r="K1788" s="6" t="str">
        <x:v>Alternative ordered path and metres, or an explicit no-route response.</x:v>
      </x:c>
      <x:c r="L1788" s="6" t="str">
        <x:v>T02, T05, T12, T13</x:v>
      </x:c>
      <x:c r="M1788" s="6" t="str">
        <x:v>Reroute while a named lift, staircase, door or room is closed.</x:v>
      </x:c>
      <x:c r="N1788" s="6" t="str">
        <x:v>{"from_space_id":"swiss-1224-F2-S048","to_space_id":"swiss-1224-F1-S025","reachable":false,"closed_element_id":"swiss-1224-V05"}</x:v>
      </x:c>
      <x:c r="O1788" s="6"/>
      <x:c r="P1788" s="6" t="str">
        <x:v>Avoid named closed element: swiss-1224-V05. May be unreachable.</x:v>
      </x:c>
      <x:c r="Q1788" s="15"/>
      <x:c r="R1788" s="6"/>
      <x:c r="S1788" s="16"/>
      <x:c r="T1788" s="15"/>
      <x:c r="U1788" s="6"/>
      <x:c r="V1788" s="6"/>
      <x:c r="W1788" s="6" t="str">
        <x:v>Existing set_closed followed by find_route. State reset is caller responsibility.</x:v>
      </x:c>
      <x:c r="X1788" s="6" t="str">
        <x:v>data/train/swiss-1224/questions_basic.jsonl</x:v>
      </x:c>
      <x:c r="Y1788" s="14" t="n">
        <x:v>6</x:v>
      </x:c>
      <x:c r="Z1788" s="6" t="str">
        <x:v>https://github.com/hagenhaeussler/Industrial-Agents-Hackathon-2026/blob/f41616590b69f3ea0c1cbfb41d6c35edd9ce53df/data/train/swiss-1224/questions_basic.jsonl#L6</x:v>
      </x:c>
      <x:c r="AA1788" s="6" t="str">
        <x:v>swiss_dwellings</x:v>
      </x:c>
      <x:c r="AB1788" s="6" t="str">
        <x:v>CC-BY-4.0</x:v>
      </x:c>
    </x:row>
    <x:row r="1789" ht="72" customHeight="1">
      <x:c r="A1789" s="14" t="n">
        <x:v>1784</x:v>
      </x:c>
      <x:c r="B1789" s="6" t="str">
        <x:v>route_with_closure</x:v>
      </x:c>
      <x:c r="C1789" s="6" t="str">
        <x:v>Main staircase is closed for maintenance. How do I get from Bedroom 0.01 (apartment 1) (Ground floor) to Bathroom 1.12 (apartment 3) (Floor 1)?</x:v>
      </x:c>
      <x:c r="D1789" s="6" t="str">
        <x:v>No route under the requested constraints.
From: Bedroom 0.01 (apartment 1)
To: Bathroom 1.12 (apartment 3)
Closed: swiss-1283-V01</x:v>
      </x:c>
      <x:c r="E1789" s="6" t="str">
        <x:v>Reference supplied</x:v>
      </x:c>
      <x:c r="F1789" s="6" t="str">
        <x:v>train</x:v>
      </x:c>
      <x:c r="G1789" s="6" t="str">
        <x:v>swiss-1283</x:v>
      </x:c>
      <x:c r="H1789" s="6" t="str">
        <x:v>swiss-1283-Q07</x:v>
      </x:c>
      <x:c r="I1789" s="6" t="str">
        <x:v>Route planning</x:v>
      </x:c>
      <x:c r="J1789" s="6" t="str">
        <x:v>Warm-up</x:v>
      </x:c>
      <x:c r="K1789" s="6" t="str">
        <x:v>Alternative ordered path and metres, or an explicit no-route response.</x:v>
      </x:c>
      <x:c r="L1789" s="6" t="str">
        <x:v>T02, T05, T12, T13</x:v>
      </x:c>
      <x:c r="M1789" s="6" t="str">
        <x:v>Reroute while a named lift, staircase, door or room is closed.</x:v>
      </x:c>
      <x:c r="N1789" s="6" t="str">
        <x:v>{"from_space_id":"swiss-1283-F0-S001","to_space_id":"swiss-1283-F1-S012","reachable":false,"closed_element_id":"swiss-1283-V01"}</x:v>
      </x:c>
      <x:c r="O1789" s="6"/>
      <x:c r="P1789" s="6" t="str">
        <x:v>Avoid named closed element: swiss-1283-V01. May be unreachable.</x:v>
      </x:c>
      <x:c r="Q1789" s="15"/>
      <x:c r="R1789" s="6"/>
      <x:c r="S1789" s="16"/>
      <x:c r="T1789" s="15"/>
      <x:c r="U1789" s="6"/>
      <x:c r="V1789" s="6"/>
      <x:c r="W1789" s="6" t="str">
        <x:v>Existing set_closed followed by find_route. State reset is caller responsibility.</x:v>
      </x:c>
      <x:c r="X1789" s="6" t="str">
        <x:v>data/train/swiss-1283/questions_basic.jsonl</x:v>
      </x:c>
      <x:c r="Y1789" s="14" t="n">
        <x:v>7</x:v>
      </x:c>
      <x:c r="Z1789" s="6" t="str">
        <x:v>https://github.com/hagenhaeussler/Industrial-Agents-Hackathon-2026/blob/f41616590b69f3ea0c1cbfb41d6c35edd9ce53df/data/train/swiss-1283/questions_basic.jsonl#L7</x:v>
      </x:c>
      <x:c r="AA1789" s="6" t="str">
        <x:v>swiss_dwellings</x:v>
      </x:c>
      <x:c r="AB1789" s="6" t="str">
        <x:v>CC-BY-4.0</x:v>
      </x:c>
    </x:row>
    <x:row r="1790" ht="138" customHeight="1">
      <x:c r="A1790" s="14" t="n">
        <x:v>1785</x:v>
      </x:c>
      <x:c r="B1790" s="6" t="str">
        <x:v>route_with_closure</x:v>
      </x:c>
      <x:c r="C1790" s="6" t="str">
        <x:v>Main staircase is closed for maintenance. How do I get from Bedroom 0.05 (apartment 1) (Ground floor) to Bedroom 2.12 (apartment 6) (Floor 2)?</x:v>
      </x:c>
      <x:c r="D1790" s="6" t="str">
        <x:v>46.67 m
From: Bedroom 0.05 (apartment 1)
To: Bedroom 2.12 (apartment 6)
Ordered path (11 spaces): Bedroom 0.05 (apartment 1) → Bedroom 0.01 (apartment 1) → Corridor 0.04 (apartment 1) → Landing 0.16 → outside → Landing 0.17 → Landing 1.16 → Landing 2.16 → Landing 2.17 → Corridor 2.15 (apartment 6) → Bedroom 2.12 (apartment 6)
Closed: swiss-1355-V01</x:v>
      </x:c>
      <x:c r="E1790" s="6" t="str">
        <x:v>Reference supplied</x:v>
      </x:c>
      <x:c r="F1790" s="6" t="str">
        <x:v>train</x:v>
      </x:c>
      <x:c r="G1790" s="6" t="str">
        <x:v>swiss-1355</x:v>
      </x:c>
      <x:c r="H1790" s="6" t="str">
        <x:v>swiss-1355-Q06</x:v>
      </x:c>
      <x:c r="I1790" s="6" t="str">
        <x:v>Route planning</x:v>
      </x:c>
      <x:c r="J1790" s="6" t="str">
        <x:v>Warm-up</x:v>
      </x:c>
      <x:c r="K1790" s="6" t="str">
        <x:v>Alternative ordered path and metres, or an explicit no-route response.</x:v>
      </x:c>
      <x:c r="L1790" s="6" t="str">
        <x:v>T02, T05, T12, T13</x:v>
      </x:c>
      <x:c r="M1790" s="6" t="str">
        <x:v>Reroute while a named lift, staircase, door or room is closed.</x:v>
      </x:c>
      <x:c r="N1790" s="6" t="str">
        <x:v>{"from_space_id":"swiss-1355-F0-S005","to_space_id":"swiss-1355-F2-S012","optimal_length_m":46.67,"space_path":["swiss-1355-F0-S005","swiss-1355-F0-S001","swiss-1355-F0-S004","swiss-1355-F0-S016","outside","swiss-1355-F0-S017","swiss-1355-F1-S016","swiss-1355-F2-S016","swiss-1355-F2-S017","swiss-1355-F2-S015","swiss-1355-F2-S012"],"element_path":["swiss-1355-F0-O0005","swiss-1355-F0-O0005","swiss-1355-F0-O0003","swiss-1355-F0-O0003","swiss-1355-F0-O0007","swiss-1355-F0-O0007","swiss-1355-F0-O0049","swiss-1355-F0-O0049","swiss-1355-F0-O0050","swiss-1355-F0-O0050","swiss-1355-V02","swiss-1355-V03","swiss-1355-F2-O0033","swiss-1355-F2-O0033","swiss-1355-F2-O0048","swiss-1355-F2-O0048","swiss-1355-F2-O0041","swiss-1355-F2-O0041"],"closed_element_id":"swiss-1355-V01"}</x:v>
      </x:c>
      <x:c r="O1790" s="6"/>
      <x:c r="P1790" s="6" t="str">
        <x:v>Avoid named closed element: swiss-1355-V01. May be unreachable.</x:v>
      </x:c>
      <x:c r="Q1790" s="15" t="n">
        <x:v>46.67</x:v>
      </x:c>
      <x:c r="R1790" s="6" t="str">
        <x:v>m</x:v>
      </x:c>
      <x:c r="S1790" s="16"/>
      <x:c r="T1790" s="15"/>
      <x:c r="U1790" s="6"/>
      <x:c r="V1790" s="6"/>
      <x:c r="W1790" s="6" t="str">
        <x:v>Existing set_closed followed by find_route. State reset is caller responsibility.</x:v>
      </x:c>
      <x:c r="X1790" s="6" t="str">
        <x:v>data/train/swiss-1355/questions_basic.jsonl</x:v>
      </x:c>
      <x:c r="Y1790" s="14" t="n">
        <x:v>6</x:v>
      </x:c>
      <x:c r="Z1790" s="6" t="str">
        <x:v>https://github.com/hagenhaeussler/Industrial-Agents-Hackathon-2026/blob/f41616590b69f3ea0c1cbfb41d6c35edd9ce53df/data/train/swiss-1355/questions_basic.jsonl#L6</x:v>
      </x:c>
      <x:c r="AA1790" s="6" t="str">
        <x:v>swiss_dwellings</x:v>
      </x:c>
      <x:c r="AB1790" s="6" t="str">
        <x:v>CC-BY-4.0</x:v>
      </x:c>
    </x:row>
    <x:row r="1791" ht="124" customHeight="1">
      <x:c r="A1791" s="14" t="n">
        <x:v>1786</x:v>
      </x:c>
      <x:c r="B1791" s="6" t="str">
        <x:v>route_with_closure</x:v>
      </x:c>
      <x:c r="C1791" s="6" t="str">
        <x:v>Main staircase is closed for maintenance. How do I get from Kitchen 0.34 (apartment 4) (Ground floor) to Living room 1.15 (apartment 6) (Floor 1)?</x:v>
      </x:c>
      <x:c r="D1791" s="6" t="str">
        <x:v>31.7 m
From: Kitchen 0.34 (apartment 4)
To: Living room 1.15 (apartment 6)
Ordered path (10 spaces): Kitchen 0.34 (apartment 4) → Living room 0.32 (apartment 4) → Corridor 0.31 (apartment 4) → Landing 0.43 → outside → Landing 0.41 → Landing 1.40 → Landing 1.41 → Corridor 1.16 (apartment 6) → Living room 1.15 (apartment 6)
Closed: swiss-1390-V01</x:v>
      </x:c>
      <x:c r="E1791" s="6" t="str">
        <x:v>Reference supplied</x:v>
      </x:c>
      <x:c r="F1791" s="6" t="str">
        <x:v>train</x:v>
      </x:c>
      <x:c r="G1791" s="6" t="str">
        <x:v>swiss-1390</x:v>
      </x:c>
      <x:c r="H1791" s="6" t="str">
        <x:v>swiss-1390-Q07</x:v>
      </x:c>
      <x:c r="I1791" s="6" t="str">
        <x:v>Route planning</x:v>
      </x:c>
      <x:c r="J1791" s="6" t="str">
        <x:v>Warm-up</x:v>
      </x:c>
      <x:c r="K1791" s="6" t="str">
        <x:v>Alternative ordered path and metres, or an explicit no-route response.</x:v>
      </x:c>
      <x:c r="L1791" s="6" t="str">
        <x:v>T02, T05, T12, T13</x:v>
      </x:c>
      <x:c r="M1791" s="6" t="str">
        <x:v>Reroute while a named lift, staircase, door or room is closed.</x:v>
      </x:c>
      <x:c r="N1791" s="6" t="str">
        <x:v>{"from_space_id":"swiss-1390-F0-S034","to_space_id":"swiss-1390-F1-S015","optimal_length_m":31.7,"space_path":["swiss-1390-F0-S034","swiss-1390-F0-S032","swiss-1390-F0-S031","swiss-1390-F0-S043","outside","swiss-1390-F0-S041","swiss-1390-F1-S040","swiss-1390-F1-S041","swiss-1390-F1-S016","swiss-1390-F1-S015"],"element_path":["swiss-1390-F0-O0031","swiss-1390-F0-O0031","swiss-1390-F0-O0040","swiss-1390-F0-O0040","swiss-1390-F0-O0024","swiss-1390-F0-O0024","swiss-1390-F0-O0168","swiss-1390-F0-O0168","swiss-1390-F0-O0166","swiss-1390-F0-O0166","swiss-1390-V02","swiss-1390-F1-O0042","swiss-1390-F1-O0042","swiss-1390-F1-O0058","swiss-1390-F1-O0058","swiss-1390-F1-O0077","swiss-1390-F1-O0077"],"closed_element_id":"swiss-1390-V01"}</x:v>
      </x:c>
      <x:c r="O1791" s="6"/>
      <x:c r="P1791" s="6" t="str">
        <x:v>Avoid named closed element: swiss-1390-V01. May be unreachable.</x:v>
      </x:c>
      <x:c r="Q1791" s="15" t="n">
        <x:v>31.7</x:v>
      </x:c>
      <x:c r="R1791" s="6" t="str">
        <x:v>m</x:v>
      </x:c>
      <x:c r="S1791" s="16"/>
      <x:c r="T1791" s="15"/>
      <x:c r="U1791" s="6"/>
      <x:c r="V1791" s="6"/>
      <x:c r="W1791" s="6" t="str">
        <x:v>Existing set_closed followed by find_route. State reset is caller responsibility.</x:v>
      </x:c>
      <x:c r="X1791" s="6" t="str">
        <x:v>data/train/swiss-1390/questions_basic.jsonl</x:v>
      </x:c>
      <x:c r="Y1791" s="14" t="n">
        <x:v>7</x:v>
      </x:c>
      <x:c r="Z1791" s="6" t="str">
        <x:v>https://github.com/hagenhaeussler/Industrial-Agents-Hackathon-2026/blob/f41616590b69f3ea0c1cbfb41d6c35edd9ce53df/data/train/swiss-1390/questions_basic.jsonl#L7</x:v>
      </x:c>
      <x:c r="AA1791" s="6" t="str">
        <x:v>swiss_dwellings</x:v>
      </x:c>
      <x:c r="AB1791" s="6" t="str">
        <x:v>CC-BY-4.0</x:v>
      </x:c>
    </x:row>
    <x:row r="1792" ht="72" customHeight="1">
      <x:c r="A1792" s="14" t="n">
        <x:v>1787</x:v>
      </x:c>
      <x:c r="B1792" s="6" t="str">
        <x:v>route_with_closure</x:v>
      </x:c>
      <x:c r="C1792" s="6" t="str">
        <x:v>Main staircase is closed for maintenance. How do I get from Bathroom 1.10 (apartment 4) (Floor 1) to Bathroom 0.02 (apartment 1) (Ground floor)?</x:v>
      </x:c>
      <x:c r="D1792" s="6" t="str">
        <x:v>No route under the requested constraints.
From: Bathroom 1.10 (apartment 4)
To: Bathroom 0.02 (apartment 1)
Closed: swiss-1433-V01</x:v>
      </x:c>
      <x:c r="E1792" s="6" t="str">
        <x:v>Reference supplied</x:v>
      </x:c>
      <x:c r="F1792" s="6" t="str">
        <x:v>train</x:v>
      </x:c>
      <x:c r="G1792" s="6" t="str">
        <x:v>swiss-1433</x:v>
      </x:c>
      <x:c r="H1792" s="6" t="str">
        <x:v>swiss-1433-Q08</x:v>
      </x:c>
      <x:c r="I1792" s="6" t="str">
        <x:v>Route planning</x:v>
      </x:c>
      <x:c r="J1792" s="6" t="str">
        <x:v>Warm-up</x:v>
      </x:c>
      <x:c r="K1792" s="6" t="str">
        <x:v>Alternative ordered path and metres, or an explicit no-route response.</x:v>
      </x:c>
      <x:c r="L1792" s="6" t="str">
        <x:v>T02, T05, T12, T13</x:v>
      </x:c>
      <x:c r="M1792" s="6" t="str">
        <x:v>Reroute while a named lift, staircase, door or room is closed.</x:v>
      </x:c>
      <x:c r="N1792" s="6" t="str">
        <x:v>{"from_space_id":"swiss-1433-F1-S010","to_space_id":"swiss-1433-F0-S002","reachable":false,"closed_element_id":"swiss-1433-V01"}</x:v>
      </x:c>
      <x:c r="O1792" s="6"/>
      <x:c r="P1792" s="6" t="str">
        <x:v>Avoid named closed element: swiss-1433-V01. May be unreachable.</x:v>
      </x:c>
      <x:c r="Q1792" s="15"/>
      <x:c r="R1792" s="6"/>
      <x:c r="S1792" s="16"/>
      <x:c r="T1792" s="15"/>
      <x:c r="U1792" s="6"/>
      <x:c r="V1792" s="6"/>
      <x:c r="W1792" s="6" t="str">
        <x:v>Existing set_closed followed by find_route. State reset is caller responsibility.</x:v>
      </x:c>
      <x:c r="X1792" s="6" t="str">
        <x:v>data/train/swiss-1433/questions_basic.jsonl</x:v>
      </x:c>
      <x:c r="Y1792" s="14" t="n">
        <x:v>8</x:v>
      </x:c>
      <x:c r="Z1792" s="6" t="str">
        <x:v>https://github.com/hagenhaeussler/Industrial-Agents-Hackathon-2026/blob/f41616590b69f3ea0c1cbfb41d6c35edd9ce53df/data/train/swiss-1433/questions_basic.jsonl#L8</x:v>
      </x:c>
      <x:c r="AA1792" s="6" t="str">
        <x:v>swiss_dwellings</x:v>
      </x:c>
      <x:c r="AB1792" s="6" t="str">
        <x:v>CC-BY-4.0</x:v>
      </x:c>
    </x:row>
    <x:row r="1793" ht="138" customHeight="1">
      <x:c r="A1793" s="14" t="n">
        <x:v>1788</x:v>
      </x:c>
      <x:c r="B1793" s="6" t="str">
        <x:v>route_with_closure</x:v>
      </x:c>
      <x:c r="C1793" s="6" t="str">
        <x:v>Staircase 4 is closed for maintenance. How do I get from Bedroom 0.21 (apartment 2) (Ground floor) to Bedroom 1.44 (apartment 8) (Floor 1)?</x:v>
      </x:c>
      <x:c r="D1793" s="6" t="str">
        <x:v>40.56 m
From: Bedroom 0.21 (apartment 2)
To: Bedroom 1.44 (apartment 8)
Ordered path (11 spaces): Bedroom 0.21 (apartment 2) → Corridor 0.19 (apartment 2) → Landing 0.52 → outside → Landing 0.51 → Landing 1.53 → Landing 1.54 → Corridor 1.50 (apartment 8) → Bedroom 1.40 (apartment 8) → Corridor 1.49 (apartment 8) → Bedroom 1.44 (apartment 8)
Closed: swiss-1444-V04</x:v>
      </x:c>
      <x:c r="E1793" s="6" t="str">
        <x:v>Reference supplied</x:v>
      </x:c>
      <x:c r="F1793" s="6" t="str">
        <x:v>train</x:v>
      </x:c>
      <x:c r="G1793" s="6" t="str">
        <x:v>swiss-1444</x:v>
      </x:c>
      <x:c r="H1793" s="6" t="str">
        <x:v>swiss-1444-Q07</x:v>
      </x:c>
      <x:c r="I1793" s="6" t="str">
        <x:v>Route planning</x:v>
      </x:c>
      <x:c r="J1793" s="6" t="str">
        <x:v>Warm-up</x:v>
      </x:c>
      <x:c r="K1793" s="6" t="str">
        <x:v>Alternative ordered path and metres, or an explicit no-route response.</x:v>
      </x:c>
      <x:c r="L1793" s="6" t="str">
        <x:v>T02, T05, T12, T13</x:v>
      </x:c>
      <x:c r="M1793" s="6" t="str">
        <x:v>Reroute while a named lift, staircase, door or room is closed.</x:v>
      </x:c>
      <x:c r="N1793" s="6" t="str">
        <x:v>{"from_space_id":"swiss-1444-F0-S021","to_space_id":"swiss-1444-F1-S044","optimal_length_m":40.56,"space_path":["swiss-1444-F0-S021","swiss-1444-F0-S019","swiss-1444-F0-S052","outside","swiss-1444-F0-S051","swiss-1444-F1-S053","swiss-1444-F1-S054","swiss-1444-F1-S050","swiss-1444-F1-S040","swiss-1444-F1-S049","swiss-1444-F1-S044"],"element_path":["swiss-1444-F0-O0016","swiss-1444-F0-O0016","swiss-1444-F0-O0015","swiss-1444-F0-O0015","swiss-1444-F0-O0182","swiss-1444-F0-O0182","swiss-1444-F0-O0181","swiss-1444-F0-O0181","swiss-1444-V03","swiss-1444-F1-O0062","swiss-1444-F1-O0062","swiss-1444-F1-O0104","swiss-1444-F1-O0104","swiss-1444-F1-O0120","swiss-1444-F1-O0120","swiss-1444-F1-O0115","swiss-1444-F1-O0115","swiss-1444-F1-O0110","swiss-1444-F1-O0110"],"closed_element_id":"swiss-1444-V04"}</x:v>
      </x:c>
      <x:c r="O1793" s="6"/>
      <x:c r="P1793" s="6" t="str">
        <x:v>Avoid named closed element: swiss-1444-V04. May be unreachable.</x:v>
      </x:c>
      <x:c r="Q1793" s="15" t="n">
        <x:v>40.56</x:v>
      </x:c>
      <x:c r="R1793" s="6" t="str">
        <x:v>m</x:v>
      </x:c>
      <x:c r="S1793" s="16"/>
      <x:c r="T1793" s="15"/>
      <x:c r="U1793" s="6"/>
      <x:c r="V1793" s="6"/>
      <x:c r="W1793" s="6" t="str">
        <x:v>Existing set_closed followed by find_route. State reset is caller responsibility.</x:v>
      </x:c>
      <x:c r="X1793" s="6" t="str">
        <x:v>data/train/swiss-1444/questions_basic.jsonl</x:v>
      </x:c>
      <x:c r="Y1793" s="14" t="n">
        <x:v>7</x:v>
      </x:c>
      <x:c r="Z1793" s="6" t="str">
        <x:v>https://github.com/hagenhaeussler/Industrial-Agents-Hackathon-2026/blob/f41616590b69f3ea0c1cbfb41d6c35edd9ce53df/data/train/swiss-1444/questions_basic.jsonl#L7</x:v>
      </x:c>
      <x:c r="AA1793" s="6" t="str">
        <x:v>swiss_dwellings</x:v>
      </x:c>
      <x:c r="AB1793" s="6" t="str">
        <x:v>CC-BY-4.0</x:v>
      </x:c>
    </x:row>
    <x:row r="1794" ht="72" customHeight="1">
      <x:c r="A1794" s="14" t="n">
        <x:v>1789</x:v>
      </x:c>
      <x:c r="B1794" s="6" t="str">
        <x:v>route_with_closure</x:v>
      </x:c>
      <x:c r="C1794" s="6" t="str">
        <x:v>Main staircase is closed for maintenance. How do I get from Bathroom 3.05 (apartment 7) (Floor 3) to Living room 1.19 (apartment 4) (Floor 1)?</x:v>
      </x:c>
      <x:c r="D1794" s="6" t="str">
        <x:v>No route under the requested constraints.
From: Bathroom 3.05 (apartment 7)
To: Living room 1.19 (apartment 4)
Closed: swiss-1457-V01</x:v>
      </x:c>
      <x:c r="E1794" s="6" t="str">
        <x:v>Reference supplied</x:v>
      </x:c>
      <x:c r="F1794" s="6" t="str">
        <x:v>train</x:v>
      </x:c>
      <x:c r="G1794" s="6" t="str">
        <x:v>swiss-1457</x:v>
      </x:c>
      <x:c r="H1794" s="6" t="str">
        <x:v>swiss-1457-Q08</x:v>
      </x:c>
      <x:c r="I1794" s="6" t="str">
        <x:v>Route planning</x:v>
      </x:c>
      <x:c r="J1794" s="6" t="str">
        <x:v>Warm-up</x:v>
      </x:c>
      <x:c r="K1794" s="6" t="str">
        <x:v>Alternative ordered path and metres, or an explicit no-route response.</x:v>
      </x:c>
      <x:c r="L1794" s="6" t="str">
        <x:v>T02, T05, T12, T13</x:v>
      </x:c>
      <x:c r="M1794" s="6" t="str">
        <x:v>Reroute while a named lift, staircase, door or room is closed.</x:v>
      </x:c>
      <x:c r="N1794" s="6" t="str">
        <x:v>{"from_space_id":"swiss-1457-F3-S005","to_space_id":"swiss-1457-F1-S019","reachable":false,"closed_element_id":"swiss-1457-V01"}</x:v>
      </x:c>
      <x:c r="O1794" s="6"/>
      <x:c r="P1794" s="6" t="str">
        <x:v>Avoid named closed element: swiss-1457-V01. May be unreachable.</x:v>
      </x:c>
      <x:c r="Q1794" s="15"/>
      <x:c r="R1794" s="6"/>
      <x:c r="S1794" s="16"/>
      <x:c r="T1794" s="15"/>
      <x:c r="U1794" s="6"/>
      <x:c r="V1794" s="6"/>
      <x:c r="W1794" s="6" t="str">
        <x:v>Existing set_closed followed by find_route. State reset is caller responsibility.</x:v>
      </x:c>
      <x:c r="X1794" s="6" t="str">
        <x:v>data/train/swiss-1457/questions_basic.jsonl</x:v>
      </x:c>
      <x:c r="Y1794" s="14" t="n">
        <x:v>8</x:v>
      </x:c>
      <x:c r="Z1794" s="6" t="str">
        <x:v>https://github.com/hagenhaeussler/Industrial-Agents-Hackathon-2026/blob/f41616590b69f3ea0c1cbfb41d6c35edd9ce53df/data/train/swiss-1457/questions_basic.jsonl#L8</x:v>
      </x:c>
      <x:c r="AA1794" s="6" t="str">
        <x:v>swiss_dwellings</x:v>
      </x:c>
      <x:c r="AB1794" s="6" t="str">
        <x:v>CC-BY-4.0</x:v>
      </x:c>
    </x:row>
    <x:row r="1795" ht="72" customHeight="1">
      <x:c r="A1795" s="14" t="n">
        <x:v>1790</x:v>
      </x:c>
      <x:c r="B1795" s="6" t="str">
        <x:v>route_with_closure</x:v>
      </x:c>
      <x:c r="C1795" s="6" t="str">
        <x:v>Main staircase is closed for maintenance. How do I get from Bedroom 1.01 (apartment 3) (Floor 1) to Bedroom 2.10 (apartment 5) (Floor 2)?</x:v>
      </x:c>
      <x:c r="D1795" s="6" t="str">
        <x:v>No route under the requested constraints.
From: Bedroom 1.01 (apartment 3)
To: Bedroom 2.10 (apartment 5)
Closed: swiss-1463-V01</x:v>
      </x:c>
      <x:c r="E1795" s="6" t="str">
        <x:v>Reference supplied</x:v>
      </x:c>
      <x:c r="F1795" s="6" t="str">
        <x:v>train</x:v>
      </x:c>
      <x:c r="G1795" s="6" t="str">
        <x:v>swiss-1463</x:v>
      </x:c>
      <x:c r="H1795" s="6" t="str">
        <x:v>swiss-1463-Q07</x:v>
      </x:c>
      <x:c r="I1795" s="6" t="str">
        <x:v>Route planning</x:v>
      </x:c>
      <x:c r="J1795" s="6" t="str">
        <x:v>Warm-up</x:v>
      </x:c>
      <x:c r="K1795" s="6" t="str">
        <x:v>Alternative ordered path and metres, or an explicit no-route response.</x:v>
      </x:c>
      <x:c r="L1795" s="6" t="str">
        <x:v>T02, T05, T12, T13</x:v>
      </x:c>
      <x:c r="M1795" s="6" t="str">
        <x:v>Reroute while a named lift, staircase, door or room is closed.</x:v>
      </x:c>
      <x:c r="N1795" s="6" t="str">
        <x:v>{"from_space_id":"swiss-1463-F1-S001","to_space_id":"swiss-1463-F2-S010","reachable":false,"closed_element_id":"swiss-1463-V01"}</x:v>
      </x:c>
      <x:c r="O1795" s="6"/>
      <x:c r="P1795" s="6" t="str">
        <x:v>Avoid named closed element: swiss-1463-V01. May be unreachable.</x:v>
      </x:c>
      <x:c r="Q1795" s="15"/>
      <x:c r="R1795" s="6"/>
      <x:c r="S1795" s="16"/>
      <x:c r="T1795" s="15"/>
      <x:c r="U1795" s="6"/>
      <x:c r="V1795" s="6"/>
      <x:c r="W1795" s="6" t="str">
        <x:v>Existing set_closed followed by find_route. State reset is caller responsibility.</x:v>
      </x:c>
      <x:c r="X1795" s="6" t="str">
        <x:v>data/train/swiss-1463/questions_basic.jsonl</x:v>
      </x:c>
      <x:c r="Y1795" s="14" t="n">
        <x:v>7</x:v>
      </x:c>
      <x:c r="Z1795" s="6" t="str">
        <x:v>https://github.com/hagenhaeussler/Industrial-Agents-Hackathon-2026/blob/f41616590b69f3ea0c1cbfb41d6c35edd9ce53df/data/train/swiss-1463/questions_basic.jsonl#L7</x:v>
      </x:c>
      <x:c r="AA1795" s="6" t="str">
        <x:v>swiss_dwellings</x:v>
      </x:c>
      <x:c r="AB1795" s="6" t="str">
        <x:v>CC-BY-4.0</x:v>
      </x:c>
    </x:row>
    <x:row r="1796" ht="72" customHeight="1">
      <x:c r="A1796" s="14" t="n">
        <x:v>1791</x:v>
      </x:c>
      <x:c r="B1796" s="6" t="str">
        <x:v>route_with_closure</x:v>
      </x:c>
      <x:c r="C1796" s="6" t="str">
        <x:v>Main staircase is closed for maintenance. How do I get from Bedroom 1.18 (apartment 4) (Floor 1) to Living room 2.08 (apartment 5) (Floor 2)?</x:v>
      </x:c>
      <x:c r="D1796" s="6" t="str">
        <x:v>No route under the requested constraints.
From: Bedroom 1.18 (apartment 4)
To: Living room 2.08 (apartment 5)
Closed: swiss-1470-V01</x:v>
      </x:c>
      <x:c r="E1796" s="6" t="str">
        <x:v>Reference supplied</x:v>
      </x:c>
      <x:c r="F1796" s="6" t="str">
        <x:v>train</x:v>
      </x:c>
      <x:c r="G1796" s="6" t="str">
        <x:v>swiss-1470</x:v>
      </x:c>
      <x:c r="H1796" s="6" t="str">
        <x:v>swiss-1470-Q09</x:v>
      </x:c>
      <x:c r="I1796" s="6" t="str">
        <x:v>Route planning</x:v>
      </x:c>
      <x:c r="J1796" s="6" t="str">
        <x:v>Warm-up</x:v>
      </x:c>
      <x:c r="K1796" s="6" t="str">
        <x:v>Alternative ordered path and metres, or an explicit no-route response.</x:v>
      </x:c>
      <x:c r="L1796" s="6" t="str">
        <x:v>T02, T05, T12, T13</x:v>
      </x:c>
      <x:c r="M1796" s="6" t="str">
        <x:v>Reroute while a named lift, staircase, door or room is closed.</x:v>
      </x:c>
      <x:c r="N1796" s="6" t="str">
        <x:v>{"from_space_id":"swiss-1470-F1-S018","to_space_id":"swiss-1470-F2-S008","reachable":false,"closed_element_id":"swiss-1470-V01"}</x:v>
      </x:c>
      <x:c r="O1796" s="6"/>
      <x:c r="P1796" s="6" t="str">
        <x:v>Avoid named closed element: swiss-1470-V01. May be unreachable.</x:v>
      </x:c>
      <x:c r="Q1796" s="15"/>
      <x:c r="R1796" s="6"/>
      <x:c r="S1796" s="16"/>
      <x:c r="T1796" s="15"/>
      <x:c r="U1796" s="6"/>
      <x:c r="V1796" s="6"/>
      <x:c r="W1796" s="6" t="str">
        <x:v>Existing set_closed followed by find_route. State reset is caller responsibility.</x:v>
      </x:c>
      <x:c r="X1796" s="6" t="str">
        <x:v>data/train/swiss-1470/questions_basic.jsonl</x:v>
      </x:c>
      <x:c r="Y1796" s="14" t="n">
        <x:v>9</x:v>
      </x:c>
      <x:c r="Z1796" s="6" t="str">
        <x:v>https://github.com/hagenhaeussler/Industrial-Agents-Hackathon-2026/blob/f41616590b69f3ea0c1cbfb41d6c35edd9ce53df/data/train/swiss-1470/questions_basic.jsonl#L9</x:v>
      </x:c>
      <x:c r="AA1796" s="6" t="str">
        <x:v>swiss_dwellings</x:v>
      </x:c>
      <x:c r="AB1796" s="6" t="str">
        <x:v>CC-BY-4.0</x:v>
      </x:c>
    </x:row>
    <x:row r="1797" ht="72" customHeight="1">
      <x:c r="A1797" s="14" t="n">
        <x:v>1792</x:v>
      </x:c>
      <x:c r="B1797" s="6" t="str">
        <x:v>route_with_closure</x:v>
      </x:c>
      <x:c r="C1797" s="6" t="str">
        <x:v>Main staircase is closed for maintenance. How do I get from Bedroom 2.17 (apartment 6) (Floor 2) to Kitchen 0.04 (apartment 1) (Ground floor)?</x:v>
      </x:c>
      <x:c r="D1797" s="6" t="str">
        <x:v>No route under the requested constraints.
From: Bedroom 2.17 (apartment 6)
To: Kitchen 0.04 (apartment 1)
Closed: swiss-148-V01</x:v>
      </x:c>
      <x:c r="E1797" s="6" t="str">
        <x:v>Reference supplied</x:v>
      </x:c>
      <x:c r="F1797" s="6" t="str">
        <x:v>train</x:v>
      </x:c>
      <x:c r="G1797" s="6" t="str">
        <x:v>swiss-148</x:v>
      </x:c>
      <x:c r="H1797" s="6" t="str">
        <x:v>swiss-148-Q08</x:v>
      </x:c>
      <x:c r="I1797" s="6" t="str">
        <x:v>Route planning</x:v>
      </x:c>
      <x:c r="J1797" s="6" t="str">
        <x:v>Warm-up</x:v>
      </x:c>
      <x:c r="K1797" s="6" t="str">
        <x:v>Alternative ordered path and metres, or an explicit no-route response.</x:v>
      </x:c>
      <x:c r="L1797" s="6" t="str">
        <x:v>T02, T05, T12, T13</x:v>
      </x:c>
      <x:c r="M1797" s="6" t="str">
        <x:v>Reroute while a named lift, staircase, door or room is closed.</x:v>
      </x:c>
      <x:c r="N1797" s="6" t="str">
        <x:v>{"from_space_id":"swiss-148-F2-S017","to_space_id":"swiss-148-F0-S004","reachable":false,"closed_element_id":"swiss-148-V01"}</x:v>
      </x:c>
      <x:c r="O1797" s="6"/>
      <x:c r="P1797" s="6" t="str">
        <x:v>Avoid named closed element: swiss-148-V01. May be unreachable.</x:v>
      </x:c>
      <x:c r="Q1797" s="15"/>
      <x:c r="R1797" s="6"/>
      <x:c r="S1797" s="16"/>
      <x:c r="T1797" s="15"/>
      <x:c r="U1797" s="6"/>
      <x:c r="V1797" s="6"/>
      <x:c r="W1797" s="6" t="str">
        <x:v>Existing set_closed followed by find_route. State reset is caller responsibility.</x:v>
      </x:c>
      <x:c r="X1797" s="6" t="str">
        <x:v>data/train/swiss-148/questions_basic.jsonl</x:v>
      </x:c>
      <x:c r="Y1797" s="14" t="n">
        <x:v>8</x:v>
      </x:c>
      <x:c r="Z1797" s="6" t="str">
        <x:v>https://github.com/hagenhaeussler/Industrial-Agents-Hackathon-2026/blob/f41616590b69f3ea0c1cbfb41d6c35edd9ce53df/data/train/swiss-148/questions_basic.jsonl#L8</x:v>
      </x:c>
      <x:c r="AA1797" s="6" t="str">
        <x:v>swiss_dwellings</x:v>
      </x:c>
      <x:c r="AB1797" s="6" t="str">
        <x:v>CC-BY-4.0</x:v>
      </x:c>
    </x:row>
    <x:row r="1798" ht="124" customHeight="1">
      <x:c r="A1798" s="14" t="n">
        <x:v>1793</x:v>
      </x:c>
      <x:c r="B1798" s="6" t="str">
        <x:v>route_with_closure</x:v>
      </x:c>
      <x:c r="C1798" s="6" t="str">
        <x:v>Main staircase is closed for maintenance. How do I get from Bathroom 2.21 (apartment 11) (Floor 2) to Kitchen 0.21 (apartment 3) (Ground floor)?</x:v>
      </x:c>
      <x:c r="D1798" s="6" t="str">
        <x:v>39.16 m
From: Bathroom 2.21 (apartment 11)
To: Kitchen 0.21 (apartment 3)
Ordered path (9 spaces): Bathroom 2.21 (apartment 11) → Corridor 2.22 (apartment 11) → Landing 2.35 → Landing 2.33 → Landing 1.34 → Landing 0.35 → Corridor 0.20 (apartment 3) → Corridor 0.19 (apartment 3) → Kitchen 0.21 (apartment 3)
Closed: swiss-1543-V01</x:v>
      </x:c>
      <x:c r="E1798" s="6" t="str">
        <x:v>Reference supplied</x:v>
      </x:c>
      <x:c r="F1798" s="6" t="str">
        <x:v>train</x:v>
      </x:c>
      <x:c r="G1798" s="6" t="str">
        <x:v>swiss-1543</x:v>
      </x:c>
      <x:c r="H1798" s="6" t="str">
        <x:v>swiss-1543-Q07</x:v>
      </x:c>
      <x:c r="I1798" s="6" t="str">
        <x:v>Route planning</x:v>
      </x:c>
      <x:c r="J1798" s="6" t="str">
        <x:v>Warm-up</x:v>
      </x:c>
      <x:c r="K1798" s="6" t="str">
        <x:v>Alternative ordered path and metres, or an explicit no-route response.</x:v>
      </x:c>
      <x:c r="L1798" s="6" t="str">
        <x:v>T02, T05, T12, T13</x:v>
      </x:c>
      <x:c r="M1798" s="6" t="str">
        <x:v>Reroute while a named lift, staircase, door or room is closed.</x:v>
      </x:c>
      <x:c r="N1798" s="6" t="str">
        <x:v>{"from_space_id":"swiss-1543-F2-S021","to_space_id":"swiss-1543-F0-S021","optimal_length_m":39.16,"space_path":["swiss-1543-F2-S021","swiss-1543-F2-S022","swiss-1543-F2-S035","swiss-1543-F2-S033","swiss-1543-F1-S034","swiss-1543-F0-S035","swiss-1543-F0-S020","swiss-1543-F0-S019","swiss-1543-F0-S021"],"element_path":["swiss-1543-F2-O0087","swiss-1543-F2-O0087","swiss-1543-F2-O0092","swiss-1543-F2-O0092","swiss-1543-F2-O0069","swiss-1543-F2-O0069","swiss-1543-V05","swiss-1543-V03","swiss-1543-F0-O0021","swiss-1543-F0-O0021","swiss-1543-F0-O0025","swiss-1543-F0-O0025","swiss-1543-F0-O0020","swiss-1543-F0-O0020"],"closed_element_id":"swiss-1543-V01"}</x:v>
      </x:c>
      <x:c r="O1798" s="6"/>
      <x:c r="P1798" s="6" t="str">
        <x:v>Avoid named closed element: swiss-1543-V01. May be unreachable.</x:v>
      </x:c>
      <x:c r="Q1798" s="15" t="n">
        <x:v>39.16</x:v>
      </x:c>
      <x:c r="R1798" s="6" t="str">
        <x:v>m</x:v>
      </x:c>
      <x:c r="S1798" s="16"/>
      <x:c r="T1798" s="15"/>
      <x:c r="U1798" s="6"/>
      <x:c r="V1798" s="6"/>
      <x:c r="W1798" s="6" t="str">
        <x:v>Existing set_closed followed by find_route. State reset is caller responsibility.</x:v>
      </x:c>
      <x:c r="X1798" s="6" t="str">
        <x:v>data/train/swiss-1543/questions_basic.jsonl</x:v>
      </x:c>
      <x:c r="Y1798" s="14" t="n">
        <x:v>7</x:v>
      </x:c>
      <x:c r="Z1798" s="6" t="str">
        <x:v>https://github.com/hagenhaeussler/Industrial-Agents-Hackathon-2026/blob/f41616590b69f3ea0c1cbfb41d6c35edd9ce53df/data/train/swiss-1543/questions_basic.jsonl#L7</x:v>
      </x:c>
      <x:c r="AA1798" s="6" t="str">
        <x:v>swiss_dwellings</x:v>
      </x:c>
      <x:c r="AB1798" s="6" t="str">
        <x:v>CC-BY-4.0</x:v>
      </x:c>
    </x:row>
    <x:row r="1799" ht="110" customHeight="1">
      <x:c r="A1799" s="14" t="n">
        <x:v>1794</x:v>
      </x:c>
      <x:c r="B1799" s="6" t="str">
        <x:v>route_with_closure</x:v>
      </x:c>
      <x:c r="C1799" s="6" t="str">
        <x:v>Main staircase is closed for maintenance. How do I get from Bathroom -1.01 (apartment 1) (Basement 1) to Bedroom 0.01 (apartment 3) (Ground floor)?</x:v>
      </x:c>
      <x:c r="D1799" s="6" t="str">
        <x:v>37.96 m
From: Bathroom -1.01 (apartment 1)
To: Bedroom 0.01 (apartment 3)
Ordered path (6 spaces): Bathroom -1.01 (apartment 1) → Corridor -1.03 (apartment 1) → Landing -1.11 → Stair hall 0.11 → Corridor 0.03 (apartment 3) → Bedroom 0.01 (apartment 3)
Closed: swiss-15503-V01</x:v>
      </x:c>
      <x:c r="E1799" s="6" t="str">
        <x:v>Reference supplied</x:v>
      </x:c>
      <x:c r="F1799" s="6" t="str">
        <x:v>train</x:v>
      </x:c>
      <x:c r="G1799" s="6" t="str">
        <x:v>swiss-15503</x:v>
      </x:c>
      <x:c r="H1799" s="6" t="str">
        <x:v>swiss-15503-Q08</x:v>
      </x:c>
      <x:c r="I1799" s="6" t="str">
        <x:v>Route planning</x:v>
      </x:c>
      <x:c r="J1799" s="6" t="str">
        <x:v>Warm-up</x:v>
      </x:c>
      <x:c r="K1799" s="6" t="str">
        <x:v>Alternative ordered path and metres, or an explicit no-route response.</x:v>
      </x:c>
      <x:c r="L1799" s="6" t="str">
        <x:v>T02, T05, T12, T13</x:v>
      </x:c>
      <x:c r="M1799" s="6" t="str">
        <x:v>Reroute while a named lift, staircase, door or room is closed.</x:v>
      </x:c>
      <x:c r="N1799" s="6" t="str">
        <x:v>{"from_space_id":"swiss-15503-F-1-S001","to_space_id":"swiss-15503-F0-S001","optimal_length_m":37.96,"space_path":["swiss-15503-F-1-S001","swiss-15503-F-1-S003","swiss-15503-F-1-S011","swiss-15503-F0-S011","swiss-15503-F0-S003","swiss-15503-F0-S001"],"element_path":["swiss-15503-F-1-O0002","swiss-15503-F-1-O0002","swiss-15503-F-1-O0003","swiss-15503-F-1-O0003","swiss-15503-V02","swiss-15503-F0-O0013","swiss-15503-F0-O0013","swiss-15503-F0-O0015","swiss-15503-F0-O0015"],"closed_element_id":"swiss-15503-V01"}</x:v>
      </x:c>
      <x:c r="O1799" s="6"/>
      <x:c r="P1799" s="6" t="str">
        <x:v>Avoid named closed element: swiss-15503-V01. May be unreachable.</x:v>
      </x:c>
      <x:c r="Q1799" s="15" t="n">
        <x:v>37.96</x:v>
      </x:c>
      <x:c r="R1799" s="6" t="str">
        <x:v>m</x:v>
      </x:c>
      <x:c r="S1799" s="16"/>
      <x:c r="T1799" s="15"/>
      <x:c r="U1799" s="6"/>
      <x:c r="V1799" s="6"/>
      <x:c r="W1799" s="6" t="str">
        <x:v>Existing set_closed followed by find_route. State reset is caller responsibility.</x:v>
      </x:c>
      <x:c r="X1799" s="6" t="str">
        <x:v>data/train/swiss-15503/questions_basic.jsonl</x:v>
      </x:c>
      <x:c r="Y1799" s="14" t="n">
        <x:v>8</x:v>
      </x:c>
      <x:c r="Z1799" s="6" t="str">
        <x:v>https://github.com/hagenhaeussler/Industrial-Agents-Hackathon-2026/blob/f41616590b69f3ea0c1cbfb41d6c35edd9ce53df/data/train/swiss-15503/questions_basic.jsonl#L8</x:v>
      </x:c>
      <x:c r="AA1799" s="6" t="str">
        <x:v>swiss_dwellings</x:v>
      </x:c>
      <x:c r="AB1799" s="6" t="str">
        <x:v>CC-BY-4.0</x:v>
      </x:c>
    </x:row>
    <x:row r="1800" ht="72" customHeight="1">
      <x:c r="A1800" s="14" t="n">
        <x:v>1795</x:v>
      </x:c>
      <x:c r="B1800" s="6" t="str">
        <x:v>route_with_closure</x:v>
      </x:c>
      <x:c r="C1800" s="6" t="str">
        <x:v>Main staircase is closed for maintenance. How do I get from Kitchen 2.29 (apartment 12) (Floor 2) to Bedroom 2.20 (apartment 11) (Floor 2)?</x:v>
      </x:c>
      <x:c r="D1800" s="6" t="str">
        <x:v>No route under the requested constraints.
From: Kitchen 2.29 (apartment 12)
To: Bedroom 2.20 (apartment 11)
Closed: swiss-1571-V01</x:v>
      </x:c>
      <x:c r="E1800" s="6" t="str">
        <x:v>Reference supplied</x:v>
      </x:c>
      <x:c r="F1800" s="6" t="str">
        <x:v>train</x:v>
      </x:c>
      <x:c r="G1800" s="6" t="str">
        <x:v>swiss-1571</x:v>
      </x:c>
      <x:c r="H1800" s="6" t="str">
        <x:v>swiss-1571-Q08</x:v>
      </x:c>
      <x:c r="I1800" s="6" t="str">
        <x:v>Route planning</x:v>
      </x:c>
      <x:c r="J1800" s="6" t="str">
        <x:v>Warm-up</x:v>
      </x:c>
      <x:c r="K1800" s="6" t="str">
        <x:v>Alternative ordered path and metres, or an explicit no-route response.</x:v>
      </x:c>
      <x:c r="L1800" s="6" t="str">
        <x:v>T02, T05, T12, T13</x:v>
      </x:c>
      <x:c r="M1800" s="6" t="str">
        <x:v>Reroute while a named lift, staircase, door or room is closed.</x:v>
      </x:c>
      <x:c r="N1800" s="6" t="str">
        <x:v>{"from_space_id":"swiss-1571-F2-S029","to_space_id":"swiss-1571-F2-S020","reachable":false,"closed_element_id":"swiss-1571-V01"}</x:v>
      </x:c>
      <x:c r="O1800" s="6"/>
      <x:c r="P1800" s="6" t="str">
        <x:v>Avoid named closed element: swiss-1571-V01. May be unreachable.</x:v>
      </x:c>
      <x:c r="Q1800" s="15"/>
      <x:c r="R1800" s="6"/>
      <x:c r="S1800" s="16"/>
      <x:c r="T1800" s="15"/>
      <x:c r="U1800" s="6"/>
      <x:c r="V1800" s="6"/>
      <x:c r="W1800" s="6" t="str">
        <x:v>Existing set_closed followed by find_route. State reset is caller responsibility.</x:v>
      </x:c>
      <x:c r="X1800" s="6" t="str">
        <x:v>data/train/swiss-1571/questions_basic.jsonl</x:v>
      </x:c>
      <x:c r="Y1800" s="14" t="n">
        <x:v>8</x:v>
      </x:c>
      <x:c r="Z1800" s="6" t="str">
        <x:v>https://github.com/hagenhaeussler/Industrial-Agents-Hackathon-2026/blob/f41616590b69f3ea0c1cbfb41d6c35edd9ce53df/data/train/swiss-1571/questions_basic.jsonl#L8</x:v>
      </x:c>
      <x:c r="AA1800" s="6" t="str">
        <x:v>swiss_dwellings</x:v>
      </x:c>
      <x:c r="AB1800" s="6" t="str">
        <x:v>CC-BY-4.0</x:v>
      </x:c>
    </x:row>
    <x:row r="1801" ht="72" customHeight="1">
      <x:c r="A1801" s="14" t="n">
        <x:v>1796</x:v>
      </x:c>
      <x:c r="B1801" s="6" t="str">
        <x:v>route_with_closure</x:v>
      </x:c>
      <x:c r="C1801" s="6" t="str">
        <x:v>Main staircase is closed for maintenance. How do I get from Living room 1.03 (apartment 2) (Floor 1) to Bedroom 2.02 (apartment 3) (Floor 2)?</x:v>
      </x:c>
      <x:c r="D1801" s="6" t="str">
        <x:v>No route under the requested constraints.
From: Living room 1.03 (apartment 2)
To: Bedroom 2.02 (apartment 3)
Closed: swiss-16357-V01</x:v>
      </x:c>
      <x:c r="E1801" s="6" t="str">
        <x:v>Reference supplied</x:v>
      </x:c>
      <x:c r="F1801" s="6" t="str">
        <x:v>train</x:v>
      </x:c>
      <x:c r="G1801" s="6" t="str">
        <x:v>swiss-16357</x:v>
      </x:c>
      <x:c r="H1801" s="6" t="str">
        <x:v>swiss-16357-Q09</x:v>
      </x:c>
      <x:c r="I1801" s="6" t="str">
        <x:v>Route planning</x:v>
      </x:c>
      <x:c r="J1801" s="6" t="str">
        <x:v>Warm-up</x:v>
      </x:c>
      <x:c r="K1801" s="6" t="str">
        <x:v>Alternative ordered path and metres, or an explicit no-route response.</x:v>
      </x:c>
      <x:c r="L1801" s="6" t="str">
        <x:v>T02, T05, T12, T13</x:v>
      </x:c>
      <x:c r="M1801" s="6" t="str">
        <x:v>Reroute while a named lift, staircase, door or room is closed.</x:v>
      </x:c>
      <x:c r="N1801" s="6" t="str">
        <x:v>{"from_space_id":"swiss-16357-F1-S003","to_space_id":"swiss-16357-F2-S002","reachable":false,"closed_element_id":"swiss-16357-V01"}</x:v>
      </x:c>
      <x:c r="O1801" s="6"/>
      <x:c r="P1801" s="6" t="str">
        <x:v>Avoid named closed element: swiss-16357-V01. May be unreachable.</x:v>
      </x:c>
      <x:c r="Q1801" s="15"/>
      <x:c r="R1801" s="6"/>
      <x:c r="S1801" s="16"/>
      <x:c r="T1801" s="15"/>
      <x:c r="U1801" s="6"/>
      <x:c r="V1801" s="6"/>
      <x:c r="W1801" s="6" t="str">
        <x:v>Existing set_closed followed by find_route. State reset is caller responsibility.</x:v>
      </x:c>
      <x:c r="X1801" s="6" t="str">
        <x:v>data/train/swiss-16357/questions_basic.jsonl</x:v>
      </x:c>
      <x:c r="Y1801" s="14" t="n">
        <x:v>9</x:v>
      </x:c>
      <x:c r="Z1801" s="6" t="str">
        <x:v>https://github.com/hagenhaeussler/Industrial-Agents-Hackathon-2026/blob/f41616590b69f3ea0c1cbfb41d6c35edd9ce53df/data/train/swiss-16357/questions_basic.jsonl#L9</x:v>
      </x:c>
      <x:c r="AA1801" s="6" t="str">
        <x:v>swiss_dwellings</x:v>
      </x:c>
      <x:c r="AB1801" s="6" t="str">
        <x:v>CC-BY-4.0</x:v>
      </x:c>
    </x:row>
    <x:row r="1802" ht="110" customHeight="1">
      <x:c r="A1802" s="14" t="n">
        <x:v>1797</x:v>
      </x:c>
      <x:c r="B1802" s="6" t="str">
        <x:v>route_with_closure</x:v>
      </x:c>
      <x:c r="C1802" s="6" t="str">
        <x:v>Main staircase is closed for maintenance. How do I get from Living room 3.26 (apartment 7) (Floor 3) to Living room 1.07 (apartment 2) (Floor 1)?</x:v>
      </x:c>
      <x:c r="D1802" s="6" t="str">
        <x:v>70.75 m
From: Living room 3.26 (apartment 7)
To: Living room 1.07 (apartment 2)
Ordered path (7 spaces): Living room 3.26 (apartment 7) → Corridor 3.22 (apartment 7) → Stair hall 3.27 → Stair hall 2.26 → Stair hall 1.26 → Corridor 1.03 (apartment 2) → Living room 1.07 (apartment 2)
Closed: swiss-1650-V01</x:v>
      </x:c>
      <x:c r="E1802" s="6" t="str">
        <x:v>Reference supplied</x:v>
      </x:c>
      <x:c r="F1802" s="6" t="str">
        <x:v>train</x:v>
      </x:c>
      <x:c r="G1802" s="6" t="str">
        <x:v>swiss-1650</x:v>
      </x:c>
      <x:c r="H1802" s="6" t="str">
        <x:v>swiss-1650-Q08</x:v>
      </x:c>
      <x:c r="I1802" s="6" t="str">
        <x:v>Route planning</x:v>
      </x:c>
      <x:c r="J1802" s="6" t="str">
        <x:v>Warm-up</x:v>
      </x:c>
      <x:c r="K1802" s="6" t="str">
        <x:v>Alternative ordered path and metres, or an explicit no-route response.</x:v>
      </x:c>
      <x:c r="L1802" s="6" t="str">
        <x:v>T02, T05, T12, T13</x:v>
      </x:c>
      <x:c r="M1802" s="6" t="str">
        <x:v>Reroute while a named lift, staircase, door or room is closed.</x:v>
      </x:c>
      <x:c r="N1802" s="6" t="str">
        <x:v>{"from_space_id":"swiss-1650-F3-S026","to_space_id":"swiss-1650-F1-S007","optimal_length_m":70.75,"space_path":["swiss-1650-F3-S026","swiss-1650-F3-S022","swiss-1650-F3-S027","swiss-1650-F2-S026","swiss-1650-F1-S026","swiss-1650-F1-S003","swiss-1650-F1-S007"],"element_path":["swiss-1650-F3-O0101","swiss-1650-F3-O0101","swiss-1650-F3-O0098","swiss-1650-F3-O0098","swiss-1650-V02","swiss-1650-V02","swiss-1650-F1-O0022","swiss-1650-F1-O0022","swiss-1650-F1-O0017","swiss-1650-F1-O0017"],"closed_element_id":"swiss-1650-V01"}</x:v>
      </x:c>
      <x:c r="O1802" s="6"/>
      <x:c r="P1802" s="6" t="str">
        <x:v>Avoid named closed element: swiss-1650-V01. May be unreachable.</x:v>
      </x:c>
      <x:c r="Q1802" s="15" t="n">
        <x:v>70.75</x:v>
      </x:c>
      <x:c r="R1802" s="6" t="str">
        <x:v>m</x:v>
      </x:c>
      <x:c r="S1802" s="16"/>
      <x:c r="T1802" s="15"/>
      <x:c r="U1802" s="6"/>
      <x:c r="V1802" s="6"/>
      <x:c r="W1802" s="6" t="str">
        <x:v>Existing set_closed followed by find_route. State reset is caller responsibility.</x:v>
      </x:c>
      <x:c r="X1802" s="6" t="str">
        <x:v>data/train/swiss-1650/questions_basic.jsonl</x:v>
      </x:c>
      <x:c r="Y1802" s="14" t="n">
        <x:v>8</x:v>
      </x:c>
      <x:c r="Z1802" s="6" t="str">
        <x:v>https://github.com/hagenhaeussler/Industrial-Agents-Hackathon-2026/blob/f41616590b69f3ea0c1cbfb41d6c35edd9ce53df/data/train/swiss-1650/questions_basic.jsonl#L8</x:v>
      </x:c>
      <x:c r="AA1802" s="6" t="str">
        <x:v>swiss_dwellings</x:v>
      </x:c>
      <x:c r="AB1802" s="6" t="str">
        <x:v>CC-BY-4.0</x:v>
      </x:c>
    </x:row>
    <x:row r="1803" ht="72" customHeight="1">
      <x:c r="A1803" s="14" t="n">
        <x:v>1798</x:v>
      </x:c>
      <x:c r="B1803" s="6" t="str">
        <x:v>route_with_closure</x:v>
      </x:c>
      <x:c r="C1803" s="6" t="str">
        <x:v>Main staircase is closed for maintenance. How do I get from Bathroom 1.14 (apartment 4) (Floor 1) to Bathroom 4.12 (apartment 13) (Floor 4)?</x:v>
      </x:c>
      <x:c r="D1803" s="6" t="str">
        <x:v>No route under the requested constraints.
From: Bathroom 1.14 (apartment 4)
To: Bathroom 4.12 (apartment 13)
Closed: swiss-18196-V01</x:v>
      </x:c>
      <x:c r="E1803" s="6" t="str">
        <x:v>Reference supplied</x:v>
      </x:c>
      <x:c r="F1803" s="6" t="str">
        <x:v>train</x:v>
      </x:c>
      <x:c r="G1803" s="6" t="str">
        <x:v>swiss-18196</x:v>
      </x:c>
      <x:c r="H1803" s="6" t="str">
        <x:v>swiss-18196-Q08</x:v>
      </x:c>
      <x:c r="I1803" s="6" t="str">
        <x:v>Route planning</x:v>
      </x:c>
      <x:c r="J1803" s="6" t="str">
        <x:v>Warm-up</x:v>
      </x:c>
      <x:c r="K1803" s="6" t="str">
        <x:v>Alternative ordered path and metres, or an explicit no-route response.</x:v>
      </x:c>
      <x:c r="L1803" s="6" t="str">
        <x:v>T02, T05, T12, T13</x:v>
      </x:c>
      <x:c r="M1803" s="6" t="str">
        <x:v>Reroute while a named lift, staircase, door or room is closed.</x:v>
      </x:c>
      <x:c r="N1803" s="6" t="str">
        <x:v>{"from_space_id":"swiss-18196-F1-S014","to_space_id":"swiss-18196-F4-S012","reachable":false,"closed_element_id":"swiss-18196-V01"}</x:v>
      </x:c>
      <x:c r="O1803" s="6"/>
      <x:c r="P1803" s="6" t="str">
        <x:v>Avoid named closed element: swiss-18196-V01. May be unreachable.</x:v>
      </x:c>
      <x:c r="Q1803" s="15"/>
      <x:c r="R1803" s="6"/>
      <x:c r="S1803" s="16"/>
      <x:c r="T1803" s="15"/>
      <x:c r="U1803" s="6"/>
      <x:c r="V1803" s="6"/>
      <x:c r="W1803" s="6" t="str">
        <x:v>Existing set_closed followed by find_route. State reset is caller responsibility.</x:v>
      </x:c>
      <x:c r="X1803" s="6" t="str">
        <x:v>data/train/swiss-18196/questions_basic.jsonl</x:v>
      </x:c>
      <x:c r="Y1803" s="14" t="n">
        <x:v>8</x:v>
      </x:c>
      <x:c r="Z1803" s="6" t="str">
        <x:v>https://github.com/hagenhaeussler/Industrial-Agents-Hackathon-2026/blob/f41616590b69f3ea0c1cbfb41d6c35edd9ce53df/data/train/swiss-18196/questions_basic.jsonl#L8</x:v>
      </x:c>
      <x:c r="AA1803" s="6" t="str">
        <x:v>swiss_dwellings</x:v>
      </x:c>
      <x:c r="AB1803" s="6" t="str">
        <x:v>CC-BY-4.0</x:v>
      </x:c>
    </x:row>
    <x:row r="1804" ht="110" customHeight="1">
      <x:c r="A1804" s="14" t="n">
        <x:v>1799</x:v>
      </x:c>
      <x:c r="B1804" s="6" t="str">
        <x:v>route_with_closure</x:v>
      </x:c>
      <x:c r="C1804" s="6" t="str">
        <x:v>Main staircase is closed for maintenance. How do I get from Bathroom 4.08 (apartment 13) (Floor 4) to Bedroom 3.16 (apartment 11) (Floor 3)?</x:v>
      </x:c>
      <x:c r="D1804" s="6" t="str">
        <x:v>39.74 m
From: Bathroom 4.08 (apartment 13)
To: Bedroom 3.16 (apartment 11)
Ordered path (6 spaces): Bathroom 4.08 (apartment 13) → Corridor 4.01 (apartment 13) → Stair hall 4.23 → Stair hall 3.24 → Corridor 3.09 (apartment 11) → Bedroom 3.16 (apartment 11)
Closed: swiss-18256-V01</x:v>
      </x:c>
      <x:c r="E1804" s="6" t="str">
        <x:v>Reference supplied</x:v>
      </x:c>
      <x:c r="F1804" s="6" t="str">
        <x:v>train</x:v>
      </x:c>
      <x:c r="G1804" s="6" t="str">
        <x:v>swiss-18256</x:v>
      </x:c>
      <x:c r="H1804" s="6" t="str">
        <x:v>swiss-18256-Q08</x:v>
      </x:c>
      <x:c r="I1804" s="6" t="str">
        <x:v>Route planning</x:v>
      </x:c>
      <x:c r="J1804" s="6" t="str">
        <x:v>Warm-up</x:v>
      </x:c>
      <x:c r="K1804" s="6" t="str">
        <x:v>Alternative ordered path and metres, or an explicit no-route response.</x:v>
      </x:c>
      <x:c r="L1804" s="6" t="str">
        <x:v>T02, T05, T12, T13</x:v>
      </x:c>
      <x:c r="M1804" s="6" t="str">
        <x:v>Reroute while a named lift, staircase, door or room is closed.</x:v>
      </x:c>
      <x:c r="N1804" s="6" t="str">
        <x:v>{"from_space_id":"swiss-18256-F4-S008","to_space_id":"swiss-18256-F3-S016","optimal_length_m":39.74,"space_path":["swiss-18256-F4-S008","swiss-18256-F4-S001","swiss-18256-F4-S023","swiss-18256-F3-S024","swiss-18256-F3-S009","swiss-18256-F3-S016"],"element_path":["swiss-18256-F4-O0115","swiss-18256-F4-O0115","swiss-18256-F4-O0112","swiss-18256-F4-O0112","swiss-18256-V02","swiss-18256-F3-O0088","swiss-18256-F3-O0088","swiss-18256-F3-O0098","swiss-18256-F3-O0098"],"closed_element_id":"swiss-18256-V01"}</x:v>
      </x:c>
      <x:c r="O1804" s="6"/>
      <x:c r="P1804" s="6" t="str">
        <x:v>Avoid named closed element: swiss-18256-V01. May be unreachable.</x:v>
      </x:c>
      <x:c r="Q1804" s="15" t="n">
        <x:v>39.74</x:v>
      </x:c>
      <x:c r="R1804" s="6" t="str">
        <x:v>m</x:v>
      </x:c>
      <x:c r="S1804" s="16"/>
      <x:c r="T1804" s="15"/>
      <x:c r="U1804" s="6"/>
      <x:c r="V1804" s="6"/>
      <x:c r="W1804" s="6" t="str">
        <x:v>Existing set_closed followed by find_route. State reset is caller responsibility.</x:v>
      </x:c>
      <x:c r="X1804" s="6" t="str">
        <x:v>data/train/swiss-18256/questions_basic.jsonl</x:v>
      </x:c>
      <x:c r="Y1804" s="14" t="n">
        <x:v>8</x:v>
      </x:c>
      <x:c r="Z1804" s="6" t="str">
        <x:v>https://github.com/hagenhaeussler/Industrial-Agents-Hackathon-2026/blob/f41616590b69f3ea0c1cbfb41d6c35edd9ce53df/data/train/swiss-18256/questions_basic.jsonl#L8</x:v>
      </x:c>
      <x:c r="AA1804" s="6" t="str">
        <x:v>swiss_dwellings</x:v>
      </x:c>
      <x:c r="AB1804" s="6" t="str">
        <x:v>CC-BY-4.0</x:v>
      </x:c>
    </x:row>
    <x:row r="1805" ht="72" customHeight="1">
      <x:c r="A1805" s="14" t="n">
        <x:v>1800</x:v>
      </x:c>
      <x:c r="B1805" s="6" t="str">
        <x:v>route_with_closure</x:v>
      </x:c>
      <x:c r="C1805" s="6" t="str">
        <x:v>Main staircase is closed for maintenance. How do I get from Bedroom 2.03 (apartment 5) (Floor 2) to Bedroom 0.02 (apartment 1) (Ground floor)?</x:v>
      </x:c>
      <x:c r="D1805" s="6" t="str">
        <x:v>No route under the requested constraints.
From: Bedroom 2.03 (apartment 5)
To: Bedroom 0.02 (apartment 1)
Closed: swiss-18260-V01</x:v>
      </x:c>
      <x:c r="E1805" s="6" t="str">
        <x:v>Reference supplied</x:v>
      </x:c>
      <x:c r="F1805" s="6" t="str">
        <x:v>train</x:v>
      </x:c>
      <x:c r="G1805" s="6" t="str">
        <x:v>swiss-18260</x:v>
      </x:c>
      <x:c r="H1805" s="6" t="str">
        <x:v>swiss-18260-Q09</x:v>
      </x:c>
      <x:c r="I1805" s="6" t="str">
        <x:v>Route planning</x:v>
      </x:c>
      <x:c r="J1805" s="6" t="str">
        <x:v>Warm-up</x:v>
      </x:c>
      <x:c r="K1805" s="6" t="str">
        <x:v>Alternative ordered path and metres, or an explicit no-route response.</x:v>
      </x:c>
      <x:c r="L1805" s="6" t="str">
        <x:v>T02, T05, T12, T13</x:v>
      </x:c>
      <x:c r="M1805" s="6" t="str">
        <x:v>Reroute while a named lift, staircase, door or room is closed.</x:v>
      </x:c>
      <x:c r="N1805" s="6" t="str">
        <x:v>{"from_space_id":"swiss-18260-F2-S003","to_space_id":"swiss-18260-F0-S002","reachable":false,"closed_element_id":"swiss-18260-V01"}</x:v>
      </x:c>
      <x:c r="O1805" s="6"/>
      <x:c r="P1805" s="6" t="str">
        <x:v>Avoid named closed element: swiss-18260-V01. May be unreachable.</x:v>
      </x:c>
      <x:c r="Q1805" s="15"/>
      <x:c r="R1805" s="6"/>
      <x:c r="S1805" s="16"/>
      <x:c r="T1805" s="15"/>
      <x:c r="U1805" s="6"/>
      <x:c r="V1805" s="6"/>
      <x:c r="W1805" s="6" t="str">
        <x:v>Existing set_closed followed by find_route. State reset is caller responsibility.</x:v>
      </x:c>
      <x:c r="X1805" s="6" t="str">
        <x:v>data/train/swiss-18260/questions_basic.jsonl</x:v>
      </x:c>
      <x:c r="Y1805" s="14" t="n">
        <x:v>9</x:v>
      </x:c>
      <x:c r="Z1805" s="6" t="str">
        <x:v>https://github.com/hagenhaeussler/Industrial-Agents-Hackathon-2026/blob/f41616590b69f3ea0c1cbfb41d6c35edd9ce53df/data/train/swiss-18260/questions_basic.jsonl#L9</x:v>
      </x:c>
      <x:c r="AA1805" s="6" t="str">
        <x:v>swiss_dwellings</x:v>
      </x:c>
      <x:c r="AB1805" s="6" t="str">
        <x:v>CC-BY-4.0</x:v>
      </x:c>
    </x:row>
    <x:row r="1806" ht="72" customHeight="1">
      <x:c r="A1806" s="14" t="n">
        <x:v>1801</x:v>
      </x:c>
      <x:c r="B1806" s="6" t="str">
        <x:v>route_with_closure</x:v>
      </x:c>
      <x:c r="C1806" s="6" t="str">
        <x:v>Main staircase is closed for maintenance. How do I get from Bathroom 4.05 (apartment 9) (Floor 4) to Bathroom 1.07 (apartment 4) (Floor 1)?</x:v>
      </x:c>
      <x:c r="D1806" s="6" t="str">
        <x:v>No route under the requested constraints.
From: Bathroom 4.05 (apartment 9)
To: Bathroom 1.07 (apartment 4)
Closed: swiss-1828-V01</x:v>
      </x:c>
      <x:c r="E1806" s="6" t="str">
        <x:v>Reference supplied</x:v>
      </x:c>
      <x:c r="F1806" s="6" t="str">
        <x:v>train</x:v>
      </x:c>
      <x:c r="G1806" s="6" t="str">
        <x:v>swiss-1828</x:v>
      </x:c>
      <x:c r="H1806" s="6" t="str">
        <x:v>swiss-1828-Q08</x:v>
      </x:c>
      <x:c r="I1806" s="6" t="str">
        <x:v>Route planning</x:v>
      </x:c>
      <x:c r="J1806" s="6" t="str">
        <x:v>Warm-up</x:v>
      </x:c>
      <x:c r="K1806" s="6" t="str">
        <x:v>Alternative ordered path and metres, or an explicit no-route response.</x:v>
      </x:c>
      <x:c r="L1806" s="6" t="str">
        <x:v>T02, T05, T12, T13</x:v>
      </x:c>
      <x:c r="M1806" s="6" t="str">
        <x:v>Reroute while a named lift, staircase, door or room is closed.</x:v>
      </x:c>
      <x:c r="N1806" s="6" t="str">
        <x:v>{"from_space_id":"swiss-1828-F4-S005","to_space_id":"swiss-1828-F1-S007","reachable":false,"closed_element_id":"swiss-1828-V01"}</x:v>
      </x:c>
      <x:c r="O1806" s="6"/>
      <x:c r="P1806" s="6" t="str">
        <x:v>Avoid named closed element: swiss-1828-V01. May be unreachable.</x:v>
      </x:c>
      <x:c r="Q1806" s="15"/>
      <x:c r="R1806" s="6"/>
      <x:c r="S1806" s="16"/>
      <x:c r="T1806" s="15"/>
      <x:c r="U1806" s="6"/>
      <x:c r="V1806" s="6"/>
      <x:c r="W1806" s="6" t="str">
        <x:v>Existing set_closed followed by find_route. State reset is caller responsibility.</x:v>
      </x:c>
      <x:c r="X1806" s="6" t="str">
        <x:v>data/train/swiss-1828/questions_basic.jsonl</x:v>
      </x:c>
      <x:c r="Y1806" s="14" t="n">
        <x:v>8</x:v>
      </x:c>
      <x:c r="Z1806" s="6" t="str">
        <x:v>https://github.com/hagenhaeussler/Industrial-Agents-Hackathon-2026/blob/f41616590b69f3ea0c1cbfb41d6c35edd9ce53df/data/train/swiss-1828/questions_basic.jsonl#L8</x:v>
      </x:c>
      <x:c r="AA1806" s="6" t="str">
        <x:v>swiss_dwellings</x:v>
      </x:c>
      <x:c r="AB1806" s="6" t="str">
        <x:v>CC-BY-4.0</x:v>
      </x:c>
    </x:row>
    <x:row r="1807" ht="72" customHeight="1">
      <x:c r="A1807" s="14" t="n">
        <x:v>1802</x:v>
      </x:c>
      <x:c r="B1807" s="6" t="str">
        <x:v>route_with_closure</x:v>
      </x:c>
      <x:c r="C1807" s="6" t="str">
        <x:v>Main staircase is closed for maintenance. How do I get from Living room 4.05 (apartment 9) (Floor 4) to Bathroom 2.02 (apartment 5) (Floor 2)?</x:v>
      </x:c>
      <x:c r="D1807" s="6" t="str">
        <x:v>No route under the requested constraints.
From: Living room 4.05 (apartment 9)
To: Bathroom 2.02 (apartment 5)
Closed: swiss-1829-V01</x:v>
      </x:c>
      <x:c r="E1807" s="6" t="str">
        <x:v>Reference supplied</x:v>
      </x:c>
      <x:c r="F1807" s="6" t="str">
        <x:v>train</x:v>
      </x:c>
      <x:c r="G1807" s="6" t="str">
        <x:v>swiss-1829</x:v>
      </x:c>
      <x:c r="H1807" s="6" t="str">
        <x:v>swiss-1829-Q08</x:v>
      </x:c>
      <x:c r="I1807" s="6" t="str">
        <x:v>Route planning</x:v>
      </x:c>
      <x:c r="J1807" s="6" t="str">
        <x:v>Warm-up</x:v>
      </x:c>
      <x:c r="K1807" s="6" t="str">
        <x:v>Alternative ordered path and metres, or an explicit no-route response.</x:v>
      </x:c>
      <x:c r="L1807" s="6" t="str">
        <x:v>T02, T05, T12, T13</x:v>
      </x:c>
      <x:c r="M1807" s="6" t="str">
        <x:v>Reroute while a named lift, staircase, door or room is closed.</x:v>
      </x:c>
      <x:c r="N1807" s="6" t="str">
        <x:v>{"from_space_id":"swiss-1829-F4-S005","to_space_id":"swiss-1829-F2-S002","reachable":false,"closed_element_id":"swiss-1829-V01"}</x:v>
      </x:c>
      <x:c r="O1807" s="6"/>
      <x:c r="P1807" s="6" t="str">
        <x:v>Avoid named closed element: swiss-1829-V01. May be unreachable.</x:v>
      </x:c>
      <x:c r="Q1807" s="15"/>
      <x:c r="R1807" s="6"/>
      <x:c r="S1807" s="16"/>
      <x:c r="T1807" s="15"/>
      <x:c r="U1807" s="6"/>
      <x:c r="V1807" s="6"/>
      <x:c r="W1807" s="6" t="str">
        <x:v>Existing set_closed followed by find_route. State reset is caller responsibility.</x:v>
      </x:c>
      <x:c r="X1807" s="6" t="str">
        <x:v>data/train/swiss-1829/questions_basic.jsonl</x:v>
      </x:c>
      <x:c r="Y1807" s="14" t="n">
        <x:v>8</x:v>
      </x:c>
      <x:c r="Z1807" s="6" t="str">
        <x:v>https://github.com/hagenhaeussler/Industrial-Agents-Hackathon-2026/blob/f41616590b69f3ea0c1cbfb41d6c35edd9ce53df/data/train/swiss-1829/questions_basic.jsonl#L8</x:v>
      </x:c>
      <x:c r="AA1807" s="6" t="str">
        <x:v>swiss_dwellings</x:v>
      </x:c>
      <x:c r="AB1807" s="6" t="str">
        <x:v>CC-BY-4.0</x:v>
      </x:c>
    </x:row>
    <x:row r="1808" ht="110" customHeight="1">
      <x:c r="A1808" s="14" t="n">
        <x:v>1803</x:v>
      </x:c>
      <x:c r="B1808" s="6" t="str">
        <x:v>route_with_closure</x:v>
      </x:c>
      <x:c r="C1808" s="6" t="str">
        <x:v>Staircase 3 is closed for maintenance. How do I get from Bedroom 2.26 (apartment 10) (Floor 2) to Kitchen 1.08 (apartment 3) (Floor 1)?</x:v>
      </x:c>
      <x:c r="D1808" s="6" t="str">
        <x:v>25.11 m
From: Bedroom 2.26 (apartment 10)
To: Kitchen 1.08 (apartment 3)
Ordered path (7 spaces): Bedroom 2.26 (apartment 10) → Corridor 2.25 (apartment 10) → Landing 2.34 → Landing 1.34 → Landing 1.33 → Corridor 1.01 (apartment 3) → Kitchen 1.08 (apartment 3)
Closed: swiss-1860-V04</x:v>
      </x:c>
      <x:c r="E1808" s="6" t="str">
        <x:v>Reference supplied</x:v>
      </x:c>
      <x:c r="F1808" s="6" t="str">
        <x:v>train</x:v>
      </x:c>
      <x:c r="G1808" s="6" t="str">
        <x:v>swiss-1860</x:v>
      </x:c>
      <x:c r="H1808" s="6" t="str">
        <x:v>swiss-1860-Q06</x:v>
      </x:c>
      <x:c r="I1808" s="6" t="str">
        <x:v>Route planning</x:v>
      </x:c>
      <x:c r="J1808" s="6" t="str">
        <x:v>Warm-up</x:v>
      </x:c>
      <x:c r="K1808" s="6" t="str">
        <x:v>Alternative ordered path and metres, or an explicit no-route response.</x:v>
      </x:c>
      <x:c r="L1808" s="6" t="str">
        <x:v>T02, T05, T12, T13</x:v>
      </x:c>
      <x:c r="M1808" s="6" t="str">
        <x:v>Reroute while a named lift, staircase, door or room is closed.</x:v>
      </x:c>
      <x:c r="N1808" s="6" t="str">
        <x:v>{"from_space_id":"swiss-1860-F2-S026","to_space_id":"swiss-1860-F1-S008","optimal_length_m":25.11,"space_path":["swiss-1860-F2-S026","swiss-1860-F2-S025","swiss-1860-F2-S034","swiss-1860-F1-S034","swiss-1860-F1-S033","swiss-1860-F1-S001","swiss-1860-F1-S008"],"element_path":["swiss-1860-F2-O0075","swiss-1860-F2-O0075","swiss-1860-F2-O0076","swiss-1860-F2-O0076","swiss-1860-V01","swiss-1860-F1-O0016","swiss-1860-F1-O0016","swiss-1860-F1-O0017","swiss-1860-F1-O0017","swiss-1860-F1-O0026","swiss-1860-F1-O0026"],"closed_element_id":"swiss-1860-V04"}</x:v>
      </x:c>
      <x:c r="O1808" s="6"/>
      <x:c r="P1808" s="6" t="str">
        <x:v>Avoid named closed element: swiss-1860-V04. May be unreachable.</x:v>
      </x:c>
      <x:c r="Q1808" s="15" t="n">
        <x:v>25.11</x:v>
      </x:c>
      <x:c r="R1808" s="6" t="str">
        <x:v>m</x:v>
      </x:c>
      <x:c r="S1808" s="16"/>
      <x:c r="T1808" s="15"/>
      <x:c r="U1808" s="6"/>
      <x:c r="V1808" s="6"/>
      <x:c r="W1808" s="6" t="str">
        <x:v>Existing set_closed followed by find_route. State reset is caller responsibility.</x:v>
      </x:c>
      <x:c r="X1808" s="6" t="str">
        <x:v>data/train/swiss-1860/questions_basic.jsonl</x:v>
      </x:c>
      <x:c r="Y1808" s="14" t="n">
        <x:v>6</x:v>
      </x:c>
      <x:c r="Z1808" s="6" t="str">
        <x:v>https://github.com/hagenhaeussler/Industrial-Agents-Hackathon-2026/blob/f41616590b69f3ea0c1cbfb41d6c35edd9ce53df/data/train/swiss-1860/questions_basic.jsonl#L6</x:v>
      </x:c>
      <x:c r="AA1808" s="6" t="str">
        <x:v>swiss_dwellings</x:v>
      </x:c>
      <x:c r="AB1808" s="6" t="str">
        <x:v>CC-BY-4.0</x:v>
      </x:c>
    </x:row>
    <x:row r="1809" ht="72" customHeight="1">
      <x:c r="A1809" s="14" t="n">
        <x:v>1804</x:v>
      </x:c>
      <x:c r="B1809" s="6" t="str">
        <x:v>route_with_closure</x:v>
      </x:c>
      <x:c r="C1809" s="6" t="str">
        <x:v>Main staircase is closed for maintenance. How do I get from Bedroom 1.28 (apartment 8) (Floor 1) to Bathroom 0.10 (apartment 2) (Ground floor)?</x:v>
      </x:c>
      <x:c r="D1809" s="6" t="str">
        <x:v>No route under the requested constraints.
From: Bedroom 1.28 (apartment 8)
To: Bathroom 0.10 (apartment 2)
Closed: swiss-1883-V01</x:v>
      </x:c>
      <x:c r="E1809" s="6" t="str">
        <x:v>Reference supplied</x:v>
      </x:c>
      <x:c r="F1809" s="6" t="str">
        <x:v>train</x:v>
      </x:c>
      <x:c r="G1809" s="6" t="str">
        <x:v>swiss-1883</x:v>
      </x:c>
      <x:c r="H1809" s="6" t="str">
        <x:v>swiss-1883-Q06</x:v>
      </x:c>
      <x:c r="I1809" s="6" t="str">
        <x:v>Route planning</x:v>
      </x:c>
      <x:c r="J1809" s="6" t="str">
        <x:v>Warm-up</x:v>
      </x:c>
      <x:c r="K1809" s="6" t="str">
        <x:v>Alternative ordered path and metres, or an explicit no-route response.</x:v>
      </x:c>
      <x:c r="L1809" s="6" t="str">
        <x:v>T02, T05, T12, T13</x:v>
      </x:c>
      <x:c r="M1809" s="6" t="str">
        <x:v>Reroute while a named lift, staircase, door or room is closed.</x:v>
      </x:c>
      <x:c r="N1809" s="6" t="str">
        <x:v>{"from_space_id":"swiss-1883-F1-S028","to_space_id":"swiss-1883-F0-S010","reachable":false,"closed_element_id":"swiss-1883-V01"}</x:v>
      </x:c>
      <x:c r="O1809" s="6"/>
      <x:c r="P1809" s="6" t="str">
        <x:v>Avoid named closed element: swiss-1883-V01. May be unreachable.</x:v>
      </x:c>
      <x:c r="Q1809" s="15"/>
      <x:c r="R1809" s="6"/>
      <x:c r="S1809" s="16"/>
      <x:c r="T1809" s="15"/>
      <x:c r="U1809" s="6"/>
      <x:c r="V1809" s="6"/>
      <x:c r="W1809" s="6" t="str">
        <x:v>Existing set_closed followed by find_route. State reset is caller responsibility.</x:v>
      </x:c>
      <x:c r="X1809" s="6" t="str">
        <x:v>data/train/swiss-1883/questions_basic.jsonl</x:v>
      </x:c>
      <x:c r="Y1809" s="14" t="n">
        <x:v>6</x:v>
      </x:c>
      <x:c r="Z1809" s="6" t="str">
        <x:v>https://github.com/hagenhaeussler/Industrial-Agents-Hackathon-2026/blob/f41616590b69f3ea0c1cbfb41d6c35edd9ce53df/data/train/swiss-1883/questions_basic.jsonl#L6</x:v>
      </x:c>
      <x:c r="AA1809" s="6" t="str">
        <x:v>swiss_dwellings</x:v>
      </x:c>
      <x:c r="AB1809" s="6" t="str">
        <x:v>CC-BY-4.0</x:v>
      </x:c>
    </x:row>
    <x:row r="1810" ht="72" customHeight="1">
      <x:c r="A1810" s="14" t="n">
        <x:v>1805</x:v>
      </x:c>
      <x:c r="B1810" s="6" t="str">
        <x:v>route_with_closure</x:v>
      </x:c>
      <x:c r="C1810" s="6" t="str">
        <x:v>Main staircase is closed for maintenance. How do I get from Bedroom 0.31 (apartment 4) (Ground floor) to Bedroom 1.21 (apartment 7) (Floor 1)?</x:v>
      </x:c>
      <x:c r="D1810" s="6" t="str">
        <x:v>No route under the requested constraints.
From: Bedroom 0.31 (apartment 4)
To: Bedroom 1.21 (apartment 7)
Closed: swiss-1889-V01</x:v>
      </x:c>
      <x:c r="E1810" s="6" t="str">
        <x:v>Reference supplied</x:v>
      </x:c>
      <x:c r="F1810" s="6" t="str">
        <x:v>train</x:v>
      </x:c>
      <x:c r="G1810" s="6" t="str">
        <x:v>swiss-1889</x:v>
      </x:c>
      <x:c r="H1810" s="6" t="str">
        <x:v>swiss-1889-Q08</x:v>
      </x:c>
      <x:c r="I1810" s="6" t="str">
        <x:v>Route planning</x:v>
      </x:c>
      <x:c r="J1810" s="6" t="str">
        <x:v>Warm-up</x:v>
      </x:c>
      <x:c r="K1810" s="6" t="str">
        <x:v>Alternative ordered path and metres, or an explicit no-route response.</x:v>
      </x:c>
      <x:c r="L1810" s="6" t="str">
        <x:v>T02, T05, T12, T13</x:v>
      </x:c>
      <x:c r="M1810" s="6" t="str">
        <x:v>Reroute while a named lift, staircase, door or room is closed.</x:v>
      </x:c>
      <x:c r="N1810" s="6" t="str">
        <x:v>{"from_space_id":"swiss-1889-F0-S031","to_space_id":"swiss-1889-F1-S021","reachable":false,"closed_element_id":"swiss-1889-V01"}</x:v>
      </x:c>
      <x:c r="O1810" s="6"/>
      <x:c r="P1810" s="6" t="str">
        <x:v>Avoid named closed element: swiss-1889-V01. May be unreachable.</x:v>
      </x:c>
      <x:c r="Q1810" s="15"/>
      <x:c r="R1810" s="6"/>
      <x:c r="S1810" s="16"/>
      <x:c r="T1810" s="15"/>
      <x:c r="U1810" s="6"/>
      <x:c r="V1810" s="6"/>
      <x:c r="W1810" s="6" t="str">
        <x:v>Existing set_closed followed by find_route. State reset is caller responsibility.</x:v>
      </x:c>
      <x:c r="X1810" s="6" t="str">
        <x:v>data/train/swiss-1889/questions_basic.jsonl</x:v>
      </x:c>
      <x:c r="Y1810" s="14" t="n">
        <x:v>8</x:v>
      </x:c>
      <x:c r="Z1810" s="6" t="str">
        <x:v>https://github.com/hagenhaeussler/Industrial-Agents-Hackathon-2026/blob/f41616590b69f3ea0c1cbfb41d6c35edd9ce53df/data/train/swiss-1889/questions_basic.jsonl#L8</x:v>
      </x:c>
      <x:c r="AA1810" s="6" t="str">
        <x:v>swiss_dwellings</x:v>
      </x:c>
      <x:c r="AB1810" s="6" t="str">
        <x:v>CC-BY-4.0</x:v>
      </x:c>
    </x:row>
    <x:row r="1811" ht="72" customHeight="1">
      <x:c r="A1811" s="14" t="n">
        <x:v>1806</x:v>
      </x:c>
      <x:c r="B1811" s="6" t="str">
        <x:v>route_with_closure</x:v>
      </x:c>
      <x:c r="C1811" s="6" t="str">
        <x:v>Main staircase is closed for maintenance. How do I get from Bathroom 2.08 (apartment 8) (Floor 2) to Bedroom 1.07 (apartment 5) (Floor 1)?</x:v>
      </x:c>
      <x:c r="D1811" s="6" t="str">
        <x:v>No route under the requested constraints.
From: Bathroom 2.08 (apartment 8)
To: Bedroom 1.07 (apartment 5)
Closed: swiss-1898-V01</x:v>
      </x:c>
      <x:c r="E1811" s="6" t="str">
        <x:v>Reference supplied</x:v>
      </x:c>
      <x:c r="F1811" s="6" t="str">
        <x:v>train</x:v>
      </x:c>
      <x:c r="G1811" s="6" t="str">
        <x:v>swiss-1898</x:v>
      </x:c>
      <x:c r="H1811" s="6" t="str">
        <x:v>swiss-1898-Q08</x:v>
      </x:c>
      <x:c r="I1811" s="6" t="str">
        <x:v>Route planning</x:v>
      </x:c>
      <x:c r="J1811" s="6" t="str">
        <x:v>Warm-up</x:v>
      </x:c>
      <x:c r="K1811" s="6" t="str">
        <x:v>Alternative ordered path and metres, or an explicit no-route response.</x:v>
      </x:c>
      <x:c r="L1811" s="6" t="str">
        <x:v>T02, T05, T12, T13</x:v>
      </x:c>
      <x:c r="M1811" s="6" t="str">
        <x:v>Reroute while a named lift, staircase, door or room is closed.</x:v>
      </x:c>
      <x:c r="N1811" s="6" t="str">
        <x:v>{"from_space_id":"swiss-1898-F2-S008","to_space_id":"swiss-1898-F1-S007","reachable":false,"closed_element_id":"swiss-1898-V01"}</x:v>
      </x:c>
      <x:c r="O1811" s="6"/>
      <x:c r="P1811" s="6" t="str">
        <x:v>Avoid named closed element: swiss-1898-V01. May be unreachable.</x:v>
      </x:c>
      <x:c r="Q1811" s="15"/>
      <x:c r="R1811" s="6"/>
      <x:c r="S1811" s="16"/>
      <x:c r="T1811" s="15"/>
      <x:c r="U1811" s="6"/>
      <x:c r="V1811" s="6"/>
      <x:c r="W1811" s="6" t="str">
        <x:v>Existing set_closed followed by find_route. State reset is caller responsibility.</x:v>
      </x:c>
      <x:c r="X1811" s="6" t="str">
        <x:v>data/train/swiss-1898/questions_basic.jsonl</x:v>
      </x:c>
      <x:c r="Y1811" s="14" t="n">
        <x:v>8</x:v>
      </x:c>
      <x:c r="Z1811" s="6" t="str">
        <x:v>https://github.com/hagenhaeussler/Industrial-Agents-Hackathon-2026/blob/f41616590b69f3ea0c1cbfb41d6c35edd9ce53df/data/train/swiss-1898/questions_basic.jsonl#L8</x:v>
      </x:c>
      <x:c r="AA1811" s="6" t="str">
        <x:v>swiss_dwellings</x:v>
      </x:c>
      <x:c r="AB1811" s="6" t="str">
        <x:v>CC-BY-4.0</x:v>
      </x:c>
    </x:row>
    <x:row r="1812" ht="72" customHeight="1">
      <x:c r="A1812" s="14" t="n">
        <x:v>1807</x:v>
      </x:c>
      <x:c r="B1812" s="6" t="str">
        <x:v>route_with_closure</x:v>
      </x:c>
      <x:c r="C1812" s="6" t="str">
        <x:v>Staircase 5 is closed for maintenance. How do I get from Bedroom 2.68 (apartment 30) (Floor 2) to Kitchen 1.05 (apartment 2) (Floor 1)?</x:v>
      </x:c>
      <x:c r="D1812" s="6" t="str">
        <x:v>No route under the requested constraints.
From: Bedroom 2.68 (apartment 30)
To: Kitchen 1.05 (apartment 2)
Closed: swiss-1922-V06</x:v>
      </x:c>
      <x:c r="E1812" s="6" t="str">
        <x:v>Reference supplied</x:v>
      </x:c>
      <x:c r="F1812" s="6" t="str">
        <x:v>train</x:v>
      </x:c>
      <x:c r="G1812" s="6" t="str">
        <x:v>swiss-1922</x:v>
      </x:c>
      <x:c r="H1812" s="6" t="str">
        <x:v>swiss-1922-Q07</x:v>
      </x:c>
      <x:c r="I1812" s="6" t="str">
        <x:v>Route planning</x:v>
      </x:c>
      <x:c r="J1812" s="6" t="str">
        <x:v>Warm-up</x:v>
      </x:c>
      <x:c r="K1812" s="6" t="str">
        <x:v>Alternative ordered path and metres, or an explicit no-route response.</x:v>
      </x:c>
      <x:c r="L1812" s="6" t="str">
        <x:v>T02, T05, T12, T13</x:v>
      </x:c>
      <x:c r="M1812" s="6" t="str">
        <x:v>Reroute while a named lift, staircase, door or room is closed.</x:v>
      </x:c>
      <x:c r="N1812" s="6" t="str">
        <x:v>{"from_space_id":"swiss-1922-F2-S068","to_space_id":"swiss-1922-F1-S005","reachable":false,"closed_element_id":"swiss-1922-V06"}</x:v>
      </x:c>
      <x:c r="O1812" s="6"/>
      <x:c r="P1812" s="6" t="str">
        <x:v>Avoid named closed element: swiss-1922-V06. May be unreachable.</x:v>
      </x:c>
      <x:c r="Q1812" s="15"/>
      <x:c r="R1812" s="6"/>
      <x:c r="S1812" s="16"/>
      <x:c r="T1812" s="15"/>
      <x:c r="U1812" s="6"/>
      <x:c r="V1812" s="6"/>
      <x:c r="W1812" s="6" t="str">
        <x:v>Existing set_closed followed by find_route. State reset is caller responsibility.</x:v>
      </x:c>
      <x:c r="X1812" s="6" t="str">
        <x:v>data/train/swiss-1922/questions_basic.jsonl</x:v>
      </x:c>
      <x:c r="Y1812" s="14" t="n">
        <x:v>7</x:v>
      </x:c>
      <x:c r="Z1812" s="6" t="str">
        <x:v>https://github.com/hagenhaeussler/Industrial-Agents-Hackathon-2026/blob/f41616590b69f3ea0c1cbfb41d6c35edd9ce53df/data/train/swiss-1922/questions_basic.jsonl#L7</x:v>
      </x:c>
      <x:c r="AA1812" s="6" t="str">
        <x:v>swiss_dwellings</x:v>
      </x:c>
      <x:c r="AB1812" s="6" t="str">
        <x:v>CC-BY-4.0</x:v>
      </x:c>
    </x:row>
    <x:row r="1813" ht="72" customHeight="1">
      <x:c r="A1813" s="14" t="n">
        <x:v>1808</x:v>
      </x:c>
      <x:c r="B1813" s="6" t="str">
        <x:v>route_with_closure</x:v>
      </x:c>
      <x:c r="C1813" s="6" t="str">
        <x:v>Main staircase is closed for maintenance. How do I get from Kitchen 1.03 (apartment 3) (Floor 1) to Kitchen 0.05 (apartment 1) (Ground floor)?</x:v>
      </x:c>
      <x:c r="D1813" s="6" t="str">
        <x:v>No route under the requested constraints.
From: Kitchen 1.03 (apartment 3)
To: Kitchen 0.05 (apartment 1)
Closed: swiss-1928-V01</x:v>
      </x:c>
      <x:c r="E1813" s="6" t="str">
        <x:v>Reference supplied</x:v>
      </x:c>
      <x:c r="F1813" s="6" t="str">
        <x:v>train</x:v>
      </x:c>
      <x:c r="G1813" s="6" t="str">
        <x:v>swiss-1928</x:v>
      </x:c>
      <x:c r="H1813" s="6" t="str">
        <x:v>swiss-1928-Q09</x:v>
      </x:c>
      <x:c r="I1813" s="6" t="str">
        <x:v>Route planning</x:v>
      </x:c>
      <x:c r="J1813" s="6" t="str">
        <x:v>Warm-up</x:v>
      </x:c>
      <x:c r="K1813" s="6" t="str">
        <x:v>Alternative ordered path and metres, or an explicit no-route response.</x:v>
      </x:c>
      <x:c r="L1813" s="6" t="str">
        <x:v>T02, T05, T12, T13</x:v>
      </x:c>
      <x:c r="M1813" s="6" t="str">
        <x:v>Reroute while a named lift, staircase, door or room is closed.</x:v>
      </x:c>
      <x:c r="N1813" s="6" t="str">
        <x:v>{"from_space_id":"swiss-1928-F1-S003","to_space_id":"swiss-1928-F0-S005","reachable":false,"closed_element_id":"swiss-1928-V01"}</x:v>
      </x:c>
      <x:c r="O1813" s="6"/>
      <x:c r="P1813" s="6" t="str">
        <x:v>Avoid named closed element: swiss-1928-V01. May be unreachable.</x:v>
      </x:c>
      <x:c r="Q1813" s="15"/>
      <x:c r="R1813" s="6"/>
      <x:c r="S1813" s="16"/>
      <x:c r="T1813" s="15"/>
      <x:c r="U1813" s="6"/>
      <x:c r="V1813" s="6"/>
      <x:c r="W1813" s="6" t="str">
        <x:v>Existing set_closed followed by find_route. State reset is caller responsibility.</x:v>
      </x:c>
      <x:c r="X1813" s="6" t="str">
        <x:v>data/train/swiss-1928/questions_basic.jsonl</x:v>
      </x:c>
      <x:c r="Y1813" s="14" t="n">
        <x:v>9</x:v>
      </x:c>
      <x:c r="Z1813" s="6" t="str">
        <x:v>https://github.com/hagenhaeussler/Industrial-Agents-Hackathon-2026/blob/f41616590b69f3ea0c1cbfb41d6c35edd9ce53df/data/train/swiss-1928/questions_basic.jsonl#L9</x:v>
      </x:c>
      <x:c r="AA1813" s="6" t="str">
        <x:v>swiss_dwellings</x:v>
      </x:c>
      <x:c r="AB1813" s="6" t="str">
        <x:v>CC-BY-4.0</x:v>
      </x:c>
    </x:row>
    <x:row r="1814" ht="110" customHeight="1">
      <x:c r="A1814" s="14" t="n">
        <x:v>1809</x:v>
      </x:c>
      <x:c r="B1814" s="6" t="str">
        <x:v>route_with_closure</x:v>
      </x:c>
      <x:c r="C1814" s="6" t="str">
        <x:v>Main staircase is closed for maintenance. How do I get from Bathroom 0.12 (apartment 2) (Ground floor) to Bedroom 2.13 (apartment 6) (Floor 2)?</x:v>
      </x:c>
      <x:c r="D1814" s="6" t="str">
        <x:v>43.21 m
From: Bathroom 0.12 (apartment 2)
To: Bedroom 2.13 (apartment 6)
Ordered path (8 spaces): Bathroom 0.12 (apartment 2) → Corridor 0.10 (apartment 2) → Landing 0.20 → Landing 1.19 → Landing 2.19 → Landing 2.20 → Corridor 2.15 (apartment 6) → Bedroom 2.13 (apartment 6)
Closed: swiss-1936-V01</x:v>
      </x:c>
      <x:c r="E1814" s="6" t="str">
        <x:v>Reference supplied</x:v>
      </x:c>
      <x:c r="F1814" s="6" t="str">
        <x:v>train</x:v>
      </x:c>
      <x:c r="G1814" s="6" t="str">
        <x:v>swiss-1936</x:v>
      </x:c>
      <x:c r="H1814" s="6" t="str">
        <x:v>swiss-1936-Q07</x:v>
      </x:c>
      <x:c r="I1814" s="6" t="str">
        <x:v>Route planning</x:v>
      </x:c>
      <x:c r="J1814" s="6" t="str">
        <x:v>Warm-up</x:v>
      </x:c>
      <x:c r="K1814" s="6" t="str">
        <x:v>Alternative ordered path and metres, or an explicit no-route response.</x:v>
      </x:c>
      <x:c r="L1814" s="6" t="str">
        <x:v>T02, T05, T12, T13</x:v>
      </x:c>
      <x:c r="M1814" s="6" t="str">
        <x:v>Reroute while a named lift, staircase, door or room is closed.</x:v>
      </x:c>
      <x:c r="N1814" s="6" t="str">
        <x:v>{"from_space_id":"swiss-1936-F0-S012","to_space_id":"swiss-1936-F2-S013","optimal_length_m":43.21,"space_path":["swiss-1936-F0-S012","swiss-1936-F0-S010","swiss-1936-F0-S020","swiss-1936-F1-S019","swiss-1936-F2-S019","swiss-1936-F2-S020","swiss-1936-F2-S015","swiss-1936-F2-S013"],"element_path":["swiss-1936-F0-O0018","swiss-1936-F0-O0018","swiss-1936-F0-O0012","swiss-1936-F0-O0012","swiss-1936-V03","swiss-1936-V04","swiss-1936-F2-O0039","swiss-1936-F2-O0039","swiss-1936-F2-O0049","swiss-1936-F2-O0049","swiss-1936-F2-O0051","swiss-1936-F2-O0051"],"closed_element_id":"swiss-1936-V01"}</x:v>
      </x:c>
      <x:c r="O1814" s="6"/>
      <x:c r="P1814" s="6" t="str">
        <x:v>Avoid named closed element: swiss-1936-V01. May be unreachable.</x:v>
      </x:c>
      <x:c r="Q1814" s="15" t="n">
        <x:v>43.21</x:v>
      </x:c>
      <x:c r="R1814" s="6" t="str">
        <x:v>m</x:v>
      </x:c>
      <x:c r="S1814" s="16"/>
      <x:c r="T1814" s="15"/>
      <x:c r="U1814" s="6"/>
      <x:c r="V1814" s="6"/>
      <x:c r="W1814" s="6" t="str">
        <x:v>Existing set_closed followed by find_route. State reset is caller responsibility.</x:v>
      </x:c>
      <x:c r="X1814" s="6" t="str">
        <x:v>data/train/swiss-1936/questions_basic.jsonl</x:v>
      </x:c>
      <x:c r="Y1814" s="14" t="n">
        <x:v>7</x:v>
      </x:c>
      <x:c r="Z1814" s="6" t="str">
        <x:v>https://github.com/hagenhaeussler/Industrial-Agents-Hackathon-2026/blob/f41616590b69f3ea0c1cbfb41d6c35edd9ce53df/data/train/swiss-1936/questions_basic.jsonl#L7</x:v>
      </x:c>
      <x:c r="AA1814" s="6" t="str">
        <x:v>swiss_dwellings</x:v>
      </x:c>
      <x:c r="AB1814" s="6" t="str">
        <x:v>CC-BY-4.0</x:v>
      </x:c>
    </x:row>
    <x:row r="1815" ht="72" customHeight="1">
      <x:c r="A1815" s="14" t="n">
        <x:v>1810</x:v>
      </x:c>
      <x:c r="B1815" s="6" t="str">
        <x:v>route_with_closure</x:v>
      </x:c>
      <x:c r="C1815" s="6" t="str">
        <x:v>Main staircase is closed for maintenance. How do I get from Bathroom 0.02 (apartment 1) (Ground floor) to Kitchen 1.14 (apartment 7) (Floor 1)?</x:v>
      </x:c>
      <x:c r="D1815" s="6" t="str">
        <x:v>No route under the requested constraints.
From: Bathroom 0.02 (apartment 1)
To: Kitchen 1.14 (apartment 7)
Closed: swiss-1956-V01</x:v>
      </x:c>
      <x:c r="E1815" s="6" t="str">
        <x:v>Reference supplied</x:v>
      </x:c>
      <x:c r="F1815" s="6" t="str">
        <x:v>train</x:v>
      </x:c>
      <x:c r="G1815" s="6" t="str">
        <x:v>swiss-1956</x:v>
      </x:c>
      <x:c r="H1815" s="6" t="str">
        <x:v>swiss-1956-Q06</x:v>
      </x:c>
      <x:c r="I1815" s="6" t="str">
        <x:v>Route planning</x:v>
      </x:c>
      <x:c r="J1815" s="6" t="str">
        <x:v>Warm-up</x:v>
      </x:c>
      <x:c r="K1815" s="6" t="str">
        <x:v>Alternative ordered path and metres, or an explicit no-route response.</x:v>
      </x:c>
      <x:c r="L1815" s="6" t="str">
        <x:v>T02, T05, T12, T13</x:v>
      </x:c>
      <x:c r="M1815" s="6" t="str">
        <x:v>Reroute while a named lift, staircase, door or room is closed.</x:v>
      </x:c>
      <x:c r="N1815" s="6" t="str">
        <x:v>{"from_space_id":"swiss-1956-F0-S002","to_space_id":"swiss-1956-F1-S014","reachable":false,"closed_element_id":"swiss-1956-V01"}</x:v>
      </x:c>
      <x:c r="O1815" s="6"/>
      <x:c r="P1815" s="6" t="str">
        <x:v>Avoid named closed element: swiss-1956-V01. May be unreachable.</x:v>
      </x:c>
      <x:c r="Q1815" s="15"/>
      <x:c r="R1815" s="6"/>
      <x:c r="S1815" s="16"/>
      <x:c r="T1815" s="15"/>
      <x:c r="U1815" s="6"/>
      <x:c r="V1815" s="6"/>
      <x:c r="W1815" s="6" t="str">
        <x:v>Existing set_closed followed by find_route. State reset is caller responsibility.</x:v>
      </x:c>
      <x:c r="X1815" s="6" t="str">
        <x:v>data/train/swiss-1956/questions_basic.jsonl</x:v>
      </x:c>
      <x:c r="Y1815" s="14" t="n">
        <x:v>6</x:v>
      </x:c>
      <x:c r="Z1815" s="6" t="str">
        <x:v>https://github.com/hagenhaeussler/Industrial-Agents-Hackathon-2026/blob/f41616590b69f3ea0c1cbfb41d6c35edd9ce53df/data/train/swiss-1956/questions_basic.jsonl#L6</x:v>
      </x:c>
      <x:c r="AA1815" s="6" t="str">
        <x:v>swiss_dwellings</x:v>
      </x:c>
      <x:c r="AB1815" s="6" t="str">
        <x:v>CC-BY-4.0</x:v>
      </x:c>
    </x:row>
    <x:row r="1816" ht="152" customHeight="1">
      <x:c r="A1816" s="14" t="n">
        <x:v>1811</x:v>
      </x:c>
      <x:c r="B1816" s="6" t="str">
        <x:v>route_with_closure</x:v>
      </x:c>
      <x:c r="C1816" s="6" t="str">
        <x:v>Staircase 8 is closed for maintenance. How do I get from Kitchen 2.06 (apartment 12) (Floor 2) to Bedroom 0.19 (apartment 6) (Ground floor)?</x:v>
      </x:c>
      <x:c r="D1816" s="6" t="str">
        <x:v>42.77 m
From: Kitchen 2.06 (apartment 12)
To: Bedroom 0.19 (apartment 6)
Ordered path (12 spaces): Kitchen 2.06 (apartment 12) → Corridor 2.03 (apartment 12) → Landing 2.35 → Landing 2.38 → Landing 1.35 → Landing 0.35 → outside → Landing 0.37 → Corridor 0.20 (apartment 6) → Living room 0.24 (apartment 6) → Corridor 0.22 (apartment 6) → Bedroom 0.19 (apartment 6)
Closed: swiss-1970-V08</x:v>
      </x:c>
      <x:c r="E1816" s="6" t="str">
        <x:v>Reference supplied</x:v>
      </x:c>
      <x:c r="F1816" s="6" t="str">
        <x:v>train</x:v>
      </x:c>
      <x:c r="G1816" s="6" t="str">
        <x:v>swiss-1970</x:v>
      </x:c>
      <x:c r="H1816" s="6" t="str">
        <x:v>swiss-1970-Q09</x:v>
      </x:c>
      <x:c r="I1816" s="6" t="str">
        <x:v>Route planning</x:v>
      </x:c>
      <x:c r="J1816" s="6" t="str">
        <x:v>Warm-up</x:v>
      </x:c>
      <x:c r="K1816" s="6" t="str">
        <x:v>Alternative ordered path and metres, or an explicit no-route response.</x:v>
      </x:c>
      <x:c r="L1816" s="6" t="str">
        <x:v>T02, T05, T12, T13</x:v>
      </x:c>
      <x:c r="M1816" s="6" t="str">
        <x:v>Reroute while a named lift, staircase, door or room is closed.</x:v>
      </x:c>
      <x:c r="N1816" s="6" t="str">
        <x:v>{"from_space_id":"swiss-1970-F2-S006","to_space_id":"swiss-1970-F0-S019","optimal_length_m":42.77,"space_path":["swiss-1970-F2-S006","swiss-1970-F2-S003","swiss-1970-F2-S035","swiss-1970-F2-S038","swiss-1970-F1-S035","swiss-1970-F0-S035","outside","swiss-1970-F0-S037","swiss-1970-F0-S020","swiss-1970-F0-S024","swiss-1970-F0-S022","swiss-1970-F0-S019"],"element_path":["swiss-1970-F2-O0099","swiss-1970-F2-O0099","swiss-1970-F2-O0097","swiss-1970-F2-O0097","swiss-1970-F2-O0093","swiss-1970-F2-O0093","swiss-1970-V10","swiss-1970-V05","swiss-1970-F0-O0133","swiss-1970-F0-O0133","swiss-1970-F0-O0135","swiss-1970-F0-O0135","swiss-1970-F0-O0039","swiss-1970-F0-O0039","swiss-1970-F0-O0033","swiss-1970-F0-O0033","swiss-1970-F0-O0037","swiss-1970-F0-O0037","swiss-1970-F0-O0038","swiss-1970-F0-O0038"],"closed_element_id":"swiss-1970-V08"}</x:v>
      </x:c>
      <x:c r="O1816" s="6"/>
      <x:c r="P1816" s="6" t="str">
        <x:v>Avoid named closed element: swiss-1970-V08. May be unreachable.</x:v>
      </x:c>
      <x:c r="Q1816" s="15" t="n">
        <x:v>42.77</x:v>
      </x:c>
      <x:c r="R1816" s="6" t="str">
        <x:v>m</x:v>
      </x:c>
      <x:c r="S1816" s="16"/>
      <x:c r="T1816" s="15"/>
      <x:c r="U1816" s="6"/>
      <x:c r="V1816" s="6"/>
      <x:c r="W1816" s="6" t="str">
        <x:v>Existing set_closed followed by find_route. State reset is caller responsibility.</x:v>
      </x:c>
      <x:c r="X1816" s="6" t="str">
        <x:v>data/train/swiss-1970/questions_basic.jsonl</x:v>
      </x:c>
      <x:c r="Y1816" s="14" t="n">
        <x:v>9</x:v>
      </x:c>
      <x:c r="Z1816" s="6" t="str">
        <x:v>https://github.com/hagenhaeussler/Industrial-Agents-Hackathon-2026/blob/f41616590b69f3ea0c1cbfb41d6c35edd9ce53df/data/train/swiss-1970/questions_basic.jsonl#L9</x:v>
      </x:c>
      <x:c r="AA1816" s="6" t="str">
        <x:v>swiss_dwellings</x:v>
      </x:c>
      <x:c r="AB1816" s="6" t="str">
        <x:v>CC-BY-4.0</x:v>
      </x:c>
    </x:row>
    <x:row r="1817" ht="138" customHeight="1">
      <x:c r="A1817" s="14" t="n">
        <x:v>1812</x:v>
      </x:c>
      <x:c r="B1817" s="6" t="str">
        <x:v>route_with_closure</x:v>
      </x:c>
      <x:c r="C1817" s="6" t="str">
        <x:v>Staircase 13 is closed for maintenance. How do I get from Bathroom 4.33 (apartment 20) (Floor 4) to Bathroom 1.28 (apartment 8) (Floor 1)?</x:v>
      </x:c>
      <x:c r="D1817" s="6" t="str">
        <x:v>76.56 m
From: Bathroom 4.33 (apartment 20)
To: Bathroom 1.28 (apartment 8)
Ordered path (13 spaces): Bathroom 4.33 (apartment 20) → Corridor 4.32 (apartment 20) → Landing 4.38 → Landing 4.36 → Landing 3.35 → Landing 2.37 → Landing 1.37 → Landing 0.38 → outside → Landing 0.35 → Landing 1.38 → Corridor 1.33 (apartment 8) → Bathroom 1.28 (apartment 8)
Closed: swiss-2049-V14</x:v>
      </x:c>
      <x:c r="E1817" s="6" t="str">
        <x:v>Reference supplied</x:v>
      </x:c>
      <x:c r="F1817" s="6" t="str">
        <x:v>train</x:v>
      </x:c>
      <x:c r="G1817" s="6" t="str">
        <x:v>swiss-2049</x:v>
      </x:c>
      <x:c r="H1817" s="6" t="str">
        <x:v>swiss-2049-Q06</x:v>
      </x:c>
      <x:c r="I1817" s="6" t="str">
        <x:v>Route planning</x:v>
      </x:c>
      <x:c r="J1817" s="6" t="str">
        <x:v>Warm-up</x:v>
      </x:c>
      <x:c r="K1817" s="6" t="str">
        <x:v>Alternative ordered path and metres, or an explicit no-route response.</x:v>
      </x:c>
      <x:c r="L1817" s="6" t="str">
        <x:v>T02, T05, T12, T13</x:v>
      </x:c>
      <x:c r="M1817" s="6" t="str">
        <x:v>Reroute while a named lift, staircase, door or room is closed.</x:v>
      </x:c>
      <x:c r="N1817" s="6" t="str">
        <x:v>{"from_space_id":"swiss-2049-F4-S033","to_space_id":"swiss-2049-F1-S028","optimal_length_m":76.56,"space_path":["swiss-2049-F4-S033","swiss-2049-F4-S032","swiss-2049-F4-S038","swiss-2049-F4-S036","swiss-2049-F3-S035","swiss-2049-F2-S037","swiss-2049-F1-S037","swiss-2049-F0-S038","outside","swiss-2049-F0-S035","swiss-2049-F1-S038","swiss-2049-F1-S033","swiss-2049-F1-S028"],"element_path":["swiss-2049-F4-O0173","swiss-2049-F4-O0173","swiss-2049-F4-O0179","swiss-2049-F4-O0179","swiss-2049-F4-O0146","swiss-2049-F4-O0146","swiss-2049-V12","swiss-2049-V09","swiss-2049-V07","swiss-2049-V05","swiss-2049-F0-O0184","swiss-2049-F0-O0184","swiss-2049-F0-O0181","swiss-2049-F0-O0181","swiss-2049-V01","swiss-2049-F1-O0066","swiss-2049-F1-O0066","swiss-2049-F1-O0065","swiss-2049-F1-O0065"],"closed_element_id":"swiss-2049-V14"}</x:v>
      </x:c>
      <x:c r="O1817" s="6"/>
      <x:c r="P1817" s="6" t="str">
        <x:v>Avoid named closed element: swiss-2049-V14. May be unreachable.</x:v>
      </x:c>
      <x:c r="Q1817" s="15" t="n">
        <x:v>76.56</x:v>
      </x:c>
      <x:c r="R1817" s="6" t="str">
        <x:v>m</x:v>
      </x:c>
      <x:c r="S1817" s="16"/>
      <x:c r="T1817" s="15"/>
      <x:c r="U1817" s="6"/>
      <x:c r="V1817" s="6"/>
      <x:c r="W1817" s="6" t="str">
        <x:v>Existing set_closed followed by find_route. State reset is caller responsibility.</x:v>
      </x:c>
      <x:c r="X1817" s="6" t="str">
        <x:v>data/train/swiss-2049/questions_basic.jsonl</x:v>
      </x:c>
      <x:c r="Y1817" s="14" t="n">
        <x:v>6</x:v>
      </x:c>
      <x:c r="Z1817" s="6" t="str">
        <x:v>https://github.com/hagenhaeussler/Industrial-Agents-Hackathon-2026/blob/f41616590b69f3ea0c1cbfb41d6c35edd9ce53df/data/train/swiss-2049/questions_basic.jsonl#L6</x:v>
      </x:c>
      <x:c r="AA1817" s="6" t="str">
        <x:v>swiss_dwellings</x:v>
      </x:c>
      <x:c r="AB1817" s="6" t="str">
        <x:v>CC-BY-4.0</x:v>
      </x:c>
    </x:row>
    <x:row r="1818" ht="124" customHeight="1">
      <x:c r="A1818" s="14" t="n">
        <x:v>1813</x:v>
      </x:c>
      <x:c r="B1818" s="6" t="str">
        <x:v>route_with_closure</x:v>
      </x:c>
      <x:c r="C1818" s="6" t="str">
        <x:v>Staircase 2 is closed for maintenance. How do I get from Bedroom 0.16 (apartment 2) (Ground floor) to Bathroom 1.02 (apartment 3) (Floor 1)?</x:v>
      </x:c>
      <x:c r="D1818" s="6" t="str">
        <x:v>39.86 m
From: Bedroom 0.16 (apartment 2)
To: Bathroom 1.02 (apartment 3)
Ordered path (9 spaces): Bedroom 0.16 (apartment 2) → Corridor 0.14 (apartment 2) → Corridor 0.24 (apartment 2) → Landing 0.27 → Stair hall 1.27 → Landing 1.28 → Corridor 1.12 (apartment 3) → Corridor 1.10 (apartment 3) → Bathroom 1.02 (apartment 3)
Closed: swiss-2084-V03</x:v>
      </x:c>
      <x:c r="E1818" s="6" t="str">
        <x:v>Reference supplied</x:v>
      </x:c>
      <x:c r="F1818" s="6" t="str">
        <x:v>train</x:v>
      </x:c>
      <x:c r="G1818" s="6" t="str">
        <x:v>swiss-2084</x:v>
      </x:c>
      <x:c r="H1818" s="6" t="str">
        <x:v>swiss-2084-Q06</x:v>
      </x:c>
      <x:c r="I1818" s="6" t="str">
        <x:v>Route planning</x:v>
      </x:c>
      <x:c r="J1818" s="6" t="str">
        <x:v>Warm-up</x:v>
      </x:c>
      <x:c r="K1818" s="6" t="str">
        <x:v>Alternative ordered path and metres, or an explicit no-route response.</x:v>
      </x:c>
      <x:c r="L1818" s="6" t="str">
        <x:v>T02, T05, T12, T13</x:v>
      </x:c>
      <x:c r="M1818" s="6" t="str">
        <x:v>Reroute while a named lift, staircase, door or room is closed.</x:v>
      </x:c>
      <x:c r="N1818" s="6" t="str">
        <x:v>{"from_space_id":"swiss-2084-F0-S016","to_space_id":"swiss-2084-F1-S002","optimal_length_m":39.86,"space_path":["swiss-2084-F0-S016","swiss-2084-F0-S014","swiss-2084-F0-S024","swiss-2084-F0-S027","swiss-2084-F1-S027","swiss-2084-F1-S028","swiss-2084-F1-S012","swiss-2084-F1-S010","swiss-2084-F1-S002"],"element_path":["swiss-2084-F0-O0016","swiss-2084-F0-O0016","swiss-2084-F0-O0026","swiss-2084-F0-O0026","swiss-2084-F0-O0017","swiss-2084-F0-O0017","swiss-2084-V01","swiss-2084-F1-O0027","swiss-2084-F1-O0027","swiss-2084-F1-O0032","swiss-2084-F1-O0032","swiss-2084-F1-O0055","swiss-2084-F1-O0055","swiss-2084-F1-O0030","swiss-2084-F1-O0030"],"closed_element_id":"swiss-2084-V03"}</x:v>
      </x:c>
      <x:c r="O1818" s="6"/>
      <x:c r="P1818" s="6" t="str">
        <x:v>Avoid named closed element: swiss-2084-V03. May be unreachable.</x:v>
      </x:c>
      <x:c r="Q1818" s="15" t="n">
        <x:v>39.86</x:v>
      </x:c>
      <x:c r="R1818" s="6" t="str">
        <x:v>m</x:v>
      </x:c>
      <x:c r="S1818" s="16"/>
      <x:c r="T1818" s="15"/>
      <x:c r="U1818" s="6"/>
      <x:c r="V1818" s="6"/>
      <x:c r="W1818" s="6" t="str">
        <x:v>Existing set_closed followed by find_route. State reset is caller responsibility.</x:v>
      </x:c>
      <x:c r="X1818" s="6" t="str">
        <x:v>data/train/swiss-2084/questions_basic.jsonl</x:v>
      </x:c>
      <x:c r="Y1818" s="14" t="n">
        <x:v>6</x:v>
      </x:c>
      <x:c r="Z1818" s="6" t="str">
        <x:v>https://github.com/hagenhaeussler/Industrial-Agents-Hackathon-2026/blob/f41616590b69f3ea0c1cbfb41d6c35edd9ce53df/data/train/swiss-2084/questions_basic.jsonl#L6</x:v>
      </x:c>
      <x:c r="AA1818" s="6" t="str">
        <x:v>swiss_dwellings</x:v>
      </x:c>
      <x:c r="AB1818" s="6" t="str">
        <x:v>CC-BY-4.0</x:v>
      </x:c>
    </x:row>
    <x:row r="1819" ht="110" customHeight="1">
      <x:c r="A1819" s="14" t="n">
        <x:v>1814</x:v>
      </x:c>
      <x:c r="B1819" s="6" t="str">
        <x:v>route_with_closure</x:v>
      </x:c>
      <x:c r="C1819" s="6" t="str">
        <x:v>Main staircase is closed for maintenance. How do I get from Living room 1.26 (apartment 9) (Floor 1) to Storage 0.24 (apartment 3) (Ground floor)?</x:v>
      </x:c>
      <x:c r="D1819" s="6" t="str">
        <x:v>40.68 m
From: Living room 1.26 (apartment 9)
To: Storage 0.24 (apartment 3)
Ordered path (7 spaces): Living room 1.26 (apartment 9) → Corridor 1.24 (apartment 9) → Stair hall 1.55 → Stair hall 0.54 → Corridor 0.21 (apartment 3) → Bathroom 0.25 (apartment 3) → Storage 0.24 (apartment 3)
Closed: swiss-210-V01</x:v>
      </x:c>
      <x:c r="E1819" s="6" t="str">
        <x:v>Reference supplied</x:v>
      </x:c>
      <x:c r="F1819" s="6" t="str">
        <x:v>train</x:v>
      </x:c>
      <x:c r="G1819" s="6" t="str">
        <x:v>swiss-210</x:v>
      </x:c>
      <x:c r="H1819" s="6" t="str">
        <x:v>swiss-210-Q07</x:v>
      </x:c>
      <x:c r="I1819" s="6" t="str">
        <x:v>Route planning</x:v>
      </x:c>
      <x:c r="J1819" s="6" t="str">
        <x:v>Warm-up</x:v>
      </x:c>
      <x:c r="K1819" s="6" t="str">
        <x:v>Alternative ordered path and metres, or an explicit no-route response.</x:v>
      </x:c>
      <x:c r="L1819" s="6" t="str">
        <x:v>T02, T05, T12, T13</x:v>
      </x:c>
      <x:c r="M1819" s="6" t="str">
        <x:v>Reroute while a named lift, staircase, door or room is closed.</x:v>
      </x:c>
      <x:c r="N1819" s="6" t="str">
        <x:v>{"from_space_id":"swiss-210-F1-S026","to_space_id":"swiss-210-F0-S024","optimal_length_m":40.68,"space_path":["swiss-210-F1-S026","swiss-210-F1-S024","swiss-210-F1-S055","swiss-210-F0-S054","swiss-210-F0-S021","swiss-210-F0-S025","swiss-210-F0-S024"],"element_path":["swiss-210-F1-O0091","swiss-210-F1-O0091","swiss-210-F1-O0090","swiss-210-F1-O0090","swiss-210-V02","swiss-210-F0-O0008","swiss-210-F0-O0008","swiss-210-F0-O0025","swiss-210-F0-O0025","swiss-210-F0-O0059","swiss-210-F0-O0059"],"closed_element_id":"swiss-210-V01"}</x:v>
      </x:c>
      <x:c r="O1819" s="6"/>
      <x:c r="P1819" s="6" t="str">
        <x:v>Avoid named closed element: swiss-210-V01. May be unreachable.</x:v>
      </x:c>
      <x:c r="Q1819" s="15" t="n">
        <x:v>40.68</x:v>
      </x:c>
      <x:c r="R1819" s="6" t="str">
        <x:v>m</x:v>
      </x:c>
      <x:c r="S1819" s="16"/>
      <x:c r="T1819" s="15"/>
      <x:c r="U1819" s="6"/>
      <x:c r="V1819" s="6"/>
      <x:c r="W1819" s="6" t="str">
        <x:v>Existing set_closed followed by find_route. State reset is caller responsibility.</x:v>
      </x:c>
      <x:c r="X1819" s="6" t="str">
        <x:v>data/train/swiss-210/questions_basic.jsonl</x:v>
      </x:c>
      <x:c r="Y1819" s="14" t="n">
        <x:v>7</x:v>
      </x:c>
      <x:c r="Z1819" s="6" t="str">
        <x:v>https://github.com/hagenhaeussler/Industrial-Agents-Hackathon-2026/blob/f41616590b69f3ea0c1cbfb41d6c35edd9ce53df/data/train/swiss-210/questions_basic.jsonl#L7</x:v>
      </x:c>
      <x:c r="AA1819" s="6" t="str">
        <x:v>swiss_dwellings</x:v>
      </x:c>
      <x:c r="AB1819" s="6" t="str">
        <x:v>CC-BY-4.0</x:v>
      </x:c>
    </x:row>
    <x:row r="1820" ht="72" customHeight="1">
      <x:c r="A1820" s="14" t="n">
        <x:v>1815</x:v>
      </x:c>
      <x:c r="B1820" s="6" t="str">
        <x:v>route_with_closure</x:v>
      </x:c>
      <x:c r="C1820" s="6" t="str">
        <x:v>Main staircase is closed for maintenance. How do I get from Bedroom 1.19 (apartment 6) (Floor 1) to Bathroom 3.16 (apartment 12) (Floor 3)?</x:v>
      </x:c>
      <x:c r="D1820" s="6" t="str">
        <x:v>No route under the requested constraints.
From: Bedroom 1.19 (apartment 6)
To: Bathroom 3.16 (apartment 12)
Closed: swiss-22-V01</x:v>
      </x:c>
      <x:c r="E1820" s="6" t="str">
        <x:v>Reference supplied</x:v>
      </x:c>
      <x:c r="F1820" s="6" t="str">
        <x:v>train</x:v>
      </x:c>
      <x:c r="G1820" s="6" t="str">
        <x:v>swiss-22</x:v>
      </x:c>
      <x:c r="H1820" s="6" t="str">
        <x:v>swiss-22-Q06</x:v>
      </x:c>
      <x:c r="I1820" s="6" t="str">
        <x:v>Route planning</x:v>
      </x:c>
      <x:c r="J1820" s="6" t="str">
        <x:v>Warm-up</x:v>
      </x:c>
      <x:c r="K1820" s="6" t="str">
        <x:v>Alternative ordered path and metres, or an explicit no-route response.</x:v>
      </x:c>
      <x:c r="L1820" s="6" t="str">
        <x:v>T02, T05, T12, T13</x:v>
      </x:c>
      <x:c r="M1820" s="6" t="str">
        <x:v>Reroute while a named lift, staircase, door or room is closed.</x:v>
      </x:c>
      <x:c r="N1820" s="6" t="str">
        <x:v>{"from_space_id":"swiss-22-F1-S019","to_space_id":"swiss-22-F3-S016","reachable":false,"closed_element_id":"swiss-22-V01"}</x:v>
      </x:c>
      <x:c r="O1820" s="6"/>
      <x:c r="P1820" s="6" t="str">
        <x:v>Avoid named closed element: swiss-22-V01. May be unreachable.</x:v>
      </x:c>
      <x:c r="Q1820" s="15"/>
      <x:c r="R1820" s="6"/>
      <x:c r="S1820" s="16"/>
      <x:c r="T1820" s="15"/>
      <x:c r="U1820" s="6"/>
      <x:c r="V1820" s="6"/>
      <x:c r="W1820" s="6" t="str">
        <x:v>Existing set_closed followed by find_route. State reset is caller responsibility.</x:v>
      </x:c>
      <x:c r="X1820" s="6" t="str">
        <x:v>data/train/swiss-22/questions_basic.jsonl</x:v>
      </x:c>
      <x:c r="Y1820" s="14" t="n">
        <x:v>6</x:v>
      </x:c>
      <x:c r="Z1820" s="6" t="str">
        <x:v>https://github.com/hagenhaeussler/Industrial-Agents-Hackathon-2026/blob/f41616590b69f3ea0c1cbfb41d6c35edd9ce53df/data/train/swiss-22/questions_basic.jsonl#L6</x:v>
      </x:c>
      <x:c r="AA1820" s="6" t="str">
        <x:v>swiss_dwellings</x:v>
      </x:c>
      <x:c r="AB1820" s="6" t="str">
        <x:v>CC-BY-4.0</x:v>
      </x:c>
    </x:row>
    <x:row r="1821" ht="124" customHeight="1">
      <x:c r="A1821" s="14" t="n">
        <x:v>1816</x:v>
      </x:c>
      <x:c r="B1821" s="6" t="str">
        <x:v>route_with_closure</x:v>
      </x:c>
      <x:c r="C1821" s="6" t="str">
        <x:v>Main staircase is closed for maintenance. How do I get from Living room 1.11 (apartment 8) (Floor 1) to Bedroom 0.20 (apartment 3) (Ground floor)?</x:v>
      </x:c>
      <x:c r="D1821" s="6" t="str">
        <x:v>31.26 m
From: Living room 1.11 (apartment 8)
To: Bedroom 0.20 (apartment 3)
Ordered path (10 spaces): Living room 1.11 (apartment 8) → Corridor 1.14 (apartment 8) → Landing 1.61 → Landing 1.64 → Landing 0.53 → outside → Landing 0.51 → Corridor 0.18 (apartment 3) → Corridor 0.13 (apartment 3) → Bedroom 0.20 (apartment 3)
Closed: swiss-2214-V01</x:v>
      </x:c>
      <x:c r="E1821" s="6" t="str">
        <x:v>Reference supplied</x:v>
      </x:c>
      <x:c r="F1821" s="6" t="str">
        <x:v>train</x:v>
      </x:c>
      <x:c r="G1821" s="6" t="str">
        <x:v>swiss-2214</x:v>
      </x:c>
      <x:c r="H1821" s="6" t="str">
        <x:v>swiss-2214-Q06</x:v>
      </x:c>
      <x:c r="I1821" s="6" t="str">
        <x:v>Route planning</x:v>
      </x:c>
      <x:c r="J1821" s="6" t="str">
        <x:v>Warm-up</x:v>
      </x:c>
      <x:c r="K1821" s="6" t="str">
        <x:v>Alternative ordered path and metres, or an explicit no-route response.</x:v>
      </x:c>
      <x:c r="L1821" s="6" t="str">
        <x:v>T02, T05, T12, T13</x:v>
      </x:c>
      <x:c r="M1821" s="6" t="str">
        <x:v>Reroute while a named lift, staircase, door or room is closed.</x:v>
      </x:c>
      <x:c r="N1821" s="6" t="str">
        <x:v>{"from_space_id":"swiss-2214-F1-S011","to_space_id":"swiss-2214-F0-S020","optimal_length_m":31.26,"space_path":["swiss-2214-F1-S011","swiss-2214-F1-S014","swiss-2214-F1-S061","swiss-2214-F1-S064","swiss-2214-F0-S053","outside","swiss-2214-F0-S051","swiss-2214-F0-S018","swiss-2214-F0-S013","swiss-2214-F0-S020"],"element_path":["swiss-2214-F1-O0109","swiss-2214-F1-O0109","swiss-2214-F1-O0063","swiss-2214-F1-O0063","swiss-2214-F1-O0051","swiss-2214-F1-O0051","swiss-2214-V06","swiss-2214-F0-O0260","swiss-2214-F0-O0260","swiss-2214-F0-O0258","swiss-2214-F0-O0258","swiss-2214-F0-O0007","swiss-2214-F0-O0007","swiss-2214-F0-O0047","swiss-2214-F0-O0047","swiss-2214-F0-O0016","swiss-2214-F0-O0016"],"closed_element_id":"swiss-2214-V01"}</x:v>
      </x:c>
      <x:c r="O1821" s="6"/>
      <x:c r="P1821" s="6" t="str">
        <x:v>Avoid named closed element: swiss-2214-V01. May be unreachable.</x:v>
      </x:c>
      <x:c r="Q1821" s="15" t="n">
        <x:v>31.26</x:v>
      </x:c>
      <x:c r="R1821" s="6" t="str">
        <x:v>m</x:v>
      </x:c>
      <x:c r="S1821" s="16"/>
      <x:c r="T1821" s="15"/>
      <x:c r="U1821" s="6"/>
      <x:c r="V1821" s="6"/>
      <x:c r="W1821" s="6" t="str">
        <x:v>Existing set_closed followed by find_route. State reset is caller responsibility.</x:v>
      </x:c>
      <x:c r="X1821" s="6" t="str">
        <x:v>data/train/swiss-2214/questions_basic.jsonl</x:v>
      </x:c>
      <x:c r="Y1821" s="14" t="n">
        <x:v>6</x:v>
      </x:c>
      <x:c r="Z1821" s="6" t="str">
        <x:v>https://github.com/hagenhaeussler/Industrial-Agents-Hackathon-2026/blob/f41616590b69f3ea0c1cbfb41d6c35edd9ce53df/data/train/swiss-2214/questions_basic.jsonl#L6</x:v>
      </x:c>
      <x:c r="AA1821" s="6" t="str">
        <x:v>swiss_dwellings</x:v>
      </x:c>
      <x:c r="AB1821" s="6" t="str">
        <x:v>CC-BY-4.0</x:v>
      </x:c>
    </x:row>
    <x:row r="1822" ht="138" customHeight="1">
      <x:c r="A1822" s="14" t="n">
        <x:v>1817</x:v>
      </x:c>
      <x:c r="B1822" s="6" t="str">
        <x:v>route_with_closure</x:v>
      </x:c>
      <x:c r="C1822" s="6" t="str">
        <x:v>Staircase 5 is closed for maintenance. How do I get from Bathroom 3.10 (apartment 14) (Floor 3) to Bedroom 5.11 (apartment 23) (Floor 5)?</x:v>
      </x:c>
      <x:c r="D1822" s="6" t="str">
        <x:v>112.04 m
From: Bathroom 3.10 (apartment 14)
To: Bedroom 5.11 (apartment 23)
Ordered path (14 spaces): Bathroom 3.10 (apartment 14) → Corridor 3.11 (apartment 14) → Stair hall 3.31 → Stair hall 2.31 → Stair hall 1.31 → Stair hall 0.31 → outside → Stair hall 0.32 → Stair hall 1.32 → Stair hall 2.32 → Stair hall 3.32 → Stair hall 4.32 → Landing 5.25 → Bedroom 5.11 (apartment 23)
Closed: swiss-2216-V05</x:v>
      </x:c>
      <x:c r="E1822" s="6" t="str">
        <x:v>Reference supplied</x:v>
      </x:c>
      <x:c r="F1822" s="6" t="str">
        <x:v>train</x:v>
      </x:c>
      <x:c r="G1822" s="6" t="str">
        <x:v>swiss-2216</x:v>
      </x:c>
      <x:c r="H1822" s="6" t="str">
        <x:v>swiss-2216-Q07</x:v>
      </x:c>
      <x:c r="I1822" s="6" t="str">
        <x:v>Route planning</x:v>
      </x:c>
      <x:c r="J1822" s="6" t="str">
        <x:v>Warm-up</x:v>
      </x:c>
      <x:c r="K1822" s="6" t="str">
        <x:v>Alternative ordered path and metres, or an explicit no-route response.</x:v>
      </x:c>
      <x:c r="L1822" s="6" t="str">
        <x:v>T02, T05, T12, T13</x:v>
      </x:c>
      <x:c r="M1822" s="6" t="str">
        <x:v>Reroute while a named lift, staircase, door or room is closed.</x:v>
      </x:c>
      <x:c r="N1822" s="6" t="str">
        <x:v>{"from_space_id":"swiss-2216-F3-S010","to_space_id":"swiss-2216-F5-S011","optimal_length_m":112.04,"space_path":["swiss-2216-F3-S010","swiss-2216-F3-S011","swiss-2216-F3-S031","swiss-2216-F2-S031","swiss-2216-F1-S031","swiss-2216-F0-S031","outside","swiss-2216-F0-S032","swiss-2216-F1-S032","swiss-2216-F2-S032","swiss-2216-F3-S032","swiss-2216-F4-S032","swiss-2216-F5-S025","swiss-2216-F5-S011"],"element_path":["swiss-2216-F3-O0101","swiss-2216-F3-O0101","swiss-2216-F3-O0103","swiss-2216-F3-O0103","swiss-2216-V04","swiss-2216-V03","swiss-2216-V02","swiss-2216-F0-O0178","swiss-2216-F0-O0178","swiss-2216-F0-O0179","swiss-2216-F0-O0179","swiss-2216-V01","swiss-2216-V01","swiss-2216-V01","swiss-2216-V01","swiss-2216-V08","swiss-2216-F5-O0166","swiss-2216-F5-O0166"],"closed_element_id":"swiss-2216-V05"}</x:v>
      </x:c>
      <x:c r="O1822" s="6"/>
      <x:c r="P1822" s="6" t="str">
        <x:v>Avoid named closed element: swiss-2216-V05. May be unreachable.</x:v>
      </x:c>
      <x:c r="Q1822" s="15" t="n">
        <x:v>112.04</x:v>
      </x:c>
      <x:c r="R1822" s="6" t="str">
        <x:v>m</x:v>
      </x:c>
      <x:c r="S1822" s="16"/>
      <x:c r="T1822" s="15"/>
      <x:c r="U1822" s="6"/>
      <x:c r="V1822" s="6"/>
      <x:c r="W1822" s="6" t="str">
        <x:v>Existing set_closed followed by find_route. State reset is caller responsibility.</x:v>
      </x:c>
      <x:c r="X1822" s="6" t="str">
        <x:v>data/train/swiss-2216/questions_basic.jsonl</x:v>
      </x:c>
      <x:c r="Y1822" s="14" t="n">
        <x:v>7</x:v>
      </x:c>
      <x:c r="Z1822" s="6" t="str">
        <x:v>https://github.com/hagenhaeussler/Industrial-Agents-Hackathon-2026/blob/f41616590b69f3ea0c1cbfb41d6c35edd9ce53df/data/train/swiss-2216/questions_basic.jsonl#L7</x:v>
      </x:c>
      <x:c r="AA1822" s="6" t="str">
        <x:v>swiss_dwellings</x:v>
      </x:c>
      <x:c r="AB1822" s="6" t="str">
        <x:v>CC-BY-4.0</x:v>
      </x:c>
    </x:row>
    <x:row r="1823" ht="72" customHeight="1">
      <x:c r="A1823" s="14" t="n">
        <x:v>1818</x:v>
      </x:c>
      <x:c r="B1823" s="6" t="str">
        <x:v>route_with_closure</x:v>
      </x:c>
      <x:c r="C1823" s="6" t="str">
        <x:v>Main staircase is closed for maintenance. How do I get from Bedroom 1.16 (apartment 4) (Floor 1) to Bathroom 3.14 (apartment 8) (Floor 3)?</x:v>
      </x:c>
      <x:c r="D1823" s="6" t="str">
        <x:v>No route under the requested constraints.
From: Bedroom 1.16 (apartment 4)
To: Bathroom 3.14 (apartment 8)
Closed: swiss-2221-V01</x:v>
      </x:c>
      <x:c r="E1823" s="6" t="str">
        <x:v>Reference supplied</x:v>
      </x:c>
      <x:c r="F1823" s="6" t="str">
        <x:v>train</x:v>
      </x:c>
      <x:c r="G1823" s="6" t="str">
        <x:v>swiss-2221</x:v>
      </x:c>
      <x:c r="H1823" s="6" t="str">
        <x:v>swiss-2221-Q09</x:v>
      </x:c>
      <x:c r="I1823" s="6" t="str">
        <x:v>Route planning</x:v>
      </x:c>
      <x:c r="J1823" s="6" t="str">
        <x:v>Warm-up</x:v>
      </x:c>
      <x:c r="K1823" s="6" t="str">
        <x:v>Alternative ordered path and metres, or an explicit no-route response.</x:v>
      </x:c>
      <x:c r="L1823" s="6" t="str">
        <x:v>T02, T05, T12, T13</x:v>
      </x:c>
      <x:c r="M1823" s="6" t="str">
        <x:v>Reroute while a named lift, staircase, door or room is closed.</x:v>
      </x:c>
      <x:c r="N1823" s="6" t="str">
        <x:v>{"from_space_id":"swiss-2221-F1-S016","to_space_id":"swiss-2221-F3-S014","reachable":false,"closed_element_id":"swiss-2221-V01"}</x:v>
      </x:c>
      <x:c r="O1823" s="6"/>
      <x:c r="P1823" s="6" t="str">
        <x:v>Avoid named closed element: swiss-2221-V01. May be unreachable.</x:v>
      </x:c>
      <x:c r="Q1823" s="15"/>
      <x:c r="R1823" s="6"/>
      <x:c r="S1823" s="16"/>
      <x:c r="T1823" s="15"/>
      <x:c r="U1823" s="6"/>
      <x:c r="V1823" s="6"/>
      <x:c r="W1823" s="6" t="str">
        <x:v>Existing set_closed followed by find_route. State reset is caller responsibility.</x:v>
      </x:c>
      <x:c r="X1823" s="6" t="str">
        <x:v>data/train/swiss-2221/questions_basic.jsonl</x:v>
      </x:c>
      <x:c r="Y1823" s="14" t="n">
        <x:v>9</x:v>
      </x:c>
      <x:c r="Z1823" s="6" t="str">
        <x:v>https://github.com/hagenhaeussler/Industrial-Agents-Hackathon-2026/blob/f41616590b69f3ea0c1cbfb41d6c35edd9ce53df/data/train/swiss-2221/questions_basic.jsonl#L9</x:v>
      </x:c>
      <x:c r="AA1823" s="6" t="str">
        <x:v>swiss_dwellings</x:v>
      </x:c>
      <x:c r="AB1823" s="6" t="str">
        <x:v>CC-BY-4.0</x:v>
      </x:c>
    </x:row>
    <x:row r="1824" ht="72" customHeight="1">
      <x:c r="A1824" s="14" t="n">
        <x:v>1819</x:v>
      </x:c>
      <x:c r="B1824" s="6" t="str">
        <x:v>route_with_closure</x:v>
      </x:c>
      <x:c r="C1824" s="6" t="str">
        <x:v>Main staircase is closed for maintenance. How do I get from Bedroom 2.31 (apartment 16) (Floor 2) to Bedroom 0.18 (apartment 3) (Ground floor)?</x:v>
      </x:c>
      <x:c r="D1824" s="6" t="str">
        <x:v>No route under the requested constraints.
From: Bedroom 2.31 (apartment 16)
To: Bedroom 0.18 (apartment 3)
Closed: swiss-2235-V01</x:v>
      </x:c>
      <x:c r="E1824" s="6" t="str">
        <x:v>Reference supplied</x:v>
      </x:c>
      <x:c r="F1824" s="6" t="str">
        <x:v>train</x:v>
      </x:c>
      <x:c r="G1824" s="6" t="str">
        <x:v>swiss-2235</x:v>
      </x:c>
      <x:c r="H1824" s="6" t="str">
        <x:v>swiss-2235-Q07</x:v>
      </x:c>
      <x:c r="I1824" s="6" t="str">
        <x:v>Route planning</x:v>
      </x:c>
      <x:c r="J1824" s="6" t="str">
        <x:v>Warm-up</x:v>
      </x:c>
      <x:c r="K1824" s="6" t="str">
        <x:v>Alternative ordered path and metres, or an explicit no-route response.</x:v>
      </x:c>
      <x:c r="L1824" s="6" t="str">
        <x:v>T02, T05, T12, T13</x:v>
      </x:c>
      <x:c r="M1824" s="6" t="str">
        <x:v>Reroute while a named lift, staircase, door or room is closed.</x:v>
      </x:c>
      <x:c r="N1824" s="6" t="str">
        <x:v>{"from_space_id":"swiss-2235-F2-S031","to_space_id":"swiss-2235-F0-S018","reachable":false,"closed_element_id":"swiss-2235-V01"}</x:v>
      </x:c>
      <x:c r="O1824" s="6"/>
      <x:c r="P1824" s="6" t="str">
        <x:v>Avoid named closed element: swiss-2235-V01. May be unreachable.</x:v>
      </x:c>
      <x:c r="Q1824" s="15"/>
      <x:c r="R1824" s="6"/>
      <x:c r="S1824" s="16"/>
      <x:c r="T1824" s="15"/>
      <x:c r="U1824" s="6"/>
      <x:c r="V1824" s="6"/>
      <x:c r="W1824" s="6" t="str">
        <x:v>Existing set_closed followed by find_route. State reset is caller responsibility.</x:v>
      </x:c>
      <x:c r="X1824" s="6" t="str">
        <x:v>data/train/swiss-2235/questions_basic.jsonl</x:v>
      </x:c>
      <x:c r="Y1824" s="14" t="n">
        <x:v>7</x:v>
      </x:c>
      <x:c r="Z1824" s="6" t="str">
        <x:v>https://github.com/hagenhaeussler/Industrial-Agents-Hackathon-2026/blob/f41616590b69f3ea0c1cbfb41d6c35edd9ce53df/data/train/swiss-2235/questions_basic.jsonl#L7</x:v>
      </x:c>
      <x:c r="AA1824" s="6" t="str">
        <x:v>swiss_dwellings</x:v>
      </x:c>
      <x:c r="AB1824" s="6" t="str">
        <x:v>CC-BY-4.0</x:v>
      </x:c>
    </x:row>
    <x:row r="1825" ht="124" customHeight="1">
      <x:c r="A1825" s="14" t="n">
        <x:v>1820</x:v>
      </x:c>
      <x:c r="B1825" s="6" t="str">
        <x:v>route_with_closure</x:v>
      </x:c>
      <x:c r="C1825" s="6" t="str">
        <x:v>Main staircase is closed for maintenance. How do I get from Bathroom 2.22 (apartment 17) (Floor 2) to Bedroom 1.42 (apartment 12) (Floor 1)?</x:v>
      </x:c>
      <x:c r="D1825" s="6" t="str">
        <x:v>67.86 m
From: Bathroom 2.22 (apartment 17)
To: Bedroom 1.42 (apartment 12)
Ordered path (10 spaces): Bathroom 2.22 (apartment 17) → Corridor 2.19 (apartment 17) → Stair hall 2.60 → Stair hall 1.60 → Landing 0.60 → outside → Landing 0.59 → Stair hall 1.59 → Corridor 1.35 (apartment 12) → Bedroom 1.42 (apartment 12)
Closed: swiss-2274-V01</x:v>
      </x:c>
      <x:c r="E1825" s="6" t="str">
        <x:v>Reference supplied</x:v>
      </x:c>
      <x:c r="F1825" s="6" t="str">
        <x:v>train</x:v>
      </x:c>
      <x:c r="G1825" s="6" t="str">
        <x:v>swiss-2274</x:v>
      </x:c>
      <x:c r="H1825" s="6" t="str">
        <x:v>swiss-2274-Q07</x:v>
      </x:c>
      <x:c r="I1825" s="6" t="str">
        <x:v>Route planning</x:v>
      </x:c>
      <x:c r="J1825" s="6" t="str">
        <x:v>Warm-up</x:v>
      </x:c>
      <x:c r="K1825" s="6" t="str">
        <x:v>Alternative ordered path and metres, or an explicit no-route response.</x:v>
      </x:c>
      <x:c r="L1825" s="6" t="str">
        <x:v>T02, T05, T12, T13</x:v>
      </x:c>
      <x:c r="M1825" s="6" t="str">
        <x:v>Reroute while a named lift, staircase, door or room is closed.</x:v>
      </x:c>
      <x:c r="N1825" s="6" t="str">
        <x:v>{"from_space_id":"swiss-2274-F2-S022","to_space_id":"swiss-2274-F1-S042","optimal_length_m":67.86,"space_path":["swiss-2274-F2-S022","swiss-2274-F2-S019","swiss-2274-F2-S060","swiss-2274-F1-S060","swiss-2274-F0-S060","outside","swiss-2274-F0-S059","swiss-2274-F1-S059","swiss-2274-F1-S035","swiss-2274-F1-S042"],"element_path":["swiss-2274-F2-O0153","swiss-2274-F2-O0153","swiss-2274-F2-O0157","swiss-2274-F2-O0157","swiss-2274-V02","swiss-2274-V02","swiss-2274-F0-O0203","swiss-2274-F0-O0203","swiss-2274-F0-O0202","swiss-2274-F0-O0202","swiss-2274-V03","swiss-2274-F1-O0105","swiss-2274-F1-O0105","swiss-2274-F1-O0104","swiss-2274-F1-O0104"],"closed_element_id":"swiss-2274-V01"}</x:v>
      </x:c>
      <x:c r="O1825" s="6"/>
      <x:c r="P1825" s="6" t="str">
        <x:v>Avoid named closed element: swiss-2274-V01. May be unreachable.</x:v>
      </x:c>
      <x:c r="Q1825" s="15" t="n">
        <x:v>67.86</x:v>
      </x:c>
      <x:c r="R1825" s="6" t="str">
        <x:v>m</x:v>
      </x:c>
      <x:c r="S1825" s="16"/>
      <x:c r="T1825" s="15"/>
      <x:c r="U1825" s="6"/>
      <x:c r="V1825" s="6"/>
      <x:c r="W1825" s="6" t="str">
        <x:v>Existing set_closed followed by find_route. State reset is caller responsibility.</x:v>
      </x:c>
      <x:c r="X1825" s="6" t="str">
        <x:v>data/train/swiss-2274/questions_basic.jsonl</x:v>
      </x:c>
      <x:c r="Y1825" s="14" t="n">
        <x:v>7</x:v>
      </x:c>
      <x:c r="Z1825" s="6" t="str">
        <x:v>https://github.com/hagenhaeussler/Industrial-Agents-Hackathon-2026/blob/f41616590b69f3ea0c1cbfb41d6c35edd9ce53df/data/train/swiss-2274/questions_basic.jsonl#L7</x:v>
      </x:c>
      <x:c r="AA1825" s="6" t="str">
        <x:v>swiss_dwellings</x:v>
      </x:c>
      <x:c r="AB1825" s="6" t="str">
        <x:v>CC-BY-4.0</x:v>
      </x:c>
    </x:row>
    <x:row r="1826" ht="72" customHeight="1">
      <x:c r="A1826" s="14" t="n">
        <x:v>1821</x:v>
      </x:c>
      <x:c r="B1826" s="6" t="str">
        <x:v>route_with_closure</x:v>
      </x:c>
      <x:c r="C1826" s="6" t="str">
        <x:v>Main staircase is closed for maintenance. How do I get from Bedroom 2.03 (apartment 13) (Floor 2) to Kitchen 0.26 (apartment 4) (Ground floor)?</x:v>
      </x:c>
      <x:c r="D1826" s="6" t="str">
        <x:v>No route under the requested constraints.
From: Bedroom 2.03 (apartment 13)
To: Kitchen 0.26 (apartment 4)
Closed: swiss-2314-V01</x:v>
      </x:c>
      <x:c r="E1826" s="6" t="str">
        <x:v>Reference supplied</x:v>
      </x:c>
      <x:c r="F1826" s="6" t="str">
        <x:v>train</x:v>
      </x:c>
      <x:c r="G1826" s="6" t="str">
        <x:v>swiss-2314</x:v>
      </x:c>
      <x:c r="H1826" s="6" t="str">
        <x:v>swiss-2314-Q07</x:v>
      </x:c>
      <x:c r="I1826" s="6" t="str">
        <x:v>Route planning</x:v>
      </x:c>
      <x:c r="J1826" s="6" t="str">
        <x:v>Warm-up</x:v>
      </x:c>
      <x:c r="K1826" s="6" t="str">
        <x:v>Alternative ordered path and metres, or an explicit no-route response.</x:v>
      </x:c>
      <x:c r="L1826" s="6" t="str">
        <x:v>T02, T05, T12, T13</x:v>
      </x:c>
      <x:c r="M1826" s="6" t="str">
        <x:v>Reroute while a named lift, staircase, door or room is closed.</x:v>
      </x:c>
      <x:c r="N1826" s="6" t="str">
        <x:v>{"from_space_id":"swiss-2314-F2-S003","to_space_id":"swiss-2314-F0-S026","reachable":false,"closed_element_id":"swiss-2314-V01"}</x:v>
      </x:c>
      <x:c r="O1826" s="6"/>
      <x:c r="P1826" s="6" t="str">
        <x:v>Avoid named closed element: swiss-2314-V01. May be unreachable.</x:v>
      </x:c>
      <x:c r="Q1826" s="15"/>
      <x:c r="R1826" s="6"/>
      <x:c r="S1826" s="16"/>
      <x:c r="T1826" s="15"/>
      <x:c r="U1826" s="6"/>
      <x:c r="V1826" s="6"/>
      <x:c r="W1826" s="6" t="str">
        <x:v>Existing set_closed followed by find_route. State reset is caller responsibility.</x:v>
      </x:c>
      <x:c r="X1826" s="6" t="str">
        <x:v>data/train/swiss-2314/questions_basic.jsonl</x:v>
      </x:c>
      <x:c r="Y1826" s="14" t="n">
        <x:v>7</x:v>
      </x:c>
      <x:c r="Z1826" s="6" t="str">
        <x:v>https://github.com/hagenhaeussler/Industrial-Agents-Hackathon-2026/blob/f41616590b69f3ea0c1cbfb41d6c35edd9ce53df/data/train/swiss-2314/questions_basic.jsonl#L7</x:v>
      </x:c>
      <x:c r="AA1826" s="6" t="str">
        <x:v>swiss_dwellings</x:v>
      </x:c>
      <x:c r="AB1826" s="6" t="str">
        <x:v>CC-BY-4.0</x:v>
      </x:c>
    </x:row>
    <x:row r="1827" ht="138" customHeight="1">
      <x:c r="A1827" s="14" t="n">
        <x:v>1822</x:v>
      </x:c>
      <x:c r="B1827" s="6" t="str">
        <x:v>route_with_closure</x:v>
      </x:c>
      <x:c r="C1827" s="6" t="str">
        <x:v>Main staircase is closed for maintenance. How do I get from Bedroom 2.09 (apartment 10) (Floor 2) to Living room 2.16 (apartment 11) (Floor 2)?</x:v>
      </x:c>
      <x:c r="D1827" s="6" t="str">
        <x:v>66.57 m
From: Bedroom 2.09 (apartment 10)
To: Living room 2.16 (apartment 11)
Ordered path (12 spaces): Bedroom 2.09 (apartment 10) → Corridor 2.10 (apartment 10) → Landing 2.30 → Landing 2.29 → Landing 1.31 → Landing 0.30 → outside → Landing 0.32 → Landing 1.29 → Landing 2.31 → Corridor 2.19 (apartment 11) → Living room 2.16 (apartment 11)
Closed: swiss-2390-V01</x:v>
      </x:c>
      <x:c r="E1827" s="6" t="str">
        <x:v>Reference supplied</x:v>
      </x:c>
      <x:c r="F1827" s="6" t="str">
        <x:v>train</x:v>
      </x:c>
      <x:c r="G1827" s="6" t="str">
        <x:v>swiss-2390</x:v>
      </x:c>
      <x:c r="H1827" s="6" t="str">
        <x:v>swiss-2390-Q07</x:v>
      </x:c>
      <x:c r="I1827" s="6" t="str">
        <x:v>Route planning</x:v>
      </x:c>
      <x:c r="J1827" s="6" t="str">
        <x:v>Warm-up</x:v>
      </x:c>
      <x:c r="K1827" s="6" t="str">
        <x:v>Alternative ordered path and metres, or an explicit no-route response.</x:v>
      </x:c>
      <x:c r="L1827" s="6" t="str">
        <x:v>T02, T05, T12, T13</x:v>
      </x:c>
      <x:c r="M1827" s="6" t="str">
        <x:v>Reroute while a named lift, staircase, door or room is closed.</x:v>
      </x:c>
      <x:c r="N1827" s="6" t="str">
        <x:v>{"from_space_id":"swiss-2390-F2-S009","to_space_id":"swiss-2390-F2-S016","optimal_length_m":66.57,"space_path":["swiss-2390-F2-S009","swiss-2390-F2-S010","swiss-2390-F2-S030","swiss-2390-F2-S029","swiss-2390-F1-S031","swiss-2390-F0-S030","outside","swiss-2390-F0-S032","swiss-2390-F1-S029","swiss-2390-F2-S031","swiss-2390-F2-S019","swiss-2390-F2-S016"],"element_path":["swiss-2390-F2-O0072","swiss-2390-F2-O0072","swiss-2390-F2-O0076","swiss-2390-F2-O0076","swiss-2390-F2-O0061","swiss-2390-F2-O0061","swiss-2390-V05","swiss-2390-V03","swiss-2390-F0-O0134","swiss-2390-F0-O0134","swiss-2390-F0-O0136","swiss-2390-F0-O0136","swiss-2390-V02","swiss-2390-V06","swiss-2390-F2-O0080","swiss-2390-F2-O0080","swiss-2390-F2-O0082","swiss-2390-F2-O0082"],"closed_element_id":"swiss-2390-V01"}</x:v>
      </x:c>
      <x:c r="O1827" s="6"/>
      <x:c r="P1827" s="6" t="str">
        <x:v>Avoid named closed element: swiss-2390-V01. May be unreachable.</x:v>
      </x:c>
      <x:c r="Q1827" s="15" t="n">
        <x:v>66.57</x:v>
      </x:c>
      <x:c r="R1827" s="6" t="str">
        <x:v>m</x:v>
      </x:c>
      <x:c r="S1827" s="16"/>
      <x:c r="T1827" s="15"/>
      <x:c r="U1827" s="6"/>
      <x:c r="V1827" s="6"/>
      <x:c r="W1827" s="6" t="str">
        <x:v>Existing set_closed followed by find_route. State reset is caller responsibility.</x:v>
      </x:c>
      <x:c r="X1827" s="6" t="str">
        <x:v>data/train/swiss-2390/questions_basic.jsonl</x:v>
      </x:c>
      <x:c r="Y1827" s="14" t="n">
        <x:v>7</x:v>
      </x:c>
      <x:c r="Z1827" s="6" t="str">
        <x:v>https://github.com/hagenhaeussler/Industrial-Agents-Hackathon-2026/blob/f41616590b69f3ea0c1cbfb41d6c35edd9ce53df/data/train/swiss-2390/questions_basic.jsonl#L7</x:v>
      </x:c>
      <x:c r="AA1827" s="6" t="str">
        <x:v>swiss_dwellings</x:v>
      </x:c>
      <x:c r="AB1827" s="6" t="str">
        <x:v>CC-BY-4.0</x:v>
      </x:c>
    </x:row>
    <x:row r="1828" ht="72" customHeight="1">
      <x:c r="A1828" s="14" t="n">
        <x:v>1823</x:v>
      </x:c>
      <x:c r="B1828" s="6" t="str">
        <x:v>route_with_closure</x:v>
      </x:c>
      <x:c r="C1828" s="6" t="str">
        <x:v>Main staircase is closed for maintenance. How do I get from Bedroom 0.05 (apartment 1) (Ground floor) to Bathroom 1.01 (apartment 4) (Floor 1)?</x:v>
      </x:c>
      <x:c r="D1828" s="6" t="str">
        <x:v>No route under the requested constraints.
From: Bedroom 0.05 (apartment 1)
To: Bathroom 1.01 (apartment 4)
Closed: swiss-2476-V01</x:v>
      </x:c>
      <x:c r="E1828" s="6" t="str">
        <x:v>Reference supplied</x:v>
      </x:c>
      <x:c r="F1828" s="6" t="str">
        <x:v>train</x:v>
      </x:c>
      <x:c r="G1828" s="6" t="str">
        <x:v>swiss-2476</x:v>
      </x:c>
      <x:c r="H1828" s="6" t="str">
        <x:v>swiss-2476-Q07</x:v>
      </x:c>
      <x:c r="I1828" s="6" t="str">
        <x:v>Route planning</x:v>
      </x:c>
      <x:c r="J1828" s="6" t="str">
        <x:v>Warm-up</x:v>
      </x:c>
      <x:c r="K1828" s="6" t="str">
        <x:v>Alternative ordered path and metres, or an explicit no-route response.</x:v>
      </x:c>
      <x:c r="L1828" s="6" t="str">
        <x:v>T02, T05, T12, T13</x:v>
      </x:c>
      <x:c r="M1828" s="6" t="str">
        <x:v>Reroute while a named lift, staircase, door or room is closed.</x:v>
      </x:c>
      <x:c r="N1828" s="6" t="str">
        <x:v>{"from_space_id":"swiss-2476-F0-S005","to_space_id":"swiss-2476-F1-S001","reachable":false,"closed_element_id":"swiss-2476-V01"}</x:v>
      </x:c>
      <x:c r="O1828" s="6"/>
      <x:c r="P1828" s="6" t="str">
        <x:v>Avoid named closed element: swiss-2476-V01. May be unreachable.</x:v>
      </x:c>
      <x:c r="Q1828" s="15"/>
      <x:c r="R1828" s="6"/>
      <x:c r="S1828" s="16"/>
      <x:c r="T1828" s="15"/>
      <x:c r="U1828" s="6"/>
      <x:c r="V1828" s="6"/>
      <x:c r="W1828" s="6" t="str">
        <x:v>Existing set_closed followed by find_route. State reset is caller responsibility.</x:v>
      </x:c>
      <x:c r="X1828" s="6" t="str">
        <x:v>data/train/swiss-2476/questions_basic.jsonl</x:v>
      </x:c>
      <x:c r="Y1828" s="14" t="n">
        <x:v>7</x:v>
      </x:c>
      <x:c r="Z1828" s="6" t="str">
        <x:v>https://github.com/hagenhaeussler/Industrial-Agents-Hackathon-2026/blob/f41616590b69f3ea0c1cbfb41d6c35edd9ce53df/data/train/swiss-2476/questions_basic.jsonl#L7</x:v>
      </x:c>
      <x:c r="AA1828" s="6" t="str">
        <x:v>swiss_dwellings</x:v>
      </x:c>
      <x:c r="AB1828" s="6" t="str">
        <x:v>CC-BY-4.0</x:v>
      </x:c>
    </x:row>
    <x:row r="1829" ht="72" customHeight="1">
      <x:c r="A1829" s="14" t="n">
        <x:v>1824</x:v>
      </x:c>
      <x:c r="B1829" s="6" t="str">
        <x:v>route_with_closure</x:v>
      </x:c>
      <x:c r="C1829" s="6" t="str">
        <x:v>Main staircase is closed for maintenance. How do I get from Bathroom 2.02 (apartment 7) (Floor 2) to Bedroom 0.12 (apartment 2) (Ground floor)?</x:v>
      </x:c>
      <x:c r="D1829" s="6" t="str">
        <x:v>No route under the requested constraints.
From: Bathroom 2.02 (apartment 7)
To: Bedroom 0.12 (apartment 2)
Closed: swiss-2482-V01</x:v>
      </x:c>
      <x:c r="E1829" s="6" t="str">
        <x:v>Reference supplied</x:v>
      </x:c>
      <x:c r="F1829" s="6" t="str">
        <x:v>train</x:v>
      </x:c>
      <x:c r="G1829" s="6" t="str">
        <x:v>swiss-2482</x:v>
      </x:c>
      <x:c r="H1829" s="6" t="str">
        <x:v>swiss-2482-Q08</x:v>
      </x:c>
      <x:c r="I1829" s="6" t="str">
        <x:v>Route planning</x:v>
      </x:c>
      <x:c r="J1829" s="6" t="str">
        <x:v>Warm-up</x:v>
      </x:c>
      <x:c r="K1829" s="6" t="str">
        <x:v>Alternative ordered path and metres, or an explicit no-route response.</x:v>
      </x:c>
      <x:c r="L1829" s="6" t="str">
        <x:v>T02, T05, T12, T13</x:v>
      </x:c>
      <x:c r="M1829" s="6" t="str">
        <x:v>Reroute while a named lift, staircase, door or room is closed.</x:v>
      </x:c>
      <x:c r="N1829" s="6" t="str">
        <x:v>{"from_space_id":"swiss-2482-F2-S002","to_space_id":"swiss-2482-F0-S012","reachable":false,"closed_element_id":"swiss-2482-V01"}</x:v>
      </x:c>
      <x:c r="O1829" s="6"/>
      <x:c r="P1829" s="6" t="str">
        <x:v>Avoid named closed element: swiss-2482-V01. May be unreachable.</x:v>
      </x:c>
      <x:c r="Q1829" s="15"/>
      <x:c r="R1829" s="6"/>
      <x:c r="S1829" s="16"/>
      <x:c r="T1829" s="15"/>
      <x:c r="U1829" s="6"/>
      <x:c r="V1829" s="6"/>
      <x:c r="W1829" s="6" t="str">
        <x:v>Existing set_closed followed by find_route. State reset is caller responsibility.</x:v>
      </x:c>
      <x:c r="X1829" s="6" t="str">
        <x:v>data/train/swiss-2482/questions_basic.jsonl</x:v>
      </x:c>
      <x:c r="Y1829" s="14" t="n">
        <x:v>8</x:v>
      </x:c>
      <x:c r="Z1829" s="6" t="str">
        <x:v>https://github.com/hagenhaeussler/Industrial-Agents-Hackathon-2026/blob/f41616590b69f3ea0c1cbfb41d6c35edd9ce53df/data/train/swiss-2482/questions_basic.jsonl#L8</x:v>
      </x:c>
      <x:c r="AA1829" s="6" t="str">
        <x:v>swiss_dwellings</x:v>
      </x:c>
      <x:c r="AB1829" s="6" t="str">
        <x:v>CC-BY-4.0</x:v>
      </x:c>
    </x:row>
    <x:row r="1830" ht="72" customHeight="1">
      <x:c r="A1830" s="14" t="n">
        <x:v>1825</x:v>
      </x:c>
      <x:c r="B1830" s="6" t="str">
        <x:v>route_with_closure</x:v>
      </x:c>
      <x:c r="C1830" s="6" t="str">
        <x:v>Staircase 3 is closed for maintenance. How do I get from Bedroom 2.31 (apartment 11) (Floor 2) to Kitchen 3.10 (apartment 13) (Floor 3)?</x:v>
      </x:c>
      <x:c r="D1830" s="6" t="str">
        <x:v>No route under the requested constraints.
From: Bedroom 2.31 (apartment 11)
To: Kitchen 3.10 (apartment 13)
Closed: swiss-256-V03</x:v>
      </x:c>
      <x:c r="E1830" s="6" t="str">
        <x:v>Reference supplied</x:v>
      </x:c>
      <x:c r="F1830" s="6" t="str">
        <x:v>train</x:v>
      </x:c>
      <x:c r="G1830" s="6" t="str">
        <x:v>swiss-256</x:v>
      </x:c>
      <x:c r="H1830" s="6" t="str">
        <x:v>swiss-256-Q06</x:v>
      </x:c>
      <x:c r="I1830" s="6" t="str">
        <x:v>Route planning</x:v>
      </x:c>
      <x:c r="J1830" s="6" t="str">
        <x:v>Warm-up</x:v>
      </x:c>
      <x:c r="K1830" s="6" t="str">
        <x:v>Alternative ordered path and metres, or an explicit no-route response.</x:v>
      </x:c>
      <x:c r="L1830" s="6" t="str">
        <x:v>T02, T05, T12, T13</x:v>
      </x:c>
      <x:c r="M1830" s="6" t="str">
        <x:v>Reroute while a named lift, staircase, door or room is closed.</x:v>
      </x:c>
      <x:c r="N1830" s="6" t="str">
        <x:v>{"from_space_id":"swiss-256-F2-S031","to_space_id":"swiss-256-F3-S010","reachable":false,"closed_element_id":"swiss-256-V03"}</x:v>
      </x:c>
      <x:c r="O1830" s="6"/>
      <x:c r="P1830" s="6" t="str">
        <x:v>Avoid named closed element: swiss-256-V03. May be unreachable.</x:v>
      </x:c>
      <x:c r="Q1830" s="15"/>
      <x:c r="R1830" s="6"/>
      <x:c r="S1830" s="16"/>
      <x:c r="T1830" s="15"/>
      <x:c r="U1830" s="6"/>
      <x:c r="V1830" s="6"/>
      <x:c r="W1830" s="6" t="str">
        <x:v>Existing set_closed followed by find_route. State reset is caller responsibility.</x:v>
      </x:c>
      <x:c r="X1830" s="6" t="str">
        <x:v>data/train/swiss-256/questions_basic.jsonl</x:v>
      </x:c>
      <x:c r="Y1830" s="14" t="n">
        <x:v>6</x:v>
      </x:c>
      <x:c r="Z1830" s="6" t="str">
        <x:v>https://github.com/hagenhaeussler/Industrial-Agents-Hackathon-2026/blob/f41616590b69f3ea0c1cbfb41d6c35edd9ce53df/data/train/swiss-256/questions_basic.jsonl#L6</x:v>
      </x:c>
      <x:c r="AA1830" s="6" t="str">
        <x:v>swiss_dwellings</x:v>
      </x:c>
      <x:c r="AB1830" s="6" t="str">
        <x:v>CC-BY-4.0</x:v>
      </x:c>
    </x:row>
    <x:row r="1831" ht="96" customHeight="1">
      <x:c r="A1831" s="14" t="n">
        <x:v>1826</x:v>
      </x:c>
      <x:c r="B1831" s="6" t="str">
        <x:v>route_with_closure</x:v>
      </x:c>
      <x:c r="C1831" s="6" t="str">
        <x:v>Staircase 7 is closed for maintenance. How do I get from Kitchen 2.29 (apartment 36) (Floor 2) to Kitchen 1.46 (apartment 27) (Floor 1)?</x:v>
      </x:c>
      <x:c r="D1831" s="6" t="str">
        <x:v>24.91 m
From: Kitchen 2.29 (apartment 36)
To: Kitchen 1.46 (apartment 27)
Ordered path (5 spaces): Kitchen 2.29 (apartment 36) → Stair hall 2.54 → Stair hall 1.54 → Landing 1.55 → Kitchen 1.46 (apartment 27)
Closed: swiss-2798-V08</x:v>
      </x:c>
      <x:c r="E1831" s="6" t="str">
        <x:v>Reference supplied</x:v>
      </x:c>
      <x:c r="F1831" s="6" t="str">
        <x:v>train</x:v>
      </x:c>
      <x:c r="G1831" s="6" t="str">
        <x:v>swiss-2798</x:v>
      </x:c>
      <x:c r="H1831" s="6" t="str">
        <x:v>swiss-2798-Q07</x:v>
      </x:c>
      <x:c r="I1831" s="6" t="str">
        <x:v>Route planning</x:v>
      </x:c>
      <x:c r="J1831" s="6" t="str">
        <x:v>Warm-up</x:v>
      </x:c>
      <x:c r="K1831" s="6" t="str">
        <x:v>Alternative ordered path and metres, or an explicit no-route response.</x:v>
      </x:c>
      <x:c r="L1831" s="6" t="str">
        <x:v>T02, T05, T12, T13</x:v>
      </x:c>
      <x:c r="M1831" s="6" t="str">
        <x:v>Reroute while a named lift, staircase, door or room is closed.</x:v>
      </x:c>
      <x:c r="N1831" s="6" t="str">
        <x:v>{"from_space_id":"swiss-2798-F2-S029","to_space_id":"swiss-2798-F1-S046","optimal_length_m":24.91,"space_path":["swiss-2798-F2-S029","swiss-2798-F2-S054","swiss-2798-F1-S054","swiss-2798-F1-S055","swiss-2798-F1-S046"],"element_path":["swiss-2798-F2-O0140","swiss-2798-F2-O0140","swiss-2798-V01","swiss-2798-F1-O0063","swiss-2798-F1-O0063","swiss-2798-F1-O0097","swiss-2798-F1-O0097"],"closed_element_id":"swiss-2798-V08"}</x:v>
      </x:c>
      <x:c r="O1831" s="6"/>
      <x:c r="P1831" s="6" t="str">
        <x:v>Avoid named closed element: swiss-2798-V08. May be unreachable.</x:v>
      </x:c>
      <x:c r="Q1831" s="15" t="n">
        <x:v>24.91</x:v>
      </x:c>
      <x:c r="R1831" s="6" t="str">
        <x:v>m</x:v>
      </x:c>
      <x:c r="S1831" s="16"/>
      <x:c r="T1831" s="15"/>
      <x:c r="U1831" s="6"/>
      <x:c r="V1831" s="6"/>
      <x:c r="W1831" s="6" t="str">
        <x:v>Existing set_closed followed by find_route. State reset is caller responsibility.</x:v>
      </x:c>
      <x:c r="X1831" s="6" t="str">
        <x:v>data/train/swiss-2798/questions_basic.jsonl</x:v>
      </x:c>
      <x:c r="Y1831" s="14" t="n">
        <x:v>7</x:v>
      </x:c>
      <x:c r="Z1831" s="6" t="str">
        <x:v>https://github.com/hagenhaeussler/Industrial-Agents-Hackathon-2026/blob/f41616590b69f3ea0c1cbfb41d6c35edd9ce53df/data/train/swiss-2798/questions_basic.jsonl#L7</x:v>
      </x:c>
      <x:c r="AA1831" s="6" t="str">
        <x:v>swiss_dwellings</x:v>
      </x:c>
      <x:c r="AB1831" s="6" t="str">
        <x:v>CC-BY-4.0</x:v>
      </x:c>
    </x:row>
    <x:row r="1832" ht="110" customHeight="1">
      <x:c r="A1832" s="14" t="n">
        <x:v>1827</x:v>
      </x:c>
      <x:c r="B1832" s="6" t="str">
        <x:v>route_with_closure</x:v>
      </x:c>
      <x:c r="C1832" s="6" t="str">
        <x:v>Main staircase is closed for maintenance. How do I get from Bedroom 0.06 (apartment 1) (Ground floor) to Kitchen 1.01 (apartment 3) (Floor 1)?</x:v>
      </x:c>
      <x:c r="D1832" s="6" t="str">
        <x:v>37.06 m
From: Bedroom 0.06 (apartment 1)
To: Kitchen 1.01 (apartment 3)
Ordered path (6 spaces): Bedroom 0.06 (apartment 1) → Corridor 0.09 (apartment 1) → Stair hall 0.19 → Stair hall 1.19 → Corridor 1.08 (apartment 3) → Kitchen 1.01 (apartment 3)
Closed: swiss-28-V01</x:v>
      </x:c>
      <x:c r="E1832" s="6" t="str">
        <x:v>Reference supplied</x:v>
      </x:c>
      <x:c r="F1832" s="6" t="str">
        <x:v>train</x:v>
      </x:c>
      <x:c r="G1832" s="6" t="str">
        <x:v>swiss-28</x:v>
      </x:c>
      <x:c r="H1832" s="6" t="str">
        <x:v>swiss-28-Q09</x:v>
      </x:c>
      <x:c r="I1832" s="6" t="str">
        <x:v>Route planning</x:v>
      </x:c>
      <x:c r="J1832" s="6" t="str">
        <x:v>Warm-up</x:v>
      </x:c>
      <x:c r="K1832" s="6" t="str">
        <x:v>Alternative ordered path and metres, or an explicit no-route response.</x:v>
      </x:c>
      <x:c r="L1832" s="6" t="str">
        <x:v>T02, T05, T12, T13</x:v>
      </x:c>
      <x:c r="M1832" s="6" t="str">
        <x:v>Reroute while a named lift, staircase, door or room is closed.</x:v>
      </x:c>
      <x:c r="N1832" s="6" t="str">
        <x:v>{"from_space_id":"swiss-28-F0-S006","to_space_id":"swiss-28-F1-S001","optimal_length_m":37.06,"space_path":["swiss-28-F0-S006","swiss-28-F0-S009","swiss-28-F0-S019","swiss-28-F1-S019","swiss-28-F1-S008","swiss-28-F1-S001"],"element_path":["swiss-28-F0-O0008","swiss-28-F0-O0008","swiss-28-F0-O0002","swiss-28-F0-O0002","swiss-28-V02","swiss-28-F1-O0022","swiss-28-F1-O0022","swiss-28-F1-O0024","swiss-28-F1-O0024"],"closed_element_id":"swiss-28-V01"}</x:v>
      </x:c>
      <x:c r="O1832" s="6"/>
      <x:c r="P1832" s="6" t="str">
        <x:v>Avoid named closed element: swiss-28-V01. May be unreachable.</x:v>
      </x:c>
      <x:c r="Q1832" s="15" t="n">
        <x:v>37.06</x:v>
      </x:c>
      <x:c r="R1832" s="6" t="str">
        <x:v>m</x:v>
      </x:c>
      <x:c r="S1832" s="16"/>
      <x:c r="T1832" s="15"/>
      <x:c r="U1832" s="6"/>
      <x:c r="V1832" s="6"/>
      <x:c r="W1832" s="6" t="str">
        <x:v>Existing set_closed followed by find_route. State reset is caller responsibility.</x:v>
      </x:c>
      <x:c r="X1832" s="6" t="str">
        <x:v>data/train/swiss-28/questions_basic.jsonl</x:v>
      </x:c>
      <x:c r="Y1832" s="14" t="n">
        <x:v>9</x:v>
      </x:c>
      <x:c r="Z1832" s="6" t="str">
        <x:v>https://github.com/hagenhaeussler/Industrial-Agents-Hackathon-2026/blob/f41616590b69f3ea0c1cbfb41d6c35edd9ce53df/data/train/swiss-28/questions_basic.jsonl#L9</x:v>
      </x:c>
      <x:c r="AA1832" s="6" t="str">
        <x:v>swiss_dwellings</x:v>
      </x:c>
      <x:c r="AB1832" s="6" t="str">
        <x:v>CC-BY-4.0</x:v>
      </x:c>
    </x:row>
    <x:row r="1833" ht="110" customHeight="1">
      <x:c r="A1833" s="14" t="n">
        <x:v>1828</x:v>
      </x:c>
      <x:c r="B1833" s="6" t="str">
        <x:v>route_with_closure</x:v>
      </x:c>
      <x:c r="C1833" s="6" t="str">
        <x:v>Main staircase is closed for maintenance. How do I get from Bedroom 4.19 (apartment 20) (Floor 4) to Bathroom 5.17 (apartment 23) (Floor 5)?</x:v>
      </x:c>
      <x:c r="D1833" s="6" t="str">
        <x:v>36.23 m
From: Bedroom 4.19 (apartment 20)
To: Bathroom 5.17 (apartment 23)
Ordered path (6 spaces): Bedroom 4.19 (apartment 20) → Corridor 4.20 (apartment 20) → Stair hall 4.25 → Stair hall 5.21 → Corridor 5.20 (apartment 23) → Bathroom 5.17 (apartment 23)
Closed: swiss-2974-V01</x:v>
      </x:c>
      <x:c r="E1833" s="6" t="str">
        <x:v>Reference supplied</x:v>
      </x:c>
      <x:c r="F1833" s="6" t="str">
        <x:v>train</x:v>
      </x:c>
      <x:c r="G1833" s="6" t="str">
        <x:v>swiss-2974</x:v>
      </x:c>
      <x:c r="H1833" s="6" t="str">
        <x:v>swiss-2974-Q07</x:v>
      </x:c>
      <x:c r="I1833" s="6" t="str">
        <x:v>Route planning</x:v>
      </x:c>
      <x:c r="J1833" s="6" t="str">
        <x:v>Warm-up</x:v>
      </x:c>
      <x:c r="K1833" s="6" t="str">
        <x:v>Alternative ordered path and metres, or an explicit no-route response.</x:v>
      </x:c>
      <x:c r="L1833" s="6" t="str">
        <x:v>T02, T05, T12, T13</x:v>
      </x:c>
      <x:c r="M1833" s="6" t="str">
        <x:v>Reroute while a named lift, staircase, door or room is closed.</x:v>
      </x:c>
      <x:c r="N1833" s="6" t="str">
        <x:v>{"from_space_id":"swiss-2974-F4-S019","to_space_id":"swiss-2974-F5-S017","optimal_length_m":36.23,"space_path":["swiss-2974-F4-S019","swiss-2974-F4-S020","swiss-2974-F4-S025","swiss-2974-F5-S021","swiss-2974-F5-S020","swiss-2974-F5-S017"],"element_path":["swiss-2974-F4-O0116","swiss-2974-F4-O0116","swiss-2974-F4-O0115","swiss-2974-F4-O0115","swiss-2974-V02","swiss-2974-F5-O0142","swiss-2974-F5-O0142","swiss-2974-F5-O0141","swiss-2974-F5-O0141"],"closed_element_id":"swiss-2974-V01"}</x:v>
      </x:c>
      <x:c r="O1833" s="6"/>
      <x:c r="P1833" s="6" t="str">
        <x:v>Avoid named closed element: swiss-2974-V01. May be unreachable.</x:v>
      </x:c>
      <x:c r="Q1833" s="15" t="n">
        <x:v>36.23</x:v>
      </x:c>
      <x:c r="R1833" s="6" t="str">
        <x:v>m</x:v>
      </x:c>
      <x:c r="S1833" s="16"/>
      <x:c r="T1833" s="15"/>
      <x:c r="U1833" s="6"/>
      <x:c r="V1833" s="6"/>
      <x:c r="W1833" s="6" t="str">
        <x:v>Existing set_closed followed by find_route. State reset is caller responsibility.</x:v>
      </x:c>
      <x:c r="X1833" s="6" t="str">
        <x:v>data/train/swiss-2974/questions_basic.jsonl</x:v>
      </x:c>
      <x:c r="Y1833" s="14" t="n">
        <x:v>7</x:v>
      </x:c>
      <x:c r="Z1833" s="6" t="str">
        <x:v>https://github.com/hagenhaeussler/Industrial-Agents-Hackathon-2026/blob/f41616590b69f3ea0c1cbfb41d6c35edd9ce53df/data/train/swiss-2974/questions_basic.jsonl#L7</x:v>
      </x:c>
      <x:c r="AA1833" s="6" t="str">
        <x:v>swiss_dwellings</x:v>
      </x:c>
      <x:c r="AB1833" s="6" t="str">
        <x:v>CC-BY-4.0</x:v>
      </x:c>
    </x:row>
    <x:row r="1834" ht="72" customHeight="1">
      <x:c r="A1834" s="14" t="n">
        <x:v>1829</x:v>
      </x:c>
      <x:c r="B1834" s="6" t="str">
        <x:v>route_with_closure</x:v>
      </x:c>
      <x:c r="C1834" s="6" t="str">
        <x:v>Main staircase is closed for maintenance. How do I get from Living room 2.25 (apartment 16) (Floor 2) to Bedroom 1.06 (apartment 7) (Floor 1)?</x:v>
      </x:c>
      <x:c r="D1834" s="6" t="str">
        <x:v>No route under the requested constraints.
From: Living room 2.25 (apartment 16)
To: Bedroom 1.06 (apartment 7)
Closed: swiss-2975-V01</x:v>
      </x:c>
      <x:c r="E1834" s="6" t="str">
        <x:v>Reference supplied</x:v>
      </x:c>
      <x:c r="F1834" s="6" t="str">
        <x:v>train</x:v>
      </x:c>
      <x:c r="G1834" s="6" t="str">
        <x:v>swiss-2975</x:v>
      </x:c>
      <x:c r="H1834" s="6" t="str">
        <x:v>swiss-2975-Q08</x:v>
      </x:c>
      <x:c r="I1834" s="6" t="str">
        <x:v>Route planning</x:v>
      </x:c>
      <x:c r="J1834" s="6" t="str">
        <x:v>Warm-up</x:v>
      </x:c>
      <x:c r="K1834" s="6" t="str">
        <x:v>Alternative ordered path and metres, or an explicit no-route response.</x:v>
      </x:c>
      <x:c r="L1834" s="6" t="str">
        <x:v>T02, T05, T12, T13</x:v>
      </x:c>
      <x:c r="M1834" s="6" t="str">
        <x:v>Reroute while a named lift, staircase, door or room is closed.</x:v>
      </x:c>
      <x:c r="N1834" s="6" t="str">
        <x:v>{"from_space_id":"swiss-2975-F2-S025","to_space_id":"swiss-2975-F1-S006","reachable":false,"closed_element_id":"swiss-2975-V01"}</x:v>
      </x:c>
      <x:c r="O1834" s="6"/>
      <x:c r="P1834" s="6" t="str">
        <x:v>Avoid named closed element: swiss-2975-V01. May be unreachable.</x:v>
      </x:c>
      <x:c r="Q1834" s="15"/>
      <x:c r="R1834" s="6"/>
      <x:c r="S1834" s="16"/>
      <x:c r="T1834" s="15"/>
      <x:c r="U1834" s="6"/>
      <x:c r="V1834" s="6"/>
      <x:c r="W1834" s="6" t="str">
        <x:v>Existing set_closed followed by find_route. State reset is caller responsibility.</x:v>
      </x:c>
      <x:c r="X1834" s="6" t="str">
        <x:v>data/train/swiss-2975/questions_basic.jsonl</x:v>
      </x:c>
      <x:c r="Y1834" s="14" t="n">
        <x:v>8</x:v>
      </x:c>
      <x:c r="Z1834" s="6" t="str">
        <x:v>https://github.com/hagenhaeussler/Industrial-Agents-Hackathon-2026/blob/f41616590b69f3ea0c1cbfb41d6c35edd9ce53df/data/train/swiss-2975/questions_basic.jsonl#L8</x:v>
      </x:c>
      <x:c r="AA1834" s="6" t="str">
        <x:v>swiss_dwellings</x:v>
      </x:c>
      <x:c r="AB1834" s="6" t="str">
        <x:v>CC-BY-4.0</x:v>
      </x:c>
    </x:row>
    <x:row r="1835" ht="124" customHeight="1">
      <x:c r="A1835" s="14" t="n">
        <x:v>1830</x:v>
      </x:c>
      <x:c r="B1835" s="6" t="str">
        <x:v>route_with_closure</x:v>
      </x:c>
      <x:c r="C1835" s="6" t="str">
        <x:v>Staircase 3 is closed for maintenance. How do I get from Bedroom 1.13 (apartment 6) (Floor 1) to Storage 0.33 (apartment 4) (Ground floor)?</x:v>
      </x:c>
      <x:c r="D1835" s="6" t="str">
        <x:v>29.04 m
From: Bedroom 1.13 (apartment 6)
To: Storage 0.33 (apartment 4)
Ordered path (9 spaces): Bedroom 1.13 (apartment 6) → Corridor 1.19 (apartment 6) → Landing 1.44 → Landing 1.43 → Landing 0.43 → outside → Landing 0.44 → Corridor 0.35 (apartment 4) → Storage 0.33 (apartment 4)
Closed: swiss-3066-V03</x:v>
      </x:c>
      <x:c r="E1835" s="6" t="str">
        <x:v>Reference supplied</x:v>
      </x:c>
      <x:c r="F1835" s="6" t="str">
        <x:v>train</x:v>
      </x:c>
      <x:c r="G1835" s="6" t="str">
        <x:v>swiss-3066</x:v>
      </x:c>
      <x:c r="H1835" s="6" t="str">
        <x:v>swiss-3066-Q08</x:v>
      </x:c>
      <x:c r="I1835" s="6" t="str">
        <x:v>Route planning</x:v>
      </x:c>
      <x:c r="J1835" s="6" t="str">
        <x:v>Warm-up</x:v>
      </x:c>
      <x:c r="K1835" s="6" t="str">
        <x:v>Alternative ordered path and metres, or an explicit no-route response.</x:v>
      </x:c>
      <x:c r="L1835" s="6" t="str">
        <x:v>T02, T05, T12, T13</x:v>
      </x:c>
      <x:c r="M1835" s="6" t="str">
        <x:v>Reroute while a named lift, staircase, door or room is closed.</x:v>
      </x:c>
      <x:c r="N1835" s="6" t="str">
        <x:v>{"from_space_id":"swiss-3066-F1-S013","to_space_id":"swiss-3066-F0-S033","optimal_length_m":29.04,"space_path":["swiss-3066-F1-S013","swiss-3066-F1-S019","swiss-3066-F1-S044","swiss-3066-F1-S043","swiss-3066-F0-S043","outside","swiss-3066-F0-S044","swiss-3066-F0-S035","swiss-3066-F0-S033"],"element_path":["swiss-3066-F1-O0059","swiss-3066-F1-O0059","swiss-3066-F1-O0063","swiss-3066-F1-O0063","swiss-3066-F1-O0047","swiss-3066-F1-O0047","swiss-3066-V02","swiss-3066-F0-O0097","swiss-3066-F0-O0097","swiss-3066-F0-O0098","swiss-3066-F0-O0098","swiss-3066-F0-O0031","swiss-3066-F0-O0031","swiss-3066-F0-O0044","swiss-3066-F0-O0044"],"closed_element_id":"swiss-3066-V03"}</x:v>
      </x:c>
      <x:c r="O1835" s="6"/>
      <x:c r="P1835" s="6" t="str">
        <x:v>Avoid named closed element: swiss-3066-V03. May be unreachable.</x:v>
      </x:c>
      <x:c r="Q1835" s="15" t="n">
        <x:v>29.04</x:v>
      </x:c>
      <x:c r="R1835" s="6" t="str">
        <x:v>m</x:v>
      </x:c>
      <x:c r="S1835" s="16"/>
      <x:c r="T1835" s="15"/>
      <x:c r="U1835" s="6"/>
      <x:c r="V1835" s="6"/>
      <x:c r="W1835" s="6" t="str">
        <x:v>Existing set_closed followed by find_route. State reset is caller responsibility.</x:v>
      </x:c>
      <x:c r="X1835" s="6" t="str">
        <x:v>data/train/swiss-3066/questions_basic.jsonl</x:v>
      </x:c>
      <x:c r="Y1835" s="14" t="n">
        <x:v>8</x:v>
      </x:c>
      <x:c r="Z1835" s="6" t="str">
        <x:v>https://github.com/hagenhaeussler/Industrial-Agents-Hackathon-2026/blob/f41616590b69f3ea0c1cbfb41d6c35edd9ce53df/data/train/swiss-3066/questions_basic.jsonl#L8</x:v>
      </x:c>
      <x:c r="AA1835" s="6" t="str">
        <x:v>swiss_dwellings</x:v>
      </x:c>
      <x:c r="AB1835" s="6" t="str">
        <x:v>CC-BY-4.0</x:v>
      </x:c>
    </x:row>
    <x:row r="1836" ht="72" customHeight="1">
      <x:c r="A1836" s="14" t="n">
        <x:v>1831</x:v>
      </x:c>
      <x:c r="B1836" s="6" t="str">
        <x:v>route_with_closure</x:v>
      </x:c>
      <x:c r="C1836" s="6" t="str">
        <x:v>Main staircase is closed for maintenance. How do I get from Bathroom 1.33 (apartment 9) (Floor 1) to Kitchen 3.03 (apartment 16) (Floor 3)?</x:v>
      </x:c>
      <x:c r="D1836" s="6" t="str">
        <x:v>No route under the requested constraints.
From: Bathroom 1.33 (apartment 9)
To: Kitchen 3.03 (apartment 16)
Closed: swiss-3092-V01</x:v>
      </x:c>
      <x:c r="E1836" s="6" t="str">
        <x:v>Reference supplied</x:v>
      </x:c>
      <x:c r="F1836" s="6" t="str">
        <x:v>train</x:v>
      </x:c>
      <x:c r="G1836" s="6" t="str">
        <x:v>swiss-3092</x:v>
      </x:c>
      <x:c r="H1836" s="6" t="str">
        <x:v>swiss-3092-Q06</x:v>
      </x:c>
      <x:c r="I1836" s="6" t="str">
        <x:v>Route planning</x:v>
      </x:c>
      <x:c r="J1836" s="6" t="str">
        <x:v>Warm-up</x:v>
      </x:c>
      <x:c r="K1836" s="6" t="str">
        <x:v>Alternative ordered path and metres, or an explicit no-route response.</x:v>
      </x:c>
      <x:c r="L1836" s="6" t="str">
        <x:v>T02, T05, T12, T13</x:v>
      </x:c>
      <x:c r="M1836" s="6" t="str">
        <x:v>Reroute while a named lift, staircase, door or room is closed.</x:v>
      </x:c>
      <x:c r="N1836" s="6" t="str">
        <x:v>{"from_space_id":"swiss-3092-F1-S033","to_space_id":"swiss-3092-F3-S003","reachable":false,"closed_element_id":"swiss-3092-V01"}</x:v>
      </x:c>
      <x:c r="O1836" s="6"/>
      <x:c r="P1836" s="6" t="str">
        <x:v>Avoid named closed element: swiss-3092-V01. May be unreachable.</x:v>
      </x:c>
      <x:c r="Q1836" s="15"/>
      <x:c r="R1836" s="6"/>
      <x:c r="S1836" s="16"/>
      <x:c r="T1836" s="15"/>
      <x:c r="U1836" s="6"/>
      <x:c r="V1836" s="6"/>
      <x:c r="W1836" s="6" t="str">
        <x:v>Existing set_closed followed by find_route. State reset is caller responsibility.</x:v>
      </x:c>
      <x:c r="X1836" s="6" t="str">
        <x:v>data/train/swiss-3092/questions_basic.jsonl</x:v>
      </x:c>
      <x:c r="Y1836" s="14" t="n">
        <x:v>6</x:v>
      </x:c>
      <x:c r="Z1836" s="6" t="str">
        <x:v>https://github.com/hagenhaeussler/Industrial-Agents-Hackathon-2026/blob/f41616590b69f3ea0c1cbfb41d6c35edd9ce53df/data/train/swiss-3092/questions_basic.jsonl#L6</x:v>
      </x:c>
      <x:c r="AA1836" s="6" t="str">
        <x:v>swiss_dwellings</x:v>
      </x:c>
      <x:c r="AB1836" s="6" t="str">
        <x:v>CC-BY-4.0</x:v>
      </x:c>
    </x:row>
    <x:row r="1837" ht="124" customHeight="1">
      <x:c r="A1837" s="14" t="n">
        <x:v>1832</x:v>
      </x:c>
      <x:c r="B1837" s="6" t="str">
        <x:v>route_with_closure</x:v>
      </x:c>
      <x:c r="C1837" s="6" t="str">
        <x:v>Staircase 2 is closed for maintenance. How do I get from Living room 1.03 (apartment 3) (Floor 1) to Storage 0.09 (apartment 1) (Ground floor)?</x:v>
      </x:c>
      <x:c r="D1837" s="6" t="str">
        <x:v>30.89 m
From: Living room 1.03 (apartment 3)
To: Storage 0.09 (apartment 1)
Ordered path (9 spaces): Living room 1.03 (apartment 3) → Corridor 1.01 (apartment 3) → Landing 1.23 → Landing 1.24 → Landing 0.24 → outside → Landing 0.23 → Corridor 0.01 (apartment 1) → Storage 0.09 (apartment 1)
Closed: swiss-3096-V03</x:v>
      </x:c>
      <x:c r="E1837" s="6" t="str">
        <x:v>Reference supplied</x:v>
      </x:c>
      <x:c r="F1837" s="6" t="str">
        <x:v>train</x:v>
      </x:c>
      <x:c r="G1837" s="6" t="str">
        <x:v>swiss-3096</x:v>
      </x:c>
      <x:c r="H1837" s="6" t="str">
        <x:v>swiss-3096-Q09</x:v>
      </x:c>
      <x:c r="I1837" s="6" t="str">
        <x:v>Route planning</x:v>
      </x:c>
      <x:c r="J1837" s="6" t="str">
        <x:v>Warm-up</x:v>
      </x:c>
      <x:c r="K1837" s="6" t="str">
        <x:v>Alternative ordered path and metres, or an explicit no-route response.</x:v>
      </x:c>
      <x:c r="L1837" s="6" t="str">
        <x:v>T02, T05, T12, T13</x:v>
      </x:c>
      <x:c r="M1837" s="6" t="str">
        <x:v>Reroute while a named lift, staircase, door or room is closed.</x:v>
      </x:c>
      <x:c r="N1837" s="6" t="str">
        <x:v>{"from_space_id":"swiss-3096-F1-S003","to_space_id":"swiss-3096-F0-S009","optimal_length_m":30.89,"space_path":["swiss-3096-F1-S003","swiss-3096-F1-S001","swiss-3096-F1-S023","swiss-3096-F1-S024","swiss-3096-F0-S024","outside","swiss-3096-F0-S023","swiss-3096-F0-S001","swiss-3096-F0-S009"],"element_path":["swiss-3096-F1-O0046","swiss-3096-F1-O0046","swiss-3096-F1-O0027","swiss-3096-F1-O0027","swiss-3096-F1-O0025","swiss-3096-F1-O0025","swiss-3096-V01","swiss-3096-F0-O0091","swiss-3096-F0-O0091","swiss-3096-F0-O0090","swiss-3096-F0-O0090","swiss-3096-F0-O0006","swiss-3096-F0-O0006","swiss-3096-F0-O0010","swiss-3096-F0-O0010"],"closed_element_id":"swiss-3096-V03"}</x:v>
      </x:c>
      <x:c r="O1837" s="6"/>
      <x:c r="P1837" s="6" t="str">
        <x:v>Avoid named closed element: swiss-3096-V03. May be unreachable.</x:v>
      </x:c>
      <x:c r="Q1837" s="15" t="n">
        <x:v>30.89</x:v>
      </x:c>
      <x:c r="R1837" s="6" t="str">
        <x:v>m</x:v>
      </x:c>
      <x:c r="S1837" s="16"/>
      <x:c r="T1837" s="15"/>
      <x:c r="U1837" s="6"/>
      <x:c r="V1837" s="6"/>
      <x:c r="W1837" s="6" t="str">
        <x:v>Existing set_closed followed by find_route. State reset is caller responsibility.</x:v>
      </x:c>
      <x:c r="X1837" s="6" t="str">
        <x:v>data/train/swiss-3096/questions_basic.jsonl</x:v>
      </x:c>
      <x:c r="Y1837" s="14" t="n">
        <x:v>9</x:v>
      </x:c>
      <x:c r="Z1837" s="6" t="str">
        <x:v>https://github.com/hagenhaeussler/Industrial-Agents-Hackathon-2026/blob/f41616590b69f3ea0c1cbfb41d6c35edd9ce53df/data/train/swiss-3096/questions_basic.jsonl#L9</x:v>
      </x:c>
      <x:c r="AA1837" s="6" t="str">
        <x:v>swiss_dwellings</x:v>
      </x:c>
      <x:c r="AB1837" s="6" t="str">
        <x:v>CC-BY-4.0</x:v>
      </x:c>
    </x:row>
    <x:row r="1838" ht="124" customHeight="1">
      <x:c r="A1838" s="14" t="n">
        <x:v>1833</x:v>
      </x:c>
      <x:c r="B1838" s="6" t="str">
        <x:v>route_with_closure</x:v>
      </x:c>
      <x:c r="C1838" s="6" t="str">
        <x:v>Main staircase is closed for maintenance. How do I get from Kitchen 3.07 (apartment 9) (Floor 3) to Kitchen 1.17 (apartment 5) (Floor 1)?</x:v>
      </x:c>
      <x:c r="D1838" s="6" t="str">
        <x:v>66.99 m
From: Kitchen 3.07 (apartment 9)
To: Kitchen 1.17 (apartment 5)
Ordered path (8 spaces): Kitchen 3.07 (apartment 9) → Living room 3.06 (apartment 9) → Corridor 3.01 (apartment 9) → Stair hall 3.22 → Stair hall 2.22 → Stair hall 1.22 → Bedroom 1.20 (apartment 5) → Kitchen 1.17 (apartment 5)
Closed: swiss-3197-V01</x:v>
      </x:c>
      <x:c r="E1838" s="6" t="str">
        <x:v>Reference supplied</x:v>
      </x:c>
      <x:c r="F1838" s="6" t="str">
        <x:v>train</x:v>
      </x:c>
      <x:c r="G1838" s="6" t="str">
        <x:v>swiss-3197</x:v>
      </x:c>
      <x:c r="H1838" s="6" t="str">
        <x:v>swiss-3197-Q07</x:v>
      </x:c>
      <x:c r="I1838" s="6" t="str">
        <x:v>Route planning</x:v>
      </x:c>
      <x:c r="J1838" s="6" t="str">
        <x:v>Warm-up</x:v>
      </x:c>
      <x:c r="K1838" s="6" t="str">
        <x:v>Alternative ordered path and metres, or an explicit no-route response.</x:v>
      </x:c>
      <x:c r="L1838" s="6" t="str">
        <x:v>T02, T05, T12, T13</x:v>
      </x:c>
      <x:c r="M1838" s="6" t="str">
        <x:v>Reroute while a named lift, staircase, door or room is closed.</x:v>
      </x:c>
      <x:c r="N1838" s="6" t="str">
        <x:v>{"from_space_id":"swiss-3197-F3-S007","to_space_id":"swiss-3197-F1-S017","optimal_length_m":66.99,"space_path":["swiss-3197-F3-S007","swiss-3197-F3-S006","swiss-3197-F3-S001","swiss-3197-F3-S022","swiss-3197-F2-S022","swiss-3197-F1-S022","swiss-3197-F1-S020","swiss-3197-F1-S017"],"element_path":["swiss-3197-F3-O0078","swiss-3197-F3-O0078","swiss-3197-F3-O0077","swiss-3197-F3-O0077","swiss-3197-F3-O0066","swiss-3197-F3-O0066","swiss-3197-V02","swiss-3197-V02","swiss-3197-F1-O0032","swiss-3197-F1-O0032","swiss-3197-F1-O0038","swiss-3197-F1-O0038"],"closed_element_id":"swiss-3197-V01"}</x:v>
      </x:c>
      <x:c r="O1838" s="6"/>
      <x:c r="P1838" s="6" t="str">
        <x:v>Avoid named closed element: swiss-3197-V01. May be unreachable.</x:v>
      </x:c>
      <x:c r="Q1838" s="15" t="n">
        <x:v>66.99</x:v>
      </x:c>
      <x:c r="R1838" s="6" t="str">
        <x:v>m</x:v>
      </x:c>
      <x:c r="S1838" s="16"/>
      <x:c r="T1838" s="15"/>
      <x:c r="U1838" s="6"/>
      <x:c r="V1838" s="6"/>
      <x:c r="W1838" s="6" t="str">
        <x:v>Existing set_closed followed by find_route. State reset is caller responsibility.</x:v>
      </x:c>
      <x:c r="X1838" s="6" t="str">
        <x:v>data/train/swiss-3197/questions_basic.jsonl</x:v>
      </x:c>
      <x:c r="Y1838" s="14" t="n">
        <x:v>7</x:v>
      </x:c>
      <x:c r="Z1838" s="6" t="str">
        <x:v>https://github.com/hagenhaeussler/Industrial-Agents-Hackathon-2026/blob/f41616590b69f3ea0c1cbfb41d6c35edd9ce53df/data/train/swiss-3197/questions_basic.jsonl#L7</x:v>
      </x:c>
      <x:c r="AA1838" s="6" t="str">
        <x:v>swiss_dwellings</x:v>
      </x:c>
      <x:c r="AB1838" s="6" t="str">
        <x:v>CC-BY-4.0</x:v>
      </x:c>
    </x:row>
    <x:row r="1839" ht="72" customHeight="1">
      <x:c r="A1839" s="14" t="n">
        <x:v>1834</x:v>
      </x:c>
      <x:c r="B1839" s="6" t="str">
        <x:v>route_with_closure</x:v>
      </x:c>
      <x:c r="C1839" s="6" t="str">
        <x:v>Main staircase is closed for maintenance. How do I get from Bathroom 1.13 (apartment 5) (Floor 1) to Bedroom -1.04 (apartment 1) (Basement 1)?</x:v>
      </x:c>
      <x:c r="D1839" s="6" t="str">
        <x:v>No route under the requested constraints.
From: Bathroom 1.13 (apartment 5)
To: Bedroom -1.04 (apartment 1)
Closed: swiss-325-V01</x:v>
      </x:c>
      <x:c r="E1839" s="6" t="str">
        <x:v>Reference supplied</x:v>
      </x:c>
      <x:c r="F1839" s="6" t="str">
        <x:v>train</x:v>
      </x:c>
      <x:c r="G1839" s="6" t="str">
        <x:v>swiss-325</x:v>
      </x:c>
      <x:c r="H1839" s="6" t="str">
        <x:v>swiss-325-Q08</x:v>
      </x:c>
      <x:c r="I1839" s="6" t="str">
        <x:v>Route planning</x:v>
      </x:c>
      <x:c r="J1839" s="6" t="str">
        <x:v>Warm-up</x:v>
      </x:c>
      <x:c r="K1839" s="6" t="str">
        <x:v>Alternative ordered path and metres, or an explicit no-route response.</x:v>
      </x:c>
      <x:c r="L1839" s="6" t="str">
        <x:v>T02, T05, T12, T13</x:v>
      </x:c>
      <x:c r="M1839" s="6" t="str">
        <x:v>Reroute while a named lift, staircase, door or room is closed.</x:v>
      </x:c>
      <x:c r="N1839" s="6" t="str">
        <x:v>{"from_space_id":"swiss-325-F1-S013","to_space_id":"swiss-325-F-1-S004","reachable":false,"closed_element_id":"swiss-325-V01"}</x:v>
      </x:c>
      <x:c r="O1839" s="6"/>
      <x:c r="P1839" s="6" t="str">
        <x:v>Avoid named closed element: swiss-325-V01. May be unreachable.</x:v>
      </x:c>
      <x:c r="Q1839" s="15"/>
      <x:c r="R1839" s="6"/>
      <x:c r="S1839" s="16"/>
      <x:c r="T1839" s="15"/>
      <x:c r="U1839" s="6"/>
      <x:c r="V1839" s="6"/>
      <x:c r="W1839" s="6" t="str">
        <x:v>Existing set_closed followed by find_route. State reset is caller responsibility.</x:v>
      </x:c>
      <x:c r="X1839" s="6" t="str">
        <x:v>data/train/swiss-325/questions_basic.jsonl</x:v>
      </x:c>
      <x:c r="Y1839" s="14" t="n">
        <x:v>8</x:v>
      </x:c>
      <x:c r="Z1839" s="6" t="str">
        <x:v>https://github.com/hagenhaeussler/Industrial-Agents-Hackathon-2026/blob/f41616590b69f3ea0c1cbfb41d6c35edd9ce53df/data/train/swiss-325/questions_basic.jsonl#L8</x:v>
      </x:c>
      <x:c r="AA1839" s="6" t="str">
        <x:v>swiss_dwellings</x:v>
      </x:c>
      <x:c r="AB1839" s="6" t="str">
        <x:v>CC-BY-4.0</x:v>
      </x:c>
    </x:row>
    <x:row r="1840" ht="72" customHeight="1">
      <x:c r="A1840" s="14" t="n">
        <x:v>1835</x:v>
      </x:c>
      <x:c r="B1840" s="6" t="str">
        <x:v>route_with_closure</x:v>
      </x:c>
      <x:c r="C1840" s="6" t="str">
        <x:v>Main staircase is closed for maintenance. How do I get from Kitchen 1.14 (apartment 6) (Floor 1) to Bedroom 2.23 (apartment 12) (Floor 2)?</x:v>
      </x:c>
      <x:c r="D1840" s="6" t="str">
        <x:v>No route under the requested constraints.
From: Kitchen 1.14 (apartment 6)
To: Bedroom 2.23 (apartment 12)
Closed: swiss-328-V01</x:v>
      </x:c>
      <x:c r="E1840" s="6" t="str">
        <x:v>Reference supplied</x:v>
      </x:c>
      <x:c r="F1840" s="6" t="str">
        <x:v>train</x:v>
      </x:c>
      <x:c r="G1840" s="6" t="str">
        <x:v>swiss-328</x:v>
      </x:c>
      <x:c r="H1840" s="6" t="str">
        <x:v>swiss-328-Q06</x:v>
      </x:c>
      <x:c r="I1840" s="6" t="str">
        <x:v>Route planning</x:v>
      </x:c>
      <x:c r="J1840" s="6" t="str">
        <x:v>Warm-up</x:v>
      </x:c>
      <x:c r="K1840" s="6" t="str">
        <x:v>Alternative ordered path and metres, or an explicit no-route response.</x:v>
      </x:c>
      <x:c r="L1840" s="6" t="str">
        <x:v>T02, T05, T12, T13</x:v>
      </x:c>
      <x:c r="M1840" s="6" t="str">
        <x:v>Reroute while a named lift, staircase, door or room is closed.</x:v>
      </x:c>
      <x:c r="N1840" s="6" t="str">
        <x:v>{"from_space_id":"swiss-328-F1-S014","to_space_id":"swiss-328-F2-S023","reachable":false,"closed_element_id":"swiss-328-V01"}</x:v>
      </x:c>
      <x:c r="O1840" s="6"/>
      <x:c r="P1840" s="6" t="str">
        <x:v>Avoid named closed element: swiss-328-V01. May be unreachable.</x:v>
      </x:c>
      <x:c r="Q1840" s="15"/>
      <x:c r="R1840" s="6"/>
      <x:c r="S1840" s="16"/>
      <x:c r="T1840" s="15"/>
      <x:c r="U1840" s="6"/>
      <x:c r="V1840" s="6"/>
      <x:c r="W1840" s="6" t="str">
        <x:v>Existing set_closed followed by find_route. State reset is caller responsibility.</x:v>
      </x:c>
      <x:c r="X1840" s="6" t="str">
        <x:v>data/train/swiss-328/questions_basic.jsonl</x:v>
      </x:c>
      <x:c r="Y1840" s="14" t="n">
        <x:v>6</x:v>
      </x:c>
      <x:c r="Z1840" s="6" t="str">
        <x:v>https://github.com/hagenhaeussler/Industrial-Agents-Hackathon-2026/blob/f41616590b69f3ea0c1cbfb41d6c35edd9ce53df/data/train/swiss-328/questions_basic.jsonl#L6</x:v>
      </x:c>
      <x:c r="AA1840" s="6" t="str">
        <x:v>swiss_dwellings</x:v>
      </x:c>
      <x:c r="AB1840" s="6" t="str">
        <x:v>CC-BY-4.0</x:v>
      </x:c>
    </x:row>
    <x:row r="1841" ht="72" customHeight="1">
      <x:c r="A1841" s="14" t="n">
        <x:v>1836</x:v>
      </x:c>
      <x:c r="B1841" s="6" t="str">
        <x:v>route_with_closure</x:v>
      </x:c>
      <x:c r="C1841" s="6" t="str">
        <x:v>Staircase 4 is closed for maintenance. How do I get from Bedroom 3.19 (apartment 14) (Floor 3) to Bedroom 0.12 (apartment 2) (Ground floor)?</x:v>
      </x:c>
      <x:c r="D1841" s="6" t="str">
        <x:v>No route under the requested constraints.
From: Bedroom 3.19 (apartment 14)
To: Bedroom 0.12 (apartment 2)
Closed: swiss-3284-V05</x:v>
      </x:c>
      <x:c r="E1841" s="6" t="str">
        <x:v>Reference supplied</x:v>
      </x:c>
      <x:c r="F1841" s="6" t="str">
        <x:v>train</x:v>
      </x:c>
      <x:c r="G1841" s="6" t="str">
        <x:v>swiss-3284</x:v>
      </x:c>
      <x:c r="H1841" s="6" t="str">
        <x:v>swiss-3284-Q07</x:v>
      </x:c>
      <x:c r="I1841" s="6" t="str">
        <x:v>Route planning</x:v>
      </x:c>
      <x:c r="J1841" s="6" t="str">
        <x:v>Warm-up</x:v>
      </x:c>
      <x:c r="K1841" s="6" t="str">
        <x:v>Alternative ordered path and metres, or an explicit no-route response.</x:v>
      </x:c>
      <x:c r="L1841" s="6" t="str">
        <x:v>T02, T05, T12, T13</x:v>
      </x:c>
      <x:c r="M1841" s="6" t="str">
        <x:v>Reroute while a named lift, staircase, door or room is closed.</x:v>
      </x:c>
      <x:c r="N1841" s="6" t="str">
        <x:v>{"from_space_id":"swiss-3284-F3-S019","to_space_id":"swiss-3284-F0-S012","reachable":false,"closed_element_id":"swiss-3284-V05"}</x:v>
      </x:c>
      <x:c r="O1841" s="6"/>
      <x:c r="P1841" s="6" t="str">
        <x:v>Avoid named closed element: swiss-3284-V05. May be unreachable.</x:v>
      </x:c>
      <x:c r="Q1841" s="15"/>
      <x:c r="R1841" s="6"/>
      <x:c r="S1841" s="16"/>
      <x:c r="T1841" s="15"/>
      <x:c r="U1841" s="6"/>
      <x:c r="V1841" s="6"/>
      <x:c r="W1841" s="6" t="str">
        <x:v>Existing set_closed followed by find_route. State reset is caller responsibility.</x:v>
      </x:c>
      <x:c r="X1841" s="6" t="str">
        <x:v>data/train/swiss-3284/questions_basic.jsonl</x:v>
      </x:c>
      <x:c r="Y1841" s="14" t="n">
        <x:v>7</x:v>
      </x:c>
      <x:c r="Z1841" s="6" t="str">
        <x:v>https://github.com/hagenhaeussler/Industrial-Agents-Hackathon-2026/blob/f41616590b69f3ea0c1cbfb41d6c35edd9ce53df/data/train/swiss-3284/questions_basic.jsonl#L7</x:v>
      </x:c>
      <x:c r="AA1841" s="6" t="str">
        <x:v>swiss_dwellings</x:v>
      </x:c>
      <x:c r="AB1841" s="6" t="str">
        <x:v>CC-BY-4.0</x:v>
      </x:c>
    </x:row>
    <x:row r="1842" ht="72" customHeight="1">
      <x:c r="A1842" s="14" t="n">
        <x:v>1837</x:v>
      </x:c>
      <x:c r="B1842" s="6" t="str">
        <x:v>route_with_closure</x:v>
      </x:c>
      <x:c r="C1842" s="6" t="str">
        <x:v>Main staircase is closed for maintenance. How do I get from Bedroom 3.12 (apartment 8) (Floor 3) to Bedroom 1.07 (apartment 3) (Floor 1)?</x:v>
      </x:c>
      <x:c r="D1842" s="6" t="str">
        <x:v>No route under the requested constraints.
From: Bedroom 3.12 (apartment 8)
To: Bedroom 1.07 (apartment 3)
Closed: swiss-333-V01</x:v>
      </x:c>
      <x:c r="E1842" s="6" t="str">
        <x:v>Reference supplied</x:v>
      </x:c>
      <x:c r="F1842" s="6" t="str">
        <x:v>train</x:v>
      </x:c>
      <x:c r="G1842" s="6" t="str">
        <x:v>swiss-333</x:v>
      </x:c>
      <x:c r="H1842" s="6" t="str">
        <x:v>swiss-333-Q08</x:v>
      </x:c>
      <x:c r="I1842" s="6" t="str">
        <x:v>Route planning</x:v>
      </x:c>
      <x:c r="J1842" s="6" t="str">
        <x:v>Warm-up</x:v>
      </x:c>
      <x:c r="K1842" s="6" t="str">
        <x:v>Alternative ordered path and metres, or an explicit no-route response.</x:v>
      </x:c>
      <x:c r="L1842" s="6" t="str">
        <x:v>T02, T05, T12, T13</x:v>
      </x:c>
      <x:c r="M1842" s="6" t="str">
        <x:v>Reroute while a named lift, staircase, door or room is closed.</x:v>
      </x:c>
      <x:c r="N1842" s="6" t="str">
        <x:v>{"from_space_id":"swiss-333-F3-S012","to_space_id":"swiss-333-F1-S007","reachable":false,"closed_element_id":"swiss-333-V01"}</x:v>
      </x:c>
      <x:c r="O1842" s="6"/>
      <x:c r="P1842" s="6" t="str">
        <x:v>Avoid named closed element: swiss-333-V01. May be unreachable.</x:v>
      </x:c>
      <x:c r="Q1842" s="15"/>
      <x:c r="R1842" s="6"/>
      <x:c r="S1842" s="16"/>
      <x:c r="T1842" s="15"/>
      <x:c r="U1842" s="6"/>
      <x:c r="V1842" s="6"/>
      <x:c r="W1842" s="6" t="str">
        <x:v>Existing set_closed followed by find_route. State reset is caller responsibility.</x:v>
      </x:c>
      <x:c r="X1842" s="6" t="str">
        <x:v>data/train/swiss-333/questions_basic.jsonl</x:v>
      </x:c>
      <x:c r="Y1842" s="14" t="n">
        <x:v>8</x:v>
      </x:c>
      <x:c r="Z1842" s="6" t="str">
        <x:v>https://github.com/hagenhaeussler/Industrial-Agents-Hackathon-2026/blob/f41616590b69f3ea0c1cbfb41d6c35edd9ce53df/data/train/swiss-333/questions_basic.jsonl#L8</x:v>
      </x:c>
      <x:c r="AA1842" s="6" t="str">
        <x:v>swiss_dwellings</x:v>
      </x:c>
      <x:c r="AB1842" s="6" t="str">
        <x:v>CC-BY-4.0</x:v>
      </x:c>
    </x:row>
    <x:row r="1843" ht="72" customHeight="1">
      <x:c r="A1843" s="14" t="n">
        <x:v>1838</x:v>
      </x:c>
      <x:c r="B1843" s="6" t="str">
        <x:v>route_with_closure</x:v>
      </x:c>
      <x:c r="C1843" s="6" t="str">
        <x:v>Main staircase is closed for maintenance. How do I get from Storage 1.42 (apartment 8) (Floor 1) to Bedroom 1.25 (apartment 7) (Floor 1)?</x:v>
      </x:c>
      <x:c r="D1843" s="6" t="str">
        <x:v>No route under the requested constraints.
From: Storage 1.42 (apartment 8)
To: Bedroom 1.25 (apartment 7)
Closed: swiss-3338-V01</x:v>
      </x:c>
      <x:c r="E1843" s="6" t="str">
        <x:v>Reference supplied</x:v>
      </x:c>
      <x:c r="F1843" s="6" t="str">
        <x:v>train</x:v>
      </x:c>
      <x:c r="G1843" s="6" t="str">
        <x:v>swiss-3338</x:v>
      </x:c>
      <x:c r="H1843" s="6" t="str">
        <x:v>swiss-3338-Q07</x:v>
      </x:c>
      <x:c r="I1843" s="6" t="str">
        <x:v>Route planning</x:v>
      </x:c>
      <x:c r="J1843" s="6" t="str">
        <x:v>Warm-up</x:v>
      </x:c>
      <x:c r="K1843" s="6" t="str">
        <x:v>Alternative ordered path and metres, or an explicit no-route response.</x:v>
      </x:c>
      <x:c r="L1843" s="6" t="str">
        <x:v>T02, T05, T12, T13</x:v>
      </x:c>
      <x:c r="M1843" s="6" t="str">
        <x:v>Reroute while a named lift, staircase, door or room is closed.</x:v>
      </x:c>
      <x:c r="N1843" s="6" t="str">
        <x:v>{"from_space_id":"swiss-3338-F1-S042","to_space_id":"swiss-3338-F1-S025","reachable":false,"closed_element_id":"swiss-3338-V01"}</x:v>
      </x:c>
      <x:c r="O1843" s="6"/>
      <x:c r="P1843" s="6" t="str">
        <x:v>Avoid named closed element: swiss-3338-V01. May be unreachable.</x:v>
      </x:c>
      <x:c r="Q1843" s="15"/>
      <x:c r="R1843" s="6"/>
      <x:c r="S1843" s="16"/>
      <x:c r="T1843" s="15"/>
      <x:c r="U1843" s="6"/>
      <x:c r="V1843" s="6"/>
      <x:c r="W1843" s="6" t="str">
        <x:v>Existing set_closed followed by find_route. State reset is caller responsibility.</x:v>
      </x:c>
      <x:c r="X1843" s="6" t="str">
        <x:v>data/train/swiss-3338/questions_basic.jsonl</x:v>
      </x:c>
      <x:c r="Y1843" s="14" t="n">
        <x:v>7</x:v>
      </x:c>
      <x:c r="Z1843" s="6" t="str">
        <x:v>https://github.com/hagenhaeussler/Industrial-Agents-Hackathon-2026/blob/f41616590b69f3ea0c1cbfb41d6c35edd9ce53df/data/train/swiss-3338/questions_basic.jsonl#L7</x:v>
      </x:c>
      <x:c r="AA1843" s="6" t="str">
        <x:v>swiss_dwellings</x:v>
      </x:c>
      <x:c r="AB1843" s="6" t="str">
        <x:v>CC-BY-4.0</x:v>
      </x:c>
    </x:row>
    <x:row r="1844" ht="138" customHeight="1">
      <x:c r="A1844" s="14" t="n">
        <x:v>1839</x:v>
      </x:c>
      <x:c r="B1844" s="6" t="str">
        <x:v>route_with_closure</x:v>
      </x:c>
      <x:c r="C1844" s="6" t="str">
        <x:v>Main staircase is closed for maintenance. How do I get from Bedroom 1.03 (apartment 5) (Floor 1) to Bedroom 2.20 (apartment 9) (Floor 2)?</x:v>
      </x:c>
      <x:c r="D1844" s="6" t="str">
        <x:v>41.79 m
From: Bedroom 1.03 (apartment 5)
To: Bedroom 2.20 (apartment 9)
Ordered path (10 spaces): Bedroom 1.03 (apartment 5) → Bedroom 1.02 (apartment 5) → Landing 1.28 → Landing 1.29 → Landing 2.28 → Landing 2.29 → Corridor 2.17 (apartment 9) → Bedroom 2.22 (apartment 9) → Corridor 2.16 (apartment 9) → Bedroom 2.20 (apartment 9)
Closed: swiss-3355-V01</x:v>
      </x:c>
      <x:c r="E1844" s="6" t="str">
        <x:v>Reference supplied</x:v>
      </x:c>
      <x:c r="F1844" s="6" t="str">
        <x:v>train</x:v>
      </x:c>
      <x:c r="G1844" s="6" t="str">
        <x:v>swiss-3355</x:v>
      </x:c>
      <x:c r="H1844" s="6" t="str">
        <x:v>swiss-3355-Q08</x:v>
      </x:c>
      <x:c r="I1844" s="6" t="str">
        <x:v>Route planning</x:v>
      </x:c>
      <x:c r="J1844" s="6" t="str">
        <x:v>Warm-up</x:v>
      </x:c>
      <x:c r="K1844" s="6" t="str">
        <x:v>Alternative ordered path and metres, or an explicit no-route response.</x:v>
      </x:c>
      <x:c r="L1844" s="6" t="str">
        <x:v>T02, T05, T12, T13</x:v>
      </x:c>
      <x:c r="M1844" s="6" t="str">
        <x:v>Reroute while a named lift, staircase, door or room is closed.</x:v>
      </x:c>
      <x:c r="N1844" s="6" t="str">
        <x:v>{"from_space_id":"swiss-3355-F1-S003","to_space_id":"swiss-3355-F2-S020","optimal_length_m":41.79,"space_path":["swiss-3355-F1-S003","swiss-3355-F1-S002","swiss-3355-F1-S028","swiss-3355-F1-S029","swiss-3355-F2-S028","swiss-3355-F2-S029","swiss-3355-F2-S017","swiss-3355-F2-S022","swiss-3355-F2-S016","swiss-3355-F2-S020"],"element_path":["swiss-3355-F1-O0043","swiss-3355-F1-O0043","swiss-3355-F1-O0037","swiss-3355-F1-O0037","swiss-3355-F1-O0036","swiss-3355-F1-O0036","swiss-3355-V04","swiss-3355-F2-O0065","swiss-3355-F2-O0065","swiss-3355-F2-O0074","swiss-3355-F2-O0074","swiss-3355-F2-O0092","swiss-3355-F2-O0092","swiss-3355-F2-O0091","swiss-3355-F2-O0091","swiss-3355-F2-O0075","swiss-3355-F2-O0075"],"closed_element_id":"swiss-3355-V01"}</x:v>
      </x:c>
      <x:c r="O1844" s="6"/>
      <x:c r="P1844" s="6" t="str">
        <x:v>Avoid named closed element: swiss-3355-V01. May be unreachable.</x:v>
      </x:c>
      <x:c r="Q1844" s="15" t="n">
        <x:v>41.79</x:v>
      </x:c>
      <x:c r="R1844" s="6" t="str">
        <x:v>m</x:v>
      </x:c>
      <x:c r="S1844" s="16"/>
      <x:c r="T1844" s="15"/>
      <x:c r="U1844" s="6"/>
      <x:c r="V1844" s="6"/>
      <x:c r="W1844" s="6" t="str">
        <x:v>Existing set_closed followed by find_route. State reset is caller responsibility.</x:v>
      </x:c>
      <x:c r="X1844" s="6" t="str">
        <x:v>data/train/swiss-3355/questions_basic.jsonl</x:v>
      </x:c>
      <x:c r="Y1844" s="14" t="n">
        <x:v>8</x:v>
      </x:c>
      <x:c r="Z1844" s="6" t="str">
        <x:v>https://github.com/hagenhaeussler/Industrial-Agents-Hackathon-2026/blob/f41616590b69f3ea0c1cbfb41d6c35edd9ce53df/data/train/swiss-3355/questions_basic.jsonl#L8</x:v>
      </x:c>
      <x:c r="AA1844" s="6" t="str">
        <x:v>swiss_dwellings</x:v>
      </x:c>
      <x:c r="AB1844" s="6" t="str">
        <x:v>CC-BY-4.0</x:v>
      </x:c>
    </x:row>
    <x:row r="1845" ht="72" customHeight="1">
      <x:c r="A1845" s="14" t="n">
        <x:v>1840</x:v>
      </x:c>
      <x:c r="B1845" s="6" t="str">
        <x:v>route_with_closure</x:v>
      </x:c>
      <x:c r="C1845" s="6" t="str">
        <x:v>Main staircase is closed for maintenance. How do I get from Kitchen 1.11 (apartment 4) (Floor 1) to Living room 3.06 (apartment 7) (Floor 3)?</x:v>
      </x:c>
      <x:c r="D1845" s="6" t="str">
        <x:v>No route under the requested constraints.
From: Kitchen 1.11 (apartment 4)
To: Living room 3.06 (apartment 7)
Closed: swiss-3418-V01</x:v>
      </x:c>
      <x:c r="E1845" s="6" t="str">
        <x:v>Reference supplied</x:v>
      </x:c>
      <x:c r="F1845" s="6" t="str">
        <x:v>train</x:v>
      </x:c>
      <x:c r="G1845" s="6" t="str">
        <x:v>swiss-3418</x:v>
      </x:c>
      <x:c r="H1845" s="6" t="str">
        <x:v>swiss-3418-Q07</x:v>
      </x:c>
      <x:c r="I1845" s="6" t="str">
        <x:v>Route planning</x:v>
      </x:c>
      <x:c r="J1845" s="6" t="str">
        <x:v>Warm-up</x:v>
      </x:c>
      <x:c r="K1845" s="6" t="str">
        <x:v>Alternative ordered path and metres, or an explicit no-route response.</x:v>
      </x:c>
      <x:c r="L1845" s="6" t="str">
        <x:v>T02, T05, T12, T13</x:v>
      </x:c>
      <x:c r="M1845" s="6" t="str">
        <x:v>Reroute while a named lift, staircase, door or room is closed.</x:v>
      </x:c>
      <x:c r="N1845" s="6" t="str">
        <x:v>{"from_space_id":"swiss-3418-F1-S011","to_space_id":"swiss-3418-F3-S006","reachable":false,"closed_element_id":"swiss-3418-V01"}</x:v>
      </x:c>
      <x:c r="O1845" s="6"/>
      <x:c r="P1845" s="6" t="str">
        <x:v>Avoid named closed element: swiss-3418-V01. May be unreachable.</x:v>
      </x:c>
      <x:c r="Q1845" s="15"/>
      <x:c r="R1845" s="6"/>
      <x:c r="S1845" s="16"/>
      <x:c r="T1845" s="15"/>
      <x:c r="U1845" s="6"/>
      <x:c r="V1845" s="6"/>
      <x:c r="W1845" s="6" t="str">
        <x:v>Existing set_closed followed by find_route. State reset is caller responsibility.</x:v>
      </x:c>
      <x:c r="X1845" s="6" t="str">
        <x:v>data/train/swiss-3418/questions_basic.jsonl</x:v>
      </x:c>
      <x:c r="Y1845" s="14" t="n">
        <x:v>7</x:v>
      </x:c>
      <x:c r="Z1845" s="6" t="str">
        <x:v>https://github.com/hagenhaeussler/Industrial-Agents-Hackathon-2026/blob/f41616590b69f3ea0c1cbfb41d6c35edd9ce53df/data/train/swiss-3418/questions_basic.jsonl#L7</x:v>
      </x:c>
      <x:c r="AA1845" s="6" t="str">
        <x:v>swiss_dwellings</x:v>
      </x:c>
      <x:c r="AB1845" s="6" t="str">
        <x:v>CC-BY-4.0</x:v>
      </x:c>
    </x:row>
    <x:row r="1846" ht="72" customHeight="1">
      <x:c r="A1846" s="14" t="n">
        <x:v>1841</x:v>
      </x:c>
      <x:c r="B1846" s="6" t="str">
        <x:v>route_with_closure</x:v>
      </x:c>
      <x:c r="C1846" s="6" t="str">
        <x:v>Main staircase is closed for maintenance. How do I get from Bedroom 3.03 (apartment 4) (Floor 3) to Bedroom 0.08 (apartment 1) (Ground floor)?</x:v>
      </x:c>
      <x:c r="D1846" s="6" t="str">
        <x:v>No route under the requested constraints.
From: Bedroom 3.03 (apartment 4)
To: Bedroom 0.08 (apartment 1)
Closed: swiss-373-V01</x:v>
      </x:c>
      <x:c r="E1846" s="6" t="str">
        <x:v>Reference supplied</x:v>
      </x:c>
      <x:c r="F1846" s="6" t="str">
        <x:v>train</x:v>
      </x:c>
      <x:c r="G1846" s="6" t="str">
        <x:v>swiss-373</x:v>
      </x:c>
      <x:c r="H1846" s="6" t="str">
        <x:v>swiss-373-Q09</x:v>
      </x:c>
      <x:c r="I1846" s="6" t="str">
        <x:v>Route planning</x:v>
      </x:c>
      <x:c r="J1846" s="6" t="str">
        <x:v>Warm-up</x:v>
      </x:c>
      <x:c r="K1846" s="6" t="str">
        <x:v>Alternative ordered path and metres, or an explicit no-route response.</x:v>
      </x:c>
      <x:c r="L1846" s="6" t="str">
        <x:v>T02, T05, T12, T13</x:v>
      </x:c>
      <x:c r="M1846" s="6" t="str">
        <x:v>Reroute while a named lift, staircase, door or room is closed.</x:v>
      </x:c>
      <x:c r="N1846" s="6" t="str">
        <x:v>{"from_space_id":"swiss-373-F3-S003","to_space_id":"swiss-373-F0-S008","reachable":false,"closed_element_id":"swiss-373-V01"}</x:v>
      </x:c>
      <x:c r="O1846" s="6"/>
      <x:c r="P1846" s="6" t="str">
        <x:v>Avoid named closed element: swiss-373-V01. May be unreachable.</x:v>
      </x:c>
      <x:c r="Q1846" s="15"/>
      <x:c r="R1846" s="6"/>
      <x:c r="S1846" s="16"/>
      <x:c r="T1846" s="15"/>
      <x:c r="U1846" s="6"/>
      <x:c r="V1846" s="6"/>
      <x:c r="W1846" s="6" t="str">
        <x:v>Existing set_closed followed by find_route. State reset is caller responsibility.</x:v>
      </x:c>
      <x:c r="X1846" s="6" t="str">
        <x:v>data/train/swiss-373/questions_basic.jsonl</x:v>
      </x:c>
      <x:c r="Y1846" s="14" t="n">
        <x:v>9</x:v>
      </x:c>
      <x:c r="Z1846" s="6" t="str">
        <x:v>https://github.com/hagenhaeussler/Industrial-Agents-Hackathon-2026/blob/f41616590b69f3ea0c1cbfb41d6c35edd9ce53df/data/train/swiss-373/questions_basic.jsonl#L9</x:v>
      </x:c>
      <x:c r="AA1846" s="6" t="str">
        <x:v>swiss_dwellings</x:v>
      </x:c>
      <x:c r="AB1846" s="6" t="str">
        <x:v>CC-BY-4.0</x:v>
      </x:c>
    </x:row>
    <x:row r="1847" ht="72" customHeight="1">
      <x:c r="A1847" s="14" t="n">
        <x:v>1842</x:v>
      </x:c>
      <x:c r="B1847" s="6" t="str">
        <x:v>route_with_closure</x:v>
      </x:c>
      <x:c r="C1847" s="6" t="str">
        <x:v>Main staircase is closed for maintenance. How do I get from Kitchen 1.07 (apartment 2) (Floor 1) to Bathroom 3.07 (apartment 4) (Floor 3)?</x:v>
      </x:c>
      <x:c r="D1847" s="6" t="str">
        <x:v>No route under the requested constraints.
From: Kitchen 1.07 (apartment 2)
To: Bathroom 3.07 (apartment 4)
Closed: swiss-390-V01</x:v>
      </x:c>
      <x:c r="E1847" s="6" t="str">
        <x:v>Reference supplied</x:v>
      </x:c>
      <x:c r="F1847" s="6" t="str">
        <x:v>train</x:v>
      </x:c>
      <x:c r="G1847" s="6" t="str">
        <x:v>swiss-390</x:v>
      </x:c>
      <x:c r="H1847" s="6" t="str">
        <x:v>swiss-390-Q09</x:v>
      </x:c>
      <x:c r="I1847" s="6" t="str">
        <x:v>Route planning</x:v>
      </x:c>
      <x:c r="J1847" s="6" t="str">
        <x:v>Warm-up</x:v>
      </x:c>
      <x:c r="K1847" s="6" t="str">
        <x:v>Alternative ordered path and metres, or an explicit no-route response.</x:v>
      </x:c>
      <x:c r="L1847" s="6" t="str">
        <x:v>T02, T05, T12, T13</x:v>
      </x:c>
      <x:c r="M1847" s="6" t="str">
        <x:v>Reroute while a named lift, staircase, door or room is closed.</x:v>
      </x:c>
      <x:c r="N1847" s="6" t="str">
        <x:v>{"from_space_id":"swiss-390-F1-S007","to_space_id":"swiss-390-F3-S007","reachable":false,"closed_element_id":"swiss-390-V01"}</x:v>
      </x:c>
      <x:c r="O1847" s="6"/>
      <x:c r="P1847" s="6" t="str">
        <x:v>Avoid named closed element: swiss-390-V01. May be unreachable.</x:v>
      </x:c>
      <x:c r="Q1847" s="15"/>
      <x:c r="R1847" s="6"/>
      <x:c r="S1847" s="16"/>
      <x:c r="T1847" s="15"/>
      <x:c r="U1847" s="6"/>
      <x:c r="V1847" s="6"/>
      <x:c r="W1847" s="6" t="str">
        <x:v>Existing set_closed followed by find_route. State reset is caller responsibility.</x:v>
      </x:c>
      <x:c r="X1847" s="6" t="str">
        <x:v>data/train/swiss-390/questions_basic.jsonl</x:v>
      </x:c>
      <x:c r="Y1847" s="14" t="n">
        <x:v>9</x:v>
      </x:c>
      <x:c r="Z1847" s="6" t="str">
        <x:v>https://github.com/hagenhaeussler/Industrial-Agents-Hackathon-2026/blob/f41616590b69f3ea0c1cbfb41d6c35edd9ce53df/data/train/swiss-390/questions_basic.jsonl#L9</x:v>
      </x:c>
      <x:c r="AA1847" s="6" t="str">
        <x:v>swiss_dwellings</x:v>
      </x:c>
      <x:c r="AB1847" s="6" t="str">
        <x:v>CC-BY-4.0</x:v>
      </x:c>
    </x:row>
    <x:row r="1848" ht="110" customHeight="1">
      <x:c r="A1848" s="14" t="n">
        <x:v>1843</x:v>
      </x:c>
      <x:c r="B1848" s="6" t="str">
        <x:v>route_with_closure</x:v>
      </x:c>
      <x:c r="C1848" s="6" t="str">
        <x:v>Staircase 3 is closed for maintenance. How do I get from Storage 2.06 (apartment 6) (Floor 2) to Bathroom 1.17 (apartment 4) (Floor 1)?</x:v>
      </x:c>
      <x:c r="D1848" s="6" t="str">
        <x:v>35.36 m
From: Storage 2.06 (apartment 6)
To: Bathroom 1.17 (apartment 4)
Ordered path (7 spaces): Storage 2.06 (apartment 6) → Bedroom 2.09 (apartment 6) → Corridor 2.07 (apartment 6) → Landing 2.14 → Stair hall 1.20 → Corridor 1.11 (apartment 4) → Bathroom 1.17 (apartment 4)
Closed: swiss-401-V03</x:v>
      </x:c>
      <x:c r="E1848" s="6" t="str">
        <x:v>Reference supplied</x:v>
      </x:c>
      <x:c r="F1848" s="6" t="str">
        <x:v>train</x:v>
      </x:c>
      <x:c r="G1848" s="6" t="str">
        <x:v>swiss-401</x:v>
      </x:c>
      <x:c r="H1848" s="6" t="str">
        <x:v>swiss-401-Q09</x:v>
      </x:c>
      <x:c r="I1848" s="6" t="str">
        <x:v>Route planning</x:v>
      </x:c>
      <x:c r="J1848" s="6" t="str">
        <x:v>Warm-up</x:v>
      </x:c>
      <x:c r="K1848" s="6" t="str">
        <x:v>Alternative ordered path and metres, or an explicit no-route response.</x:v>
      </x:c>
      <x:c r="L1848" s="6" t="str">
        <x:v>T02, T05, T12, T13</x:v>
      </x:c>
      <x:c r="M1848" s="6" t="str">
        <x:v>Reroute while a named lift, staircase, door or room is closed.</x:v>
      </x:c>
      <x:c r="N1848" s="6" t="str">
        <x:v>{"from_space_id":"swiss-401-F2-S006","to_space_id":"swiss-401-F1-S017","optimal_length_m":35.36,"space_path":["swiss-401-F2-S006","swiss-401-F2-S009","swiss-401-F2-S007","swiss-401-F2-S014","swiss-401-F1-S020","swiss-401-F1-S011","swiss-401-F1-S017"],"element_path":["swiss-401-F2-O0059","swiss-401-F2-O0059","swiss-401-F2-O0060","swiss-401-F2-O0060","swiss-401-F2-O0063","swiss-401-F2-O0063","swiss-401-V04","swiss-401-F1-O0044","swiss-401-F1-O0044","swiss-401-F1-O0043","swiss-401-F1-O0043"],"closed_element_id":"swiss-401-V03"}</x:v>
      </x:c>
      <x:c r="O1848" s="6"/>
      <x:c r="P1848" s="6" t="str">
        <x:v>Avoid named closed element: swiss-401-V03. May be unreachable.</x:v>
      </x:c>
      <x:c r="Q1848" s="15" t="n">
        <x:v>35.36</x:v>
      </x:c>
      <x:c r="R1848" s="6" t="str">
        <x:v>m</x:v>
      </x:c>
      <x:c r="S1848" s="16"/>
      <x:c r="T1848" s="15"/>
      <x:c r="U1848" s="6"/>
      <x:c r="V1848" s="6"/>
      <x:c r="W1848" s="6" t="str">
        <x:v>Existing set_closed followed by find_route. State reset is caller responsibility.</x:v>
      </x:c>
      <x:c r="X1848" s="6" t="str">
        <x:v>data/train/swiss-401/questions_basic.jsonl</x:v>
      </x:c>
      <x:c r="Y1848" s="14" t="n">
        <x:v>9</x:v>
      </x:c>
      <x:c r="Z1848" s="6" t="str">
        <x:v>https://github.com/hagenhaeussler/Industrial-Agents-Hackathon-2026/blob/f41616590b69f3ea0c1cbfb41d6c35edd9ce53df/data/train/swiss-401/questions_basic.jsonl#L9</x:v>
      </x:c>
      <x:c r="AA1848" s="6" t="str">
        <x:v>swiss_dwellings</x:v>
      </x:c>
      <x:c r="AB1848" s="6" t="str">
        <x:v>CC-BY-4.0</x:v>
      </x:c>
    </x:row>
    <x:row r="1849" ht="72" customHeight="1">
      <x:c r="A1849" s="14" t="n">
        <x:v>1844</x:v>
      </x:c>
      <x:c r="B1849" s="6" t="str">
        <x:v>route_with_closure</x:v>
      </x:c>
      <x:c r="C1849" s="6" t="str">
        <x:v>Main staircase is closed for maintenance. How do I get from Bathroom 1.15 (apartment 4) (Floor 1) to Bathroom 2.02 (apartment 5) (Floor 2)?</x:v>
      </x:c>
      <x:c r="D1849" s="6" t="str">
        <x:v>No route under the requested constraints.
From: Bathroom 1.15 (apartment 4)
To: Bathroom 2.02 (apartment 5)
Closed: swiss-430-V01</x:v>
      </x:c>
      <x:c r="E1849" s="6" t="str">
        <x:v>Reference supplied</x:v>
      </x:c>
      <x:c r="F1849" s="6" t="str">
        <x:v>train</x:v>
      </x:c>
      <x:c r="G1849" s="6" t="str">
        <x:v>swiss-430</x:v>
      </x:c>
      <x:c r="H1849" s="6" t="str">
        <x:v>swiss-430-Q09</x:v>
      </x:c>
      <x:c r="I1849" s="6" t="str">
        <x:v>Route planning</x:v>
      </x:c>
      <x:c r="J1849" s="6" t="str">
        <x:v>Warm-up</x:v>
      </x:c>
      <x:c r="K1849" s="6" t="str">
        <x:v>Alternative ordered path and metres, or an explicit no-route response.</x:v>
      </x:c>
      <x:c r="L1849" s="6" t="str">
        <x:v>T02, T05, T12, T13</x:v>
      </x:c>
      <x:c r="M1849" s="6" t="str">
        <x:v>Reroute while a named lift, staircase, door or room is closed.</x:v>
      </x:c>
      <x:c r="N1849" s="6" t="str">
        <x:v>{"from_space_id":"swiss-430-F1-S015","to_space_id":"swiss-430-F2-S002","reachable":false,"closed_element_id":"swiss-430-V01"}</x:v>
      </x:c>
      <x:c r="O1849" s="6"/>
      <x:c r="P1849" s="6" t="str">
        <x:v>Avoid named closed element: swiss-430-V01. May be unreachable.</x:v>
      </x:c>
      <x:c r="Q1849" s="15"/>
      <x:c r="R1849" s="6"/>
      <x:c r="S1849" s="16"/>
      <x:c r="T1849" s="15"/>
      <x:c r="U1849" s="6"/>
      <x:c r="V1849" s="6"/>
      <x:c r="W1849" s="6" t="str">
        <x:v>Existing set_closed followed by find_route. State reset is caller responsibility.</x:v>
      </x:c>
      <x:c r="X1849" s="6" t="str">
        <x:v>data/train/swiss-430/questions_basic.jsonl</x:v>
      </x:c>
      <x:c r="Y1849" s="14" t="n">
        <x:v>9</x:v>
      </x:c>
      <x:c r="Z1849" s="6" t="str">
        <x:v>https://github.com/hagenhaeussler/Industrial-Agents-Hackathon-2026/blob/f41616590b69f3ea0c1cbfb41d6c35edd9ce53df/data/train/swiss-430/questions_basic.jsonl#L9</x:v>
      </x:c>
      <x:c r="AA1849" s="6" t="str">
        <x:v>swiss_dwellings</x:v>
      </x:c>
      <x:c r="AB1849" s="6" t="str">
        <x:v>CC-BY-4.0</x:v>
      </x:c>
    </x:row>
    <x:row r="1850" ht="138" customHeight="1">
      <x:c r="A1850" s="14" t="n">
        <x:v>1845</x:v>
      </x:c>
      <x:c r="B1850" s="6" t="str">
        <x:v>route_with_closure</x:v>
      </x:c>
      <x:c r="C1850" s="6" t="str">
        <x:v>Main staircase is closed for maintenance. How do I get from Living room 0.08 (apartment 2) (Ground floor) to Living room 4.15 (apartment 14) (Floor 4)?</x:v>
      </x:c>
      <x:c r="D1850" s="6" t="str">
        <x:v>104.56 m
From: Living room 0.08 (apartment 2)
To: Living room 4.15 (apartment 14)
Ordered path (12 spaces): Living room 0.08 (apartment 2) → Corridor 0.10 (apartment 2) → Landing 0.19 → outside → Landing 0.18 → Stair hall 1.24 → Stair hall 2.24 → Stair hall 3.24 → Stair hall 4.24 → Corridor 4.08 (apartment 14) → Kitchen 4.10 (apartment 14) → Living room 4.15 (apartment 14)
Closed: swiss-433-V01</x:v>
      </x:c>
      <x:c r="E1850" s="6" t="str">
        <x:v>Reference supplied</x:v>
      </x:c>
      <x:c r="F1850" s="6" t="str">
        <x:v>train</x:v>
      </x:c>
      <x:c r="G1850" s="6" t="str">
        <x:v>swiss-433</x:v>
      </x:c>
      <x:c r="H1850" s="6" t="str">
        <x:v>swiss-433-Q06</x:v>
      </x:c>
      <x:c r="I1850" s="6" t="str">
        <x:v>Route planning</x:v>
      </x:c>
      <x:c r="J1850" s="6" t="str">
        <x:v>Warm-up</x:v>
      </x:c>
      <x:c r="K1850" s="6" t="str">
        <x:v>Alternative ordered path and metres, or an explicit no-route response.</x:v>
      </x:c>
      <x:c r="L1850" s="6" t="str">
        <x:v>T02, T05, T12, T13</x:v>
      </x:c>
      <x:c r="M1850" s="6" t="str">
        <x:v>Reroute while a named lift, staircase, door or room is closed.</x:v>
      </x:c>
      <x:c r="N1850" s="6" t="str">
        <x:v>{"from_space_id":"swiss-433-F0-S008","to_space_id":"swiss-433-F4-S015","optimal_length_m":104.56,"space_path":["swiss-433-F0-S008","swiss-433-F0-S010","swiss-433-F0-S019","outside","swiss-433-F0-S018","swiss-433-F1-S024","swiss-433-F2-S024","swiss-433-F3-S024","swiss-433-F4-S024","swiss-433-F4-S008","swiss-433-F4-S010","swiss-433-F4-S015"],"element_path":["swiss-433-F0-O0010","swiss-433-F0-O0010","swiss-433-F0-O0014","swiss-433-F0-O0014","swiss-433-F0-O0189","swiss-433-F0-O0189","swiss-433-F0-O0188","swiss-433-F0-O0188","swiss-433-V02","swiss-433-V02","swiss-433-V02","swiss-433-V02","swiss-433-F4-O0115","swiss-433-F4-O0115","swiss-433-F4-O0117","swiss-433-F4-O0117","swiss-433-F4-O0121","swiss-433-F4-O0121"],"closed_element_id":"swiss-433-V01"}</x:v>
      </x:c>
      <x:c r="O1850" s="6"/>
      <x:c r="P1850" s="6" t="str">
        <x:v>Avoid named closed element: swiss-433-V01. May be unreachable.</x:v>
      </x:c>
      <x:c r="Q1850" s="15" t="n">
        <x:v>104.56</x:v>
      </x:c>
      <x:c r="R1850" s="6" t="str">
        <x:v>m</x:v>
      </x:c>
      <x:c r="S1850" s="16"/>
      <x:c r="T1850" s="15"/>
      <x:c r="U1850" s="6"/>
      <x:c r="V1850" s="6"/>
      <x:c r="W1850" s="6" t="str">
        <x:v>Existing set_closed followed by find_route. State reset is caller responsibility.</x:v>
      </x:c>
      <x:c r="X1850" s="6" t="str">
        <x:v>data/train/swiss-433/questions_basic.jsonl</x:v>
      </x:c>
      <x:c r="Y1850" s="14" t="n">
        <x:v>6</x:v>
      </x:c>
      <x:c r="Z1850" s="6" t="str">
        <x:v>https://github.com/hagenhaeussler/Industrial-Agents-Hackathon-2026/blob/f41616590b69f3ea0c1cbfb41d6c35edd9ce53df/data/train/swiss-433/questions_basic.jsonl#L6</x:v>
      </x:c>
      <x:c r="AA1850" s="6" t="str">
        <x:v>swiss_dwellings</x:v>
      </x:c>
      <x:c r="AB1850" s="6" t="str">
        <x:v>CC-BY-4.0</x:v>
      </x:c>
    </x:row>
    <x:row r="1851" ht="72" customHeight="1">
      <x:c r="A1851" s="14" t="n">
        <x:v>1846</x:v>
      </x:c>
      <x:c r="B1851" s="6" t="str">
        <x:v>route_with_closure</x:v>
      </x:c>
      <x:c r="C1851" s="6" t="str">
        <x:v>Staircase 6 is closed for maintenance. How do I get from Bedroom 4.19 (apartment 18) (Floor 4) to Kitchen 5.24 (apartment 21) (Floor 5)?</x:v>
      </x:c>
      <x:c r="D1851" s="6" t="str">
        <x:v>No route under the requested constraints.
From: Bedroom 4.19 (apartment 18)
To: Kitchen 5.24 (apartment 21)
Closed: swiss-437-V07</x:v>
      </x:c>
      <x:c r="E1851" s="6" t="str">
        <x:v>Reference supplied</x:v>
      </x:c>
      <x:c r="F1851" s="6" t="str">
        <x:v>train</x:v>
      </x:c>
      <x:c r="G1851" s="6" t="str">
        <x:v>swiss-437</x:v>
      </x:c>
      <x:c r="H1851" s="6" t="str">
        <x:v>swiss-437-Q07</x:v>
      </x:c>
      <x:c r="I1851" s="6" t="str">
        <x:v>Route planning</x:v>
      </x:c>
      <x:c r="J1851" s="6" t="str">
        <x:v>Warm-up</x:v>
      </x:c>
      <x:c r="K1851" s="6" t="str">
        <x:v>Alternative ordered path and metres, or an explicit no-route response.</x:v>
      </x:c>
      <x:c r="L1851" s="6" t="str">
        <x:v>T02, T05, T12, T13</x:v>
      </x:c>
      <x:c r="M1851" s="6" t="str">
        <x:v>Reroute while a named lift, staircase, door or room is closed.</x:v>
      </x:c>
      <x:c r="N1851" s="6" t="str">
        <x:v>{"from_space_id":"swiss-437-F4-S019","to_space_id":"swiss-437-F5-S024","reachable":false,"closed_element_id":"swiss-437-V07"}</x:v>
      </x:c>
      <x:c r="O1851" s="6"/>
      <x:c r="P1851" s="6" t="str">
        <x:v>Avoid named closed element: swiss-437-V07. May be unreachable.</x:v>
      </x:c>
      <x:c r="Q1851" s="15"/>
      <x:c r="R1851" s="6"/>
      <x:c r="S1851" s="16"/>
      <x:c r="T1851" s="15"/>
      <x:c r="U1851" s="6"/>
      <x:c r="V1851" s="6"/>
      <x:c r="W1851" s="6" t="str">
        <x:v>Existing set_closed followed by find_route. State reset is caller responsibility.</x:v>
      </x:c>
      <x:c r="X1851" s="6" t="str">
        <x:v>data/train/swiss-437/questions_basic.jsonl</x:v>
      </x:c>
      <x:c r="Y1851" s="14" t="n">
        <x:v>7</x:v>
      </x:c>
      <x:c r="Z1851" s="6" t="str">
        <x:v>https://github.com/hagenhaeussler/Industrial-Agents-Hackathon-2026/blob/f41616590b69f3ea0c1cbfb41d6c35edd9ce53df/data/train/swiss-437/questions_basic.jsonl#L7</x:v>
      </x:c>
      <x:c r="AA1851" s="6" t="str">
        <x:v>swiss_dwellings</x:v>
      </x:c>
      <x:c r="AB1851" s="6" t="str">
        <x:v>CC-BY-4.0</x:v>
      </x:c>
    </x:row>
    <x:row r="1852" ht="72" customHeight="1">
      <x:c r="A1852" s="14" t="n">
        <x:v>1847</x:v>
      </x:c>
      <x:c r="B1852" s="6" t="str">
        <x:v>route_with_closure</x:v>
      </x:c>
      <x:c r="C1852" s="6" t="str">
        <x:v>Staircase 8 is closed for maintenance. How do I get from Bedroom 3.16 (apartment 20) (Floor 3) to Bathroom 3.12 (apartment 19) (Floor 3)?</x:v>
      </x:c>
      <x:c r="D1852" s="6" t="str">
        <x:v>No route under the requested constraints.
From: Bedroom 3.16 (apartment 20)
To: Bathroom 3.12 (apartment 19)
Closed: swiss-442-V08</x:v>
      </x:c>
      <x:c r="E1852" s="6" t="str">
        <x:v>Reference supplied</x:v>
      </x:c>
      <x:c r="F1852" s="6" t="str">
        <x:v>train</x:v>
      </x:c>
      <x:c r="G1852" s="6" t="str">
        <x:v>swiss-442</x:v>
      </x:c>
      <x:c r="H1852" s="6" t="str">
        <x:v>swiss-442-Q06</x:v>
      </x:c>
      <x:c r="I1852" s="6" t="str">
        <x:v>Route planning</x:v>
      </x:c>
      <x:c r="J1852" s="6" t="str">
        <x:v>Warm-up</x:v>
      </x:c>
      <x:c r="K1852" s="6" t="str">
        <x:v>Alternative ordered path and metres, or an explicit no-route response.</x:v>
      </x:c>
      <x:c r="L1852" s="6" t="str">
        <x:v>T02, T05, T12, T13</x:v>
      </x:c>
      <x:c r="M1852" s="6" t="str">
        <x:v>Reroute while a named lift, staircase, door or room is closed.</x:v>
      </x:c>
      <x:c r="N1852" s="6" t="str">
        <x:v>{"from_space_id":"swiss-442-F3-S016","to_space_id":"swiss-442-F3-S012","reachable":false,"closed_element_id":"swiss-442-V08"}</x:v>
      </x:c>
      <x:c r="O1852" s="6"/>
      <x:c r="P1852" s="6" t="str">
        <x:v>Avoid named closed element: swiss-442-V08. May be unreachable.</x:v>
      </x:c>
      <x:c r="Q1852" s="15"/>
      <x:c r="R1852" s="6"/>
      <x:c r="S1852" s="16"/>
      <x:c r="T1852" s="15"/>
      <x:c r="U1852" s="6"/>
      <x:c r="V1852" s="6"/>
      <x:c r="W1852" s="6" t="str">
        <x:v>Existing set_closed followed by find_route. State reset is caller responsibility.</x:v>
      </x:c>
      <x:c r="X1852" s="6" t="str">
        <x:v>data/train/swiss-442/questions_basic.jsonl</x:v>
      </x:c>
      <x:c r="Y1852" s="14" t="n">
        <x:v>6</x:v>
      </x:c>
      <x:c r="Z1852" s="6" t="str">
        <x:v>https://github.com/hagenhaeussler/Industrial-Agents-Hackathon-2026/blob/f41616590b69f3ea0c1cbfb41d6c35edd9ce53df/data/train/swiss-442/questions_basic.jsonl#L6</x:v>
      </x:c>
      <x:c r="AA1852" s="6" t="str">
        <x:v>swiss_dwellings</x:v>
      </x:c>
      <x:c r="AB1852" s="6" t="str">
        <x:v>CC-BY-4.0</x:v>
      </x:c>
    </x:row>
    <x:row r="1853" ht="124" customHeight="1">
      <x:c r="A1853" s="14" t="n">
        <x:v>1848</x:v>
      </x:c>
      <x:c r="B1853" s="6" t="str">
        <x:v>route_with_closure</x:v>
      </x:c>
      <x:c r="C1853" s="6" t="str">
        <x:v>Staircase 3 is closed for maintenance. How do I get from Bedroom 0.41 (apartment 7) (Ground floor) to Living room 1.11 (apartment 10) (Floor 1)?</x:v>
      </x:c>
      <x:c r="D1853" s="6" t="str">
        <x:v>30.99 m
From: Bedroom 0.41 (apartment 7)
To: Living room 1.11 (apartment 10)
Ordered path (9 spaces): Bedroom 0.41 (apartment 7) → Corridor 0.46 (apartment 7) → Landing 0.58 → outside → Landing 0.55 → Landing 1.55 → Landing 1.56 → Corridor 1.10 (apartment 10) → Living room 1.11 (apartment 10)
Closed: swiss-474-V03</x:v>
      </x:c>
      <x:c r="E1853" s="6" t="str">
        <x:v>Reference supplied</x:v>
      </x:c>
      <x:c r="F1853" s="6" t="str">
        <x:v>train</x:v>
      </x:c>
      <x:c r="G1853" s="6" t="str">
        <x:v>swiss-474</x:v>
      </x:c>
      <x:c r="H1853" s="6" t="str">
        <x:v>swiss-474-Q06</x:v>
      </x:c>
      <x:c r="I1853" s="6" t="str">
        <x:v>Route planning</x:v>
      </x:c>
      <x:c r="J1853" s="6" t="str">
        <x:v>Warm-up</x:v>
      </x:c>
      <x:c r="K1853" s="6" t="str">
        <x:v>Alternative ordered path and metres, or an explicit no-route response.</x:v>
      </x:c>
      <x:c r="L1853" s="6" t="str">
        <x:v>T02, T05, T12, T13</x:v>
      </x:c>
      <x:c r="M1853" s="6" t="str">
        <x:v>Reroute while a named lift, staircase, door or room is closed.</x:v>
      </x:c>
      <x:c r="N1853" s="6" t="str">
        <x:v>{"from_space_id":"swiss-474-F0-S041","to_space_id":"swiss-474-F1-S011","optimal_length_m":30.99,"space_path":["swiss-474-F0-S041","swiss-474-F0-S046","swiss-474-F0-S058","outside","swiss-474-F0-S055","swiss-474-F1-S055","swiss-474-F1-S056","swiss-474-F1-S010","swiss-474-F1-S011"],"element_path":["swiss-474-F0-O0044","swiss-474-F0-O0044","swiss-474-F0-O0038","swiss-474-F0-O0038","swiss-474-F0-O0176","swiss-474-F0-O0176","swiss-474-F0-O0173","swiss-474-F0-O0173","swiss-474-V02","swiss-474-F1-O0058","swiss-474-F1-O0058","swiss-474-F1-O0067","swiss-474-F1-O0067","swiss-474-F1-O0068","swiss-474-F1-O0068"],"closed_element_id":"swiss-474-V03"}</x:v>
      </x:c>
      <x:c r="O1853" s="6"/>
      <x:c r="P1853" s="6" t="str">
        <x:v>Avoid named closed element: swiss-474-V03. May be unreachable.</x:v>
      </x:c>
      <x:c r="Q1853" s="15" t="n">
        <x:v>30.99</x:v>
      </x:c>
      <x:c r="R1853" s="6" t="str">
        <x:v>m</x:v>
      </x:c>
      <x:c r="S1853" s="16"/>
      <x:c r="T1853" s="15"/>
      <x:c r="U1853" s="6"/>
      <x:c r="V1853" s="6"/>
      <x:c r="W1853" s="6" t="str">
        <x:v>Existing set_closed followed by find_route. State reset is caller responsibility.</x:v>
      </x:c>
      <x:c r="X1853" s="6" t="str">
        <x:v>data/train/swiss-474/questions_basic.jsonl</x:v>
      </x:c>
      <x:c r="Y1853" s="14" t="n">
        <x:v>6</x:v>
      </x:c>
      <x:c r="Z1853" s="6" t="str">
        <x:v>https://github.com/hagenhaeussler/Industrial-Agents-Hackathon-2026/blob/f41616590b69f3ea0c1cbfb41d6c35edd9ce53df/data/train/swiss-474/questions_basic.jsonl#L6</x:v>
      </x:c>
      <x:c r="AA1853" s="6" t="str">
        <x:v>swiss_dwellings</x:v>
      </x:c>
      <x:c r="AB1853" s="6" t="str">
        <x:v>CC-BY-4.0</x:v>
      </x:c>
    </x:row>
    <x:row r="1854" ht="72" customHeight="1">
      <x:c r="A1854" s="14" t="n">
        <x:v>1849</x:v>
      </x:c>
      <x:c r="B1854" s="6" t="str">
        <x:v>route_with_closure</x:v>
      </x:c>
      <x:c r="C1854" s="6" t="str">
        <x:v>Main staircase is closed for maintenance. How do I get from Bedroom 2.03 (apartment 3) (Floor 2) to Bedroom 4.01 (apartment 5) (Floor 4)?</x:v>
      </x:c>
      <x:c r="D1854" s="6" t="str">
        <x:v>No route under the requested constraints.
From: Bedroom 2.03 (apartment 3)
To: Bedroom 4.01 (apartment 5)
Closed: swiss-4967-V01</x:v>
      </x:c>
      <x:c r="E1854" s="6" t="str">
        <x:v>Reference supplied</x:v>
      </x:c>
      <x:c r="F1854" s="6" t="str">
        <x:v>train</x:v>
      </x:c>
      <x:c r="G1854" s="6" t="str">
        <x:v>swiss-4967</x:v>
      </x:c>
      <x:c r="H1854" s="6" t="str">
        <x:v>swiss-4967-Q09</x:v>
      </x:c>
      <x:c r="I1854" s="6" t="str">
        <x:v>Route planning</x:v>
      </x:c>
      <x:c r="J1854" s="6" t="str">
        <x:v>Warm-up</x:v>
      </x:c>
      <x:c r="K1854" s="6" t="str">
        <x:v>Alternative ordered path and metres, or an explicit no-route response.</x:v>
      </x:c>
      <x:c r="L1854" s="6" t="str">
        <x:v>T02, T05, T12, T13</x:v>
      </x:c>
      <x:c r="M1854" s="6" t="str">
        <x:v>Reroute while a named lift, staircase, door or room is closed.</x:v>
      </x:c>
      <x:c r="N1854" s="6" t="str">
        <x:v>{"from_space_id":"swiss-4967-F2-S003","to_space_id":"swiss-4967-F4-S001","reachable":false,"closed_element_id":"swiss-4967-V01"}</x:v>
      </x:c>
      <x:c r="O1854" s="6"/>
      <x:c r="P1854" s="6" t="str">
        <x:v>Avoid named closed element: swiss-4967-V01. May be unreachable.</x:v>
      </x:c>
      <x:c r="Q1854" s="15"/>
      <x:c r="R1854" s="6"/>
      <x:c r="S1854" s="16"/>
      <x:c r="T1854" s="15"/>
      <x:c r="U1854" s="6"/>
      <x:c r="V1854" s="6"/>
      <x:c r="W1854" s="6" t="str">
        <x:v>Existing set_closed followed by find_route. State reset is caller responsibility.</x:v>
      </x:c>
      <x:c r="X1854" s="6" t="str">
        <x:v>data/train/swiss-4967/questions_basic.jsonl</x:v>
      </x:c>
      <x:c r="Y1854" s="14" t="n">
        <x:v>9</x:v>
      </x:c>
      <x:c r="Z1854" s="6" t="str">
        <x:v>https://github.com/hagenhaeussler/Industrial-Agents-Hackathon-2026/blob/f41616590b69f3ea0c1cbfb41d6c35edd9ce53df/data/train/swiss-4967/questions_basic.jsonl#L9</x:v>
      </x:c>
      <x:c r="AA1854" s="6" t="str">
        <x:v>swiss_dwellings</x:v>
      </x:c>
      <x:c r="AB1854" s="6" t="str">
        <x:v>CC-BY-4.0</x:v>
      </x:c>
    </x:row>
    <x:row r="1855" ht="124" customHeight="1">
      <x:c r="A1855" s="14" t="n">
        <x:v>1850</x:v>
      </x:c>
      <x:c r="B1855" s="6" t="str">
        <x:v>route_with_closure</x:v>
      </x:c>
      <x:c r="C1855" s="6" t="str">
        <x:v>Staircase 4 is closed for maintenance. How do I get from Kitchen 3.06 (apartment 7) (Floor 3) to Living room 1.03 (apartment 3) (Floor 1)?</x:v>
      </x:c>
      <x:c r="D1855" s="6" t="str">
        <x:v>44.02 m
From: Kitchen 3.06 (apartment 7)
To: Living room 1.03 (apartment 3)
Ordered path (9 spaces): Kitchen 3.06 (apartment 7) → Corridor 3.04 (apartment 7) → Landing 3.18 → Landing 3.19 → Landing 2.19 → Landing 2.18 → Landing 1.18 → Corridor 1.08 (apartment 3) → Living room 1.03 (apartment 3)
Closed: swiss-5354-V05</x:v>
      </x:c>
      <x:c r="E1855" s="6" t="str">
        <x:v>Reference supplied</x:v>
      </x:c>
      <x:c r="F1855" s="6" t="str">
        <x:v>train</x:v>
      </x:c>
      <x:c r="G1855" s="6" t="str">
        <x:v>swiss-5354</x:v>
      </x:c>
      <x:c r="H1855" s="6" t="str">
        <x:v>swiss-5354-Q07</x:v>
      </x:c>
      <x:c r="I1855" s="6" t="str">
        <x:v>Route planning</x:v>
      </x:c>
      <x:c r="J1855" s="6" t="str">
        <x:v>Warm-up</x:v>
      </x:c>
      <x:c r="K1855" s="6" t="str">
        <x:v>Alternative ordered path and metres, or an explicit no-route response.</x:v>
      </x:c>
      <x:c r="L1855" s="6" t="str">
        <x:v>T02, T05, T12, T13</x:v>
      </x:c>
      <x:c r="M1855" s="6" t="str">
        <x:v>Reroute while a named lift, staircase, door or room is closed.</x:v>
      </x:c>
      <x:c r="N1855" s="6" t="str">
        <x:v>{"from_space_id":"swiss-5354-F3-S006","to_space_id":"swiss-5354-F1-S003","optimal_length_m":44.02,"space_path":["swiss-5354-F3-S006","swiss-5354-F3-S004","swiss-5354-F3-S018","swiss-5354-F3-S019","swiss-5354-F2-S019","swiss-5354-F2-S018","swiss-5354-F1-S018","swiss-5354-F1-S008","swiss-5354-F1-S003"],"element_path":["swiss-5354-F3-O0072","swiss-5354-F3-O0072","swiss-5354-F3-O0060","swiss-5354-F3-O0060","swiss-5354-F3-O0058","swiss-5354-F3-O0058","swiss-5354-V01","swiss-5354-F2-O0038","swiss-5354-F2-O0038","swiss-5354-V04","swiss-5354-F1-O0020","swiss-5354-F1-O0020","swiss-5354-F1-O0032","swiss-5354-F1-O0032"],"closed_element_id":"swiss-5354-V05"}</x:v>
      </x:c>
      <x:c r="O1855" s="6"/>
      <x:c r="P1855" s="6" t="str">
        <x:v>Avoid named closed element: swiss-5354-V05. May be unreachable.</x:v>
      </x:c>
      <x:c r="Q1855" s="15" t="n">
        <x:v>44.02</x:v>
      </x:c>
      <x:c r="R1855" s="6" t="str">
        <x:v>m</x:v>
      </x:c>
      <x:c r="S1855" s="16"/>
      <x:c r="T1855" s="15"/>
      <x:c r="U1855" s="6"/>
      <x:c r="V1855" s="6"/>
      <x:c r="W1855" s="6" t="str">
        <x:v>Existing set_closed followed by find_route. State reset is caller responsibility.</x:v>
      </x:c>
      <x:c r="X1855" s="6" t="str">
        <x:v>data/train/swiss-5354/questions_basic.jsonl</x:v>
      </x:c>
      <x:c r="Y1855" s="14" t="n">
        <x:v>7</x:v>
      </x:c>
      <x:c r="Z1855" s="6" t="str">
        <x:v>https://github.com/hagenhaeussler/Industrial-Agents-Hackathon-2026/blob/f41616590b69f3ea0c1cbfb41d6c35edd9ce53df/data/train/swiss-5354/questions_basic.jsonl#L7</x:v>
      </x:c>
      <x:c r="AA1855" s="6" t="str">
        <x:v>swiss_dwellings</x:v>
      </x:c>
      <x:c r="AB1855" s="6" t="str">
        <x:v>CC-BY-4.0</x:v>
      </x:c>
    </x:row>
    <x:row r="1856" ht="72" customHeight="1">
      <x:c r="A1856" s="14" t="n">
        <x:v>1851</x:v>
      </x:c>
      <x:c r="B1856" s="6" t="str">
        <x:v>route_with_closure</x:v>
      </x:c>
      <x:c r="C1856" s="6" t="str">
        <x:v>Main staircase is closed for maintenance. How do I get from Kitchen 0.04 (apartment 2) (Ground floor) to Bedroom 2.03 (apartment 5) (Floor 2)?</x:v>
      </x:c>
      <x:c r="D1856" s="6" t="str">
        <x:v>No route under the requested constraints.
From: Kitchen 0.04 (apartment 2)
To: Bedroom 2.03 (apartment 5)
Closed: swiss-5422-V01</x:v>
      </x:c>
      <x:c r="E1856" s="6" t="str">
        <x:v>Reference supplied</x:v>
      </x:c>
      <x:c r="F1856" s="6" t="str">
        <x:v>train</x:v>
      </x:c>
      <x:c r="G1856" s="6" t="str">
        <x:v>swiss-5422</x:v>
      </x:c>
      <x:c r="H1856" s="6" t="str">
        <x:v>swiss-5422-Q09</x:v>
      </x:c>
      <x:c r="I1856" s="6" t="str">
        <x:v>Route planning</x:v>
      </x:c>
      <x:c r="J1856" s="6" t="str">
        <x:v>Warm-up</x:v>
      </x:c>
      <x:c r="K1856" s="6" t="str">
        <x:v>Alternative ordered path and metres, or an explicit no-route response.</x:v>
      </x:c>
      <x:c r="L1856" s="6" t="str">
        <x:v>T02, T05, T12, T13</x:v>
      </x:c>
      <x:c r="M1856" s="6" t="str">
        <x:v>Reroute while a named lift, staircase, door or room is closed.</x:v>
      </x:c>
      <x:c r="N1856" s="6" t="str">
        <x:v>{"from_space_id":"swiss-5422-F0-S004","to_space_id":"swiss-5422-F2-S003","reachable":false,"closed_element_id":"swiss-5422-V01"}</x:v>
      </x:c>
      <x:c r="O1856" s="6"/>
      <x:c r="P1856" s="6" t="str">
        <x:v>Avoid named closed element: swiss-5422-V01. May be unreachable.</x:v>
      </x:c>
      <x:c r="Q1856" s="15"/>
      <x:c r="R1856" s="6"/>
      <x:c r="S1856" s="16"/>
      <x:c r="T1856" s="15"/>
      <x:c r="U1856" s="6"/>
      <x:c r="V1856" s="6"/>
      <x:c r="W1856" s="6" t="str">
        <x:v>Existing set_closed followed by find_route. State reset is caller responsibility.</x:v>
      </x:c>
      <x:c r="X1856" s="6" t="str">
        <x:v>data/train/swiss-5422/questions_basic.jsonl</x:v>
      </x:c>
      <x:c r="Y1856" s="14" t="n">
        <x:v>9</x:v>
      </x:c>
      <x:c r="Z1856" s="6" t="str">
        <x:v>https://github.com/hagenhaeussler/Industrial-Agents-Hackathon-2026/blob/f41616590b69f3ea0c1cbfb41d6c35edd9ce53df/data/train/swiss-5422/questions_basic.jsonl#L9</x:v>
      </x:c>
      <x:c r="AA1856" s="6" t="str">
        <x:v>swiss_dwellings</x:v>
      </x:c>
      <x:c r="AB1856" s="6" t="str">
        <x:v>CC-BY-4.0</x:v>
      </x:c>
    </x:row>
    <x:row r="1857" ht="152" customHeight="1">
      <x:c r="A1857" s="14" t="n">
        <x:v>1852</x:v>
      </x:c>
      <x:c r="B1857" s="6" t="str">
        <x:v>route_with_closure</x:v>
      </x:c>
      <x:c r="C1857" s="6" t="str">
        <x:v>Staircase 6 is closed for maintenance. How do I get from Bedroom 5.14 (apartment 12) (Floor 5) to Living room 0.06 (apartment 1) (Ground floor)?</x:v>
      </x:c>
      <x:c r="D1857" s="6" t="str">
        <x:v>88.64 m
From: Bedroom 5.14 (apartment 12)
To: Living room 0.06 (apartment 1)
Ordered path (14 spaces): Bedroom 5.14 (apartment 12) → Corridor 5.15 (apartment 12) → Living room 5.07 (apartment 12) → Corridor 5.13 (apartment 12) → Landing 5.18 → Landing 5.17 → Landing 4.17 → Landing 3.17 → Landing 2.18 → Landing 1.17 → Landing 0.16 → Corridor 0.03 (apartment 1) → Kitchen 0.02 (apartment 1) → Living room 0.06 (apartment 1)
Closed: swiss-5690-V07</x:v>
      </x:c>
      <x:c r="E1857" s="6" t="str">
        <x:v>Reference supplied</x:v>
      </x:c>
      <x:c r="F1857" s="6" t="str">
        <x:v>train</x:v>
      </x:c>
      <x:c r="G1857" s="6" t="str">
        <x:v>swiss-5690</x:v>
      </x:c>
      <x:c r="H1857" s="6" t="str">
        <x:v>swiss-5690-Q07</x:v>
      </x:c>
      <x:c r="I1857" s="6" t="str">
        <x:v>Route planning</x:v>
      </x:c>
      <x:c r="J1857" s="6" t="str">
        <x:v>Warm-up</x:v>
      </x:c>
      <x:c r="K1857" s="6" t="str">
        <x:v>Alternative ordered path and metres, or an explicit no-route response.</x:v>
      </x:c>
      <x:c r="L1857" s="6" t="str">
        <x:v>T02, T05, T12, T13</x:v>
      </x:c>
      <x:c r="M1857" s="6" t="str">
        <x:v>Reroute while a named lift, staircase, door or room is closed.</x:v>
      </x:c>
      <x:c r="N1857" s="6" t="str">
        <x:v>{"from_space_id":"swiss-5690-F5-S014","to_space_id":"swiss-5690-F0-S006","optimal_length_m":88.64,"space_path":["swiss-5690-F5-S014","swiss-5690-F5-S015","swiss-5690-F5-S007","swiss-5690-F5-S013","swiss-5690-F5-S018","swiss-5690-F5-S017","swiss-5690-F4-S017","swiss-5690-F3-S017","swiss-5690-F2-S018","swiss-5690-F1-S017","swiss-5690-F0-S016","swiss-5690-F0-S003","swiss-5690-F0-S002","swiss-5690-F0-S006"],"element_path":["swiss-5690-F5-O0105","swiss-5690-F5-O0105","swiss-5690-F5-O0112","swiss-5690-F5-O0112","swiss-5690-F5-O0114","swiss-5690-F5-O0114","swiss-5690-F5-O0110","swiss-5690-F5-O0110","swiss-5690-F5-O0095","swiss-5690-F5-O0095","swiss-5690-V01","swiss-5690-V01","swiss-5690-V01","swiss-5690-V01","swiss-5690-V01","swiss-5690-F0-O0005","swiss-5690-F0-O0005","swiss-5690-F0-O0009","swiss-5690-F0-O0009","swiss-5690-F0-O0006","swiss-5690-F0-O0006"],"closed_element_id":"swiss-5690-V07"}</x:v>
      </x:c>
      <x:c r="O1857" s="6"/>
      <x:c r="P1857" s="6" t="str">
        <x:v>Avoid named closed element: swiss-5690-V07. May be unreachable.</x:v>
      </x:c>
      <x:c r="Q1857" s="15" t="n">
        <x:v>88.64</x:v>
      </x:c>
      <x:c r="R1857" s="6" t="str">
        <x:v>m</x:v>
      </x:c>
      <x:c r="S1857" s="16"/>
      <x:c r="T1857" s="15"/>
      <x:c r="U1857" s="6"/>
      <x:c r="V1857" s="6"/>
      <x:c r="W1857" s="6" t="str">
        <x:v>Existing set_closed followed by find_route. State reset is caller responsibility.</x:v>
      </x:c>
      <x:c r="X1857" s="6" t="str">
        <x:v>data/train/swiss-5690/questions_basic.jsonl</x:v>
      </x:c>
      <x:c r="Y1857" s="14" t="n">
        <x:v>7</x:v>
      </x:c>
      <x:c r="Z1857" s="6" t="str">
        <x:v>https://github.com/hagenhaeussler/Industrial-Agents-Hackathon-2026/blob/f41616590b69f3ea0c1cbfb41d6c35edd9ce53df/data/train/swiss-5690/questions_basic.jsonl#L7</x:v>
      </x:c>
      <x:c r="AA1857" s="6" t="str">
        <x:v>swiss_dwellings</x:v>
      </x:c>
      <x:c r="AB1857" s="6" t="str">
        <x:v>CC-BY-4.0</x:v>
      </x:c>
    </x:row>
    <x:row r="1858" ht="72" customHeight="1">
      <x:c r="A1858" s="14" t="n">
        <x:v>1853</x:v>
      </x:c>
      <x:c r="B1858" s="6" t="str">
        <x:v>route_with_closure</x:v>
      </x:c>
      <x:c r="C1858" s="6" t="str">
        <x:v>Main staircase is closed for maintenance. How do I get from Bathroom 0.08 (apartment 1) (Ground floor) to Bathroom 2.03 (apartment 3) (Floor 2)?</x:v>
      </x:c>
      <x:c r="D1858" s="6" t="str">
        <x:v>No route under the requested constraints.
From: Bathroom 0.08 (apartment 1)
To: Bathroom 2.03 (apartment 3)
Closed: swiss-59-V01</x:v>
      </x:c>
      <x:c r="E1858" s="6" t="str">
        <x:v>Reference supplied</x:v>
      </x:c>
      <x:c r="F1858" s="6" t="str">
        <x:v>train</x:v>
      </x:c>
      <x:c r="G1858" s="6" t="str">
        <x:v>swiss-59</x:v>
      </x:c>
      <x:c r="H1858" s="6" t="str">
        <x:v>swiss-59-Q07</x:v>
      </x:c>
      <x:c r="I1858" s="6" t="str">
        <x:v>Route planning</x:v>
      </x:c>
      <x:c r="J1858" s="6" t="str">
        <x:v>Warm-up</x:v>
      </x:c>
      <x:c r="K1858" s="6" t="str">
        <x:v>Alternative ordered path and metres, or an explicit no-route response.</x:v>
      </x:c>
      <x:c r="L1858" s="6" t="str">
        <x:v>T02, T05, T12, T13</x:v>
      </x:c>
      <x:c r="M1858" s="6" t="str">
        <x:v>Reroute while a named lift, staircase, door or room is closed.</x:v>
      </x:c>
      <x:c r="N1858" s="6" t="str">
        <x:v>{"from_space_id":"swiss-59-F0-S008","to_space_id":"swiss-59-F2-S003","reachable":false,"closed_element_id":"swiss-59-V01"}</x:v>
      </x:c>
      <x:c r="O1858" s="6"/>
      <x:c r="P1858" s="6" t="str">
        <x:v>Avoid named closed element: swiss-59-V01. May be unreachable.</x:v>
      </x:c>
      <x:c r="Q1858" s="15"/>
      <x:c r="R1858" s="6"/>
      <x:c r="S1858" s="16"/>
      <x:c r="T1858" s="15"/>
      <x:c r="U1858" s="6"/>
      <x:c r="V1858" s="6"/>
      <x:c r="W1858" s="6" t="str">
        <x:v>Existing set_closed followed by find_route. State reset is caller responsibility.</x:v>
      </x:c>
      <x:c r="X1858" s="6" t="str">
        <x:v>data/train/swiss-59/questions_basic.jsonl</x:v>
      </x:c>
      <x:c r="Y1858" s="14" t="n">
        <x:v>7</x:v>
      </x:c>
      <x:c r="Z1858" s="6" t="str">
        <x:v>https://github.com/hagenhaeussler/Industrial-Agents-Hackathon-2026/blob/f41616590b69f3ea0c1cbfb41d6c35edd9ce53df/data/train/swiss-59/questions_basic.jsonl#L7</x:v>
      </x:c>
      <x:c r="AA1858" s="6" t="str">
        <x:v>swiss_dwellings</x:v>
      </x:c>
      <x:c r="AB1858" s="6" t="str">
        <x:v>CC-BY-4.0</x:v>
      </x:c>
    </x:row>
    <x:row r="1859" ht="72" customHeight="1">
      <x:c r="A1859" s="14" t="n">
        <x:v>1854</x:v>
      </x:c>
      <x:c r="B1859" s="6" t="str">
        <x:v>route_with_closure</x:v>
      </x:c>
      <x:c r="C1859" s="6" t="str">
        <x:v>Main staircase is closed for maintenance. How do I get from Bedroom 2.03 (apartment 5) (Floor 2) to Living room 0.06 (apartment 2) (Ground floor)?</x:v>
      </x:c>
      <x:c r="D1859" s="6" t="str">
        <x:v>No route under the requested constraints.
From: Bedroom 2.03 (apartment 5)
To: Living room 0.06 (apartment 2)
Closed: swiss-6148-V01</x:v>
      </x:c>
      <x:c r="E1859" s="6" t="str">
        <x:v>Reference supplied</x:v>
      </x:c>
      <x:c r="F1859" s="6" t="str">
        <x:v>train</x:v>
      </x:c>
      <x:c r="G1859" s="6" t="str">
        <x:v>swiss-6148</x:v>
      </x:c>
      <x:c r="H1859" s="6" t="str">
        <x:v>swiss-6148-Q08</x:v>
      </x:c>
      <x:c r="I1859" s="6" t="str">
        <x:v>Route planning</x:v>
      </x:c>
      <x:c r="J1859" s="6" t="str">
        <x:v>Warm-up</x:v>
      </x:c>
      <x:c r="K1859" s="6" t="str">
        <x:v>Alternative ordered path and metres, or an explicit no-route response.</x:v>
      </x:c>
      <x:c r="L1859" s="6" t="str">
        <x:v>T02, T05, T12, T13</x:v>
      </x:c>
      <x:c r="M1859" s="6" t="str">
        <x:v>Reroute while a named lift, staircase, door or room is closed.</x:v>
      </x:c>
      <x:c r="N1859" s="6" t="str">
        <x:v>{"from_space_id":"swiss-6148-F2-S003","to_space_id":"swiss-6148-F0-S006","reachable":false,"closed_element_id":"swiss-6148-V01"}</x:v>
      </x:c>
      <x:c r="O1859" s="6"/>
      <x:c r="P1859" s="6" t="str">
        <x:v>Avoid named closed element: swiss-6148-V01. May be unreachable.</x:v>
      </x:c>
      <x:c r="Q1859" s="15"/>
      <x:c r="R1859" s="6"/>
      <x:c r="S1859" s="16"/>
      <x:c r="T1859" s="15"/>
      <x:c r="U1859" s="6"/>
      <x:c r="V1859" s="6"/>
      <x:c r="W1859" s="6" t="str">
        <x:v>Existing set_closed followed by find_route. State reset is caller responsibility.</x:v>
      </x:c>
      <x:c r="X1859" s="6" t="str">
        <x:v>data/train/swiss-6148/questions_basic.jsonl</x:v>
      </x:c>
      <x:c r="Y1859" s="14" t="n">
        <x:v>8</x:v>
      </x:c>
      <x:c r="Z1859" s="6" t="str">
        <x:v>https://github.com/hagenhaeussler/Industrial-Agents-Hackathon-2026/blob/f41616590b69f3ea0c1cbfb41d6c35edd9ce53df/data/train/swiss-6148/questions_basic.jsonl#L8</x:v>
      </x:c>
      <x:c r="AA1859" s="6" t="str">
        <x:v>swiss_dwellings</x:v>
      </x:c>
      <x:c r="AB1859" s="6" t="str">
        <x:v>CC-BY-4.0</x:v>
      </x:c>
    </x:row>
    <x:row r="1860" ht="124" customHeight="1">
      <x:c r="A1860" s="14" t="n">
        <x:v>1855</x:v>
      </x:c>
      <x:c r="B1860" s="6" t="str">
        <x:v>route_with_closure</x:v>
      </x:c>
      <x:c r="C1860" s="6" t="str">
        <x:v>Staircase 5 is closed for maintenance. How do I get from Bathroom 3.14 (apartment 8) (Floor 3) to Bedroom 4.12 (apartment 10) (Floor 4)?</x:v>
      </x:c>
      <x:c r="D1860" s="6" t="str">
        <x:v>33.2 m
From: Bathroom 3.14 (apartment 8)
To: Bedroom 4.12 (apartment 10)
Ordered path (9 spaces): Bathroom 3.14 (apartment 8) → Bathroom 3.18 (apartment 8) → Corridor 3.20 (apartment 8) → Landing 3.22 → Landing 3.21 → Landing 4.21 → Landing 4.22 → Corridor 4.18 (apartment 10) → Bedroom 4.12 (apartment 10)
Closed: swiss-624-V05</x:v>
      </x:c>
      <x:c r="E1860" s="6" t="str">
        <x:v>Reference supplied</x:v>
      </x:c>
      <x:c r="F1860" s="6" t="str">
        <x:v>train</x:v>
      </x:c>
      <x:c r="G1860" s="6" t="str">
        <x:v>swiss-624</x:v>
      </x:c>
      <x:c r="H1860" s="6" t="str">
        <x:v>swiss-624-Q08</x:v>
      </x:c>
      <x:c r="I1860" s="6" t="str">
        <x:v>Route planning</x:v>
      </x:c>
      <x:c r="J1860" s="6" t="str">
        <x:v>Warm-up</x:v>
      </x:c>
      <x:c r="K1860" s="6" t="str">
        <x:v>Alternative ordered path and metres, or an explicit no-route response.</x:v>
      </x:c>
      <x:c r="L1860" s="6" t="str">
        <x:v>T02, T05, T12, T13</x:v>
      </x:c>
      <x:c r="M1860" s="6" t="str">
        <x:v>Reroute while a named lift, staircase, door or room is closed.</x:v>
      </x:c>
      <x:c r="N1860" s="6" t="str">
        <x:v>{"from_space_id":"swiss-624-F3-S014","to_space_id":"swiss-624-F4-S012","optimal_length_m":33.2,"space_path":["swiss-624-F3-S014","swiss-624-F3-S018","swiss-624-F3-S020","swiss-624-F3-S022","swiss-624-F3-S021","swiss-624-F4-S021","swiss-624-F4-S022","swiss-624-F4-S018","swiss-624-F4-S012"],"element_path":["swiss-624-F3-O0091","swiss-624-F3-O0091","swiss-624-F3-O0088","swiss-624-F3-O0088","swiss-624-F3-O0090","swiss-624-F3-O0090","swiss-624-F3-O0069","swiss-624-F3-O0069","swiss-624-V01","swiss-624-F4-O0092","swiss-624-F4-O0092","swiss-624-F4-O0102","swiss-624-F4-O0102","swiss-624-F4-O0109","swiss-624-F4-O0109"],"closed_element_id":"swiss-624-V05"}</x:v>
      </x:c>
      <x:c r="O1860" s="6"/>
      <x:c r="P1860" s="6" t="str">
        <x:v>Avoid named closed element: swiss-624-V05. May be unreachable.</x:v>
      </x:c>
      <x:c r="Q1860" s="15" t="n">
        <x:v>33.2</x:v>
      </x:c>
      <x:c r="R1860" s="6" t="str">
        <x:v>m</x:v>
      </x:c>
      <x:c r="S1860" s="16"/>
      <x:c r="T1860" s="15"/>
      <x:c r="U1860" s="6"/>
      <x:c r="V1860" s="6"/>
      <x:c r="W1860" s="6" t="str">
        <x:v>Existing set_closed followed by find_route. State reset is caller responsibility.</x:v>
      </x:c>
      <x:c r="X1860" s="6" t="str">
        <x:v>data/train/swiss-624/questions_basic.jsonl</x:v>
      </x:c>
      <x:c r="Y1860" s="14" t="n">
        <x:v>8</x:v>
      </x:c>
      <x:c r="Z1860" s="6" t="str">
        <x:v>https://github.com/hagenhaeussler/Industrial-Agents-Hackathon-2026/blob/f41616590b69f3ea0c1cbfb41d6c35edd9ce53df/data/train/swiss-624/questions_basic.jsonl#L8</x:v>
      </x:c>
      <x:c r="AA1860" s="6" t="str">
        <x:v>swiss_dwellings</x:v>
      </x:c>
      <x:c r="AB1860" s="6" t="str">
        <x:v>CC-BY-4.0</x:v>
      </x:c>
    </x:row>
    <x:row r="1861" ht="72" customHeight="1">
      <x:c r="A1861" s="14" t="n">
        <x:v>1856</x:v>
      </x:c>
      <x:c r="B1861" s="6" t="str">
        <x:v>route_with_closure</x:v>
      </x:c>
      <x:c r="C1861" s="6" t="str">
        <x:v>Main staircase is closed for maintenance. How do I get from Bedroom 1.12 (apartment 5) (Floor 1) to Bedroom 3.07 (apartment 9) (Floor 3)?</x:v>
      </x:c>
      <x:c r="D1861" s="6" t="str">
        <x:v>No route under the requested constraints.
From: Bedroom 1.12 (apartment 5)
To: Bedroom 3.07 (apartment 9)
Closed: swiss-6456-V01</x:v>
      </x:c>
      <x:c r="E1861" s="6" t="str">
        <x:v>Reference supplied</x:v>
      </x:c>
      <x:c r="F1861" s="6" t="str">
        <x:v>train</x:v>
      </x:c>
      <x:c r="G1861" s="6" t="str">
        <x:v>swiss-6456</x:v>
      </x:c>
      <x:c r="H1861" s="6" t="str">
        <x:v>swiss-6456-Q06</x:v>
      </x:c>
      <x:c r="I1861" s="6" t="str">
        <x:v>Route planning</x:v>
      </x:c>
      <x:c r="J1861" s="6" t="str">
        <x:v>Warm-up</x:v>
      </x:c>
      <x:c r="K1861" s="6" t="str">
        <x:v>Alternative ordered path and metres, or an explicit no-route response.</x:v>
      </x:c>
      <x:c r="L1861" s="6" t="str">
        <x:v>T02, T05, T12, T13</x:v>
      </x:c>
      <x:c r="M1861" s="6" t="str">
        <x:v>Reroute while a named lift, staircase, door or room is closed.</x:v>
      </x:c>
      <x:c r="N1861" s="6" t="str">
        <x:v>{"from_space_id":"swiss-6456-F1-S012","to_space_id":"swiss-6456-F3-S007","reachable":false,"closed_element_id":"swiss-6456-V01"}</x:v>
      </x:c>
      <x:c r="O1861" s="6"/>
      <x:c r="P1861" s="6" t="str">
        <x:v>Avoid named closed element: swiss-6456-V01. May be unreachable.</x:v>
      </x:c>
      <x:c r="Q1861" s="15"/>
      <x:c r="R1861" s="6"/>
      <x:c r="S1861" s="16"/>
      <x:c r="T1861" s="15"/>
      <x:c r="U1861" s="6"/>
      <x:c r="V1861" s="6"/>
      <x:c r="W1861" s="6" t="str">
        <x:v>Existing set_closed followed by find_route. State reset is caller responsibility.</x:v>
      </x:c>
      <x:c r="X1861" s="6" t="str">
        <x:v>data/train/swiss-6456/questions_basic.jsonl</x:v>
      </x:c>
      <x:c r="Y1861" s="14" t="n">
        <x:v>6</x:v>
      </x:c>
      <x:c r="Z1861" s="6" t="str">
        <x:v>https://github.com/hagenhaeussler/Industrial-Agents-Hackathon-2026/blob/f41616590b69f3ea0c1cbfb41d6c35edd9ce53df/data/train/swiss-6456/questions_basic.jsonl#L6</x:v>
      </x:c>
      <x:c r="AA1861" s="6" t="str">
        <x:v>swiss_dwellings</x:v>
      </x:c>
      <x:c r="AB1861" s="6" t="str">
        <x:v>CC-BY-4.0</x:v>
      </x:c>
    </x:row>
    <x:row r="1862" ht="72" customHeight="1">
      <x:c r="A1862" s="14" t="n">
        <x:v>1857</x:v>
      </x:c>
      <x:c r="B1862" s="6" t="str">
        <x:v>route_with_closure</x:v>
      </x:c>
      <x:c r="C1862" s="6" t="str">
        <x:v>Main staircase is closed for maintenance. How do I get from Living room 4.10 (apartment 14) (Floor 4) to Bedroom 3.18 (apartment 12) (Floor 3)?</x:v>
      </x:c>
      <x:c r="D1862" s="6" t="str">
        <x:v>No route under the requested constraints.
From: Living room 4.10 (apartment 14)
To: Bedroom 3.18 (apartment 12)
Closed: swiss-668-V01</x:v>
      </x:c>
      <x:c r="E1862" s="6" t="str">
        <x:v>Reference supplied</x:v>
      </x:c>
      <x:c r="F1862" s="6" t="str">
        <x:v>train</x:v>
      </x:c>
      <x:c r="G1862" s="6" t="str">
        <x:v>swiss-668</x:v>
      </x:c>
      <x:c r="H1862" s="6" t="str">
        <x:v>swiss-668-Q07</x:v>
      </x:c>
      <x:c r="I1862" s="6" t="str">
        <x:v>Route planning</x:v>
      </x:c>
      <x:c r="J1862" s="6" t="str">
        <x:v>Warm-up</x:v>
      </x:c>
      <x:c r="K1862" s="6" t="str">
        <x:v>Alternative ordered path and metres, or an explicit no-route response.</x:v>
      </x:c>
      <x:c r="L1862" s="6" t="str">
        <x:v>T02, T05, T12, T13</x:v>
      </x:c>
      <x:c r="M1862" s="6" t="str">
        <x:v>Reroute while a named lift, staircase, door or room is closed.</x:v>
      </x:c>
      <x:c r="N1862" s="6" t="str">
        <x:v>{"from_space_id":"swiss-668-F4-S010","to_space_id":"swiss-668-F3-S018","reachable":false,"closed_element_id":"swiss-668-V01"}</x:v>
      </x:c>
      <x:c r="O1862" s="6"/>
      <x:c r="P1862" s="6" t="str">
        <x:v>Avoid named closed element: swiss-668-V01. May be unreachable.</x:v>
      </x:c>
      <x:c r="Q1862" s="15"/>
      <x:c r="R1862" s="6"/>
      <x:c r="S1862" s="16"/>
      <x:c r="T1862" s="15"/>
      <x:c r="U1862" s="6"/>
      <x:c r="V1862" s="6"/>
      <x:c r="W1862" s="6" t="str">
        <x:v>Existing set_closed followed by find_route. State reset is caller responsibility.</x:v>
      </x:c>
      <x:c r="X1862" s="6" t="str">
        <x:v>data/train/swiss-668/questions_basic.jsonl</x:v>
      </x:c>
      <x:c r="Y1862" s="14" t="n">
        <x:v>7</x:v>
      </x:c>
      <x:c r="Z1862" s="6" t="str">
        <x:v>https://github.com/hagenhaeussler/Industrial-Agents-Hackathon-2026/blob/f41616590b69f3ea0c1cbfb41d6c35edd9ce53df/data/train/swiss-668/questions_basic.jsonl#L7</x:v>
      </x:c>
      <x:c r="AA1862" s="6" t="str">
        <x:v>swiss_dwellings</x:v>
      </x:c>
      <x:c r="AB1862" s="6" t="str">
        <x:v>CC-BY-4.0</x:v>
      </x:c>
    </x:row>
    <x:row r="1863" ht="138" customHeight="1">
      <x:c r="A1863" s="14" t="n">
        <x:v>1858</x:v>
      </x:c>
      <x:c r="B1863" s="6" t="str">
        <x:v>route_with_closure</x:v>
      </x:c>
      <x:c r="C1863" s="6" t="str">
        <x:v>Main staircase is closed for maintenance. How do I get from Bathroom 1.10 (apartment 8) (Floor 1) to Living room -1.16 (apartment 2) (Basement 1)?</x:v>
      </x:c>
      <x:c r="D1863" s="6" t="str">
        <x:v>77.25 m
From: Bathroom 1.10 (apartment 8)
To: Living room -1.16 (apartment 2)
Ordered path (12 spaces): Bathroom 1.10 (apartment 8) → Corridor 1.14 (apartment 8) → Stair hall 1.33 → Landing 2.18 → Bedroom 2.10 (apartment 12) → Corridor 2.13 (apartment 12) → Landing 2.17 → Stair hall 1.34 → Stair hall 0.34 → Stair hall -1.17 → Corridor -1.14 (apartment 2) → Living room -1.16 (apartment 2)
Closed: swiss-685-V01</x:v>
      </x:c>
      <x:c r="E1863" s="6" t="str">
        <x:v>Reference supplied</x:v>
      </x:c>
      <x:c r="F1863" s="6" t="str">
        <x:v>train</x:v>
      </x:c>
      <x:c r="G1863" s="6" t="str">
        <x:v>swiss-685</x:v>
      </x:c>
      <x:c r="H1863" s="6" t="str">
        <x:v>swiss-685-Q07</x:v>
      </x:c>
      <x:c r="I1863" s="6" t="str">
        <x:v>Route planning</x:v>
      </x:c>
      <x:c r="J1863" s="6" t="str">
        <x:v>Warm-up</x:v>
      </x:c>
      <x:c r="K1863" s="6" t="str">
        <x:v>Alternative ordered path and metres, or an explicit no-route response.</x:v>
      </x:c>
      <x:c r="L1863" s="6" t="str">
        <x:v>T02, T05, T12, T13</x:v>
      </x:c>
      <x:c r="M1863" s="6" t="str">
        <x:v>Reroute while a named lift, staircase, door or room is closed.</x:v>
      </x:c>
      <x:c r="N1863" s="6" t="str">
        <x:v>{"from_space_id":"swiss-685-F1-S010","to_space_id":"swiss-685-F-1-S016","optimal_length_m":77.25,"space_path":["swiss-685-F1-S010","swiss-685-F1-S014","swiss-685-F1-S033","swiss-685-F2-S018","swiss-685-F2-S010","swiss-685-F2-S013","swiss-685-F2-S017","swiss-685-F1-S034","swiss-685-F0-S034","swiss-685-F-1-S017","swiss-685-F-1-S014","swiss-685-F-1-S016"],"element_path":["swiss-685-F1-O0060","swiss-685-F1-O0060","swiss-685-F1-O0052","swiss-685-F1-O0052","swiss-685-V05","swiss-685-F2-O0093","swiss-685-F2-O0093","swiss-685-F2-O0092","swiss-685-F2-O0092","swiss-685-F2-O0089","swiss-685-F2-O0089","swiss-685-V04","swiss-685-V03","swiss-685-V02","swiss-685-F-1-O0010","swiss-685-F-1-O0010","swiss-685-F-1-O0016","swiss-685-F-1-O0016"],"closed_element_id":"swiss-685-V01"}</x:v>
      </x:c>
      <x:c r="O1863" s="6"/>
      <x:c r="P1863" s="6" t="str">
        <x:v>Avoid named closed element: swiss-685-V01. May be unreachable.</x:v>
      </x:c>
      <x:c r="Q1863" s="15" t="n">
        <x:v>77.25</x:v>
      </x:c>
      <x:c r="R1863" s="6" t="str">
        <x:v>m</x:v>
      </x:c>
      <x:c r="S1863" s="16"/>
      <x:c r="T1863" s="15"/>
      <x:c r="U1863" s="6"/>
      <x:c r="V1863" s="6"/>
      <x:c r="W1863" s="6" t="str">
        <x:v>Existing set_closed followed by find_route. State reset is caller responsibility.</x:v>
      </x:c>
      <x:c r="X1863" s="6" t="str">
        <x:v>data/train/swiss-685/questions_basic.jsonl</x:v>
      </x:c>
      <x:c r="Y1863" s="14" t="n">
        <x:v>7</x:v>
      </x:c>
      <x:c r="Z1863" s="6" t="str">
        <x:v>https://github.com/hagenhaeussler/Industrial-Agents-Hackathon-2026/blob/f41616590b69f3ea0c1cbfb41d6c35edd9ce53df/data/train/swiss-685/questions_basic.jsonl#L7</x:v>
      </x:c>
      <x:c r="AA1863" s="6" t="str">
        <x:v>swiss_dwellings</x:v>
      </x:c>
      <x:c r="AB1863" s="6" t="str">
        <x:v>CC-BY-4.0</x:v>
      </x:c>
    </x:row>
    <x:row r="1864" ht="152" customHeight="1">
      <x:c r="A1864" s="14" t="n">
        <x:v>1859</x:v>
      </x:c>
      <x:c r="B1864" s="6" t="str">
        <x:v>route_with_closure</x:v>
      </x:c>
      <x:c r="C1864" s="6" t="str">
        <x:v>Staircase 16 is closed for maintenance. How do I get from Bedroom 4.33 (apartment 37) (Floor 4) to Bedroom 4.22 (apartment 36) (Floor 4)?</x:v>
      </x:c>
      <x:c r="D1864" s="6" t="str">
        <x:v>122.42 m
From: Bedroom 4.33 (apartment 37)
To: Bedroom 4.22 (apartment 36)
Ordered path (16 spaces): Bedroom 4.33 (apartment 37) → Corridor 4.29 (apartment 37) → Landing 4.72 → Landing 4.76 → Stair hall 3.88 → Stair hall 2.88 → Stair hall 1.55 → Stair hall 0.48 → outside → Stair hall 0.49 → Stair hall 1.56 → Landing 2.90 → Landing 3.90 → Landing 4.71 → Corridor 4.26 (apartment 36) → Bedroom 4.22 (apartment 36)
Closed: swiss-692-V16</x:v>
      </x:c>
      <x:c r="E1864" s="6" t="str">
        <x:v>Reference supplied</x:v>
      </x:c>
      <x:c r="F1864" s="6" t="str">
        <x:v>train</x:v>
      </x:c>
      <x:c r="G1864" s="6" t="str">
        <x:v>swiss-692</x:v>
      </x:c>
      <x:c r="H1864" s="6" t="str">
        <x:v>swiss-692-Q06</x:v>
      </x:c>
      <x:c r="I1864" s="6" t="str">
        <x:v>Route planning</x:v>
      </x:c>
      <x:c r="J1864" s="6" t="str">
        <x:v>Warm-up</x:v>
      </x:c>
      <x:c r="K1864" s="6" t="str">
        <x:v>Alternative ordered path and metres, or an explicit no-route response.</x:v>
      </x:c>
      <x:c r="L1864" s="6" t="str">
        <x:v>T02, T05, T12, T13</x:v>
      </x:c>
      <x:c r="M1864" s="6" t="str">
        <x:v>Reroute while a named lift, staircase, door or room is closed.</x:v>
      </x:c>
      <x:c r="N1864" s="6" t="str">
        <x:v>{"from_space_id":"swiss-692-F4-S033","to_space_id":"swiss-692-F4-S022","optimal_length_m":122.42,"space_path":["swiss-692-F4-S033","swiss-692-F4-S029","swiss-692-F4-S072","swiss-692-F4-S076","swiss-692-F3-S088","swiss-692-F2-S088","swiss-692-F1-S055","swiss-692-F0-S048","outside","swiss-692-F0-S049","swiss-692-F1-S056","swiss-692-F2-S090","swiss-692-F3-S090","swiss-692-F4-S071","swiss-692-F4-S026","swiss-692-F4-S022"],"element_path":["swiss-692-F4-O0322","swiss-692-F4-O0322","swiss-692-F4-O0326","swiss-692-F4-O0326","swiss-692-F4-O0291","swiss-692-F4-O0291","swiss-692-V19","swiss-692-V09","swiss-692-V05","swiss-692-V02","swiss-692-F0-O0361","swiss-692-F0-O0361","swiss-692-F0-O0362","swiss-692-F0-O0362","swiss-692-V03","swiss-692-V07","swiss-692-V11","swiss-692-V15","swiss-692-F4-O0316","swiss-692-F4-O0316","swiss-692-F4-O0319","swiss-692-F4-O0319"],"closed_element_id":"swiss-692-V16"}</x:v>
      </x:c>
      <x:c r="O1864" s="6"/>
      <x:c r="P1864" s="6" t="str">
        <x:v>Avoid named closed element: swiss-692-V16. May be unreachable.</x:v>
      </x:c>
      <x:c r="Q1864" s="15" t="n">
        <x:v>122.42</x:v>
      </x:c>
      <x:c r="R1864" s="6" t="str">
        <x:v>m</x:v>
      </x:c>
      <x:c r="S1864" s="16"/>
      <x:c r="T1864" s="15"/>
      <x:c r="U1864" s="6"/>
      <x:c r="V1864" s="6"/>
      <x:c r="W1864" s="6" t="str">
        <x:v>Existing set_closed followed by find_route. State reset is caller responsibility.</x:v>
      </x:c>
      <x:c r="X1864" s="6" t="str">
        <x:v>data/train/swiss-692/questions_basic.jsonl</x:v>
      </x:c>
      <x:c r="Y1864" s="14" t="n">
        <x:v>6</x:v>
      </x:c>
      <x:c r="Z1864" s="6" t="str">
        <x:v>https://github.com/hagenhaeussler/Industrial-Agents-Hackathon-2026/blob/f41616590b69f3ea0c1cbfb41d6c35edd9ce53df/data/train/swiss-692/questions_basic.jsonl#L6</x:v>
      </x:c>
      <x:c r="AA1864" s="6" t="str">
        <x:v>swiss_dwellings</x:v>
      </x:c>
      <x:c r="AB1864" s="6" t="str">
        <x:v>CC-BY-4.0</x:v>
      </x:c>
    </x:row>
    <x:row r="1865" ht="138" customHeight="1">
      <x:c r="A1865" s="14" t="n">
        <x:v>1860</x:v>
      </x:c>
      <x:c r="B1865" s="6" t="str">
        <x:v>route_with_closure</x:v>
      </x:c>
      <x:c r="C1865" s="6" t="str">
        <x:v>Main staircase is closed for maintenance. How do I get from Bedroom 2.12 (apartment 6) (Floor 2) to Bedroom 1.14 (apartment 4) (Floor 1)?</x:v>
      </x:c>
      <x:c r="D1865" s="6" t="str">
        <x:v>46.74 m
From: Bedroom 2.12 (apartment 6)
To: Bedroom 1.14 (apartment 4)
Ordered path (11 spaces): Bedroom 2.12 (apartment 6) → Corridor 2.18 (apartment 6) → Living room 2.13 (apartment 6) → Corridor 2.15 (apartment 6) → Landing 2.24 → Landing 2.23 → Landing 1.24 → Corridor 1.15 (apartment 4) → Living room 1.17 (apartment 4) → Corridor 1.21 (apartment 4) → Bedroom 1.14 (apartment 4)
Closed: swiss-920-V01</x:v>
      </x:c>
      <x:c r="E1865" s="6" t="str">
        <x:v>Reference supplied</x:v>
      </x:c>
      <x:c r="F1865" s="6" t="str">
        <x:v>train</x:v>
      </x:c>
      <x:c r="G1865" s="6" t="str">
        <x:v>swiss-920</x:v>
      </x:c>
      <x:c r="H1865" s="6" t="str">
        <x:v>swiss-920-Q06</x:v>
      </x:c>
      <x:c r="I1865" s="6" t="str">
        <x:v>Route planning</x:v>
      </x:c>
      <x:c r="J1865" s="6" t="str">
        <x:v>Warm-up</x:v>
      </x:c>
      <x:c r="K1865" s="6" t="str">
        <x:v>Alternative ordered path and metres, or an explicit no-route response.</x:v>
      </x:c>
      <x:c r="L1865" s="6" t="str">
        <x:v>T02, T05, T12, T13</x:v>
      </x:c>
      <x:c r="M1865" s="6" t="str">
        <x:v>Reroute while a named lift, staircase, door or room is closed.</x:v>
      </x:c>
      <x:c r="N1865" s="6" t="str">
        <x:v>{"from_space_id":"swiss-920-F2-S012","to_space_id":"swiss-920-F1-S014","optimal_length_m":46.74,"space_path":["swiss-920-F2-S012","swiss-920-F2-S018","swiss-920-F2-S013","swiss-920-F2-S015","swiss-920-F2-S024","swiss-920-F2-S023","swiss-920-F1-S024","swiss-920-F1-S015","swiss-920-F1-S017","swiss-920-F1-S021","swiss-920-F1-S014"],"element_path":["swiss-920-F2-O0060","swiss-920-F2-O0060","swiss-920-F2-O0072","swiss-920-F2-O0072","swiss-920-F2-O0074","swiss-920-F2-O0074","swiss-920-F2-O0061","swiss-920-F2-O0061","swiss-920-F2-O0051","swiss-920-F2-O0051","swiss-920-V04","swiss-920-F1-O0042","swiss-920-F1-O0042","swiss-920-F1-O0049","swiss-920-F1-O0049","swiss-920-F1-O0050","swiss-920-F1-O0050","swiss-920-F1-O0036","swiss-920-F1-O0036"],"closed_element_id":"swiss-920-V01"}</x:v>
      </x:c>
      <x:c r="O1865" s="6"/>
      <x:c r="P1865" s="6" t="str">
        <x:v>Avoid named closed element: swiss-920-V01. May be unreachable.</x:v>
      </x:c>
      <x:c r="Q1865" s="15" t="n">
        <x:v>46.74</x:v>
      </x:c>
      <x:c r="R1865" s="6" t="str">
        <x:v>m</x:v>
      </x:c>
      <x:c r="S1865" s="16"/>
      <x:c r="T1865" s="15"/>
      <x:c r="U1865" s="6"/>
      <x:c r="V1865" s="6"/>
      <x:c r="W1865" s="6" t="str">
        <x:v>Existing set_closed followed by find_route. State reset is caller responsibility.</x:v>
      </x:c>
      <x:c r="X1865" s="6" t="str">
        <x:v>data/train/swiss-920/questions_basic.jsonl</x:v>
      </x:c>
      <x:c r="Y1865" s="14" t="n">
        <x:v>6</x:v>
      </x:c>
      <x:c r="Z1865" s="6" t="str">
        <x:v>https://github.com/hagenhaeussler/Industrial-Agents-Hackathon-2026/blob/f41616590b69f3ea0c1cbfb41d6c35edd9ce53df/data/train/swiss-920/questions_basic.jsonl#L6</x:v>
      </x:c>
      <x:c r="AA1865" s="6" t="str">
        <x:v>swiss_dwellings</x:v>
      </x:c>
      <x:c r="AB1865" s="6" t="str">
        <x:v>CC-BY-4.0</x:v>
      </x:c>
    </x:row>
    <x:row r="1866" ht="72" customHeight="1">
      <x:c r="A1866" s="14" t="n">
        <x:v>1861</x:v>
      </x:c>
      <x:c r="B1866" s="6" t="str">
        <x:v>route_with_closure</x:v>
      </x:c>
      <x:c r="C1866" s="6" t="str">
        <x:v>Staircase 4 is closed for maintenance. How do I get from Bathroom 3.05 (apartment 13) (Floor 3) to Living room 6.24 (apartment 27) (Floor 6)?</x:v>
      </x:c>
      <x:c r="D1866" s="6" t="str">
        <x:v>No route under the requested constraints.
From: Bathroom 3.05 (apartment 13)
To: Living room 6.24 (apartment 27)
Closed: swiss-921-V05</x:v>
      </x:c>
      <x:c r="E1866" s="6" t="str">
        <x:v>Reference supplied</x:v>
      </x:c>
      <x:c r="F1866" s="6" t="str">
        <x:v>train</x:v>
      </x:c>
      <x:c r="G1866" s="6" t="str">
        <x:v>swiss-921</x:v>
      </x:c>
      <x:c r="H1866" s="6" t="str">
        <x:v>swiss-921-Q06</x:v>
      </x:c>
      <x:c r="I1866" s="6" t="str">
        <x:v>Route planning</x:v>
      </x:c>
      <x:c r="J1866" s="6" t="str">
        <x:v>Warm-up</x:v>
      </x:c>
      <x:c r="K1866" s="6" t="str">
        <x:v>Alternative ordered path and metres, or an explicit no-route response.</x:v>
      </x:c>
      <x:c r="L1866" s="6" t="str">
        <x:v>T02, T05, T12, T13</x:v>
      </x:c>
      <x:c r="M1866" s="6" t="str">
        <x:v>Reroute while a named lift, staircase, door or room is closed.</x:v>
      </x:c>
      <x:c r="N1866" s="6" t="str">
        <x:v>{"from_space_id":"swiss-921-F3-S005","to_space_id":"swiss-921-F6-S024","reachable":false,"closed_element_id":"swiss-921-V05"}</x:v>
      </x:c>
      <x:c r="O1866" s="6"/>
      <x:c r="P1866" s="6" t="str">
        <x:v>Avoid named closed element: swiss-921-V05. May be unreachable.</x:v>
      </x:c>
      <x:c r="Q1866" s="15"/>
      <x:c r="R1866" s="6"/>
      <x:c r="S1866" s="16"/>
      <x:c r="T1866" s="15"/>
      <x:c r="U1866" s="6"/>
      <x:c r="V1866" s="6"/>
      <x:c r="W1866" s="6" t="str">
        <x:v>Existing set_closed followed by find_route. State reset is caller responsibility.</x:v>
      </x:c>
      <x:c r="X1866" s="6" t="str">
        <x:v>data/train/swiss-921/questions_basic.jsonl</x:v>
      </x:c>
      <x:c r="Y1866" s="14" t="n">
        <x:v>6</x:v>
      </x:c>
      <x:c r="Z1866" s="6" t="str">
        <x:v>https://github.com/hagenhaeussler/Industrial-Agents-Hackathon-2026/blob/f41616590b69f3ea0c1cbfb41d6c35edd9ce53df/data/train/swiss-921/questions_basic.jsonl#L6</x:v>
      </x:c>
      <x:c r="AA1866" s="6" t="str">
        <x:v>swiss_dwellings</x:v>
      </x:c>
      <x:c r="AB1866" s="6" t="str">
        <x:v>CC-BY-4.0</x:v>
      </x:c>
    </x:row>
    <x:row r="1867" ht="152" customHeight="1">
      <x:c r="A1867" s="14" t="n">
        <x:v>1862</x:v>
      </x:c>
      <x:c r="B1867" s="6" t="str">
        <x:v>route_with_closure</x:v>
      </x:c>
      <x:c r="C1867" s="6" t="str">
        <x:v>Stairs 5 is closed for maintenance. How do I get from Generic room N4312 (Floor 4) to Toilet N6317A (Floor 6)?</x:v>
      </x:c>
      <x:c r="D1867" s="6" t="str">
        <x:v>70.2 m
From: Generic room N4312
To: Toilet N6317A
Ordered path (10 spaces): Generic room N4312 → Generic room N4310 → Corridor N4450 → Stairwell N4450A → Stairwell N5350A → Stairwell N6313F → Corridor N6313E → Corridor N6313B → Corridor N6313 → Toilet N6317A
Closed: osm-way22744230-V06</x:v>
      </x:c>
      <x:c r="E1867" s="6" t="str">
        <x:v>Reference supplied</x:v>
      </x:c>
      <x:c r="F1867" s="6" t="str">
        <x:v>dev</x:v>
      </x:c>
      <x:c r="G1867" s="6" t="str">
        <x:v>osm-way22744230</x:v>
      </x:c>
      <x:c r="H1867" s="6" t="str">
        <x:v>osm-way22744230-Q09</x:v>
      </x:c>
      <x:c r="I1867" s="6" t="str">
        <x:v>Route planning</x:v>
      </x:c>
      <x:c r="J1867" s="6" t="str">
        <x:v>Warm-up</x:v>
      </x:c>
      <x:c r="K1867" s="6" t="str">
        <x:v>Alternative ordered path and metres, or an explicit no-route response.</x:v>
      </x:c>
      <x:c r="L1867" s="6" t="str">
        <x:v>T02, T05, T12, T13</x:v>
      </x:c>
      <x:c r="M1867" s="6" t="str">
        <x:v>Reroute while a named lift, staircase, door or room is closed.</x:v>
      </x:c>
      <x:c r="N1867" s="6" t="str">
        <x:v>{"from_space_id":"osm-way22744230-F4-S010","to_space_id":"osm-way22744230-F6-S004","optimal_length_m":70.2,"space_path":["osm-way22744230-F4-S010","osm-way22744230-F4-S019","osm-way22744230-F4-S003","osm-way22744230-F4-S038","osm-way22744230-F5-S012","osm-way22744230-F6-S017","osm-way22744230-F6-S007","osm-way22744230-F6-S014","osm-way22744230-F6-S003","osm-way22744230-F6-S004"],"element_path":["osm-way22744230-F4-O0309","osm-way22744230-F4-O0309","osm-way22744230-F4-O0276","osm-way22744230-F4-O0276","osm-way22744230-F4-O0394","osm-way22744230-F4-O0394","osm-way22744230-V02","osm-way22744230-V02","osm-way22744230-F6-O0397","osm-way22744230-F6-O0397","osm-way22744230-F6-O0369","osm-way22744230-F6-O0369","osm-way22744230-F6-O0361","osm-way22744230-F6-O0361","osm-way22744230-F6-O0349","osm-way22744230-F6-O0349"],"closed_element_id":"osm-way22744230-V06"}</x:v>
      </x:c>
      <x:c r="O1867" s="6"/>
      <x:c r="P1867" s="6" t="str">
        <x:v>Avoid named closed element: osm-way22744230-V06. May be unreachable.</x:v>
      </x:c>
      <x:c r="Q1867" s="15" t="n">
        <x:v>70.2</x:v>
      </x:c>
      <x:c r="R1867" s="6" t="str">
        <x:v>m</x:v>
      </x:c>
      <x:c r="S1867" s="16"/>
      <x:c r="T1867" s="15"/>
      <x:c r="U1867" s="6"/>
      <x:c r="V1867" s="6"/>
      <x:c r="W1867" s="6" t="str">
        <x:v>Existing set_closed followed by find_route. State reset is caller responsibility.</x:v>
      </x:c>
      <x:c r="X1867" s="6" t="str">
        <x:v>data/dev/osm-way22744230/questions_basic.jsonl</x:v>
      </x:c>
      <x:c r="Y1867" s="14" t="n">
        <x:v>9</x:v>
      </x:c>
      <x:c r="Z1867" s="6" t="str">
        <x:v>https://github.com/hagenhaeussler/Industrial-Agents-Hackathon-2026/blob/f41616590b69f3ea0c1cbfb41d6c35edd9ce53df/data/dev/osm-way22744230/questions_basic.jsonl#L9</x:v>
      </x:c>
      <x:c r="AA1867" s="6" t="str">
        <x:v>osm_indoor</x:v>
      </x:c>
      <x:c r="AB1867" s="6" t="str">
        <x:v>ODbL-1.0</x:v>
      </x:c>
    </x:row>
    <x:row r="1868" ht="72" customHeight="1">
      <x:c r="A1868" s="14" t="n">
        <x:v>1863</x:v>
      </x:c>
      <x:c r="B1868" s="6" t="str">
        <x:v>route_with_closure</x:v>
      </x:c>
      <x:c r="C1868" s="6" t="str">
        <x:v>Stairs is closed for maintenance. How do I get from Generic room 101 (Floor 1) to Generic room K20 (Basement 2)?</x:v>
      </x:c>
      <x:c r="D1868" s="6" t="str">
        <x:v>No route under the requested constraints.
From: Generic room 101
To: Generic room K20
Closed: osm-way27326387-V01</x:v>
      </x:c>
      <x:c r="E1868" s="6" t="str">
        <x:v>Reference supplied</x:v>
      </x:c>
      <x:c r="F1868" s="6" t="str">
        <x:v>dev</x:v>
      </x:c>
      <x:c r="G1868" s="6" t="str">
        <x:v>osm-way27326387</x:v>
      </x:c>
      <x:c r="H1868" s="6" t="str">
        <x:v>osm-way27326387-Q06</x:v>
      </x:c>
      <x:c r="I1868" s="6" t="str">
        <x:v>Route planning</x:v>
      </x:c>
      <x:c r="J1868" s="6" t="str">
        <x:v>Warm-up</x:v>
      </x:c>
      <x:c r="K1868" s="6" t="str">
        <x:v>Alternative ordered path and metres, or an explicit no-route response.</x:v>
      </x:c>
      <x:c r="L1868" s="6" t="str">
        <x:v>T02, T05, T12, T13</x:v>
      </x:c>
      <x:c r="M1868" s="6" t="str">
        <x:v>Reroute while a named lift, staircase, door or room is closed.</x:v>
      </x:c>
      <x:c r="N1868" s="6" t="str">
        <x:v>{"from_space_id":"osm-way27326387-F1-S019","to_space_id":"osm-way27326387-F-2-S020","reachable":false,"closed_element_id":"osm-way27326387-V01"}</x:v>
      </x:c>
      <x:c r="O1868" s="6"/>
      <x:c r="P1868" s="6" t="str">
        <x:v>Avoid named closed element: osm-way27326387-V01. May be unreachable.</x:v>
      </x:c>
      <x:c r="Q1868" s="15"/>
      <x:c r="R1868" s="6"/>
      <x:c r="S1868" s="16"/>
      <x:c r="T1868" s="15"/>
      <x:c r="U1868" s="6"/>
      <x:c r="V1868" s="6"/>
      <x:c r="W1868" s="6" t="str">
        <x:v>Existing set_closed followed by find_route. State reset is caller responsibility.</x:v>
      </x:c>
      <x:c r="X1868" s="6" t="str">
        <x:v>data/dev/osm-way27326387/questions_basic.jsonl</x:v>
      </x:c>
      <x:c r="Y1868" s="14" t="n">
        <x:v>6</x:v>
      </x:c>
      <x:c r="Z1868" s="6" t="str">
        <x:v>https://github.com/hagenhaeussler/Industrial-Agents-Hackathon-2026/blob/f41616590b69f3ea0c1cbfb41d6c35edd9ce53df/data/dev/osm-way27326387/questions_basic.jsonl#L6</x:v>
      </x:c>
      <x:c r="AA1868" s="6" t="str">
        <x:v>osm_indoor</x:v>
      </x:c>
      <x:c r="AB1868" s="6" t="str">
        <x:v>ODbL-1.0</x:v>
      </x:c>
    </x:row>
    <x:row r="1869" ht="166" customHeight="1">
      <x:c r="A1869" s="14" t="n">
        <x:v>1864</x:v>
      </x:c>
      <x:c r="B1869" s="6" t="str">
        <x:v>route_with_closure</x:v>
      </x:c>
      <x:c r="C1869" s="6" t="str">
        <x:v>Stairs 1 is closed for maintenance. How do I get from Generic room 03.08.033 (Floor 3) to Generic room 02.07.044 (Floor 2)?</x:v>
      </x:c>
      <x:c r="D1869" s="6" t="str">
        <x:v>154.82 m
From: Generic room 03.08.033
To: Generic room 02.07.044
Ordered path (12 spaces): Generic room 03.08.033 → Corridor 3.71 → Corridor 3.73 → Corridor 3.403 → Lift 3.01 → Lift 2.02 → Lift 1.02 → Lift 0.49 → MI Magistrale → outside → Corridor 02.07.030 → Generic room 02.07.044
Closed: osm-way27917482-V01</x:v>
      </x:c>
      <x:c r="E1869" s="6" t="str">
        <x:v>Reference supplied</x:v>
      </x:c>
      <x:c r="F1869" s="6" t="str">
        <x:v>dev</x:v>
      </x:c>
      <x:c r="G1869" s="6" t="str">
        <x:v>osm-way27917482</x:v>
      </x:c>
      <x:c r="H1869" s="6" t="str">
        <x:v>osm-way27917482-Q09</x:v>
      </x:c>
      <x:c r="I1869" s="6" t="str">
        <x:v>Route planning</x:v>
      </x:c>
      <x:c r="J1869" s="6" t="str">
        <x:v>Warm-up</x:v>
      </x:c>
      <x:c r="K1869" s="6" t="str">
        <x:v>Alternative ordered path and metres, or an explicit no-route response.</x:v>
      </x:c>
      <x:c r="L1869" s="6" t="str">
        <x:v>T02, T05, T12, T13</x:v>
      </x:c>
      <x:c r="M1869" s="6" t="str">
        <x:v>Reroute while a named lift, staircase, door or room is closed.</x:v>
      </x:c>
      <x:c r="N1869" s="6" t="str">
        <x:v>{"from_space_id":"osm-way27917482-F3-S016","to_space_id":"osm-way27917482-F2-S341","optimal_length_m":154.82,"space_path":["osm-way27917482-F3-S016","osm-way27917482-F3-S071","osm-way27917482-F3-S073","osm-way27917482-F3-S403","osm-way27917482-F3-S001","osm-way27917482-F2-S002","osm-way27917482-F1-S002","osm-way27917482-F0-S049","osm-way27917482-F0-S026","outside","osm-way27917482-F2-S342","osm-way27917482-F2-S341"],"element_path":["osm-way27917482-F3-O0061","osm-way27917482-F3-O0061","osm-way27917482-F3-O0127","osm-way27917482-F3-O0127","osm-way27917482-F3-O0128","osm-way27917482-F3-O0128","osm-way27917482-F3-O0123","osm-way27917482-F3-O0123","osm-way27917482-V26","osm-way27917482-V26","osm-way27917482-V26","osm-way27917482-F0-O0120","osm-way27917482-F0-O0120","osm-way27917482-F0-O1763","osm-way27917482-F0-O1763","osm-way27917482-F2-O1549","osm-way27917482-F2-O1549","osm-way27917482-F2-O1563","osm-way27917482-F2-O1563"],"closed_element_id":"osm-way27917482-V01"}</x:v>
      </x:c>
      <x:c r="O1869" s="6"/>
      <x:c r="P1869" s="6" t="str">
        <x:v>Avoid named closed element: osm-way27917482-V01. May be unreachable.</x:v>
      </x:c>
      <x:c r="Q1869" s="15" t="n">
        <x:v>154.82</x:v>
      </x:c>
      <x:c r="R1869" s="6" t="str">
        <x:v>m</x:v>
      </x:c>
      <x:c r="S1869" s="16"/>
      <x:c r="T1869" s="15"/>
      <x:c r="U1869" s="6"/>
      <x:c r="V1869" s="6"/>
      <x:c r="W1869" s="6" t="str">
        <x:v>Existing set_closed followed by find_route. State reset is caller responsibility.</x:v>
      </x:c>
      <x:c r="X1869" s="6" t="str">
        <x:v>data/dev/osm-way27917482/questions_basic.jsonl</x:v>
      </x:c>
      <x:c r="Y1869" s="14" t="n">
        <x:v>9</x:v>
      </x:c>
      <x:c r="Z1869" s="6" t="str">
        <x:v>https://github.com/hagenhaeussler/Industrial-Agents-Hackathon-2026/blob/f41616590b69f3ea0c1cbfb41d6c35edd9ce53df/data/dev/osm-way27917482/questions_basic.jsonl#L9</x:v>
      </x:c>
      <x:c r="AA1869" s="6" t="str">
        <x:v>osm_indoor</x:v>
      </x:c>
      <x:c r="AB1869" s="6" t="str">
        <x:v>ODbL-1.0</x:v>
      </x:c>
    </x:row>
    <x:row r="1870" ht="138" customHeight="1">
      <x:c r="A1870" s="14" t="n">
        <x:v>1865</x:v>
      </x:c>
      <x:c r="B1870" s="6" t="str">
        <x:v>route_with_closure</x:v>
      </x:c>
      <x:c r="C1870" s="6" t="str">
        <x:v>Staircase 2 is closed for maintenance. How do I get from Office 3.21 (Floor 3) to Toilet 0.20 (Ground floor)?</x:v>
      </x:c>
      <x:c r="D1870" s="6" t="str">
        <x:v>118.17 m
From: Office 3.21
To: Toilet 0.20
Ordered path (8 spaces): Office 3.21 → Corridor 3.01 → Lift 2 → Lift 2 → Lift 2 → Lift 2 → Corridor 0.01 → Toilet 0.20
Closed: proc-campus-dev-000-V03</x:v>
      </x:c>
      <x:c r="E1870" s="6" t="str">
        <x:v>Reference supplied</x:v>
      </x:c>
      <x:c r="F1870" s="6" t="str">
        <x:v>dev</x:v>
      </x:c>
      <x:c r="G1870" s="6" t="str">
        <x:v>proc-campus-dev-000</x:v>
      </x:c>
      <x:c r="H1870" s="6" t="str">
        <x:v>proc-campus-dev-000-Q09</x:v>
      </x:c>
      <x:c r="I1870" s="6" t="str">
        <x:v>Route planning</x:v>
      </x:c>
      <x:c r="J1870" s="6" t="str">
        <x:v>Warm-up</x:v>
      </x:c>
      <x:c r="K1870" s="6" t="str">
        <x:v>Alternative ordered path and metres, or an explicit no-route response.</x:v>
      </x:c>
      <x:c r="L1870" s="6" t="str">
        <x:v>T02, T05, T12, T13</x:v>
      </x:c>
      <x:c r="M1870" s="6" t="str">
        <x:v>Reroute while a named lift, staircase, door or room is closed.</x:v>
      </x:c>
      <x:c r="N1870" s="6" t="str">
        <x:v>{"from_space_id":"proc-campus-dev-000-F3-S021","to_space_id":"proc-campus-dev-000-F0-S020","optimal_length_m":118.17,"space_path":["proc-campus-dev-000-F3-S021","proc-campus-dev-000-F3-S001","proc-campus-dev-000-F3-S010","proc-campus-dev-000-F2-S010","proc-campus-dev-000-F1-S010","proc-campus-dev-000-F0-S010","proc-campus-dev-000-F0-S001","proc-campus-dev-000-F0-S020"],"element_path":["proc-campus-dev-000-F3-O0109","proc-campus-dev-000-F3-O0109","proc-campus-dev-000-F3-O0098","proc-campus-dev-000-F3-O0098","proc-campus-dev-000-V04","proc-campus-dev-000-V04","proc-campus-dev-000-V04","proc-campus-dev-000-F0-O0009","proc-campus-dev-000-F0-O0009","proc-campus-dev-000-F0-O0019","proc-campus-dev-000-F0-O0019"],"closed_element_id":"proc-campus-dev-000-V03"}</x:v>
      </x:c>
      <x:c r="O1870" s="6"/>
      <x:c r="P1870" s="6" t="str">
        <x:v>Avoid named closed element: proc-campus-dev-000-V03. May be unreachable.</x:v>
      </x:c>
      <x:c r="Q1870" s="15" t="n">
        <x:v>118.17</x:v>
      </x:c>
      <x:c r="R1870" s="6" t="str">
        <x:v>m</x:v>
      </x:c>
      <x:c r="S1870" s="16"/>
      <x:c r="T1870" s="15"/>
      <x:c r="U1870" s="6"/>
      <x:c r="V1870" s="6"/>
      <x:c r="W1870" s="6" t="str">
        <x:v>Existing set_closed followed by find_route. State reset is caller responsibility.</x:v>
      </x:c>
      <x:c r="X1870" s="6" t="str">
        <x:v>data/dev/proc-campus-dev-000/questions_basic.jsonl</x:v>
      </x:c>
      <x:c r="Y1870" s="14" t="n">
        <x:v>9</x:v>
      </x:c>
      <x:c r="Z1870" s="6" t="str">
        <x:v>https://github.com/hagenhaeussler/Industrial-Agents-Hackathon-2026/blob/f41616590b69f3ea0c1cbfb41d6c35edd9ce53df/data/dev/proc-campus-dev-000/questions_basic.jsonl#L9</x:v>
      </x:c>
      <x:c r="AA1870" s="6" t="str">
        <x:v>procedural</x:v>
      </x:c>
      <x:c r="AB1870" s="6" t="str">
        <x:v>CC0-1.0</x:v>
      </x:c>
    </x:row>
    <x:row r="1871" ht="124" customHeight="1">
      <x:c r="A1871" s="14" t="n">
        <x:v>1866</x:v>
      </x:c>
      <x:c r="B1871" s="6" t="str">
        <x:v>route_with_closure</x:v>
      </x:c>
      <x:c r="C1871" s="6" t="str">
        <x:v>Staircase 2 is closed for maintenance. How do I get from Seminar room 1.25 (Floor 1) to Lab 0.12 (Ground floor)?</x:v>
      </x:c>
      <x:c r="D1871" s="6" t="str">
        <x:v>97.1 m
From: Seminar room 1.25
To: Lab 0.12
Ordered path (6 spaces): Seminar room 1.25 → Corridor 1.01 → Staircase 1 → Staircase 1 → Corridor 0.01 → Lab 0.12
Closed: proc-campus-dev-001-V03</x:v>
      </x:c>
      <x:c r="E1871" s="6" t="str">
        <x:v>Reference supplied</x:v>
      </x:c>
      <x:c r="F1871" s="6" t="str">
        <x:v>dev</x:v>
      </x:c>
      <x:c r="G1871" s="6" t="str">
        <x:v>proc-campus-dev-001</x:v>
      </x:c>
      <x:c r="H1871" s="6" t="str">
        <x:v>proc-campus-dev-001-Q09</x:v>
      </x:c>
      <x:c r="I1871" s="6" t="str">
        <x:v>Route planning</x:v>
      </x:c>
      <x:c r="J1871" s="6" t="str">
        <x:v>Warm-up</x:v>
      </x:c>
      <x:c r="K1871" s="6" t="str">
        <x:v>Alternative ordered path and metres, or an explicit no-route response.</x:v>
      </x:c>
      <x:c r="L1871" s="6" t="str">
        <x:v>T02, T05, T12, T13</x:v>
      </x:c>
      <x:c r="M1871" s="6" t="str">
        <x:v>Reroute while a named lift, staircase, door or room is closed.</x:v>
      </x:c>
      <x:c r="N1871" s="6" t="str">
        <x:v>{"from_space_id":"proc-campus-dev-001-F1-S025","to_space_id":"proc-campus-dev-001-F0-S012","optimal_length_m":97.1,"space_path":["proc-campus-dev-001-F1-S025","proc-campus-dev-001-F1-S001","proc-campus-dev-001-F1-S004","proc-campus-dev-001-F0-S004","proc-campus-dev-001-F0-S001","proc-campus-dev-001-F0-S012"],"element_path":["proc-campus-dev-001-F1-O0047","proc-campus-dev-001-F1-O0047","proc-campus-dev-001-F1-O0026","proc-campus-dev-001-F1-O0026","proc-campus-dev-001-V01","proc-campus-dev-001-F0-O0003","proc-campus-dev-001-F0-O0003","proc-campus-dev-001-F0-O0011","proc-campus-dev-001-F0-O0011"],"closed_element_id":"proc-campus-dev-001-V03"}</x:v>
      </x:c>
      <x:c r="O1871" s="6"/>
      <x:c r="P1871" s="6" t="str">
        <x:v>Avoid named closed element: proc-campus-dev-001-V03. May be unreachable.</x:v>
      </x:c>
      <x:c r="Q1871" s="15" t="n">
        <x:v>97.1</x:v>
      </x:c>
      <x:c r="R1871" s="6" t="str">
        <x:v>m</x:v>
      </x:c>
      <x:c r="S1871" s="16"/>
      <x:c r="T1871" s="15"/>
      <x:c r="U1871" s="6"/>
      <x:c r="V1871" s="6"/>
      <x:c r="W1871" s="6" t="str">
        <x:v>Existing set_closed followed by find_route. State reset is caller responsibility.</x:v>
      </x:c>
      <x:c r="X1871" s="6" t="str">
        <x:v>data/dev/proc-campus-dev-001/questions_basic.jsonl</x:v>
      </x:c>
      <x:c r="Y1871" s="14" t="n">
        <x:v>9</x:v>
      </x:c>
      <x:c r="Z1871" s="6" t="str">
        <x:v>https://github.com/hagenhaeussler/Industrial-Agents-Hackathon-2026/blob/f41616590b69f3ea0c1cbfb41d6c35edd9ce53df/data/dev/proc-campus-dev-001/questions_basic.jsonl#L9</x:v>
      </x:c>
      <x:c r="AA1871" s="6" t="str">
        <x:v>procedural</x:v>
      </x:c>
      <x:c r="AB1871" s="6" t="str">
        <x:v>CC0-1.0</x:v>
      </x:c>
    </x:row>
    <x:row r="1872" ht="124" customHeight="1">
      <x:c r="A1872" s="14" t="n">
        <x:v>1867</x:v>
      </x:c>
      <x:c r="B1872" s="6" t="str">
        <x:v>route_with_closure</x:v>
      </x:c>
      <x:c r="C1872" s="6" t="str">
        <x:v>Staircase 2 is closed for maintenance. How do I get from Kitchen 3.03 (Floor 3) to Storage 1.03 (Floor 1)?</x:v>
      </x:c>
      <x:c r="D1872" s="6" t="str">
        <x:v>101.48 m
From: Kitchen 3.03
To: Storage 1.03
Ordered path (7 spaces): Kitchen 3.03 → Corridor 3.01 → Staircase 1 → Staircase 1 → Staircase 1 → Corridor 1.01 → Storage 1.03
Closed: proc-campus-dev-002-V03</x:v>
      </x:c>
      <x:c r="E1872" s="6" t="str">
        <x:v>Reference supplied</x:v>
      </x:c>
      <x:c r="F1872" s="6" t="str">
        <x:v>dev</x:v>
      </x:c>
      <x:c r="G1872" s="6" t="str">
        <x:v>proc-campus-dev-002</x:v>
      </x:c>
      <x:c r="H1872" s="6" t="str">
        <x:v>proc-campus-dev-002-Q09</x:v>
      </x:c>
      <x:c r="I1872" s="6" t="str">
        <x:v>Route planning</x:v>
      </x:c>
      <x:c r="J1872" s="6" t="str">
        <x:v>Warm-up</x:v>
      </x:c>
      <x:c r="K1872" s="6" t="str">
        <x:v>Alternative ordered path and metres, or an explicit no-route response.</x:v>
      </x:c>
      <x:c r="L1872" s="6" t="str">
        <x:v>T02, T05, T12, T13</x:v>
      </x:c>
      <x:c r="M1872" s="6" t="str">
        <x:v>Reroute while a named lift, staircase, door or room is closed.</x:v>
      </x:c>
      <x:c r="N1872" s="6" t="str">
        <x:v>{"from_space_id":"proc-campus-dev-002-F3-S003","to_space_id":"proc-campus-dev-002-F1-S003","optimal_length_m":101.48,"space_path":["proc-campus-dev-002-F3-S003","proc-campus-dev-002-F3-S001","proc-campus-dev-002-F3-S004","proc-campus-dev-002-F2-S004","proc-campus-dev-002-F1-S004","proc-campus-dev-002-F1-S001","proc-campus-dev-002-F1-S003"],"element_path":["proc-campus-dev-002-F3-O0067","proc-campus-dev-002-F3-O0067","proc-campus-dev-002-F3-O0068","proc-campus-dev-002-F3-O0068","proc-campus-dev-002-V01","proc-campus-dev-002-V01","proc-campus-dev-002-F1-O0024","proc-campus-dev-002-F1-O0024","proc-campus-dev-002-F1-O0023","proc-campus-dev-002-F1-O0023"],"closed_element_id":"proc-campus-dev-002-V03"}</x:v>
      </x:c>
      <x:c r="O1872" s="6"/>
      <x:c r="P1872" s="6" t="str">
        <x:v>Avoid named closed element: proc-campus-dev-002-V03. May be unreachable.</x:v>
      </x:c>
      <x:c r="Q1872" s="15" t="n">
        <x:v>101.48</x:v>
      </x:c>
      <x:c r="R1872" s="6" t="str">
        <x:v>m</x:v>
      </x:c>
      <x:c r="S1872" s="16"/>
      <x:c r="T1872" s="15"/>
      <x:c r="U1872" s="6"/>
      <x:c r="V1872" s="6"/>
      <x:c r="W1872" s="6" t="str">
        <x:v>Existing set_closed followed by find_route. State reset is caller responsibility.</x:v>
      </x:c>
      <x:c r="X1872" s="6" t="str">
        <x:v>data/dev/proc-campus-dev-002/questions_basic.jsonl</x:v>
      </x:c>
      <x:c r="Y1872" s="14" t="n">
        <x:v>9</x:v>
      </x:c>
      <x:c r="Z1872" s="6" t="str">
        <x:v>https://github.com/hagenhaeussler/Industrial-Agents-Hackathon-2026/blob/f41616590b69f3ea0c1cbfb41d6c35edd9ce53df/data/dev/proc-campus-dev-002/questions_basic.jsonl#L9</x:v>
      </x:c>
      <x:c r="AA1872" s="6" t="str">
        <x:v>procedural</x:v>
      </x:c>
      <x:c r="AB1872" s="6" t="str">
        <x:v>CC0-1.0</x:v>
      </x:c>
    </x:row>
    <x:row r="1873" ht="124" customHeight="1">
      <x:c r="A1873" s="14" t="n">
        <x:v>1868</x:v>
      </x:c>
      <x:c r="B1873" s="6" t="str">
        <x:v>route_with_closure</x:v>
      </x:c>
      <x:c r="C1873" s="6" t="str">
        <x:v>Staircase 1 is closed for maintenance. How do I get from Office 1.05 (Floor 1) to Office 0.17 (Ground floor)?</x:v>
      </x:c>
      <x:c r="D1873" s="6" t="str">
        <x:v>65.51 m
From: Office 1.05
To: Office 0.17
Ordered path (6 spaces): Office 1.05 → Corridor 1.01 → Lift 1 → Lift 1 → Corridor 0.01 → Office 0.17
Closed: proc-campus-dev-006-V01</x:v>
      </x:c>
      <x:c r="E1873" s="6" t="str">
        <x:v>Reference supplied</x:v>
      </x:c>
      <x:c r="F1873" s="6" t="str">
        <x:v>dev</x:v>
      </x:c>
      <x:c r="G1873" s="6" t="str">
        <x:v>proc-campus-dev-006</x:v>
      </x:c>
      <x:c r="H1873" s="6" t="str">
        <x:v>proc-campus-dev-006-Q09</x:v>
      </x:c>
      <x:c r="I1873" s="6" t="str">
        <x:v>Route planning</x:v>
      </x:c>
      <x:c r="J1873" s="6" t="str">
        <x:v>Warm-up</x:v>
      </x:c>
      <x:c r="K1873" s="6" t="str">
        <x:v>Alternative ordered path and metres, or an explicit no-route response.</x:v>
      </x:c>
      <x:c r="L1873" s="6" t="str">
        <x:v>T02, T05, T12, T13</x:v>
      </x:c>
      <x:c r="M1873" s="6" t="str">
        <x:v>Reroute while a named lift, staircase, door or room is closed.</x:v>
      </x:c>
      <x:c r="N1873" s="6" t="str">
        <x:v>{"from_space_id":"proc-campus-dev-006-F1-S005","to_space_id":"proc-campus-dev-006-F0-S017","optimal_length_m":65.51,"space_path":["proc-campus-dev-006-F1-S005","proc-campus-dev-006-F1-S001","proc-campus-dev-006-F1-S007","proc-campus-dev-006-F0-S007","proc-campus-dev-006-F0-S001","proc-campus-dev-006-F0-S017"],"element_path":["proc-campus-dev-006-F1-O0024","proc-campus-dev-006-F1-O0024","proc-campus-dev-006-F1-O0026","proc-campus-dev-006-F1-O0026","proc-campus-dev-006-V02","proc-campus-dev-006-F0-O0006","proc-campus-dev-006-F0-O0006","proc-campus-dev-006-F0-O0016","proc-campus-dev-006-F0-O0016"],"closed_element_id":"proc-campus-dev-006-V01"}</x:v>
      </x:c>
      <x:c r="O1873" s="6"/>
      <x:c r="P1873" s="6" t="str">
        <x:v>Avoid named closed element: proc-campus-dev-006-V01. May be unreachable.</x:v>
      </x:c>
      <x:c r="Q1873" s="15" t="n">
        <x:v>65.51</x:v>
      </x:c>
      <x:c r="R1873" s="6" t="str">
        <x:v>m</x:v>
      </x:c>
      <x:c r="S1873" s="16"/>
      <x:c r="T1873" s="15"/>
      <x:c r="U1873" s="6"/>
      <x:c r="V1873" s="6"/>
      <x:c r="W1873" s="6" t="str">
        <x:v>Existing set_closed followed by find_route. State reset is caller responsibility.</x:v>
      </x:c>
      <x:c r="X1873" s="6" t="str">
        <x:v>data/dev/proc-campus-dev-006/questions_basic.jsonl</x:v>
      </x:c>
      <x:c r="Y1873" s="14" t="n">
        <x:v>9</x:v>
      </x:c>
      <x:c r="Z1873" s="6" t="str">
        <x:v>https://github.com/hagenhaeussler/Industrial-Agents-Hackathon-2026/blob/f41616590b69f3ea0c1cbfb41d6c35edd9ce53df/data/dev/proc-campus-dev-006/questions_basic.jsonl#L9</x:v>
      </x:c>
      <x:c r="AA1873" s="6" t="str">
        <x:v>procedural</x:v>
      </x:c>
      <x:c r="AB1873" s="6" t="str">
        <x:v>CC0-1.0</x:v>
      </x:c>
    </x:row>
    <x:row r="1874" ht="138" customHeight="1">
      <x:c r="A1874" s="14" t="n">
        <x:v>1869</x:v>
      </x:c>
      <x:c r="B1874" s="6" t="str">
        <x:v>route_with_closure</x:v>
      </x:c>
      <x:c r="C1874" s="6" t="str">
        <x:v>Staircase 2 is closed for maintenance. How do I get from Office 4.08 (Floor 4) to Meeting room 0.26 (Ground floor)?</x:v>
      </x:c>
      <x:c r="D1874" s="6" t="str">
        <x:v>128.74 m
From: Office 4.08
To: Meeting room 0.26
Ordered path (9 spaces): Office 4.08 → Corridor 4.01 → Lift 2 → Lift 2 → Lift 2 → Lift 2 → Lift 2 → Corridor 0.01 → Meeting room 0.26
Closed: proc-campus-dev-009-V03</x:v>
      </x:c>
      <x:c r="E1874" s="6" t="str">
        <x:v>Reference supplied</x:v>
      </x:c>
      <x:c r="F1874" s="6" t="str">
        <x:v>dev</x:v>
      </x:c>
      <x:c r="G1874" s="6" t="str">
        <x:v>proc-campus-dev-009</x:v>
      </x:c>
      <x:c r="H1874" s="6" t="str">
        <x:v>proc-campus-dev-009-Q09</x:v>
      </x:c>
      <x:c r="I1874" s="6" t="str">
        <x:v>Route planning</x:v>
      </x:c>
      <x:c r="J1874" s="6" t="str">
        <x:v>Warm-up</x:v>
      </x:c>
      <x:c r="K1874" s="6" t="str">
        <x:v>Alternative ordered path and metres, or an explicit no-route response.</x:v>
      </x:c>
      <x:c r="L1874" s="6" t="str">
        <x:v>T02, T05, T12, T13</x:v>
      </x:c>
      <x:c r="M1874" s="6" t="str">
        <x:v>Reroute while a named lift, staircase, door or room is closed.</x:v>
      </x:c>
      <x:c r="N1874" s="6" t="str">
        <x:v>{"from_space_id":"proc-campus-dev-009-F4-S008","to_space_id":"proc-campus-dev-009-F0-S026","optimal_length_m":128.74,"space_path":["proc-campus-dev-009-F4-S008","proc-campus-dev-009-F4-S001","proc-campus-dev-009-F4-S011","proc-campus-dev-009-F3-S011","proc-campus-dev-009-F2-S011","proc-campus-dev-009-F1-S011","proc-campus-dev-009-F0-S008","proc-campus-dev-009-F0-S001","proc-campus-dev-009-F0-S026"],"element_path":["proc-campus-dev-009-F4-O0142","proc-campus-dev-009-F4-O0142","proc-campus-dev-009-F4-O0145","proc-campus-dev-009-F4-O0145","proc-campus-dev-009-V04","proc-campus-dev-009-V04","proc-campus-dev-009-V04","proc-campus-dev-009-V04","proc-campus-dev-009-F0-O0007","proc-campus-dev-009-F0-O0007","proc-campus-dev-009-F0-O0025","proc-campus-dev-009-F0-O0025"],"closed_element_id":"proc-campus-dev-009-V03"}</x:v>
      </x:c>
      <x:c r="O1874" s="6"/>
      <x:c r="P1874" s="6" t="str">
        <x:v>Avoid named closed element: proc-campus-dev-009-V03. May be unreachable.</x:v>
      </x:c>
      <x:c r="Q1874" s="15" t="n">
        <x:v>128.74</x:v>
      </x:c>
      <x:c r="R1874" s="6" t="str">
        <x:v>m</x:v>
      </x:c>
      <x:c r="S1874" s="16"/>
      <x:c r="T1874" s="15"/>
      <x:c r="U1874" s="6"/>
      <x:c r="V1874" s="6"/>
      <x:c r="W1874" s="6" t="str">
        <x:v>Existing set_closed followed by find_route. State reset is caller responsibility.</x:v>
      </x:c>
      <x:c r="X1874" s="6" t="str">
        <x:v>data/dev/proc-campus-dev-009/questions_basic.jsonl</x:v>
      </x:c>
      <x:c r="Y1874" s="14" t="n">
        <x:v>9</x:v>
      </x:c>
      <x:c r="Z1874" s="6" t="str">
        <x:v>https://github.com/hagenhaeussler/Industrial-Agents-Hackathon-2026/blob/f41616590b69f3ea0c1cbfb41d6c35edd9ce53df/data/dev/proc-campus-dev-009/questions_basic.jsonl#L9</x:v>
      </x:c>
      <x:c r="AA1874" s="6" t="str">
        <x:v>procedural</x:v>
      </x:c>
      <x:c r="AB1874" s="6" t="str">
        <x:v>CC0-1.0</x:v>
      </x:c>
    </x:row>
    <x:row r="1875" ht="124" customHeight="1">
      <x:c r="A1875" s="14" t="n">
        <x:v>1870</x:v>
      </x:c>
      <x:c r="B1875" s="6" t="str">
        <x:v>route_with_closure</x:v>
      </x:c>
      <x:c r="C1875" s="6" t="str">
        <x:v>Staircase 2 is closed for maintenance. How do I get from Seminar room 1.17 (Floor 1) to Lecture hall 0.18 (Ground floor)?</x:v>
      </x:c>
      <x:c r="D1875" s="6" t="str">
        <x:v>57.23 m
From: Seminar room 1.17
To: Lecture hall 0.18
Ordered path (6 spaces): Seminar room 1.17 → Corridor 1.01 → Staircase 1 → Staircase 1 → Corridor 0.01 → Lecture hall 0.18
Closed: proc-campus-dev-013-V03</x:v>
      </x:c>
      <x:c r="E1875" s="6" t="str">
        <x:v>Reference supplied</x:v>
      </x:c>
      <x:c r="F1875" s="6" t="str">
        <x:v>dev</x:v>
      </x:c>
      <x:c r="G1875" s="6" t="str">
        <x:v>proc-campus-dev-013</x:v>
      </x:c>
      <x:c r="H1875" s="6" t="str">
        <x:v>proc-campus-dev-013-Q09</x:v>
      </x:c>
      <x:c r="I1875" s="6" t="str">
        <x:v>Route planning</x:v>
      </x:c>
      <x:c r="J1875" s="6" t="str">
        <x:v>Warm-up</x:v>
      </x:c>
      <x:c r="K1875" s="6" t="str">
        <x:v>Alternative ordered path and metres, or an explicit no-route response.</x:v>
      </x:c>
      <x:c r="L1875" s="6" t="str">
        <x:v>T02, T05, T12, T13</x:v>
      </x:c>
      <x:c r="M1875" s="6" t="str">
        <x:v>Reroute while a named lift, staircase, door or room is closed.</x:v>
      </x:c>
      <x:c r="N1875" s="6" t="str">
        <x:v>{"from_space_id":"proc-campus-dev-013-F1-S017","to_space_id":"proc-campus-dev-013-F0-S018","optimal_length_m":57.23,"space_path":["proc-campus-dev-013-F1-S017","proc-campus-dev-013-F1-S001","proc-campus-dev-013-F1-S004","proc-campus-dev-013-F0-S004","proc-campus-dev-013-F0-S001","proc-campus-dev-013-F0-S018"],"element_path":["proc-campus-dev-013-F1-O0036","proc-campus-dev-013-F1-O0036","proc-campus-dev-013-F1-O0023","proc-campus-dev-013-F1-O0023","proc-campus-dev-013-V01","proc-campus-dev-013-F0-O0003","proc-campus-dev-013-F0-O0003","proc-campus-dev-013-F0-O0017","proc-campus-dev-013-F0-O0017"],"closed_element_id":"proc-campus-dev-013-V03"}</x:v>
      </x:c>
      <x:c r="O1875" s="6"/>
      <x:c r="P1875" s="6" t="str">
        <x:v>Avoid named closed element: proc-campus-dev-013-V03. May be unreachable.</x:v>
      </x:c>
      <x:c r="Q1875" s="15" t="n">
        <x:v>57.23</x:v>
      </x:c>
      <x:c r="R1875" s="6" t="str">
        <x:v>m</x:v>
      </x:c>
      <x:c r="S1875" s="16"/>
      <x:c r="T1875" s="15"/>
      <x:c r="U1875" s="6"/>
      <x:c r="V1875" s="6"/>
      <x:c r="W1875" s="6" t="str">
        <x:v>Existing set_closed followed by find_route. State reset is caller responsibility.</x:v>
      </x:c>
      <x:c r="X1875" s="6" t="str">
        <x:v>data/dev/proc-campus-dev-013/questions_basic.jsonl</x:v>
      </x:c>
      <x:c r="Y1875" s="14" t="n">
        <x:v>9</x:v>
      </x:c>
      <x:c r="Z1875" s="6" t="str">
        <x:v>https://github.com/hagenhaeussler/Industrial-Agents-Hackathon-2026/blob/f41616590b69f3ea0c1cbfb41d6c35edd9ce53df/data/dev/proc-campus-dev-013/questions_basic.jsonl#L9</x:v>
      </x:c>
      <x:c r="AA1875" s="6" t="str">
        <x:v>procedural</x:v>
      </x:c>
      <x:c r="AB1875" s="6" t="str">
        <x:v>CC0-1.0</x:v>
      </x:c>
    </x:row>
    <x:row r="1876" ht="124" customHeight="1">
      <x:c r="A1876" s="14" t="n">
        <x:v>1871</x:v>
      </x:c>
      <x:c r="B1876" s="6" t="str">
        <x:v>route_with_closure</x:v>
      </x:c>
      <x:c r="C1876" s="6" t="str">
        <x:v>Office staircase is closed for maintenance. How do I get from Kitchen 1.14 (Floor 1) to Server room 0.43 (Ground floor)?</x:v>
      </x:c>
      <x:c r="D1876" s="6" t="str">
        <x:v>121.29 m
From: Kitchen 1.14
To: Server room 0.43
Ordered path (6 spaces): Kitchen 1.14 → Office corridor 1.01 → Lift 1.03 → Lift 0.18 → Office corridor 0.16 → Server room 0.43
Closed: proc-factory-dev-003-V01</x:v>
      </x:c>
      <x:c r="E1876" s="6" t="str">
        <x:v>Reference supplied</x:v>
      </x:c>
      <x:c r="F1876" s="6" t="str">
        <x:v>dev</x:v>
      </x:c>
      <x:c r="G1876" s="6" t="str">
        <x:v>proc-factory-dev-003</x:v>
      </x:c>
      <x:c r="H1876" s="6" t="str">
        <x:v>proc-factory-dev-003-Q09</x:v>
      </x:c>
      <x:c r="I1876" s="6" t="str">
        <x:v>Route planning</x:v>
      </x:c>
      <x:c r="J1876" s="6" t="str">
        <x:v>Warm-up</x:v>
      </x:c>
      <x:c r="K1876" s="6" t="str">
        <x:v>Alternative ordered path and metres, or an explicit no-route response.</x:v>
      </x:c>
      <x:c r="L1876" s="6" t="str">
        <x:v>T02, T05, T12, T13</x:v>
      </x:c>
      <x:c r="M1876" s="6" t="str">
        <x:v>Reroute while a named lift, staircase, door or room is closed.</x:v>
      </x:c>
      <x:c r="N1876" s="6" t="str">
        <x:v>{"from_space_id":"proc-factory-dev-003-F1-S014","to_space_id":"proc-factory-dev-003-F0-S043","optimal_length_m":121.29,"space_path":["proc-factory-dev-003-F1-S014","proc-factory-dev-003-F1-S001","proc-factory-dev-003-F1-S003","proc-factory-dev-003-F0-S018","proc-factory-dev-003-F0-S016","proc-factory-dev-003-F0-S043"],"element_path":["proc-factory-dev-003-F1-O0067","proc-factory-dev-003-F1-O0067","proc-factory-dev-003-F1-O0056","proc-factory-dev-003-F1-O0056","proc-factory-dev-003-V02","proc-factory-dev-003-F0-O0022","proc-factory-dev-003-F0-O0022","proc-factory-dev-003-F0-O0049","proc-factory-dev-003-F0-O0049"],"closed_element_id":"proc-factory-dev-003-V01"}</x:v>
      </x:c>
      <x:c r="O1876" s="6"/>
      <x:c r="P1876" s="6" t="str">
        <x:v>Avoid named closed element: proc-factory-dev-003-V01. May be unreachable.</x:v>
      </x:c>
      <x:c r="Q1876" s="15" t="n">
        <x:v>121.29</x:v>
      </x:c>
      <x:c r="R1876" s="6" t="str">
        <x:v>m</x:v>
      </x:c>
      <x:c r="S1876" s="16"/>
      <x:c r="T1876" s="15"/>
      <x:c r="U1876" s="6"/>
      <x:c r="V1876" s="6"/>
      <x:c r="W1876" s="6" t="str">
        <x:v>Existing set_closed followed by find_route. State reset is caller responsibility.</x:v>
      </x:c>
      <x:c r="X1876" s="6" t="str">
        <x:v>data/dev/proc-factory-dev-003/questions_basic.jsonl</x:v>
      </x:c>
      <x:c r="Y1876" s="14" t="n">
        <x:v>9</x:v>
      </x:c>
      <x:c r="Z1876" s="6" t="str">
        <x:v>https://github.com/hagenhaeussler/Industrial-Agents-Hackathon-2026/blob/f41616590b69f3ea0c1cbfb41d6c35edd9ce53df/data/dev/proc-factory-dev-003/questions_basic.jsonl#L9</x:v>
      </x:c>
      <x:c r="AA1876" s="6" t="str">
        <x:v>procedural</x:v>
      </x:c>
      <x:c r="AB1876" s="6" t="str">
        <x:v>CC0-1.0</x:v>
      </x:c>
    </x:row>
    <x:row r="1877" ht="124" customHeight="1">
      <x:c r="A1877" s="14" t="n">
        <x:v>1872</x:v>
      </x:c>
      <x:c r="B1877" s="6" t="str">
        <x:v>route_with_closure</x:v>
      </x:c>
      <x:c r="C1877" s="6" t="str">
        <x:v>Office staircase is closed for maintenance. How do I get from Kitchen 1.13 (Floor 1) to Meeting room 0.25 (Ground floor)?</x:v>
      </x:c>
      <x:c r="D1877" s="6" t="str">
        <x:v>84.87 m
From: Kitchen 1.13
To: Meeting room 0.25
Ordered path (6 spaces): Kitchen 1.13 → Office corridor 1.01 → Lift 1.03 → Lift 0.15 → Office corridor 0.13 → Meeting room 0.25
Closed: proc-factory-dev-004-V01</x:v>
      </x:c>
      <x:c r="E1877" s="6" t="str">
        <x:v>Reference supplied</x:v>
      </x:c>
      <x:c r="F1877" s="6" t="str">
        <x:v>dev</x:v>
      </x:c>
      <x:c r="G1877" s="6" t="str">
        <x:v>proc-factory-dev-004</x:v>
      </x:c>
      <x:c r="H1877" s="6" t="str">
        <x:v>proc-factory-dev-004-Q09</x:v>
      </x:c>
      <x:c r="I1877" s="6" t="str">
        <x:v>Route planning</x:v>
      </x:c>
      <x:c r="J1877" s="6" t="str">
        <x:v>Warm-up</x:v>
      </x:c>
      <x:c r="K1877" s="6" t="str">
        <x:v>Alternative ordered path and metres, or an explicit no-route response.</x:v>
      </x:c>
      <x:c r="L1877" s="6" t="str">
        <x:v>T02, T05, T12, T13</x:v>
      </x:c>
      <x:c r="M1877" s="6" t="str">
        <x:v>Reroute while a named lift, staircase, door or room is closed.</x:v>
      </x:c>
      <x:c r="N1877" s="6" t="str">
        <x:v>{"from_space_id":"proc-factory-dev-004-F1-S013","to_space_id":"proc-factory-dev-004-F0-S025","optimal_length_m":84.87,"space_path":["proc-factory-dev-004-F1-S013","proc-factory-dev-004-F1-S001","proc-factory-dev-004-F1-S003","proc-factory-dev-004-F0-S015","proc-factory-dev-004-F0-S013","proc-factory-dev-004-F0-S025"],"element_path":["proc-factory-dev-004-F1-O0051","proc-factory-dev-004-F1-O0051","proc-factory-dev-004-F1-O0041","proc-factory-dev-004-F1-O0041","proc-factory-dev-004-V02","proc-factory-dev-004-F0-O0020","proc-factory-dev-004-F0-O0020","proc-factory-dev-004-F0-O0032","proc-factory-dev-004-F0-O0032"],"closed_element_id":"proc-factory-dev-004-V01"}</x:v>
      </x:c>
      <x:c r="O1877" s="6"/>
      <x:c r="P1877" s="6" t="str">
        <x:v>Avoid named closed element: proc-factory-dev-004-V01. May be unreachable.</x:v>
      </x:c>
      <x:c r="Q1877" s="15" t="n">
        <x:v>84.87</x:v>
      </x:c>
      <x:c r="R1877" s="6" t="str">
        <x:v>m</x:v>
      </x:c>
      <x:c r="S1877" s="16"/>
      <x:c r="T1877" s="15"/>
      <x:c r="U1877" s="6"/>
      <x:c r="V1877" s="6"/>
      <x:c r="W1877" s="6" t="str">
        <x:v>Existing set_closed followed by find_route. State reset is caller responsibility.</x:v>
      </x:c>
      <x:c r="X1877" s="6" t="str">
        <x:v>data/dev/proc-factory-dev-004/questions_basic.jsonl</x:v>
      </x:c>
      <x:c r="Y1877" s="14" t="n">
        <x:v>9</x:v>
      </x:c>
      <x:c r="Z1877" s="6" t="str">
        <x:v>https://github.com/hagenhaeussler/Industrial-Agents-Hackathon-2026/blob/f41616590b69f3ea0c1cbfb41d6c35edd9ce53df/data/dev/proc-factory-dev-004/questions_basic.jsonl#L9</x:v>
      </x:c>
      <x:c r="AA1877" s="6" t="str">
        <x:v>procedural</x:v>
      </x:c>
      <x:c r="AB1877" s="6" t="str">
        <x:v>CC0-1.0</x:v>
      </x:c>
    </x:row>
    <x:row r="1878" ht="124" customHeight="1">
      <x:c r="A1878" s="14" t="n">
        <x:v>1873</x:v>
      </x:c>
      <x:c r="B1878" s="6" t="str">
        <x:v>route_with_closure</x:v>
      </x:c>
      <x:c r="C1878" s="6" t="str">
        <x:v>Office staircase is closed for maintenance. How do I get from Office 2.21 (Floor 2) to Meeting room 0.45 (Ground floor)?</x:v>
      </x:c>
      <x:c r="D1878" s="6" t="str">
        <x:v>175.56 m
From: Office 2.21
To: Meeting room 0.45
Ordered path (7 spaces): Office 2.21 → Office corridor 2.01 → Lift 2.03 → Lift 1.03 → Lift 0.21 → Office corridor 0.19 → Meeting room 0.45
Closed: proc-factory-dev-005-V01</x:v>
      </x:c>
      <x:c r="E1878" s="6" t="str">
        <x:v>Reference supplied</x:v>
      </x:c>
      <x:c r="F1878" s="6" t="str">
        <x:v>dev</x:v>
      </x:c>
      <x:c r="G1878" s="6" t="str">
        <x:v>proc-factory-dev-005</x:v>
      </x:c>
      <x:c r="H1878" s="6" t="str">
        <x:v>proc-factory-dev-005-Q09</x:v>
      </x:c>
      <x:c r="I1878" s="6" t="str">
        <x:v>Route planning</x:v>
      </x:c>
      <x:c r="J1878" s="6" t="str">
        <x:v>Warm-up</x:v>
      </x:c>
      <x:c r="K1878" s="6" t="str">
        <x:v>Alternative ordered path and metres, or an explicit no-route response.</x:v>
      </x:c>
      <x:c r="L1878" s="6" t="str">
        <x:v>T02, T05, T12, T13</x:v>
      </x:c>
      <x:c r="M1878" s="6" t="str">
        <x:v>Reroute while a named lift, staircase, door or room is closed.</x:v>
      </x:c>
      <x:c r="N1878" s="6" t="str">
        <x:v>{"from_space_id":"proc-factory-dev-005-F2-S021","to_space_id":"proc-factory-dev-005-F0-S045","optimal_length_m":175.56,"space_path":["proc-factory-dev-005-F2-S021","proc-factory-dev-005-F2-S001","proc-factory-dev-005-F2-S003","proc-factory-dev-005-F1-S003","proc-factory-dev-005-F0-S021","proc-factory-dev-005-F0-S019","proc-factory-dev-005-F0-S045"],"element_path":["proc-factory-dev-005-F2-O0120","proc-factory-dev-005-F2-O0120","proc-factory-dev-005-F2-O0102","proc-factory-dev-005-F2-O0102","proc-factory-dev-005-V02","proc-factory-dev-005-V02","proc-factory-dev-005-F0-O0025","proc-factory-dev-005-F0-O0025","proc-factory-dev-005-F0-O0051","proc-factory-dev-005-F0-O0051"],"closed_element_id":"proc-factory-dev-005-V01"}</x:v>
      </x:c>
      <x:c r="O1878" s="6"/>
      <x:c r="P1878" s="6" t="str">
        <x:v>Avoid named closed element: proc-factory-dev-005-V01. May be unreachable.</x:v>
      </x:c>
      <x:c r="Q1878" s="15" t="n">
        <x:v>175.56</x:v>
      </x:c>
      <x:c r="R1878" s="6" t="str">
        <x:v>m</x:v>
      </x:c>
      <x:c r="S1878" s="16"/>
      <x:c r="T1878" s="15"/>
      <x:c r="U1878" s="6"/>
      <x:c r="V1878" s="6"/>
      <x:c r="W1878" s="6" t="str">
        <x:v>Existing set_closed followed by find_route. State reset is caller responsibility.</x:v>
      </x:c>
      <x:c r="X1878" s="6" t="str">
        <x:v>data/dev/proc-factory-dev-005/questions_basic.jsonl</x:v>
      </x:c>
      <x:c r="Y1878" s="14" t="n">
        <x:v>9</x:v>
      </x:c>
      <x:c r="Z1878" s="6" t="str">
        <x:v>https://github.com/hagenhaeussler/Industrial-Agents-Hackathon-2026/blob/f41616590b69f3ea0c1cbfb41d6c35edd9ce53df/data/dev/proc-factory-dev-005/questions_basic.jsonl#L9</x:v>
      </x:c>
      <x:c r="AA1878" s="6" t="str">
        <x:v>procedural</x:v>
      </x:c>
      <x:c r="AB1878" s="6" t="str">
        <x:v>CC0-1.0</x:v>
      </x:c>
    </x:row>
    <x:row r="1879" ht="124" customHeight="1">
      <x:c r="A1879" s="14" t="n">
        <x:v>1874</x:v>
      </x:c>
      <x:c r="B1879" s="6" t="str">
        <x:v>route_with_closure</x:v>
      </x:c>
      <x:c r="C1879" s="6" t="str">
        <x:v>Office staircase is closed for maintenance. How do I get from Server room 0.27 (Ground floor) to Kitchen 1.17 (Floor 1)?</x:v>
      </x:c>
      <x:c r="D1879" s="6" t="str">
        <x:v>82.46 m
From: Server room 0.27
To: Kitchen 1.17
Ordered path (6 spaces): Server room 0.27 → Office corridor 0.10 → Lift 0.12 → Lift 1.03 → Office corridor 1.01 → Kitchen 1.17
Closed: proc-factory-dev-007-V01</x:v>
      </x:c>
      <x:c r="E1879" s="6" t="str">
        <x:v>Reference supplied</x:v>
      </x:c>
      <x:c r="F1879" s="6" t="str">
        <x:v>dev</x:v>
      </x:c>
      <x:c r="G1879" s="6" t="str">
        <x:v>proc-factory-dev-007</x:v>
      </x:c>
      <x:c r="H1879" s="6" t="str">
        <x:v>proc-factory-dev-007-Q09</x:v>
      </x:c>
      <x:c r="I1879" s="6" t="str">
        <x:v>Route planning</x:v>
      </x:c>
      <x:c r="J1879" s="6" t="str">
        <x:v>Warm-up</x:v>
      </x:c>
      <x:c r="K1879" s="6" t="str">
        <x:v>Alternative ordered path and metres, or an explicit no-route response.</x:v>
      </x:c>
      <x:c r="L1879" s="6" t="str">
        <x:v>T02, T05, T12, T13</x:v>
      </x:c>
      <x:c r="M1879" s="6" t="str">
        <x:v>Reroute while a named lift, staircase, door or room is closed.</x:v>
      </x:c>
      <x:c r="N1879" s="6" t="str">
        <x:v>{"from_space_id":"proc-factory-dev-007-F0-S027","to_space_id":"proc-factory-dev-007-F1-S017","optimal_length_m":82.46,"space_path":["proc-factory-dev-007-F0-S027","proc-factory-dev-007-F0-S010","proc-factory-dev-007-F0-S012","proc-factory-dev-007-F1-S003","proc-factory-dev-007-F1-S001","proc-factory-dev-007-F1-S017"],"element_path":["proc-factory-dev-007-F0-O0031","proc-factory-dev-007-F0-O0031","proc-factory-dev-007-F0-O0014","proc-factory-dev-007-F0-O0014","proc-factory-dev-007-V02","proc-factory-dev-007-F1-O0034","proc-factory-dev-007-F1-O0034","proc-factory-dev-007-F1-O0048","proc-factory-dev-007-F1-O0048"],"closed_element_id":"proc-factory-dev-007-V01"}</x:v>
      </x:c>
      <x:c r="O1879" s="6"/>
      <x:c r="P1879" s="6" t="str">
        <x:v>Avoid named closed element: proc-factory-dev-007-V01. May be unreachable.</x:v>
      </x:c>
      <x:c r="Q1879" s="15" t="n">
        <x:v>82.46</x:v>
      </x:c>
      <x:c r="R1879" s="6" t="str">
        <x:v>m</x:v>
      </x:c>
      <x:c r="S1879" s="16"/>
      <x:c r="T1879" s="15"/>
      <x:c r="U1879" s="6"/>
      <x:c r="V1879" s="6"/>
      <x:c r="W1879" s="6" t="str">
        <x:v>Existing set_closed followed by find_route. State reset is caller responsibility.</x:v>
      </x:c>
      <x:c r="X1879" s="6" t="str">
        <x:v>data/dev/proc-factory-dev-007/questions_basic.jsonl</x:v>
      </x:c>
      <x:c r="Y1879" s="14" t="n">
        <x:v>9</x:v>
      </x:c>
      <x:c r="Z1879" s="6" t="str">
        <x:v>https://github.com/hagenhaeussler/Industrial-Agents-Hackathon-2026/blob/f41616590b69f3ea0c1cbfb41d6c35edd9ce53df/data/dev/proc-factory-dev-007/questions_basic.jsonl#L9</x:v>
      </x:c>
      <x:c r="AA1879" s="6" t="str">
        <x:v>procedural</x:v>
      </x:c>
      <x:c r="AB1879" s="6" t="str">
        <x:v>CC0-1.0</x:v>
      </x:c>
    </x:row>
    <x:row r="1880" ht="124" customHeight="1">
      <x:c r="A1880" s="14" t="n">
        <x:v>1875</x:v>
      </x:c>
      <x:c r="B1880" s="6" t="str">
        <x:v>route_with_closure</x:v>
      </x:c>
      <x:c r="C1880" s="6" t="str">
        <x:v>Office staircase is closed for maintenance. How do I get from Kitchen 1.10 (Floor 1) to Toilet 0.51 (Ground floor)?</x:v>
      </x:c>
      <x:c r="D1880" s="6" t="str">
        <x:v>101.71 m
From: Kitchen 1.10
To: Toilet 0.51
Ordered path (6 spaces): Kitchen 1.10 → Office corridor 1.01 → Lift 1.03 → Lift 0.27 → Office corridor 0.25 → Toilet 0.51
Closed: proc-factory-dev-008-V01</x:v>
      </x:c>
      <x:c r="E1880" s="6" t="str">
        <x:v>Reference supplied</x:v>
      </x:c>
      <x:c r="F1880" s="6" t="str">
        <x:v>dev</x:v>
      </x:c>
      <x:c r="G1880" s="6" t="str">
        <x:v>proc-factory-dev-008</x:v>
      </x:c>
      <x:c r="H1880" s="6" t="str">
        <x:v>proc-factory-dev-008-Q09</x:v>
      </x:c>
      <x:c r="I1880" s="6" t="str">
        <x:v>Route planning</x:v>
      </x:c>
      <x:c r="J1880" s="6" t="str">
        <x:v>Warm-up</x:v>
      </x:c>
      <x:c r="K1880" s="6" t="str">
        <x:v>Alternative ordered path and metres, or an explicit no-route response.</x:v>
      </x:c>
      <x:c r="L1880" s="6" t="str">
        <x:v>T02, T05, T12, T13</x:v>
      </x:c>
      <x:c r="M1880" s="6" t="str">
        <x:v>Reroute while a named lift, staircase, door or room is closed.</x:v>
      </x:c>
      <x:c r="N1880" s="6" t="str">
        <x:v>{"from_space_id":"proc-factory-dev-008-F1-S010","to_space_id":"proc-factory-dev-008-F0-S051","optimal_length_m":101.71,"space_path":["proc-factory-dev-008-F1-S010","proc-factory-dev-008-F1-S001","proc-factory-dev-008-F1-S003","proc-factory-dev-008-F0-S027","proc-factory-dev-008-F0-S025","proc-factory-dev-008-F0-S051"],"element_path":["proc-factory-dev-008-F1-O0080","proc-factory-dev-008-F1-O0080","proc-factory-dev-008-F1-O0073","proc-factory-dev-008-F1-O0073","proc-factory-dev-008-V02","proc-factory-dev-008-F0-O0042","proc-factory-dev-008-F0-O0042","proc-factory-dev-008-F0-O0068","proc-factory-dev-008-F0-O0068"],"closed_element_id":"proc-factory-dev-008-V01"}</x:v>
      </x:c>
      <x:c r="O1880" s="6"/>
      <x:c r="P1880" s="6" t="str">
        <x:v>Avoid named closed element: proc-factory-dev-008-V01. May be unreachable.</x:v>
      </x:c>
      <x:c r="Q1880" s="15" t="n">
        <x:v>101.71</x:v>
      </x:c>
      <x:c r="R1880" s="6" t="str">
        <x:v>m</x:v>
      </x:c>
      <x:c r="S1880" s="16"/>
      <x:c r="T1880" s="15"/>
      <x:c r="U1880" s="6"/>
      <x:c r="V1880" s="6"/>
      <x:c r="W1880" s="6" t="str">
        <x:v>Existing set_closed followed by find_route. State reset is caller responsibility.</x:v>
      </x:c>
      <x:c r="X1880" s="6" t="str">
        <x:v>data/dev/proc-factory-dev-008/questions_basic.jsonl</x:v>
      </x:c>
      <x:c r="Y1880" s="14" t="n">
        <x:v>9</x:v>
      </x:c>
      <x:c r="Z1880" s="6" t="str">
        <x:v>https://github.com/hagenhaeussler/Industrial-Agents-Hackathon-2026/blob/f41616590b69f3ea0c1cbfb41d6c35edd9ce53df/data/dev/proc-factory-dev-008/questions_basic.jsonl#L9</x:v>
      </x:c>
      <x:c r="AA1880" s="6" t="str">
        <x:v>procedural</x:v>
      </x:c>
      <x:c r="AB1880" s="6" t="str">
        <x:v>CC0-1.0</x:v>
      </x:c>
    </x:row>
    <x:row r="1881" ht="124" customHeight="1">
      <x:c r="A1881" s="14" t="n">
        <x:v>1876</x:v>
      </x:c>
      <x:c r="B1881" s="6" t="str">
        <x:v>route_with_closure</x:v>
      </x:c>
      <x:c r="C1881" s="6" t="str">
        <x:v>Office staircase is closed for maintenance. How do I get from Office 1.20 (Floor 1) to Kitchen 0.21 (Ground floor)?</x:v>
      </x:c>
      <x:c r="D1881" s="6" t="str">
        <x:v>81.15 m
From: Office 1.20
To: Kitchen 0.21
Ordered path (6 spaces): Office 1.20 → Office corridor 1.01 → Lift 1.03 → Lift 0.15 → Office corridor 0.13 → Kitchen 0.21
Closed: proc-factory-dev-010-V01</x:v>
      </x:c>
      <x:c r="E1881" s="6" t="str">
        <x:v>Reference supplied</x:v>
      </x:c>
      <x:c r="F1881" s="6" t="str">
        <x:v>dev</x:v>
      </x:c>
      <x:c r="G1881" s="6" t="str">
        <x:v>proc-factory-dev-010</x:v>
      </x:c>
      <x:c r="H1881" s="6" t="str">
        <x:v>proc-factory-dev-010-Q09</x:v>
      </x:c>
      <x:c r="I1881" s="6" t="str">
        <x:v>Route planning</x:v>
      </x:c>
      <x:c r="J1881" s="6" t="str">
        <x:v>Warm-up</x:v>
      </x:c>
      <x:c r="K1881" s="6" t="str">
        <x:v>Alternative ordered path and metres, or an explicit no-route response.</x:v>
      </x:c>
      <x:c r="L1881" s="6" t="str">
        <x:v>T02, T05, T12, T13</x:v>
      </x:c>
      <x:c r="M1881" s="6" t="str">
        <x:v>Reroute while a named lift, staircase, door or room is closed.</x:v>
      </x:c>
      <x:c r="N1881" s="6" t="str">
        <x:v>{"from_space_id":"proc-factory-dev-010-F1-S020","to_space_id":"proc-factory-dev-010-F0-S021","optimal_length_m":81.15,"space_path":["proc-factory-dev-010-F1-S020","proc-factory-dev-010-F1-S001","proc-factory-dev-010-F1-S003","proc-factory-dev-010-F0-S015","proc-factory-dev-010-F0-S013","proc-factory-dev-010-F0-S021"],"element_path":["proc-factory-dev-010-F1-O0057","proc-factory-dev-010-F1-O0057","proc-factory-dev-010-F1-O0040","proc-factory-dev-010-F1-O0040","proc-factory-dev-010-V02","proc-factory-dev-010-F0-O0018","proc-factory-dev-010-F0-O0018","proc-factory-dev-010-F0-O0025","proc-factory-dev-010-F0-O0025"],"closed_element_id":"proc-factory-dev-010-V01"}</x:v>
      </x:c>
      <x:c r="O1881" s="6"/>
      <x:c r="P1881" s="6" t="str">
        <x:v>Avoid named closed element: proc-factory-dev-010-V01. May be unreachable.</x:v>
      </x:c>
      <x:c r="Q1881" s="15" t="n">
        <x:v>81.15</x:v>
      </x:c>
      <x:c r="R1881" s="6" t="str">
        <x:v>m</x:v>
      </x:c>
      <x:c r="S1881" s="16"/>
      <x:c r="T1881" s="15"/>
      <x:c r="U1881" s="6"/>
      <x:c r="V1881" s="6"/>
      <x:c r="W1881" s="6" t="str">
        <x:v>Existing set_closed followed by find_route. State reset is caller responsibility.</x:v>
      </x:c>
      <x:c r="X1881" s="6" t="str">
        <x:v>data/dev/proc-factory-dev-010/questions_basic.jsonl</x:v>
      </x:c>
      <x:c r="Y1881" s="14" t="n">
        <x:v>9</x:v>
      </x:c>
      <x:c r="Z1881" s="6" t="str">
        <x:v>https://github.com/hagenhaeussler/Industrial-Agents-Hackathon-2026/blob/f41616590b69f3ea0c1cbfb41d6c35edd9ce53df/data/dev/proc-factory-dev-010/questions_basic.jsonl#L9</x:v>
      </x:c>
      <x:c r="AA1881" s="6" t="str">
        <x:v>procedural</x:v>
      </x:c>
      <x:c r="AB1881" s="6" t="str">
        <x:v>CC0-1.0</x:v>
      </x:c>
    </x:row>
    <x:row r="1882" ht="124" customHeight="1">
      <x:c r="A1882" s="14" t="n">
        <x:v>1877</x:v>
      </x:c>
      <x:c r="B1882" s="6" t="str">
        <x:v>route_with_closure</x:v>
      </x:c>
      <x:c r="C1882" s="6" t="str">
        <x:v>Office staircase is closed for maintenance. How do I get from Server room 2.21 (Floor 2) to Server room 1.16 (Floor 1)?</x:v>
      </x:c>
      <x:c r="D1882" s="6" t="str">
        <x:v>161.22 m
From: Server room 2.21
To: Server room 1.16
Ordered path (6 spaces): Server room 2.21 → Office corridor 2.01 → Lift 2.03 → Lift 1.03 → Office corridor 1.01 → Server room 1.16
Closed: proc-factory-dev-011-V01</x:v>
      </x:c>
      <x:c r="E1882" s="6" t="str">
        <x:v>Reference supplied</x:v>
      </x:c>
      <x:c r="F1882" s="6" t="str">
        <x:v>dev</x:v>
      </x:c>
      <x:c r="G1882" s="6" t="str">
        <x:v>proc-factory-dev-011</x:v>
      </x:c>
      <x:c r="H1882" s="6" t="str">
        <x:v>proc-factory-dev-011-Q09</x:v>
      </x:c>
      <x:c r="I1882" s="6" t="str">
        <x:v>Route planning</x:v>
      </x:c>
      <x:c r="J1882" s="6" t="str">
        <x:v>Warm-up</x:v>
      </x:c>
      <x:c r="K1882" s="6" t="str">
        <x:v>Alternative ordered path and metres, or an explicit no-route response.</x:v>
      </x:c>
      <x:c r="L1882" s="6" t="str">
        <x:v>T02, T05, T12, T13</x:v>
      </x:c>
      <x:c r="M1882" s="6" t="str">
        <x:v>Reroute while a named lift, staircase, door or room is closed.</x:v>
      </x:c>
      <x:c r="N1882" s="6" t="str">
        <x:v>{"from_space_id":"proc-factory-dev-011-F2-S021","to_space_id":"proc-factory-dev-011-F1-S016","optimal_length_m":161.22,"space_path":["proc-factory-dev-011-F2-S021","proc-factory-dev-011-F2-S001","proc-factory-dev-011-F2-S003","proc-factory-dev-011-F1-S003","proc-factory-dev-011-F1-S001","proc-factory-dev-011-F1-S016"],"element_path":["proc-factory-dev-011-F2-O0133","proc-factory-dev-011-F2-O0133","proc-factory-dev-011-F2-O0115","proc-factory-dev-011-F2-O0115","proc-factory-dev-011-V02","proc-factory-dev-011-F1-O0076","proc-factory-dev-011-F1-O0076","proc-factory-dev-011-F1-O0089","proc-factory-dev-011-F1-O0089"],"closed_element_id":"proc-factory-dev-011-V01"}</x:v>
      </x:c>
      <x:c r="O1882" s="6"/>
      <x:c r="P1882" s="6" t="str">
        <x:v>Avoid named closed element: proc-factory-dev-011-V01. May be unreachable.</x:v>
      </x:c>
      <x:c r="Q1882" s="15" t="n">
        <x:v>161.22</x:v>
      </x:c>
      <x:c r="R1882" s="6" t="str">
        <x:v>m</x:v>
      </x:c>
      <x:c r="S1882" s="16"/>
      <x:c r="T1882" s="15"/>
      <x:c r="U1882" s="6"/>
      <x:c r="V1882" s="6"/>
      <x:c r="W1882" s="6" t="str">
        <x:v>Existing set_closed followed by find_route. State reset is caller responsibility.</x:v>
      </x:c>
      <x:c r="X1882" s="6" t="str">
        <x:v>data/dev/proc-factory-dev-011/questions_basic.jsonl</x:v>
      </x:c>
      <x:c r="Y1882" s="14" t="n">
        <x:v>9</x:v>
      </x:c>
      <x:c r="Z1882" s="6" t="str">
        <x:v>https://github.com/hagenhaeussler/Industrial-Agents-Hackathon-2026/blob/f41616590b69f3ea0c1cbfb41d6c35edd9ce53df/data/dev/proc-factory-dev-011/questions_basic.jsonl#L9</x:v>
      </x:c>
      <x:c r="AA1882" s="6" t="str">
        <x:v>procedural</x:v>
      </x:c>
      <x:c r="AB1882" s="6" t="str">
        <x:v>CC0-1.0</x:v>
      </x:c>
    </x:row>
    <x:row r="1883" ht="124" customHeight="1">
      <x:c r="A1883" s="14" t="n">
        <x:v>1878</x:v>
      </x:c>
      <x:c r="B1883" s="6" t="str">
        <x:v>route_with_closure</x:v>
      </x:c>
      <x:c r="C1883" s="6" t="str">
        <x:v>Office staircase is closed for maintenance. How do I get from Meeting room 1.31 (Floor 1) to Office 2.30 (Floor 2)?</x:v>
      </x:c>
      <x:c r="D1883" s="6" t="str">
        <x:v>125.93 m
From: Meeting room 1.31
To: Office 2.30
Ordered path (6 spaces): Meeting room 1.31 → Office corridor 1.01 → Lift 1.03 → Lift 2.03 → Office corridor 2.01 → Office 2.30
Closed: proc-factory-dev-012-V01</x:v>
      </x:c>
      <x:c r="E1883" s="6" t="str">
        <x:v>Reference supplied</x:v>
      </x:c>
      <x:c r="F1883" s="6" t="str">
        <x:v>dev</x:v>
      </x:c>
      <x:c r="G1883" s="6" t="str">
        <x:v>proc-factory-dev-012</x:v>
      </x:c>
      <x:c r="H1883" s="6" t="str">
        <x:v>proc-factory-dev-012-Q09</x:v>
      </x:c>
      <x:c r="I1883" s="6" t="str">
        <x:v>Route planning</x:v>
      </x:c>
      <x:c r="J1883" s="6" t="str">
        <x:v>Warm-up</x:v>
      </x:c>
      <x:c r="K1883" s="6" t="str">
        <x:v>Alternative ordered path and metres, or an explicit no-route response.</x:v>
      </x:c>
      <x:c r="L1883" s="6" t="str">
        <x:v>T02, T05, T12, T13</x:v>
      </x:c>
      <x:c r="M1883" s="6" t="str">
        <x:v>Reroute while a named lift, staircase, door or room is closed.</x:v>
      </x:c>
      <x:c r="N1883" s="6" t="str">
        <x:v>{"from_space_id":"proc-factory-dev-012-F1-S031","to_space_id":"proc-factory-dev-012-F2-S030","optimal_length_m":125.93,"space_path":["proc-factory-dev-012-F1-S031","proc-factory-dev-012-F1-S001","proc-factory-dev-012-F1-S003","proc-factory-dev-012-F2-S003","proc-factory-dev-012-F2-S001","proc-factory-dev-012-F2-S030"],"element_path":["proc-factory-dev-012-F1-O0103","proc-factory-dev-012-F1-O0103","proc-factory-dev-012-F1-O0075","proc-factory-dev-012-F1-O0075","proc-factory-dev-012-V02","proc-factory-dev-012-F2-O0109","proc-factory-dev-012-F2-O0109","proc-factory-dev-012-F2-O0136","proc-factory-dev-012-F2-O0136"],"closed_element_id":"proc-factory-dev-012-V01"}</x:v>
      </x:c>
      <x:c r="O1883" s="6"/>
      <x:c r="P1883" s="6" t="str">
        <x:v>Avoid named closed element: proc-factory-dev-012-V01. May be unreachable.</x:v>
      </x:c>
      <x:c r="Q1883" s="15" t="n">
        <x:v>125.93</x:v>
      </x:c>
      <x:c r="R1883" s="6" t="str">
        <x:v>m</x:v>
      </x:c>
      <x:c r="S1883" s="16"/>
      <x:c r="T1883" s="15"/>
      <x:c r="U1883" s="6"/>
      <x:c r="V1883" s="6"/>
      <x:c r="W1883" s="6" t="str">
        <x:v>Existing set_closed followed by find_route. State reset is caller responsibility.</x:v>
      </x:c>
      <x:c r="X1883" s="6" t="str">
        <x:v>data/dev/proc-factory-dev-012/questions_basic.jsonl</x:v>
      </x:c>
      <x:c r="Y1883" s="14" t="n">
        <x:v>9</x:v>
      </x:c>
      <x:c r="Z1883" s="6" t="str">
        <x:v>https://github.com/hagenhaeussler/Industrial-Agents-Hackathon-2026/blob/f41616590b69f3ea0c1cbfb41d6c35edd9ce53df/data/dev/proc-factory-dev-012/questions_basic.jsonl#L9</x:v>
      </x:c>
      <x:c r="AA1883" s="6" t="str">
        <x:v>procedural</x:v>
      </x:c>
      <x:c r="AB1883" s="6" t="str">
        <x:v>CC0-1.0</x:v>
      </x:c>
    </x:row>
    <x:row r="1884" ht="72" customHeight="1">
      <x:c r="A1884" s="14" t="n">
        <x:v>1879</x:v>
      </x:c>
      <x:c r="B1884" s="6" t="str">
        <x:v>route_with_closure</x:v>
      </x:c>
      <x:c r="C1884" s="6" t="str">
        <x:v>Staircase 7 is closed for maintenance. How do I get from Kitchen 1.17 (apartment 14) (Floor 1) to Bathroom 0.42 (apartment 10) (Ground floor)?</x:v>
      </x:c>
      <x:c r="D1884" s="6" t="str">
        <x:v>No route under the requested constraints.
From: Kitchen 1.17 (apartment 14)
To: Bathroom 0.42 (apartment 10)
Closed: swiss-1689-V08</x:v>
      </x:c>
      <x:c r="E1884" s="6" t="str">
        <x:v>Reference supplied</x:v>
      </x:c>
      <x:c r="F1884" s="6" t="str">
        <x:v>dev</x:v>
      </x:c>
      <x:c r="G1884" s="6" t="str">
        <x:v>swiss-1689</x:v>
      </x:c>
      <x:c r="H1884" s="6" t="str">
        <x:v>swiss-1689-Q06</x:v>
      </x:c>
      <x:c r="I1884" s="6" t="str">
        <x:v>Route planning</x:v>
      </x:c>
      <x:c r="J1884" s="6" t="str">
        <x:v>Warm-up</x:v>
      </x:c>
      <x:c r="K1884" s="6" t="str">
        <x:v>Alternative ordered path and metres, or an explicit no-route response.</x:v>
      </x:c>
      <x:c r="L1884" s="6" t="str">
        <x:v>T02, T05, T12, T13</x:v>
      </x:c>
      <x:c r="M1884" s="6" t="str">
        <x:v>Reroute while a named lift, staircase, door or room is closed.</x:v>
      </x:c>
      <x:c r="N1884" s="6" t="str">
        <x:v>{"from_space_id":"swiss-1689-F1-S017","to_space_id":"swiss-1689-F0-S042","reachable":false,"closed_element_id":"swiss-1689-V08"}</x:v>
      </x:c>
      <x:c r="O1884" s="6"/>
      <x:c r="P1884" s="6" t="str">
        <x:v>Avoid named closed element: swiss-1689-V08. May be unreachable.</x:v>
      </x:c>
      <x:c r="Q1884" s="15"/>
      <x:c r="R1884" s="6"/>
      <x:c r="S1884" s="16"/>
      <x:c r="T1884" s="15"/>
      <x:c r="U1884" s="6"/>
      <x:c r="V1884" s="6"/>
      <x:c r="W1884" s="6" t="str">
        <x:v>Existing set_closed followed by find_route. State reset is caller responsibility.</x:v>
      </x:c>
      <x:c r="X1884" s="6" t="str">
        <x:v>data/dev/swiss-1689/questions_basic.jsonl</x:v>
      </x:c>
      <x:c r="Y1884" s="14" t="n">
        <x:v>6</x:v>
      </x:c>
      <x:c r="Z1884" s="6" t="str">
        <x:v>https://github.com/hagenhaeussler/Industrial-Agents-Hackathon-2026/blob/f41616590b69f3ea0c1cbfb41d6c35edd9ce53df/data/dev/swiss-1689/questions_basic.jsonl#L6</x:v>
      </x:c>
      <x:c r="AA1884" s="6" t="str">
        <x:v>swiss_dwellings</x:v>
      </x:c>
      <x:c r="AB1884" s="6" t="str">
        <x:v>CC-BY-4.0</x:v>
      </x:c>
    </x:row>
    <x:row r="1885" ht="72" customHeight="1">
      <x:c r="A1885" s="14" t="n">
        <x:v>1880</x:v>
      </x:c>
      <x:c r="B1885" s="6" t="str">
        <x:v>route_with_closure</x:v>
      </x:c>
      <x:c r="C1885" s="6" t="str">
        <x:v>Staircase 2 is closed for maintenance. How do I get from Living room 1.11 (apartment 6) (Floor 1) to Bedroom 2.28 (apartment 12) (Floor 2)?</x:v>
      </x:c>
      <x:c r="D1885" s="6" t="str">
        <x:v>No route under the requested constraints.
From: Living room 1.11 (apartment 6)
To: Bedroom 2.28 (apartment 12)
Closed: swiss-1785-V03</x:v>
      </x:c>
      <x:c r="E1885" s="6" t="str">
        <x:v>Reference supplied</x:v>
      </x:c>
      <x:c r="F1885" s="6" t="str">
        <x:v>dev</x:v>
      </x:c>
      <x:c r="G1885" s="6" t="str">
        <x:v>swiss-1785</x:v>
      </x:c>
      <x:c r="H1885" s="6" t="str">
        <x:v>swiss-1785-Q07</x:v>
      </x:c>
      <x:c r="I1885" s="6" t="str">
        <x:v>Route planning</x:v>
      </x:c>
      <x:c r="J1885" s="6" t="str">
        <x:v>Warm-up</x:v>
      </x:c>
      <x:c r="K1885" s="6" t="str">
        <x:v>Alternative ordered path and metres, or an explicit no-route response.</x:v>
      </x:c>
      <x:c r="L1885" s="6" t="str">
        <x:v>T02, T05, T12, T13</x:v>
      </x:c>
      <x:c r="M1885" s="6" t="str">
        <x:v>Reroute while a named lift, staircase, door or room is closed.</x:v>
      </x:c>
      <x:c r="N1885" s="6" t="str">
        <x:v>{"from_space_id":"swiss-1785-F1-S011","to_space_id":"swiss-1785-F2-S028","reachable":false,"closed_element_id":"swiss-1785-V03"}</x:v>
      </x:c>
      <x:c r="O1885" s="6"/>
      <x:c r="P1885" s="6" t="str">
        <x:v>Avoid named closed element: swiss-1785-V03. May be unreachable.</x:v>
      </x:c>
      <x:c r="Q1885" s="15"/>
      <x:c r="R1885" s="6"/>
      <x:c r="S1885" s="16"/>
      <x:c r="T1885" s="15"/>
      <x:c r="U1885" s="6"/>
      <x:c r="V1885" s="6"/>
      <x:c r="W1885" s="6" t="str">
        <x:v>Existing set_closed followed by find_route. State reset is caller responsibility.</x:v>
      </x:c>
      <x:c r="X1885" s="6" t="str">
        <x:v>data/dev/swiss-1785/questions_basic.jsonl</x:v>
      </x:c>
      <x:c r="Y1885" s="14" t="n">
        <x:v>7</x:v>
      </x:c>
      <x:c r="Z1885" s="6" t="str">
        <x:v>https://github.com/hagenhaeussler/Industrial-Agents-Hackathon-2026/blob/f41616590b69f3ea0c1cbfb41d6c35edd9ce53df/data/dev/swiss-1785/questions_basic.jsonl#L7</x:v>
      </x:c>
      <x:c r="AA1885" s="6" t="str">
        <x:v>swiss_dwellings</x:v>
      </x:c>
      <x:c r="AB1885" s="6" t="str">
        <x:v>CC-BY-4.0</x:v>
      </x:c>
    </x:row>
    <x:row r="1886" ht="138" customHeight="1">
      <x:c r="A1886" s="14" t="n">
        <x:v>1881</x:v>
      </x:c>
      <x:c r="B1886" s="6" t="str">
        <x:v>route_with_closure</x:v>
      </x:c>
      <x:c r="C1886" s="6" t="str">
        <x:v>Staircase 5 is closed for maintenance. How do I get from Bedroom 2.05 (apartment 9) (Floor 2) to Bedroom 0.18 (apartment 3) (Ground floor)?</x:v>
      </x:c>
      <x:c r="D1886" s="6" t="str">
        <x:v>52.62 m
From: Bedroom 2.05 (apartment 9)
To: Bedroom 0.18 (apartment 3)
Ordered path (12 spaces): Bedroom 2.05 (apartment 9) → Corridor 2.03 (apartment 9) → Living room 2.06 (apartment 9) → Landing 2.33 → Landing 2.35 → Landing 1.34 → Landing 0.34 → outside → Landing 0.35 → Living room 0.23 (apartment 3) → Corridor 0.19 (apartment 3) → Bedroom 0.18 (apartment 3)
Closed: swiss-203-V05</x:v>
      </x:c>
      <x:c r="E1886" s="6" t="str">
        <x:v>Reference supplied</x:v>
      </x:c>
      <x:c r="F1886" s="6" t="str">
        <x:v>dev</x:v>
      </x:c>
      <x:c r="G1886" s="6" t="str">
        <x:v>swiss-203</x:v>
      </x:c>
      <x:c r="H1886" s="6" t="str">
        <x:v>swiss-203-Q06</x:v>
      </x:c>
      <x:c r="I1886" s="6" t="str">
        <x:v>Route planning</x:v>
      </x:c>
      <x:c r="J1886" s="6" t="str">
        <x:v>Warm-up</x:v>
      </x:c>
      <x:c r="K1886" s="6" t="str">
        <x:v>Alternative ordered path and metres, or an explicit no-route response.</x:v>
      </x:c>
      <x:c r="L1886" s="6" t="str">
        <x:v>T02, T05, T12, T13</x:v>
      </x:c>
      <x:c r="M1886" s="6" t="str">
        <x:v>Reroute while a named lift, staircase, door or room is closed.</x:v>
      </x:c>
      <x:c r="N1886" s="6" t="str">
        <x:v>{"from_space_id":"swiss-203-F2-S005","to_space_id":"swiss-203-F0-S018","optimal_length_m":52.62,"space_path":["swiss-203-F2-S005","swiss-203-F2-S003","swiss-203-F2-S006","swiss-203-F2-S033","swiss-203-F2-S035","swiss-203-F1-S034","swiss-203-F0-S034","outside","swiss-203-F0-S035","swiss-203-F0-S023","swiss-203-F0-S019","swiss-203-F0-S018"],"element_path":["swiss-203-F2-O0073","swiss-203-F2-O0073","swiss-203-F2-O0099","swiss-203-F2-O0099","swiss-203-F2-O0072","swiss-203-F2-O0072","swiss-203-F2-O0069","swiss-203-F2-O0069","swiss-203-V06","swiss-203-V03","swiss-203-F0-O0138","swiss-203-F0-O0138","swiss-203-F0-O0139","swiss-203-F0-O0139","swiss-203-F0-O0017","swiss-203-F0-O0017","swiss-203-F0-O0033","swiss-203-F0-O0033","swiss-203-F0-O0021","swiss-203-F0-O0021"],"closed_element_id":"swiss-203-V05"}</x:v>
      </x:c>
      <x:c r="O1886" s="6"/>
      <x:c r="P1886" s="6" t="str">
        <x:v>Avoid named closed element: swiss-203-V05. May be unreachable.</x:v>
      </x:c>
      <x:c r="Q1886" s="15" t="n">
        <x:v>52.62</x:v>
      </x:c>
      <x:c r="R1886" s="6" t="str">
        <x:v>m</x:v>
      </x:c>
      <x:c r="S1886" s="16"/>
      <x:c r="T1886" s="15"/>
      <x:c r="U1886" s="6"/>
      <x:c r="V1886" s="6"/>
      <x:c r="W1886" s="6" t="str">
        <x:v>Existing set_closed followed by find_route. State reset is caller responsibility.</x:v>
      </x:c>
      <x:c r="X1886" s="6" t="str">
        <x:v>data/dev/swiss-203/questions_basic.jsonl</x:v>
      </x:c>
      <x:c r="Y1886" s="14" t="n">
        <x:v>6</x:v>
      </x:c>
      <x:c r="Z1886" s="6" t="str">
        <x:v>https://github.com/hagenhaeussler/Industrial-Agents-Hackathon-2026/blob/f41616590b69f3ea0c1cbfb41d6c35edd9ce53df/data/dev/swiss-203/questions_basic.jsonl#L6</x:v>
      </x:c>
      <x:c r="AA1886" s="6" t="str">
        <x:v>swiss_dwellings</x:v>
      </x:c>
      <x:c r="AB1886" s="6" t="str">
        <x:v>CC-BY-4.0</x:v>
      </x:c>
    </x:row>
    <x:row r="1887" ht="110" customHeight="1">
      <x:c r="A1887" s="14" t="n">
        <x:v>1882</x:v>
      </x:c>
      <x:c r="B1887" s="6" t="str">
        <x:v>route_with_closure</x:v>
      </x:c>
      <x:c r="C1887" s="6" t="str">
        <x:v>Staircase 2 is closed for maintenance. How do I get from Bedroom 0.05 (apartment 1) (Ground floor) to Kitchen 2.13 (apartment 6) (Floor 2)?</x:v>
      </x:c>
      <x:c r="D1887" s="6" t="str">
        <x:v>39.47 m
From: Bedroom 0.05 (apartment 1)
To: Kitchen 2.13 (apartment 6)
Ordered path (8 spaces): Bedroom 0.05 (apartment 1) → Corridor 0.04 (apartment 1) → Landing 0.16 → Landing 1.16 → Landing 1.17 → Landing 2.17 → Corridor 2.14 (apartment 6) → Kitchen 2.13 (apartment 6)
Closed: swiss-2074-V02</x:v>
      </x:c>
      <x:c r="E1887" s="6" t="str">
        <x:v>Reference supplied</x:v>
      </x:c>
      <x:c r="F1887" s="6" t="str">
        <x:v>dev</x:v>
      </x:c>
      <x:c r="G1887" s="6" t="str">
        <x:v>swiss-2074</x:v>
      </x:c>
      <x:c r="H1887" s="6" t="str">
        <x:v>swiss-2074-Q08</x:v>
      </x:c>
      <x:c r="I1887" s="6" t="str">
        <x:v>Route planning</x:v>
      </x:c>
      <x:c r="J1887" s="6" t="str">
        <x:v>Warm-up</x:v>
      </x:c>
      <x:c r="K1887" s="6" t="str">
        <x:v>Alternative ordered path and metres, or an explicit no-route response.</x:v>
      </x:c>
      <x:c r="L1887" s="6" t="str">
        <x:v>T02, T05, T12, T13</x:v>
      </x:c>
      <x:c r="M1887" s="6" t="str">
        <x:v>Reroute while a named lift, staircase, door or room is closed.</x:v>
      </x:c>
      <x:c r="N1887" s="6" t="str">
        <x:v>{"from_space_id":"swiss-2074-F0-S005","to_space_id":"swiss-2074-F2-S013","optimal_length_m":39.47,"space_path":["swiss-2074-F0-S005","swiss-2074-F0-S004","swiss-2074-F0-S016","swiss-2074-F1-S016","swiss-2074-F1-S017","swiss-2074-F2-S017","swiss-2074-F2-S014","swiss-2074-F2-S013"],"element_path":["swiss-2074-F0-O0002","swiss-2074-F0-O0002","swiss-2074-F0-O0006","swiss-2074-F0-O0006","swiss-2074-V01","swiss-2074-F1-O0017","swiss-2074-F1-O0017","swiss-2074-V03","swiss-2074-F2-O0041","swiss-2074-F2-O0041","swiss-2074-F2-O0045","swiss-2074-F2-O0045"],"closed_element_id":"swiss-2074-V02"}</x:v>
      </x:c>
      <x:c r="O1887" s="6"/>
      <x:c r="P1887" s="6" t="str">
        <x:v>Avoid named closed element: swiss-2074-V02. May be unreachable.</x:v>
      </x:c>
      <x:c r="Q1887" s="15" t="n">
        <x:v>39.47</x:v>
      </x:c>
      <x:c r="R1887" s="6" t="str">
        <x:v>m</x:v>
      </x:c>
      <x:c r="S1887" s="16"/>
      <x:c r="T1887" s="15"/>
      <x:c r="U1887" s="6"/>
      <x:c r="V1887" s="6"/>
      <x:c r="W1887" s="6" t="str">
        <x:v>Existing set_closed followed by find_route. State reset is caller responsibility.</x:v>
      </x:c>
      <x:c r="X1887" s="6" t="str">
        <x:v>data/dev/swiss-2074/questions_basic.jsonl</x:v>
      </x:c>
      <x:c r="Y1887" s="14" t="n">
        <x:v>8</x:v>
      </x:c>
      <x:c r="Z1887" s="6" t="str">
        <x:v>https://github.com/hagenhaeussler/Industrial-Agents-Hackathon-2026/blob/f41616590b69f3ea0c1cbfb41d6c35edd9ce53df/data/dev/swiss-2074/questions_basic.jsonl#L8</x:v>
      </x:c>
      <x:c r="AA1887" s="6" t="str">
        <x:v>swiss_dwellings</x:v>
      </x:c>
      <x:c r="AB1887" s="6" t="str">
        <x:v>CC-BY-4.0</x:v>
      </x:c>
    </x:row>
    <x:row r="1888" ht="110" customHeight="1">
      <x:c r="A1888" s="14" t="n">
        <x:v>1883</x:v>
      </x:c>
      <x:c r="B1888" s="6" t="str">
        <x:v>route_with_closure</x:v>
      </x:c>
      <x:c r="C1888" s="6" t="str">
        <x:v>Main staircase is closed for maintenance. How do I get from Kitchen 0.31 (apartment 4) (Ground floor) to Bathroom 2.33 (apartment 12) (Floor 2)?</x:v>
      </x:c>
      <x:c r="D1888" s="6" t="str">
        <x:v>60.99 m
From: Kitchen 0.31 (apartment 4)
To: Bathroom 2.33 (apartment 12)
Ordered path (9 spaces): Kitchen 0.31 (apartment 4) → Corridor 0.28 (apartment 4) → Landing 0.37 → outside → Landing 0.38 → Landing 1.39 → Landing 2.38 → Corridor 2.31 (apartment 12) → Bathroom 2.33 (apartment 12)
Closed: swiss-2211-V01</x:v>
      </x:c>
      <x:c r="E1888" s="6" t="str">
        <x:v>Reference supplied</x:v>
      </x:c>
      <x:c r="F1888" s="6" t="str">
        <x:v>dev</x:v>
      </x:c>
      <x:c r="G1888" s="6" t="str">
        <x:v>swiss-2211</x:v>
      </x:c>
      <x:c r="H1888" s="6" t="str">
        <x:v>swiss-2211-Q06</x:v>
      </x:c>
      <x:c r="I1888" s="6" t="str">
        <x:v>Route planning</x:v>
      </x:c>
      <x:c r="J1888" s="6" t="str">
        <x:v>Warm-up</x:v>
      </x:c>
      <x:c r="K1888" s="6" t="str">
        <x:v>Alternative ordered path and metres, or an explicit no-route response.</x:v>
      </x:c>
      <x:c r="L1888" s="6" t="str">
        <x:v>T02, T05, T12, T13</x:v>
      </x:c>
      <x:c r="M1888" s="6" t="str">
        <x:v>Reroute while a named lift, staircase, door or room is closed.</x:v>
      </x:c>
      <x:c r="N1888" s="6" t="str">
        <x:v>{"from_space_id":"swiss-2211-F0-S031","to_space_id":"swiss-2211-F2-S033","optimal_length_m":60.99,"space_path":["swiss-2211-F0-S031","swiss-2211-F0-S028","swiss-2211-F0-S037","outside","swiss-2211-F0-S038","swiss-2211-F1-S039","swiss-2211-F2-S038","swiss-2211-F2-S031","swiss-2211-F2-S033"],"element_path":["swiss-2211-F0-O0033","swiss-2211-F0-O0033","swiss-2211-F0-O0037","swiss-2211-F0-O0037","swiss-2211-F0-O0203","swiss-2211-F0-O0203","swiss-2211-F0-O0204","swiss-2211-F0-O0204","swiss-2211-V02","swiss-2211-V02","swiss-2211-F2-O0111","swiss-2211-F2-O0111","swiss-2211-F2-O0117","swiss-2211-F2-O0117"],"closed_element_id":"swiss-2211-V01"}</x:v>
      </x:c>
      <x:c r="O1888" s="6"/>
      <x:c r="P1888" s="6" t="str">
        <x:v>Avoid named closed element: swiss-2211-V01. May be unreachable.</x:v>
      </x:c>
      <x:c r="Q1888" s="15" t="n">
        <x:v>60.99</x:v>
      </x:c>
      <x:c r="R1888" s="6" t="str">
        <x:v>m</x:v>
      </x:c>
      <x:c r="S1888" s="16"/>
      <x:c r="T1888" s="15"/>
      <x:c r="U1888" s="6"/>
      <x:c r="V1888" s="6"/>
      <x:c r="W1888" s="6" t="str">
        <x:v>Existing set_closed followed by find_route. State reset is caller responsibility.</x:v>
      </x:c>
      <x:c r="X1888" s="6" t="str">
        <x:v>data/dev/swiss-2211/questions_basic.jsonl</x:v>
      </x:c>
      <x:c r="Y1888" s="14" t="n">
        <x:v>6</x:v>
      </x:c>
      <x:c r="Z1888" s="6" t="str">
        <x:v>https://github.com/hagenhaeussler/Industrial-Agents-Hackathon-2026/blob/f41616590b69f3ea0c1cbfb41d6c35edd9ce53df/data/dev/swiss-2211/questions_basic.jsonl#L6</x:v>
      </x:c>
      <x:c r="AA1888" s="6" t="str">
        <x:v>swiss_dwellings</x:v>
      </x:c>
      <x:c r="AB1888" s="6" t="str">
        <x:v>CC-BY-4.0</x:v>
      </x:c>
    </x:row>
    <x:row r="1889" ht="110" customHeight="1">
      <x:c r="A1889" s="14" t="n">
        <x:v>1884</x:v>
      </x:c>
      <x:c r="B1889" s="6" t="str">
        <x:v>route_with_closure</x:v>
      </x:c>
      <x:c r="C1889" s="6" t="str">
        <x:v>Main staircase is closed for maintenance. How do I get from Bedroom 2.05 (apartment 5) (Floor 2) to Bedroom 3.07 (apartment 7) (Floor 3)?</x:v>
      </x:c>
      <x:c r="D1889" s="6" t="str">
        <x:v>33.54 m
From: Bedroom 2.05 (apartment 5)
To: Bedroom 3.07 (apartment 7)
Ordered path (8 spaces): Bedroom 2.05 (apartment 5) → Corridor 2.06 (apartment 5) → Landing 2.18 → Landing 2.19 → Landing 3.19 → Landing 3.18 → Corridor 3.06 (apartment 7) → Bedroom 3.07 (apartment 7)
Closed: swiss-2325-V01</x:v>
      </x:c>
      <x:c r="E1889" s="6" t="str">
        <x:v>Reference supplied</x:v>
      </x:c>
      <x:c r="F1889" s="6" t="str">
        <x:v>dev</x:v>
      </x:c>
      <x:c r="G1889" s="6" t="str">
        <x:v>swiss-2325</x:v>
      </x:c>
      <x:c r="H1889" s="6" t="str">
        <x:v>swiss-2325-Q09</x:v>
      </x:c>
      <x:c r="I1889" s="6" t="str">
        <x:v>Route planning</x:v>
      </x:c>
      <x:c r="J1889" s="6" t="str">
        <x:v>Warm-up</x:v>
      </x:c>
      <x:c r="K1889" s="6" t="str">
        <x:v>Alternative ordered path and metres, or an explicit no-route response.</x:v>
      </x:c>
      <x:c r="L1889" s="6" t="str">
        <x:v>T02, T05, T12, T13</x:v>
      </x:c>
      <x:c r="M1889" s="6" t="str">
        <x:v>Reroute while a named lift, staircase, door or room is closed.</x:v>
      </x:c>
      <x:c r="N1889" s="6" t="str">
        <x:v>{"from_space_id":"swiss-2325-F2-S005","to_space_id":"swiss-2325-F3-S007","optimal_length_m":33.54,"space_path":["swiss-2325-F2-S005","swiss-2325-F2-S006","swiss-2325-F2-S018","swiss-2325-F2-S019","swiss-2325-F3-S019","swiss-2325-F3-S018","swiss-2325-F3-S006","swiss-2325-F3-S007"],"element_path":["swiss-2325-F2-O0042","swiss-2325-F2-O0042","swiss-2325-F2-O0043","swiss-2325-F2-O0043","swiss-2325-F2-O0037","swiss-2325-F2-O0037","swiss-2325-V05","swiss-2325-F3-O0055","swiss-2325-F3-O0055","swiss-2325-F3-O0056","swiss-2325-F3-O0056","swiss-2325-F3-O0063","swiss-2325-F3-O0063"],"closed_element_id":"swiss-2325-V01"}</x:v>
      </x:c>
      <x:c r="O1889" s="6"/>
      <x:c r="P1889" s="6" t="str">
        <x:v>Avoid named closed element: swiss-2325-V01. May be unreachable.</x:v>
      </x:c>
      <x:c r="Q1889" s="15" t="n">
        <x:v>33.54</x:v>
      </x:c>
      <x:c r="R1889" s="6" t="str">
        <x:v>m</x:v>
      </x:c>
      <x:c r="S1889" s="16"/>
      <x:c r="T1889" s="15"/>
      <x:c r="U1889" s="6"/>
      <x:c r="V1889" s="6"/>
      <x:c r="W1889" s="6" t="str">
        <x:v>Existing set_closed followed by find_route. State reset is caller responsibility.</x:v>
      </x:c>
      <x:c r="X1889" s="6" t="str">
        <x:v>data/dev/swiss-2325/questions_basic.jsonl</x:v>
      </x:c>
      <x:c r="Y1889" s="14" t="n">
        <x:v>9</x:v>
      </x:c>
      <x:c r="Z1889" s="6" t="str">
        <x:v>https://github.com/hagenhaeussler/Industrial-Agents-Hackathon-2026/blob/f41616590b69f3ea0c1cbfb41d6c35edd9ce53df/data/dev/swiss-2325/questions_basic.jsonl#L9</x:v>
      </x:c>
      <x:c r="AA1889" s="6" t="str">
        <x:v>swiss_dwellings</x:v>
      </x:c>
      <x:c r="AB1889" s="6" t="str">
        <x:v>CC-BY-4.0</x:v>
      </x:c>
    </x:row>
    <x:row r="1890" ht="72" customHeight="1">
      <x:c r="A1890" s="14" t="n">
        <x:v>1885</x:v>
      </x:c>
      <x:c r="B1890" s="6" t="str">
        <x:v>route_with_closure</x:v>
      </x:c>
      <x:c r="C1890" s="6" t="str">
        <x:v>Staircase 4 is closed for maintenance. How do I get from Bedroom 1.23 (apartment 8) (Floor 1) to Bedroom 2.28 (apartment 12) (Floor 2)?</x:v>
      </x:c>
      <x:c r="D1890" s="6" t="str">
        <x:v>No route under the requested constraints.
From: Bedroom 1.23 (apartment 8)
To: Bedroom 2.28 (apartment 12)
Closed: swiss-31-V05</x:v>
      </x:c>
      <x:c r="E1890" s="6" t="str">
        <x:v>Reference supplied</x:v>
      </x:c>
      <x:c r="F1890" s="6" t="str">
        <x:v>dev</x:v>
      </x:c>
      <x:c r="G1890" s="6" t="str">
        <x:v>swiss-31</x:v>
      </x:c>
      <x:c r="H1890" s="6" t="str">
        <x:v>swiss-31-Q07</x:v>
      </x:c>
      <x:c r="I1890" s="6" t="str">
        <x:v>Route planning</x:v>
      </x:c>
      <x:c r="J1890" s="6" t="str">
        <x:v>Warm-up</x:v>
      </x:c>
      <x:c r="K1890" s="6" t="str">
        <x:v>Alternative ordered path and metres, or an explicit no-route response.</x:v>
      </x:c>
      <x:c r="L1890" s="6" t="str">
        <x:v>T02, T05, T12, T13</x:v>
      </x:c>
      <x:c r="M1890" s="6" t="str">
        <x:v>Reroute while a named lift, staircase, door or room is closed.</x:v>
      </x:c>
      <x:c r="N1890" s="6" t="str">
        <x:v>{"from_space_id":"swiss-31-F1-S023","to_space_id":"swiss-31-F2-S028","reachable":false,"closed_element_id":"swiss-31-V05"}</x:v>
      </x:c>
      <x:c r="O1890" s="6"/>
      <x:c r="P1890" s="6" t="str">
        <x:v>Avoid named closed element: swiss-31-V05. May be unreachable.</x:v>
      </x:c>
      <x:c r="Q1890" s="15"/>
      <x:c r="R1890" s="6"/>
      <x:c r="S1890" s="16"/>
      <x:c r="T1890" s="15"/>
      <x:c r="U1890" s="6"/>
      <x:c r="V1890" s="6"/>
      <x:c r="W1890" s="6" t="str">
        <x:v>Existing set_closed followed by find_route. State reset is caller responsibility.</x:v>
      </x:c>
      <x:c r="X1890" s="6" t="str">
        <x:v>data/dev/swiss-31/questions_basic.jsonl</x:v>
      </x:c>
      <x:c r="Y1890" s="14" t="n">
        <x:v>7</x:v>
      </x:c>
      <x:c r="Z1890" s="6" t="str">
        <x:v>https://github.com/hagenhaeussler/Industrial-Agents-Hackathon-2026/blob/f41616590b69f3ea0c1cbfb41d6c35edd9ce53df/data/dev/swiss-31/questions_basic.jsonl#L7</x:v>
      </x:c>
      <x:c r="AA1890" s="6" t="str">
        <x:v>swiss_dwellings</x:v>
      </x:c>
      <x:c r="AB1890" s="6" t="str">
        <x:v>CC-BY-4.0</x:v>
      </x:c>
    </x:row>
    <x:row r="1891" ht="124" customHeight="1">
      <x:c r="A1891" s="14" t="n">
        <x:v>1886</x:v>
      </x:c>
      <x:c r="B1891" s="6" t="str">
        <x:v>route_with_closure</x:v>
      </x:c>
      <x:c r="C1891" s="6" t="str">
        <x:v>Main staircase is closed for maintenance. How do I get from Kitchen 1.12 (apartment 4) (Floor 1) to Bedroom 0.08 (apartment 1) (Ground floor)?</x:v>
      </x:c>
      <x:c r="D1891" s="6" t="str">
        <x:v>37.26 m
From: Kitchen 1.12 (apartment 4)
To: Bedroom 0.08 (apartment 1)
Ordered path (8 spaces): Kitchen 1.12 (apartment 4) → Living room 1.16 (apartment 4) → Corridor 1.17 (apartment 4) → Landing 1.20 → Landing 1.19 → Landing 0.19 → Corridor 0.01 (apartment 1) → Bedroom 0.08 (apartment 1)
Closed: swiss-3254-V01</x:v>
      </x:c>
      <x:c r="E1891" s="6" t="str">
        <x:v>Reference supplied</x:v>
      </x:c>
      <x:c r="F1891" s="6" t="str">
        <x:v>dev</x:v>
      </x:c>
      <x:c r="G1891" s="6" t="str">
        <x:v>swiss-3254</x:v>
      </x:c>
      <x:c r="H1891" s="6" t="str">
        <x:v>swiss-3254-Q08</x:v>
      </x:c>
      <x:c r="I1891" s="6" t="str">
        <x:v>Route planning</x:v>
      </x:c>
      <x:c r="J1891" s="6" t="str">
        <x:v>Warm-up</x:v>
      </x:c>
      <x:c r="K1891" s="6" t="str">
        <x:v>Alternative ordered path and metres, or an explicit no-route response.</x:v>
      </x:c>
      <x:c r="L1891" s="6" t="str">
        <x:v>T02, T05, T12, T13</x:v>
      </x:c>
      <x:c r="M1891" s="6" t="str">
        <x:v>Reroute while a named lift, staircase, door or room is closed.</x:v>
      </x:c>
      <x:c r="N1891" s="6" t="str">
        <x:v>{"from_space_id":"swiss-3254-F1-S012","to_space_id":"swiss-3254-F0-S008","optimal_length_m":37.26,"space_path":["swiss-3254-F1-S012","swiss-3254-F1-S016","swiss-3254-F1-S017","swiss-3254-F1-S020","swiss-3254-F1-S019","swiss-3254-F0-S019","swiss-3254-F0-S001","swiss-3254-F0-S008"],"element_path":["swiss-3254-F1-O0030","swiss-3254-F1-O0030","swiss-3254-F1-O0036","swiss-3254-F1-O0036","swiss-3254-F1-O0038","swiss-3254-F1-O0038","swiss-3254-F1-O0020","swiss-3254-F1-O0020","swiss-3254-V02","swiss-3254-F0-O0003","swiss-3254-F0-O0003","swiss-3254-F0-O0002","swiss-3254-F0-O0002"],"closed_element_id":"swiss-3254-V01"}</x:v>
      </x:c>
      <x:c r="O1891" s="6"/>
      <x:c r="P1891" s="6" t="str">
        <x:v>Avoid named closed element: swiss-3254-V01. May be unreachable.</x:v>
      </x:c>
      <x:c r="Q1891" s="15" t="n">
        <x:v>37.26</x:v>
      </x:c>
      <x:c r="R1891" s="6" t="str">
        <x:v>m</x:v>
      </x:c>
      <x:c r="S1891" s="16"/>
      <x:c r="T1891" s="15"/>
      <x:c r="U1891" s="6"/>
      <x:c r="V1891" s="6"/>
      <x:c r="W1891" s="6" t="str">
        <x:v>Existing set_closed followed by find_route. State reset is caller responsibility.</x:v>
      </x:c>
      <x:c r="X1891" s="6" t="str">
        <x:v>data/dev/swiss-3254/questions_basic.jsonl</x:v>
      </x:c>
      <x:c r="Y1891" s="14" t="n">
        <x:v>8</x:v>
      </x:c>
      <x:c r="Z1891" s="6" t="str">
        <x:v>https://github.com/hagenhaeussler/Industrial-Agents-Hackathon-2026/blob/f41616590b69f3ea0c1cbfb41d6c35edd9ce53df/data/dev/swiss-3254/questions_basic.jsonl#L8</x:v>
      </x:c>
      <x:c r="AA1891" s="6" t="str">
        <x:v>swiss_dwellings</x:v>
      </x:c>
      <x:c r="AB1891" s="6" t="str">
        <x:v>CC-BY-4.0</x:v>
      </x:c>
    </x:row>
    <x:row r="1892" ht="72" customHeight="1">
      <x:c r="A1892" s="14" t="n">
        <x:v>1887</x:v>
      </x:c>
      <x:c r="B1892" s="6" t="str">
        <x:v>route_with_closure</x:v>
      </x:c>
      <x:c r="C1892" s="6" t="str">
        <x:v>Main staircase is closed for maintenance. How do I get from Bathroom 1.07 (apartment 3) (Floor 1) to Bedroom 2.17 (apartment 7) (Floor 2)?</x:v>
      </x:c>
      <x:c r="D1892" s="6" t="str">
        <x:v>No route under the requested constraints.
From: Bathroom 1.07 (apartment 3)
To: Bedroom 2.17 (apartment 7)
Closed: swiss-450-V01</x:v>
      </x:c>
      <x:c r="E1892" s="6" t="str">
        <x:v>Reference supplied</x:v>
      </x:c>
      <x:c r="F1892" s="6" t="str">
        <x:v>dev</x:v>
      </x:c>
      <x:c r="G1892" s="6" t="str">
        <x:v>swiss-450</x:v>
      </x:c>
      <x:c r="H1892" s="6" t="str">
        <x:v>swiss-450-Q09</x:v>
      </x:c>
      <x:c r="I1892" s="6" t="str">
        <x:v>Route planning</x:v>
      </x:c>
      <x:c r="J1892" s="6" t="str">
        <x:v>Warm-up</x:v>
      </x:c>
      <x:c r="K1892" s="6" t="str">
        <x:v>Alternative ordered path and metres, or an explicit no-route response.</x:v>
      </x:c>
      <x:c r="L1892" s="6" t="str">
        <x:v>T02, T05, T12, T13</x:v>
      </x:c>
      <x:c r="M1892" s="6" t="str">
        <x:v>Reroute while a named lift, staircase, door or room is closed.</x:v>
      </x:c>
      <x:c r="N1892" s="6" t="str">
        <x:v>{"from_space_id":"swiss-450-F1-S007","to_space_id":"swiss-450-F2-S017","reachable":false,"closed_element_id":"swiss-450-V01"}</x:v>
      </x:c>
      <x:c r="O1892" s="6"/>
      <x:c r="P1892" s="6" t="str">
        <x:v>Avoid named closed element: swiss-450-V01. May be unreachable.</x:v>
      </x:c>
      <x:c r="Q1892" s="15"/>
      <x:c r="R1892" s="6"/>
      <x:c r="S1892" s="16"/>
      <x:c r="T1892" s="15"/>
      <x:c r="U1892" s="6"/>
      <x:c r="V1892" s="6"/>
      <x:c r="W1892" s="6" t="str">
        <x:v>Existing set_closed followed by find_route. State reset is caller responsibility.</x:v>
      </x:c>
      <x:c r="X1892" s="6" t="str">
        <x:v>data/dev/swiss-450/questions_basic.jsonl</x:v>
      </x:c>
      <x:c r="Y1892" s="14" t="n">
        <x:v>9</x:v>
      </x:c>
      <x:c r="Z1892" s="6" t="str">
        <x:v>https://github.com/hagenhaeussler/Industrial-Agents-Hackathon-2026/blob/f41616590b69f3ea0c1cbfb41d6c35edd9ce53df/data/dev/swiss-450/questions_basic.jsonl#L9</x:v>
      </x:c>
      <x:c r="AA1892" s="6" t="str">
        <x:v>swiss_dwellings</x:v>
      </x:c>
      <x:c r="AB1892" s="6" t="str">
        <x:v>CC-BY-4.0</x:v>
      </x:c>
    </x:row>
    <x:row r="1893" ht="72" customHeight="1">
      <x:c r="A1893" s="14" t="n">
        <x:v>1888</x:v>
      </x:c>
      <x:c r="B1893" s="6" t="str">
        <x:v>route_with_closure</x:v>
      </x:c>
      <x:c r="C1893" s="6" t="str">
        <x:v>Main staircase is closed for maintenance. How do I get from Storage 4.11 (apartment 10) (Floor 4) to Bedroom 2.12 (apartment 6) (Floor 2)?</x:v>
      </x:c>
      <x:c r="D1893" s="6" t="str">
        <x:v>No route under the requested constraints.
From: Storage 4.11 (apartment 10)
To: Bedroom 2.12 (apartment 6)
Closed: swiss-460-V01</x:v>
      </x:c>
      <x:c r="E1893" s="6" t="str">
        <x:v>Reference supplied</x:v>
      </x:c>
      <x:c r="F1893" s="6" t="str">
        <x:v>dev</x:v>
      </x:c>
      <x:c r="G1893" s="6" t="str">
        <x:v>swiss-460</x:v>
      </x:c>
      <x:c r="H1893" s="6" t="str">
        <x:v>swiss-460-Q09</x:v>
      </x:c>
      <x:c r="I1893" s="6" t="str">
        <x:v>Route planning</x:v>
      </x:c>
      <x:c r="J1893" s="6" t="str">
        <x:v>Warm-up</x:v>
      </x:c>
      <x:c r="K1893" s="6" t="str">
        <x:v>Alternative ordered path and metres, or an explicit no-route response.</x:v>
      </x:c>
      <x:c r="L1893" s="6" t="str">
        <x:v>T02, T05, T12, T13</x:v>
      </x:c>
      <x:c r="M1893" s="6" t="str">
        <x:v>Reroute while a named lift, staircase, door or room is closed.</x:v>
      </x:c>
      <x:c r="N1893" s="6" t="str">
        <x:v>{"from_space_id":"swiss-460-F4-S011","to_space_id":"swiss-460-F2-S012","reachable":false,"closed_element_id":"swiss-460-V01"}</x:v>
      </x:c>
      <x:c r="O1893" s="6"/>
      <x:c r="P1893" s="6" t="str">
        <x:v>Avoid named closed element: swiss-460-V01. May be unreachable.</x:v>
      </x:c>
      <x:c r="Q1893" s="15"/>
      <x:c r="R1893" s="6"/>
      <x:c r="S1893" s="16"/>
      <x:c r="T1893" s="15"/>
      <x:c r="U1893" s="6"/>
      <x:c r="V1893" s="6"/>
      <x:c r="W1893" s="6" t="str">
        <x:v>Existing set_closed followed by find_route. State reset is caller responsibility.</x:v>
      </x:c>
      <x:c r="X1893" s="6" t="str">
        <x:v>data/dev/swiss-460/questions_basic.jsonl</x:v>
      </x:c>
      <x:c r="Y1893" s="14" t="n">
        <x:v>9</x:v>
      </x:c>
      <x:c r="Z1893" s="6" t="str">
        <x:v>https://github.com/hagenhaeussler/Industrial-Agents-Hackathon-2026/blob/f41616590b69f3ea0c1cbfb41d6c35edd9ce53df/data/dev/swiss-460/questions_basic.jsonl#L9</x:v>
      </x:c>
      <x:c r="AA1893" s="6" t="str">
        <x:v>swiss_dwellings</x:v>
      </x:c>
      <x:c r="AB1893" s="6" t="str">
        <x:v>CC-BY-4.0</x:v>
      </x:c>
    </x:row>
    <x:row r="1894" ht="72" customHeight="1">
      <x:c r="A1894" s="14" t="n">
        <x:v>1889</x:v>
      </x:c>
      <x:c r="B1894" s="6" t="str">
        <x:v>route_with_closure</x:v>
      </x:c>
      <x:c r="C1894" s="6" t="str">
        <x:v>Staircase 19 is closed for maintenance. How do I get from Bedroom 2.85 (apartment 47) (Floor 2) to Living room 0.62 (apartment 17) (Ground floor)?</x:v>
      </x:c>
      <x:c r="D1894" s="6" t="str">
        <x:v>No route under the requested constraints.
From: Bedroom 2.85 (apartment 47)
To: Living room 0.62 (apartment 17)
Closed: swiss-5097-V20</x:v>
      </x:c>
      <x:c r="E1894" s="6" t="str">
        <x:v>Reference supplied</x:v>
      </x:c>
      <x:c r="F1894" s="6" t="str">
        <x:v>dev</x:v>
      </x:c>
      <x:c r="G1894" s="6" t="str">
        <x:v>swiss-5097</x:v>
      </x:c>
      <x:c r="H1894" s="6" t="str">
        <x:v>swiss-5097-Q07</x:v>
      </x:c>
      <x:c r="I1894" s="6" t="str">
        <x:v>Route planning</x:v>
      </x:c>
      <x:c r="J1894" s="6" t="str">
        <x:v>Warm-up</x:v>
      </x:c>
      <x:c r="K1894" s="6" t="str">
        <x:v>Alternative ordered path and metres, or an explicit no-route response.</x:v>
      </x:c>
      <x:c r="L1894" s="6" t="str">
        <x:v>T02, T05, T12, T13</x:v>
      </x:c>
      <x:c r="M1894" s="6" t="str">
        <x:v>Reroute while a named lift, staircase, door or room is closed.</x:v>
      </x:c>
      <x:c r="N1894" s="6" t="str">
        <x:v>{"from_space_id":"swiss-5097-F2-S085","to_space_id":"swiss-5097-F0-S062","reachable":false,"closed_element_id":"swiss-5097-V20"}</x:v>
      </x:c>
      <x:c r="O1894" s="6"/>
      <x:c r="P1894" s="6" t="str">
        <x:v>Avoid named closed element: swiss-5097-V20. May be unreachable.</x:v>
      </x:c>
      <x:c r="Q1894" s="15"/>
      <x:c r="R1894" s="6"/>
      <x:c r="S1894" s="16"/>
      <x:c r="T1894" s="15"/>
      <x:c r="U1894" s="6"/>
      <x:c r="V1894" s="6"/>
      <x:c r="W1894" s="6" t="str">
        <x:v>Existing set_closed followed by find_route. State reset is caller responsibility.</x:v>
      </x:c>
      <x:c r="X1894" s="6" t="str">
        <x:v>data/dev/swiss-5097/questions_basic.jsonl</x:v>
      </x:c>
      <x:c r="Y1894" s="14" t="n">
        <x:v>7</x:v>
      </x:c>
      <x:c r="Z1894" s="6" t="str">
        <x:v>https://github.com/hagenhaeussler/Industrial-Agents-Hackathon-2026/blob/f41616590b69f3ea0c1cbfb41d6c35edd9ce53df/data/dev/swiss-5097/questions_basic.jsonl#L7</x:v>
      </x:c>
      <x:c r="AA1894" s="6" t="str">
        <x:v>swiss_dwellings</x:v>
      </x:c>
      <x:c r="AB1894" s="6" t="str">
        <x:v>CC-BY-4.0</x:v>
      </x:c>
    </x:row>
    <x:row r="1895" ht="72" customHeight="1">
      <x:c r="A1895" s="14" t="n">
        <x:v>1890</x:v>
      </x:c>
      <x:c r="B1895" s="6" t="str">
        <x:v>route_with_closure</x:v>
      </x:c>
      <x:c r="C1895" s="6" t="str">
        <x:v>Main staircase is closed for maintenance. How do I get from Bathroom 2.04 (apartment 3) (Floor 2) to Bathroom 0.05 (apartment 1) (Ground floor)?</x:v>
      </x:c>
      <x:c r="D1895" s="6" t="str">
        <x:v>No route under the requested constraints.
From: Bathroom 2.04 (apartment 3)
To: Bathroom 0.05 (apartment 1)
Closed: swiss-5462-V01</x:v>
      </x:c>
      <x:c r="E1895" s="6" t="str">
        <x:v>Reference supplied</x:v>
      </x:c>
      <x:c r="F1895" s="6" t="str">
        <x:v>dev</x:v>
      </x:c>
      <x:c r="G1895" s="6" t="str">
        <x:v>swiss-5462</x:v>
      </x:c>
      <x:c r="H1895" s="6" t="str">
        <x:v>swiss-5462-Q09</x:v>
      </x:c>
      <x:c r="I1895" s="6" t="str">
        <x:v>Route planning</x:v>
      </x:c>
      <x:c r="J1895" s="6" t="str">
        <x:v>Warm-up</x:v>
      </x:c>
      <x:c r="K1895" s="6" t="str">
        <x:v>Alternative ordered path and metres, or an explicit no-route response.</x:v>
      </x:c>
      <x:c r="L1895" s="6" t="str">
        <x:v>T02, T05, T12, T13</x:v>
      </x:c>
      <x:c r="M1895" s="6" t="str">
        <x:v>Reroute while a named lift, staircase, door or room is closed.</x:v>
      </x:c>
      <x:c r="N1895" s="6" t="str">
        <x:v>{"from_space_id":"swiss-5462-F2-S004","to_space_id":"swiss-5462-F0-S005","reachable":false,"closed_element_id":"swiss-5462-V01"}</x:v>
      </x:c>
      <x:c r="O1895" s="6"/>
      <x:c r="P1895" s="6" t="str">
        <x:v>Avoid named closed element: swiss-5462-V01. May be unreachable.</x:v>
      </x:c>
      <x:c r="Q1895" s="15"/>
      <x:c r="R1895" s="6"/>
      <x:c r="S1895" s="16"/>
      <x:c r="T1895" s="15"/>
      <x:c r="U1895" s="6"/>
      <x:c r="V1895" s="6"/>
      <x:c r="W1895" s="6" t="str">
        <x:v>Existing set_closed followed by find_route. State reset is caller responsibility.</x:v>
      </x:c>
      <x:c r="X1895" s="6" t="str">
        <x:v>data/dev/swiss-5462/questions_basic.jsonl</x:v>
      </x:c>
      <x:c r="Y1895" s="14" t="n">
        <x:v>9</x:v>
      </x:c>
      <x:c r="Z1895" s="6" t="str">
        <x:v>https://github.com/hagenhaeussler/Industrial-Agents-Hackathon-2026/blob/f41616590b69f3ea0c1cbfb41d6c35edd9ce53df/data/dev/swiss-5462/questions_basic.jsonl#L9</x:v>
      </x:c>
      <x:c r="AA1895" s="6" t="str">
        <x:v>swiss_dwellings</x:v>
      </x:c>
      <x:c r="AB1895" s="6" t="str">
        <x:v>CC-BY-4.0</x:v>
      </x:c>
    </x:row>
    <x:row r="1896" ht="180" customHeight="1">
      <x:c r="A1896" s="14" t="n">
        <x:v>1891</x:v>
      </x:c>
      <x:c r="B1896" s="6" t="str">
        <x:v>tour</x:v>
      </x:c>
      <x:c r="C1896" s="6" t="str">
        <x:v>Starting at Generic room 0144A (Ground floor), visit Generic room 0.15 (Ground floor), then Generic room 0167 (Ground floor) in this order. What is the route?</x:v>
      </x:c>
      <x:c r="D1896" s="6" t="str">
        <x:v>79.06 m total
Stops: Generic room 0144A → Generic room 0.15 → Generic room 0167
Leg lengths (m): 33.14, 45.92
Full paths are in Answer JSON.</x:v>
      </x:c>
      <x:c r="E1896" s="6" t="str">
        <x:v>Reference supplied</x:v>
      </x:c>
      <x:c r="F1896" s="6" t="str">
        <x:v>train</x:v>
      </x:c>
      <x:c r="G1896" s="6" t="str">
        <x:v>osm-way10053349</x:v>
      </x:c>
      <x:c r="H1896" s="6" t="str">
        <x:v>osm-way10053349-Q08</x:v>
      </x:c>
      <x:c r="I1896" s="6" t="str">
        <x:v>Route planning</x:v>
      </x:c>
      <x:c r="J1896" s="6" t="str">
        <x:v>Warm-up</x:v>
      </x:c>
      <x:c r="K1896" s="6" t="str">
        <x:v>Ordered stops, path for each leg and total metres.</x:v>
      </x:c>
      <x:c r="L1896" s="6" t="str">
        <x:v>T02, T05, T13</x:v>
      </x:c>
      <x:c r="M1896" s="6" t="str">
        <x:v>Visit multiple rooms in the order specified.</x:v>
      </x:c>
      <x:c r="N1896" s="6" t="str">
        <x:v>{"stops":["osm-way10053349-F0-S058","osm-way10053349-F0-S015","osm-way10053349-F0-S070"],"optimal_length_m":79.06,"legs":[{"from_space_id":"osm-way10053349-F0-S058","to_space_id":"osm-way10053349-F0-S015","optimal_length_m":33.14,"space_path":["osm-way10053349-F0-S058","osm-way10053349-F0-S040","osm-way10053349-F0-S103","osm-way10053349-F0-S015"],"element_path":["osm-way10053349-F0-O0031","osm-way10053349-F0-O0031","osm-way10053349-F0-O0086","osm-way10053349-F0-O0086","osm-way10053349-F0-O0185","osm-way10053349-F0-O0185"]},{"from_space_id":"osm-way10053349-F0-S015","to_space_id":"osm-way10053349-F0-S070","optimal_length_m":45.92,"space_path":["osm-way10053349-F0-S015","osm-way10053349-F0-S103","osm-way10053349-F0-S046","osm-way10053349-F0-S109","osm-way10053349-F0-S070"],"element_path":["osm-way10053349-F0-O0185","osm-way10053349-F0-O0185","osm-way10053349-F0-O0087","osm-way10053349-F0-O0087","osm-way10053349-F0-O0096","osm-way10053349-F0-O0096","osm-way10053349-F0-O0099","osm-way10053349-F0-O0099"]}]}</x:v>
      </x:c>
      <x:c r="O1896" s="6"/>
      <x:c r="P1896" s="6" t="str">
        <x:v>Preserve stated visit order. Do not optimize stop order.</x:v>
      </x:c>
      <x:c r="Q1896" s="15" t="n">
        <x:v>79.06</x:v>
      </x:c>
      <x:c r="R1896" s="6" t="str">
        <x:v>m</x:v>
      </x:c>
      <x:c r="S1896" s="16"/>
      <x:c r="T1896" s="15"/>
      <x:c r="U1896" s="6"/>
      <x:c r="V1896" s="6"/>
      <x:c r="W1896" s="6" t="str">
        <x:v>Existing find_route(via=[...]).</x:v>
      </x:c>
      <x:c r="X1896" s="6" t="str">
        <x:v>data/train/osm-way10053349/questions_basic.jsonl</x:v>
      </x:c>
      <x:c r="Y1896" s="14" t="n">
        <x:v>8</x:v>
      </x:c>
      <x:c r="Z1896" s="6" t="str">
        <x:v>https://github.com/hagenhaeussler/Industrial-Agents-Hackathon-2026/blob/f41616590b69f3ea0c1cbfb41d6c35edd9ce53df/data/train/osm-way10053349/questions_basic.jsonl#L8</x:v>
      </x:c>
      <x:c r="AA1896" s="6" t="str">
        <x:v>osm_indoor</x:v>
      </x:c>
      <x:c r="AB1896" s="6" t="str">
        <x:v>ODbL-1.0</x:v>
      </x:c>
    </x:row>
    <x:row r="1897" ht="180" customHeight="1">
      <x:c r="A1897" s="14" t="n">
        <x:v>1892</x:v>
      </x:c>
      <x:c r="B1897" s="6" t="str">
        <x:v>tour</x:v>
      </x:c>
      <x:c r="C1897" s="6" t="str">
        <x:v>Starting at Gemeindebibliothek Ottobrunn (Floor 1), visit Kulturkreis Ottobrunn e.V (Ground floor), then Garderobe A (Floor 1) in this order. What is the route?</x:v>
      </x:c>
      <x:c r="D1897" s="6" t="str">
        <x:v>109.96 m total
Stops: Gemeindebibliothek Ottobrunn → Kulturkreis Ottobrunn e.V → Garderobe A
Leg lengths (m): 62.93, 47.03
Full paths are in Answer JSON.</x:v>
      </x:c>
      <x:c r="E1897" s="6" t="str">
        <x:v>Reference supplied</x:v>
      </x:c>
      <x:c r="F1897" s="6" t="str">
        <x:v>train</x:v>
      </x:c>
      <x:c r="G1897" s="6" t="str">
        <x:v>osm-way13507441</x:v>
      </x:c>
      <x:c r="H1897" s="6" t="str">
        <x:v>osm-way13507441-Q09</x:v>
      </x:c>
      <x:c r="I1897" s="6" t="str">
        <x:v>Route planning</x:v>
      </x:c>
      <x:c r="J1897" s="6" t="str">
        <x:v>Warm-up</x:v>
      </x:c>
      <x:c r="K1897" s="6" t="str">
        <x:v>Ordered stops, path for each leg and total metres.</x:v>
      </x:c>
      <x:c r="L1897" s="6" t="str">
        <x:v>T02, T05, T13</x:v>
      </x:c>
      <x:c r="M1897" s="6" t="str">
        <x:v>Visit multiple rooms in the order specified.</x:v>
      </x:c>
      <x:c r="N1897" s="6" t="str">
        <x:v>{"stops":["osm-way13507441-F1-S011","osm-way13507441-F0-S010","osm-way13507441-F1-S006"],"optimal_length_m":109.96,"legs":[{"from_space_id":"osm-way13507441-F1-S011","to_space_id":"osm-way13507441-F0-S010","optimal_length_m":62.93,"space_path":["osm-way13507441-F1-S011","osm-way13507441-F1-S001","outside","osm-way13507441-F0-S016","osm-way13507441-F0-S010"],"element_path":["osm-way13507441-F1-O0016","osm-way13507441-F1-O0016","osm-way13507441-F1-O0007","osm-way13507441-F1-O0007","osm-way13507441-F0-O0004","osm-way13507441-F0-O0004","osm-way13507441-F0-O0022","osm-way13507441-F0-O0022"]},{"from_space_id":"osm-way13507441-F0-S010","to_space_id":"osm-way13507441-F1-S006","optimal_length_m":47.03,"space_path":["osm-way13507441-F0-S010","osm-way13507441-F0-S016","outside","osm-way13507441-F1-S001","osm-way13507441-F1-S006"],"element_path":["osm-way13507441-F0-O0022","osm-way13507441-F0-O0022","osm-way13507441-F0-O0004","osm-way13507441-F0-O0004","osm-way13507441-F1-O0007","osm-way13507441-F1-O0007","osm-way13507441-F1-O0012","osm-way13507441-F1-O0012"]}]}</x:v>
      </x:c>
      <x:c r="O1897" s="6"/>
      <x:c r="P1897" s="6" t="str">
        <x:v>Preserve stated visit order. Do not optimize stop order.</x:v>
      </x:c>
      <x:c r="Q1897" s="15" t="n">
        <x:v>109.96</x:v>
      </x:c>
      <x:c r="R1897" s="6" t="str">
        <x:v>m</x:v>
      </x:c>
      <x:c r="S1897" s="16"/>
      <x:c r="T1897" s="15"/>
      <x:c r="U1897" s="6"/>
      <x:c r="V1897" s="6"/>
      <x:c r="W1897" s="6" t="str">
        <x:v>Existing find_route(via=[...]).</x:v>
      </x:c>
      <x:c r="X1897" s="6" t="str">
        <x:v>data/train/osm-way13507441/questions_basic.jsonl</x:v>
      </x:c>
      <x:c r="Y1897" s="14" t="n">
        <x:v>9</x:v>
      </x:c>
      <x:c r="Z1897" s="6" t="str">
        <x:v>https://github.com/hagenhaeussler/Industrial-Agents-Hackathon-2026/blob/f41616590b69f3ea0c1cbfb41d6c35edd9ce53df/data/train/osm-way13507441/questions_basic.jsonl#L9</x:v>
      </x:c>
      <x:c r="AA1897" s="6" t="str">
        <x:v>osm_indoor</x:v>
      </x:c>
      <x:c r="AB1897" s="6" t="str">
        <x:v>ODbL-1.0</x:v>
      </x:c>
    </x:row>
    <x:row r="1898" ht="166" customHeight="1">
      <x:c r="A1898" s="14" t="n">
        <x:v>1893</x:v>
      </x:c>
      <x:c r="B1898" s="6" t="str">
        <x:v>tour</x:v>
      </x:c>
      <x:c r="C1898" s="6" t="str">
        <x:v>Starting at Generic room 0.56 (Ground floor), visit Generic room 0.38 (Ground floor), then Generic room 0.08 (Ground floor) in this order. What is the route?</x:v>
      </x:c>
      <x:c r="D1898" s="6" t="str">
        <x:v>60.9 m total
Stops: Generic room 0.56 → Generic room 0.38 → Generic room 0.08
Leg lengths (m): 11.08, 49.82
Full paths are in Answer JSON.</x:v>
      </x:c>
      <x:c r="E1898" s="6" t="str">
        <x:v>Reference supplied</x:v>
      </x:c>
      <x:c r="F1898" s="6" t="str">
        <x:v>train</x:v>
      </x:c>
      <x:c r="G1898" s="6" t="str">
        <x:v>osm-way19183732</x:v>
      </x:c>
      <x:c r="H1898" s="6" t="str">
        <x:v>osm-way19183732-Q09</x:v>
      </x:c>
      <x:c r="I1898" s="6" t="str">
        <x:v>Route planning</x:v>
      </x:c>
      <x:c r="J1898" s="6" t="str">
        <x:v>Warm-up</x:v>
      </x:c>
      <x:c r="K1898" s="6" t="str">
        <x:v>Ordered stops, path for each leg and total metres.</x:v>
      </x:c>
      <x:c r="L1898" s="6" t="str">
        <x:v>T02, T05, T13</x:v>
      </x:c>
      <x:c r="M1898" s="6" t="str">
        <x:v>Visit multiple rooms in the order specified.</x:v>
      </x:c>
      <x:c r="N1898" s="6" t="str">
        <x:v>{"stops":["osm-way19183732-F0-S056","osm-way19183732-F0-S038","osm-way19183732-F0-S008"],"optimal_length_m":60.9,"legs":[{"from_space_id":"osm-way19183732-F0-S056","to_space_id":"osm-way19183732-F0-S038","optimal_length_m":11.08,"space_path":["osm-way19183732-F0-S056","osm-way19183732-F0-S057","outside","osm-way19183732-F0-S038"],"element_path":["osm-way19183732-F0-O0034","osm-way19183732-F0-O0034","osm-way19183732-F0-O0067","osm-way19183732-F0-O0067","osm-way19183732-F0-O0051","osm-way19183732-F0-O0051"]},{"from_space_id":"osm-way19183732-F0-S038","to_space_id":"osm-way19183732-F0-S008","optimal_length_m":49.82,"space_path":["osm-way19183732-F0-S038","outside","osm-way19183732-F0-S053","osm-way19183732-F0-S049","osm-way19183732-F0-S008"],"element_path":["osm-way19183732-F0-O0051","osm-way19183732-F0-O0051","osm-way19183732-F0-O0058","osm-way19183732-F0-O0058","osm-way19183732-F0-O0031","osm-way19183732-F0-O0031","osm-way19183732-F0-O0073","osm-way19183732-F0-O0073"]}]}</x:v>
      </x:c>
      <x:c r="O1898" s="6"/>
      <x:c r="P1898" s="6" t="str">
        <x:v>Preserve stated visit order. Do not optimize stop order.</x:v>
      </x:c>
      <x:c r="Q1898" s="15" t="n">
        <x:v>60.9</x:v>
      </x:c>
      <x:c r="R1898" s="6" t="str">
        <x:v>m</x:v>
      </x:c>
      <x:c r="S1898" s="16"/>
      <x:c r="T1898" s="15"/>
      <x:c r="U1898" s="6"/>
      <x:c r="V1898" s="6"/>
      <x:c r="W1898" s="6" t="str">
        <x:v>Existing find_route(via=[...]).</x:v>
      </x:c>
      <x:c r="X1898" s="6" t="str">
        <x:v>data/train/osm-way19183732/questions_basic.jsonl</x:v>
      </x:c>
      <x:c r="Y1898" s="14" t="n">
        <x:v>9</x:v>
      </x:c>
      <x:c r="Z1898" s="6" t="str">
        <x:v>https://github.com/hagenhaeussler/Industrial-Agents-Hackathon-2026/blob/f41616590b69f3ea0c1cbfb41d6c35edd9ce53df/data/train/osm-way19183732/questions_basic.jsonl#L9</x:v>
      </x:c>
      <x:c r="AA1898" s="6" t="str">
        <x:v>osm_indoor</x:v>
      </x:c>
      <x:c r="AB1898" s="6" t="str">
        <x:v>ODbL-1.0</x:v>
      </x:c>
    </x:row>
    <x:row r="1899" ht="194" customHeight="1">
      <x:c r="A1899" s="14" t="n">
        <x:v>1894</x:v>
      </x:c>
      <x:c r="B1899" s="6" t="str">
        <x:v>tour</x:v>
      </x:c>
      <x:c r="C1899" s="6" t="str">
        <x:v>Starting at Büro (Ground floor), visit Büro (Ground floor), then Büro (Floor 1) in this order. What is the route?</x:v>
      </x:c>
      <x:c r="D1899" s="6" t="str">
        <x:v>81.06 m total
Stops: Büro → Büro → Büro
Leg lengths (m): 9.15, 71.91
Full paths are in Answer JSON.</x:v>
      </x:c>
      <x:c r="E1899" s="6" t="str">
        <x:v>Reference supplied</x:v>
      </x:c>
      <x:c r="F1899" s="6" t="str">
        <x:v>train</x:v>
      </x:c>
      <x:c r="G1899" s="6" t="str">
        <x:v>osm-way37850565</x:v>
      </x:c>
      <x:c r="H1899" s="6" t="str">
        <x:v>osm-way37850565-Q10</x:v>
      </x:c>
      <x:c r="I1899" s="6" t="str">
        <x:v>Route planning</x:v>
      </x:c>
      <x:c r="J1899" s="6" t="str">
        <x:v>Warm-up</x:v>
      </x:c>
      <x:c r="K1899" s="6" t="str">
        <x:v>Ordered stops, path for each leg and total metres.</x:v>
      </x:c>
      <x:c r="L1899" s="6" t="str">
        <x:v>T02, T05, T13</x:v>
      </x:c>
      <x:c r="M1899" s="6" t="str">
        <x:v>Visit multiple rooms in the order specified.</x:v>
      </x:c>
      <x:c r="N1899" s="6" t="str">
        <x:v>{"stops":["osm-way37850565-F0-S011","osm-way37850565-F0-S010","osm-way37850565-F1-S010"],"optimal_length_m":81.06,"legs":[{"from_space_id":"osm-way37850565-F0-S011","to_space_id":"osm-way37850565-F0-S010","optimal_length_m":9.15,"space_path":["osm-way37850565-F0-S011","osm-way37850565-F0-S001","osm-way37850565-F0-S010"],"element_path":["osm-way37850565-F0-O0034","osm-way37850565-F0-O0034","osm-way37850565-F0-O0033","osm-way37850565-F0-O0033"]},{"from_space_id":"osm-way37850565-F0-S010","to_space_id":"osm-way37850565-F1-S010","optimal_length_m":71.91,"space_path":["osm-way37850565-F0-S010","osm-way37850565-F0-S001","osm-way37850565-F0-S002","osm-way37850565-F0-S007","osm-way37850565-F1-S017","osm-way37850565-F1-S016","osm-way37850565-F1-S015","osm-way37850565-F1-S010"],"element_path":["osm-way37850565-F0-O0033","osm-way37850565-F0-O0033","osm-way37850565-F0-O0027","osm-way37850565-F0-O0027","osm-way37850565-F0-O0030","osm-way37850565-F0-O0030","osm-way37850565-V01","osm-way37850565-F1-O0025","osm-way37850565-F1-O0025","osm-way37850565-F1-O0008","osm-way37850565-F1-O0008","osm-way37850565-F1-O0012","osm-way37850565-F1-O0012"]}]}</x:v>
      </x:c>
      <x:c r="O1899" s="6"/>
      <x:c r="P1899" s="6" t="str">
        <x:v>Preserve stated visit order. Do not optimize stop order.</x:v>
      </x:c>
      <x:c r="Q1899" s="15" t="n">
        <x:v>81.06</x:v>
      </x:c>
      <x:c r="R1899" s="6" t="str">
        <x:v>m</x:v>
      </x:c>
      <x:c r="S1899" s="16"/>
      <x:c r="T1899" s="15"/>
      <x:c r="U1899" s="6"/>
      <x:c r="V1899" s="6"/>
      <x:c r="W1899" s="6" t="str">
        <x:v>Existing find_route(via=[...]).</x:v>
      </x:c>
      <x:c r="X1899" s="6" t="str">
        <x:v>data/train/osm-way37850565/questions_basic.jsonl</x:v>
      </x:c>
      <x:c r="Y1899" s="14" t="n">
        <x:v>10</x:v>
      </x:c>
      <x:c r="Z1899" s="6" t="str">
        <x:v>https://github.com/hagenhaeussler/Industrial-Agents-Hackathon-2026/blob/f41616590b69f3ea0c1cbfb41d6c35edd9ce53df/data/train/osm-way37850565/questions_basic.jsonl#L10</x:v>
      </x:c>
      <x:c r="AA1899" s="6" t="str">
        <x:v>osm_indoor</x:v>
      </x:c>
      <x:c r="AB1899" s="6" t="str">
        <x:v>ODbL-1.0</x:v>
      </x:c>
    </x:row>
    <x:row r="1900" ht="166" customHeight="1">
      <x:c r="A1900" s="14" t="n">
        <x:v>1895</x:v>
      </x:c>
      <x:c r="B1900" s="6" t="str">
        <x:v>tour</x:v>
      </x:c>
      <x:c r="C1900" s="6" t="str">
        <x:v>Starting at Office 1.104 (Floor 2), visit Toilet 1.111 (Floor 2), then Generic room 0.06 (Ground floor) in this order. What is the route?</x:v>
      </x:c>
      <x:c r="D1900" s="6" t="str">
        <x:v>53.31 m total
Stops: Office 1.104 → Toilet 1.111 → Generic room 0.06
Leg lengths (m): 22.69, 30.62
Full paths are in Answer JSON.</x:v>
      </x:c>
      <x:c r="E1900" s="6" t="str">
        <x:v>Reference supplied</x:v>
      </x:c>
      <x:c r="F1900" s="6" t="str">
        <x:v>train</x:v>
      </x:c>
      <x:c r="G1900" s="6" t="str">
        <x:v>osm-way476929995</x:v>
      </x:c>
      <x:c r="H1900" s="6" t="str">
        <x:v>osm-way476929995-Q10</x:v>
      </x:c>
      <x:c r="I1900" s="6" t="str">
        <x:v>Route planning</x:v>
      </x:c>
      <x:c r="J1900" s="6" t="str">
        <x:v>Warm-up</x:v>
      </x:c>
      <x:c r="K1900" s="6" t="str">
        <x:v>Ordered stops, path for each leg and total metres.</x:v>
      </x:c>
      <x:c r="L1900" s="6" t="str">
        <x:v>T02, T05, T13</x:v>
      </x:c>
      <x:c r="M1900" s="6" t="str">
        <x:v>Visit multiple rooms in the order specified.</x:v>
      </x:c>
      <x:c r="N1900" s="6" t="str">
        <x:v>{"stops":["osm-way476929995-F2-S007","osm-way476929995-F2-S012","osm-way476929995-F0-S006"],"optimal_length_m":53.31,"legs":[{"from_space_id":"osm-way476929995-F2-S007","to_space_id":"osm-way476929995-F2-S012","optimal_length_m":22.69,"space_path":["osm-way476929995-F2-S007","osm-way476929995-F2-S016","osm-way476929995-F2-S012"],"element_path":["osm-way476929995-F2-O0060","osm-way476929995-F2-O0060","osm-way476929995-F2-O0019","osm-way476929995-F2-O0019"]},{"from_space_id":"osm-way476929995-F2-S012","to_space_id":"osm-way476929995-F0-S006","optimal_length_m":30.62,"space_path":["osm-way476929995-F2-S012","osm-way476929995-F2-S016","outside","osm-way476929995-F0-S001","osm-way476929995-F0-S006"],"element_path":["osm-way476929995-F2-O0019","osm-way476929995-F2-O0019","osm-way476929995-F2-O0026","osm-way476929995-F2-O0026","osm-way476929995-F0-O0062","osm-way476929995-F0-O0062","osm-way476929995-F0-O0074","osm-way476929995-F0-O0074"]}]}</x:v>
      </x:c>
      <x:c r="O1900" s="6"/>
      <x:c r="P1900" s="6" t="str">
        <x:v>Preserve stated visit order. Do not optimize stop order.</x:v>
      </x:c>
      <x:c r="Q1900" s="15" t="n">
        <x:v>53.31</x:v>
      </x:c>
      <x:c r="R1900" s="6" t="str">
        <x:v>m</x:v>
      </x:c>
      <x:c r="S1900" s="16"/>
      <x:c r="T1900" s="15"/>
      <x:c r="U1900" s="6"/>
      <x:c r="V1900" s="6"/>
      <x:c r="W1900" s="6" t="str">
        <x:v>Existing find_route(via=[...]).</x:v>
      </x:c>
      <x:c r="X1900" s="6" t="str">
        <x:v>data/train/osm-way476929995/questions_basic.jsonl</x:v>
      </x:c>
      <x:c r="Y1900" s="14" t="n">
        <x:v>10</x:v>
      </x:c>
      <x:c r="Z1900" s="6" t="str">
        <x:v>https://github.com/hagenhaeussler/Industrial-Agents-Hackathon-2026/blob/f41616590b69f3ea0c1cbfb41d6c35edd9ce53df/data/train/osm-way476929995/questions_basic.jsonl#L10</x:v>
      </x:c>
      <x:c r="AA1900" s="6" t="str">
        <x:v>osm_indoor</x:v>
      </x:c>
      <x:c r="AB1900" s="6" t="str">
        <x:v>ODbL-1.0</x:v>
      </x:c>
    </x:row>
    <x:row r="1901" ht="250" customHeight="1">
      <x:c r="A1901" s="14" t="n">
        <x:v>1896</x:v>
      </x:c>
      <x:c r="B1901" s="6" t="str">
        <x:v>tour</x:v>
      </x:c>
      <x:c r="C1901" s="6" t="str">
        <x:v>Starting at Generic room -1419A (Basement 1), visit Generic room 2413 (Floor 2), then Generic room -1408 (Basement 1) in this order. What is the route?</x:v>
      </x:c>
      <x:c r="D1901" s="6" t="str">
        <x:v>165.49 m total
Stops: Generic room -1419A → Generic room 2413 → Generic room -1408
Leg lengths (m): 81.42, 84.07
Full paths are in Answer JSON.</x:v>
      </x:c>
      <x:c r="E1901" s="6" t="str">
        <x:v>Reference supplied</x:v>
      </x:c>
      <x:c r="F1901" s="6" t="str">
        <x:v>train</x:v>
      </x:c>
      <x:c r="G1901" s="6" t="str">
        <x:v>osm-way50299720</x:v>
      </x:c>
      <x:c r="H1901" s="6" t="str">
        <x:v>osm-way50299720-Q07</x:v>
      </x:c>
      <x:c r="I1901" s="6" t="str">
        <x:v>Route planning</x:v>
      </x:c>
      <x:c r="J1901" s="6" t="str">
        <x:v>Warm-up</x:v>
      </x:c>
      <x:c r="K1901" s="6" t="str">
        <x:v>Ordered stops, path for each leg and total metres.</x:v>
      </x:c>
      <x:c r="L1901" s="6" t="str">
        <x:v>T02, T05, T13</x:v>
      </x:c>
      <x:c r="M1901" s="6" t="str">
        <x:v>Visit multiple rooms in the order specified.</x:v>
      </x:c>
      <x:c r="N1901" s="6" t="str">
        <x:v>{"stops":["osm-way50299720-F-1-S006","osm-way50299720-F2-S027","osm-way50299720-F-1-S034"],"optimal_length_m":165.49,"legs":[{"from_space_id":"osm-way50299720-F-1-S006","to_space_id":"osm-way50299720-F2-S027","optimal_length_m":81.42,"space_path":["osm-way50299720-F-1-S006","osm-way50299720-F-1-S027","osm-way50299720-F-1-S019","outside","osm-way50299720-F0-S009","osm-way50299720-F1-S023","osm-way50299720-F2-S041","osm-way50299720-F2-S009","osm-way50299720-F2-S027"],"element_path":["osm-way50299720-F-1-O0054","osm-way50299720-F-1-O0054","osm-way50299720-F-1-O0055","osm-way50299720-F-1-O0055","osm-way50299720-F-1-O0072","osm-way50299720-F-1-O0072","osm-way50299720-F0-O0009","osm-way50299720-F0-O0009","osm-way50299720-V02","osm-way50299720-V02","osm-way50299720-F2-O0170","osm-way50299720-F2-O0170","osm-way50299720-F2-O0141","osm-way50299720-F2-O0141"]},{"from_space_id":"osm-way50299720-F2-S027","to_space_id":"osm-way50299720-F-1-S034","optimal_length_m":84.07,"space_path":["osm-way50299720-F2-S027","osm-way50299720-F2-S009","osm-way50299720-F2-S041","osm-way50299720-F1-S023","osm-way50299720-F0-S009","osm-way50299720-F-1-S039","osm-way50299720-F-1-S021","osm-way50299720-F-1-S034"],"element_path":["osm-way50299720-F2-O0141","osm-way50299720-F2-O0141","osm-way50299720-F2-O0170","osm-way50299720-F2-O0170","osm-way50299720-V02","osm-way50299720-V02","osm-way50299720-V02","osm-way50299720-F-1-O0077","osm-way50299720-F-1-O0077","osm-way50299720-F-1-O0065","osm-way50299720-F-1-O0065"]}]}</x:v>
      </x:c>
      <x:c r="O1901" s="6"/>
      <x:c r="P1901" s="6" t="str">
        <x:v>Preserve stated visit order. Do not optimize stop order.</x:v>
      </x:c>
      <x:c r="Q1901" s="15" t="n">
        <x:v>165.49</x:v>
      </x:c>
      <x:c r="R1901" s="6" t="str">
        <x:v>m</x:v>
      </x:c>
      <x:c r="S1901" s="16"/>
      <x:c r="T1901" s="15"/>
      <x:c r="U1901" s="6"/>
      <x:c r="V1901" s="6"/>
      <x:c r="W1901" s="6" t="str">
        <x:v>Existing find_route(via=[...]).</x:v>
      </x:c>
      <x:c r="X1901" s="6" t="str">
        <x:v>data/train/osm-way50299720/questions_basic.jsonl</x:v>
      </x:c>
      <x:c r="Y1901" s="14" t="n">
        <x:v>7</x:v>
      </x:c>
      <x:c r="Z1901" s="6" t="str">
        <x:v>https://github.com/hagenhaeussler/Industrial-Agents-Hackathon-2026/blob/f41616590b69f3ea0c1cbfb41d6c35edd9ce53df/data/train/osm-way50299720/questions_basic.jsonl#L7</x:v>
      </x:c>
      <x:c r="AA1901" s="6" t="str">
        <x:v>osm_indoor</x:v>
      </x:c>
      <x:c r="AB1901" s="6" t="str">
        <x:v>ODbL-1.0</x:v>
      </x:c>
    </x:row>
    <x:row r="1902" ht="138" customHeight="1">
      <x:c r="A1902" s="14" t="n">
        <x:v>1897</x:v>
      </x:c>
      <x:c r="B1902" s="6" t="str">
        <x:v>tour</x:v>
      </x:c>
      <x:c r="C1902" s="6" t="str">
        <x:v>Starting at Levi's (Ground floor), visit G-Fashion (Ground floor), then Tally Weijl (Basement 1) in this order. What is the route?</x:v>
      </x:c>
      <x:c r="D1902" s="6" t="str">
        <x:v>41.74 m total
Stops: Levi's → G-Fashion → Tally Weijl
Leg lengths (m): 20.4, 21.34
Full paths are in Answer JSON.</x:v>
      </x:c>
      <x:c r="E1902" s="6" t="str">
        <x:v>Reference supplied</x:v>
      </x:c>
      <x:c r="F1902" s="6" t="str">
        <x:v>train</x:v>
      </x:c>
      <x:c r="G1902" s="6" t="str">
        <x:v>osm-way52060470</x:v>
      </x:c>
      <x:c r="H1902" s="6" t="str">
        <x:v>osm-way52060470-Q08</x:v>
      </x:c>
      <x:c r="I1902" s="6" t="str">
        <x:v>Route planning</x:v>
      </x:c>
      <x:c r="J1902" s="6" t="str">
        <x:v>Warm-up</x:v>
      </x:c>
      <x:c r="K1902" s="6" t="str">
        <x:v>Ordered stops, path for each leg and total metres.</x:v>
      </x:c>
      <x:c r="L1902" s="6" t="str">
        <x:v>T02, T05, T13</x:v>
      </x:c>
      <x:c r="M1902" s="6" t="str">
        <x:v>Visit multiple rooms in the order specified.</x:v>
      </x:c>
      <x:c r="N1902" s="6" t="str">
        <x:v>{"stops":["osm-way52060470-F0-S026","osm-way52060470-F0-S039","osm-way52060470-F-1-S031"],"optimal_length_m":41.74,"legs":[{"from_space_id":"osm-way52060470-F0-S026","to_space_id":"osm-way52060470-F0-S039","optimal_length_m":20.4,"space_path":["osm-way52060470-F0-S026","outside","osm-way52060470-F0-S039"],"element_path":["osm-way52060470-F0-O0097","osm-way52060470-F0-O0097","osm-way52060470-F0-O0067","osm-way52060470-F0-O0067"]},{"from_space_id":"osm-way52060470-F0-S039","to_space_id":"osm-way52060470-F-1-S031","optimal_length_m":21.34,"space_path":["osm-way52060470-F0-S039","outside","osm-way52060470-F-1-S031"],"element_path":["osm-way52060470-F0-O0067","osm-way52060470-F0-O0067","osm-way52060470-F-1-O0063","osm-way52060470-F-1-O0063"]}]}</x:v>
      </x:c>
      <x:c r="O1902" s="6"/>
      <x:c r="P1902" s="6" t="str">
        <x:v>Preserve stated visit order. Do not optimize stop order.</x:v>
      </x:c>
      <x:c r="Q1902" s="15" t="n">
        <x:v>41.74</x:v>
      </x:c>
      <x:c r="R1902" s="6" t="str">
        <x:v>m</x:v>
      </x:c>
      <x:c r="S1902" s="16"/>
      <x:c r="T1902" s="15"/>
      <x:c r="U1902" s="6"/>
      <x:c r="V1902" s="6"/>
      <x:c r="W1902" s="6" t="str">
        <x:v>Existing find_route(via=[...]).</x:v>
      </x:c>
      <x:c r="X1902" s="6" t="str">
        <x:v>data/train/osm-way52060470/questions_basic.jsonl</x:v>
      </x:c>
      <x:c r="Y1902" s="14" t="n">
        <x:v>8</x:v>
      </x:c>
      <x:c r="Z1902" s="6" t="str">
        <x:v>https://github.com/hagenhaeussler/Industrial-Agents-Hackathon-2026/blob/f41616590b69f3ea0c1cbfb41d6c35edd9ce53df/data/train/osm-way52060470/questions_basic.jsonl#L8</x:v>
      </x:c>
      <x:c r="AA1902" s="6" t="str">
        <x:v>osm_indoor</x:v>
      </x:c>
      <x:c r="AB1902" s="6" t="str">
        <x:v>ODbL-1.0</x:v>
      </x:c>
    </x:row>
    <x:row r="1903" ht="334" customHeight="1">
      <x:c r="A1903" s="14" t="n">
        <x:v>1898</x:v>
      </x:c>
      <x:c r="B1903" s="6" t="str">
        <x:v>tour</x:v>
      </x:c>
      <x:c r="C1903" s="6" t="str">
        <x:v>Starting at Generic room N0131 (Ground floor), visit Generic room N2194 (Floor 2), then Generic room N2175 (Floor 2) in this order. What is the route?</x:v>
      </x:c>
      <x:c r="D1903" s="6" t="str">
        <x:v>332.94 m total
Stops: Generic room N0131 → Generic room N2194 → Generic room N2175
Leg lengths (m): 117.74, 215.2
Full paths are in Answer JSON.</x:v>
      </x:c>
      <x:c r="E1903" s="6" t="str">
        <x:v>Reference supplied</x:v>
      </x:c>
      <x:c r="F1903" s="6" t="str">
        <x:v>train</x:v>
      </x:c>
      <x:c r="G1903" s="6" t="str">
        <x:v>osm-way58216509</x:v>
      </x:c>
      <x:c r="H1903" s="6" t="str">
        <x:v>osm-way58216509-Q07</x:v>
      </x:c>
      <x:c r="I1903" s="6" t="str">
        <x:v>Route planning</x:v>
      </x:c>
      <x:c r="J1903" s="6" t="str">
        <x:v>Warm-up</x:v>
      </x:c>
      <x:c r="K1903" s="6" t="str">
        <x:v>Ordered stops, path for each leg and total metres.</x:v>
      </x:c>
      <x:c r="L1903" s="6" t="str">
        <x:v>T02, T05, T13</x:v>
      </x:c>
      <x:c r="M1903" s="6" t="str">
        <x:v>Visit multiple rooms in the order specified.</x:v>
      </x:c>
      <x:c r="N1903" s="6" t="str">
        <x:v>{"stops":["osm-way58216509-F0-S088","osm-way58216509-F2-S017","osm-way58216509-F2-S147"],"optimal_length_m":332.94,"legs":[{"from_space_id":"osm-way58216509-F0-S088","to_space_id":"osm-way58216509-F2-S017","optimal_length_m":117.74,"space_path":["osm-way58216509-F0-S088","osm-way58216509-F0-S068","osm-way58216509-F0-S077","osm-way58216509-F0-S030","osm-way58216509-F0-S054","osm-way58216509-F2-S049","osm-way58216509-F2-S015","osm-way58216509-F2-S017"],"element_path":["osm-way58216509-F0-O0104","osm-way58216509-F0-O0104","osm-way58216509-F0-O0072","osm-way58216509-F0-O0072","osm-way58216509-F0-O0070","osm-way58216509-F0-O0070","osm-way58216509-F0-O0331","osm-way58216509-F0-O0331","osm-way58216509-V07","osm-way58216509-F2-O0170","osm-way58216509-F2-O0170","osm-way58216509-F2-O0017","osm-way58216509-F2-O0017"]},{"from_space_id":"osm-way58216509-F2-S017","to_space_id":"osm-way58216509-F2-S147","optimal_length_m":215.2,"space_path":["osm-way58216509-F2-S017","osm-way58216509-F2-S015","osm-way58216509-F2-S049","osm-way58216509-F0-S054","osm-way58216509-F0-S030","osm-way58216509-F0-S072","osm-way58216509-F0-S079","osm-way58216509-F0-S071","osm-way58216509-F2-S030","osm-way58216509-F2-S104","osm-way58216509-F2-S097","osm-way58216509-F2-S140","osm-way58216509-F2-S180","osm-way58216509-F2-S159","osm-way58216509-F2-S147"],"element_path":["osm-way58216509-F2-O0017","osm-way58216509-F2-O0017","osm-way58216509-F2-O0170","osm-way58216509-F2-O0170","osm-way58216509-V07","osm-way58216509-F0-O0331","osm-way58216509-F0-O0331","osm-way58216509-F0-O0057","osm-way58216509-F0-O0057","osm-way58216509-F0-O0079","osm-way58216509-F0-O0079","osm-way58216509-F0-O0335","osm-way58216509-F0-O0335","osm-way58216509-V05","osm-way58216509-F2-O0339","osm-way58216509-F2-O0339","osm-way58216509-F2-O0217","osm-way58216509-F2-O0217","osm-way58216509-F2-O0258","osm-way58216509-F2-O0258","osm-way58216509-F2-O0324","osm-way58216509-F2-O0324","osm-way58216509-F2-O0322","osm-way58216509-F2-O0322","osm-way58216509-F2-O0261","osm-way58216509-F2-O0261"]}]}</x:v>
      </x:c>
      <x:c r="O1903" s="6"/>
      <x:c r="P1903" s="6" t="str">
        <x:v>Preserve stated visit order. Do not optimize stop order.</x:v>
      </x:c>
      <x:c r="Q1903" s="15" t="n">
        <x:v>332.94</x:v>
      </x:c>
      <x:c r="R1903" s="6" t="str">
        <x:v>m</x:v>
      </x:c>
      <x:c r="S1903" s="16"/>
      <x:c r="T1903" s="15"/>
      <x:c r="U1903" s="6"/>
      <x:c r="V1903" s="6"/>
      <x:c r="W1903" s="6" t="str">
        <x:v>Existing find_route(via=[...]).</x:v>
      </x:c>
      <x:c r="X1903" s="6" t="str">
        <x:v>data/train/osm-way58216509/questions_basic.jsonl</x:v>
      </x:c>
      <x:c r="Y1903" s="14" t="n">
        <x:v>7</x:v>
      </x:c>
      <x:c r="Z1903" s="6" t="str">
        <x:v>https://github.com/hagenhaeussler/Industrial-Agents-Hackathon-2026/blob/f41616590b69f3ea0c1cbfb41d6c35edd9ce53df/data/train/osm-way58216509/questions_basic.jsonl#L7</x:v>
      </x:c>
      <x:c r="AA1903" s="6" t="str">
        <x:v>osm_indoor</x:v>
      </x:c>
      <x:c r="AB1903" s="6" t="str">
        <x:v>ODbL-1.0</x:v>
      </x:c>
    </x:row>
    <x:row r="1904" ht="278" customHeight="1">
      <x:c r="A1904" s="14" t="n">
        <x:v>1899</x:v>
      </x:c>
      <x:c r="B1904" s="6" t="str">
        <x:v>tour</x:v>
      </x:c>
      <x:c r="C1904" s="6" t="str">
        <x:v>Starting at Generic room -1376 (Basement 1), visit Generic room 0337 (Ground floor), then Generic room -1354A (Basement 1) in this order. What is the route?</x:v>
      </x:c>
      <x:c r="D1904" s="6" t="str">
        <x:v>132.25 m total
Stops: Generic room -1376 → Generic room 0337 → Generic room -1354A
Leg lengths (m): 54.21, 78.04
Full paths are in Answer JSON.</x:v>
      </x:c>
      <x:c r="E1904" s="6" t="str">
        <x:v>Reference supplied</x:v>
      </x:c>
      <x:c r="F1904" s="6" t="str">
        <x:v>train</x:v>
      </x:c>
      <x:c r="G1904" s="6" t="str">
        <x:v>osm-way61408163</x:v>
      </x:c>
      <x:c r="H1904" s="6" t="str">
        <x:v>osm-way61408163-Q09</x:v>
      </x:c>
      <x:c r="I1904" s="6" t="str">
        <x:v>Route planning</x:v>
      </x:c>
      <x:c r="J1904" s="6" t="str">
        <x:v>Warm-up</x:v>
      </x:c>
      <x:c r="K1904" s="6" t="str">
        <x:v>Ordered stops, path for each leg and total metres.</x:v>
      </x:c>
      <x:c r="L1904" s="6" t="str">
        <x:v>T02, T05, T13</x:v>
      </x:c>
      <x:c r="M1904" s="6" t="str">
        <x:v>Visit multiple rooms in the order specified.</x:v>
      </x:c>
      <x:c r="N1904" s="6" t="str">
        <x:v>{"stops":["osm-way61408163-F-1-S052","osm-way61408163-F0-S029","osm-way61408163-F-1-S039"],"optimal_length_m":132.25,"legs":[{"from_space_id":"osm-way61408163-F-1-S052","to_space_id":"osm-way61408163-F0-S029","optimal_length_m":54.21,"space_path":["osm-way61408163-F-1-S052","osm-way61408163-F-1-S011","osm-way61408163-F-1-S036","osm-way61408163-F-1-S058","outside","osm-way61408163-F0-S044","osm-way61408163-F0-S027","osm-way61408163-F0-S029"],"element_path":["osm-way61408163-F-1-O0196","osm-way61408163-F-1-O0196","osm-way61408163-F-1-O0181","osm-way61408163-F-1-O0181","osm-way61408163-F-1-O0215","osm-way61408163-F-1-O0215","osm-way61408163-F-1-O0200","osm-way61408163-F-1-O0200","osm-way61408163-F0-O0078","osm-way61408163-F0-O0078","osm-way61408163-F0-O0032","osm-way61408163-F0-O0032","osm-way61408163-F0-O0070","osm-way61408163-F0-O0070"]},{"from_space_id":"osm-way61408163-F0-S029","to_space_id":"osm-way61408163-F-1-S039","optimal_length_m":78.04,"space_path":["osm-way61408163-F0-S029","osm-way61408163-F0-S027","osm-way61408163-F0-S044","outside","osm-way61408163-F-1-S073","osm-way61408163-F-1-S080","osm-way61408163-F-1-S033","osm-way61408163-F-1-S030","osm-way61408163-F-1-S059","osm-way61408163-F-1-S039"],"element_path":["osm-way61408163-F0-O0070","osm-way61408163-F0-O0070","osm-way61408163-F0-O0032","osm-way61408163-F0-O0032","osm-way61408163-F0-O0078","osm-way61408163-F0-O0078","osm-way61408163-F-1-O0237","osm-way61408163-F-1-O0237","osm-way61408163-F-1-O0243","osm-way61408163-F-1-O0243","osm-way61408163-F-1-O0241","osm-way61408163-F-1-O0241","osm-way61408163-F-1-O0231","osm-way61408163-F-1-O0231","osm-way61408163-F-1-O0202","osm-way61408163-F-1-O0202","osm-way61408163-F-1-O0203","osm-way61408163-F-1-O0203"]}]}</x:v>
      </x:c>
      <x:c r="O1904" s="6"/>
      <x:c r="P1904" s="6" t="str">
        <x:v>Preserve stated visit order. Do not optimize stop order.</x:v>
      </x:c>
      <x:c r="Q1904" s="15" t="n">
        <x:v>132.25</x:v>
      </x:c>
      <x:c r="R1904" s="6" t="str">
        <x:v>m</x:v>
      </x:c>
      <x:c r="S1904" s="16"/>
      <x:c r="T1904" s="15"/>
      <x:c r="U1904" s="6"/>
      <x:c r="V1904" s="6"/>
      <x:c r="W1904" s="6" t="str">
        <x:v>Existing find_route(via=[...]).</x:v>
      </x:c>
      <x:c r="X1904" s="6" t="str">
        <x:v>data/train/osm-way61408163/questions_basic.jsonl</x:v>
      </x:c>
      <x:c r="Y1904" s="14" t="n">
        <x:v>9</x:v>
      </x:c>
      <x:c r="Z1904" s="6" t="str">
        <x:v>https://github.com/hagenhaeussler/Industrial-Agents-Hackathon-2026/blob/f41616590b69f3ea0c1cbfb41d6c35edd9ce53df/data/train/osm-way61408163/questions_basic.jsonl#L9</x:v>
      </x:c>
      <x:c r="AA1904" s="6" t="str">
        <x:v>osm_indoor</x:v>
      </x:c>
      <x:c r="AB1904" s="6" t="str">
        <x:v>ODbL-1.0</x:v>
      </x:c>
    </x:row>
    <x:row r="1905" ht="152" customHeight="1">
      <x:c r="A1905" s="14" t="n">
        <x:v>1900</x:v>
      </x:c>
      <x:c r="B1905" s="6" t="str">
        <x:v>tour</x:v>
      </x:c>
      <x:c r="C1905" s="6" t="str">
        <x:v>Starting at Print room 2.08 (Floor 2), visit Office 2.19 (Floor 2), then Toilet 2.21 (Floor 2) in this order. What is the route?</x:v>
      </x:c>
      <x:c r="D1905" s="6" t="str">
        <x:v>35.98 m total
Stops: Print room 2.08 → Office 2.19 → Toilet 2.21
Leg lengths (m): 12.28, 23.7
Full paths are in Answer JSON.</x:v>
      </x:c>
      <x:c r="E1905" s="6" t="str">
        <x:v>Reference supplied</x:v>
      </x:c>
      <x:c r="F1905" s="6" t="str">
        <x:v>train</x:v>
      </x:c>
      <x:c r="G1905" s="6" t="str">
        <x:v>proc-campus-train-000</x:v>
      </x:c>
      <x:c r="H1905" s="6" t="str">
        <x:v>proc-campus-train-000-Q10</x:v>
      </x:c>
      <x:c r="I1905" s="6" t="str">
        <x:v>Route planning</x:v>
      </x:c>
      <x:c r="J1905" s="6" t="str">
        <x:v>Warm-up</x:v>
      </x:c>
      <x:c r="K1905" s="6" t="str">
        <x:v>Ordered stops, path for each leg and total metres.</x:v>
      </x:c>
      <x:c r="L1905" s="6" t="str">
        <x:v>T02, T05, T13</x:v>
      </x:c>
      <x:c r="M1905" s="6" t="str">
        <x:v>Visit multiple rooms in the order specified.</x:v>
      </x:c>
      <x:c r="N1905" s="6" t="str">
        <x:v>{"stops":["proc-campus-train-000-F2-S008","proc-campus-train-000-F2-S019","proc-campus-train-000-F2-S021"],"optimal_length_m":35.98,"legs":[{"from_space_id":"proc-campus-train-000-F2-S008","to_space_id":"proc-campus-train-000-F2-S019","optimal_length_m":12.28,"space_path":["proc-campus-train-000-F2-S008","proc-campus-train-000-F2-S001","proc-campus-train-000-F2-S019"],"element_path":["proc-campus-train-000-F2-O0050","proc-campus-train-000-F2-O0050","proc-campus-train-000-F2-O0061","proc-campus-train-000-F2-O0061"]},{"from_space_id":"proc-campus-train-000-F2-S019","to_space_id":"proc-campus-train-000-F2-S021","optimal_length_m":23.7,"space_path":["proc-campus-train-000-F2-S019","proc-campus-train-000-F2-S001","proc-campus-train-000-F2-S021"],"element_path":["proc-campus-train-000-F2-O0061","proc-campus-train-000-F2-O0061","proc-campus-train-000-F2-O0063","proc-campus-train-000-F2-O0063"]}]}</x:v>
      </x:c>
      <x:c r="O1905" s="6"/>
      <x:c r="P1905" s="6" t="str">
        <x:v>Preserve stated visit order. Do not optimize stop order.</x:v>
      </x:c>
      <x:c r="Q1905" s="15" t="n">
        <x:v>35.98</x:v>
      </x:c>
      <x:c r="R1905" s="6" t="str">
        <x:v>m</x:v>
      </x:c>
      <x:c r="S1905" s="16"/>
      <x:c r="T1905" s="15"/>
      <x:c r="U1905" s="6"/>
      <x:c r="V1905" s="6"/>
      <x:c r="W1905" s="6" t="str">
        <x:v>Existing find_route(via=[...]).</x:v>
      </x:c>
      <x:c r="X1905" s="6" t="str">
        <x:v>data/train/proc-campus-train-000/questions_basic.jsonl</x:v>
      </x:c>
      <x:c r="Y1905" s="14" t="n">
        <x:v>10</x:v>
      </x:c>
      <x:c r="Z1905" s="6" t="str">
        <x:v>https://github.com/hagenhaeussler/Industrial-Agents-Hackathon-2026/blob/f41616590b69f3ea0c1cbfb41d6c35edd9ce53df/data/train/proc-campus-train-000/questions_basic.jsonl#L10</x:v>
      </x:c>
      <x:c r="AA1905" s="6" t="str">
        <x:v>procedural</x:v>
      </x:c>
      <x:c r="AB1905" s="6" t="str">
        <x:v>CC0-1.0</x:v>
      </x:c>
    </x:row>
    <x:row r="1906" ht="194" customHeight="1">
      <x:c r="A1906" s="14" t="n">
        <x:v>1901</x:v>
      </x:c>
      <x:c r="B1906" s="6" t="str">
        <x:v>tour</x:v>
      </x:c>
      <x:c r="C1906" s="6" t="str">
        <x:v>Starting at Storage 3.12 (Floor 3), visit Print room 3.08 (Floor 3), then Office 2.05 (Floor 2) in this order. What is the route?</x:v>
      </x:c>
      <x:c r="D1906" s="6" t="str">
        <x:v>73.69 m total
Stops: Storage 3.12 → Print room 3.08 → Office 2.05
Leg lengths (m): 33.74, 39.95
Full paths are in Answer JSON.</x:v>
      </x:c>
      <x:c r="E1906" s="6" t="str">
        <x:v>Reference supplied</x:v>
      </x:c>
      <x:c r="F1906" s="6" t="str">
        <x:v>train</x:v>
      </x:c>
      <x:c r="G1906" s="6" t="str">
        <x:v>proc-campus-train-001</x:v>
      </x:c>
      <x:c r="H1906" s="6" t="str">
        <x:v>proc-campus-train-001-Q10</x:v>
      </x:c>
      <x:c r="I1906" s="6" t="str">
        <x:v>Route planning</x:v>
      </x:c>
      <x:c r="J1906" s="6" t="str">
        <x:v>Warm-up</x:v>
      </x:c>
      <x:c r="K1906" s="6" t="str">
        <x:v>Ordered stops, path for each leg and total metres.</x:v>
      </x:c>
      <x:c r="L1906" s="6" t="str">
        <x:v>T02, T05, T13</x:v>
      </x:c>
      <x:c r="M1906" s="6" t="str">
        <x:v>Visit multiple rooms in the order specified.</x:v>
      </x:c>
      <x:c r="N1906" s="6" t="str">
        <x:v>{"stops":["proc-campus-train-001-F3-S012","proc-campus-train-001-F3-S008","proc-campus-train-001-F2-S005"],"optimal_length_m":73.69,"legs":[{"from_space_id":"proc-campus-train-001-F3-S012","to_space_id":"proc-campus-train-001-F3-S008","optimal_length_m":33.74,"space_path":["proc-campus-train-001-F3-S012","proc-campus-train-001-F3-S001","proc-campus-train-001-F3-S008"],"element_path":["proc-campus-train-001-F3-O0070","proc-campus-train-001-F3-O0070","proc-campus-train-001-F3-O0066","proc-campus-train-001-F3-O0066"]},{"from_space_id":"proc-campus-train-001-F3-S008","to_space_id":"proc-campus-train-001-F2-S005","optimal_length_m":39.95,"space_path":["proc-campus-train-001-F3-S008","proc-campus-train-001-F3-S001","proc-campus-train-001-F3-S006","proc-campus-train-001-F2-S006","proc-campus-train-001-F2-S001","proc-campus-train-001-F2-S005"],"element_path":["proc-campus-train-001-F3-O0066","proc-campus-train-001-F3-O0066","proc-campus-train-001-F3-O0064","proc-campus-train-001-F3-O0064","proc-campus-train-001-V01","proc-campus-train-001-F2-O0044","proc-campus-train-001-F2-O0044","proc-campus-train-001-F2-O0043","proc-campus-train-001-F2-O0043"]}]}</x:v>
      </x:c>
      <x:c r="O1906" s="6"/>
      <x:c r="P1906" s="6" t="str">
        <x:v>Preserve stated visit order. Do not optimize stop order.</x:v>
      </x:c>
      <x:c r="Q1906" s="15" t="n">
        <x:v>73.69</x:v>
      </x:c>
      <x:c r="R1906" s="6" t="str">
        <x:v>m</x:v>
      </x:c>
      <x:c r="S1906" s="16"/>
      <x:c r="T1906" s="15"/>
      <x:c r="U1906" s="6"/>
      <x:c r="V1906" s="6"/>
      <x:c r="W1906" s="6" t="str">
        <x:v>Existing find_route(via=[...]).</x:v>
      </x:c>
      <x:c r="X1906" s="6" t="str">
        <x:v>data/train/proc-campus-train-001/questions_basic.jsonl</x:v>
      </x:c>
      <x:c r="Y1906" s="14" t="n">
        <x:v>10</x:v>
      </x:c>
      <x:c r="Z1906" s="6" t="str">
        <x:v>https://github.com/hagenhaeussler/Industrial-Agents-Hackathon-2026/blob/f41616590b69f3ea0c1cbfb41d6c35edd9ce53df/data/train/proc-campus-train-001/questions_basic.jsonl#L10</x:v>
      </x:c>
      <x:c r="AA1906" s="6" t="str">
        <x:v>procedural</x:v>
      </x:c>
      <x:c r="AB1906" s="6" t="str">
        <x:v>CC0-1.0</x:v>
      </x:c>
    </x:row>
    <x:row r="1907" ht="208" customHeight="1">
      <x:c r="A1907" s="14" t="n">
        <x:v>1902</x:v>
      </x:c>
      <x:c r="B1907" s="6" t="str">
        <x:v>tour</x:v>
      </x:c>
      <x:c r="C1907" s="6" t="str">
        <x:v>Starting at Lab 3.14 (Floor 3), visit Print room 1.08 (Floor 1), then Lab 1.13 (Floor 1) in this order. What is the route?</x:v>
      </x:c>
      <x:c r="D1907" s="6" t="str">
        <x:v>79.87 m total
Stops: Lab 3.14 → Print room 1.08 → Lab 1.13
Leg lengths (m): 53.61, 26.26
Full paths are in Answer JSON.</x:v>
      </x:c>
      <x:c r="E1907" s="6" t="str">
        <x:v>Reference supplied</x:v>
      </x:c>
      <x:c r="F1907" s="6" t="str">
        <x:v>train</x:v>
      </x:c>
      <x:c r="G1907" s="6" t="str">
        <x:v>proc-campus-train-002</x:v>
      </x:c>
      <x:c r="H1907" s="6" t="str">
        <x:v>proc-campus-train-002-Q10</x:v>
      </x:c>
      <x:c r="I1907" s="6" t="str">
        <x:v>Route planning</x:v>
      </x:c>
      <x:c r="J1907" s="6" t="str">
        <x:v>Warm-up</x:v>
      </x:c>
      <x:c r="K1907" s="6" t="str">
        <x:v>Ordered stops, path for each leg and total metres.</x:v>
      </x:c>
      <x:c r="L1907" s="6" t="str">
        <x:v>T02, T05, T13</x:v>
      </x:c>
      <x:c r="M1907" s="6" t="str">
        <x:v>Visit multiple rooms in the order specified.</x:v>
      </x:c>
      <x:c r="N1907" s="6" t="str">
        <x:v>{"stops":["proc-campus-train-002-F3-S014","proc-campus-train-002-F1-S008","proc-campus-train-002-F1-S013"],"optimal_length_m":79.87,"legs":[{"from_space_id":"proc-campus-train-002-F3-S014","to_space_id":"proc-campus-train-002-F1-S008","optimal_length_m":53.61,"space_path":["proc-campus-train-002-F3-S014","proc-campus-train-002-F3-S001","proc-campus-train-002-F3-S005","proc-campus-train-002-F2-S005","proc-campus-train-002-F1-S005","proc-campus-train-002-F1-S001","proc-campus-train-002-F1-S008"],"element_path":["proc-campus-train-002-F3-O0063","proc-campus-train-002-F3-O0063","proc-campus-train-002-F3-O0054","proc-campus-train-002-F3-O0054","proc-campus-train-002-V01","proc-campus-train-002-V01","proc-campus-train-002-F1-O0020","proc-campus-train-002-F1-O0020","proc-campus-train-002-F1-O0023","proc-campus-train-002-F1-O0023"]},{"from_space_id":"proc-campus-train-002-F1-S008","to_space_id":"proc-campus-train-002-F1-S013","optimal_length_m":26.26,"space_path":["proc-campus-train-002-F1-S008","proc-campus-train-002-F1-S001","proc-campus-train-002-F1-S013"],"element_path":["proc-campus-train-002-F1-O0023","proc-campus-train-002-F1-O0023","proc-campus-train-002-F1-O0028","proc-campus-train-002-F1-O0028"]}]}</x:v>
      </x:c>
      <x:c r="O1907" s="6"/>
      <x:c r="P1907" s="6" t="str">
        <x:v>Preserve stated visit order. Do not optimize stop order.</x:v>
      </x:c>
      <x:c r="Q1907" s="15" t="n">
        <x:v>79.87</x:v>
      </x:c>
      <x:c r="R1907" s="6" t="str">
        <x:v>m</x:v>
      </x:c>
      <x:c r="S1907" s="16"/>
      <x:c r="T1907" s="15"/>
      <x:c r="U1907" s="6"/>
      <x:c r="V1907" s="6"/>
      <x:c r="W1907" s="6" t="str">
        <x:v>Existing find_route(via=[...]).</x:v>
      </x:c>
      <x:c r="X1907" s="6" t="str">
        <x:v>data/train/proc-campus-train-002/questions_basic.jsonl</x:v>
      </x:c>
      <x:c r="Y1907" s="14" t="n">
        <x:v>10</x:v>
      </x:c>
      <x:c r="Z1907" s="6" t="str">
        <x:v>https://github.com/hagenhaeussler/Industrial-Agents-Hackathon-2026/blob/f41616590b69f3ea0c1cbfb41d6c35edd9ce53df/data/train/proc-campus-train-002/questions_basic.jsonl#L10</x:v>
      </x:c>
      <x:c r="AA1907" s="6" t="str">
        <x:v>procedural</x:v>
      </x:c>
      <x:c r="AB1907" s="6" t="str">
        <x:v>CC0-1.0</x:v>
      </x:c>
    </x:row>
    <x:row r="1908" ht="194" customHeight="1">
      <x:c r="A1908" s="14" t="n">
        <x:v>1903</x:v>
      </x:c>
      <x:c r="B1908" s="6" t="str">
        <x:v>tour</x:v>
      </x:c>
      <x:c r="C1908" s="6" t="str">
        <x:v>Starting at Print room 1.02 (Floor 1), visit Storage 1.04 (Floor 1), then Office 2.19 (Floor 2) in this order. What is the route?</x:v>
      </x:c>
      <x:c r="D1908" s="6" t="str">
        <x:v>86.06 m total
Stops: Print room 1.02 → Storage 1.04 → Office 2.19
Leg lengths (m): 34.53, 51.53
Full paths are in Answer JSON.</x:v>
      </x:c>
      <x:c r="E1908" s="6" t="str">
        <x:v>Reference supplied</x:v>
      </x:c>
      <x:c r="F1908" s="6" t="str">
        <x:v>train</x:v>
      </x:c>
      <x:c r="G1908" s="6" t="str">
        <x:v>proc-campus-train-003</x:v>
      </x:c>
      <x:c r="H1908" s="6" t="str">
        <x:v>proc-campus-train-003-Q10</x:v>
      </x:c>
      <x:c r="I1908" s="6" t="str">
        <x:v>Route planning</x:v>
      </x:c>
      <x:c r="J1908" s="6" t="str">
        <x:v>Warm-up</x:v>
      </x:c>
      <x:c r="K1908" s="6" t="str">
        <x:v>Ordered stops, path for each leg and total metres.</x:v>
      </x:c>
      <x:c r="L1908" s="6" t="str">
        <x:v>T02, T05, T13</x:v>
      </x:c>
      <x:c r="M1908" s="6" t="str">
        <x:v>Visit multiple rooms in the order specified.</x:v>
      </x:c>
      <x:c r="N1908" s="6" t="str">
        <x:v>{"stops":["proc-campus-train-003-F1-S002","proc-campus-train-003-F1-S004","proc-campus-train-003-F2-S019"],"optimal_length_m":86.06,"legs":[{"from_space_id":"proc-campus-train-003-F1-S002","to_space_id":"proc-campus-train-003-F1-S004","optimal_length_m":34.53,"space_path":["proc-campus-train-003-F1-S002","proc-campus-train-003-F1-S001","proc-campus-train-003-F1-S004"],"element_path":["proc-campus-train-003-F1-O0019","proc-campus-train-003-F1-O0019","proc-campus-train-003-F1-O0021","proc-campus-train-003-F1-O0021"]},{"from_space_id":"proc-campus-train-003-F1-S004","to_space_id":"proc-campus-train-003-F2-S019","optimal_length_m":51.53,"space_path":["proc-campus-train-003-F1-S004","proc-campus-train-003-F1-S001","proc-campus-train-003-F1-S006","proc-campus-train-003-F2-S006","proc-campus-train-003-F2-S001","proc-campus-train-003-F2-S019"],"element_path":["proc-campus-train-003-F1-O0021","proc-campus-train-003-F1-O0021","proc-campus-train-003-F1-O0023","proc-campus-train-003-F1-O0023","proc-campus-train-003-V01","proc-campus-train-003-F2-O0042","proc-campus-train-003-F2-O0042","proc-campus-train-003-F2-O0055","proc-campus-train-003-F2-O0055"]}]}</x:v>
      </x:c>
      <x:c r="O1908" s="6"/>
      <x:c r="P1908" s="6" t="str">
        <x:v>Preserve stated visit order. Do not optimize stop order.</x:v>
      </x:c>
      <x:c r="Q1908" s="15" t="n">
        <x:v>86.06</x:v>
      </x:c>
      <x:c r="R1908" s="6" t="str">
        <x:v>m</x:v>
      </x:c>
      <x:c r="S1908" s="16"/>
      <x:c r="T1908" s="15"/>
      <x:c r="U1908" s="6"/>
      <x:c r="V1908" s="6"/>
      <x:c r="W1908" s="6" t="str">
        <x:v>Existing find_route(via=[...]).</x:v>
      </x:c>
      <x:c r="X1908" s="6" t="str">
        <x:v>data/train/proc-campus-train-003/questions_basic.jsonl</x:v>
      </x:c>
      <x:c r="Y1908" s="14" t="n">
        <x:v>10</x:v>
      </x:c>
      <x:c r="Z1908" s="6" t="str">
        <x:v>https://github.com/hagenhaeussler/Industrial-Agents-Hackathon-2026/blob/f41616590b69f3ea0c1cbfb41d6c35edd9ce53df/data/train/proc-campus-train-003/questions_basic.jsonl#L10</x:v>
      </x:c>
      <x:c r="AA1908" s="6" t="str">
        <x:v>procedural</x:v>
      </x:c>
      <x:c r="AB1908" s="6" t="str">
        <x:v>CC0-1.0</x:v>
      </x:c>
    </x:row>
    <x:row r="1909" ht="152" customHeight="1">
      <x:c r="A1909" s="14" t="n">
        <x:v>1904</x:v>
      </x:c>
      <x:c r="B1909" s="6" t="str">
        <x:v>tour</x:v>
      </x:c>
      <x:c r="C1909" s="6" t="str">
        <x:v>Starting at Office 1.25 (Floor 1), visit Kitchen 1.23 (Floor 1), then Lab 1.07 (Floor 1) in this order. What is the route?</x:v>
      </x:c>
      <x:c r="D1909" s="6" t="str">
        <x:v>65.45 m total
Stops: Office 1.25 → Kitchen 1.23 → Lab 1.07
Leg lengths (m): 41.21, 24.24
Full paths are in Answer JSON.</x:v>
      </x:c>
      <x:c r="E1909" s="6" t="str">
        <x:v>Reference supplied</x:v>
      </x:c>
      <x:c r="F1909" s="6" t="str">
        <x:v>train</x:v>
      </x:c>
      <x:c r="G1909" s="6" t="str">
        <x:v>proc-campus-train-004</x:v>
      </x:c>
      <x:c r="H1909" s="6" t="str">
        <x:v>proc-campus-train-004-Q10</x:v>
      </x:c>
      <x:c r="I1909" s="6" t="str">
        <x:v>Route planning</x:v>
      </x:c>
      <x:c r="J1909" s="6" t="str">
        <x:v>Warm-up</x:v>
      </x:c>
      <x:c r="K1909" s="6" t="str">
        <x:v>Ordered stops, path for each leg and total metres.</x:v>
      </x:c>
      <x:c r="L1909" s="6" t="str">
        <x:v>T02, T05, T13</x:v>
      </x:c>
      <x:c r="M1909" s="6" t="str">
        <x:v>Visit multiple rooms in the order specified.</x:v>
      </x:c>
      <x:c r="N1909" s="6" t="str">
        <x:v>{"stops":["proc-campus-train-004-F1-S025","proc-campus-train-004-F1-S023","proc-campus-train-004-F1-S007"],"optimal_length_m":65.45,"legs":[{"from_space_id":"proc-campus-train-004-F1-S025","to_space_id":"proc-campus-train-004-F1-S023","optimal_length_m":41.21,"space_path":["proc-campus-train-004-F1-S025","proc-campus-train-004-F1-S001","proc-campus-train-004-F1-S023"],"element_path":["proc-campus-train-004-F1-O0048","proc-campus-train-004-F1-O0048","proc-campus-train-004-F1-O0046","proc-campus-train-004-F1-O0046"]},{"from_space_id":"proc-campus-train-004-F1-S023","to_space_id":"proc-campus-train-004-F1-S007","optimal_length_m":24.24,"space_path":["proc-campus-train-004-F1-S023","proc-campus-train-004-F1-S001","proc-campus-train-004-F1-S007"],"element_path":["proc-campus-train-004-F1-O0046","proc-campus-train-004-F1-O0046","proc-campus-train-004-F1-O0030","proc-campus-train-004-F1-O0030"]}]}</x:v>
      </x:c>
      <x:c r="O1909" s="6"/>
      <x:c r="P1909" s="6" t="str">
        <x:v>Preserve stated visit order. Do not optimize stop order.</x:v>
      </x:c>
      <x:c r="Q1909" s="15" t="n">
        <x:v>65.45</x:v>
      </x:c>
      <x:c r="R1909" s="6" t="str">
        <x:v>m</x:v>
      </x:c>
      <x:c r="S1909" s="16"/>
      <x:c r="T1909" s="15"/>
      <x:c r="U1909" s="6"/>
      <x:c r="V1909" s="6"/>
      <x:c r="W1909" s="6" t="str">
        <x:v>Existing find_route(via=[...]).</x:v>
      </x:c>
      <x:c r="X1909" s="6" t="str">
        <x:v>data/train/proc-campus-train-004/questions_basic.jsonl</x:v>
      </x:c>
      <x:c r="Y1909" s="14" t="n">
        <x:v>10</x:v>
      </x:c>
      <x:c r="Z1909" s="6" t="str">
        <x:v>https://github.com/hagenhaeussler/Industrial-Agents-Hackathon-2026/blob/f41616590b69f3ea0c1cbfb41d6c35edd9ce53df/data/train/proc-campus-train-004/questions_basic.jsonl#L10</x:v>
      </x:c>
      <x:c r="AA1909" s="6" t="str">
        <x:v>procedural</x:v>
      </x:c>
      <x:c r="AB1909" s="6" t="str">
        <x:v>CC0-1.0</x:v>
      </x:c>
    </x:row>
    <x:row r="1910" ht="250" customHeight="1">
      <x:c r="A1910" s="14" t="n">
        <x:v>1905</x:v>
      </x:c>
      <x:c r="B1910" s="6" t="str">
        <x:v>tour</x:v>
      </x:c>
      <x:c r="C1910" s="6" t="str">
        <x:v>Starting at Lab 3.11 (Floor 3), visit Storage 1.18 (Floor 1), then Meeting room 0.13 (Ground floor) in this order. What is the route?</x:v>
      </x:c>
      <x:c r="D1910" s="6" t="str">
        <x:v>106.59 m total
Stops: Lab 3.11 → Storage 1.18 → Meeting room 0.13
Leg lengths (m): 67.12, 39.47
Full paths are in Answer JSON.</x:v>
      </x:c>
      <x:c r="E1910" s="6" t="str">
        <x:v>Reference supplied</x:v>
      </x:c>
      <x:c r="F1910" s="6" t="str">
        <x:v>train</x:v>
      </x:c>
      <x:c r="G1910" s="6" t="str">
        <x:v>proc-campus-train-011</x:v>
      </x:c>
      <x:c r="H1910" s="6" t="str">
        <x:v>proc-campus-train-011-Q10</x:v>
      </x:c>
      <x:c r="I1910" s="6" t="str">
        <x:v>Route planning</x:v>
      </x:c>
      <x:c r="J1910" s="6" t="str">
        <x:v>Warm-up</x:v>
      </x:c>
      <x:c r="K1910" s="6" t="str">
        <x:v>Ordered stops, path for each leg and total metres.</x:v>
      </x:c>
      <x:c r="L1910" s="6" t="str">
        <x:v>T02, T05, T13</x:v>
      </x:c>
      <x:c r="M1910" s="6" t="str">
        <x:v>Visit multiple rooms in the order specified.</x:v>
      </x:c>
      <x:c r="N1910" s="6" t="str">
        <x:v>{"stops":["proc-campus-train-011-F3-S011","proc-campus-train-011-F1-S018","proc-campus-train-011-F0-S013"],"optimal_length_m":106.59,"legs":[{"from_space_id":"proc-campus-train-011-F3-S011","to_space_id":"proc-campus-train-011-F1-S018","optimal_length_m":67.12,"space_path":["proc-campus-train-011-F3-S011","proc-campus-train-011-F3-S001","proc-campus-train-011-F3-S006","proc-campus-train-011-F2-S006","proc-campus-train-011-F1-S006","proc-campus-train-011-F1-S001","proc-campus-train-011-F1-S018"],"element_path":["proc-campus-train-011-F3-O0072","proc-campus-train-011-F3-O0072","proc-campus-train-011-F3-O0067","proc-campus-train-011-F3-O0067","proc-campus-train-011-V01","proc-campus-train-011-V01","proc-campus-train-011-F1-O0025","proc-campus-train-011-F1-O0025","proc-campus-train-011-F1-O0037","proc-campus-train-011-F1-O0037"]},{"from_space_id":"proc-campus-train-011-F1-S018","to_space_id":"proc-campus-train-011-F0-S013","optimal_length_m":39.47,"space_path":["proc-campus-train-011-F1-S018","proc-campus-train-011-F1-S001","proc-campus-train-011-F1-S006","proc-campus-train-011-F0-S004","proc-campus-train-011-F0-S001","proc-campus-train-011-F0-S013"],"element_path":["proc-campus-train-011-F1-O0037","proc-campus-train-011-F1-O0037","proc-campus-train-011-F1-O0025","proc-campus-train-011-F1-O0025","proc-campus-train-011-V01","proc-campus-train-011-F0-O0003","proc-campus-train-011-F0-O0003","proc-campus-train-011-F0-O0012","proc-campus-train-011-F0-O0012"]}]}</x:v>
      </x:c>
      <x:c r="O1910" s="6"/>
      <x:c r="P1910" s="6" t="str">
        <x:v>Preserve stated visit order. Do not optimize stop order.</x:v>
      </x:c>
      <x:c r="Q1910" s="15" t="n">
        <x:v>106.59</x:v>
      </x:c>
      <x:c r="R1910" s="6" t="str">
        <x:v>m</x:v>
      </x:c>
      <x:c r="S1910" s="16"/>
      <x:c r="T1910" s="15"/>
      <x:c r="U1910" s="6"/>
      <x:c r="V1910" s="6"/>
      <x:c r="W1910" s="6" t="str">
        <x:v>Existing find_route(via=[...]).</x:v>
      </x:c>
      <x:c r="X1910" s="6" t="str">
        <x:v>data/train/proc-campus-train-011/questions_basic.jsonl</x:v>
      </x:c>
      <x:c r="Y1910" s="14" t="n">
        <x:v>10</x:v>
      </x:c>
      <x:c r="Z1910" s="6" t="str">
        <x:v>https://github.com/hagenhaeussler/Industrial-Agents-Hackathon-2026/blob/f41616590b69f3ea0c1cbfb41d6c35edd9ce53df/data/train/proc-campus-train-011/questions_basic.jsonl#L10</x:v>
      </x:c>
      <x:c r="AA1910" s="6" t="str">
        <x:v>procedural</x:v>
      </x:c>
      <x:c r="AB1910" s="6" t="str">
        <x:v>CC0-1.0</x:v>
      </x:c>
    </x:row>
    <x:row r="1911" ht="194" customHeight="1">
      <x:c r="A1911" s="14" t="n">
        <x:v>1906</x:v>
      </x:c>
      <x:c r="B1911" s="6" t="str">
        <x:v>tour</x:v>
      </x:c>
      <x:c r="C1911" s="6" t="str">
        <x:v>Starting at Kitchen 1.16 (Floor 1), visit Office 1.12 (Floor 1), then Office 2.17 (Floor 2) in this order. What is the route?</x:v>
      </x:c>
      <x:c r="D1911" s="6" t="str">
        <x:v>87.7 m total
Stops: Kitchen 1.16 → Office 1.12 → Office 2.17
Leg lengths (m): 30.35, 57.35
Full paths are in Answer JSON.</x:v>
      </x:c>
      <x:c r="E1911" s="6" t="str">
        <x:v>Reference supplied</x:v>
      </x:c>
      <x:c r="F1911" s="6" t="str">
        <x:v>train</x:v>
      </x:c>
      <x:c r="G1911" s="6" t="str">
        <x:v>proc-campus-train-012</x:v>
      </x:c>
      <x:c r="H1911" s="6" t="str">
        <x:v>proc-campus-train-012-Q10</x:v>
      </x:c>
      <x:c r="I1911" s="6" t="str">
        <x:v>Route planning</x:v>
      </x:c>
      <x:c r="J1911" s="6" t="str">
        <x:v>Warm-up</x:v>
      </x:c>
      <x:c r="K1911" s="6" t="str">
        <x:v>Ordered stops, path for each leg and total metres.</x:v>
      </x:c>
      <x:c r="L1911" s="6" t="str">
        <x:v>T02, T05, T13</x:v>
      </x:c>
      <x:c r="M1911" s="6" t="str">
        <x:v>Visit multiple rooms in the order specified.</x:v>
      </x:c>
      <x:c r="N1911" s="6" t="str">
        <x:v>{"stops":["proc-campus-train-012-F1-S016","proc-campus-train-012-F1-S012","proc-campus-train-012-F2-S017"],"optimal_length_m":87.7,"legs":[{"from_space_id":"proc-campus-train-012-F1-S016","to_space_id":"proc-campus-train-012-F1-S012","optimal_length_m":30.35,"space_path":["proc-campus-train-012-F1-S016","proc-campus-train-012-F1-S001","proc-campus-train-012-F1-S012"],"element_path":["proc-campus-train-012-F1-O0032","proc-campus-train-012-F1-O0032","proc-campus-train-012-F1-O0028","proc-campus-train-012-F1-O0028"]},{"from_space_id":"proc-campus-train-012-F1-S012","to_space_id":"proc-campus-train-012-F2-S017","optimal_length_m":57.35,"space_path":["proc-campus-train-012-F1-S012","proc-campus-train-012-F1-S001","proc-campus-train-012-F1-S006","proc-campus-train-012-F2-S006","proc-campus-train-012-F2-S001","proc-campus-train-012-F2-S017"],"element_path":["proc-campus-train-012-F1-O0028","proc-campus-train-012-F1-O0028","proc-campus-train-012-F1-O0022","proc-campus-train-012-F1-O0022","proc-campus-train-012-V01","proc-campus-train-012-F2-O0040","proc-campus-train-012-F2-O0040","proc-campus-train-012-F2-O0051","proc-campus-train-012-F2-O0051"]}]}</x:v>
      </x:c>
      <x:c r="O1911" s="6"/>
      <x:c r="P1911" s="6" t="str">
        <x:v>Preserve stated visit order. Do not optimize stop order.</x:v>
      </x:c>
      <x:c r="Q1911" s="15" t="n">
        <x:v>87.7</x:v>
      </x:c>
      <x:c r="R1911" s="6" t="str">
        <x:v>m</x:v>
      </x:c>
      <x:c r="S1911" s="16"/>
      <x:c r="T1911" s="15"/>
      <x:c r="U1911" s="6"/>
      <x:c r="V1911" s="6"/>
      <x:c r="W1911" s="6" t="str">
        <x:v>Existing find_route(via=[...]).</x:v>
      </x:c>
      <x:c r="X1911" s="6" t="str">
        <x:v>data/train/proc-campus-train-012/questions_basic.jsonl</x:v>
      </x:c>
      <x:c r="Y1911" s="14" t="n">
        <x:v>10</x:v>
      </x:c>
      <x:c r="Z1911" s="6" t="str">
        <x:v>https://github.com/hagenhaeussler/Industrial-Agents-Hackathon-2026/blob/f41616590b69f3ea0c1cbfb41d6c35edd9ce53df/data/train/proc-campus-train-012/questions_basic.jsonl#L10</x:v>
      </x:c>
      <x:c r="AA1911" s="6" t="str">
        <x:v>procedural</x:v>
      </x:c>
      <x:c r="AB1911" s="6" t="str">
        <x:v>CC0-1.0</x:v>
      </x:c>
    </x:row>
    <x:row r="1912" ht="194" customHeight="1">
      <x:c r="A1912" s="14" t="n">
        <x:v>1907</x:v>
      </x:c>
      <x:c r="B1912" s="6" t="str">
        <x:v>tour</x:v>
      </x:c>
      <x:c r="C1912" s="6" t="str">
        <x:v>Starting at Print room 2.22 (Floor 2), visit Office 3.15 (Floor 3), then Seminar room 3.21 (Floor 3) in this order. What is the route?</x:v>
      </x:c>
      <x:c r="D1912" s="6" t="str">
        <x:v>113.05 m total
Stops: Print room 2.22 → Office 3.15 → Seminar room 3.21
Leg lengths (m): 79.01, 34.04
Full paths are in Answer JSON.</x:v>
      </x:c>
      <x:c r="E1912" s="6" t="str">
        <x:v>Reference supplied</x:v>
      </x:c>
      <x:c r="F1912" s="6" t="str">
        <x:v>train</x:v>
      </x:c>
      <x:c r="G1912" s="6" t="str">
        <x:v>proc-campus-train-013</x:v>
      </x:c>
      <x:c r="H1912" s="6" t="str">
        <x:v>proc-campus-train-013-Q10</x:v>
      </x:c>
      <x:c r="I1912" s="6" t="str">
        <x:v>Route planning</x:v>
      </x:c>
      <x:c r="J1912" s="6" t="str">
        <x:v>Warm-up</x:v>
      </x:c>
      <x:c r="K1912" s="6" t="str">
        <x:v>Ordered stops, path for each leg and total metres.</x:v>
      </x:c>
      <x:c r="L1912" s="6" t="str">
        <x:v>T02, T05, T13</x:v>
      </x:c>
      <x:c r="M1912" s="6" t="str">
        <x:v>Visit multiple rooms in the order specified.</x:v>
      </x:c>
      <x:c r="N1912" s="6" t="str">
        <x:v>{"stops":["proc-campus-train-013-F2-S022","proc-campus-train-013-F3-S015","proc-campus-train-013-F3-S021"],"optimal_length_m":113.05,"legs":[{"from_space_id":"proc-campus-train-013-F2-S022","to_space_id":"proc-campus-train-013-F3-S015","optimal_length_m":79.01,"space_path":["proc-campus-train-013-F2-S022","proc-campus-train-013-F2-S001","proc-campus-train-013-F2-S011","proc-campus-train-013-F3-S011","proc-campus-train-013-F3-S001","proc-campus-train-013-F3-S015"],"element_path":["proc-campus-train-013-F2-O0068","proc-campus-train-013-F2-O0068","proc-campus-train-013-F2-O0057","proc-campus-train-013-F2-O0057","proc-campus-train-013-V03","proc-campus-train-013-F3-O0081","proc-campus-train-013-F3-O0081","proc-campus-train-013-F3-O0085","proc-campus-train-013-F3-O0085"]},{"from_space_id":"proc-campus-train-013-F3-S015","to_space_id":"proc-campus-train-013-F3-S021","optimal_length_m":34.04,"space_path":["proc-campus-train-013-F3-S015","proc-campus-train-013-F3-S001","proc-campus-train-013-F3-S021"],"element_path":["proc-campus-train-013-F3-O0085","proc-campus-train-013-F3-O0085","proc-campus-train-013-F3-O0091","proc-campus-train-013-F3-O0091"]}]}</x:v>
      </x:c>
      <x:c r="O1912" s="6"/>
      <x:c r="P1912" s="6" t="str">
        <x:v>Preserve stated visit order. Do not optimize stop order.</x:v>
      </x:c>
      <x:c r="Q1912" s="15" t="n">
        <x:v>113.05</x:v>
      </x:c>
      <x:c r="R1912" s="6" t="str">
        <x:v>m</x:v>
      </x:c>
      <x:c r="S1912" s="16"/>
      <x:c r="T1912" s="15"/>
      <x:c r="U1912" s="6"/>
      <x:c r="V1912" s="6"/>
      <x:c r="W1912" s="6" t="str">
        <x:v>Existing find_route(via=[...]).</x:v>
      </x:c>
      <x:c r="X1912" s="6" t="str">
        <x:v>data/train/proc-campus-train-013/questions_basic.jsonl</x:v>
      </x:c>
      <x:c r="Y1912" s="14" t="n">
        <x:v>10</x:v>
      </x:c>
      <x:c r="Z1912" s="6" t="str">
        <x:v>https://github.com/hagenhaeussler/Industrial-Agents-Hackathon-2026/blob/f41616590b69f3ea0c1cbfb41d6c35edd9ce53df/data/train/proc-campus-train-013/questions_basic.jsonl#L10</x:v>
      </x:c>
      <x:c r="AA1912" s="6" t="str">
        <x:v>procedural</x:v>
      </x:c>
      <x:c r="AB1912" s="6" t="str">
        <x:v>CC0-1.0</x:v>
      </x:c>
    </x:row>
    <x:row r="1913" ht="264" customHeight="1">
      <x:c r="A1913" s="14" t="n">
        <x:v>1908</x:v>
      </x:c>
      <x:c r="B1913" s="6" t="str">
        <x:v>tour</x:v>
      </x:c>
      <x:c r="C1913" s="6" t="str">
        <x:v>Starting at Office 3.15 (Floor 3), visit Toilet 0.16 (Ground floor), then Office 2.20 (Floor 2) in this order. What is the route?</x:v>
      </x:c>
      <x:c r="D1913" s="6" t="str">
        <x:v>127.26 m total
Stops: Office 3.15 → Toilet 0.16 → Office 2.20
Leg lengths (m): 80.11, 47.15
Full paths are in Answer JSON.</x:v>
      </x:c>
      <x:c r="E1913" s="6" t="str">
        <x:v>Reference supplied</x:v>
      </x:c>
      <x:c r="F1913" s="6" t="str">
        <x:v>train</x:v>
      </x:c>
      <x:c r="G1913" s="6" t="str">
        <x:v>proc-campus-train-014</x:v>
      </x:c>
      <x:c r="H1913" s="6" t="str">
        <x:v>proc-campus-train-014-Q10</x:v>
      </x:c>
      <x:c r="I1913" s="6" t="str">
        <x:v>Route planning</x:v>
      </x:c>
      <x:c r="J1913" s="6" t="str">
        <x:v>Warm-up</x:v>
      </x:c>
      <x:c r="K1913" s="6" t="str">
        <x:v>Ordered stops, path for each leg and total metres.</x:v>
      </x:c>
      <x:c r="L1913" s="6" t="str">
        <x:v>T02, T05, T13</x:v>
      </x:c>
      <x:c r="M1913" s="6" t="str">
        <x:v>Visit multiple rooms in the order specified.</x:v>
      </x:c>
      <x:c r="N1913" s="6" t="str">
        <x:v>{"stops":["proc-campus-train-014-F3-S015","proc-campus-train-014-F0-S016","proc-campus-train-014-F2-S020"],"optimal_length_m":127.26,"legs":[{"from_space_id":"proc-campus-train-014-F3-S015","to_space_id":"proc-campus-train-014-F0-S016","optimal_length_m":80.11,"space_path":["proc-campus-train-014-F3-S015","proc-campus-train-014-F3-S001","proc-campus-train-014-F3-S008","proc-campus-train-014-F2-S008","proc-campus-train-014-F1-S008","proc-campus-train-014-F0-S005","proc-campus-train-014-F0-S001","proc-campus-train-014-F0-S016"],"element_path":["proc-campus-train-014-F3-O0088","proc-campus-train-014-F3-O0088","proc-campus-train-014-F3-O0081","proc-campus-train-014-F3-O0081","proc-campus-train-014-V01","proc-campus-train-014-V01","proc-campus-train-014-V01","proc-campus-train-014-F0-O0004","proc-campus-train-014-F0-O0004","proc-campus-train-014-F0-O0015","proc-campus-train-014-F0-O0015"]},{"from_space_id":"proc-campus-train-014-F0-S016","to_space_id":"proc-campus-train-014-F2-S020","optimal_length_m":47.15,"space_path":["proc-campus-train-014-F0-S016","proc-campus-train-014-F0-S001","proc-campus-train-014-F0-S005","proc-campus-train-014-F1-S008","proc-campus-train-014-F2-S008","proc-campus-train-014-F2-S001","proc-campus-train-014-F2-S020"],"element_path":["proc-campus-train-014-F0-O0015","proc-campus-train-014-F0-O0015","proc-campus-train-014-F0-O0004","proc-campus-train-014-F0-O0004","proc-campus-train-014-V01","proc-campus-train-014-V01","proc-campus-train-014-F2-O0056","proc-campus-train-014-F2-O0056","proc-campus-train-014-F2-O0068","proc-campus-train-014-F2-O0068"]}]}</x:v>
      </x:c>
      <x:c r="O1913" s="6"/>
      <x:c r="P1913" s="6" t="str">
        <x:v>Preserve stated visit order. Do not optimize stop order.</x:v>
      </x:c>
      <x:c r="Q1913" s="15" t="n">
        <x:v>127.26</x:v>
      </x:c>
      <x:c r="R1913" s="6" t="str">
        <x:v>m</x:v>
      </x:c>
      <x:c r="S1913" s="16"/>
      <x:c r="T1913" s="15"/>
      <x:c r="U1913" s="6"/>
      <x:c r="V1913" s="6"/>
      <x:c r="W1913" s="6" t="str">
        <x:v>Existing find_route(via=[...]).</x:v>
      </x:c>
      <x:c r="X1913" s="6" t="str">
        <x:v>data/train/proc-campus-train-014/questions_basic.jsonl</x:v>
      </x:c>
      <x:c r="Y1913" s="14" t="n">
        <x:v>10</x:v>
      </x:c>
      <x:c r="Z1913" s="6" t="str">
        <x:v>https://github.com/hagenhaeussler/Industrial-Agents-Hackathon-2026/blob/f41616590b69f3ea0c1cbfb41d6c35edd9ce53df/data/train/proc-campus-train-014/questions_basic.jsonl#L10</x:v>
      </x:c>
      <x:c r="AA1913" s="6" t="str">
        <x:v>procedural</x:v>
      </x:c>
      <x:c r="AB1913" s="6" t="str">
        <x:v>CC0-1.0</x:v>
      </x:c>
    </x:row>
    <x:row r="1914" ht="236" customHeight="1">
      <x:c r="A1914" s="14" t="n">
        <x:v>1909</x:v>
      </x:c>
      <x:c r="B1914" s="6" t="str">
        <x:v>tour</x:v>
      </x:c>
      <x:c r="C1914" s="6" t="str">
        <x:v>Starting at Office 2.24 (Floor 2), visit Office 1.02 (Floor 1), then Seminar room 2.21 (Floor 2) in this order. What is the route?</x:v>
      </x:c>
      <x:c r="D1914" s="6" t="str">
        <x:v>175.65 m total
Stops: Office 2.24 → Office 1.02 → Seminar room 2.21
Leg lengths (m): 96.42, 79.23
Full paths are in Answer JSON.</x:v>
      </x:c>
      <x:c r="E1914" s="6" t="str">
        <x:v>Reference supplied</x:v>
      </x:c>
      <x:c r="F1914" s="6" t="str">
        <x:v>train</x:v>
      </x:c>
      <x:c r="G1914" s="6" t="str">
        <x:v>proc-campus-train-016</x:v>
      </x:c>
      <x:c r="H1914" s="6" t="str">
        <x:v>proc-campus-train-016-Q10</x:v>
      </x:c>
      <x:c r="I1914" s="6" t="str">
        <x:v>Route planning</x:v>
      </x:c>
      <x:c r="J1914" s="6" t="str">
        <x:v>Warm-up</x:v>
      </x:c>
      <x:c r="K1914" s="6" t="str">
        <x:v>Ordered stops, path for each leg and total metres.</x:v>
      </x:c>
      <x:c r="L1914" s="6" t="str">
        <x:v>T02, T05, T13</x:v>
      </x:c>
      <x:c r="M1914" s="6" t="str">
        <x:v>Visit multiple rooms in the order specified.</x:v>
      </x:c>
      <x:c r="N1914" s="6" t="str">
        <x:v>{"stops":["proc-campus-train-016-F2-S024","proc-campus-train-016-F1-S002","proc-campus-train-016-F2-S021"],"optimal_length_m":175.65,"legs":[{"from_space_id":"proc-campus-train-016-F2-S024","to_space_id":"proc-campus-train-016-F1-S002","optimal_length_m":96.42,"space_path":["proc-campus-train-016-F2-S024","proc-campus-train-016-F2-S001","proc-campus-train-016-F2-S011","proc-campus-train-016-F1-S011","proc-campus-train-016-F1-S001","proc-campus-train-016-F1-S002"],"element_path":["proc-campus-train-016-F2-O0070","proc-campus-train-016-F2-O0070","proc-campus-train-016-F2-O0057","proc-campus-train-016-F2-O0057","proc-campus-train-016-V03","proc-campus-train-016-F1-O0033","proc-campus-train-016-F1-O0033","proc-campus-train-016-F1-O0024","proc-campus-train-016-F1-O0024"]},{"from_space_id":"proc-campus-train-016-F1-S002","to_space_id":"proc-campus-train-016-F2-S021","optimal_length_m":79.23,"space_path":["proc-campus-train-016-F1-S002","proc-campus-train-016-F1-S001","proc-campus-train-016-F1-S011","proc-campus-train-016-F2-S011","proc-campus-train-016-F2-S001","proc-campus-train-016-F2-S021"],"element_path":["proc-campus-train-016-F1-O0024","proc-campus-train-016-F1-O0024","proc-campus-train-016-F1-O0033","proc-campus-train-016-F1-O0033","proc-campus-train-016-V03","proc-campus-train-016-F2-O0057","proc-campus-train-016-F2-O0057","proc-campus-train-016-F2-O0067","proc-campus-train-016-F2-O0067"]}]}</x:v>
      </x:c>
      <x:c r="O1914" s="6"/>
      <x:c r="P1914" s="6" t="str">
        <x:v>Preserve stated visit order. Do not optimize stop order.</x:v>
      </x:c>
      <x:c r="Q1914" s="15" t="n">
        <x:v>175.65</x:v>
      </x:c>
      <x:c r="R1914" s="6" t="str">
        <x:v>m</x:v>
      </x:c>
      <x:c r="S1914" s="16"/>
      <x:c r="T1914" s="15"/>
      <x:c r="U1914" s="6"/>
      <x:c r="V1914" s="6"/>
      <x:c r="W1914" s="6" t="str">
        <x:v>Existing find_route(via=[...]).</x:v>
      </x:c>
      <x:c r="X1914" s="6" t="str">
        <x:v>data/train/proc-campus-train-016/questions_basic.jsonl</x:v>
      </x:c>
      <x:c r="Y1914" s="14" t="n">
        <x:v>10</x:v>
      </x:c>
      <x:c r="Z1914" s="6" t="str">
        <x:v>https://github.com/hagenhaeussler/Industrial-Agents-Hackathon-2026/blob/f41616590b69f3ea0c1cbfb41d6c35edd9ce53df/data/train/proc-campus-train-016/questions_basic.jsonl#L10</x:v>
      </x:c>
      <x:c r="AA1914" s="6" t="str">
        <x:v>procedural</x:v>
      </x:c>
      <x:c r="AB1914" s="6" t="str">
        <x:v>CC0-1.0</x:v>
      </x:c>
    </x:row>
    <x:row r="1915" ht="236" customHeight="1">
      <x:c r="A1915" s="14" t="n">
        <x:v>1910</x:v>
      </x:c>
      <x:c r="B1915" s="6" t="str">
        <x:v>tour</x:v>
      </x:c>
      <x:c r="C1915" s="6" t="str">
        <x:v>Starting at Lab 0.14 (Ground floor), visit Meeting room 1.17 (Floor 1), then Lab 2.20 (Floor 2) in this order. What is the route?</x:v>
      </x:c>
      <x:c r="D1915" s="6" t="str">
        <x:v>79.84 m total
Stops: Lab 0.14 → Meeting room 1.17 → Lab 2.20
Leg lengths (m): 34.77, 45.07
Full paths are in Answer JSON.</x:v>
      </x:c>
      <x:c r="E1915" s="6" t="str">
        <x:v>Reference supplied</x:v>
      </x:c>
      <x:c r="F1915" s="6" t="str">
        <x:v>train</x:v>
      </x:c>
      <x:c r="G1915" s="6" t="str">
        <x:v>proc-campus-train-019</x:v>
      </x:c>
      <x:c r="H1915" s="6" t="str">
        <x:v>proc-campus-train-019-Q10</x:v>
      </x:c>
      <x:c r="I1915" s="6" t="str">
        <x:v>Route planning</x:v>
      </x:c>
      <x:c r="J1915" s="6" t="str">
        <x:v>Warm-up</x:v>
      </x:c>
      <x:c r="K1915" s="6" t="str">
        <x:v>Ordered stops, path for each leg and total metres.</x:v>
      </x:c>
      <x:c r="L1915" s="6" t="str">
        <x:v>T02, T05, T13</x:v>
      </x:c>
      <x:c r="M1915" s="6" t="str">
        <x:v>Visit multiple rooms in the order specified.</x:v>
      </x:c>
      <x:c r="N1915" s="6" t="str">
        <x:v>{"stops":["proc-campus-train-019-F0-S014","proc-campus-train-019-F1-S017","proc-campus-train-019-F2-S020"],"optimal_length_m":79.84,"legs":[{"from_space_id":"proc-campus-train-019-F0-S014","to_space_id":"proc-campus-train-019-F1-S017","optimal_length_m":34.77,"space_path":["proc-campus-train-019-F0-S014","proc-campus-train-019-F0-S001","proc-campus-train-019-F0-S006","proc-campus-train-019-F1-S006","proc-campus-train-019-F1-S001","proc-campus-train-019-F1-S017"],"element_path":["proc-campus-train-019-F0-O0013","proc-campus-train-019-F0-O0013","proc-campus-train-019-F0-O0005","proc-campus-train-019-F0-O0005","proc-campus-train-019-V01","proc-campus-train-019-F1-O0025","proc-campus-train-019-F1-O0025","proc-campus-train-019-F1-O0036","proc-campus-train-019-F1-O0036"]},{"from_space_id":"proc-campus-train-019-F1-S017","to_space_id":"proc-campus-train-019-F2-S020","optimal_length_m":45.07,"space_path":["proc-campus-train-019-F1-S017","proc-campus-train-019-F1-S001","proc-campus-train-019-F1-S006","proc-campus-train-019-F2-S006","proc-campus-train-019-F2-S001","proc-campus-train-019-F2-S020"],"element_path":["proc-campus-train-019-F1-O0036","proc-campus-train-019-F1-O0036","proc-campus-train-019-F1-O0025","proc-campus-train-019-F1-O0025","proc-campus-train-019-V01","proc-campus-train-019-F2-O0046","proc-campus-train-019-F2-O0046","proc-campus-train-019-F2-O0060","proc-campus-train-019-F2-O0060"]}]}</x:v>
      </x:c>
      <x:c r="O1915" s="6"/>
      <x:c r="P1915" s="6" t="str">
        <x:v>Preserve stated visit order. Do not optimize stop order.</x:v>
      </x:c>
      <x:c r="Q1915" s="15" t="n">
        <x:v>79.84</x:v>
      </x:c>
      <x:c r="R1915" s="6" t="str">
        <x:v>m</x:v>
      </x:c>
      <x:c r="S1915" s="16"/>
      <x:c r="T1915" s="15"/>
      <x:c r="U1915" s="6"/>
      <x:c r="V1915" s="6"/>
      <x:c r="W1915" s="6" t="str">
        <x:v>Existing find_route(via=[...]).</x:v>
      </x:c>
      <x:c r="X1915" s="6" t="str">
        <x:v>data/train/proc-campus-train-019/questions_basic.jsonl</x:v>
      </x:c>
      <x:c r="Y1915" s="14" t="n">
        <x:v>10</x:v>
      </x:c>
      <x:c r="Z1915" s="6" t="str">
        <x:v>https://github.com/hagenhaeussler/Industrial-Agents-Hackathon-2026/blob/f41616590b69f3ea0c1cbfb41d6c35edd9ce53df/data/train/proc-campus-train-019/questions_basic.jsonl#L10</x:v>
      </x:c>
      <x:c r="AA1915" s="6" t="str">
        <x:v>procedural</x:v>
      </x:c>
      <x:c r="AB1915" s="6" t="str">
        <x:v>CC0-1.0</x:v>
      </x:c>
    </x:row>
    <x:row r="1916" ht="166" customHeight="1">
      <x:c r="A1916" s="14" t="n">
        <x:v>1911</x:v>
      </x:c>
      <x:c r="B1916" s="6" t="str">
        <x:v>tour</x:v>
      </x:c>
      <x:c r="C1916" s="6" t="str">
        <x:v>Starting at Server room 0.28 (Ground floor), visit Server room 0.32 (Ground floor), then Kitchen 0.23 (Ground floor) in this order. What is the route?</x:v>
      </x:c>
      <x:c r="D1916" s="6" t="str">
        <x:v>55.61 m total
Stops: Server room 0.28 → Server room 0.32 → Kitchen 0.23
Leg lengths (m): 22.08, 33.53
Full paths are in Answer JSON.</x:v>
      </x:c>
      <x:c r="E1916" s="6" t="str">
        <x:v>Reference supplied</x:v>
      </x:c>
      <x:c r="F1916" s="6" t="str">
        <x:v>train</x:v>
      </x:c>
      <x:c r="G1916" s="6" t="str">
        <x:v>proc-factory-train-005</x:v>
      </x:c>
      <x:c r="H1916" s="6" t="str">
        <x:v>proc-factory-train-005-Q10</x:v>
      </x:c>
      <x:c r="I1916" s="6" t="str">
        <x:v>Route planning</x:v>
      </x:c>
      <x:c r="J1916" s="6" t="str">
        <x:v>Warm-up</x:v>
      </x:c>
      <x:c r="K1916" s="6" t="str">
        <x:v>Ordered stops, path for each leg and total metres.</x:v>
      </x:c>
      <x:c r="L1916" s="6" t="str">
        <x:v>T02, T05, T13</x:v>
      </x:c>
      <x:c r="M1916" s="6" t="str">
        <x:v>Visit multiple rooms in the order specified.</x:v>
      </x:c>
      <x:c r="N1916" s="6" t="str">
        <x:v>{"stops":["proc-factory-train-005-F0-S028","proc-factory-train-005-F0-S032","proc-factory-train-005-F0-S023"],"optimal_length_m":55.61,"legs":[{"from_space_id":"proc-factory-train-005-F0-S028","to_space_id":"proc-factory-train-005-F0-S032","optimal_length_m":22.08,"space_path":["proc-factory-train-005-F0-S028","proc-factory-train-005-F0-S013","proc-factory-train-005-F0-S032"],"element_path":["proc-factory-train-005-F0-O0030","proc-factory-train-005-F0-O0030","proc-factory-train-005-F0-O0034","proc-factory-train-005-F0-O0034"]},{"from_space_id":"proc-factory-train-005-F0-S032","to_space_id":"proc-factory-train-005-F0-S023","optimal_length_m":33.53,"space_path":["proc-factory-train-005-F0-S032","proc-factory-train-005-F0-S013","proc-factory-train-005-F0-S023"],"element_path":["proc-factory-train-005-F0-O0034","proc-factory-train-005-F0-O0034","proc-factory-train-005-F0-O0024","proc-factory-train-005-F0-O0024"]}]}</x:v>
      </x:c>
      <x:c r="O1916" s="6"/>
      <x:c r="P1916" s="6" t="str">
        <x:v>Preserve stated visit order. Do not optimize stop order.</x:v>
      </x:c>
      <x:c r="Q1916" s="15" t="n">
        <x:v>55.61</x:v>
      </x:c>
      <x:c r="R1916" s="6" t="str">
        <x:v>m</x:v>
      </x:c>
      <x:c r="S1916" s="16"/>
      <x:c r="T1916" s="15"/>
      <x:c r="U1916" s="6"/>
      <x:c r="V1916" s="6"/>
      <x:c r="W1916" s="6" t="str">
        <x:v>Existing find_route(via=[...]).</x:v>
      </x:c>
      <x:c r="X1916" s="6" t="str">
        <x:v>data/train/proc-factory-train-005/questions_basic.jsonl</x:v>
      </x:c>
      <x:c r="Y1916" s="14" t="n">
        <x:v>10</x:v>
      </x:c>
      <x:c r="Z1916" s="6" t="str">
        <x:v>https://github.com/hagenhaeussler/Industrial-Agents-Hackathon-2026/blob/f41616590b69f3ea0c1cbfb41d6c35edd9ce53df/data/train/proc-factory-train-005/questions_basic.jsonl#L10</x:v>
      </x:c>
      <x:c r="AA1916" s="6" t="str">
        <x:v>procedural</x:v>
      </x:c>
      <x:c r="AB1916" s="6" t="str">
        <x:v>CC0-1.0</x:v>
      </x:c>
    </x:row>
    <x:row r="1917" ht="194" customHeight="1">
      <x:c r="A1917" s="14" t="n">
        <x:v>1912</x:v>
      </x:c>
      <x:c r="B1917" s="6" t="str">
        <x:v>tour</x:v>
      </x:c>
      <x:c r="C1917" s="6" t="str">
        <x:v>Starting at Office 1.14 (Floor 1), visit Meeting room 0.16 (Ground floor), then Quality lab 0.24 (Ground floor) in this order. What is the route?</x:v>
      </x:c>
      <x:c r="D1917" s="6" t="str">
        <x:v>79.44 m total
Stops: Office 1.14 → Meeting room 0.16 → Quality lab 0.24
Leg lengths (m): 58.88, 20.56
Full paths are in Answer JSON.</x:v>
      </x:c>
      <x:c r="E1917" s="6" t="str">
        <x:v>Reference supplied</x:v>
      </x:c>
      <x:c r="F1917" s="6" t="str">
        <x:v>train</x:v>
      </x:c>
      <x:c r="G1917" s="6" t="str">
        <x:v>proc-factory-train-006</x:v>
      </x:c>
      <x:c r="H1917" s="6" t="str">
        <x:v>proc-factory-train-006-Q10</x:v>
      </x:c>
      <x:c r="I1917" s="6" t="str">
        <x:v>Route planning</x:v>
      </x:c>
      <x:c r="J1917" s="6" t="str">
        <x:v>Warm-up</x:v>
      </x:c>
      <x:c r="K1917" s="6" t="str">
        <x:v>Ordered stops, path for each leg and total metres.</x:v>
      </x:c>
      <x:c r="L1917" s="6" t="str">
        <x:v>T02, T05, T13</x:v>
      </x:c>
      <x:c r="M1917" s="6" t="str">
        <x:v>Visit multiple rooms in the order specified.</x:v>
      </x:c>
      <x:c r="N1917" s="6" t="str">
        <x:v>{"stops":["proc-factory-train-006-F1-S014","proc-factory-train-006-F0-S016","proc-factory-train-006-F0-S024"],"optimal_length_m":79.44,"legs":[{"from_space_id":"proc-factory-train-006-F1-S014","to_space_id":"proc-factory-train-006-F0-S016","optimal_length_m":58.88,"space_path":["proc-factory-train-006-F1-S014","proc-factory-train-006-F1-S001","proc-factory-train-006-F1-S002","proc-factory-train-006-F0-S011","proc-factory-train-006-F0-S010","proc-factory-train-006-F0-S016"],"element_path":["proc-factory-train-006-F1-O0043","proc-factory-train-006-F1-O0043","proc-factory-train-006-F1-O0031","proc-factory-train-006-F1-O0031","proc-factory-train-006-V01","proc-factory-train-006-F0-O0014","proc-factory-train-006-F0-O0014","proc-factory-train-006-F0-O0020","proc-factory-train-006-F0-O0020"]},{"from_space_id":"proc-factory-train-006-F0-S016","to_space_id":"proc-factory-train-006-F0-S024","optimal_length_m":20.56,"space_path":["proc-factory-train-006-F0-S016","proc-factory-train-006-F0-S010","proc-factory-train-006-F0-S024"],"element_path":["proc-factory-train-006-F0-O0020","proc-factory-train-006-F0-O0020","proc-factory-train-006-F0-O0029","proc-factory-train-006-F0-O0029"]}]}</x:v>
      </x:c>
      <x:c r="O1917" s="6"/>
      <x:c r="P1917" s="6" t="str">
        <x:v>Preserve stated visit order. Do not optimize stop order.</x:v>
      </x:c>
      <x:c r="Q1917" s="15" t="n">
        <x:v>79.44</x:v>
      </x:c>
      <x:c r="R1917" s="6" t="str">
        <x:v>m</x:v>
      </x:c>
      <x:c r="S1917" s="16"/>
      <x:c r="T1917" s="15"/>
      <x:c r="U1917" s="6"/>
      <x:c r="V1917" s="6"/>
      <x:c r="W1917" s="6" t="str">
        <x:v>Existing find_route(via=[...]).</x:v>
      </x:c>
      <x:c r="X1917" s="6" t="str">
        <x:v>data/train/proc-factory-train-006/questions_basic.jsonl</x:v>
      </x:c>
      <x:c r="Y1917" s="14" t="n">
        <x:v>10</x:v>
      </x:c>
      <x:c r="Z1917" s="6" t="str">
        <x:v>https://github.com/hagenhaeussler/Industrial-Agents-Hackathon-2026/blob/f41616590b69f3ea0c1cbfb41d6c35edd9ce53df/data/train/proc-factory-train-006/questions_basic.jsonl#L10</x:v>
      </x:c>
      <x:c r="AA1917" s="6" t="str">
        <x:v>procedural</x:v>
      </x:c>
      <x:c r="AB1917" s="6" t="str">
        <x:v>CC0-1.0</x:v>
      </x:c>
    </x:row>
    <x:row r="1918" ht="236" customHeight="1">
      <x:c r="A1918" s="14" t="n">
        <x:v>1913</x:v>
      </x:c>
      <x:c r="B1918" s="6" t="str">
        <x:v>tour</x:v>
      </x:c>
      <x:c r="C1918" s="6" t="str">
        <x:v>Starting at Kitchen 0.17 (Ground floor), visit Office 1.20 (Floor 1), then Meeting room 0.28 (Ground floor) in this order. What is the route?</x:v>
      </x:c>
      <x:c r="D1918" s="6" t="str">
        <x:v>164.92 m total
Stops: Kitchen 0.17 → Office 1.20 → Meeting room 0.28
Leg lengths (m): 88.75, 76.17
Full paths are in Answer JSON.</x:v>
      </x:c>
      <x:c r="E1918" s="6" t="str">
        <x:v>Reference supplied</x:v>
      </x:c>
      <x:c r="F1918" s="6" t="str">
        <x:v>train</x:v>
      </x:c>
      <x:c r="G1918" s="6" t="str">
        <x:v>proc-factory-train-007</x:v>
      </x:c>
      <x:c r="H1918" s="6" t="str">
        <x:v>proc-factory-train-007-Q10</x:v>
      </x:c>
      <x:c r="I1918" s="6" t="str">
        <x:v>Route planning</x:v>
      </x:c>
      <x:c r="J1918" s="6" t="str">
        <x:v>Warm-up</x:v>
      </x:c>
      <x:c r="K1918" s="6" t="str">
        <x:v>Ordered stops, path for each leg and total metres.</x:v>
      </x:c>
      <x:c r="L1918" s="6" t="str">
        <x:v>T02, T05, T13</x:v>
      </x:c>
      <x:c r="M1918" s="6" t="str">
        <x:v>Visit multiple rooms in the order specified.</x:v>
      </x:c>
      <x:c r="N1918" s="6" t="str">
        <x:v>{"stops":["proc-factory-train-007-F0-S017","proc-factory-train-007-F1-S020","proc-factory-train-007-F0-S028"],"optimal_length_m":164.92,"legs":[{"from_space_id":"proc-factory-train-007-F0-S017","to_space_id":"proc-factory-train-007-F1-S020","optimal_length_m":88.75,"space_path":["proc-factory-train-007-F0-S017","proc-factory-train-007-F0-S013","proc-factory-train-007-F0-S014","proc-factory-train-007-F1-S002","proc-factory-train-007-F1-S001","proc-factory-train-007-F1-S020"],"element_path":["proc-factory-train-007-F0-O0021","proc-factory-train-007-F0-O0021","proc-factory-train-007-F0-O0017","proc-factory-train-007-F0-O0017","proc-factory-train-007-V01","proc-factory-train-007-F1-O0040","proc-factory-train-007-F1-O0040","proc-factory-train-007-F1-O0058","proc-factory-train-007-F1-O0058"]},{"from_space_id":"proc-factory-train-007-F1-S020","to_space_id":"proc-factory-train-007-F0-S028","optimal_length_m":76.17,"space_path":["proc-factory-train-007-F1-S020","proc-factory-train-007-F1-S001","proc-factory-train-007-F1-S002","proc-factory-train-007-F0-S014","proc-factory-train-007-F0-S013","proc-factory-train-007-F0-S028"],"element_path":["proc-factory-train-007-F1-O0058","proc-factory-train-007-F1-O0058","proc-factory-train-007-F1-O0040","proc-factory-train-007-F1-O0040","proc-factory-train-007-V01","proc-factory-train-007-F0-O0017","proc-factory-train-007-F0-O0017","proc-factory-train-007-F0-O0033","proc-factory-train-007-F0-O0033"]}]}</x:v>
      </x:c>
      <x:c r="O1918" s="6"/>
      <x:c r="P1918" s="6" t="str">
        <x:v>Preserve stated visit order. Do not optimize stop order.</x:v>
      </x:c>
      <x:c r="Q1918" s="15" t="n">
        <x:v>164.92</x:v>
      </x:c>
      <x:c r="R1918" s="6" t="str">
        <x:v>m</x:v>
      </x:c>
      <x:c r="S1918" s="16"/>
      <x:c r="T1918" s="15"/>
      <x:c r="U1918" s="6"/>
      <x:c r="V1918" s="6"/>
      <x:c r="W1918" s="6" t="str">
        <x:v>Existing find_route(via=[...]).</x:v>
      </x:c>
      <x:c r="X1918" s="6" t="str">
        <x:v>data/train/proc-factory-train-007/questions_basic.jsonl</x:v>
      </x:c>
      <x:c r="Y1918" s="14" t="n">
        <x:v>10</x:v>
      </x:c>
      <x:c r="Z1918" s="6" t="str">
        <x:v>https://github.com/hagenhaeussler/Industrial-Agents-Hackathon-2026/blob/f41616590b69f3ea0c1cbfb41d6c35edd9ce53df/data/train/proc-factory-train-007/questions_basic.jsonl#L10</x:v>
      </x:c>
      <x:c r="AA1918" s="6" t="str">
        <x:v>procedural</x:v>
      </x:c>
      <x:c r="AB1918" s="6" t="str">
        <x:v>CC0-1.0</x:v>
      </x:c>
    </x:row>
    <x:row r="1919" ht="194" customHeight="1">
      <x:c r="A1919" s="14" t="n">
        <x:v>1914</x:v>
      </x:c>
      <x:c r="B1919" s="6" t="str">
        <x:v>tour</x:v>
      </x:c>
      <x:c r="C1919" s="6" t="str">
        <x:v>Starting at Office 0.15 (Ground floor), visit Kitchen 0.20 (Ground floor), then Office 1.12 (Floor 1) in this order. What is the route?</x:v>
      </x:c>
      <x:c r="D1919" s="6" t="str">
        <x:v>74.8 m total
Stops: Office 0.15 → Kitchen 0.20 → Office 1.12
Leg lengths (m): 15.33, 59.47
Full paths are in Answer JSON.</x:v>
      </x:c>
      <x:c r="E1919" s="6" t="str">
        <x:v>Reference supplied</x:v>
      </x:c>
      <x:c r="F1919" s="6" t="str">
        <x:v>train</x:v>
      </x:c>
      <x:c r="G1919" s="6" t="str">
        <x:v>proc-factory-train-008</x:v>
      </x:c>
      <x:c r="H1919" s="6" t="str">
        <x:v>proc-factory-train-008-Q10</x:v>
      </x:c>
      <x:c r="I1919" s="6" t="str">
        <x:v>Route planning</x:v>
      </x:c>
      <x:c r="J1919" s="6" t="str">
        <x:v>Warm-up</x:v>
      </x:c>
      <x:c r="K1919" s="6" t="str">
        <x:v>Ordered stops, path for each leg and total metres.</x:v>
      </x:c>
      <x:c r="L1919" s="6" t="str">
        <x:v>T02, T05, T13</x:v>
      </x:c>
      <x:c r="M1919" s="6" t="str">
        <x:v>Visit multiple rooms in the order specified.</x:v>
      </x:c>
      <x:c r="N1919" s="6" t="str">
        <x:v>{"stops":["proc-factory-train-008-F0-S015","proc-factory-train-008-F0-S020","proc-factory-train-008-F1-S012"],"optimal_length_m":74.8,"legs":[{"from_space_id":"proc-factory-train-008-F0-S015","to_space_id":"proc-factory-train-008-F0-S020","optimal_length_m":15.33,"space_path":["proc-factory-train-008-F0-S015","proc-factory-train-008-F0-S010","proc-factory-train-008-F0-S020"],"element_path":["proc-factory-train-008-F0-O0019","proc-factory-train-008-F0-O0019","proc-factory-train-008-F0-O0025","proc-factory-train-008-F0-O0025"]},{"from_space_id":"proc-factory-train-008-F0-S020","to_space_id":"proc-factory-train-008-F1-S012","optimal_length_m":59.47,"space_path":["proc-factory-train-008-F0-S020","proc-factory-train-008-F0-S010","proc-factory-train-008-F0-S011","proc-factory-train-008-F1-S002","proc-factory-train-008-F1-S001","proc-factory-train-008-F1-S012"],"element_path":["proc-factory-train-008-F0-O0025","proc-factory-train-008-F0-O0025","proc-factory-train-008-F0-O0014","proc-factory-train-008-F0-O0014","proc-factory-train-008-V01","proc-factory-train-008-F1-O0031","proc-factory-train-008-F1-O0031","proc-factory-train-008-F1-O0041","proc-factory-train-008-F1-O0041"]}]}</x:v>
      </x:c>
      <x:c r="O1919" s="6"/>
      <x:c r="P1919" s="6" t="str">
        <x:v>Preserve stated visit order. Do not optimize stop order.</x:v>
      </x:c>
      <x:c r="Q1919" s="15" t="n">
        <x:v>74.8</x:v>
      </x:c>
      <x:c r="R1919" s="6" t="str">
        <x:v>m</x:v>
      </x:c>
      <x:c r="S1919" s="16"/>
      <x:c r="T1919" s="15"/>
      <x:c r="U1919" s="6"/>
      <x:c r="V1919" s="6"/>
      <x:c r="W1919" s="6" t="str">
        <x:v>Existing find_route(via=[...]).</x:v>
      </x:c>
      <x:c r="X1919" s="6" t="str">
        <x:v>data/train/proc-factory-train-008/questions_basic.jsonl</x:v>
      </x:c>
      <x:c r="Y1919" s="14" t="n">
        <x:v>10</x:v>
      </x:c>
      <x:c r="Z1919" s="6" t="str">
        <x:v>https://github.com/hagenhaeussler/Industrial-Agents-Hackathon-2026/blob/f41616590b69f3ea0c1cbfb41d6c35edd9ce53df/data/train/proc-factory-train-008/questions_basic.jsonl#L10</x:v>
      </x:c>
      <x:c r="AA1919" s="6" t="str">
        <x:v>procedural</x:v>
      </x:c>
      <x:c r="AB1919" s="6" t="str">
        <x:v>CC0-1.0</x:v>
      </x:c>
    </x:row>
    <x:row r="1920" ht="194" customHeight="1">
      <x:c r="A1920" s="14" t="n">
        <x:v>1915</x:v>
      </x:c>
      <x:c r="B1920" s="6" t="str">
        <x:v>tour</x:v>
      </x:c>
      <x:c r="C1920" s="6" t="str">
        <x:v>Starting at Quality lab 0.33 (Ground floor), visit Server room 0.27 (Ground floor), then Office 1.24 (Floor 1) in this order. What is the route?</x:v>
      </x:c>
      <x:c r="D1920" s="6" t="str">
        <x:v>139.27 m total
Stops: Quality lab 0.33 → Server room 0.27 → Office 1.24
Leg lengths (m): 30.73, 108.54
Full paths are in Answer JSON.</x:v>
      </x:c>
      <x:c r="E1920" s="6" t="str">
        <x:v>Reference supplied</x:v>
      </x:c>
      <x:c r="F1920" s="6" t="str">
        <x:v>train</x:v>
      </x:c>
      <x:c r="G1920" s="6" t="str">
        <x:v>proc-factory-train-009</x:v>
      </x:c>
      <x:c r="H1920" s="6" t="str">
        <x:v>proc-factory-train-009-Q10</x:v>
      </x:c>
      <x:c r="I1920" s="6" t="str">
        <x:v>Route planning</x:v>
      </x:c>
      <x:c r="J1920" s="6" t="str">
        <x:v>Warm-up</x:v>
      </x:c>
      <x:c r="K1920" s="6" t="str">
        <x:v>Ordered stops, path for each leg and total metres.</x:v>
      </x:c>
      <x:c r="L1920" s="6" t="str">
        <x:v>T02, T05, T13</x:v>
      </x:c>
      <x:c r="M1920" s="6" t="str">
        <x:v>Visit multiple rooms in the order specified.</x:v>
      </x:c>
      <x:c r="N1920" s="6" t="str">
        <x:v>{"stops":["proc-factory-train-009-F0-S033","proc-factory-train-009-F0-S027","proc-factory-train-009-F1-S024"],"optimal_length_m":139.27,"legs":[{"from_space_id":"proc-factory-train-009-F0-S033","to_space_id":"proc-factory-train-009-F0-S027","optimal_length_m":30.73,"space_path":["proc-factory-train-009-F0-S033","proc-factory-train-009-F0-S013","proc-factory-train-009-F0-S027"],"element_path":["proc-factory-train-009-F0-O0038","proc-factory-train-009-F0-O0038","proc-factory-train-009-F0-O0032","proc-factory-train-009-F0-O0032"]},{"from_space_id":"proc-factory-train-009-F0-S027","to_space_id":"proc-factory-train-009-F1-S024","optimal_length_m":108.54,"space_path":["proc-factory-train-009-F0-S027","proc-factory-train-009-F0-S013","proc-factory-train-009-F0-S014","proc-factory-train-009-F1-S002","proc-factory-train-009-F1-S001","proc-factory-train-009-F1-S024"],"element_path":["proc-factory-train-009-F0-O0032","proc-factory-train-009-F0-O0032","proc-factory-train-009-F0-O0017","proc-factory-train-009-F0-O0017","proc-factory-train-009-V01","proc-factory-train-009-F1-O0043","proc-factory-train-009-F1-O0043","proc-factory-train-009-F1-O0065","proc-factory-train-009-F1-O0065"]}]}</x:v>
      </x:c>
      <x:c r="O1920" s="6"/>
      <x:c r="P1920" s="6" t="str">
        <x:v>Preserve stated visit order. Do not optimize stop order.</x:v>
      </x:c>
      <x:c r="Q1920" s="15" t="n">
        <x:v>139.27</x:v>
      </x:c>
      <x:c r="R1920" s="6" t="str">
        <x:v>m</x:v>
      </x:c>
      <x:c r="S1920" s="16"/>
      <x:c r="T1920" s="15"/>
      <x:c r="U1920" s="6"/>
      <x:c r="V1920" s="6"/>
      <x:c r="W1920" s="6" t="str">
        <x:v>Existing find_route(via=[...]).</x:v>
      </x:c>
      <x:c r="X1920" s="6" t="str">
        <x:v>data/train/proc-factory-train-009/questions_basic.jsonl</x:v>
      </x:c>
      <x:c r="Y1920" s="14" t="n">
        <x:v>10</x:v>
      </x:c>
      <x:c r="Z1920" s="6" t="str">
        <x:v>https://github.com/hagenhaeussler/Industrial-Agents-Hackathon-2026/blob/f41616590b69f3ea0c1cbfb41d6c35edd9ce53df/data/train/proc-factory-train-009/questions_basic.jsonl#L10</x:v>
      </x:c>
      <x:c r="AA1920" s="6" t="str">
        <x:v>procedural</x:v>
      </x:c>
      <x:c r="AB1920" s="6" t="str">
        <x:v>CC0-1.0</x:v>
      </x:c>
    </x:row>
    <x:row r="1921" ht="166" customHeight="1">
      <x:c r="A1921" s="14" t="n">
        <x:v>1916</x:v>
      </x:c>
      <x:c r="B1921" s="6" t="str">
        <x:v>tour</x:v>
      </x:c>
      <x:c r="C1921" s="6" t="str">
        <x:v>Starting at Office 0.26 (Ground floor), visit Server room 0.16 (Ground floor), then Office 0.17 (Ground floor) in this order. What is the route?</x:v>
      </x:c>
      <x:c r="D1921" s="6" t="str">
        <x:v>26.25 m total
Stops: Office 0.26 → Server room 0.16 → Office 0.17
Leg lengths (m): 15.57, 10.68
Full paths are in Answer JSON.</x:v>
      </x:c>
      <x:c r="E1921" s="6" t="str">
        <x:v>Reference supplied</x:v>
      </x:c>
      <x:c r="F1921" s="6" t="str">
        <x:v>train</x:v>
      </x:c>
      <x:c r="G1921" s="6" t="str">
        <x:v>proc-factory-train-010</x:v>
      </x:c>
      <x:c r="H1921" s="6" t="str">
        <x:v>proc-factory-train-010-Q10</x:v>
      </x:c>
      <x:c r="I1921" s="6" t="str">
        <x:v>Route planning</x:v>
      </x:c>
      <x:c r="J1921" s="6" t="str">
        <x:v>Warm-up</x:v>
      </x:c>
      <x:c r="K1921" s="6" t="str">
        <x:v>Ordered stops, path for each leg and total metres.</x:v>
      </x:c>
      <x:c r="L1921" s="6" t="str">
        <x:v>T02, T05, T13</x:v>
      </x:c>
      <x:c r="M1921" s="6" t="str">
        <x:v>Visit multiple rooms in the order specified.</x:v>
      </x:c>
      <x:c r="N1921" s="6" t="str">
        <x:v>{"stops":["proc-factory-train-010-F0-S026","proc-factory-train-010-F0-S016","proc-factory-train-010-F0-S017"],"optimal_length_m":26.25,"legs":[{"from_space_id":"proc-factory-train-010-F0-S026","to_space_id":"proc-factory-train-010-F0-S016","optimal_length_m":15.57,"space_path":["proc-factory-train-010-F0-S026","proc-factory-train-010-F0-S010","proc-factory-train-010-F0-S016"],"element_path":["proc-factory-train-010-F0-O0029","proc-factory-train-010-F0-O0029","proc-factory-train-010-F0-O0018","proc-factory-train-010-F0-O0018"]},{"from_space_id":"proc-factory-train-010-F0-S016","to_space_id":"proc-factory-train-010-F0-S017","optimal_length_m":10.68,"space_path":["proc-factory-train-010-F0-S016","proc-factory-train-010-F0-S010","proc-factory-train-010-F0-S017"],"element_path":["proc-factory-train-010-F0-O0018","proc-factory-train-010-F0-O0018","proc-factory-train-010-F0-O0019","proc-factory-train-010-F0-O0019"]}]}</x:v>
      </x:c>
      <x:c r="O1921" s="6"/>
      <x:c r="P1921" s="6" t="str">
        <x:v>Preserve stated visit order. Do not optimize stop order.</x:v>
      </x:c>
      <x:c r="Q1921" s="15" t="n">
        <x:v>26.25</x:v>
      </x:c>
      <x:c r="R1921" s="6" t="str">
        <x:v>m</x:v>
      </x:c>
      <x:c r="S1921" s="16"/>
      <x:c r="T1921" s="15"/>
      <x:c r="U1921" s="6"/>
      <x:c r="V1921" s="6"/>
      <x:c r="W1921" s="6" t="str">
        <x:v>Existing find_route(via=[...]).</x:v>
      </x:c>
      <x:c r="X1921" s="6" t="str">
        <x:v>data/train/proc-factory-train-010/questions_basic.jsonl</x:v>
      </x:c>
      <x:c r="Y1921" s="14" t="n">
        <x:v>10</x:v>
      </x:c>
      <x:c r="Z1921" s="6" t="str">
        <x:v>https://github.com/hagenhaeussler/Industrial-Agents-Hackathon-2026/blob/f41616590b69f3ea0c1cbfb41d6c35edd9ce53df/data/train/proc-factory-train-010/questions_basic.jsonl#L10</x:v>
      </x:c>
      <x:c r="AA1921" s="6" t="str">
        <x:v>procedural</x:v>
      </x:c>
      <x:c r="AB1921" s="6" t="str">
        <x:v>CC0-1.0</x:v>
      </x:c>
    </x:row>
    <x:row r="1922" ht="194" customHeight="1">
      <x:c r="A1922" s="14" t="n">
        <x:v>1917</x:v>
      </x:c>
      <x:c r="B1922" s="6" t="str">
        <x:v>tour</x:v>
      </x:c>
      <x:c r="C1922" s="6" t="str">
        <x:v>Starting at Kitchen 1.06 (Floor 1), visit Server room 1.10 (Floor 1), then Server room 0.16 (Ground floor) in this order. What is the route?</x:v>
      </x:c>
      <x:c r="D1922" s="6" t="str">
        <x:v>99.61 m total
Stops: Kitchen 1.06 → Server room 1.10 → Server room 0.16
Leg lengths (m): 24.13, 75.48
Full paths are in Answer JSON.</x:v>
      </x:c>
      <x:c r="E1922" s="6" t="str">
        <x:v>Reference supplied</x:v>
      </x:c>
      <x:c r="F1922" s="6" t="str">
        <x:v>train</x:v>
      </x:c>
      <x:c r="G1922" s="6" t="str">
        <x:v>proc-factory-train-015</x:v>
      </x:c>
      <x:c r="H1922" s="6" t="str">
        <x:v>proc-factory-train-015-Q10</x:v>
      </x:c>
      <x:c r="I1922" s="6" t="str">
        <x:v>Route planning</x:v>
      </x:c>
      <x:c r="J1922" s="6" t="str">
        <x:v>Warm-up</x:v>
      </x:c>
      <x:c r="K1922" s="6" t="str">
        <x:v>Ordered stops, path for each leg and total metres.</x:v>
      </x:c>
      <x:c r="L1922" s="6" t="str">
        <x:v>T02, T05, T13</x:v>
      </x:c>
      <x:c r="M1922" s="6" t="str">
        <x:v>Visit multiple rooms in the order specified.</x:v>
      </x:c>
      <x:c r="N1922" s="6" t="str">
        <x:v>{"stops":["proc-factory-train-015-F1-S006","proc-factory-train-015-F1-S010","proc-factory-train-015-F0-S016"],"optimal_length_m":99.61,"legs":[{"from_space_id":"proc-factory-train-015-F1-S006","to_space_id":"proc-factory-train-015-F1-S010","optimal_length_m":24.13,"space_path":["proc-factory-train-015-F1-S006","proc-factory-train-015-F1-S001","proc-factory-train-015-F1-S010"],"element_path":["proc-factory-train-015-F1-O0038","proc-factory-train-015-F1-O0038","proc-factory-train-015-F1-O0042","proc-factory-train-015-F1-O0042"]},{"from_space_id":"proc-factory-train-015-F1-S010","to_space_id":"proc-factory-train-015-F0-S016","optimal_length_m":75.48,"space_path":["proc-factory-train-015-F1-S010","proc-factory-train-015-F1-S001","proc-factory-train-015-F1-S002","proc-factory-train-015-F0-S011","proc-factory-train-015-F0-S010","proc-factory-train-015-F0-S016"],"element_path":["proc-factory-train-015-F1-O0042","proc-factory-train-015-F1-O0042","proc-factory-train-015-F1-O0034","proc-factory-train-015-F1-O0034","proc-factory-train-015-V01","proc-factory-train-015-F0-O0012","proc-factory-train-015-F0-O0012","proc-factory-train-015-F0-O0018","proc-factory-train-015-F0-O0018"]}]}</x:v>
      </x:c>
      <x:c r="O1922" s="6"/>
      <x:c r="P1922" s="6" t="str">
        <x:v>Preserve stated visit order. Do not optimize stop order.</x:v>
      </x:c>
      <x:c r="Q1922" s="15" t="n">
        <x:v>99.61</x:v>
      </x:c>
      <x:c r="R1922" s="6" t="str">
        <x:v>m</x:v>
      </x:c>
      <x:c r="S1922" s="16"/>
      <x:c r="T1922" s="15"/>
      <x:c r="U1922" s="6"/>
      <x:c r="V1922" s="6"/>
      <x:c r="W1922" s="6" t="str">
        <x:v>Existing find_route(via=[...]).</x:v>
      </x:c>
      <x:c r="X1922" s="6" t="str">
        <x:v>data/train/proc-factory-train-015/questions_basic.jsonl</x:v>
      </x:c>
      <x:c r="Y1922" s="14" t="n">
        <x:v>10</x:v>
      </x:c>
      <x:c r="Z1922" s="6" t="str">
        <x:v>https://github.com/hagenhaeussler/Industrial-Agents-Hackathon-2026/blob/f41616590b69f3ea0c1cbfb41d6c35edd9ce53df/data/train/proc-factory-train-015/questions_basic.jsonl#L10</x:v>
      </x:c>
      <x:c r="AA1922" s="6" t="str">
        <x:v>procedural</x:v>
      </x:c>
      <x:c r="AB1922" s="6" t="str">
        <x:v>CC0-1.0</x:v>
      </x:c>
    </x:row>
    <x:row r="1923" ht="194" customHeight="1">
      <x:c r="A1923" s="14" t="n">
        <x:v>1918</x:v>
      </x:c>
      <x:c r="B1923" s="6" t="str">
        <x:v>tour</x:v>
      </x:c>
      <x:c r="C1923" s="6" t="str">
        <x:v>Starting at Locker room 0.21 (Ground floor), visit Office 1.05 (Floor 1), then Office 1.11 (Floor 1) in this order. What is the route?</x:v>
      </x:c>
      <x:c r="D1923" s="6" t="str">
        <x:v>72.5 m total
Stops: Locker room 0.21 → Office 1.05 → Office 1.11
Leg lengths (m): 57.87, 14.63
Full paths are in Answer JSON.</x:v>
      </x:c>
      <x:c r="E1923" s="6" t="str">
        <x:v>Reference supplied</x:v>
      </x:c>
      <x:c r="F1923" s="6" t="str">
        <x:v>train</x:v>
      </x:c>
      <x:c r="G1923" s="6" t="str">
        <x:v>proc-factory-train-017</x:v>
      </x:c>
      <x:c r="H1923" s="6" t="str">
        <x:v>proc-factory-train-017-Q10</x:v>
      </x:c>
      <x:c r="I1923" s="6" t="str">
        <x:v>Route planning</x:v>
      </x:c>
      <x:c r="J1923" s="6" t="str">
        <x:v>Warm-up</x:v>
      </x:c>
      <x:c r="K1923" s="6" t="str">
        <x:v>Ordered stops, path for each leg and total metres.</x:v>
      </x:c>
      <x:c r="L1923" s="6" t="str">
        <x:v>T02, T05, T13</x:v>
      </x:c>
      <x:c r="M1923" s="6" t="str">
        <x:v>Visit multiple rooms in the order specified.</x:v>
      </x:c>
      <x:c r="N1923" s="6" t="str">
        <x:v>{"stops":["proc-factory-train-017-F0-S021","proc-factory-train-017-F1-S005","proc-factory-train-017-F1-S011"],"optimal_length_m":72.5,"legs":[{"from_space_id":"proc-factory-train-017-F0-S021","to_space_id":"proc-factory-train-017-F1-S005","optimal_length_m":57.87,"space_path":["proc-factory-train-017-F0-S021","proc-factory-train-017-F0-S010","proc-factory-train-017-F0-S011","proc-factory-train-017-F1-S002","proc-factory-train-017-F1-S001","proc-factory-train-017-F1-S005"],"element_path":["proc-factory-train-017-F0-O0026","proc-factory-train-017-F0-O0026","proc-factory-train-017-F0-O0014","proc-factory-train-017-F0-O0014","proc-factory-train-017-V01","proc-factory-train-017-F1-O0028","proc-factory-train-017-F1-O0028","proc-factory-train-017-F1-O0031","proc-factory-train-017-F1-O0031"]},{"from_space_id":"proc-factory-train-017-F1-S005","to_space_id":"proc-factory-train-017-F1-S011","optimal_length_m":14.63,"space_path":["proc-factory-train-017-F1-S005","proc-factory-train-017-F1-S001","proc-factory-train-017-F1-S011"],"element_path":["proc-factory-train-017-F1-O0031","proc-factory-train-017-F1-O0031","proc-factory-train-017-F1-O0037","proc-factory-train-017-F1-O0037"]}]}</x:v>
      </x:c>
      <x:c r="O1923" s="6"/>
      <x:c r="P1923" s="6" t="str">
        <x:v>Preserve stated visit order. Do not optimize stop order.</x:v>
      </x:c>
      <x:c r="Q1923" s="15" t="n">
        <x:v>72.5</x:v>
      </x:c>
      <x:c r="R1923" s="6" t="str">
        <x:v>m</x:v>
      </x:c>
      <x:c r="S1923" s="16"/>
      <x:c r="T1923" s="15"/>
      <x:c r="U1923" s="6"/>
      <x:c r="V1923" s="6"/>
      <x:c r="W1923" s="6" t="str">
        <x:v>Existing find_route(via=[...]).</x:v>
      </x:c>
      <x:c r="X1923" s="6" t="str">
        <x:v>data/train/proc-factory-train-017/questions_basic.jsonl</x:v>
      </x:c>
      <x:c r="Y1923" s="14" t="n">
        <x:v>10</x:v>
      </x:c>
      <x:c r="Z1923" s="6" t="str">
        <x:v>https://github.com/hagenhaeussler/Industrial-Agents-Hackathon-2026/blob/f41616590b69f3ea0c1cbfb41d6c35edd9ce53df/data/train/proc-factory-train-017/questions_basic.jsonl#L10</x:v>
      </x:c>
      <x:c r="AA1923" s="6" t="str">
        <x:v>procedural</x:v>
      </x:c>
      <x:c r="AB1923" s="6" t="str">
        <x:v>CC0-1.0</x:v>
      </x:c>
    </x:row>
    <x:row r="1924" ht="194" customHeight="1">
      <x:c r="A1924" s="14" t="n">
        <x:v>1919</x:v>
      </x:c>
      <x:c r="B1924" s="6" t="str">
        <x:v>tour</x:v>
      </x:c>
      <x:c r="C1924" s="6" t="str">
        <x:v>Starting at Office 1.11 (Floor 1), visit Office 1.12 (Floor 1), then Kitchen 0.14 (Ground floor) in this order. What is the route?</x:v>
      </x:c>
      <x:c r="D1924" s="6" t="str">
        <x:v>91.32 m total
Stops: Office 1.11 → Office 1.12 → Kitchen 0.14
Leg lengths (m): 26.67, 64.65
Full paths are in Answer JSON.</x:v>
      </x:c>
      <x:c r="E1924" s="6" t="str">
        <x:v>Reference supplied</x:v>
      </x:c>
      <x:c r="F1924" s="6" t="str">
        <x:v>train</x:v>
      </x:c>
      <x:c r="G1924" s="6" t="str">
        <x:v>proc-factory-train-018</x:v>
      </x:c>
      <x:c r="H1924" s="6" t="str">
        <x:v>proc-factory-train-018-Q10</x:v>
      </x:c>
      <x:c r="I1924" s="6" t="str">
        <x:v>Route planning</x:v>
      </x:c>
      <x:c r="J1924" s="6" t="str">
        <x:v>Warm-up</x:v>
      </x:c>
      <x:c r="K1924" s="6" t="str">
        <x:v>Ordered stops, path for each leg and total metres.</x:v>
      </x:c>
      <x:c r="L1924" s="6" t="str">
        <x:v>T02, T05, T13</x:v>
      </x:c>
      <x:c r="M1924" s="6" t="str">
        <x:v>Visit multiple rooms in the order specified.</x:v>
      </x:c>
      <x:c r="N1924" s="6" t="str">
        <x:v>{"stops":["proc-factory-train-018-F1-S011","proc-factory-train-018-F1-S012","proc-factory-train-018-F0-S014"],"optimal_length_m":91.32,"legs":[{"from_space_id":"proc-factory-train-018-F1-S011","to_space_id":"proc-factory-train-018-F1-S012","optimal_length_m":26.67,"space_path":["proc-factory-train-018-F1-S011","proc-factory-train-018-F1-S001","proc-factory-train-018-F1-S012"],"element_path":["proc-factory-train-018-F1-O0042","proc-factory-train-018-F1-O0042","proc-factory-train-018-F1-O0043","proc-factory-train-018-F1-O0043"]},{"from_space_id":"proc-factory-train-018-F1-S012","to_space_id":"proc-factory-train-018-F0-S014","optimal_length_m":64.65,"space_path":["proc-factory-train-018-F1-S012","proc-factory-train-018-F1-S001","proc-factory-train-018-F1-S002","proc-factory-train-018-F0-S011","proc-factory-train-018-F0-S010","proc-factory-train-018-F0-S014"],"element_path":["proc-factory-train-018-F1-O0043","proc-factory-train-018-F1-O0043","proc-factory-train-018-F1-O0033","proc-factory-train-018-F1-O0033","proc-factory-train-018-V01","proc-factory-train-018-F0-O0014","proc-factory-train-018-F0-O0014","proc-factory-train-018-F0-O0018","proc-factory-train-018-F0-O0018"]}]}</x:v>
      </x:c>
      <x:c r="O1924" s="6"/>
      <x:c r="P1924" s="6" t="str">
        <x:v>Preserve stated visit order. Do not optimize stop order.</x:v>
      </x:c>
      <x:c r="Q1924" s="15" t="n">
        <x:v>91.32</x:v>
      </x:c>
      <x:c r="R1924" s="6" t="str">
        <x:v>m</x:v>
      </x:c>
      <x:c r="S1924" s="16"/>
      <x:c r="T1924" s="15"/>
      <x:c r="U1924" s="6"/>
      <x:c r="V1924" s="6"/>
      <x:c r="W1924" s="6" t="str">
        <x:v>Existing find_route(via=[...]).</x:v>
      </x:c>
      <x:c r="X1924" s="6" t="str">
        <x:v>data/train/proc-factory-train-018/questions_basic.jsonl</x:v>
      </x:c>
      <x:c r="Y1924" s="14" t="n">
        <x:v>10</x:v>
      </x:c>
      <x:c r="Z1924" s="6" t="str">
        <x:v>https://github.com/hagenhaeussler/Industrial-Agents-Hackathon-2026/blob/f41616590b69f3ea0c1cbfb41d6c35edd9ce53df/data/train/proc-factory-train-018/questions_basic.jsonl#L10</x:v>
      </x:c>
      <x:c r="AA1924" s="6" t="str">
        <x:v>procedural</x:v>
      </x:c>
      <x:c r="AB1924" s="6" t="str">
        <x:v>CC0-1.0</x:v>
      </x:c>
    </x:row>
    <x:row r="1925" ht="194" customHeight="1">
      <x:c r="A1925" s="14" t="n">
        <x:v>1920</x:v>
      </x:c>
      <x:c r="B1925" s="6" t="str">
        <x:v>tour</x:v>
      </x:c>
      <x:c r="C1925" s="6" t="str">
        <x:v>Starting at Toilet 0.21 (Ground floor), visit Office 1.09 (Floor 1), then Meeting room 1.04 (Floor 1) in this order. What is the route?</x:v>
      </x:c>
      <x:c r="D1925" s="6" t="str">
        <x:v>99.82 m total
Stops: Toilet 0.21 → Office 1.09 → Meeting room 1.04
Leg lengths (m): 69.16, 30.66
Full paths are in Answer JSON.</x:v>
      </x:c>
      <x:c r="E1925" s="6" t="str">
        <x:v>Reference supplied</x:v>
      </x:c>
      <x:c r="F1925" s="6" t="str">
        <x:v>train</x:v>
      </x:c>
      <x:c r="G1925" s="6" t="str">
        <x:v>proc-factory-train-020</x:v>
      </x:c>
      <x:c r="H1925" s="6" t="str">
        <x:v>proc-factory-train-020-Q10</x:v>
      </x:c>
      <x:c r="I1925" s="6" t="str">
        <x:v>Route planning</x:v>
      </x:c>
      <x:c r="J1925" s="6" t="str">
        <x:v>Warm-up</x:v>
      </x:c>
      <x:c r="K1925" s="6" t="str">
        <x:v>Ordered stops, path for each leg and total metres.</x:v>
      </x:c>
      <x:c r="L1925" s="6" t="str">
        <x:v>T02, T05, T13</x:v>
      </x:c>
      <x:c r="M1925" s="6" t="str">
        <x:v>Visit multiple rooms in the order specified.</x:v>
      </x:c>
      <x:c r="N1925" s="6" t="str">
        <x:v>{"stops":["proc-factory-train-020-F0-S021","proc-factory-train-020-F1-S009","proc-factory-train-020-F1-S004"],"optimal_length_m":99.82,"legs":[{"from_space_id":"proc-factory-train-020-F0-S021","to_space_id":"proc-factory-train-020-F1-S009","optimal_length_m":69.16,"space_path":["proc-factory-train-020-F0-S021","proc-factory-train-020-F0-S010","proc-factory-train-020-F0-S011","proc-factory-train-020-F1-S002","proc-factory-train-020-F1-S001","proc-factory-train-020-F1-S009"],"element_path":["proc-factory-train-020-F0-O0027","proc-factory-train-020-F0-O0027","proc-factory-train-020-F0-O0015","proc-factory-train-020-F0-O0015","proc-factory-train-020-V01","proc-factory-train-020-F1-O0033","proc-factory-train-020-F1-O0033","proc-factory-train-020-F1-O0040","proc-factory-train-020-F1-O0040"]},{"from_space_id":"proc-factory-train-020-F1-S009","to_space_id":"proc-factory-train-020-F1-S004","optimal_length_m":30.66,"space_path":["proc-factory-train-020-F1-S009","proc-factory-train-020-F1-S001","proc-factory-train-020-F1-S004"],"element_path":["proc-factory-train-020-F1-O0040","proc-factory-train-020-F1-O0040","proc-factory-train-020-F1-O0035","proc-factory-train-020-F1-O0035"]}]}</x:v>
      </x:c>
      <x:c r="O1925" s="6"/>
      <x:c r="P1925" s="6" t="str">
        <x:v>Preserve stated visit order. Do not optimize stop order.</x:v>
      </x:c>
      <x:c r="Q1925" s="15" t="n">
        <x:v>99.82</x:v>
      </x:c>
      <x:c r="R1925" s="6" t="str">
        <x:v>m</x:v>
      </x:c>
      <x:c r="S1925" s="16"/>
      <x:c r="T1925" s="15"/>
      <x:c r="U1925" s="6"/>
      <x:c r="V1925" s="6"/>
      <x:c r="W1925" s="6" t="str">
        <x:v>Existing find_route(via=[...]).</x:v>
      </x:c>
      <x:c r="X1925" s="6" t="str">
        <x:v>data/train/proc-factory-train-020/questions_basic.jsonl</x:v>
      </x:c>
      <x:c r="Y1925" s="14" t="n">
        <x:v>10</x:v>
      </x:c>
      <x:c r="Z1925" s="6" t="str">
        <x:v>https://github.com/hagenhaeussler/Industrial-Agents-Hackathon-2026/blob/f41616590b69f3ea0c1cbfb41d6c35edd9ce53df/data/train/proc-factory-train-020/questions_basic.jsonl#L10</x:v>
      </x:c>
      <x:c r="AA1925" s="6" t="str">
        <x:v>procedural</x:v>
      </x:c>
      <x:c r="AB1925" s="6" t="str">
        <x:v>CC0-1.0</x:v>
      </x:c>
    </x:row>
    <x:row r="1926" ht="110" customHeight="1">
      <x:c r="A1926" s="14" t="n">
        <x:v>1921</x:v>
      </x:c>
      <x:c r="B1926" s="6" t="str">
        <x:v>tour</x:v>
      </x:c>
      <x:c r="C1926" s="6" t="str">
        <x:v>Starting at Bathroom 0.04 (Ground floor), visit Living room 0.01 (Ground floor), then Bedroom 0.02 (Ground floor) in this order. What is the route?</x:v>
      </x:c>
      <x:c r="D1926" s="6" t="str">
        <x:v>15.05 m total
Stops: Bathroom 0.04 → Living room 0.01 → Bedroom 0.02
Leg lengths (m): 7.7, 7.35
Full paths are in Answer JSON.</x:v>
      </x:c>
      <x:c r="E1926" s="6" t="str">
        <x:v>Reference supplied</x:v>
      </x:c>
      <x:c r="F1926" s="6" t="str">
        <x:v>train</x:v>
      </x:c>
      <x:c r="G1926" s="6" t="str">
        <x:v>resplan-10002</x:v>
      </x:c>
      <x:c r="H1926" s="6" t="str">
        <x:v>resplan-10002-Q09</x:v>
      </x:c>
      <x:c r="I1926" s="6" t="str">
        <x:v>Route planning</x:v>
      </x:c>
      <x:c r="J1926" s="6" t="str">
        <x:v>Warm-up</x:v>
      </x:c>
      <x:c r="K1926" s="6" t="str">
        <x:v>Ordered stops, path for each leg and total metres.</x:v>
      </x:c>
      <x:c r="L1926" s="6" t="str">
        <x:v>T02, T05, T13</x:v>
      </x:c>
      <x:c r="M1926" s="6" t="str">
        <x:v>Visit multiple rooms in the order specified.</x:v>
      </x:c>
      <x:c r="N1926" s="6" t="str">
        <x:v>{"stops":["resplan-10002-F0-S004","resplan-10002-F0-S001","resplan-10002-F0-S002"],"optimal_length_m":15.05,"legs":[{"from_space_id":"resplan-10002-F0-S004","to_space_id":"resplan-10002-F0-S001","optimal_length_m":7.7,"space_path":["resplan-10002-F0-S004","resplan-10002-F0-S001"],"element_path":["resplan-10002-F0-O0005","resplan-10002-F0-O0005"]},{"from_space_id":"resplan-10002-F0-S001","to_space_id":"resplan-10002-F0-S002","optimal_length_m":7.35,"space_path":["resplan-10002-F0-S001","resplan-10002-F0-S002"],"element_path":["resplan-10002-F0-O0006","resplan-10002-F0-O0006"]}]}</x:v>
      </x:c>
      <x:c r="O1926" s="6"/>
      <x:c r="P1926" s="6" t="str">
        <x:v>Preserve stated visit order. Do not optimize stop order.</x:v>
      </x:c>
      <x:c r="Q1926" s="15" t="n">
        <x:v>15.05</x:v>
      </x:c>
      <x:c r="R1926" s="6" t="str">
        <x:v>m</x:v>
      </x:c>
      <x:c r="S1926" s="16"/>
      <x:c r="T1926" s="15"/>
      <x:c r="U1926" s="6"/>
      <x:c r="V1926" s="6"/>
      <x:c r="W1926" s="6" t="str">
        <x:v>Existing find_route(via=[...]).</x:v>
      </x:c>
      <x:c r="X1926" s="6" t="str">
        <x:v>data/train/resplan-10002/questions_basic.jsonl</x:v>
      </x:c>
      <x:c r="Y1926" s="14" t="n">
        <x:v>9</x:v>
      </x:c>
      <x:c r="Z1926" s="6" t="str">
        <x:v>https://github.com/hagenhaeussler/Industrial-Agents-Hackathon-2026/blob/f41616590b69f3ea0c1cbfb41d6c35edd9ce53df/data/train/resplan-10002/questions_basic.jsonl#L9</x:v>
      </x:c>
      <x:c r="AA1926" s="6" t="str">
        <x:v>resplan</x:v>
      </x:c>
      <x:c r="AB1926" s="6" t="str">
        <x:v>CC-BY-4.0</x:v>
      </x:c>
    </x:row>
    <x:row r="1927" ht="124" customHeight="1">
      <x:c r="A1927" s="14" t="n">
        <x:v>1922</x:v>
      </x:c>
      <x:c r="B1927" s="6" t="str">
        <x:v>tour</x:v>
      </x:c>
      <x:c r="C1927" s="6" t="str">
        <x:v>Starting at Bathroom 0.03 (Ground floor), visit Bedroom 0.02 (Ground floor), then Bathroom 0.04 (Ground floor) in this order. What is the route?</x:v>
      </x:c>
      <x:c r="D1927" s="6" t="str">
        <x:v>17.42 m total
Stops: Bathroom 0.03 → Bedroom 0.02 → Bathroom 0.04
Leg lengths (m): 8.39, 9.03
Full paths are in Answer JSON.</x:v>
      </x:c>
      <x:c r="E1927" s="6" t="str">
        <x:v>Reference supplied</x:v>
      </x:c>
      <x:c r="F1927" s="6" t="str">
        <x:v>train</x:v>
      </x:c>
      <x:c r="G1927" s="6" t="str">
        <x:v>resplan-10192</x:v>
      </x:c>
      <x:c r="H1927" s="6" t="str">
        <x:v>resplan-10192-Q09</x:v>
      </x:c>
      <x:c r="I1927" s="6" t="str">
        <x:v>Route planning</x:v>
      </x:c>
      <x:c r="J1927" s="6" t="str">
        <x:v>Warm-up</x:v>
      </x:c>
      <x:c r="K1927" s="6" t="str">
        <x:v>Ordered stops, path for each leg and total metres.</x:v>
      </x:c>
      <x:c r="L1927" s="6" t="str">
        <x:v>T02, T05, T13</x:v>
      </x:c>
      <x:c r="M1927" s="6" t="str">
        <x:v>Visit multiple rooms in the order specified.</x:v>
      </x:c>
      <x:c r="N1927" s="6" t="str">
        <x:v>{"stops":["resplan-10192-F0-S003","resplan-10192-F0-S002","resplan-10192-F0-S004"],"optimal_length_m":17.42,"legs":[{"from_space_id":"resplan-10192-F0-S003","to_space_id":"resplan-10192-F0-S002","optimal_length_m":8.39,"space_path":["resplan-10192-F0-S003","resplan-10192-F0-S001","resplan-10192-F0-S002"],"element_path":["resplan-10192-F0-O0002","resplan-10192-F0-O0002","resplan-10192-F0-O0001","resplan-10192-F0-O0001"]},{"from_space_id":"resplan-10192-F0-S002","to_space_id":"resplan-10192-F0-S004","optimal_length_m":9.03,"space_path":["resplan-10192-F0-S002","resplan-10192-F0-S001","resplan-10192-F0-S004"],"element_path":["resplan-10192-F0-O0001","resplan-10192-F0-O0001","resplan-10192-F0-O0003","resplan-10192-F0-O0003"]}]}</x:v>
      </x:c>
      <x:c r="O1927" s="6"/>
      <x:c r="P1927" s="6" t="str">
        <x:v>Preserve stated visit order. Do not optimize stop order.</x:v>
      </x:c>
      <x:c r="Q1927" s="15" t="n">
        <x:v>17.42</x:v>
      </x:c>
      <x:c r="R1927" s="6" t="str">
        <x:v>m</x:v>
      </x:c>
      <x:c r="S1927" s="16"/>
      <x:c r="T1927" s="15"/>
      <x:c r="U1927" s="6"/>
      <x:c r="V1927" s="6"/>
      <x:c r="W1927" s="6" t="str">
        <x:v>Existing find_route(via=[...]).</x:v>
      </x:c>
      <x:c r="X1927" s="6" t="str">
        <x:v>data/train/resplan-10192/questions_basic.jsonl</x:v>
      </x:c>
      <x:c r="Y1927" s="14" t="n">
        <x:v>9</x:v>
      </x:c>
      <x:c r="Z1927" s="6" t="str">
        <x:v>https://github.com/hagenhaeussler/Industrial-Agents-Hackathon-2026/blob/f41616590b69f3ea0c1cbfb41d6c35edd9ce53df/data/train/resplan-10192/questions_basic.jsonl#L9</x:v>
      </x:c>
      <x:c r="AA1927" s="6" t="str">
        <x:v>resplan</x:v>
      </x:c>
      <x:c r="AB1927" s="6" t="str">
        <x:v>CC-BY-4.0</x:v>
      </x:c>
    </x:row>
    <x:row r="1928" ht="138" customHeight="1">
      <x:c r="A1928" s="14" t="n">
        <x:v>1923</x:v>
      </x:c>
      <x:c r="B1928" s="6" t="str">
        <x:v>tour</x:v>
      </x:c>
      <x:c r="C1928" s="6" t="str">
        <x:v>Starting at Living room 0.01 (Ground floor), visit Kitchen 0.06 (Ground floor), then Bedroom 0.03 (Ground floor) in this order. What is the route?</x:v>
      </x:c>
      <x:c r="D1928" s="6" t="str">
        <x:v>20.7 m total
Stops: Living room 0.01 → Kitchen 0.06 → Bedroom 0.03
Leg lengths (m): 6.36, 14.34
Full paths are in Answer JSON.</x:v>
      </x:c>
      <x:c r="E1928" s="6" t="str">
        <x:v>Reference supplied</x:v>
      </x:c>
      <x:c r="F1928" s="6" t="str">
        <x:v>train</x:v>
      </x:c>
      <x:c r="G1928" s="6" t="str">
        <x:v>resplan-10428</x:v>
      </x:c>
      <x:c r="H1928" s="6" t="str">
        <x:v>resplan-10428-Q09</x:v>
      </x:c>
      <x:c r="I1928" s="6" t="str">
        <x:v>Route planning</x:v>
      </x:c>
      <x:c r="J1928" s="6" t="str">
        <x:v>Warm-up</x:v>
      </x:c>
      <x:c r="K1928" s="6" t="str">
        <x:v>Ordered stops, path for each leg and total metres.</x:v>
      </x:c>
      <x:c r="L1928" s="6" t="str">
        <x:v>T02, T05, T13</x:v>
      </x:c>
      <x:c r="M1928" s="6" t="str">
        <x:v>Visit multiple rooms in the order specified.</x:v>
      </x:c>
      <x:c r="N1928" s="6" t="str">
        <x:v>{"stops":["resplan-10428-F0-S001","resplan-10428-F0-S006","resplan-10428-F0-S003"],"optimal_length_m":20.7,"legs":[{"from_space_id":"resplan-10428-F0-S001","to_space_id":"resplan-10428-F0-S006","optimal_length_m":6.36,"space_path":["resplan-10428-F0-S001","resplan-10428-F0-S008","resplan-10428-F0-S006"],"element_path":["resplan-10428-F0-O0006","resplan-10428-F0-O0006","resplan-10428-F0-O0007","resplan-10428-F0-O0007"]},{"from_space_id":"resplan-10428-F0-S006","to_space_id":"resplan-10428-F0-S003","optimal_length_m":14.34,"space_path":["resplan-10428-F0-S006","resplan-10428-F0-S008","resplan-10428-F0-S001","resplan-10428-F0-S003"],"element_path":["resplan-10428-F0-O0007","resplan-10428-F0-O0007","resplan-10428-F0-O0006","resplan-10428-F0-O0006","resplan-10428-F0-O0002","resplan-10428-F0-O0002"]}]}</x:v>
      </x:c>
      <x:c r="O1928" s="6"/>
      <x:c r="P1928" s="6" t="str">
        <x:v>Preserve stated visit order. Do not optimize stop order.</x:v>
      </x:c>
      <x:c r="Q1928" s="15" t="n">
        <x:v>20.7</x:v>
      </x:c>
      <x:c r="R1928" s="6" t="str">
        <x:v>m</x:v>
      </x:c>
      <x:c r="S1928" s="16"/>
      <x:c r="T1928" s="15"/>
      <x:c r="U1928" s="6"/>
      <x:c r="V1928" s="6"/>
      <x:c r="W1928" s="6" t="str">
        <x:v>Existing find_route(via=[...]).</x:v>
      </x:c>
      <x:c r="X1928" s="6" t="str">
        <x:v>data/train/resplan-10428/questions_basic.jsonl</x:v>
      </x:c>
      <x:c r="Y1928" s="14" t="n">
        <x:v>9</x:v>
      </x:c>
      <x:c r="Z1928" s="6" t="str">
        <x:v>https://github.com/hagenhaeussler/Industrial-Agents-Hackathon-2026/blob/f41616590b69f3ea0c1cbfb41d6c35edd9ce53df/data/train/resplan-10428/questions_basic.jsonl#L9</x:v>
      </x:c>
      <x:c r="AA1928" s="6" t="str">
        <x:v>resplan</x:v>
      </x:c>
      <x:c r="AB1928" s="6" t="str">
        <x:v>CC-BY-4.0</x:v>
      </x:c>
    </x:row>
    <x:row r="1929" ht="124" customHeight="1">
      <x:c r="A1929" s="14" t="n">
        <x:v>1924</x:v>
      </x:c>
      <x:c r="B1929" s="6" t="str">
        <x:v>tour</x:v>
      </x:c>
      <x:c r="C1929" s="6" t="str">
        <x:v>Starting at Bedroom 0.02 (Ground floor), visit Kitchen 0.07 (Ground floor), then Bedroom 0.03 (Ground floor) in this order. What is the route?</x:v>
      </x:c>
      <x:c r="D1929" s="6" t="str">
        <x:v>21.45 m total
Stops: Bedroom 0.02 → Kitchen 0.07 → Bedroom 0.03
Leg lengths (m): 10.88, 10.57
Full paths are in Answer JSON.</x:v>
      </x:c>
      <x:c r="E1929" s="6" t="str">
        <x:v>Reference supplied</x:v>
      </x:c>
      <x:c r="F1929" s="6" t="str">
        <x:v>train</x:v>
      </x:c>
      <x:c r="G1929" s="6" t="str">
        <x:v>resplan-10504</x:v>
      </x:c>
      <x:c r="H1929" s="6" t="str">
        <x:v>resplan-10504-Q09</x:v>
      </x:c>
      <x:c r="I1929" s="6" t="str">
        <x:v>Route planning</x:v>
      </x:c>
      <x:c r="J1929" s="6" t="str">
        <x:v>Warm-up</x:v>
      </x:c>
      <x:c r="K1929" s="6" t="str">
        <x:v>Ordered stops, path for each leg and total metres.</x:v>
      </x:c>
      <x:c r="L1929" s="6" t="str">
        <x:v>T02, T05, T13</x:v>
      </x:c>
      <x:c r="M1929" s="6" t="str">
        <x:v>Visit multiple rooms in the order specified.</x:v>
      </x:c>
      <x:c r="N1929" s="6" t="str">
        <x:v>{"stops":["resplan-10504-F0-S002","resplan-10504-F0-S007","resplan-10504-F0-S003"],"optimal_length_m":21.45,"legs":[{"from_space_id":"resplan-10504-F0-S002","to_space_id":"resplan-10504-F0-S007","optimal_length_m":10.88,"space_path":["resplan-10504-F0-S002","resplan-10504-F0-S001","resplan-10504-F0-S007"],"element_path":["resplan-10504-F0-O0002","resplan-10504-F0-O0002","resplan-10504-F0-O0005","resplan-10504-F0-O0005"]},{"from_space_id":"resplan-10504-F0-S007","to_space_id":"resplan-10504-F0-S003","optimal_length_m":10.57,"space_path":["resplan-10504-F0-S007","resplan-10504-F0-S001","resplan-10504-F0-S003"],"element_path":["resplan-10504-F0-O0005","resplan-10504-F0-O0005","resplan-10504-F0-O0004","resplan-10504-F0-O0004"]}]}</x:v>
      </x:c>
      <x:c r="O1929" s="6"/>
      <x:c r="P1929" s="6" t="str">
        <x:v>Preserve stated visit order. Do not optimize stop order.</x:v>
      </x:c>
      <x:c r="Q1929" s="15" t="n">
        <x:v>21.45</x:v>
      </x:c>
      <x:c r="R1929" s="6" t="str">
        <x:v>m</x:v>
      </x:c>
      <x:c r="S1929" s="16"/>
      <x:c r="T1929" s="15"/>
      <x:c r="U1929" s="6"/>
      <x:c r="V1929" s="6"/>
      <x:c r="W1929" s="6" t="str">
        <x:v>Existing find_route(via=[...]).</x:v>
      </x:c>
      <x:c r="X1929" s="6" t="str">
        <x:v>data/train/resplan-10504/questions_basic.jsonl</x:v>
      </x:c>
      <x:c r="Y1929" s="14" t="n">
        <x:v>9</x:v>
      </x:c>
      <x:c r="Z1929" s="6" t="str">
        <x:v>https://github.com/hagenhaeussler/Industrial-Agents-Hackathon-2026/blob/f41616590b69f3ea0c1cbfb41d6c35edd9ce53df/data/train/resplan-10504/questions_basic.jsonl#L9</x:v>
      </x:c>
      <x:c r="AA1929" s="6" t="str">
        <x:v>resplan</x:v>
      </x:c>
      <x:c r="AB1929" s="6" t="str">
        <x:v>CC-BY-4.0</x:v>
      </x:c>
    </x:row>
    <x:row r="1930" ht="124" customHeight="1">
      <x:c r="A1930" s="14" t="n">
        <x:v>1925</x:v>
      </x:c>
      <x:c r="B1930" s="6" t="str">
        <x:v>tour</x:v>
      </x:c>
      <x:c r="C1930" s="6" t="str">
        <x:v>Starting at Bedroom 0.02 (Ground floor), visit Bathroom 0.04 (Ground floor), then Bedroom 0.03 (Ground floor) in this order. What is the route?</x:v>
      </x:c>
      <x:c r="D1930" s="6" t="str">
        <x:v>29.09 m total
Stops: Bedroom 0.02 → Bathroom 0.04 → Bedroom 0.03
Leg lengths (m): 16.6, 12.49
Full paths are in Answer JSON.</x:v>
      </x:c>
      <x:c r="E1930" s="6" t="str">
        <x:v>Reference supplied</x:v>
      </x:c>
      <x:c r="F1930" s="6" t="str">
        <x:v>train</x:v>
      </x:c>
      <x:c r="G1930" s="6" t="str">
        <x:v>resplan-10650</x:v>
      </x:c>
      <x:c r="H1930" s="6" t="str">
        <x:v>resplan-10650-Q09</x:v>
      </x:c>
      <x:c r="I1930" s="6" t="str">
        <x:v>Route planning</x:v>
      </x:c>
      <x:c r="J1930" s="6" t="str">
        <x:v>Warm-up</x:v>
      </x:c>
      <x:c r="K1930" s="6" t="str">
        <x:v>Ordered stops, path for each leg and total metres.</x:v>
      </x:c>
      <x:c r="L1930" s="6" t="str">
        <x:v>T02, T05, T13</x:v>
      </x:c>
      <x:c r="M1930" s="6" t="str">
        <x:v>Visit multiple rooms in the order specified.</x:v>
      </x:c>
      <x:c r="N1930" s="6" t="str">
        <x:v>{"stops":["resplan-10650-F0-S002","resplan-10650-F0-S004","resplan-10650-F0-S003"],"optimal_length_m":29.09,"legs":[{"from_space_id":"resplan-10650-F0-S002","to_space_id":"resplan-10650-F0-S004","optimal_length_m":16.6,"space_path":["resplan-10650-F0-S002","resplan-10650-F0-S001","resplan-10650-F0-S004"],"element_path":["resplan-10650-F0-O0002","resplan-10650-F0-O0002","resplan-10650-F0-O0003","resplan-10650-F0-O0003"]},{"from_space_id":"resplan-10650-F0-S004","to_space_id":"resplan-10650-F0-S003","optimal_length_m":12.49,"space_path":["resplan-10650-F0-S004","resplan-10650-F0-S001","resplan-10650-F0-S003"],"element_path":["resplan-10650-F0-O0003","resplan-10650-F0-O0003","resplan-10650-F0-O0004","resplan-10650-F0-O0004"]}]}</x:v>
      </x:c>
      <x:c r="O1930" s="6"/>
      <x:c r="P1930" s="6" t="str">
        <x:v>Preserve stated visit order. Do not optimize stop order.</x:v>
      </x:c>
      <x:c r="Q1930" s="15" t="n">
        <x:v>29.09</x:v>
      </x:c>
      <x:c r="R1930" s="6" t="str">
        <x:v>m</x:v>
      </x:c>
      <x:c r="S1930" s="16"/>
      <x:c r="T1930" s="15"/>
      <x:c r="U1930" s="6"/>
      <x:c r="V1930" s="6"/>
      <x:c r="W1930" s="6" t="str">
        <x:v>Existing find_route(via=[...]).</x:v>
      </x:c>
      <x:c r="X1930" s="6" t="str">
        <x:v>data/train/resplan-10650/questions_basic.jsonl</x:v>
      </x:c>
      <x:c r="Y1930" s="14" t="n">
        <x:v>9</x:v>
      </x:c>
      <x:c r="Z1930" s="6" t="str">
        <x:v>https://github.com/hagenhaeussler/Industrial-Agents-Hackathon-2026/blob/f41616590b69f3ea0c1cbfb41d6c35edd9ce53df/data/train/resplan-10650/questions_basic.jsonl#L9</x:v>
      </x:c>
      <x:c r="AA1930" s="6" t="str">
        <x:v>resplan</x:v>
      </x:c>
      <x:c r="AB1930" s="6" t="str">
        <x:v>CC-BY-4.0</x:v>
      </x:c>
    </x:row>
    <x:row r="1931" ht="124" customHeight="1">
      <x:c r="A1931" s="14" t="n">
        <x:v>1926</x:v>
      </x:c>
      <x:c r="B1931" s="6" t="str">
        <x:v>tour</x:v>
      </x:c>
      <x:c r="C1931" s="6" t="str">
        <x:v>Starting at Bedroom 0.02 (Ground floor), visit Bedroom 0.04 (Ground floor), then Bathroom 0.05 (Ground floor) in this order. What is the route?</x:v>
      </x:c>
      <x:c r="D1931" s="6" t="str">
        <x:v>27.03 m total
Stops: Bedroom 0.02 → Bedroom 0.04 → Bathroom 0.05
Leg lengths (m): 13.35, 13.68
Full paths are in Answer JSON.</x:v>
      </x:c>
      <x:c r="E1931" s="6" t="str">
        <x:v>Reference supplied</x:v>
      </x:c>
      <x:c r="F1931" s="6" t="str">
        <x:v>train</x:v>
      </x:c>
      <x:c r="G1931" s="6" t="str">
        <x:v>resplan-10882</x:v>
      </x:c>
      <x:c r="H1931" s="6" t="str">
        <x:v>resplan-10882-Q09</x:v>
      </x:c>
      <x:c r="I1931" s="6" t="str">
        <x:v>Route planning</x:v>
      </x:c>
      <x:c r="J1931" s="6" t="str">
        <x:v>Warm-up</x:v>
      </x:c>
      <x:c r="K1931" s="6" t="str">
        <x:v>Ordered stops, path for each leg and total metres.</x:v>
      </x:c>
      <x:c r="L1931" s="6" t="str">
        <x:v>T02, T05, T13</x:v>
      </x:c>
      <x:c r="M1931" s="6" t="str">
        <x:v>Visit multiple rooms in the order specified.</x:v>
      </x:c>
      <x:c r="N1931" s="6" t="str">
        <x:v>{"stops":["resplan-10882-F0-S002","resplan-10882-F0-S004","resplan-10882-F0-S005"],"optimal_length_m":27.03,"legs":[{"from_space_id":"resplan-10882-F0-S002","to_space_id":"resplan-10882-F0-S004","optimal_length_m":13.35,"space_path":["resplan-10882-F0-S002","resplan-10882-F0-S001","resplan-10882-F0-S004"],"element_path":["resplan-10882-F0-O0004","resplan-10882-F0-O0004","resplan-10882-F0-O0006","resplan-10882-F0-O0006"]},{"from_space_id":"resplan-10882-F0-S004","to_space_id":"resplan-10882-F0-S005","optimal_length_m":13.68,"space_path":["resplan-10882-F0-S004","resplan-10882-F0-S001","resplan-10882-F0-S005"],"element_path":["resplan-10882-F0-O0006","resplan-10882-F0-O0006","resplan-10882-F0-O0003","resplan-10882-F0-O0003"]}]}</x:v>
      </x:c>
      <x:c r="O1931" s="6"/>
      <x:c r="P1931" s="6" t="str">
        <x:v>Preserve stated visit order. Do not optimize stop order.</x:v>
      </x:c>
      <x:c r="Q1931" s="15" t="n">
        <x:v>27.03</x:v>
      </x:c>
      <x:c r="R1931" s="6" t="str">
        <x:v>m</x:v>
      </x:c>
      <x:c r="S1931" s="16"/>
      <x:c r="T1931" s="15"/>
      <x:c r="U1931" s="6"/>
      <x:c r="V1931" s="6"/>
      <x:c r="W1931" s="6" t="str">
        <x:v>Existing find_route(via=[...]).</x:v>
      </x:c>
      <x:c r="X1931" s="6" t="str">
        <x:v>data/train/resplan-10882/questions_basic.jsonl</x:v>
      </x:c>
      <x:c r="Y1931" s="14" t="n">
        <x:v>9</x:v>
      </x:c>
      <x:c r="Z1931" s="6" t="str">
        <x:v>https://github.com/hagenhaeussler/Industrial-Agents-Hackathon-2026/blob/f41616590b69f3ea0c1cbfb41d6c35edd9ce53df/data/train/resplan-10882/questions_basic.jsonl#L9</x:v>
      </x:c>
      <x:c r="AA1931" s="6" t="str">
        <x:v>resplan</x:v>
      </x:c>
      <x:c r="AB1931" s="6" t="str">
        <x:v>CC-BY-4.0</x:v>
      </x:c>
    </x:row>
    <x:row r="1932" ht="138" customHeight="1">
      <x:c r="A1932" s="14" t="n">
        <x:v>1927</x:v>
      </x:c>
      <x:c r="B1932" s="6" t="str">
        <x:v>tour</x:v>
      </x:c>
      <x:c r="C1932" s="6" t="str">
        <x:v>Starting at Kitchen 0.08 (Ground floor), visit Bedroom 0.04 (Ground floor), then Bathroom 0.07 (Ground floor) in this order. What is the route?</x:v>
      </x:c>
      <x:c r="D1932" s="6" t="str">
        <x:v>28.95 m total
Stops: Kitchen 0.08 → Bedroom 0.04 → Bathroom 0.07
Leg lengths (m): 12.61, 16.34
Full paths are in Answer JSON.</x:v>
      </x:c>
      <x:c r="E1932" s="6" t="str">
        <x:v>Reference supplied</x:v>
      </x:c>
      <x:c r="F1932" s="6" t="str">
        <x:v>train</x:v>
      </x:c>
      <x:c r="G1932" s="6" t="str">
        <x:v>resplan-1095</x:v>
      </x:c>
      <x:c r="H1932" s="6" t="str">
        <x:v>resplan-1095-Q09</x:v>
      </x:c>
      <x:c r="I1932" s="6" t="str">
        <x:v>Route planning</x:v>
      </x:c>
      <x:c r="J1932" s="6" t="str">
        <x:v>Warm-up</x:v>
      </x:c>
      <x:c r="K1932" s="6" t="str">
        <x:v>Ordered stops, path for each leg and total metres.</x:v>
      </x:c>
      <x:c r="L1932" s="6" t="str">
        <x:v>T02, T05, T13</x:v>
      </x:c>
      <x:c r="M1932" s="6" t="str">
        <x:v>Visit multiple rooms in the order specified.</x:v>
      </x:c>
      <x:c r="N1932" s="6" t="str">
        <x:v>{"stops":["resplan-1095-F0-S008","resplan-1095-F0-S004","resplan-1095-F0-S007"],"optimal_length_m":28.95,"legs":[{"from_space_id":"resplan-1095-F0-S008","to_space_id":"resplan-1095-F0-S004","optimal_length_m":12.61,"space_path":["resplan-1095-F0-S008","resplan-1095-F0-S001","resplan-1095-F0-S004"],"element_path":["resplan-1095-F0-O0010","resplan-1095-F0-O0010","resplan-1095-F0-O0008","resplan-1095-F0-O0008"]},{"from_space_id":"resplan-1095-F0-S004","to_space_id":"resplan-1095-F0-S007","optimal_length_m":16.34,"space_path":["resplan-1095-F0-S004","resplan-1095-F0-S001","resplan-1095-F0-S003","resplan-1095-F0-S007"],"element_path":["resplan-1095-F0-O0008","resplan-1095-F0-O0008","resplan-1095-F0-O0005","resplan-1095-F0-O0005","resplan-1095-F0-O0003","resplan-1095-F0-O0003"]}]}</x:v>
      </x:c>
      <x:c r="O1932" s="6"/>
      <x:c r="P1932" s="6" t="str">
        <x:v>Preserve stated visit order. Do not optimize stop order.</x:v>
      </x:c>
      <x:c r="Q1932" s="15" t="n">
        <x:v>28.95</x:v>
      </x:c>
      <x:c r="R1932" s="6" t="str">
        <x:v>m</x:v>
      </x:c>
      <x:c r="S1932" s="16"/>
      <x:c r="T1932" s="15"/>
      <x:c r="U1932" s="6"/>
      <x:c r="V1932" s="6"/>
      <x:c r="W1932" s="6" t="str">
        <x:v>Existing find_route(via=[...]).</x:v>
      </x:c>
      <x:c r="X1932" s="6" t="str">
        <x:v>data/train/resplan-1095/questions_basic.jsonl</x:v>
      </x:c>
      <x:c r="Y1932" s="14" t="n">
        <x:v>9</x:v>
      </x:c>
      <x:c r="Z1932" s="6" t="str">
        <x:v>https://github.com/hagenhaeussler/Industrial-Agents-Hackathon-2026/blob/f41616590b69f3ea0c1cbfb41d6c35edd9ce53df/data/train/resplan-1095/questions_basic.jsonl#L9</x:v>
      </x:c>
      <x:c r="AA1932" s="6" t="str">
        <x:v>resplan</x:v>
      </x:c>
      <x:c r="AB1932" s="6" t="str">
        <x:v>CC-BY-4.0</x:v>
      </x:c>
    </x:row>
    <x:row r="1933" ht="124" customHeight="1">
      <x:c r="A1933" s="14" t="n">
        <x:v>1928</x:v>
      </x:c>
      <x:c r="B1933" s="6" t="str">
        <x:v>tour</x:v>
      </x:c>
      <x:c r="C1933" s="6" t="str">
        <x:v>Starting at Bedroom 0.04 (Ground floor), visit Bathroom 0.06 (Ground floor), then Bedroom 0.03 (Ground floor) in this order. What is the route?</x:v>
      </x:c>
      <x:c r="D1933" s="6" t="str">
        <x:v>19.32 m total
Stops: Bedroom 0.04 → Bathroom 0.06 → Bedroom 0.03
Leg lengths (m): 3.6, 15.72
Full paths are in Answer JSON.</x:v>
      </x:c>
      <x:c r="E1933" s="6" t="str">
        <x:v>Reference supplied</x:v>
      </x:c>
      <x:c r="F1933" s="6" t="str">
        <x:v>train</x:v>
      </x:c>
      <x:c r="G1933" s="6" t="str">
        <x:v>resplan-11076</x:v>
      </x:c>
      <x:c r="H1933" s="6" t="str">
        <x:v>resplan-11076-Q09</x:v>
      </x:c>
      <x:c r="I1933" s="6" t="str">
        <x:v>Route planning</x:v>
      </x:c>
      <x:c r="J1933" s="6" t="str">
        <x:v>Warm-up</x:v>
      </x:c>
      <x:c r="K1933" s="6" t="str">
        <x:v>Ordered stops, path for each leg and total metres.</x:v>
      </x:c>
      <x:c r="L1933" s="6" t="str">
        <x:v>T02, T05, T13</x:v>
      </x:c>
      <x:c r="M1933" s="6" t="str">
        <x:v>Visit multiple rooms in the order specified.</x:v>
      </x:c>
      <x:c r="N1933" s="6" t="str">
        <x:v>{"stops":["resplan-11076-F0-S004","resplan-11076-F0-S006","resplan-11076-F0-S003"],"optimal_length_m":19.32,"legs":[{"from_space_id":"resplan-11076-F0-S004","to_space_id":"resplan-11076-F0-S006","optimal_length_m":3.6,"space_path":["resplan-11076-F0-S004","resplan-11076-F0-S006"],"element_path":["resplan-11076-F0-O0005","resplan-11076-F0-O0005"]},{"from_space_id":"resplan-11076-F0-S006","to_space_id":"resplan-11076-F0-S003","optimal_length_m":15.72,"space_path":["resplan-11076-F0-S006","resplan-11076-F0-S004","resplan-11076-F0-S002","resplan-11076-F0-S003"],"element_path":["resplan-11076-F0-O0005","resplan-11076-F0-O0005","resplan-11076-F0-O0003","resplan-11076-F0-O0003","resplan-11076-F0-O0002","resplan-11076-F0-O0002"]}]}</x:v>
      </x:c>
      <x:c r="O1933" s="6"/>
      <x:c r="P1933" s="6" t="str">
        <x:v>Preserve stated visit order. Do not optimize stop order.</x:v>
      </x:c>
      <x:c r="Q1933" s="15" t="n">
        <x:v>19.32</x:v>
      </x:c>
      <x:c r="R1933" s="6" t="str">
        <x:v>m</x:v>
      </x:c>
      <x:c r="S1933" s="16"/>
      <x:c r="T1933" s="15"/>
      <x:c r="U1933" s="6"/>
      <x:c r="V1933" s="6"/>
      <x:c r="W1933" s="6" t="str">
        <x:v>Existing find_route(via=[...]).</x:v>
      </x:c>
      <x:c r="X1933" s="6" t="str">
        <x:v>data/train/resplan-11076/questions_basic.jsonl</x:v>
      </x:c>
      <x:c r="Y1933" s="14" t="n">
        <x:v>9</x:v>
      </x:c>
      <x:c r="Z1933" s="6" t="str">
        <x:v>https://github.com/hagenhaeussler/Industrial-Agents-Hackathon-2026/blob/f41616590b69f3ea0c1cbfb41d6c35edd9ce53df/data/train/resplan-11076/questions_basic.jsonl#L9</x:v>
      </x:c>
      <x:c r="AA1933" s="6" t="str">
        <x:v>resplan</x:v>
      </x:c>
      <x:c r="AB1933" s="6" t="str">
        <x:v>CC-BY-4.0</x:v>
      </x:c>
    </x:row>
    <x:row r="1934" ht="124" customHeight="1">
      <x:c r="A1934" s="14" t="n">
        <x:v>1929</x:v>
      </x:c>
      <x:c r="B1934" s="6" t="str">
        <x:v>tour</x:v>
      </x:c>
      <x:c r="C1934" s="6" t="str">
        <x:v>Starting at Bedroom 0.02 (Ground floor), visit Kitchen 0.06 (Ground floor), then Bedroom 0.03 (Ground floor) in this order. What is the route?</x:v>
      </x:c>
      <x:c r="D1934" s="6" t="str">
        <x:v>31.65 m total
Stops: Bedroom 0.02 → Kitchen 0.06 → Bedroom 0.03
Leg lengths (m): 15.24, 16.41
Full paths are in Answer JSON.</x:v>
      </x:c>
      <x:c r="E1934" s="6" t="str">
        <x:v>Reference supplied</x:v>
      </x:c>
      <x:c r="F1934" s="6" t="str">
        <x:v>train</x:v>
      </x:c>
      <x:c r="G1934" s="6" t="str">
        <x:v>resplan-11706</x:v>
      </x:c>
      <x:c r="H1934" s="6" t="str">
        <x:v>resplan-11706-Q09</x:v>
      </x:c>
      <x:c r="I1934" s="6" t="str">
        <x:v>Route planning</x:v>
      </x:c>
      <x:c r="J1934" s="6" t="str">
        <x:v>Warm-up</x:v>
      </x:c>
      <x:c r="K1934" s="6" t="str">
        <x:v>Ordered stops, path for each leg and total metres.</x:v>
      </x:c>
      <x:c r="L1934" s="6" t="str">
        <x:v>T02, T05, T13</x:v>
      </x:c>
      <x:c r="M1934" s="6" t="str">
        <x:v>Visit multiple rooms in the order specified.</x:v>
      </x:c>
      <x:c r="N1934" s="6" t="str">
        <x:v>{"stops":["resplan-11706-F0-S002","resplan-11706-F0-S006","resplan-11706-F0-S003"],"optimal_length_m":31.65,"legs":[{"from_space_id":"resplan-11706-F0-S002","to_space_id":"resplan-11706-F0-S006","optimal_length_m":15.24,"space_path":["resplan-11706-F0-S002","resplan-11706-F0-S001","resplan-11706-F0-S006"],"element_path":["resplan-11706-F0-O0003","resplan-11706-F0-O0003","resplan-11706-F0-O0006","resplan-11706-F0-O0006"]},{"from_space_id":"resplan-11706-F0-S006","to_space_id":"resplan-11706-F0-S003","optimal_length_m":16.41,"space_path":["resplan-11706-F0-S006","resplan-11706-F0-S001","resplan-11706-F0-S003"],"element_path":["resplan-11706-F0-O0006","resplan-11706-F0-O0006","resplan-11706-F0-O0004","resplan-11706-F0-O0004"]}]}</x:v>
      </x:c>
      <x:c r="O1934" s="6"/>
      <x:c r="P1934" s="6" t="str">
        <x:v>Preserve stated visit order. Do not optimize stop order.</x:v>
      </x:c>
      <x:c r="Q1934" s="15" t="n">
        <x:v>31.65</x:v>
      </x:c>
      <x:c r="R1934" s="6" t="str">
        <x:v>m</x:v>
      </x:c>
      <x:c r="S1934" s="16"/>
      <x:c r="T1934" s="15"/>
      <x:c r="U1934" s="6"/>
      <x:c r="V1934" s="6"/>
      <x:c r="W1934" s="6" t="str">
        <x:v>Existing find_route(via=[...]).</x:v>
      </x:c>
      <x:c r="X1934" s="6" t="str">
        <x:v>data/train/resplan-11706/questions_basic.jsonl</x:v>
      </x:c>
      <x:c r="Y1934" s="14" t="n">
        <x:v>9</x:v>
      </x:c>
      <x:c r="Z1934" s="6" t="str">
        <x:v>https://github.com/hagenhaeussler/Industrial-Agents-Hackathon-2026/blob/f41616590b69f3ea0c1cbfb41d6c35edd9ce53df/data/train/resplan-11706/questions_basic.jsonl#L9</x:v>
      </x:c>
      <x:c r="AA1934" s="6" t="str">
        <x:v>resplan</x:v>
      </x:c>
      <x:c r="AB1934" s="6" t="str">
        <x:v>CC-BY-4.0</x:v>
      </x:c>
    </x:row>
    <x:row r="1935" ht="124" customHeight="1">
      <x:c r="A1935" s="14" t="n">
        <x:v>1930</x:v>
      </x:c>
      <x:c r="B1935" s="6" t="str">
        <x:v>tour</x:v>
      </x:c>
      <x:c r="C1935" s="6" t="str">
        <x:v>Starting at Bedroom 0.03 (Ground floor), visit Bedroom 0.02 (Ground floor), then Bathroom 0.04 (Ground floor) in this order. What is the route?</x:v>
      </x:c>
      <x:c r="D1935" s="6" t="str">
        <x:v>16.99 m total
Stops: Bedroom 0.03 → Bedroom 0.02 → Bathroom 0.04
Leg lengths (m): 12.58, 4.41
Full paths are in Answer JSON.</x:v>
      </x:c>
      <x:c r="E1935" s="6" t="str">
        <x:v>Reference supplied</x:v>
      </x:c>
      <x:c r="F1935" s="6" t="str">
        <x:v>train</x:v>
      </x:c>
      <x:c r="G1935" s="6" t="str">
        <x:v>resplan-11816</x:v>
      </x:c>
      <x:c r="H1935" s="6" t="str">
        <x:v>resplan-11816-Q09</x:v>
      </x:c>
      <x:c r="I1935" s="6" t="str">
        <x:v>Route planning</x:v>
      </x:c>
      <x:c r="J1935" s="6" t="str">
        <x:v>Warm-up</x:v>
      </x:c>
      <x:c r="K1935" s="6" t="str">
        <x:v>Ordered stops, path for each leg and total metres.</x:v>
      </x:c>
      <x:c r="L1935" s="6" t="str">
        <x:v>T02, T05, T13</x:v>
      </x:c>
      <x:c r="M1935" s="6" t="str">
        <x:v>Visit multiple rooms in the order specified.</x:v>
      </x:c>
      <x:c r="N1935" s="6" t="str">
        <x:v>{"stops":["resplan-11816-F0-S003","resplan-11816-F0-S002","resplan-11816-F0-S004"],"optimal_length_m":16.99,"legs":[{"from_space_id":"resplan-11816-F0-S003","to_space_id":"resplan-11816-F0-S002","optimal_length_m":12.58,"space_path":["resplan-11816-F0-S003","resplan-11816-F0-S001","resplan-11816-F0-S002"],"element_path":["resplan-11816-F0-O0003","resplan-11816-F0-O0003","resplan-11816-F0-O0002","resplan-11816-F0-O0002"]},{"from_space_id":"resplan-11816-F0-S002","to_space_id":"resplan-11816-F0-S004","optimal_length_m":4.41,"space_path":["resplan-11816-F0-S002","resplan-11816-F0-S004"],"element_path":["resplan-11816-F0-O0001","resplan-11816-F0-O0001"]}]}</x:v>
      </x:c>
      <x:c r="O1935" s="6"/>
      <x:c r="P1935" s="6" t="str">
        <x:v>Preserve stated visit order. Do not optimize stop order.</x:v>
      </x:c>
      <x:c r="Q1935" s="15" t="n">
        <x:v>16.99</x:v>
      </x:c>
      <x:c r="R1935" s="6" t="str">
        <x:v>m</x:v>
      </x:c>
      <x:c r="S1935" s="16"/>
      <x:c r="T1935" s="15"/>
      <x:c r="U1935" s="6"/>
      <x:c r="V1935" s="6"/>
      <x:c r="W1935" s="6" t="str">
        <x:v>Existing find_route(via=[...]).</x:v>
      </x:c>
      <x:c r="X1935" s="6" t="str">
        <x:v>data/train/resplan-11816/questions_basic.jsonl</x:v>
      </x:c>
      <x:c r="Y1935" s="14" t="n">
        <x:v>9</x:v>
      </x:c>
      <x:c r="Z1935" s="6" t="str">
        <x:v>https://github.com/hagenhaeussler/Industrial-Agents-Hackathon-2026/blob/f41616590b69f3ea0c1cbfb41d6c35edd9ce53df/data/train/resplan-11816/questions_basic.jsonl#L9</x:v>
      </x:c>
      <x:c r="AA1935" s="6" t="str">
        <x:v>resplan</x:v>
      </x:c>
      <x:c r="AB1935" s="6" t="str">
        <x:v>CC-BY-4.0</x:v>
      </x:c>
    </x:row>
    <x:row r="1936" ht="138" customHeight="1">
      <x:c r="A1936" s="14" t="n">
        <x:v>1931</x:v>
      </x:c>
      <x:c r="B1936" s="6" t="str">
        <x:v>tour</x:v>
      </x:c>
      <x:c r="C1936" s="6" t="str">
        <x:v>Starting at Living room 0.01 (Ground floor), visit Bathroom 0.06 (Ground floor), then Kitchen 0.07 (Ground floor) in this order. What is the route?</x:v>
      </x:c>
      <x:c r="D1936" s="6" t="str">
        <x:v>21.63 m total
Stops: Living room 0.01 → Bathroom 0.06 → Kitchen 0.07
Leg lengths (m): 7.3, 14.33
Full paths are in Answer JSON.</x:v>
      </x:c>
      <x:c r="E1936" s="6" t="str">
        <x:v>Reference supplied</x:v>
      </x:c>
      <x:c r="F1936" s="6" t="str">
        <x:v>train</x:v>
      </x:c>
      <x:c r="G1936" s="6" t="str">
        <x:v>resplan-120</x:v>
      </x:c>
      <x:c r="H1936" s="6" t="str">
        <x:v>resplan-120-Q09</x:v>
      </x:c>
      <x:c r="I1936" s="6" t="str">
        <x:v>Route planning</x:v>
      </x:c>
      <x:c r="J1936" s="6" t="str">
        <x:v>Warm-up</x:v>
      </x:c>
      <x:c r="K1936" s="6" t="str">
        <x:v>Ordered stops, path for each leg and total metres.</x:v>
      </x:c>
      <x:c r="L1936" s="6" t="str">
        <x:v>T02, T05, T13</x:v>
      </x:c>
      <x:c r="M1936" s="6" t="str">
        <x:v>Visit multiple rooms in the order specified.</x:v>
      </x:c>
      <x:c r="N1936" s="6" t="str">
        <x:v>{"stops":["resplan-120-F0-S001","resplan-120-F0-S006","resplan-120-F0-S007"],"optimal_length_m":21.63,"legs":[{"from_space_id":"resplan-120-F0-S001","to_space_id":"resplan-120-F0-S006","optimal_length_m":7.3,"space_path":["resplan-120-F0-S001","resplan-120-F0-S003","resplan-120-F0-S006"],"element_path":["resplan-120-F0-O0004","resplan-120-F0-O0004","resplan-120-F0-O0001","resplan-120-F0-O0001"]},{"from_space_id":"resplan-120-F0-S006","to_space_id":"resplan-120-F0-S007","optimal_length_m":14.33,"space_path":["resplan-120-F0-S006","resplan-120-F0-S003","resplan-120-F0-S001","resplan-120-F0-S007"],"element_path":["resplan-120-F0-O0001","resplan-120-F0-O0001","resplan-120-F0-O0004","resplan-120-F0-O0004","resplan-120-F0-O0008","resplan-120-F0-O0008"]}]}</x:v>
      </x:c>
      <x:c r="O1936" s="6"/>
      <x:c r="P1936" s="6" t="str">
        <x:v>Preserve stated visit order. Do not optimize stop order.</x:v>
      </x:c>
      <x:c r="Q1936" s="15" t="n">
        <x:v>21.63</x:v>
      </x:c>
      <x:c r="R1936" s="6" t="str">
        <x:v>m</x:v>
      </x:c>
      <x:c r="S1936" s="16"/>
      <x:c r="T1936" s="15"/>
      <x:c r="U1936" s="6"/>
      <x:c r="V1936" s="6"/>
      <x:c r="W1936" s="6" t="str">
        <x:v>Existing find_route(via=[...]).</x:v>
      </x:c>
      <x:c r="X1936" s="6" t="str">
        <x:v>data/train/resplan-120/questions_basic.jsonl</x:v>
      </x:c>
      <x:c r="Y1936" s="14" t="n">
        <x:v>9</x:v>
      </x:c>
      <x:c r="Z1936" s="6" t="str">
        <x:v>https://github.com/hagenhaeussler/Industrial-Agents-Hackathon-2026/blob/f41616590b69f3ea0c1cbfb41d6c35edd9ce53df/data/train/resplan-120/questions_basic.jsonl#L9</x:v>
      </x:c>
      <x:c r="AA1936" s="6" t="str">
        <x:v>resplan</x:v>
      </x:c>
      <x:c r="AB1936" s="6" t="str">
        <x:v>CC-BY-4.0</x:v>
      </x:c>
    </x:row>
    <x:row r="1937" ht="124" customHeight="1">
      <x:c r="A1937" s="14" t="n">
        <x:v>1932</x:v>
      </x:c>
      <x:c r="B1937" s="6" t="str">
        <x:v>tour</x:v>
      </x:c>
      <x:c r="C1937" s="6" t="str">
        <x:v>Starting at Living room 0.01 (Ground floor), visit Bedroom 0.03 (Ground floor), then Bedroom 0.02 (Ground floor) in this order. What is the route?</x:v>
      </x:c>
      <x:c r="D1937" s="6" t="str">
        <x:v>16.88 m total
Stops: Living room 0.01 → Bedroom 0.03 → Bedroom 0.02
Leg lengths (m): 5.86, 11.02
Full paths are in Answer JSON.</x:v>
      </x:c>
      <x:c r="E1937" s="6" t="str">
        <x:v>Reference supplied</x:v>
      </x:c>
      <x:c r="F1937" s="6" t="str">
        <x:v>train</x:v>
      </x:c>
      <x:c r="G1937" s="6" t="str">
        <x:v>resplan-12034</x:v>
      </x:c>
      <x:c r="H1937" s="6" t="str">
        <x:v>resplan-12034-Q09</x:v>
      </x:c>
      <x:c r="I1937" s="6" t="str">
        <x:v>Route planning</x:v>
      </x:c>
      <x:c r="J1937" s="6" t="str">
        <x:v>Warm-up</x:v>
      </x:c>
      <x:c r="K1937" s="6" t="str">
        <x:v>Ordered stops, path for each leg and total metres.</x:v>
      </x:c>
      <x:c r="L1937" s="6" t="str">
        <x:v>T02, T05, T13</x:v>
      </x:c>
      <x:c r="M1937" s="6" t="str">
        <x:v>Visit multiple rooms in the order specified.</x:v>
      </x:c>
      <x:c r="N1937" s="6" t="str">
        <x:v>{"stops":["resplan-12034-F0-S001","resplan-12034-F0-S003","resplan-12034-F0-S002"],"optimal_length_m":16.88,"legs":[{"from_space_id":"resplan-12034-F0-S001","to_space_id":"resplan-12034-F0-S003","optimal_length_m":5.86,"space_path":["resplan-12034-F0-S001","resplan-12034-F0-S003"],"element_path":["resplan-12034-F0-O0007","resplan-12034-F0-O0007"]},{"from_space_id":"resplan-12034-F0-S003","to_space_id":"resplan-12034-F0-S002","optimal_length_m":11.02,"space_path":["resplan-12034-F0-S003","resplan-12034-F0-S001","resplan-12034-F0-S002"],"element_path":["resplan-12034-F0-O0007","resplan-12034-F0-O0007","resplan-12034-F0-O0002","resplan-12034-F0-O0002"]}]}</x:v>
      </x:c>
      <x:c r="O1937" s="6"/>
      <x:c r="P1937" s="6" t="str">
        <x:v>Preserve stated visit order. Do not optimize stop order.</x:v>
      </x:c>
      <x:c r="Q1937" s="15" t="n">
        <x:v>16.88</x:v>
      </x:c>
      <x:c r="R1937" s="6" t="str">
        <x:v>m</x:v>
      </x:c>
      <x:c r="S1937" s="16"/>
      <x:c r="T1937" s="15"/>
      <x:c r="U1937" s="6"/>
      <x:c r="V1937" s="6"/>
      <x:c r="W1937" s="6" t="str">
        <x:v>Existing find_route(via=[...]).</x:v>
      </x:c>
      <x:c r="X1937" s="6" t="str">
        <x:v>data/train/resplan-12034/questions_basic.jsonl</x:v>
      </x:c>
      <x:c r="Y1937" s="14" t="n">
        <x:v>9</x:v>
      </x:c>
      <x:c r="Z1937" s="6" t="str">
        <x:v>https://github.com/hagenhaeussler/Industrial-Agents-Hackathon-2026/blob/f41616590b69f3ea0c1cbfb41d6c35edd9ce53df/data/train/resplan-12034/questions_basic.jsonl#L9</x:v>
      </x:c>
      <x:c r="AA1937" s="6" t="str">
        <x:v>resplan</x:v>
      </x:c>
      <x:c r="AB1937" s="6" t="str">
        <x:v>CC-BY-4.0</x:v>
      </x:c>
    </x:row>
    <x:row r="1938" ht="138" customHeight="1">
      <x:c r="A1938" s="14" t="n">
        <x:v>1933</x:v>
      </x:c>
      <x:c r="B1938" s="6" t="str">
        <x:v>tour</x:v>
      </x:c>
      <x:c r="C1938" s="6" t="str">
        <x:v>Starting at Bathroom 0.05 (Ground floor), visit Bathroom 0.04 (Ground floor), then Bedroom 0.02 (Ground floor) in this order. What is the route?</x:v>
      </x:c>
      <x:c r="D1938" s="6" t="str">
        <x:v>24.99 m total
Stops: Bathroom 0.05 → Bathroom 0.04 → Bedroom 0.02
Leg lengths (m): 14.53, 10.46
Full paths are in Answer JSON.</x:v>
      </x:c>
      <x:c r="E1938" s="6" t="str">
        <x:v>Reference supplied</x:v>
      </x:c>
      <x:c r="F1938" s="6" t="str">
        <x:v>train</x:v>
      </x:c>
      <x:c r="G1938" s="6" t="str">
        <x:v>resplan-1224</x:v>
      </x:c>
      <x:c r="H1938" s="6" t="str">
        <x:v>resplan-1224-Q09</x:v>
      </x:c>
      <x:c r="I1938" s="6" t="str">
        <x:v>Route planning</x:v>
      </x:c>
      <x:c r="J1938" s="6" t="str">
        <x:v>Warm-up</x:v>
      </x:c>
      <x:c r="K1938" s="6" t="str">
        <x:v>Ordered stops, path for each leg and total metres.</x:v>
      </x:c>
      <x:c r="L1938" s="6" t="str">
        <x:v>T02, T05, T13</x:v>
      </x:c>
      <x:c r="M1938" s="6" t="str">
        <x:v>Visit multiple rooms in the order specified.</x:v>
      </x:c>
      <x:c r="N1938" s="6" t="str">
        <x:v>{"stops":["resplan-1224-F0-S005","resplan-1224-F0-S004","resplan-1224-F0-S002"],"optimal_length_m":24.99,"legs":[{"from_space_id":"resplan-1224-F0-S005","to_space_id":"resplan-1224-F0-S004","optimal_length_m":14.53,"space_path":["resplan-1224-F0-S005","resplan-1224-F0-S002","resplan-1224-F0-S001","resplan-1224-F0-S004"],"element_path":["resplan-1224-F0-O0005","resplan-1224-F0-O0005","resplan-1224-F0-O0002","resplan-1224-F0-O0002","resplan-1224-F0-O0003","resplan-1224-F0-O0003"]},{"from_space_id":"resplan-1224-F0-S004","to_space_id":"resplan-1224-F0-S002","optimal_length_m":10.46,"space_path":["resplan-1224-F0-S004","resplan-1224-F0-S001","resplan-1224-F0-S002"],"element_path":["resplan-1224-F0-O0003","resplan-1224-F0-O0003","resplan-1224-F0-O0002","resplan-1224-F0-O0002"]}]}</x:v>
      </x:c>
      <x:c r="O1938" s="6"/>
      <x:c r="P1938" s="6" t="str">
        <x:v>Preserve stated visit order. Do not optimize stop order.</x:v>
      </x:c>
      <x:c r="Q1938" s="15" t="n">
        <x:v>24.99</x:v>
      </x:c>
      <x:c r="R1938" s="6" t="str">
        <x:v>m</x:v>
      </x:c>
      <x:c r="S1938" s="16"/>
      <x:c r="T1938" s="15"/>
      <x:c r="U1938" s="6"/>
      <x:c r="V1938" s="6"/>
      <x:c r="W1938" s="6" t="str">
        <x:v>Existing find_route(via=[...]).</x:v>
      </x:c>
      <x:c r="X1938" s="6" t="str">
        <x:v>data/train/resplan-1224/questions_basic.jsonl</x:v>
      </x:c>
      <x:c r="Y1938" s="14" t="n">
        <x:v>9</x:v>
      </x:c>
      <x:c r="Z1938" s="6" t="str">
        <x:v>https://github.com/hagenhaeussler/Industrial-Agents-Hackathon-2026/blob/f41616590b69f3ea0c1cbfb41d6c35edd9ce53df/data/train/resplan-1224/questions_basic.jsonl#L9</x:v>
      </x:c>
      <x:c r="AA1938" s="6" t="str">
        <x:v>resplan</x:v>
      </x:c>
      <x:c r="AB1938" s="6" t="str">
        <x:v>CC-BY-4.0</x:v>
      </x:c>
    </x:row>
    <x:row r="1939" ht="138" customHeight="1">
      <x:c r="A1939" s="14" t="n">
        <x:v>1934</x:v>
      </x:c>
      <x:c r="B1939" s="6" t="str">
        <x:v>tour</x:v>
      </x:c>
      <x:c r="C1939" s="6" t="str">
        <x:v>Starting at Bathroom 0.03 (Ground floor), visit Kitchen 0.05 (Ground floor), then Bathroom 0.04 (Ground floor) in this order. What is the route?</x:v>
      </x:c>
      <x:c r="D1939" s="6" t="str">
        <x:v>20.85 m total
Stops: Bathroom 0.03 → Kitchen 0.05 → Bathroom 0.04
Leg lengths (m): 7.72, 13.13
Full paths are in Answer JSON.</x:v>
      </x:c>
      <x:c r="E1939" s="6" t="str">
        <x:v>Reference supplied</x:v>
      </x:c>
      <x:c r="F1939" s="6" t="str">
        <x:v>train</x:v>
      </x:c>
      <x:c r="G1939" s="6" t="str">
        <x:v>resplan-12304</x:v>
      </x:c>
      <x:c r="H1939" s="6" t="str">
        <x:v>resplan-12304-Q09</x:v>
      </x:c>
      <x:c r="I1939" s="6" t="str">
        <x:v>Route planning</x:v>
      </x:c>
      <x:c r="J1939" s="6" t="str">
        <x:v>Warm-up</x:v>
      </x:c>
      <x:c r="K1939" s="6" t="str">
        <x:v>Ordered stops, path for each leg and total metres.</x:v>
      </x:c>
      <x:c r="L1939" s="6" t="str">
        <x:v>T02, T05, T13</x:v>
      </x:c>
      <x:c r="M1939" s="6" t="str">
        <x:v>Visit multiple rooms in the order specified.</x:v>
      </x:c>
      <x:c r="N1939" s="6" t="str">
        <x:v>{"stops":["resplan-12304-F0-S003","resplan-12304-F0-S005","resplan-12304-F0-S004"],"optimal_length_m":20.85,"legs":[{"from_space_id":"resplan-12304-F0-S003","to_space_id":"resplan-12304-F0-S005","optimal_length_m":7.72,"space_path":["resplan-12304-F0-S003","resplan-12304-F0-S001","resplan-12304-F0-S005"],"element_path":["resplan-12304-F0-O0003","resplan-12304-F0-O0003","resplan-12304-F0-O0004","resplan-12304-F0-O0004"]},{"from_space_id":"resplan-12304-F0-S005","to_space_id":"resplan-12304-F0-S004","optimal_length_m":13.13,"space_path":["resplan-12304-F0-S005","resplan-12304-F0-S001","resplan-12304-F0-S002","resplan-12304-F0-S004"],"element_path":["resplan-12304-F0-O0004","resplan-12304-F0-O0004","resplan-12304-F0-O0002","resplan-12304-F0-O0002","resplan-12304-F0-O0001","resplan-12304-F0-O0001"]}]}</x:v>
      </x:c>
      <x:c r="O1939" s="6"/>
      <x:c r="P1939" s="6" t="str">
        <x:v>Preserve stated visit order. Do not optimize stop order.</x:v>
      </x:c>
      <x:c r="Q1939" s="15" t="n">
        <x:v>20.85</x:v>
      </x:c>
      <x:c r="R1939" s="6" t="str">
        <x:v>m</x:v>
      </x:c>
      <x:c r="S1939" s="16"/>
      <x:c r="T1939" s="15"/>
      <x:c r="U1939" s="6"/>
      <x:c r="V1939" s="6"/>
      <x:c r="W1939" s="6" t="str">
        <x:v>Existing find_route(via=[...]).</x:v>
      </x:c>
      <x:c r="X1939" s="6" t="str">
        <x:v>data/train/resplan-12304/questions_basic.jsonl</x:v>
      </x:c>
      <x:c r="Y1939" s="14" t="n">
        <x:v>9</x:v>
      </x:c>
      <x:c r="Z1939" s="6" t="str">
        <x:v>https://github.com/hagenhaeussler/Industrial-Agents-Hackathon-2026/blob/f41616590b69f3ea0c1cbfb41d6c35edd9ce53df/data/train/resplan-12304/questions_basic.jsonl#L9</x:v>
      </x:c>
      <x:c r="AA1939" s="6" t="str">
        <x:v>resplan</x:v>
      </x:c>
      <x:c r="AB1939" s="6" t="str">
        <x:v>CC-BY-4.0</x:v>
      </x:c>
    </x:row>
    <x:row r="1940" ht="124" customHeight="1">
      <x:c r="A1940" s="14" t="n">
        <x:v>1935</x:v>
      </x:c>
      <x:c r="B1940" s="6" t="str">
        <x:v>tour</x:v>
      </x:c>
      <x:c r="C1940" s="6" t="str">
        <x:v>Starting at Bedroom 0.02 (Ground floor), visit Bedroom 0.03 (Ground floor), then Living room 0.01 (Ground floor) in this order. What is the route?</x:v>
      </x:c>
      <x:c r="D1940" s="6" t="str">
        <x:v>17.52 m total
Stops: Bedroom 0.02 → Bedroom 0.03 → Living room 0.01
Leg lengths (m): 11.2, 6.32
Full paths are in Answer JSON.</x:v>
      </x:c>
      <x:c r="E1940" s="6" t="str">
        <x:v>Reference supplied</x:v>
      </x:c>
      <x:c r="F1940" s="6" t="str">
        <x:v>train</x:v>
      </x:c>
      <x:c r="G1940" s="6" t="str">
        <x:v>resplan-12336</x:v>
      </x:c>
      <x:c r="H1940" s="6" t="str">
        <x:v>resplan-12336-Q09</x:v>
      </x:c>
      <x:c r="I1940" s="6" t="str">
        <x:v>Route planning</x:v>
      </x:c>
      <x:c r="J1940" s="6" t="str">
        <x:v>Warm-up</x:v>
      </x:c>
      <x:c r="K1940" s="6" t="str">
        <x:v>Ordered stops, path for each leg and total metres.</x:v>
      </x:c>
      <x:c r="L1940" s="6" t="str">
        <x:v>T02, T05, T13</x:v>
      </x:c>
      <x:c r="M1940" s="6" t="str">
        <x:v>Visit multiple rooms in the order specified.</x:v>
      </x:c>
      <x:c r="N1940" s="6" t="str">
        <x:v>{"stops":["resplan-12336-F0-S002","resplan-12336-F0-S003","resplan-12336-F0-S001"],"optimal_length_m":17.52,"legs":[{"from_space_id":"resplan-12336-F0-S002","to_space_id":"resplan-12336-F0-S003","optimal_length_m":11.2,"space_path":["resplan-12336-F0-S002","resplan-12336-F0-S001","resplan-12336-F0-S003"],"element_path":["resplan-12336-F0-O0001","resplan-12336-F0-O0001","resplan-12336-F0-O0003","resplan-12336-F0-O0003"]},{"from_space_id":"resplan-12336-F0-S003","to_space_id":"resplan-12336-F0-S001","optimal_length_m":6.32,"space_path":["resplan-12336-F0-S003","resplan-12336-F0-S001"],"element_path":["resplan-12336-F0-O0003","resplan-12336-F0-O0003"]}]}</x:v>
      </x:c>
      <x:c r="O1940" s="6"/>
      <x:c r="P1940" s="6" t="str">
        <x:v>Preserve stated visit order. Do not optimize stop order.</x:v>
      </x:c>
      <x:c r="Q1940" s="15" t="n">
        <x:v>17.52</x:v>
      </x:c>
      <x:c r="R1940" s="6" t="str">
        <x:v>m</x:v>
      </x:c>
      <x:c r="S1940" s="16"/>
      <x:c r="T1940" s="15"/>
      <x:c r="U1940" s="6"/>
      <x:c r="V1940" s="6"/>
      <x:c r="W1940" s="6" t="str">
        <x:v>Existing find_route(via=[...]).</x:v>
      </x:c>
      <x:c r="X1940" s="6" t="str">
        <x:v>data/train/resplan-12336/questions_basic.jsonl</x:v>
      </x:c>
      <x:c r="Y1940" s="14" t="n">
        <x:v>9</x:v>
      </x:c>
      <x:c r="Z1940" s="6" t="str">
        <x:v>https://github.com/hagenhaeussler/Industrial-Agents-Hackathon-2026/blob/f41616590b69f3ea0c1cbfb41d6c35edd9ce53df/data/train/resplan-12336/questions_basic.jsonl#L9</x:v>
      </x:c>
      <x:c r="AA1940" s="6" t="str">
        <x:v>resplan</x:v>
      </x:c>
      <x:c r="AB1940" s="6" t="str">
        <x:v>CC-BY-4.0</x:v>
      </x:c>
    </x:row>
    <x:row r="1941" ht="138" customHeight="1">
      <x:c r="A1941" s="14" t="n">
        <x:v>1936</x:v>
      </x:c>
      <x:c r="B1941" s="6" t="str">
        <x:v>tour</x:v>
      </x:c>
      <x:c r="C1941" s="6" t="str">
        <x:v>Starting at Bathroom 0.07 (Ground floor), visit Kitchen 0.08 (Ground floor), then Bedroom 0.03 (Ground floor) in this order. What is the route?</x:v>
      </x:c>
      <x:c r="D1941" s="6" t="str">
        <x:v>47.25 m total
Stops: Bathroom 0.07 → Kitchen 0.08 → Bedroom 0.03
Leg lengths (m): 26.07, 21.18
Full paths are in Answer JSON.</x:v>
      </x:c>
      <x:c r="E1941" s="6" t="str">
        <x:v>Reference supplied</x:v>
      </x:c>
      <x:c r="F1941" s="6" t="str">
        <x:v>train</x:v>
      </x:c>
      <x:c r="G1941" s="6" t="str">
        <x:v>resplan-12462</x:v>
      </x:c>
      <x:c r="H1941" s="6" t="str">
        <x:v>resplan-12462-Q09</x:v>
      </x:c>
      <x:c r="I1941" s="6" t="str">
        <x:v>Route planning</x:v>
      </x:c>
      <x:c r="J1941" s="6" t="str">
        <x:v>Warm-up</x:v>
      </x:c>
      <x:c r="K1941" s="6" t="str">
        <x:v>Ordered stops, path for each leg and total metres.</x:v>
      </x:c>
      <x:c r="L1941" s="6" t="str">
        <x:v>T02, T05, T13</x:v>
      </x:c>
      <x:c r="M1941" s="6" t="str">
        <x:v>Visit multiple rooms in the order specified.</x:v>
      </x:c>
      <x:c r="N1941" s="6" t="str">
        <x:v>{"stops":["resplan-12462-F0-S007","resplan-12462-F0-S008","resplan-12462-F0-S003"],"optimal_length_m":47.25,"legs":[{"from_space_id":"resplan-12462-F0-S007","to_space_id":"resplan-12462-F0-S008","optimal_length_m":26.07,"space_path":["resplan-12462-F0-S007","resplan-12462-F0-S004","resplan-12462-F0-S001","resplan-12462-F0-S008"],"element_path":["resplan-12462-F0-O0006","resplan-12462-F0-O0006","resplan-12462-F0-O0005","resplan-12462-F0-O0005","resplan-12462-F0-O0007","resplan-12462-F0-O0007"]},{"from_space_id":"resplan-12462-F0-S008","to_space_id":"resplan-12462-F0-S003","optimal_length_m":21.18,"space_path":["resplan-12462-F0-S008","resplan-12462-F0-S001","resplan-12462-F0-S003"],"element_path":["resplan-12462-F0-O0007","resplan-12462-F0-O0007","resplan-12462-F0-O0004","resplan-12462-F0-O0004"]}]}</x:v>
      </x:c>
      <x:c r="O1941" s="6"/>
      <x:c r="P1941" s="6" t="str">
        <x:v>Preserve stated visit order. Do not optimize stop order.</x:v>
      </x:c>
      <x:c r="Q1941" s="15" t="n">
        <x:v>47.25</x:v>
      </x:c>
      <x:c r="R1941" s="6" t="str">
        <x:v>m</x:v>
      </x:c>
      <x:c r="S1941" s="16"/>
      <x:c r="T1941" s="15"/>
      <x:c r="U1941" s="6"/>
      <x:c r="V1941" s="6"/>
      <x:c r="W1941" s="6" t="str">
        <x:v>Existing find_route(via=[...]).</x:v>
      </x:c>
      <x:c r="X1941" s="6" t="str">
        <x:v>data/train/resplan-12462/questions_basic.jsonl</x:v>
      </x:c>
      <x:c r="Y1941" s="14" t="n">
        <x:v>9</x:v>
      </x:c>
      <x:c r="Z1941" s="6" t="str">
        <x:v>https://github.com/hagenhaeussler/Industrial-Agents-Hackathon-2026/blob/f41616590b69f3ea0c1cbfb41d6c35edd9ce53df/data/train/resplan-12462/questions_basic.jsonl#L9</x:v>
      </x:c>
      <x:c r="AA1941" s="6" t="str">
        <x:v>resplan</x:v>
      </x:c>
      <x:c r="AB1941" s="6" t="str">
        <x:v>CC-BY-4.0</x:v>
      </x:c>
    </x:row>
    <x:row r="1942" ht="124" customHeight="1">
      <x:c r="A1942" s="14" t="n">
        <x:v>1937</x:v>
      </x:c>
      <x:c r="B1942" s="6" t="str">
        <x:v>tour</x:v>
      </x:c>
      <x:c r="C1942" s="6" t="str">
        <x:v>Starting at Bathroom 0.03 (Ground floor), visit Bedroom 0.02 (Ground floor), then Kitchen 0.05 (Ground floor) in this order. What is the route?</x:v>
      </x:c>
      <x:c r="D1942" s="6" t="str">
        <x:v>20.25 m total
Stops: Bathroom 0.03 → Bedroom 0.02 → Kitchen 0.05
Leg lengths (m): 9.71, 10.54
Full paths are in Answer JSON.</x:v>
      </x:c>
      <x:c r="E1942" s="6" t="str">
        <x:v>Reference supplied</x:v>
      </x:c>
      <x:c r="F1942" s="6" t="str">
        <x:v>train</x:v>
      </x:c>
      <x:c r="G1942" s="6" t="str">
        <x:v>resplan-12750</x:v>
      </x:c>
      <x:c r="H1942" s="6" t="str">
        <x:v>resplan-12750-Q09</x:v>
      </x:c>
      <x:c r="I1942" s="6" t="str">
        <x:v>Route planning</x:v>
      </x:c>
      <x:c r="J1942" s="6" t="str">
        <x:v>Warm-up</x:v>
      </x:c>
      <x:c r="K1942" s="6" t="str">
        <x:v>Ordered stops, path for each leg and total metres.</x:v>
      </x:c>
      <x:c r="L1942" s="6" t="str">
        <x:v>T02, T05, T13</x:v>
      </x:c>
      <x:c r="M1942" s="6" t="str">
        <x:v>Visit multiple rooms in the order specified.</x:v>
      </x:c>
      <x:c r="N1942" s="6" t="str">
        <x:v>{"stops":["resplan-12750-F0-S003","resplan-12750-F0-S002","resplan-12750-F0-S005"],"optimal_length_m":20.25,"legs":[{"from_space_id":"resplan-12750-F0-S003","to_space_id":"resplan-12750-F0-S002","optimal_length_m":9.71,"space_path":["resplan-12750-F0-S003","resplan-12750-F0-S001","resplan-12750-F0-S002"],"element_path":["resplan-12750-F0-O0001","resplan-12750-F0-O0001","resplan-12750-F0-O0003","resplan-12750-F0-O0003"]},{"from_space_id":"resplan-12750-F0-S002","to_space_id":"resplan-12750-F0-S005","optimal_length_m":10.54,"space_path":["resplan-12750-F0-S002","resplan-12750-F0-S001","resplan-12750-F0-S005"],"element_path":["resplan-12750-F0-O0003","resplan-12750-F0-O0003","resplan-12750-F0-O0004","resplan-12750-F0-O0004"]}]}</x:v>
      </x:c>
      <x:c r="O1942" s="6"/>
      <x:c r="P1942" s="6" t="str">
        <x:v>Preserve stated visit order. Do not optimize stop order.</x:v>
      </x:c>
      <x:c r="Q1942" s="15" t="n">
        <x:v>20.25</x:v>
      </x:c>
      <x:c r="R1942" s="6" t="str">
        <x:v>m</x:v>
      </x:c>
      <x:c r="S1942" s="16"/>
      <x:c r="T1942" s="15"/>
      <x:c r="U1942" s="6"/>
      <x:c r="V1942" s="6"/>
      <x:c r="W1942" s="6" t="str">
        <x:v>Existing find_route(via=[...]).</x:v>
      </x:c>
      <x:c r="X1942" s="6" t="str">
        <x:v>data/train/resplan-12750/questions_basic.jsonl</x:v>
      </x:c>
      <x:c r="Y1942" s="14" t="n">
        <x:v>9</x:v>
      </x:c>
      <x:c r="Z1942" s="6" t="str">
        <x:v>https://github.com/hagenhaeussler/Industrial-Agents-Hackathon-2026/blob/f41616590b69f3ea0c1cbfb41d6c35edd9ce53df/data/train/resplan-12750/questions_basic.jsonl#L9</x:v>
      </x:c>
      <x:c r="AA1942" s="6" t="str">
        <x:v>resplan</x:v>
      </x:c>
      <x:c r="AB1942" s="6" t="str">
        <x:v>CC-BY-4.0</x:v>
      </x:c>
    </x:row>
    <x:row r="1943" ht="124" customHeight="1">
      <x:c r="A1943" s="14" t="n">
        <x:v>1938</x:v>
      </x:c>
      <x:c r="B1943" s="6" t="str">
        <x:v>tour</x:v>
      </x:c>
      <x:c r="C1943" s="6" t="str">
        <x:v>Starting at Bedroom 0.03 (Ground floor), visit Kitchen 0.07 (Ground floor), then Living room 0.01 (Ground floor) in this order. What is the route?</x:v>
      </x:c>
      <x:c r="D1943" s="6" t="str">
        <x:v>16.3 m total
Stops: Bedroom 0.03 → Kitchen 0.07 → Living room 0.01
Leg lengths (m): 11.37, 4.93
Full paths are in Answer JSON.</x:v>
      </x:c>
      <x:c r="E1943" s="6" t="str">
        <x:v>Reference supplied</x:v>
      </x:c>
      <x:c r="F1943" s="6" t="str">
        <x:v>train</x:v>
      </x:c>
      <x:c r="G1943" s="6" t="str">
        <x:v>resplan-12844</x:v>
      </x:c>
      <x:c r="H1943" s="6" t="str">
        <x:v>resplan-12844-Q09</x:v>
      </x:c>
      <x:c r="I1943" s="6" t="str">
        <x:v>Route planning</x:v>
      </x:c>
      <x:c r="J1943" s="6" t="str">
        <x:v>Warm-up</x:v>
      </x:c>
      <x:c r="K1943" s="6" t="str">
        <x:v>Ordered stops, path for each leg and total metres.</x:v>
      </x:c>
      <x:c r="L1943" s="6" t="str">
        <x:v>T02, T05, T13</x:v>
      </x:c>
      <x:c r="M1943" s="6" t="str">
        <x:v>Visit multiple rooms in the order specified.</x:v>
      </x:c>
      <x:c r="N1943" s="6" t="str">
        <x:v>{"stops":["resplan-12844-F0-S003","resplan-12844-F0-S007","resplan-12844-F0-S001"],"optimal_length_m":16.3,"legs":[{"from_space_id":"resplan-12844-F0-S003","to_space_id":"resplan-12844-F0-S007","optimal_length_m":11.37,"space_path":["resplan-12844-F0-S003","resplan-12844-F0-S001","resplan-12844-F0-S007"],"element_path":["resplan-12844-F0-O0003","resplan-12844-F0-O0003","resplan-12844-F0-O0006","resplan-12844-F0-O0006"]},{"from_space_id":"resplan-12844-F0-S007","to_space_id":"resplan-12844-F0-S001","optimal_length_m":4.93,"space_path":["resplan-12844-F0-S007","resplan-12844-F0-S001"],"element_path":["resplan-12844-F0-O0006","resplan-12844-F0-O0006"]}]}</x:v>
      </x:c>
      <x:c r="O1943" s="6"/>
      <x:c r="P1943" s="6" t="str">
        <x:v>Preserve stated visit order. Do not optimize stop order.</x:v>
      </x:c>
      <x:c r="Q1943" s="15" t="n">
        <x:v>16.3</x:v>
      </x:c>
      <x:c r="R1943" s="6" t="str">
        <x:v>m</x:v>
      </x:c>
      <x:c r="S1943" s="16"/>
      <x:c r="T1943" s="15"/>
      <x:c r="U1943" s="6"/>
      <x:c r="V1943" s="6"/>
      <x:c r="W1943" s="6" t="str">
        <x:v>Existing find_route(via=[...]).</x:v>
      </x:c>
      <x:c r="X1943" s="6" t="str">
        <x:v>data/train/resplan-12844/questions_basic.jsonl</x:v>
      </x:c>
      <x:c r="Y1943" s="14" t="n">
        <x:v>9</x:v>
      </x:c>
      <x:c r="Z1943" s="6" t="str">
        <x:v>https://github.com/hagenhaeussler/Industrial-Agents-Hackathon-2026/blob/f41616590b69f3ea0c1cbfb41d6c35edd9ce53df/data/train/resplan-12844/questions_basic.jsonl#L9</x:v>
      </x:c>
      <x:c r="AA1943" s="6" t="str">
        <x:v>resplan</x:v>
      </x:c>
      <x:c r="AB1943" s="6" t="str">
        <x:v>CC-BY-4.0</x:v>
      </x:c>
    </x:row>
    <x:row r="1944" ht="138" customHeight="1">
      <x:c r="A1944" s="14" t="n">
        <x:v>1939</x:v>
      </x:c>
      <x:c r="B1944" s="6" t="str">
        <x:v>tour</x:v>
      </x:c>
      <x:c r="C1944" s="6" t="str">
        <x:v>Starting at Bathroom 0.07 (Ground floor), visit Bedroom 0.02 (Ground floor), then Kitchen 0.08 (Ground floor) in this order. What is the route?</x:v>
      </x:c>
      <x:c r="D1944" s="6" t="str">
        <x:v>33.64 m total
Stops: Bathroom 0.07 → Bedroom 0.02 → Kitchen 0.08
Leg lengths (m): 20.88, 12.76
Full paths are in Answer JSON.</x:v>
      </x:c>
      <x:c r="E1944" s="6" t="str">
        <x:v>Reference supplied</x:v>
      </x:c>
      <x:c r="F1944" s="6" t="str">
        <x:v>train</x:v>
      </x:c>
      <x:c r="G1944" s="6" t="str">
        <x:v>resplan-12867</x:v>
      </x:c>
      <x:c r="H1944" s="6" t="str">
        <x:v>resplan-12867-Q09</x:v>
      </x:c>
      <x:c r="I1944" s="6" t="str">
        <x:v>Route planning</x:v>
      </x:c>
      <x:c r="J1944" s="6" t="str">
        <x:v>Warm-up</x:v>
      </x:c>
      <x:c r="K1944" s="6" t="str">
        <x:v>Ordered stops, path for each leg and total metres.</x:v>
      </x:c>
      <x:c r="L1944" s="6" t="str">
        <x:v>T02, T05, T13</x:v>
      </x:c>
      <x:c r="M1944" s="6" t="str">
        <x:v>Visit multiple rooms in the order specified.</x:v>
      </x:c>
      <x:c r="N1944" s="6" t="str">
        <x:v>{"stops":["resplan-12867-F0-S007","resplan-12867-F0-S002","resplan-12867-F0-S008"],"optimal_length_m":33.64,"legs":[{"from_space_id":"resplan-12867-F0-S007","to_space_id":"resplan-12867-F0-S002","optimal_length_m":20.88,"space_path":["resplan-12867-F0-S007","resplan-12867-F0-S004","resplan-12867-F0-S001","resplan-12867-F0-S002"],"element_path":["resplan-12867-F0-O0004","resplan-12867-F0-O0004","resplan-12867-F0-O0003","resplan-12867-F0-O0003","resplan-12867-F0-O0001","resplan-12867-F0-O0001"]},{"from_space_id":"resplan-12867-F0-S002","to_space_id":"resplan-12867-F0-S008","optimal_length_m":12.76,"space_path":["resplan-12867-F0-S002","resplan-12867-F0-S001","resplan-12867-F0-S008"],"element_path":["resplan-12867-F0-O0001","resplan-12867-F0-O0001","resplan-12867-F0-O0009","resplan-12867-F0-O0009"]}]}</x:v>
      </x:c>
      <x:c r="O1944" s="6"/>
      <x:c r="P1944" s="6" t="str">
        <x:v>Preserve stated visit order. Do not optimize stop order.</x:v>
      </x:c>
      <x:c r="Q1944" s="15" t="n">
        <x:v>33.64</x:v>
      </x:c>
      <x:c r="R1944" s="6" t="str">
        <x:v>m</x:v>
      </x:c>
      <x:c r="S1944" s="16"/>
      <x:c r="T1944" s="15"/>
      <x:c r="U1944" s="6"/>
      <x:c r="V1944" s="6"/>
      <x:c r="W1944" s="6" t="str">
        <x:v>Existing find_route(via=[...]).</x:v>
      </x:c>
      <x:c r="X1944" s="6" t="str">
        <x:v>data/train/resplan-12867/questions_basic.jsonl</x:v>
      </x:c>
      <x:c r="Y1944" s="14" t="n">
        <x:v>9</x:v>
      </x:c>
      <x:c r="Z1944" s="6" t="str">
        <x:v>https://github.com/hagenhaeussler/Industrial-Agents-Hackathon-2026/blob/f41616590b69f3ea0c1cbfb41d6c35edd9ce53df/data/train/resplan-12867/questions_basic.jsonl#L9</x:v>
      </x:c>
      <x:c r="AA1944" s="6" t="str">
        <x:v>resplan</x:v>
      </x:c>
      <x:c r="AB1944" s="6" t="str">
        <x:v>CC-BY-4.0</x:v>
      </x:c>
    </x:row>
    <x:row r="1945" ht="110" customHeight="1">
      <x:c r="A1945" s="14" t="n">
        <x:v>1940</x:v>
      </x:c>
      <x:c r="B1945" s="6" t="str">
        <x:v>tour</x:v>
      </x:c>
      <x:c r="C1945" s="6" t="str">
        <x:v>Starting at Bedroom 0.02 (Ground floor), visit Living room 0.01 (Ground floor), then Bedroom 0.03 (Ground floor) in this order. What is the route?</x:v>
      </x:c>
      <x:c r="D1945" s="6" t="str">
        <x:v>17.37 m total
Stops: Bedroom 0.02 → Living room 0.01 → Bedroom 0.03
Leg lengths (m): 8.68, 8.69
Full paths are in Answer JSON.</x:v>
      </x:c>
      <x:c r="E1945" s="6" t="str">
        <x:v>Reference supplied</x:v>
      </x:c>
      <x:c r="F1945" s="6" t="str">
        <x:v>train</x:v>
      </x:c>
      <x:c r="G1945" s="6" t="str">
        <x:v>resplan-12878</x:v>
      </x:c>
      <x:c r="H1945" s="6" t="str">
        <x:v>resplan-12878-Q09</x:v>
      </x:c>
      <x:c r="I1945" s="6" t="str">
        <x:v>Route planning</x:v>
      </x:c>
      <x:c r="J1945" s="6" t="str">
        <x:v>Warm-up</x:v>
      </x:c>
      <x:c r="K1945" s="6" t="str">
        <x:v>Ordered stops, path for each leg and total metres.</x:v>
      </x:c>
      <x:c r="L1945" s="6" t="str">
        <x:v>T02, T05, T13</x:v>
      </x:c>
      <x:c r="M1945" s="6" t="str">
        <x:v>Visit multiple rooms in the order specified.</x:v>
      </x:c>
      <x:c r="N1945" s="6" t="str">
        <x:v>{"stops":["resplan-12878-F0-S002","resplan-12878-F0-S001","resplan-12878-F0-S003"],"optimal_length_m":17.37,"legs":[{"from_space_id":"resplan-12878-F0-S002","to_space_id":"resplan-12878-F0-S001","optimal_length_m":8.68,"space_path":["resplan-12878-F0-S002","resplan-12878-F0-S001"],"element_path":["resplan-12878-F0-O0002","resplan-12878-F0-O0002"]},{"from_space_id":"resplan-12878-F0-S001","to_space_id":"resplan-12878-F0-S003","optimal_length_m":8.69,"space_path":["resplan-12878-F0-S001","resplan-12878-F0-S003"],"element_path":["resplan-12878-F0-O0003","resplan-12878-F0-O0003"]}]}</x:v>
      </x:c>
      <x:c r="O1945" s="6"/>
      <x:c r="P1945" s="6" t="str">
        <x:v>Preserve stated visit order. Do not optimize stop order.</x:v>
      </x:c>
      <x:c r="Q1945" s="15" t="n">
        <x:v>17.37</x:v>
      </x:c>
      <x:c r="R1945" s="6" t="str">
        <x:v>m</x:v>
      </x:c>
      <x:c r="S1945" s="16"/>
      <x:c r="T1945" s="15"/>
      <x:c r="U1945" s="6"/>
      <x:c r="V1945" s="6"/>
      <x:c r="W1945" s="6" t="str">
        <x:v>Existing find_route(via=[...]).</x:v>
      </x:c>
      <x:c r="X1945" s="6" t="str">
        <x:v>data/train/resplan-12878/questions_basic.jsonl</x:v>
      </x:c>
      <x:c r="Y1945" s="14" t="n">
        <x:v>9</x:v>
      </x:c>
      <x:c r="Z1945" s="6" t="str">
        <x:v>https://github.com/hagenhaeussler/Industrial-Agents-Hackathon-2026/blob/f41616590b69f3ea0c1cbfb41d6c35edd9ce53df/data/train/resplan-12878/questions_basic.jsonl#L9</x:v>
      </x:c>
      <x:c r="AA1945" s="6" t="str">
        <x:v>resplan</x:v>
      </x:c>
      <x:c r="AB1945" s="6" t="str">
        <x:v>CC-BY-4.0</x:v>
      </x:c>
    </x:row>
    <x:row r="1946" ht="110" customHeight="1">
      <x:c r="A1946" s="14" t="n">
        <x:v>1941</x:v>
      </x:c>
      <x:c r="B1946" s="6" t="str">
        <x:v>tour</x:v>
      </x:c>
      <x:c r="C1946" s="6" t="str">
        <x:v>Starting at Bathroom 0.04 (Ground floor), visit Living room 0.01 (Ground floor), then Kitchen 0.06 (Ground floor) in this order. What is the route?</x:v>
      </x:c>
      <x:c r="D1946" s="6" t="str">
        <x:v>3.99 m total
Stops: Bathroom 0.04 → Living room 0.01 → Kitchen 0.06
Leg lengths (m): 1.92, 2.07
Full paths are in Answer JSON.</x:v>
      </x:c>
      <x:c r="E1946" s="6" t="str">
        <x:v>Reference supplied</x:v>
      </x:c>
      <x:c r="F1946" s="6" t="str">
        <x:v>train</x:v>
      </x:c>
      <x:c r="G1946" s="6" t="str">
        <x:v>resplan-12897</x:v>
      </x:c>
      <x:c r="H1946" s="6" t="str">
        <x:v>resplan-12897-Q09</x:v>
      </x:c>
      <x:c r="I1946" s="6" t="str">
        <x:v>Route planning</x:v>
      </x:c>
      <x:c r="J1946" s="6" t="str">
        <x:v>Warm-up</x:v>
      </x:c>
      <x:c r="K1946" s="6" t="str">
        <x:v>Ordered stops, path for each leg and total metres.</x:v>
      </x:c>
      <x:c r="L1946" s="6" t="str">
        <x:v>T02, T05, T13</x:v>
      </x:c>
      <x:c r="M1946" s="6" t="str">
        <x:v>Visit multiple rooms in the order specified.</x:v>
      </x:c>
      <x:c r="N1946" s="6" t="str">
        <x:v>{"stops":["resplan-12897-F0-S004","resplan-12897-F0-S001","resplan-12897-F0-S006"],"optimal_length_m":3.99,"legs":[{"from_space_id":"resplan-12897-F0-S004","to_space_id":"resplan-12897-F0-S001","optimal_length_m":1.92,"space_path":["resplan-12897-F0-S004","resplan-12897-F0-S001"],"element_path":["resplan-12897-F0-O0004","resplan-12897-F0-O0004"]},{"from_space_id":"resplan-12897-F0-S001","to_space_id":"resplan-12897-F0-S006","optimal_length_m":2.07,"space_path":["resplan-12897-F0-S001","resplan-12897-F0-S006"],"element_path":["resplan-12897-F0-O0006","resplan-12897-F0-O0006"]}]}</x:v>
      </x:c>
      <x:c r="O1946" s="6"/>
      <x:c r="P1946" s="6" t="str">
        <x:v>Preserve stated visit order. Do not optimize stop order.</x:v>
      </x:c>
      <x:c r="Q1946" s="15" t="n">
        <x:v>3.99</x:v>
      </x:c>
      <x:c r="R1946" s="6" t="str">
        <x:v>m</x:v>
      </x:c>
      <x:c r="S1946" s="16"/>
      <x:c r="T1946" s="15"/>
      <x:c r="U1946" s="6"/>
      <x:c r="V1946" s="6"/>
      <x:c r="W1946" s="6" t="str">
        <x:v>Existing find_route(via=[...]).</x:v>
      </x:c>
      <x:c r="X1946" s="6" t="str">
        <x:v>data/train/resplan-12897/questions_basic.jsonl</x:v>
      </x:c>
      <x:c r="Y1946" s="14" t="n">
        <x:v>9</x:v>
      </x:c>
      <x:c r="Z1946" s="6" t="str">
        <x:v>https://github.com/hagenhaeussler/Industrial-Agents-Hackathon-2026/blob/f41616590b69f3ea0c1cbfb41d6c35edd9ce53df/data/train/resplan-12897/questions_basic.jsonl#L9</x:v>
      </x:c>
      <x:c r="AA1946" s="6" t="str">
        <x:v>resplan</x:v>
      </x:c>
      <x:c r="AB1946" s="6" t="str">
        <x:v>CC-BY-4.0</x:v>
      </x:c>
    </x:row>
    <x:row r="1947" ht="124" customHeight="1">
      <x:c r="A1947" s="14" t="n">
        <x:v>1942</x:v>
      </x:c>
      <x:c r="B1947" s="6" t="str">
        <x:v>tour</x:v>
      </x:c>
      <x:c r="C1947" s="6" t="str">
        <x:v>Starting at Bedroom 0.05 (Ground floor), visit Bedroom 0.04 (Ground floor), then Living room 0.01 (Ground floor) in this order. What is the route?</x:v>
      </x:c>
      <x:c r="D1947" s="6" t="str">
        <x:v>22.38 m total
Stops: Bedroom 0.05 → Bedroom 0.04 → Living room 0.01
Leg lengths (m): 15.05, 7.33
Full paths are in Answer JSON.</x:v>
      </x:c>
      <x:c r="E1947" s="6" t="str">
        <x:v>Reference supplied</x:v>
      </x:c>
      <x:c r="F1947" s="6" t="str">
        <x:v>train</x:v>
      </x:c>
      <x:c r="G1947" s="6" t="str">
        <x:v>resplan-12985</x:v>
      </x:c>
      <x:c r="H1947" s="6" t="str">
        <x:v>resplan-12985-Q09</x:v>
      </x:c>
      <x:c r="I1947" s="6" t="str">
        <x:v>Route planning</x:v>
      </x:c>
      <x:c r="J1947" s="6" t="str">
        <x:v>Warm-up</x:v>
      </x:c>
      <x:c r="K1947" s="6" t="str">
        <x:v>Ordered stops, path for each leg and total metres.</x:v>
      </x:c>
      <x:c r="L1947" s="6" t="str">
        <x:v>T02, T05, T13</x:v>
      </x:c>
      <x:c r="M1947" s="6" t="str">
        <x:v>Visit multiple rooms in the order specified.</x:v>
      </x:c>
      <x:c r="N1947" s="6" t="str">
        <x:v>{"stops":["resplan-12985-F0-S005","resplan-12985-F0-S004","resplan-12985-F0-S001"],"optimal_length_m":22.38,"legs":[{"from_space_id":"resplan-12985-F0-S005","to_space_id":"resplan-12985-F0-S004","optimal_length_m":15.05,"space_path":["resplan-12985-F0-S005","resplan-12985-F0-S001","resplan-12985-F0-S004"],"element_path":["resplan-12985-F0-O0012","resplan-12985-F0-O0012","resplan-12985-F0-O0004","resplan-12985-F0-O0004"]},{"from_space_id":"resplan-12985-F0-S004","to_space_id":"resplan-12985-F0-S001","optimal_length_m":7.33,"space_path":["resplan-12985-F0-S004","resplan-12985-F0-S001"],"element_path":["resplan-12985-F0-O0004","resplan-12985-F0-O0004"]}]}</x:v>
      </x:c>
      <x:c r="O1947" s="6"/>
      <x:c r="P1947" s="6" t="str">
        <x:v>Preserve stated visit order. Do not optimize stop order.</x:v>
      </x:c>
      <x:c r="Q1947" s="15" t="n">
        <x:v>22.38</x:v>
      </x:c>
      <x:c r="R1947" s="6" t="str">
        <x:v>m</x:v>
      </x:c>
      <x:c r="S1947" s="16"/>
      <x:c r="T1947" s="15"/>
      <x:c r="U1947" s="6"/>
      <x:c r="V1947" s="6"/>
      <x:c r="W1947" s="6" t="str">
        <x:v>Existing find_route(via=[...]).</x:v>
      </x:c>
      <x:c r="X1947" s="6" t="str">
        <x:v>data/train/resplan-12985/questions_basic.jsonl</x:v>
      </x:c>
      <x:c r="Y1947" s="14" t="n">
        <x:v>9</x:v>
      </x:c>
      <x:c r="Z1947" s="6" t="str">
        <x:v>https://github.com/hagenhaeussler/Industrial-Agents-Hackathon-2026/blob/f41616590b69f3ea0c1cbfb41d6c35edd9ce53df/data/train/resplan-12985/questions_basic.jsonl#L9</x:v>
      </x:c>
      <x:c r="AA1947" s="6" t="str">
        <x:v>resplan</x:v>
      </x:c>
      <x:c r="AB1947" s="6" t="str">
        <x:v>CC-BY-4.0</x:v>
      </x:c>
    </x:row>
    <x:row r="1948" ht="124" customHeight="1">
      <x:c r="A1948" s="14" t="n">
        <x:v>1943</x:v>
      </x:c>
      <x:c r="B1948" s="6" t="str">
        <x:v>tour</x:v>
      </x:c>
      <x:c r="C1948" s="6" t="str">
        <x:v>Starting at Kitchen 0.07 (Ground floor), visit Bathroom 0.05 (Ground floor), then Bedroom 0.03 (Ground floor) in this order. What is the route?</x:v>
      </x:c>
      <x:c r="D1948" s="6" t="str">
        <x:v>22.11 m total
Stops: Kitchen 0.07 → Bathroom 0.05 → Bedroom 0.03
Leg lengths (m): 11.48, 10.63
Full paths are in Answer JSON.</x:v>
      </x:c>
      <x:c r="E1948" s="6" t="str">
        <x:v>Reference supplied</x:v>
      </x:c>
      <x:c r="F1948" s="6" t="str">
        <x:v>train</x:v>
      </x:c>
      <x:c r="G1948" s="6" t="str">
        <x:v>resplan-13024</x:v>
      </x:c>
      <x:c r="H1948" s="6" t="str">
        <x:v>resplan-13024-Q09</x:v>
      </x:c>
      <x:c r="I1948" s="6" t="str">
        <x:v>Route planning</x:v>
      </x:c>
      <x:c r="J1948" s="6" t="str">
        <x:v>Warm-up</x:v>
      </x:c>
      <x:c r="K1948" s="6" t="str">
        <x:v>Ordered stops, path for each leg and total metres.</x:v>
      </x:c>
      <x:c r="L1948" s="6" t="str">
        <x:v>T02, T05, T13</x:v>
      </x:c>
      <x:c r="M1948" s="6" t="str">
        <x:v>Visit multiple rooms in the order specified.</x:v>
      </x:c>
      <x:c r="N1948" s="6" t="str">
        <x:v>{"stops":["resplan-13024-F0-S007","resplan-13024-F0-S005","resplan-13024-F0-S003"],"optimal_length_m":22.11,"legs":[{"from_space_id":"resplan-13024-F0-S007","to_space_id":"resplan-13024-F0-S005","optimal_length_m":11.48,"space_path":["resplan-13024-F0-S007","resplan-13024-F0-S001","resplan-13024-F0-S005"],"element_path":["resplan-13024-F0-O0007","resplan-13024-F0-O0007","resplan-13024-F0-O0002","resplan-13024-F0-O0002"]},{"from_space_id":"resplan-13024-F0-S005","to_space_id":"resplan-13024-F0-S003","optimal_length_m":10.63,"space_path":["resplan-13024-F0-S005","resplan-13024-F0-S001","resplan-13024-F0-S003"],"element_path":["resplan-13024-F0-O0002","resplan-13024-F0-O0002","resplan-13024-F0-O0004","resplan-13024-F0-O0004"]}]}</x:v>
      </x:c>
      <x:c r="O1948" s="6"/>
      <x:c r="P1948" s="6" t="str">
        <x:v>Preserve stated visit order. Do not optimize stop order.</x:v>
      </x:c>
      <x:c r="Q1948" s="15" t="n">
        <x:v>22.11</x:v>
      </x:c>
      <x:c r="R1948" s="6" t="str">
        <x:v>m</x:v>
      </x:c>
      <x:c r="S1948" s="16"/>
      <x:c r="T1948" s="15"/>
      <x:c r="U1948" s="6"/>
      <x:c r="V1948" s="6"/>
      <x:c r="W1948" s="6" t="str">
        <x:v>Existing find_route(via=[...]).</x:v>
      </x:c>
      <x:c r="X1948" s="6" t="str">
        <x:v>data/train/resplan-13024/questions_basic.jsonl</x:v>
      </x:c>
      <x:c r="Y1948" s="14" t="n">
        <x:v>9</x:v>
      </x:c>
      <x:c r="Z1948" s="6" t="str">
        <x:v>https://github.com/hagenhaeussler/Industrial-Agents-Hackathon-2026/blob/f41616590b69f3ea0c1cbfb41d6c35edd9ce53df/data/train/resplan-13024/questions_basic.jsonl#L9</x:v>
      </x:c>
      <x:c r="AA1948" s="6" t="str">
        <x:v>resplan</x:v>
      </x:c>
      <x:c r="AB1948" s="6" t="str">
        <x:v>CC-BY-4.0</x:v>
      </x:c>
    </x:row>
    <x:row r="1949" ht="124" customHeight="1">
      <x:c r="A1949" s="14" t="n">
        <x:v>1944</x:v>
      </x:c>
      <x:c r="B1949" s="6" t="str">
        <x:v>tour</x:v>
      </x:c>
      <x:c r="C1949" s="6" t="str">
        <x:v>Starting at Living room 0.01 (Ground floor), visit Bedroom 0.04 (Ground floor), then Bathroom 0.05 (Ground floor) in this order. What is the route?</x:v>
      </x:c>
      <x:c r="D1949" s="6" t="str">
        <x:v>27.73 m total
Stops: Living room 0.01 → Bedroom 0.04 → Bathroom 0.05
Leg lengths (m): 8.11, 19.62
Full paths are in Answer JSON.</x:v>
      </x:c>
      <x:c r="E1949" s="6" t="str">
        <x:v>Reference supplied</x:v>
      </x:c>
      <x:c r="F1949" s="6" t="str">
        <x:v>train</x:v>
      </x:c>
      <x:c r="G1949" s="6" t="str">
        <x:v>resplan-13846</x:v>
      </x:c>
      <x:c r="H1949" s="6" t="str">
        <x:v>resplan-13846-Q09</x:v>
      </x:c>
      <x:c r="I1949" s="6" t="str">
        <x:v>Route planning</x:v>
      </x:c>
      <x:c r="J1949" s="6" t="str">
        <x:v>Warm-up</x:v>
      </x:c>
      <x:c r="K1949" s="6" t="str">
        <x:v>Ordered stops, path for each leg and total metres.</x:v>
      </x:c>
      <x:c r="L1949" s="6" t="str">
        <x:v>T02, T05, T13</x:v>
      </x:c>
      <x:c r="M1949" s="6" t="str">
        <x:v>Visit multiple rooms in the order specified.</x:v>
      </x:c>
      <x:c r="N1949" s="6" t="str">
        <x:v>{"stops":["resplan-13846-F0-S001","resplan-13846-F0-S004","resplan-13846-F0-S005"],"optimal_length_m":27.73,"legs":[{"from_space_id":"resplan-13846-F0-S001","to_space_id":"resplan-13846-F0-S004","optimal_length_m":8.11,"space_path":["resplan-13846-F0-S001","resplan-13846-F0-S004"],"element_path":["resplan-13846-F0-O0004","resplan-13846-F0-O0004"]},{"from_space_id":"resplan-13846-F0-S004","to_space_id":"resplan-13846-F0-S005","optimal_length_m":19.62,"space_path":["resplan-13846-F0-S004","resplan-13846-F0-S001","resplan-13846-F0-S003","resplan-13846-F0-S005"],"element_path":["resplan-13846-F0-O0004","resplan-13846-F0-O0004","resplan-13846-F0-O0005","resplan-13846-F0-O0005","resplan-13846-F0-O0003","resplan-13846-F0-O0003"]}]}</x:v>
      </x:c>
      <x:c r="O1949" s="6"/>
      <x:c r="P1949" s="6" t="str">
        <x:v>Preserve stated visit order. Do not optimize stop order.</x:v>
      </x:c>
      <x:c r="Q1949" s="15" t="n">
        <x:v>27.73</x:v>
      </x:c>
      <x:c r="R1949" s="6" t="str">
        <x:v>m</x:v>
      </x:c>
      <x:c r="S1949" s="16"/>
      <x:c r="T1949" s="15"/>
      <x:c r="U1949" s="6"/>
      <x:c r="V1949" s="6"/>
      <x:c r="W1949" s="6" t="str">
        <x:v>Existing find_route(via=[...]).</x:v>
      </x:c>
      <x:c r="X1949" s="6" t="str">
        <x:v>data/train/resplan-13846/questions_basic.jsonl</x:v>
      </x:c>
      <x:c r="Y1949" s="14" t="n">
        <x:v>9</x:v>
      </x:c>
      <x:c r="Z1949" s="6" t="str">
        <x:v>https://github.com/hagenhaeussler/Industrial-Agents-Hackathon-2026/blob/f41616590b69f3ea0c1cbfb41d6c35edd9ce53df/data/train/resplan-13846/questions_basic.jsonl#L9</x:v>
      </x:c>
      <x:c r="AA1949" s="6" t="str">
        <x:v>resplan</x:v>
      </x:c>
      <x:c r="AB1949" s="6" t="str">
        <x:v>CC-BY-4.0</x:v>
      </x:c>
    </x:row>
    <x:row r="1950" ht="124" customHeight="1">
      <x:c r="A1950" s="14" t="n">
        <x:v>1945</x:v>
      </x:c>
      <x:c r="B1950" s="6" t="str">
        <x:v>tour</x:v>
      </x:c>
      <x:c r="C1950" s="6" t="str">
        <x:v>Starting at Bedroom 0.02 (Ground floor), visit Bathroom 0.03 (Ground floor), then Bathroom 0.04 (Ground floor) in this order. What is the route?</x:v>
      </x:c>
      <x:c r="D1950" s="6" t="str">
        <x:v>21.16 m total
Stops: Bedroom 0.02 → Bathroom 0.03 → Bathroom 0.04
Leg lengths (m): 12, 9.16
Full paths are in Answer JSON.</x:v>
      </x:c>
      <x:c r="E1950" s="6" t="str">
        <x:v>Reference supplied</x:v>
      </x:c>
      <x:c r="F1950" s="6" t="str">
        <x:v>train</x:v>
      </x:c>
      <x:c r="G1950" s="6" t="str">
        <x:v>resplan-14012</x:v>
      </x:c>
      <x:c r="H1950" s="6" t="str">
        <x:v>resplan-14012-Q09</x:v>
      </x:c>
      <x:c r="I1950" s="6" t="str">
        <x:v>Route planning</x:v>
      </x:c>
      <x:c r="J1950" s="6" t="str">
        <x:v>Warm-up</x:v>
      </x:c>
      <x:c r="K1950" s="6" t="str">
        <x:v>Ordered stops, path for each leg and total metres.</x:v>
      </x:c>
      <x:c r="L1950" s="6" t="str">
        <x:v>T02, T05, T13</x:v>
      </x:c>
      <x:c r="M1950" s="6" t="str">
        <x:v>Visit multiple rooms in the order specified.</x:v>
      </x:c>
      <x:c r="N1950" s="6" t="str">
        <x:v>{"stops":["resplan-14012-F0-S002","resplan-14012-F0-S003","resplan-14012-F0-S004"],"optimal_length_m":21.16,"legs":[{"from_space_id":"resplan-14012-F0-S002","to_space_id":"resplan-14012-F0-S003","optimal_length_m":12,"space_path":["resplan-14012-F0-S002","resplan-14012-F0-S001","resplan-14012-F0-S003"],"element_path":["resplan-14012-F0-O0003","resplan-14012-F0-O0003","resplan-14012-F0-O0002","resplan-14012-F0-O0002"]},{"from_space_id":"resplan-14012-F0-S003","to_space_id":"resplan-14012-F0-S004","optimal_length_m":9.16,"space_path":["resplan-14012-F0-S003","resplan-14012-F0-S001","resplan-14012-F0-S004"],"element_path":["resplan-14012-F0-O0002","resplan-14012-F0-O0002","resplan-14012-F0-O0001","resplan-14012-F0-O0001"]}]}</x:v>
      </x:c>
      <x:c r="O1950" s="6"/>
      <x:c r="P1950" s="6" t="str">
        <x:v>Preserve stated visit order. Do not optimize stop order.</x:v>
      </x:c>
      <x:c r="Q1950" s="15" t="n">
        <x:v>21.16</x:v>
      </x:c>
      <x:c r="R1950" s="6" t="str">
        <x:v>m</x:v>
      </x:c>
      <x:c r="S1950" s="16"/>
      <x:c r="T1950" s="15"/>
      <x:c r="U1950" s="6"/>
      <x:c r="V1950" s="6"/>
      <x:c r="W1950" s="6" t="str">
        <x:v>Existing find_route(via=[...]).</x:v>
      </x:c>
      <x:c r="X1950" s="6" t="str">
        <x:v>data/train/resplan-14012/questions_basic.jsonl</x:v>
      </x:c>
      <x:c r="Y1950" s="14" t="n">
        <x:v>9</x:v>
      </x:c>
      <x:c r="Z1950" s="6" t="str">
        <x:v>https://github.com/hagenhaeussler/Industrial-Agents-Hackathon-2026/blob/f41616590b69f3ea0c1cbfb41d6c35edd9ce53df/data/train/resplan-14012/questions_basic.jsonl#L9</x:v>
      </x:c>
      <x:c r="AA1950" s="6" t="str">
        <x:v>resplan</x:v>
      </x:c>
      <x:c r="AB1950" s="6" t="str">
        <x:v>CC-BY-4.0</x:v>
      </x:c>
    </x:row>
    <x:row r="1951" ht="124" customHeight="1">
      <x:c r="A1951" s="14" t="n">
        <x:v>1946</x:v>
      </x:c>
      <x:c r="B1951" s="6" t="str">
        <x:v>tour</x:v>
      </x:c>
      <x:c r="C1951" s="6" t="str">
        <x:v>Starting at Living room 0.01 (Ground floor), visit Kitchen 0.06 (Ground floor), then Bedroom 0.02 (Ground floor) in this order. What is the route?</x:v>
      </x:c>
      <x:c r="D1951" s="6" t="str">
        <x:v>15.14 m total
Stops: Living room 0.01 → Kitchen 0.06 → Bedroom 0.02
Leg lengths (m): 4.81, 10.33
Full paths are in Answer JSON.</x:v>
      </x:c>
      <x:c r="E1951" s="6" t="str">
        <x:v>Reference supplied</x:v>
      </x:c>
      <x:c r="F1951" s="6" t="str">
        <x:v>train</x:v>
      </x:c>
      <x:c r="G1951" s="6" t="str">
        <x:v>resplan-14211</x:v>
      </x:c>
      <x:c r="H1951" s="6" t="str">
        <x:v>resplan-14211-Q09</x:v>
      </x:c>
      <x:c r="I1951" s="6" t="str">
        <x:v>Route planning</x:v>
      </x:c>
      <x:c r="J1951" s="6" t="str">
        <x:v>Warm-up</x:v>
      </x:c>
      <x:c r="K1951" s="6" t="str">
        <x:v>Ordered stops, path for each leg and total metres.</x:v>
      </x:c>
      <x:c r="L1951" s="6" t="str">
        <x:v>T02, T05, T13</x:v>
      </x:c>
      <x:c r="M1951" s="6" t="str">
        <x:v>Visit multiple rooms in the order specified.</x:v>
      </x:c>
      <x:c r="N1951" s="6" t="str">
        <x:v>{"stops":["resplan-14211-F0-S001","resplan-14211-F0-S006","resplan-14211-F0-S002"],"optimal_length_m":15.14,"legs":[{"from_space_id":"resplan-14211-F0-S001","to_space_id":"resplan-14211-F0-S006","optimal_length_m":4.81,"space_path":["resplan-14211-F0-S001","resplan-14211-F0-S006"],"element_path":["resplan-14211-F0-O0006","resplan-14211-F0-O0006"]},{"from_space_id":"resplan-14211-F0-S006","to_space_id":"resplan-14211-F0-S002","optimal_length_m":10.33,"space_path":["resplan-14211-F0-S006","resplan-14211-F0-S001","resplan-14211-F0-S002"],"element_path":["resplan-14211-F0-O0006","resplan-14211-F0-O0006","resplan-14211-F0-O0002","resplan-14211-F0-O0002"]}]}</x:v>
      </x:c>
      <x:c r="O1951" s="6"/>
      <x:c r="P1951" s="6" t="str">
        <x:v>Preserve stated visit order. Do not optimize stop order.</x:v>
      </x:c>
      <x:c r="Q1951" s="15" t="n">
        <x:v>15.14</x:v>
      </x:c>
      <x:c r="R1951" s="6" t="str">
        <x:v>m</x:v>
      </x:c>
      <x:c r="S1951" s="16"/>
      <x:c r="T1951" s="15"/>
      <x:c r="U1951" s="6"/>
      <x:c r="V1951" s="6"/>
      <x:c r="W1951" s="6" t="str">
        <x:v>Existing find_route(via=[...]).</x:v>
      </x:c>
      <x:c r="X1951" s="6" t="str">
        <x:v>data/train/resplan-14211/questions_basic.jsonl</x:v>
      </x:c>
      <x:c r="Y1951" s="14" t="n">
        <x:v>9</x:v>
      </x:c>
      <x:c r="Z1951" s="6" t="str">
        <x:v>https://github.com/hagenhaeussler/Industrial-Agents-Hackathon-2026/blob/f41616590b69f3ea0c1cbfb41d6c35edd9ce53df/data/train/resplan-14211/questions_basic.jsonl#L9</x:v>
      </x:c>
      <x:c r="AA1951" s="6" t="str">
        <x:v>resplan</x:v>
      </x:c>
      <x:c r="AB1951" s="6" t="str">
        <x:v>CC-BY-4.0</x:v>
      </x:c>
    </x:row>
    <x:row r="1952" ht="152" customHeight="1">
      <x:c r="A1952" s="14" t="n">
        <x:v>1947</x:v>
      </x:c>
      <x:c r="B1952" s="6" t="str">
        <x:v>tour</x:v>
      </x:c>
      <x:c r="C1952" s="6" t="str">
        <x:v>Starting at Bedroom 0.02 (Ground floor), visit Bathroom 0.07 (Ground floor), then Bedroom 0.04 (Ground floor) in this order. What is the route?</x:v>
      </x:c>
      <x:c r="D1952" s="6" t="str">
        <x:v>36.71 m total
Stops: Bedroom 0.02 → Bathroom 0.07 → Bedroom 0.04
Leg lengths (m): 17.89, 18.82
Full paths are in Answer JSON.</x:v>
      </x:c>
      <x:c r="E1952" s="6" t="str">
        <x:v>Reference supplied</x:v>
      </x:c>
      <x:c r="F1952" s="6" t="str">
        <x:v>train</x:v>
      </x:c>
      <x:c r="G1952" s="6" t="str">
        <x:v>resplan-14407</x:v>
      </x:c>
      <x:c r="H1952" s="6" t="str">
        <x:v>resplan-14407-Q09</x:v>
      </x:c>
      <x:c r="I1952" s="6" t="str">
        <x:v>Route planning</x:v>
      </x:c>
      <x:c r="J1952" s="6" t="str">
        <x:v>Warm-up</x:v>
      </x:c>
      <x:c r="K1952" s="6" t="str">
        <x:v>Ordered stops, path for each leg and total metres.</x:v>
      </x:c>
      <x:c r="L1952" s="6" t="str">
        <x:v>T02, T05, T13</x:v>
      </x:c>
      <x:c r="M1952" s="6" t="str">
        <x:v>Visit multiple rooms in the order specified.</x:v>
      </x:c>
      <x:c r="N1952" s="6" t="str">
        <x:v>{"stops":["resplan-14407-F0-S002","resplan-14407-F0-S007","resplan-14407-F0-S004"],"optimal_length_m":36.71,"legs":[{"from_space_id":"resplan-14407-F0-S002","to_space_id":"resplan-14407-F0-S007","optimal_length_m":17.89,"space_path":["resplan-14407-F0-S002","resplan-14407-F0-S001","resplan-14407-F0-S003","resplan-14407-F0-S007"],"element_path":["resplan-14407-F0-O0002","resplan-14407-F0-O0002","resplan-14407-F0-O0003","resplan-14407-F0-O0003","resplan-14407-F0-O0006","resplan-14407-F0-O0006"]},{"from_space_id":"resplan-14407-F0-S007","to_space_id":"resplan-14407-F0-S004","optimal_length_m":18.82,"space_path":["resplan-14407-F0-S007","resplan-14407-F0-S003","resplan-14407-F0-S001","resplan-14407-F0-S004"],"element_path":["resplan-14407-F0-O0006","resplan-14407-F0-O0006","resplan-14407-F0-O0003","resplan-14407-F0-O0003","resplan-14407-F0-O0005","resplan-14407-F0-O0005"]}]}</x:v>
      </x:c>
      <x:c r="O1952" s="6"/>
      <x:c r="P1952" s="6" t="str">
        <x:v>Preserve stated visit order. Do not optimize stop order.</x:v>
      </x:c>
      <x:c r="Q1952" s="15" t="n">
        <x:v>36.71</x:v>
      </x:c>
      <x:c r="R1952" s="6" t="str">
        <x:v>m</x:v>
      </x:c>
      <x:c r="S1952" s="16"/>
      <x:c r="T1952" s="15"/>
      <x:c r="U1952" s="6"/>
      <x:c r="V1952" s="6"/>
      <x:c r="W1952" s="6" t="str">
        <x:v>Existing find_route(via=[...]).</x:v>
      </x:c>
      <x:c r="X1952" s="6" t="str">
        <x:v>data/train/resplan-14407/questions_basic.jsonl</x:v>
      </x:c>
      <x:c r="Y1952" s="14" t="n">
        <x:v>9</x:v>
      </x:c>
      <x:c r="Z1952" s="6" t="str">
        <x:v>https://github.com/hagenhaeussler/Industrial-Agents-Hackathon-2026/blob/f41616590b69f3ea0c1cbfb41d6c35edd9ce53df/data/train/resplan-14407/questions_basic.jsonl#L9</x:v>
      </x:c>
      <x:c r="AA1952" s="6" t="str">
        <x:v>resplan</x:v>
      </x:c>
      <x:c r="AB1952" s="6" t="str">
        <x:v>CC-BY-4.0</x:v>
      </x:c>
    </x:row>
    <x:row r="1953" ht="124" customHeight="1">
      <x:c r="A1953" s="14" t="n">
        <x:v>1948</x:v>
      </x:c>
      <x:c r="B1953" s="6" t="str">
        <x:v>tour</x:v>
      </x:c>
      <x:c r="C1953" s="6" t="str">
        <x:v>Starting at Bedroom 0.02 (Ground floor), visit Bathroom 0.06 (Ground floor), then Living room 0.01 (Ground floor) in this order. What is the route?</x:v>
      </x:c>
      <x:c r="D1953" s="6" t="str">
        <x:v>18.64 m total
Stops: Bedroom 0.02 → Bathroom 0.06 → Living room 0.01
Leg lengths (m): 3.78, 14.86
Full paths are in Answer JSON.</x:v>
      </x:c>
      <x:c r="E1953" s="6" t="str">
        <x:v>Reference supplied</x:v>
      </x:c>
      <x:c r="F1953" s="6" t="str">
        <x:v>train</x:v>
      </x:c>
      <x:c r="G1953" s="6" t="str">
        <x:v>resplan-14602</x:v>
      </x:c>
      <x:c r="H1953" s="6" t="str">
        <x:v>resplan-14602-Q09</x:v>
      </x:c>
      <x:c r="I1953" s="6" t="str">
        <x:v>Route planning</x:v>
      </x:c>
      <x:c r="J1953" s="6" t="str">
        <x:v>Warm-up</x:v>
      </x:c>
      <x:c r="K1953" s="6" t="str">
        <x:v>Ordered stops, path for each leg and total metres.</x:v>
      </x:c>
      <x:c r="L1953" s="6" t="str">
        <x:v>T02, T05, T13</x:v>
      </x:c>
      <x:c r="M1953" s="6" t="str">
        <x:v>Visit multiple rooms in the order specified.</x:v>
      </x:c>
      <x:c r="N1953" s="6" t="str">
        <x:v>{"stops":["resplan-14602-F0-S002","resplan-14602-F0-S006","resplan-14602-F0-S001"],"optimal_length_m":18.64,"legs":[{"from_space_id":"resplan-14602-F0-S002","to_space_id":"resplan-14602-F0-S006","optimal_length_m":3.78,"space_path":["resplan-14602-F0-S002","resplan-14602-F0-S006"],"element_path":["resplan-14602-F0-O0001","resplan-14602-F0-O0001"]},{"from_space_id":"resplan-14602-F0-S006","to_space_id":"resplan-14602-F0-S001","optimal_length_m":14.86,"space_path":["resplan-14602-F0-S006","resplan-14602-F0-S002","resplan-14602-F0-S001"],"element_path":["resplan-14602-F0-O0001","resplan-14602-F0-O0001","resplan-14602-F0-O0002","resplan-14602-F0-O0002"]}]}</x:v>
      </x:c>
      <x:c r="O1953" s="6"/>
      <x:c r="P1953" s="6" t="str">
        <x:v>Preserve stated visit order. Do not optimize stop order.</x:v>
      </x:c>
      <x:c r="Q1953" s="15" t="n">
        <x:v>18.64</x:v>
      </x:c>
      <x:c r="R1953" s="6" t="str">
        <x:v>m</x:v>
      </x:c>
      <x:c r="S1953" s="16"/>
      <x:c r="T1953" s="15"/>
      <x:c r="U1953" s="6"/>
      <x:c r="V1953" s="6"/>
      <x:c r="W1953" s="6" t="str">
        <x:v>Existing find_route(via=[...]).</x:v>
      </x:c>
      <x:c r="X1953" s="6" t="str">
        <x:v>data/train/resplan-14602/questions_basic.jsonl</x:v>
      </x:c>
      <x:c r="Y1953" s="14" t="n">
        <x:v>9</x:v>
      </x:c>
      <x:c r="Z1953" s="6" t="str">
        <x:v>https://github.com/hagenhaeussler/Industrial-Agents-Hackathon-2026/blob/f41616590b69f3ea0c1cbfb41d6c35edd9ce53df/data/train/resplan-14602/questions_basic.jsonl#L9</x:v>
      </x:c>
      <x:c r="AA1953" s="6" t="str">
        <x:v>resplan</x:v>
      </x:c>
      <x:c r="AB1953" s="6" t="str">
        <x:v>CC-BY-4.0</x:v>
      </x:c>
    </x:row>
    <x:row r="1954" ht="124" customHeight="1">
      <x:c r="A1954" s="14" t="n">
        <x:v>1949</x:v>
      </x:c>
      <x:c r="B1954" s="6" t="str">
        <x:v>tour</x:v>
      </x:c>
      <x:c r="C1954" s="6" t="str">
        <x:v>Starting at Bedroom 0.04 (Ground floor), visit Bedroom 0.02 (Ground floor), then Bathroom 0.05 (Ground floor) in this order. What is the route?</x:v>
      </x:c>
      <x:c r="D1954" s="6" t="str">
        <x:v>22.56 m total
Stops: Bedroom 0.04 → Bedroom 0.02 → Bathroom 0.05
Leg lengths (m): 11.95, 10.61
Full paths are in Answer JSON.</x:v>
      </x:c>
      <x:c r="E1954" s="6" t="str">
        <x:v>Reference supplied</x:v>
      </x:c>
      <x:c r="F1954" s="6" t="str">
        <x:v>train</x:v>
      </x:c>
      <x:c r="G1954" s="6" t="str">
        <x:v>resplan-15074</x:v>
      </x:c>
      <x:c r="H1954" s="6" t="str">
        <x:v>resplan-15074-Q09</x:v>
      </x:c>
      <x:c r="I1954" s="6" t="str">
        <x:v>Route planning</x:v>
      </x:c>
      <x:c r="J1954" s="6" t="str">
        <x:v>Warm-up</x:v>
      </x:c>
      <x:c r="K1954" s="6" t="str">
        <x:v>Ordered stops, path for each leg and total metres.</x:v>
      </x:c>
      <x:c r="L1954" s="6" t="str">
        <x:v>T02, T05, T13</x:v>
      </x:c>
      <x:c r="M1954" s="6" t="str">
        <x:v>Visit multiple rooms in the order specified.</x:v>
      </x:c>
      <x:c r="N1954" s="6" t="str">
        <x:v>{"stops":["resplan-15074-F0-S004","resplan-15074-F0-S002","resplan-15074-F0-S005"],"optimal_length_m":22.56,"legs":[{"from_space_id":"resplan-15074-F0-S004","to_space_id":"resplan-15074-F0-S002","optimal_length_m":11.95,"space_path":["resplan-15074-F0-S004","resplan-15074-F0-S001","resplan-15074-F0-S002"],"element_path":["resplan-15074-F0-O0005","resplan-15074-F0-O0005","resplan-15074-F0-O0002","resplan-15074-F0-O0002"]},{"from_space_id":"resplan-15074-F0-S002","to_space_id":"resplan-15074-F0-S005","optimal_length_m":10.61,"space_path":["resplan-15074-F0-S002","resplan-15074-F0-S001","resplan-15074-F0-S005"],"element_path":["resplan-15074-F0-O0002","resplan-15074-F0-O0002","resplan-15074-F0-O0004","resplan-15074-F0-O0004"]}]}</x:v>
      </x:c>
      <x:c r="O1954" s="6"/>
      <x:c r="P1954" s="6" t="str">
        <x:v>Preserve stated visit order. Do not optimize stop order.</x:v>
      </x:c>
      <x:c r="Q1954" s="15" t="n">
        <x:v>22.56</x:v>
      </x:c>
      <x:c r="R1954" s="6" t="str">
        <x:v>m</x:v>
      </x:c>
      <x:c r="S1954" s="16"/>
      <x:c r="T1954" s="15"/>
      <x:c r="U1954" s="6"/>
      <x:c r="V1954" s="6"/>
      <x:c r="W1954" s="6" t="str">
        <x:v>Existing find_route(via=[...]).</x:v>
      </x:c>
      <x:c r="X1954" s="6" t="str">
        <x:v>data/train/resplan-15074/questions_basic.jsonl</x:v>
      </x:c>
      <x:c r="Y1954" s="14" t="n">
        <x:v>9</x:v>
      </x:c>
      <x:c r="Z1954" s="6" t="str">
        <x:v>https://github.com/hagenhaeussler/Industrial-Agents-Hackathon-2026/blob/f41616590b69f3ea0c1cbfb41d6c35edd9ce53df/data/train/resplan-15074/questions_basic.jsonl#L9</x:v>
      </x:c>
      <x:c r="AA1954" s="6" t="str">
        <x:v>resplan</x:v>
      </x:c>
      <x:c r="AB1954" s="6" t="str">
        <x:v>CC-BY-4.0</x:v>
      </x:c>
    </x:row>
    <x:row r="1955" ht="124" customHeight="1">
      <x:c r="A1955" s="14" t="n">
        <x:v>1950</x:v>
      </x:c>
      <x:c r="B1955" s="6" t="str">
        <x:v>tour</x:v>
      </x:c>
      <x:c r="C1955" s="6" t="str">
        <x:v>Starting at Living room 0.01 (Ground floor), visit Bathroom 0.05 (Ground floor), then Bedroom 0.03 (Ground floor) in this order. What is the route?</x:v>
      </x:c>
      <x:c r="D1955" s="6" t="str">
        <x:v>13.99 m total
Stops: Living room 0.01 → Bathroom 0.05 → Bedroom 0.03
Leg lengths (m): 4.45, 9.54
Full paths are in Answer JSON.</x:v>
      </x:c>
      <x:c r="E1955" s="6" t="str">
        <x:v>Reference supplied</x:v>
      </x:c>
      <x:c r="F1955" s="6" t="str">
        <x:v>train</x:v>
      </x:c>
      <x:c r="G1955" s="6" t="str">
        <x:v>resplan-15183</x:v>
      </x:c>
      <x:c r="H1955" s="6" t="str">
        <x:v>resplan-15183-Q09</x:v>
      </x:c>
      <x:c r="I1955" s="6" t="str">
        <x:v>Route planning</x:v>
      </x:c>
      <x:c r="J1955" s="6" t="str">
        <x:v>Warm-up</x:v>
      </x:c>
      <x:c r="K1955" s="6" t="str">
        <x:v>Ordered stops, path for each leg and total metres.</x:v>
      </x:c>
      <x:c r="L1955" s="6" t="str">
        <x:v>T02, T05, T13</x:v>
      </x:c>
      <x:c r="M1955" s="6" t="str">
        <x:v>Visit multiple rooms in the order specified.</x:v>
      </x:c>
      <x:c r="N1955" s="6" t="str">
        <x:v>{"stops":["resplan-15183-F0-S001","resplan-15183-F0-S005","resplan-15183-F0-S003"],"optimal_length_m":13.99,"legs":[{"from_space_id":"resplan-15183-F0-S001","to_space_id":"resplan-15183-F0-S005","optimal_length_m":4.45,"space_path":["resplan-15183-F0-S001","resplan-15183-F0-S005"],"element_path":["resplan-15183-F0-O0004","resplan-15183-F0-O0004"]},{"from_space_id":"resplan-15183-F0-S005","to_space_id":"resplan-15183-F0-S003","optimal_length_m":9.54,"space_path":["resplan-15183-F0-S005","resplan-15183-F0-S001","resplan-15183-F0-S003"],"element_path":["resplan-15183-F0-O0004","resplan-15183-F0-O0004","resplan-15183-F0-O0005","resplan-15183-F0-O0005"]}]}</x:v>
      </x:c>
      <x:c r="O1955" s="6"/>
      <x:c r="P1955" s="6" t="str">
        <x:v>Preserve stated visit order. Do not optimize stop order.</x:v>
      </x:c>
      <x:c r="Q1955" s="15" t="n">
        <x:v>13.99</x:v>
      </x:c>
      <x:c r="R1955" s="6" t="str">
        <x:v>m</x:v>
      </x:c>
      <x:c r="S1955" s="16"/>
      <x:c r="T1955" s="15"/>
      <x:c r="U1955" s="6"/>
      <x:c r="V1955" s="6"/>
      <x:c r="W1955" s="6" t="str">
        <x:v>Existing find_route(via=[...]).</x:v>
      </x:c>
      <x:c r="X1955" s="6" t="str">
        <x:v>data/train/resplan-15183/questions_basic.jsonl</x:v>
      </x:c>
      <x:c r="Y1955" s="14" t="n">
        <x:v>9</x:v>
      </x:c>
      <x:c r="Z1955" s="6" t="str">
        <x:v>https://github.com/hagenhaeussler/Industrial-Agents-Hackathon-2026/blob/f41616590b69f3ea0c1cbfb41d6c35edd9ce53df/data/train/resplan-15183/questions_basic.jsonl#L9</x:v>
      </x:c>
      <x:c r="AA1955" s="6" t="str">
        <x:v>resplan</x:v>
      </x:c>
      <x:c r="AB1955" s="6" t="str">
        <x:v>CC-BY-4.0</x:v>
      </x:c>
    </x:row>
    <x:row r="1956" ht="124" customHeight="1">
      <x:c r="A1956" s="14" t="n">
        <x:v>1951</x:v>
      </x:c>
      <x:c r="B1956" s="6" t="str">
        <x:v>tour</x:v>
      </x:c>
      <x:c r="C1956" s="6" t="str">
        <x:v>Starting at Bedroom 0.03 (Ground floor), visit Bathroom 0.04 (Ground floor), then Living room 0.01 (Ground floor) in this order. What is the route?</x:v>
      </x:c>
      <x:c r="D1956" s="6" t="str">
        <x:v>12.11 m total
Stops: Bedroom 0.03 → Bathroom 0.04 → Living room 0.01
Leg lengths (m): 8.69, 3.42
Full paths are in Answer JSON.</x:v>
      </x:c>
      <x:c r="E1956" s="6" t="str">
        <x:v>Reference supplied</x:v>
      </x:c>
      <x:c r="F1956" s="6" t="str">
        <x:v>train</x:v>
      </x:c>
      <x:c r="G1956" s="6" t="str">
        <x:v>resplan-15550</x:v>
      </x:c>
      <x:c r="H1956" s="6" t="str">
        <x:v>resplan-15550-Q09</x:v>
      </x:c>
      <x:c r="I1956" s="6" t="str">
        <x:v>Route planning</x:v>
      </x:c>
      <x:c r="J1956" s="6" t="str">
        <x:v>Warm-up</x:v>
      </x:c>
      <x:c r="K1956" s="6" t="str">
        <x:v>Ordered stops, path for each leg and total metres.</x:v>
      </x:c>
      <x:c r="L1956" s="6" t="str">
        <x:v>T02, T05, T13</x:v>
      </x:c>
      <x:c r="M1956" s="6" t="str">
        <x:v>Visit multiple rooms in the order specified.</x:v>
      </x:c>
      <x:c r="N1956" s="6" t="str">
        <x:v>{"stops":["resplan-15550-F0-S003","resplan-15550-F0-S004","resplan-15550-F0-S001"],"optimal_length_m":12.11,"legs":[{"from_space_id":"resplan-15550-F0-S003","to_space_id":"resplan-15550-F0-S004","optimal_length_m":8.69,"space_path":["resplan-15550-F0-S003","resplan-15550-F0-S001","resplan-15550-F0-S004"],"element_path":["resplan-15550-F0-O0004","resplan-15550-F0-O0004","resplan-15550-F0-O0003","resplan-15550-F0-O0003"]},{"from_space_id":"resplan-15550-F0-S004","to_space_id":"resplan-15550-F0-S001","optimal_length_m":3.42,"space_path":["resplan-15550-F0-S004","resplan-15550-F0-S001"],"element_path":["resplan-15550-F0-O0003","resplan-15550-F0-O0003"]}]}</x:v>
      </x:c>
      <x:c r="O1956" s="6"/>
      <x:c r="P1956" s="6" t="str">
        <x:v>Preserve stated visit order. Do not optimize stop order.</x:v>
      </x:c>
      <x:c r="Q1956" s="15" t="n">
        <x:v>12.11</x:v>
      </x:c>
      <x:c r="R1956" s="6" t="str">
        <x:v>m</x:v>
      </x:c>
      <x:c r="S1956" s="16"/>
      <x:c r="T1956" s="15"/>
      <x:c r="U1956" s="6"/>
      <x:c r="V1956" s="6"/>
      <x:c r="W1956" s="6" t="str">
        <x:v>Existing find_route(via=[...]).</x:v>
      </x:c>
      <x:c r="X1956" s="6" t="str">
        <x:v>data/train/resplan-15550/questions_basic.jsonl</x:v>
      </x:c>
      <x:c r="Y1956" s="14" t="n">
        <x:v>9</x:v>
      </x:c>
      <x:c r="Z1956" s="6" t="str">
        <x:v>https://github.com/hagenhaeussler/Industrial-Agents-Hackathon-2026/blob/f41616590b69f3ea0c1cbfb41d6c35edd9ce53df/data/train/resplan-15550/questions_basic.jsonl#L9</x:v>
      </x:c>
      <x:c r="AA1956" s="6" t="str">
        <x:v>resplan</x:v>
      </x:c>
      <x:c r="AB1956" s="6" t="str">
        <x:v>CC-BY-4.0</x:v>
      </x:c>
    </x:row>
    <x:row r="1957" ht="124" customHeight="1">
      <x:c r="A1957" s="14" t="n">
        <x:v>1952</x:v>
      </x:c>
      <x:c r="B1957" s="6" t="str">
        <x:v>tour</x:v>
      </x:c>
      <x:c r="C1957" s="6" t="str">
        <x:v>Starting at Living room 0.01 (Ground floor), visit Bedroom 0.03 (Ground floor), then Bathroom 0.05 (Ground floor) in this order. What is the route?</x:v>
      </x:c>
      <x:c r="D1957" s="6" t="str">
        <x:v>21.48 m total
Stops: Living room 0.01 → Bedroom 0.03 → Bathroom 0.05
Leg lengths (m): 5.71, 15.77
Full paths are in Answer JSON.</x:v>
      </x:c>
      <x:c r="E1957" s="6" t="str">
        <x:v>Reference supplied</x:v>
      </x:c>
      <x:c r="F1957" s="6" t="str">
        <x:v>train</x:v>
      </x:c>
      <x:c r="G1957" s="6" t="str">
        <x:v>resplan-15793</x:v>
      </x:c>
      <x:c r="H1957" s="6" t="str">
        <x:v>resplan-15793-Q09</x:v>
      </x:c>
      <x:c r="I1957" s="6" t="str">
        <x:v>Route planning</x:v>
      </x:c>
      <x:c r="J1957" s="6" t="str">
        <x:v>Warm-up</x:v>
      </x:c>
      <x:c r="K1957" s="6" t="str">
        <x:v>Ordered stops, path for each leg and total metres.</x:v>
      </x:c>
      <x:c r="L1957" s="6" t="str">
        <x:v>T02, T05, T13</x:v>
      </x:c>
      <x:c r="M1957" s="6" t="str">
        <x:v>Visit multiple rooms in the order specified.</x:v>
      </x:c>
      <x:c r="N1957" s="6" t="str">
        <x:v>{"stops":["resplan-15793-F0-S001","resplan-15793-F0-S003","resplan-15793-F0-S005"],"optimal_length_m":21.48,"legs":[{"from_space_id":"resplan-15793-F0-S001","to_space_id":"resplan-15793-F0-S003","optimal_length_m":5.71,"space_path":["resplan-15793-F0-S001","resplan-15793-F0-S003"],"element_path":["resplan-15793-F0-O0005","resplan-15793-F0-O0005"]},{"from_space_id":"resplan-15793-F0-S003","to_space_id":"resplan-15793-F0-S005","optimal_length_m":15.77,"space_path":["resplan-15793-F0-S003","resplan-15793-F0-S001","resplan-15793-F0-S002","resplan-15793-F0-S005"],"element_path":["resplan-15793-F0-O0005","resplan-15793-F0-O0005","resplan-15793-F0-O0003","resplan-15793-F0-O0003","resplan-15793-F0-O0002","resplan-15793-F0-O0002"]}]}</x:v>
      </x:c>
      <x:c r="O1957" s="6"/>
      <x:c r="P1957" s="6" t="str">
        <x:v>Preserve stated visit order. Do not optimize stop order.</x:v>
      </x:c>
      <x:c r="Q1957" s="15" t="n">
        <x:v>21.48</x:v>
      </x:c>
      <x:c r="R1957" s="6" t="str">
        <x:v>m</x:v>
      </x:c>
      <x:c r="S1957" s="16"/>
      <x:c r="T1957" s="15"/>
      <x:c r="U1957" s="6"/>
      <x:c r="V1957" s="6"/>
      <x:c r="W1957" s="6" t="str">
        <x:v>Existing find_route(via=[...]).</x:v>
      </x:c>
      <x:c r="X1957" s="6" t="str">
        <x:v>data/train/resplan-15793/questions_basic.jsonl</x:v>
      </x:c>
      <x:c r="Y1957" s="14" t="n">
        <x:v>9</x:v>
      </x:c>
      <x:c r="Z1957" s="6" t="str">
        <x:v>https://github.com/hagenhaeussler/Industrial-Agents-Hackathon-2026/blob/f41616590b69f3ea0c1cbfb41d6c35edd9ce53df/data/train/resplan-15793/questions_basic.jsonl#L9</x:v>
      </x:c>
      <x:c r="AA1957" s="6" t="str">
        <x:v>resplan</x:v>
      </x:c>
      <x:c r="AB1957" s="6" t="str">
        <x:v>CC-BY-4.0</x:v>
      </x:c>
    </x:row>
    <x:row r="1958" ht="124" customHeight="1">
      <x:c r="A1958" s="14" t="n">
        <x:v>1953</x:v>
      </x:c>
      <x:c r="B1958" s="6" t="str">
        <x:v>tour</x:v>
      </x:c>
      <x:c r="C1958" s="6" t="str">
        <x:v>Starting at Kitchen 0.05 (Ground floor), visit Bedroom 0.02 (Ground floor), then Bathroom 0.04 (Ground floor) in this order. What is the route?</x:v>
      </x:c>
      <x:c r="D1958" s="6" t="str">
        <x:v>18.35 m total
Stops: Kitchen 0.05 → Bedroom 0.02 → Bathroom 0.04
Leg lengths (m): 10.11, 8.24
Full paths are in Answer JSON.</x:v>
      </x:c>
      <x:c r="E1958" s="6" t="str">
        <x:v>Reference supplied</x:v>
      </x:c>
      <x:c r="F1958" s="6" t="str">
        <x:v>train</x:v>
      </x:c>
      <x:c r="G1958" s="6" t="str">
        <x:v>resplan-16021</x:v>
      </x:c>
      <x:c r="H1958" s="6" t="str">
        <x:v>resplan-16021-Q09</x:v>
      </x:c>
      <x:c r="I1958" s="6" t="str">
        <x:v>Route planning</x:v>
      </x:c>
      <x:c r="J1958" s="6" t="str">
        <x:v>Warm-up</x:v>
      </x:c>
      <x:c r="K1958" s="6" t="str">
        <x:v>Ordered stops, path for each leg and total metres.</x:v>
      </x:c>
      <x:c r="L1958" s="6" t="str">
        <x:v>T02, T05, T13</x:v>
      </x:c>
      <x:c r="M1958" s="6" t="str">
        <x:v>Visit multiple rooms in the order specified.</x:v>
      </x:c>
      <x:c r="N1958" s="6" t="str">
        <x:v>{"stops":["resplan-16021-F0-S005","resplan-16021-F0-S002","resplan-16021-F0-S004"],"optimal_length_m":18.35,"legs":[{"from_space_id":"resplan-16021-F0-S005","to_space_id":"resplan-16021-F0-S002","optimal_length_m":10.11,"space_path":["resplan-16021-F0-S005","resplan-16021-F0-S001","resplan-16021-F0-S002"],"element_path":["resplan-16021-F0-O0004","resplan-16021-F0-O0004","resplan-16021-F0-O0001","resplan-16021-F0-O0001"]},{"from_space_id":"resplan-16021-F0-S002","to_space_id":"resplan-16021-F0-S004","optimal_length_m":8.24,"space_path":["resplan-16021-F0-S002","resplan-16021-F0-S001","resplan-16021-F0-S004"],"element_path":["resplan-16021-F0-O0001","resplan-16021-F0-O0001","resplan-16021-F0-O0003","resplan-16021-F0-O0003"]}]}</x:v>
      </x:c>
      <x:c r="O1958" s="6"/>
      <x:c r="P1958" s="6" t="str">
        <x:v>Preserve stated visit order. Do not optimize stop order.</x:v>
      </x:c>
      <x:c r="Q1958" s="15" t="n">
        <x:v>18.35</x:v>
      </x:c>
      <x:c r="R1958" s="6" t="str">
        <x:v>m</x:v>
      </x:c>
      <x:c r="S1958" s="16"/>
      <x:c r="T1958" s="15"/>
      <x:c r="U1958" s="6"/>
      <x:c r="V1958" s="6"/>
      <x:c r="W1958" s="6" t="str">
        <x:v>Existing find_route(via=[...]).</x:v>
      </x:c>
      <x:c r="X1958" s="6" t="str">
        <x:v>data/train/resplan-16021/questions_basic.jsonl</x:v>
      </x:c>
      <x:c r="Y1958" s="14" t="n">
        <x:v>9</x:v>
      </x:c>
      <x:c r="Z1958" s="6" t="str">
        <x:v>https://github.com/hagenhaeussler/Industrial-Agents-Hackathon-2026/blob/f41616590b69f3ea0c1cbfb41d6c35edd9ce53df/data/train/resplan-16021/questions_basic.jsonl#L9</x:v>
      </x:c>
      <x:c r="AA1958" s="6" t="str">
        <x:v>resplan</x:v>
      </x:c>
      <x:c r="AB1958" s="6" t="str">
        <x:v>CC-BY-4.0</x:v>
      </x:c>
    </x:row>
    <x:row r="1959" ht="124" customHeight="1">
      <x:c r="A1959" s="14" t="n">
        <x:v>1954</x:v>
      </x:c>
      <x:c r="B1959" s="6" t="str">
        <x:v>tour</x:v>
      </x:c>
      <x:c r="C1959" s="6" t="str">
        <x:v>Starting at Bathroom 0.06 (Ground floor), visit Bedroom 0.02 (Ground floor), then Bathroom 0.05 (Ground floor) in this order. What is the route?</x:v>
      </x:c>
      <x:c r="D1959" s="6" t="str">
        <x:v>53.41 m total
Stops: Bathroom 0.06 → Bedroom 0.02 → Bathroom 0.05
Leg lengths (m): 26.72, 26.69
Full paths are in Answer JSON.</x:v>
      </x:c>
      <x:c r="E1959" s="6" t="str">
        <x:v>Reference supplied</x:v>
      </x:c>
      <x:c r="F1959" s="6" t="str">
        <x:v>train</x:v>
      </x:c>
      <x:c r="G1959" s="6" t="str">
        <x:v>resplan-16188</x:v>
      </x:c>
      <x:c r="H1959" s="6" t="str">
        <x:v>resplan-16188-Q09</x:v>
      </x:c>
      <x:c r="I1959" s="6" t="str">
        <x:v>Route planning</x:v>
      </x:c>
      <x:c r="J1959" s="6" t="str">
        <x:v>Warm-up</x:v>
      </x:c>
      <x:c r="K1959" s="6" t="str">
        <x:v>Ordered stops, path for each leg and total metres.</x:v>
      </x:c>
      <x:c r="L1959" s="6" t="str">
        <x:v>T02, T05, T13</x:v>
      </x:c>
      <x:c r="M1959" s="6" t="str">
        <x:v>Visit multiple rooms in the order specified.</x:v>
      </x:c>
      <x:c r="N1959" s="6" t="str">
        <x:v>{"stops":["resplan-16188-F0-S006","resplan-16188-F0-S002","resplan-16188-F0-S005"],"optimal_length_m":53.41,"legs":[{"from_space_id":"resplan-16188-F0-S006","to_space_id":"resplan-16188-F0-S002","optimal_length_m":26.72,"space_path":["resplan-16188-F0-S006","resplan-16188-F0-S001","resplan-16188-F0-S002"],"element_path":["resplan-16188-F0-O0006","resplan-16188-F0-O0006","resplan-16188-F0-O0004","resplan-16188-F0-O0004"]},{"from_space_id":"resplan-16188-F0-S002","to_space_id":"resplan-16188-F0-S005","optimal_length_m":26.69,"space_path":["resplan-16188-F0-S002","resplan-16188-F0-S001","resplan-16188-F0-S005"],"element_path":["resplan-16188-F0-O0004","resplan-16188-F0-O0004","resplan-16188-F0-O0003","resplan-16188-F0-O0003"]}]}</x:v>
      </x:c>
      <x:c r="O1959" s="6"/>
      <x:c r="P1959" s="6" t="str">
        <x:v>Preserve stated visit order. Do not optimize stop order.</x:v>
      </x:c>
      <x:c r="Q1959" s="15" t="n">
        <x:v>53.41</x:v>
      </x:c>
      <x:c r="R1959" s="6" t="str">
        <x:v>m</x:v>
      </x:c>
      <x:c r="S1959" s="16"/>
      <x:c r="T1959" s="15"/>
      <x:c r="U1959" s="6"/>
      <x:c r="V1959" s="6"/>
      <x:c r="W1959" s="6" t="str">
        <x:v>Existing find_route(via=[...]).</x:v>
      </x:c>
      <x:c r="X1959" s="6" t="str">
        <x:v>data/train/resplan-16188/questions_basic.jsonl</x:v>
      </x:c>
      <x:c r="Y1959" s="14" t="n">
        <x:v>9</x:v>
      </x:c>
      <x:c r="Z1959" s="6" t="str">
        <x:v>https://github.com/hagenhaeussler/Industrial-Agents-Hackathon-2026/blob/f41616590b69f3ea0c1cbfb41d6c35edd9ce53df/data/train/resplan-16188/questions_basic.jsonl#L9</x:v>
      </x:c>
      <x:c r="AA1959" s="6" t="str">
        <x:v>resplan</x:v>
      </x:c>
      <x:c r="AB1959" s="6" t="str">
        <x:v>CC-BY-4.0</x:v>
      </x:c>
    </x:row>
    <x:row r="1960" ht="138" customHeight="1">
      <x:c r="A1960" s="14" t="n">
        <x:v>1955</x:v>
      </x:c>
      <x:c r="B1960" s="6" t="str">
        <x:v>tour</x:v>
      </x:c>
      <x:c r="C1960" s="6" t="str">
        <x:v>Starting at Bathroom 0.05 (Ground floor), visit Kitchen 0.07 (Ground floor), then Bathroom 0.06 (Ground floor) in this order. What is the route?</x:v>
      </x:c>
      <x:c r="D1960" s="6" t="str">
        <x:v>29.66 m total
Stops: Bathroom 0.05 → Kitchen 0.07 → Bathroom 0.06
Leg lengths (m): 19.4, 10.26
Full paths are in Answer JSON.</x:v>
      </x:c>
      <x:c r="E1960" s="6" t="str">
        <x:v>Reference supplied</x:v>
      </x:c>
      <x:c r="F1960" s="6" t="str">
        <x:v>train</x:v>
      </x:c>
      <x:c r="G1960" s="6" t="str">
        <x:v>resplan-16407</x:v>
      </x:c>
      <x:c r="H1960" s="6" t="str">
        <x:v>resplan-16407-Q09</x:v>
      </x:c>
      <x:c r="I1960" s="6" t="str">
        <x:v>Route planning</x:v>
      </x:c>
      <x:c r="J1960" s="6" t="str">
        <x:v>Warm-up</x:v>
      </x:c>
      <x:c r="K1960" s="6" t="str">
        <x:v>Ordered stops, path for each leg and total metres.</x:v>
      </x:c>
      <x:c r="L1960" s="6" t="str">
        <x:v>T02, T05, T13</x:v>
      </x:c>
      <x:c r="M1960" s="6" t="str">
        <x:v>Visit multiple rooms in the order specified.</x:v>
      </x:c>
      <x:c r="N1960" s="6" t="str">
        <x:v>{"stops":["resplan-16407-F0-S005","resplan-16407-F0-S007","resplan-16407-F0-S006"],"optimal_length_m":29.66,"legs":[{"from_space_id":"resplan-16407-F0-S005","to_space_id":"resplan-16407-F0-S007","optimal_length_m":19.4,"space_path":["resplan-16407-F0-S005","resplan-16407-F0-S002","resplan-16407-F0-S001","resplan-16407-F0-S007"],"element_path":["resplan-16407-F0-O0001","resplan-16407-F0-O0001","resplan-16407-F0-O0002","resplan-16407-F0-O0002","resplan-16407-F0-O0004","resplan-16407-F0-O0004"]},{"from_space_id":"resplan-16407-F0-S007","to_space_id":"resplan-16407-F0-S006","optimal_length_m":10.26,"space_path":["resplan-16407-F0-S007","resplan-16407-F0-S001","resplan-16407-F0-S006"],"element_path":["resplan-16407-F0-O0004","resplan-16407-F0-O0004","resplan-16407-F0-O0005","resplan-16407-F0-O0005"]}]}</x:v>
      </x:c>
      <x:c r="O1960" s="6"/>
      <x:c r="P1960" s="6" t="str">
        <x:v>Preserve stated visit order. Do not optimize stop order.</x:v>
      </x:c>
      <x:c r="Q1960" s="15" t="n">
        <x:v>29.66</x:v>
      </x:c>
      <x:c r="R1960" s="6" t="str">
        <x:v>m</x:v>
      </x:c>
      <x:c r="S1960" s="16"/>
      <x:c r="T1960" s="15"/>
      <x:c r="U1960" s="6"/>
      <x:c r="V1960" s="6"/>
      <x:c r="W1960" s="6" t="str">
        <x:v>Existing find_route(via=[...]).</x:v>
      </x:c>
      <x:c r="X1960" s="6" t="str">
        <x:v>data/train/resplan-16407/questions_basic.jsonl</x:v>
      </x:c>
      <x:c r="Y1960" s="14" t="n">
        <x:v>9</x:v>
      </x:c>
      <x:c r="Z1960" s="6" t="str">
        <x:v>https://github.com/hagenhaeussler/Industrial-Agents-Hackathon-2026/blob/f41616590b69f3ea0c1cbfb41d6c35edd9ce53df/data/train/resplan-16407/questions_basic.jsonl#L9</x:v>
      </x:c>
      <x:c r="AA1960" s="6" t="str">
        <x:v>resplan</x:v>
      </x:c>
      <x:c r="AB1960" s="6" t="str">
        <x:v>CC-BY-4.0</x:v>
      </x:c>
    </x:row>
    <x:row r="1961" ht="138" customHeight="1">
      <x:c r="A1961" s="14" t="n">
        <x:v>1956</x:v>
      </x:c>
      <x:c r="B1961" s="6" t="str">
        <x:v>tour</x:v>
      </x:c>
      <x:c r="C1961" s="6" t="str">
        <x:v>Starting at Bathroom 0.05 (Ground floor), visit Storage 0.09 (Ground floor), then Bedroom 0.03 (Ground floor) in this order. What is the route?</x:v>
      </x:c>
      <x:c r="D1961" s="6" t="str">
        <x:v>28.72 m total
Stops: Bathroom 0.05 → Storage 0.09 → Bedroom 0.03
Leg lengths (m): 16.59, 12.13
Full paths are in Answer JSON.</x:v>
      </x:c>
      <x:c r="E1961" s="6" t="str">
        <x:v>Reference supplied</x:v>
      </x:c>
      <x:c r="F1961" s="6" t="str">
        <x:v>train</x:v>
      </x:c>
      <x:c r="G1961" s="6" t="str">
        <x:v>resplan-16484</x:v>
      </x:c>
      <x:c r="H1961" s="6" t="str">
        <x:v>resplan-16484-Q09</x:v>
      </x:c>
      <x:c r="I1961" s="6" t="str">
        <x:v>Route planning</x:v>
      </x:c>
      <x:c r="J1961" s="6" t="str">
        <x:v>Warm-up</x:v>
      </x:c>
      <x:c r="K1961" s="6" t="str">
        <x:v>Ordered stops, path for each leg and total metres.</x:v>
      </x:c>
      <x:c r="L1961" s="6" t="str">
        <x:v>T02, T05, T13</x:v>
      </x:c>
      <x:c r="M1961" s="6" t="str">
        <x:v>Visit multiple rooms in the order specified.</x:v>
      </x:c>
      <x:c r="N1961" s="6" t="str">
        <x:v>{"stops":["resplan-16484-F0-S005","resplan-16484-F0-S009","resplan-16484-F0-S003"],"optimal_length_m":28.72,"legs":[{"from_space_id":"resplan-16484-F0-S005","to_space_id":"resplan-16484-F0-S009","optimal_length_m":16.59,"space_path":["resplan-16484-F0-S005","resplan-16484-F0-S002","resplan-16484-F0-S001","resplan-16484-F0-S009"],"element_path":["resplan-16484-F0-O0004","resplan-16484-F0-O0004","resplan-16484-F0-O0005","resplan-16484-F0-O0005","resplan-16484-F0-O0010","resplan-16484-F0-O0010"]},{"from_space_id":"resplan-16484-F0-S009","to_space_id":"resplan-16484-F0-S003","optimal_length_m":12.13,"space_path":["resplan-16484-F0-S009","resplan-16484-F0-S001","resplan-16484-F0-S003"],"element_path":["resplan-16484-F0-O0010","resplan-16484-F0-O0010","resplan-16484-F0-O0006","resplan-16484-F0-O0006"]}]}</x:v>
      </x:c>
      <x:c r="O1961" s="6"/>
      <x:c r="P1961" s="6" t="str">
        <x:v>Preserve stated visit order. Do not optimize stop order.</x:v>
      </x:c>
      <x:c r="Q1961" s="15" t="n">
        <x:v>28.72</x:v>
      </x:c>
      <x:c r="R1961" s="6" t="str">
        <x:v>m</x:v>
      </x:c>
      <x:c r="S1961" s="16"/>
      <x:c r="T1961" s="15"/>
      <x:c r="U1961" s="6"/>
      <x:c r="V1961" s="6"/>
      <x:c r="W1961" s="6" t="str">
        <x:v>Existing find_route(via=[...]).</x:v>
      </x:c>
      <x:c r="X1961" s="6" t="str">
        <x:v>data/train/resplan-16484/questions_basic.jsonl</x:v>
      </x:c>
      <x:c r="Y1961" s="14" t="n">
        <x:v>9</x:v>
      </x:c>
      <x:c r="Z1961" s="6" t="str">
        <x:v>https://github.com/hagenhaeussler/Industrial-Agents-Hackathon-2026/blob/f41616590b69f3ea0c1cbfb41d6c35edd9ce53df/data/train/resplan-16484/questions_basic.jsonl#L9</x:v>
      </x:c>
      <x:c r="AA1961" s="6" t="str">
        <x:v>resplan</x:v>
      </x:c>
      <x:c r="AB1961" s="6" t="str">
        <x:v>CC-BY-4.0</x:v>
      </x:c>
    </x:row>
    <x:row r="1962" ht="124" customHeight="1">
      <x:c r="A1962" s="14" t="n">
        <x:v>1957</x:v>
      </x:c>
      <x:c r="B1962" s="6" t="str">
        <x:v>tour</x:v>
      </x:c>
      <x:c r="C1962" s="6" t="str">
        <x:v>Starting at Bedroom 0.03 (Ground floor), visit Bathroom 0.04 (Ground floor), then Kitchen 0.06 (Ground floor) in this order. What is the route?</x:v>
      </x:c>
      <x:c r="D1962" s="6" t="str">
        <x:v>21.38 m total
Stops: Bedroom 0.03 → Bathroom 0.04 → Kitchen 0.06
Leg lengths (m): 10.83, 10.55
Full paths are in Answer JSON.</x:v>
      </x:c>
      <x:c r="E1962" s="6" t="str">
        <x:v>Reference supplied</x:v>
      </x:c>
      <x:c r="F1962" s="6" t="str">
        <x:v>train</x:v>
      </x:c>
      <x:c r="G1962" s="6" t="str">
        <x:v>resplan-16645</x:v>
      </x:c>
      <x:c r="H1962" s="6" t="str">
        <x:v>resplan-16645-Q09</x:v>
      </x:c>
      <x:c r="I1962" s="6" t="str">
        <x:v>Route planning</x:v>
      </x:c>
      <x:c r="J1962" s="6" t="str">
        <x:v>Warm-up</x:v>
      </x:c>
      <x:c r="K1962" s="6" t="str">
        <x:v>Ordered stops, path for each leg and total metres.</x:v>
      </x:c>
      <x:c r="L1962" s="6" t="str">
        <x:v>T02, T05, T13</x:v>
      </x:c>
      <x:c r="M1962" s="6" t="str">
        <x:v>Visit multiple rooms in the order specified.</x:v>
      </x:c>
      <x:c r="N1962" s="6" t="str">
        <x:v>{"stops":["resplan-16645-F0-S003","resplan-16645-F0-S004","resplan-16645-F0-S006"],"optimal_length_m":21.38,"legs":[{"from_space_id":"resplan-16645-F0-S003","to_space_id":"resplan-16645-F0-S004","optimal_length_m":10.83,"space_path":["resplan-16645-F0-S003","resplan-16645-F0-S001","resplan-16645-F0-S004"],"element_path":["resplan-16645-F0-O0002","resplan-16645-F0-O0002","resplan-16645-F0-O0003","resplan-16645-F0-O0003"]},{"from_space_id":"resplan-16645-F0-S004","to_space_id":"resplan-16645-F0-S006","optimal_length_m":10.55,"space_path":["resplan-16645-F0-S004","resplan-16645-F0-S001","resplan-16645-F0-S006"],"element_path":["resplan-16645-F0-O0003","resplan-16645-F0-O0003","resplan-16645-F0-O0005","resplan-16645-F0-O0005"]}]}</x:v>
      </x:c>
      <x:c r="O1962" s="6"/>
      <x:c r="P1962" s="6" t="str">
        <x:v>Preserve stated visit order. Do not optimize stop order.</x:v>
      </x:c>
      <x:c r="Q1962" s="15" t="n">
        <x:v>21.38</x:v>
      </x:c>
      <x:c r="R1962" s="6" t="str">
        <x:v>m</x:v>
      </x:c>
      <x:c r="S1962" s="16"/>
      <x:c r="T1962" s="15"/>
      <x:c r="U1962" s="6"/>
      <x:c r="V1962" s="6"/>
      <x:c r="W1962" s="6" t="str">
        <x:v>Existing find_route(via=[...]).</x:v>
      </x:c>
      <x:c r="X1962" s="6" t="str">
        <x:v>data/train/resplan-16645/questions_basic.jsonl</x:v>
      </x:c>
      <x:c r="Y1962" s="14" t="n">
        <x:v>9</x:v>
      </x:c>
      <x:c r="Z1962" s="6" t="str">
        <x:v>https://github.com/hagenhaeussler/Industrial-Agents-Hackathon-2026/blob/f41616590b69f3ea0c1cbfb41d6c35edd9ce53df/data/train/resplan-16645/questions_basic.jsonl#L9</x:v>
      </x:c>
      <x:c r="AA1962" s="6" t="str">
        <x:v>resplan</x:v>
      </x:c>
      <x:c r="AB1962" s="6" t="str">
        <x:v>CC-BY-4.0</x:v>
      </x:c>
    </x:row>
    <x:row r="1963" ht="124" customHeight="1">
      <x:c r="A1963" s="14" t="n">
        <x:v>1958</x:v>
      </x:c>
      <x:c r="B1963" s="6" t="str">
        <x:v>tour</x:v>
      </x:c>
      <x:c r="C1963" s="6" t="str">
        <x:v>Starting at Bedroom 0.02 (Ground floor), visit Bedroom 0.03 (Ground floor), then Bathroom 0.05 (Ground floor) in this order. What is the route?</x:v>
      </x:c>
      <x:c r="D1963" s="6" t="str">
        <x:v>14.63 m total
Stops: Bedroom 0.02 → Bedroom 0.03 → Bathroom 0.05
Leg lengths (m): 11.09, 3.54
Full paths are in Answer JSON.</x:v>
      </x:c>
      <x:c r="E1963" s="6" t="str">
        <x:v>Reference supplied</x:v>
      </x:c>
      <x:c r="F1963" s="6" t="str">
        <x:v>train</x:v>
      </x:c>
      <x:c r="G1963" s="6" t="str">
        <x:v>resplan-16778</x:v>
      </x:c>
      <x:c r="H1963" s="6" t="str">
        <x:v>resplan-16778-Q09</x:v>
      </x:c>
      <x:c r="I1963" s="6" t="str">
        <x:v>Route planning</x:v>
      </x:c>
      <x:c r="J1963" s="6" t="str">
        <x:v>Warm-up</x:v>
      </x:c>
      <x:c r="K1963" s="6" t="str">
        <x:v>Ordered stops, path for each leg and total metres.</x:v>
      </x:c>
      <x:c r="L1963" s="6" t="str">
        <x:v>T02, T05, T13</x:v>
      </x:c>
      <x:c r="M1963" s="6" t="str">
        <x:v>Visit multiple rooms in the order specified.</x:v>
      </x:c>
      <x:c r="N1963" s="6" t="str">
        <x:v>{"stops":["resplan-16778-F0-S002","resplan-16778-F0-S003","resplan-16778-F0-S005"],"optimal_length_m":14.63,"legs":[{"from_space_id":"resplan-16778-F0-S002","to_space_id":"resplan-16778-F0-S003","optimal_length_m":11.09,"space_path":["resplan-16778-F0-S002","resplan-16778-F0-S001","resplan-16778-F0-S003"],"element_path":["resplan-16778-F0-O0001","resplan-16778-F0-O0001","resplan-16778-F0-O0005","resplan-16778-F0-O0005"]},{"from_space_id":"resplan-16778-F0-S003","to_space_id":"resplan-16778-F0-S005","optimal_length_m":3.54,"space_path":["resplan-16778-F0-S003","resplan-16778-F0-S005"],"element_path":["resplan-16778-F0-O0006","resplan-16778-F0-O0006"]}]}</x:v>
      </x:c>
      <x:c r="O1963" s="6"/>
      <x:c r="P1963" s="6" t="str">
        <x:v>Preserve stated visit order. Do not optimize stop order.</x:v>
      </x:c>
      <x:c r="Q1963" s="15" t="n">
        <x:v>14.63</x:v>
      </x:c>
      <x:c r="R1963" s="6" t="str">
        <x:v>m</x:v>
      </x:c>
      <x:c r="S1963" s="16"/>
      <x:c r="T1963" s="15"/>
      <x:c r="U1963" s="6"/>
      <x:c r="V1963" s="6"/>
      <x:c r="W1963" s="6" t="str">
        <x:v>Existing find_route(via=[...]).</x:v>
      </x:c>
      <x:c r="X1963" s="6" t="str">
        <x:v>data/train/resplan-16778/questions_basic.jsonl</x:v>
      </x:c>
      <x:c r="Y1963" s="14" t="n">
        <x:v>9</x:v>
      </x:c>
      <x:c r="Z1963" s="6" t="str">
        <x:v>https://github.com/hagenhaeussler/Industrial-Agents-Hackathon-2026/blob/f41616590b69f3ea0c1cbfb41d6c35edd9ce53df/data/train/resplan-16778/questions_basic.jsonl#L9</x:v>
      </x:c>
      <x:c r="AA1963" s="6" t="str">
        <x:v>resplan</x:v>
      </x:c>
      <x:c r="AB1963" s="6" t="str">
        <x:v>CC-BY-4.0</x:v>
      </x:c>
    </x:row>
    <x:row r="1964" ht="110" customHeight="1">
      <x:c r="A1964" s="14" t="n">
        <x:v>1959</x:v>
      </x:c>
      <x:c r="B1964" s="6" t="str">
        <x:v>tour</x:v>
      </x:c>
      <x:c r="C1964" s="6" t="str">
        <x:v>Starting at Bedroom 0.03 (Ground floor), visit Living room 0.01 (Ground floor), then Bathroom 0.04 (Ground floor) in this order. What is the route?</x:v>
      </x:c>
      <x:c r="D1964" s="6" t="str">
        <x:v>12.62 m total
Stops: Bedroom 0.03 → Living room 0.01 → Bathroom 0.04
Leg lengths (m): 4.41, 8.21
Full paths are in Answer JSON.</x:v>
      </x:c>
      <x:c r="E1964" s="6" t="str">
        <x:v>Reference supplied</x:v>
      </x:c>
      <x:c r="F1964" s="6" t="str">
        <x:v>train</x:v>
      </x:c>
      <x:c r="G1964" s="6" t="str">
        <x:v>resplan-1702</x:v>
      </x:c>
      <x:c r="H1964" s="6" t="str">
        <x:v>resplan-1702-Q09</x:v>
      </x:c>
      <x:c r="I1964" s="6" t="str">
        <x:v>Route planning</x:v>
      </x:c>
      <x:c r="J1964" s="6" t="str">
        <x:v>Warm-up</x:v>
      </x:c>
      <x:c r="K1964" s="6" t="str">
        <x:v>Ordered stops, path for each leg and total metres.</x:v>
      </x:c>
      <x:c r="L1964" s="6" t="str">
        <x:v>T02, T05, T13</x:v>
      </x:c>
      <x:c r="M1964" s="6" t="str">
        <x:v>Visit multiple rooms in the order specified.</x:v>
      </x:c>
      <x:c r="N1964" s="6" t="str">
        <x:v>{"stops":["resplan-1702-F0-S003","resplan-1702-F0-S001","resplan-1702-F0-S004"],"optimal_length_m":12.62,"legs":[{"from_space_id":"resplan-1702-F0-S003","to_space_id":"resplan-1702-F0-S001","optimal_length_m":4.41,"space_path":["resplan-1702-F0-S003","resplan-1702-F0-S001"],"element_path":["resplan-1702-F0-O0006","resplan-1702-F0-O0006"]},{"from_space_id":"resplan-1702-F0-S001","to_space_id":"resplan-1702-F0-S004","optimal_length_m":8.21,"space_path":["resplan-1702-F0-S001","resplan-1702-F0-S002","resplan-1702-F0-S004"],"element_path":["resplan-1702-F0-O0005","resplan-1702-F0-O0005","resplan-1702-F0-O0002","resplan-1702-F0-O0002"]}]}</x:v>
      </x:c>
      <x:c r="O1964" s="6"/>
      <x:c r="P1964" s="6" t="str">
        <x:v>Preserve stated visit order. Do not optimize stop order.</x:v>
      </x:c>
      <x:c r="Q1964" s="15" t="n">
        <x:v>12.62</x:v>
      </x:c>
      <x:c r="R1964" s="6" t="str">
        <x:v>m</x:v>
      </x:c>
      <x:c r="S1964" s="16"/>
      <x:c r="T1964" s="15"/>
      <x:c r="U1964" s="6"/>
      <x:c r="V1964" s="6"/>
      <x:c r="W1964" s="6" t="str">
        <x:v>Existing find_route(via=[...]).</x:v>
      </x:c>
      <x:c r="X1964" s="6" t="str">
        <x:v>data/train/resplan-1702/questions_basic.jsonl</x:v>
      </x:c>
      <x:c r="Y1964" s="14" t="n">
        <x:v>9</x:v>
      </x:c>
      <x:c r="Z1964" s="6" t="str">
        <x:v>https://github.com/hagenhaeussler/Industrial-Agents-Hackathon-2026/blob/f41616590b69f3ea0c1cbfb41d6c35edd9ce53df/data/train/resplan-1702/questions_basic.jsonl#L9</x:v>
      </x:c>
      <x:c r="AA1964" s="6" t="str">
        <x:v>resplan</x:v>
      </x:c>
      <x:c r="AB1964" s="6" t="str">
        <x:v>CC-BY-4.0</x:v>
      </x:c>
    </x:row>
    <x:row r="1965" ht="110" customHeight="1">
      <x:c r="A1965" s="14" t="n">
        <x:v>1960</x:v>
      </x:c>
      <x:c r="B1965" s="6" t="str">
        <x:v>tour</x:v>
      </x:c>
      <x:c r="C1965" s="6" t="str">
        <x:v>Starting at Bedroom 0.02 (Ground floor), visit Living room 0.01 (Ground floor), then Bathroom 0.04 (Ground floor) in this order. What is the route?</x:v>
      </x:c>
      <x:c r="D1965" s="6" t="str">
        <x:v>8.89 m total
Stops: Bedroom 0.02 → Living room 0.01 → Bathroom 0.04
Leg lengths (m): 5.38, 3.51
Full paths are in Answer JSON.</x:v>
      </x:c>
      <x:c r="E1965" s="6" t="str">
        <x:v>Reference supplied</x:v>
      </x:c>
      <x:c r="F1965" s="6" t="str">
        <x:v>train</x:v>
      </x:c>
      <x:c r="G1965" s="6" t="str">
        <x:v>resplan-1804</x:v>
      </x:c>
      <x:c r="H1965" s="6" t="str">
        <x:v>resplan-1804-Q09</x:v>
      </x:c>
      <x:c r="I1965" s="6" t="str">
        <x:v>Route planning</x:v>
      </x:c>
      <x:c r="J1965" s="6" t="str">
        <x:v>Warm-up</x:v>
      </x:c>
      <x:c r="K1965" s="6" t="str">
        <x:v>Ordered stops, path for each leg and total metres.</x:v>
      </x:c>
      <x:c r="L1965" s="6" t="str">
        <x:v>T02, T05, T13</x:v>
      </x:c>
      <x:c r="M1965" s="6" t="str">
        <x:v>Visit multiple rooms in the order specified.</x:v>
      </x:c>
      <x:c r="N1965" s="6" t="str">
        <x:v>{"stops":["resplan-1804-F0-S002","resplan-1804-F0-S001","resplan-1804-F0-S004"],"optimal_length_m":8.89,"legs":[{"from_space_id":"resplan-1804-F0-S002","to_space_id":"resplan-1804-F0-S001","optimal_length_m":5.38,"space_path":["resplan-1804-F0-S002","resplan-1804-F0-S001"],"element_path":["resplan-1804-F0-O0002","resplan-1804-F0-O0002"]},{"from_space_id":"resplan-1804-F0-S001","to_space_id":"resplan-1804-F0-S004","optimal_length_m":3.51,"space_path":["resplan-1804-F0-S001","resplan-1804-F0-S004"],"element_path":["resplan-1804-F0-O0005","resplan-1804-F0-O0005"]}]}</x:v>
      </x:c>
      <x:c r="O1965" s="6"/>
      <x:c r="P1965" s="6" t="str">
        <x:v>Preserve stated visit order. Do not optimize stop order.</x:v>
      </x:c>
      <x:c r="Q1965" s="15" t="n">
        <x:v>8.89</x:v>
      </x:c>
      <x:c r="R1965" s="6" t="str">
        <x:v>m</x:v>
      </x:c>
      <x:c r="S1965" s="16"/>
      <x:c r="T1965" s="15"/>
      <x:c r="U1965" s="6"/>
      <x:c r="V1965" s="6"/>
      <x:c r="W1965" s="6" t="str">
        <x:v>Existing find_route(via=[...]).</x:v>
      </x:c>
      <x:c r="X1965" s="6" t="str">
        <x:v>data/train/resplan-1804/questions_basic.jsonl</x:v>
      </x:c>
      <x:c r="Y1965" s="14" t="n">
        <x:v>9</x:v>
      </x:c>
      <x:c r="Z1965" s="6" t="str">
        <x:v>https://github.com/hagenhaeussler/Industrial-Agents-Hackathon-2026/blob/f41616590b69f3ea0c1cbfb41d6c35edd9ce53df/data/train/resplan-1804/questions_basic.jsonl#L9</x:v>
      </x:c>
      <x:c r="AA1965" s="6" t="str">
        <x:v>resplan</x:v>
      </x:c>
      <x:c r="AB1965" s="6" t="str">
        <x:v>CC-BY-4.0</x:v>
      </x:c>
    </x:row>
    <x:row r="1966" ht="138" customHeight="1">
      <x:c r="A1966" s="14" t="n">
        <x:v>1961</x:v>
      </x:c>
      <x:c r="B1966" s="6" t="str">
        <x:v>tour</x:v>
      </x:c>
      <x:c r="C1966" s="6" t="str">
        <x:v>Starting at Bathroom 0.07 (Ground floor), visit Bedroom 0.04 (Ground floor), then Bathroom 0.05 (Ground floor) in this order. What is the route?</x:v>
      </x:c>
      <x:c r="D1966" s="6" t="str">
        <x:v>31.93 m total
Stops: Bathroom 0.07 → Bedroom 0.04 → Bathroom 0.05
Leg lengths (m): 17.12, 14.81
Full paths are in Answer JSON.</x:v>
      </x:c>
      <x:c r="E1966" s="6" t="str">
        <x:v>Reference supplied</x:v>
      </x:c>
      <x:c r="F1966" s="6" t="str">
        <x:v>train</x:v>
      </x:c>
      <x:c r="G1966" s="6" t="str">
        <x:v>resplan-2100</x:v>
      </x:c>
      <x:c r="H1966" s="6" t="str">
        <x:v>resplan-2100-Q09</x:v>
      </x:c>
      <x:c r="I1966" s="6" t="str">
        <x:v>Route planning</x:v>
      </x:c>
      <x:c r="J1966" s="6" t="str">
        <x:v>Warm-up</x:v>
      </x:c>
      <x:c r="K1966" s="6" t="str">
        <x:v>Ordered stops, path for each leg and total metres.</x:v>
      </x:c>
      <x:c r="L1966" s="6" t="str">
        <x:v>T02, T05, T13</x:v>
      </x:c>
      <x:c r="M1966" s="6" t="str">
        <x:v>Visit multiple rooms in the order specified.</x:v>
      </x:c>
      <x:c r="N1966" s="6" t="str">
        <x:v>{"stops":["resplan-2100-F0-S007","resplan-2100-F0-S004","resplan-2100-F0-S005"],"optimal_length_m":31.93,"legs":[{"from_space_id":"resplan-2100-F0-S007","to_space_id":"resplan-2100-F0-S004","optimal_length_m":17.12,"space_path":["resplan-2100-F0-S007","resplan-2100-F0-S002","resplan-2100-F0-S001","resplan-2100-F0-S004"],"element_path":["resplan-2100-F0-O0001","resplan-2100-F0-O0001","resplan-2100-F0-O0004","resplan-2100-F0-O0004","resplan-2100-F0-O0008","resplan-2100-F0-O0008"]},{"from_space_id":"resplan-2100-F0-S004","to_space_id":"resplan-2100-F0-S005","optimal_length_m":14.81,"space_path":["resplan-2100-F0-S004","resplan-2100-F0-S001","resplan-2100-F0-S005"],"element_path":["resplan-2100-F0-O0008","resplan-2100-F0-O0008","resplan-2100-F0-O0006","resplan-2100-F0-O0006"]}]}</x:v>
      </x:c>
      <x:c r="O1966" s="6"/>
      <x:c r="P1966" s="6" t="str">
        <x:v>Preserve stated visit order. Do not optimize stop order.</x:v>
      </x:c>
      <x:c r="Q1966" s="15" t="n">
        <x:v>31.93</x:v>
      </x:c>
      <x:c r="R1966" s="6" t="str">
        <x:v>m</x:v>
      </x:c>
      <x:c r="S1966" s="16"/>
      <x:c r="T1966" s="15"/>
      <x:c r="U1966" s="6"/>
      <x:c r="V1966" s="6"/>
      <x:c r="W1966" s="6" t="str">
        <x:v>Existing find_route(via=[...]).</x:v>
      </x:c>
      <x:c r="X1966" s="6" t="str">
        <x:v>data/train/resplan-2100/questions_basic.jsonl</x:v>
      </x:c>
      <x:c r="Y1966" s="14" t="n">
        <x:v>9</x:v>
      </x:c>
      <x:c r="Z1966" s="6" t="str">
        <x:v>https://github.com/hagenhaeussler/Industrial-Agents-Hackathon-2026/blob/f41616590b69f3ea0c1cbfb41d6c35edd9ce53df/data/train/resplan-2100/questions_basic.jsonl#L9</x:v>
      </x:c>
      <x:c r="AA1966" s="6" t="str">
        <x:v>resplan</x:v>
      </x:c>
      <x:c r="AB1966" s="6" t="str">
        <x:v>CC-BY-4.0</x:v>
      </x:c>
    </x:row>
    <x:row r="1967" ht="110" customHeight="1">
      <x:c r="A1967" s="14" t="n">
        <x:v>1962</x:v>
      </x:c>
      <x:c r="B1967" s="6" t="str">
        <x:v>tour</x:v>
      </x:c>
      <x:c r="C1967" s="6" t="str">
        <x:v>Starting at Bedroom 0.02 (Ground floor), visit Kitchen 0.05 (Ground floor), then Living room 0.01 (Ground floor) in this order. What is the route?</x:v>
      </x:c>
      <x:c r="D1967" s="6" t="str">
        <x:v>15.61 m total
Stops: Bedroom 0.02 → Kitchen 0.05 → Living room 0.01
Leg lengths (m): 11.16, 4.45
Full paths are in Answer JSON.</x:v>
      </x:c>
      <x:c r="E1967" s="6" t="str">
        <x:v>Reference supplied</x:v>
      </x:c>
      <x:c r="F1967" s="6" t="str">
        <x:v>train</x:v>
      </x:c>
      <x:c r="G1967" s="6" t="str">
        <x:v>resplan-2247</x:v>
      </x:c>
      <x:c r="H1967" s="6" t="str">
        <x:v>resplan-2247-Q09</x:v>
      </x:c>
      <x:c r="I1967" s="6" t="str">
        <x:v>Route planning</x:v>
      </x:c>
      <x:c r="J1967" s="6" t="str">
        <x:v>Warm-up</x:v>
      </x:c>
      <x:c r="K1967" s="6" t="str">
        <x:v>Ordered stops, path for each leg and total metres.</x:v>
      </x:c>
      <x:c r="L1967" s="6" t="str">
        <x:v>T02, T05, T13</x:v>
      </x:c>
      <x:c r="M1967" s="6" t="str">
        <x:v>Visit multiple rooms in the order specified.</x:v>
      </x:c>
      <x:c r="N1967" s="6" t="str">
        <x:v>{"stops":["resplan-2247-F0-S002","resplan-2247-F0-S005","resplan-2247-F0-S001"],"optimal_length_m":15.61,"legs":[{"from_space_id":"resplan-2247-F0-S002","to_space_id":"resplan-2247-F0-S005","optimal_length_m":11.16,"space_path":["resplan-2247-F0-S002","resplan-2247-F0-S001","resplan-2247-F0-S005"],"element_path":["resplan-2247-F0-O0002","resplan-2247-F0-O0002","resplan-2247-F0-O0005","resplan-2247-F0-O0005"]},{"from_space_id":"resplan-2247-F0-S005","to_space_id":"resplan-2247-F0-S001","optimal_length_m":4.45,"space_path":["resplan-2247-F0-S005","resplan-2247-F0-S001"],"element_path":["resplan-2247-F0-O0005","resplan-2247-F0-O0005"]}]}</x:v>
      </x:c>
      <x:c r="O1967" s="6"/>
      <x:c r="P1967" s="6" t="str">
        <x:v>Preserve stated visit order. Do not optimize stop order.</x:v>
      </x:c>
      <x:c r="Q1967" s="15" t="n">
        <x:v>15.61</x:v>
      </x:c>
      <x:c r="R1967" s="6" t="str">
        <x:v>m</x:v>
      </x:c>
      <x:c r="S1967" s="16"/>
      <x:c r="T1967" s="15"/>
      <x:c r="U1967" s="6"/>
      <x:c r="V1967" s="6"/>
      <x:c r="W1967" s="6" t="str">
        <x:v>Existing find_route(via=[...]).</x:v>
      </x:c>
      <x:c r="X1967" s="6" t="str">
        <x:v>data/train/resplan-2247/questions_basic.jsonl</x:v>
      </x:c>
      <x:c r="Y1967" s="14" t="n">
        <x:v>9</x:v>
      </x:c>
      <x:c r="Z1967" s="6" t="str">
        <x:v>https://github.com/hagenhaeussler/Industrial-Agents-Hackathon-2026/blob/f41616590b69f3ea0c1cbfb41d6c35edd9ce53df/data/train/resplan-2247/questions_basic.jsonl#L9</x:v>
      </x:c>
      <x:c r="AA1967" s="6" t="str">
        <x:v>resplan</x:v>
      </x:c>
      <x:c r="AB1967" s="6" t="str">
        <x:v>CC-BY-4.0</x:v>
      </x:c>
    </x:row>
    <x:row r="1968" ht="138" customHeight="1">
      <x:c r="A1968" s="14" t="n">
        <x:v>1963</x:v>
      </x:c>
      <x:c r="B1968" s="6" t="str">
        <x:v>tour</x:v>
      </x:c>
      <x:c r="C1968" s="6" t="str">
        <x:v>Starting at Bedroom 0.03 (Ground floor), visit Bathroom 0.05 (Ground floor), then Living room 0.01 (Ground floor) in this order. What is the route?</x:v>
      </x:c>
      <x:c r="D1968" s="6" t="str">
        <x:v>37.05 m total
Stops: Bedroom 0.03 → Bathroom 0.05 → Living room 0.01
Leg lengths (m): 22.61, 14.44
Full paths are in Answer JSON.</x:v>
      </x:c>
      <x:c r="E1968" s="6" t="str">
        <x:v>Reference supplied</x:v>
      </x:c>
      <x:c r="F1968" s="6" t="str">
        <x:v>train</x:v>
      </x:c>
      <x:c r="G1968" s="6" t="str">
        <x:v>resplan-2478</x:v>
      </x:c>
      <x:c r="H1968" s="6" t="str">
        <x:v>resplan-2478-Q09</x:v>
      </x:c>
      <x:c r="I1968" s="6" t="str">
        <x:v>Route planning</x:v>
      </x:c>
      <x:c r="J1968" s="6" t="str">
        <x:v>Warm-up</x:v>
      </x:c>
      <x:c r="K1968" s="6" t="str">
        <x:v>Ordered stops, path for each leg and total metres.</x:v>
      </x:c>
      <x:c r="L1968" s="6" t="str">
        <x:v>T02, T05, T13</x:v>
      </x:c>
      <x:c r="M1968" s="6" t="str">
        <x:v>Visit multiple rooms in the order specified.</x:v>
      </x:c>
      <x:c r="N1968" s="6" t="str">
        <x:v>{"stops":["resplan-2478-F0-S003","resplan-2478-F0-S005","resplan-2478-F0-S001"],"optimal_length_m":37.05,"legs":[{"from_space_id":"resplan-2478-F0-S003","to_space_id":"resplan-2478-F0-S005","optimal_length_m":22.61,"space_path":["resplan-2478-F0-S003","resplan-2478-F0-S001","resplan-2478-F0-S004","resplan-2478-F0-S005"],"element_path":["resplan-2478-F0-O0002","resplan-2478-F0-O0002","resplan-2478-F0-O0004","resplan-2478-F0-O0004","resplan-2478-F0-O0005","resplan-2478-F0-O0005"]},{"from_space_id":"resplan-2478-F0-S005","to_space_id":"resplan-2478-F0-S001","optimal_length_m":14.44,"space_path":["resplan-2478-F0-S005","resplan-2478-F0-S004","resplan-2478-F0-S001"],"element_path":["resplan-2478-F0-O0005","resplan-2478-F0-O0005","resplan-2478-F0-O0004","resplan-2478-F0-O0004"]}]}</x:v>
      </x:c>
      <x:c r="O1968" s="6"/>
      <x:c r="P1968" s="6" t="str">
        <x:v>Preserve stated visit order. Do not optimize stop order.</x:v>
      </x:c>
      <x:c r="Q1968" s="15" t="n">
        <x:v>37.05</x:v>
      </x:c>
      <x:c r="R1968" s="6" t="str">
        <x:v>m</x:v>
      </x:c>
      <x:c r="S1968" s="16"/>
      <x:c r="T1968" s="15"/>
      <x:c r="U1968" s="6"/>
      <x:c r="V1968" s="6"/>
      <x:c r="W1968" s="6" t="str">
        <x:v>Existing find_route(via=[...]).</x:v>
      </x:c>
      <x:c r="X1968" s="6" t="str">
        <x:v>data/train/resplan-2478/questions_basic.jsonl</x:v>
      </x:c>
      <x:c r="Y1968" s="14" t="n">
        <x:v>9</x:v>
      </x:c>
      <x:c r="Z1968" s="6" t="str">
        <x:v>https://github.com/hagenhaeussler/Industrial-Agents-Hackathon-2026/blob/f41616590b69f3ea0c1cbfb41d6c35edd9ce53df/data/train/resplan-2478/questions_basic.jsonl#L9</x:v>
      </x:c>
      <x:c r="AA1968" s="6" t="str">
        <x:v>resplan</x:v>
      </x:c>
      <x:c r="AB1968" s="6" t="str">
        <x:v>CC-BY-4.0</x:v>
      </x:c>
    </x:row>
    <x:row r="1969" ht="152" customHeight="1">
      <x:c r="A1969" s="14" t="n">
        <x:v>1964</x:v>
      </x:c>
      <x:c r="B1969" s="6" t="str">
        <x:v>tour</x:v>
      </x:c>
      <x:c r="C1969" s="6" t="str">
        <x:v>Starting at Bathroom 0.05 (Ground floor), visit Bathroom 0.04 (Ground floor), then Bathroom 0.06 (Ground floor) in this order. What is the route?</x:v>
      </x:c>
      <x:c r="D1969" s="6" t="str">
        <x:v>26.98 m total
Stops: Bathroom 0.05 → Bathroom 0.04 → Bathroom 0.06
Leg lengths (m): 13.8, 13.18
Full paths are in Answer JSON.</x:v>
      </x:c>
      <x:c r="E1969" s="6" t="str">
        <x:v>Reference supplied</x:v>
      </x:c>
      <x:c r="F1969" s="6" t="str">
        <x:v>train</x:v>
      </x:c>
      <x:c r="G1969" s="6" t="str">
        <x:v>resplan-2515</x:v>
      </x:c>
      <x:c r="H1969" s="6" t="str">
        <x:v>resplan-2515-Q09</x:v>
      </x:c>
      <x:c r="I1969" s="6" t="str">
        <x:v>Route planning</x:v>
      </x:c>
      <x:c r="J1969" s="6" t="str">
        <x:v>Warm-up</x:v>
      </x:c>
      <x:c r="K1969" s="6" t="str">
        <x:v>Ordered stops, path for each leg and total metres.</x:v>
      </x:c>
      <x:c r="L1969" s="6" t="str">
        <x:v>T02, T05, T13</x:v>
      </x:c>
      <x:c r="M1969" s="6" t="str">
        <x:v>Visit multiple rooms in the order specified.</x:v>
      </x:c>
      <x:c r="N1969" s="6" t="str">
        <x:v>{"stops":["resplan-2515-F0-S005","resplan-2515-F0-S004","resplan-2515-F0-S006"],"optimal_length_m":26.98,"legs":[{"from_space_id":"resplan-2515-F0-S005","to_space_id":"resplan-2515-F0-S004","optimal_length_m":13.8,"space_path":["resplan-2515-F0-S005","resplan-2515-F0-S001","resplan-2515-F0-S002","resplan-2515-F0-S004"],"element_path":["resplan-2515-F0-O0006","resplan-2515-F0-O0006","resplan-2515-F0-O0003","resplan-2515-F0-O0003","resplan-2515-F0-O0002","resplan-2515-F0-O0002"]},{"from_space_id":"resplan-2515-F0-S004","to_space_id":"resplan-2515-F0-S006","optimal_length_m":13.18,"space_path":["resplan-2515-F0-S004","resplan-2515-F0-S002","resplan-2515-F0-S001","resplan-2515-F0-S006"],"element_path":["resplan-2515-F0-O0002","resplan-2515-F0-O0002","resplan-2515-F0-O0003","resplan-2515-F0-O0003","resplan-2515-F0-O0005","resplan-2515-F0-O0005"]}]}</x:v>
      </x:c>
      <x:c r="O1969" s="6"/>
      <x:c r="P1969" s="6" t="str">
        <x:v>Preserve stated visit order. Do not optimize stop order.</x:v>
      </x:c>
      <x:c r="Q1969" s="15" t="n">
        <x:v>26.98</x:v>
      </x:c>
      <x:c r="R1969" s="6" t="str">
        <x:v>m</x:v>
      </x:c>
      <x:c r="S1969" s="16"/>
      <x:c r="T1969" s="15"/>
      <x:c r="U1969" s="6"/>
      <x:c r="V1969" s="6"/>
      <x:c r="W1969" s="6" t="str">
        <x:v>Existing find_route(via=[...]).</x:v>
      </x:c>
      <x:c r="X1969" s="6" t="str">
        <x:v>data/train/resplan-2515/questions_basic.jsonl</x:v>
      </x:c>
      <x:c r="Y1969" s="14" t="n">
        <x:v>9</x:v>
      </x:c>
      <x:c r="Z1969" s="6" t="str">
        <x:v>https://github.com/hagenhaeussler/Industrial-Agents-Hackathon-2026/blob/f41616590b69f3ea0c1cbfb41d6c35edd9ce53df/data/train/resplan-2515/questions_basic.jsonl#L9</x:v>
      </x:c>
      <x:c r="AA1969" s="6" t="str">
        <x:v>resplan</x:v>
      </x:c>
      <x:c r="AB1969" s="6" t="str">
        <x:v>CC-BY-4.0</x:v>
      </x:c>
    </x:row>
    <x:row r="1970" ht="152" customHeight="1">
      <x:c r="A1970" s="14" t="n">
        <x:v>1965</x:v>
      </x:c>
      <x:c r="B1970" s="6" t="str">
        <x:v>tour</x:v>
      </x:c>
      <x:c r="C1970" s="6" t="str">
        <x:v>Starting at Bedroom 0.02 (Ground floor), visit Bathroom 0.05 (Ground floor), then Kitchen 0.06 (Ground floor) in this order. What is the route?</x:v>
      </x:c>
      <x:c r="D1970" s="6" t="str">
        <x:v>23.58 m total
Stops: Bedroom 0.02 → Bathroom 0.05 → Kitchen 0.06
Leg lengths (m): 12.69, 10.89
Full paths are in Answer JSON.</x:v>
      </x:c>
      <x:c r="E1970" s="6" t="str">
        <x:v>Reference supplied</x:v>
      </x:c>
      <x:c r="F1970" s="6" t="str">
        <x:v>train</x:v>
      </x:c>
      <x:c r="G1970" s="6" t="str">
        <x:v>resplan-2587</x:v>
      </x:c>
      <x:c r="H1970" s="6" t="str">
        <x:v>resplan-2587-Q09</x:v>
      </x:c>
      <x:c r="I1970" s="6" t="str">
        <x:v>Route planning</x:v>
      </x:c>
      <x:c r="J1970" s="6" t="str">
        <x:v>Warm-up</x:v>
      </x:c>
      <x:c r="K1970" s="6" t="str">
        <x:v>Ordered stops, path for each leg and total metres.</x:v>
      </x:c>
      <x:c r="L1970" s="6" t="str">
        <x:v>T02, T05, T13</x:v>
      </x:c>
      <x:c r="M1970" s="6" t="str">
        <x:v>Visit multiple rooms in the order specified.</x:v>
      </x:c>
      <x:c r="N1970" s="6" t="str">
        <x:v>{"stops":["resplan-2587-F0-S002","resplan-2587-F0-S005","resplan-2587-F0-S006"],"optimal_length_m":23.58,"legs":[{"from_space_id":"resplan-2587-F0-S002","to_space_id":"resplan-2587-F0-S005","optimal_length_m":12.69,"space_path":["resplan-2587-F0-S002","resplan-2587-F0-S001","resplan-2587-F0-S003","resplan-2587-F0-S005"],"element_path":["resplan-2587-F0-O0003","resplan-2587-F0-O0003","resplan-2587-F0-O0004","resplan-2587-F0-O0004","resplan-2587-F0-O0005","resplan-2587-F0-O0005"]},{"from_space_id":"resplan-2587-F0-S005","to_space_id":"resplan-2587-F0-S006","optimal_length_m":10.89,"space_path":["resplan-2587-F0-S005","resplan-2587-F0-S003","resplan-2587-F0-S001","resplan-2587-F0-S006"],"element_path":["resplan-2587-F0-O0005","resplan-2587-F0-O0005","resplan-2587-F0-O0004","resplan-2587-F0-O0004","resplan-2587-F0-O0007","resplan-2587-F0-O0007"]}]}</x:v>
      </x:c>
      <x:c r="O1970" s="6"/>
      <x:c r="P1970" s="6" t="str">
        <x:v>Preserve stated visit order. Do not optimize stop order.</x:v>
      </x:c>
      <x:c r="Q1970" s="15" t="n">
        <x:v>23.58</x:v>
      </x:c>
      <x:c r="R1970" s="6" t="str">
        <x:v>m</x:v>
      </x:c>
      <x:c r="S1970" s="16"/>
      <x:c r="T1970" s="15"/>
      <x:c r="U1970" s="6"/>
      <x:c r="V1970" s="6"/>
      <x:c r="W1970" s="6" t="str">
        <x:v>Existing find_route(via=[...]).</x:v>
      </x:c>
      <x:c r="X1970" s="6" t="str">
        <x:v>data/train/resplan-2587/questions_basic.jsonl</x:v>
      </x:c>
      <x:c r="Y1970" s="14" t="n">
        <x:v>9</x:v>
      </x:c>
      <x:c r="Z1970" s="6" t="str">
        <x:v>https://github.com/hagenhaeussler/Industrial-Agents-Hackathon-2026/blob/f41616590b69f3ea0c1cbfb41d6c35edd9ce53df/data/train/resplan-2587/questions_basic.jsonl#L9</x:v>
      </x:c>
      <x:c r="AA1970" s="6" t="str">
        <x:v>resplan</x:v>
      </x:c>
      <x:c r="AB1970" s="6" t="str">
        <x:v>CC-BY-4.0</x:v>
      </x:c>
    </x:row>
    <x:row r="1971" ht="124" customHeight="1">
      <x:c r="A1971" s="14" t="n">
        <x:v>1966</x:v>
      </x:c>
      <x:c r="B1971" s="6" t="str">
        <x:v>tour</x:v>
      </x:c>
      <x:c r="C1971" s="6" t="str">
        <x:v>Starting at Bedroom 0.05 (Ground floor), visit Bathroom 0.07 (Ground floor), then Kitchen 0.09 (Ground floor) in this order. What is the route?</x:v>
      </x:c>
      <x:c r="D1971" s="6" t="str">
        <x:v>25.77 m total
Stops: Bedroom 0.05 → Bathroom 0.07 → Kitchen 0.09
Leg lengths (m): 15.26, 10.51
Full paths are in Answer JSON.</x:v>
      </x:c>
      <x:c r="E1971" s="6" t="str">
        <x:v>Reference supplied</x:v>
      </x:c>
      <x:c r="F1971" s="6" t="str">
        <x:v>train</x:v>
      </x:c>
      <x:c r="G1971" s="6" t="str">
        <x:v>resplan-3207</x:v>
      </x:c>
      <x:c r="H1971" s="6" t="str">
        <x:v>resplan-3207-Q09</x:v>
      </x:c>
      <x:c r="I1971" s="6" t="str">
        <x:v>Route planning</x:v>
      </x:c>
      <x:c r="J1971" s="6" t="str">
        <x:v>Warm-up</x:v>
      </x:c>
      <x:c r="K1971" s="6" t="str">
        <x:v>Ordered stops, path for each leg and total metres.</x:v>
      </x:c>
      <x:c r="L1971" s="6" t="str">
        <x:v>T02, T05, T13</x:v>
      </x:c>
      <x:c r="M1971" s="6" t="str">
        <x:v>Visit multiple rooms in the order specified.</x:v>
      </x:c>
      <x:c r="N1971" s="6" t="str">
        <x:v>{"stops":["resplan-3207-F0-S005","resplan-3207-F0-S007","resplan-3207-F0-S009"],"optimal_length_m":25.77,"legs":[{"from_space_id":"resplan-3207-F0-S005","to_space_id":"resplan-3207-F0-S007","optimal_length_m":15.26,"space_path":["resplan-3207-F0-S005","resplan-3207-F0-S001","resplan-3207-F0-S007"],"element_path":["resplan-3207-F0-O0006","resplan-3207-F0-O0006","resplan-3207-F0-O0005","resplan-3207-F0-O0005"]},{"from_space_id":"resplan-3207-F0-S007","to_space_id":"resplan-3207-F0-S009","optimal_length_m":10.51,"space_path":["resplan-3207-F0-S007","resplan-3207-F0-S001","resplan-3207-F0-S009"],"element_path":["resplan-3207-F0-O0005","resplan-3207-F0-O0005","resplan-3207-F0-O0003","resplan-3207-F0-O0003"]}]}</x:v>
      </x:c>
      <x:c r="O1971" s="6"/>
      <x:c r="P1971" s="6" t="str">
        <x:v>Preserve stated visit order. Do not optimize stop order.</x:v>
      </x:c>
      <x:c r="Q1971" s="15" t="n">
        <x:v>25.77</x:v>
      </x:c>
      <x:c r="R1971" s="6" t="str">
        <x:v>m</x:v>
      </x:c>
      <x:c r="S1971" s="16"/>
      <x:c r="T1971" s="15"/>
      <x:c r="U1971" s="6"/>
      <x:c r="V1971" s="6"/>
      <x:c r="W1971" s="6" t="str">
        <x:v>Existing find_route(via=[...]).</x:v>
      </x:c>
      <x:c r="X1971" s="6" t="str">
        <x:v>data/train/resplan-3207/questions_basic.jsonl</x:v>
      </x:c>
      <x:c r="Y1971" s="14" t="n">
        <x:v>9</x:v>
      </x:c>
      <x:c r="Z1971" s="6" t="str">
        <x:v>https://github.com/hagenhaeussler/Industrial-Agents-Hackathon-2026/blob/f41616590b69f3ea0c1cbfb41d6c35edd9ce53df/data/train/resplan-3207/questions_basic.jsonl#L9</x:v>
      </x:c>
      <x:c r="AA1971" s="6" t="str">
        <x:v>resplan</x:v>
      </x:c>
      <x:c r="AB1971" s="6" t="str">
        <x:v>CC-BY-4.0</x:v>
      </x:c>
    </x:row>
    <x:row r="1972" ht="110" customHeight="1">
      <x:c r="A1972" s="14" t="n">
        <x:v>1967</x:v>
      </x:c>
      <x:c r="B1972" s="6" t="str">
        <x:v>tour</x:v>
      </x:c>
      <x:c r="C1972" s="6" t="str">
        <x:v>Starting at Bedroom 0.03 (Ground floor), visit Bedroom 0.02 (Ground floor), then Living room 0.01 (Ground floor) in this order. What is the route?</x:v>
      </x:c>
      <x:c r="D1972" s="6" t="str">
        <x:v>21.16 m total
Stops: Bedroom 0.03 → Bedroom 0.02 → Living room 0.01
Leg lengths (m): 14.4, 6.76
Full paths are in Answer JSON.</x:v>
      </x:c>
      <x:c r="E1972" s="6" t="str">
        <x:v>Reference supplied</x:v>
      </x:c>
      <x:c r="F1972" s="6" t="str">
        <x:v>train</x:v>
      </x:c>
      <x:c r="G1972" s="6" t="str">
        <x:v>resplan-3221</x:v>
      </x:c>
      <x:c r="H1972" s="6" t="str">
        <x:v>resplan-3221-Q09</x:v>
      </x:c>
      <x:c r="I1972" s="6" t="str">
        <x:v>Route planning</x:v>
      </x:c>
      <x:c r="J1972" s="6" t="str">
        <x:v>Warm-up</x:v>
      </x:c>
      <x:c r="K1972" s="6" t="str">
        <x:v>Ordered stops, path for each leg and total metres.</x:v>
      </x:c>
      <x:c r="L1972" s="6" t="str">
        <x:v>T02, T05, T13</x:v>
      </x:c>
      <x:c r="M1972" s="6" t="str">
        <x:v>Visit multiple rooms in the order specified.</x:v>
      </x:c>
      <x:c r="N1972" s="6" t="str">
        <x:v>{"stops":["resplan-3221-F0-S003","resplan-3221-F0-S002","resplan-3221-F0-S001"],"optimal_length_m":21.16,"legs":[{"from_space_id":"resplan-3221-F0-S003","to_space_id":"resplan-3221-F0-S002","optimal_length_m":14.4,"space_path":["resplan-3221-F0-S003","resplan-3221-F0-S001","resplan-3221-F0-S002"],"element_path":["resplan-3221-F0-O0001","resplan-3221-F0-O0001","resplan-3221-F0-O0003","resplan-3221-F0-O0003"]},{"from_space_id":"resplan-3221-F0-S002","to_space_id":"resplan-3221-F0-S001","optimal_length_m":6.76,"space_path":["resplan-3221-F0-S002","resplan-3221-F0-S001"],"element_path":["resplan-3221-F0-O0003","resplan-3221-F0-O0003"]}]}</x:v>
      </x:c>
      <x:c r="O1972" s="6"/>
      <x:c r="P1972" s="6" t="str">
        <x:v>Preserve stated visit order. Do not optimize stop order.</x:v>
      </x:c>
      <x:c r="Q1972" s="15" t="n">
        <x:v>21.16</x:v>
      </x:c>
      <x:c r="R1972" s="6" t="str">
        <x:v>m</x:v>
      </x:c>
      <x:c r="S1972" s="16"/>
      <x:c r="T1972" s="15"/>
      <x:c r="U1972" s="6"/>
      <x:c r="V1972" s="6"/>
      <x:c r="W1972" s="6" t="str">
        <x:v>Existing find_route(via=[...]).</x:v>
      </x:c>
      <x:c r="X1972" s="6" t="str">
        <x:v>data/train/resplan-3221/questions_basic.jsonl</x:v>
      </x:c>
      <x:c r="Y1972" s="14" t="n">
        <x:v>9</x:v>
      </x:c>
      <x:c r="Z1972" s="6" t="str">
        <x:v>https://github.com/hagenhaeussler/Industrial-Agents-Hackathon-2026/blob/f41616590b69f3ea0c1cbfb41d6c35edd9ce53df/data/train/resplan-3221/questions_basic.jsonl#L9</x:v>
      </x:c>
      <x:c r="AA1972" s="6" t="str">
        <x:v>resplan</x:v>
      </x:c>
      <x:c r="AB1972" s="6" t="str">
        <x:v>CC-BY-4.0</x:v>
      </x:c>
    </x:row>
    <x:row r="1973" ht="138" customHeight="1">
      <x:c r="A1973" s="14" t="n">
        <x:v>1968</x:v>
      </x:c>
      <x:c r="B1973" s="6" t="str">
        <x:v>tour</x:v>
      </x:c>
      <x:c r="C1973" s="6" t="str">
        <x:v>Starting at Bathroom 0.06 (Ground floor), visit Bathroom 0.07 (Ground floor), then Bedroom 0.03 (Ground floor) in this order. What is the route?</x:v>
      </x:c>
      <x:c r="D1973" s="6" t="str">
        <x:v>31.04 m total
Stops: Bathroom 0.06 → Bathroom 0.07 → Bedroom 0.03
Leg lengths (m): 17.68, 13.36
Full paths are in Answer JSON.</x:v>
      </x:c>
      <x:c r="E1973" s="6" t="str">
        <x:v>Reference supplied</x:v>
      </x:c>
      <x:c r="F1973" s="6" t="str">
        <x:v>train</x:v>
      </x:c>
      <x:c r="G1973" s="6" t="str">
        <x:v>resplan-3562</x:v>
      </x:c>
      <x:c r="H1973" s="6" t="str">
        <x:v>resplan-3562-Q09</x:v>
      </x:c>
      <x:c r="I1973" s="6" t="str">
        <x:v>Route planning</x:v>
      </x:c>
      <x:c r="J1973" s="6" t="str">
        <x:v>Warm-up</x:v>
      </x:c>
      <x:c r="K1973" s="6" t="str">
        <x:v>Ordered stops, path for each leg and total metres.</x:v>
      </x:c>
      <x:c r="L1973" s="6" t="str">
        <x:v>T02, T05, T13</x:v>
      </x:c>
      <x:c r="M1973" s="6" t="str">
        <x:v>Visit multiple rooms in the order specified.</x:v>
      </x:c>
      <x:c r="N1973" s="6" t="str">
        <x:v>{"stops":["resplan-3562-F0-S006","resplan-3562-F0-S007","resplan-3562-F0-S003"],"optimal_length_m":31.04,"legs":[{"from_space_id":"resplan-3562-F0-S006","to_space_id":"resplan-3562-F0-S007","optimal_length_m":17.68,"space_path":["resplan-3562-F0-S006","resplan-3562-F0-S004","resplan-3562-F0-S001","resplan-3562-F0-S007"],"element_path":["resplan-3562-F0-O0006","resplan-3562-F0-O0006","resplan-3562-F0-O0005","resplan-3562-F0-O0005","resplan-3562-F0-O0004","resplan-3562-F0-O0004"]},{"from_space_id":"resplan-3562-F0-S007","to_space_id":"resplan-3562-F0-S003","optimal_length_m":13.36,"space_path":["resplan-3562-F0-S007","resplan-3562-F0-S001","resplan-3562-F0-S003"],"element_path":["resplan-3562-F0-O0004","resplan-3562-F0-O0004","resplan-3562-F0-O0003","resplan-3562-F0-O0003"]}]}</x:v>
      </x:c>
      <x:c r="O1973" s="6"/>
      <x:c r="P1973" s="6" t="str">
        <x:v>Preserve stated visit order. Do not optimize stop order.</x:v>
      </x:c>
      <x:c r="Q1973" s="15" t="n">
        <x:v>31.04</x:v>
      </x:c>
      <x:c r="R1973" s="6" t="str">
        <x:v>m</x:v>
      </x:c>
      <x:c r="S1973" s="16"/>
      <x:c r="T1973" s="15"/>
      <x:c r="U1973" s="6"/>
      <x:c r="V1973" s="6"/>
      <x:c r="W1973" s="6" t="str">
        <x:v>Existing find_route(via=[...]).</x:v>
      </x:c>
      <x:c r="X1973" s="6" t="str">
        <x:v>data/train/resplan-3562/questions_basic.jsonl</x:v>
      </x:c>
      <x:c r="Y1973" s="14" t="n">
        <x:v>9</x:v>
      </x:c>
      <x:c r="Z1973" s="6" t="str">
        <x:v>https://github.com/hagenhaeussler/Industrial-Agents-Hackathon-2026/blob/f41616590b69f3ea0c1cbfb41d6c35edd9ce53df/data/train/resplan-3562/questions_basic.jsonl#L9</x:v>
      </x:c>
      <x:c r="AA1973" s="6" t="str">
        <x:v>resplan</x:v>
      </x:c>
      <x:c r="AB1973" s="6" t="str">
        <x:v>CC-BY-4.0</x:v>
      </x:c>
    </x:row>
    <x:row r="1974" ht="124" customHeight="1">
      <x:c r="A1974" s="14" t="n">
        <x:v>1969</x:v>
      </x:c>
      <x:c r="B1974" s="6" t="str">
        <x:v>tour</x:v>
      </x:c>
      <x:c r="C1974" s="6" t="str">
        <x:v>Starting at Bedroom 0.05 (Ground floor), visit Bedroom 0.03 (Ground floor), then Bathroom 0.08 (Ground floor) in this order. What is the route?</x:v>
      </x:c>
      <x:c r="D1974" s="6" t="str">
        <x:v>27.13 m total
Stops: Bedroom 0.05 → Bedroom 0.03 → Bathroom 0.08
Leg lengths (m): 14.98, 12.15
Full paths are in Answer JSON.</x:v>
      </x:c>
      <x:c r="E1974" s="6" t="str">
        <x:v>Reference supplied</x:v>
      </x:c>
      <x:c r="F1974" s="6" t="str">
        <x:v>train</x:v>
      </x:c>
      <x:c r="G1974" s="6" t="str">
        <x:v>resplan-3806</x:v>
      </x:c>
      <x:c r="H1974" s="6" t="str">
        <x:v>resplan-3806-Q09</x:v>
      </x:c>
      <x:c r="I1974" s="6" t="str">
        <x:v>Route planning</x:v>
      </x:c>
      <x:c r="J1974" s="6" t="str">
        <x:v>Warm-up</x:v>
      </x:c>
      <x:c r="K1974" s="6" t="str">
        <x:v>Ordered stops, path for each leg and total metres.</x:v>
      </x:c>
      <x:c r="L1974" s="6" t="str">
        <x:v>T02, T05, T13</x:v>
      </x:c>
      <x:c r="M1974" s="6" t="str">
        <x:v>Visit multiple rooms in the order specified.</x:v>
      </x:c>
      <x:c r="N1974" s="6" t="str">
        <x:v>{"stops":["resplan-3806-F0-S005","resplan-3806-F0-S003","resplan-3806-F0-S008"],"optimal_length_m":27.13,"legs":[{"from_space_id":"resplan-3806-F0-S005","to_space_id":"resplan-3806-F0-S003","optimal_length_m":14.98,"space_path":["resplan-3806-F0-S005","resplan-3806-F0-S001","resplan-3806-F0-S003"],"element_path":["resplan-3806-F0-O0007","resplan-3806-F0-O0007","resplan-3806-F0-O0003","resplan-3806-F0-O0003"]},{"from_space_id":"resplan-3806-F0-S003","to_space_id":"resplan-3806-F0-S008","optimal_length_m":12.15,"space_path":["resplan-3806-F0-S003","resplan-3806-F0-S001","resplan-3806-F0-S008"],"element_path":["resplan-3806-F0-O0003","resplan-3806-F0-O0003","resplan-3806-F0-O0012","resplan-3806-F0-O0012"]}]}</x:v>
      </x:c>
      <x:c r="O1974" s="6"/>
      <x:c r="P1974" s="6" t="str">
        <x:v>Preserve stated visit order. Do not optimize stop order.</x:v>
      </x:c>
      <x:c r="Q1974" s="15" t="n">
        <x:v>27.13</x:v>
      </x:c>
      <x:c r="R1974" s="6" t="str">
        <x:v>m</x:v>
      </x:c>
      <x:c r="S1974" s="16"/>
      <x:c r="T1974" s="15"/>
      <x:c r="U1974" s="6"/>
      <x:c r="V1974" s="6"/>
      <x:c r="W1974" s="6" t="str">
        <x:v>Existing find_route(via=[...]).</x:v>
      </x:c>
      <x:c r="X1974" s="6" t="str">
        <x:v>data/train/resplan-3806/questions_basic.jsonl</x:v>
      </x:c>
      <x:c r="Y1974" s="14" t="n">
        <x:v>9</x:v>
      </x:c>
      <x:c r="Z1974" s="6" t="str">
        <x:v>https://github.com/hagenhaeussler/Industrial-Agents-Hackathon-2026/blob/f41616590b69f3ea0c1cbfb41d6c35edd9ce53df/data/train/resplan-3806/questions_basic.jsonl#L9</x:v>
      </x:c>
      <x:c r="AA1974" s="6" t="str">
        <x:v>resplan</x:v>
      </x:c>
      <x:c r="AB1974" s="6" t="str">
        <x:v>CC-BY-4.0</x:v>
      </x:c>
    </x:row>
    <x:row r="1975" ht="124" customHeight="1">
      <x:c r="A1975" s="14" t="n">
        <x:v>1970</x:v>
      </x:c>
      <x:c r="B1975" s="6" t="str">
        <x:v>tour</x:v>
      </x:c>
      <x:c r="C1975" s="6" t="str">
        <x:v>Starting at Bedroom 0.02 (Ground floor), visit Bathroom 0.04 (Ground floor), then Kitchen 0.06 (Ground floor) in this order. What is the route?</x:v>
      </x:c>
      <x:c r="D1975" s="6" t="str">
        <x:v>19 m total
Stops: Bedroom 0.02 → Bathroom 0.04 → Kitchen 0.06
Leg lengths (m): 9.94, 9.06
Full paths are in Answer JSON.</x:v>
      </x:c>
      <x:c r="E1975" s="6" t="str">
        <x:v>Reference supplied</x:v>
      </x:c>
      <x:c r="F1975" s="6" t="str">
        <x:v>train</x:v>
      </x:c>
      <x:c r="G1975" s="6" t="str">
        <x:v>resplan-3971</x:v>
      </x:c>
      <x:c r="H1975" s="6" t="str">
        <x:v>resplan-3971-Q09</x:v>
      </x:c>
      <x:c r="I1975" s="6" t="str">
        <x:v>Route planning</x:v>
      </x:c>
      <x:c r="J1975" s="6" t="str">
        <x:v>Warm-up</x:v>
      </x:c>
      <x:c r="K1975" s="6" t="str">
        <x:v>Ordered stops, path for each leg and total metres.</x:v>
      </x:c>
      <x:c r="L1975" s="6" t="str">
        <x:v>T02, T05, T13</x:v>
      </x:c>
      <x:c r="M1975" s="6" t="str">
        <x:v>Visit multiple rooms in the order specified.</x:v>
      </x:c>
      <x:c r="N1975" s="6" t="str">
        <x:v>{"stops":["resplan-3971-F0-S002","resplan-3971-F0-S004","resplan-3971-F0-S006"],"optimal_length_m":19,"legs":[{"from_space_id":"resplan-3971-F0-S002","to_space_id":"resplan-3971-F0-S004","optimal_length_m":9.94,"space_path":["resplan-3971-F0-S002","resplan-3971-F0-S001","resplan-3971-F0-S004"],"element_path":["resplan-3971-F0-O0001","resplan-3971-F0-O0001","resplan-3971-F0-O0002","resplan-3971-F0-O0002"]},{"from_space_id":"resplan-3971-F0-S004","to_space_id":"resplan-3971-F0-S006","optimal_length_m":9.06,"space_path":["resplan-3971-F0-S004","resplan-3971-F0-S001","resplan-3971-F0-S006"],"element_path":["resplan-3971-F0-O0002","resplan-3971-F0-O0002","resplan-3971-F0-O0007","resplan-3971-F0-O0007"]}]}</x:v>
      </x:c>
      <x:c r="O1975" s="6"/>
      <x:c r="P1975" s="6" t="str">
        <x:v>Preserve stated visit order. Do not optimize stop order.</x:v>
      </x:c>
      <x:c r="Q1975" s="15" t="n">
        <x:v>19</x:v>
      </x:c>
      <x:c r="R1975" s="6" t="str">
        <x:v>m</x:v>
      </x:c>
      <x:c r="S1975" s="16"/>
      <x:c r="T1975" s="15"/>
      <x:c r="U1975" s="6"/>
      <x:c r="V1975" s="6"/>
      <x:c r="W1975" s="6" t="str">
        <x:v>Existing find_route(via=[...]).</x:v>
      </x:c>
      <x:c r="X1975" s="6" t="str">
        <x:v>data/train/resplan-3971/questions_basic.jsonl</x:v>
      </x:c>
      <x:c r="Y1975" s="14" t="n">
        <x:v>9</x:v>
      </x:c>
      <x:c r="Z1975" s="6" t="str">
        <x:v>https://github.com/hagenhaeussler/Industrial-Agents-Hackathon-2026/blob/f41616590b69f3ea0c1cbfb41d6c35edd9ce53df/data/train/resplan-3971/questions_basic.jsonl#L9</x:v>
      </x:c>
      <x:c r="AA1975" s="6" t="str">
        <x:v>resplan</x:v>
      </x:c>
      <x:c r="AB1975" s="6" t="str">
        <x:v>CC-BY-4.0</x:v>
      </x:c>
    </x:row>
    <x:row r="1976" ht="110" customHeight="1">
      <x:c r="A1976" s="14" t="n">
        <x:v>1971</x:v>
      </x:c>
      <x:c r="B1976" s="6" t="str">
        <x:v>tour</x:v>
      </x:c>
      <x:c r="C1976" s="6" t="str">
        <x:v>Starting at Living room 0.01 (Ground floor), visit Bathroom 0.04 (Ground floor), then Kitchen 0.05 (Ground floor) in this order. What is the route?</x:v>
      </x:c>
      <x:c r="D1976" s="6" t="str">
        <x:v>16.07 m total
Stops: Living room 0.01 → Bathroom 0.04 → Kitchen 0.05
Leg lengths (m): 6.36, 9.71
Full paths are in Answer JSON.</x:v>
      </x:c>
      <x:c r="E1976" s="6" t="str">
        <x:v>Reference supplied</x:v>
      </x:c>
      <x:c r="F1976" s="6" t="str">
        <x:v>train</x:v>
      </x:c>
      <x:c r="G1976" s="6" t="str">
        <x:v>resplan-4294</x:v>
      </x:c>
      <x:c r="H1976" s="6" t="str">
        <x:v>resplan-4294-Q09</x:v>
      </x:c>
      <x:c r="I1976" s="6" t="str">
        <x:v>Route planning</x:v>
      </x:c>
      <x:c r="J1976" s="6" t="str">
        <x:v>Warm-up</x:v>
      </x:c>
      <x:c r="K1976" s="6" t="str">
        <x:v>Ordered stops, path for each leg and total metres.</x:v>
      </x:c>
      <x:c r="L1976" s="6" t="str">
        <x:v>T02, T05, T13</x:v>
      </x:c>
      <x:c r="M1976" s="6" t="str">
        <x:v>Visit multiple rooms in the order specified.</x:v>
      </x:c>
      <x:c r="N1976" s="6" t="str">
        <x:v>{"stops":["resplan-4294-F0-S001","resplan-4294-F0-S004","resplan-4294-F0-S005"],"optimal_length_m":16.07,"legs":[{"from_space_id":"resplan-4294-F0-S001","to_space_id":"resplan-4294-F0-S004","optimal_length_m":6.36,"space_path":["resplan-4294-F0-S001","resplan-4294-F0-S004"],"element_path":["resplan-4294-F0-O0003","resplan-4294-F0-O0003"]},{"from_space_id":"resplan-4294-F0-S004","to_space_id":"resplan-4294-F0-S005","optimal_length_m":9.71,"space_path":["resplan-4294-F0-S004","resplan-4294-F0-S001","resplan-4294-F0-S005"],"element_path":["resplan-4294-F0-O0003","resplan-4294-F0-O0003","resplan-4294-F0-O0004","resplan-4294-F0-O0004"]}]}</x:v>
      </x:c>
      <x:c r="O1976" s="6"/>
      <x:c r="P1976" s="6" t="str">
        <x:v>Preserve stated visit order. Do not optimize stop order.</x:v>
      </x:c>
      <x:c r="Q1976" s="15" t="n">
        <x:v>16.07</x:v>
      </x:c>
      <x:c r="R1976" s="6" t="str">
        <x:v>m</x:v>
      </x:c>
      <x:c r="S1976" s="16"/>
      <x:c r="T1976" s="15"/>
      <x:c r="U1976" s="6"/>
      <x:c r="V1976" s="6"/>
      <x:c r="W1976" s="6" t="str">
        <x:v>Existing find_route(via=[...]).</x:v>
      </x:c>
      <x:c r="X1976" s="6" t="str">
        <x:v>data/train/resplan-4294/questions_basic.jsonl</x:v>
      </x:c>
      <x:c r="Y1976" s="14" t="n">
        <x:v>9</x:v>
      </x:c>
      <x:c r="Z1976" s="6" t="str">
        <x:v>https://github.com/hagenhaeussler/Industrial-Agents-Hackathon-2026/blob/f41616590b69f3ea0c1cbfb41d6c35edd9ce53df/data/train/resplan-4294/questions_basic.jsonl#L9</x:v>
      </x:c>
      <x:c r="AA1976" s="6" t="str">
        <x:v>resplan</x:v>
      </x:c>
      <x:c r="AB1976" s="6" t="str">
        <x:v>CC-BY-4.0</x:v>
      </x:c>
    </x:row>
    <x:row r="1977" ht="124" customHeight="1">
      <x:c r="A1977" s="14" t="n">
        <x:v>1972</x:v>
      </x:c>
      <x:c r="B1977" s="6" t="str">
        <x:v>tour</x:v>
      </x:c>
      <x:c r="C1977" s="6" t="str">
        <x:v>Starting at Bedroom 0.03 (Ground floor), visit Bedroom 0.02 (Ground floor), then Kitchen 0.06 (Ground floor) in this order. What is the route?</x:v>
      </x:c>
      <x:c r="D1977" s="6" t="str">
        <x:v>23.62 m total
Stops: Bedroom 0.03 → Bedroom 0.02 → Kitchen 0.06
Leg lengths (m): 13.2, 10.42
Full paths are in Answer JSON.</x:v>
      </x:c>
      <x:c r="E1977" s="6" t="str">
        <x:v>Reference supplied</x:v>
      </x:c>
      <x:c r="F1977" s="6" t="str">
        <x:v>train</x:v>
      </x:c>
      <x:c r="G1977" s="6" t="str">
        <x:v>resplan-4303</x:v>
      </x:c>
      <x:c r="H1977" s="6" t="str">
        <x:v>resplan-4303-Q09</x:v>
      </x:c>
      <x:c r="I1977" s="6" t="str">
        <x:v>Route planning</x:v>
      </x:c>
      <x:c r="J1977" s="6" t="str">
        <x:v>Warm-up</x:v>
      </x:c>
      <x:c r="K1977" s="6" t="str">
        <x:v>Ordered stops, path for each leg and total metres.</x:v>
      </x:c>
      <x:c r="L1977" s="6" t="str">
        <x:v>T02, T05, T13</x:v>
      </x:c>
      <x:c r="M1977" s="6" t="str">
        <x:v>Visit multiple rooms in the order specified.</x:v>
      </x:c>
      <x:c r="N1977" s="6" t="str">
        <x:v>{"stops":["resplan-4303-F0-S003","resplan-4303-F0-S002","resplan-4303-F0-S006"],"optimal_length_m":23.62,"legs":[{"from_space_id":"resplan-4303-F0-S003","to_space_id":"resplan-4303-F0-S002","optimal_length_m":13.2,"space_path":["resplan-4303-F0-S003","resplan-4303-F0-S001","resplan-4303-F0-S002"],"element_path":["resplan-4303-F0-O0005","resplan-4303-F0-O0005","resplan-4303-F0-O0004","resplan-4303-F0-O0004"]},{"from_space_id":"resplan-4303-F0-S002","to_space_id":"resplan-4303-F0-S006","optimal_length_m":10.42,"space_path":["resplan-4303-F0-S002","resplan-4303-F0-S001","resplan-4303-F0-S006"],"element_path":["resplan-4303-F0-O0004","resplan-4303-F0-O0004","resplan-4303-F0-O0006","resplan-4303-F0-O0006"]}]}</x:v>
      </x:c>
      <x:c r="O1977" s="6"/>
      <x:c r="P1977" s="6" t="str">
        <x:v>Preserve stated visit order. Do not optimize stop order.</x:v>
      </x:c>
      <x:c r="Q1977" s="15" t="n">
        <x:v>23.62</x:v>
      </x:c>
      <x:c r="R1977" s="6" t="str">
        <x:v>m</x:v>
      </x:c>
      <x:c r="S1977" s="16"/>
      <x:c r="T1977" s="15"/>
      <x:c r="U1977" s="6"/>
      <x:c r="V1977" s="6"/>
      <x:c r="W1977" s="6" t="str">
        <x:v>Existing find_route(via=[...]).</x:v>
      </x:c>
      <x:c r="X1977" s="6" t="str">
        <x:v>data/train/resplan-4303/questions_basic.jsonl</x:v>
      </x:c>
      <x:c r="Y1977" s="14" t="n">
        <x:v>9</x:v>
      </x:c>
      <x:c r="Z1977" s="6" t="str">
        <x:v>https://github.com/hagenhaeussler/Industrial-Agents-Hackathon-2026/blob/f41616590b69f3ea0c1cbfb41d6c35edd9ce53df/data/train/resplan-4303/questions_basic.jsonl#L9</x:v>
      </x:c>
      <x:c r="AA1977" s="6" t="str">
        <x:v>resplan</x:v>
      </x:c>
      <x:c r="AB1977" s="6" t="str">
        <x:v>CC-BY-4.0</x:v>
      </x:c>
    </x:row>
    <x:row r="1978" ht="110" customHeight="1">
      <x:c r="A1978" s="14" t="n">
        <x:v>1973</x:v>
      </x:c>
      <x:c r="B1978" s="6" t="str">
        <x:v>tour</x:v>
      </x:c>
      <x:c r="C1978" s="6" t="str">
        <x:v>Starting at Bathroom 0.04 (Ground floor), visit Kitchen 0.05 (Ground floor), then Living room 0.01 (Ground floor) in this order. What is the route?</x:v>
      </x:c>
      <x:c r="D1978" s="6" t="str">
        <x:v>17.1 m total
Stops: Bathroom 0.04 → Kitchen 0.05 → Living room 0.01
Leg lengths (m): 11.12, 5.98
Full paths are in Answer JSON.</x:v>
      </x:c>
      <x:c r="E1978" s="6" t="str">
        <x:v>Reference supplied</x:v>
      </x:c>
      <x:c r="F1978" s="6" t="str">
        <x:v>train</x:v>
      </x:c>
      <x:c r="G1978" s="6" t="str">
        <x:v>resplan-433</x:v>
      </x:c>
      <x:c r="H1978" s="6" t="str">
        <x:v>resplan-433-Q08</x:v>
      </x:c>
      <x:c r="I1978" s="6" t="str">
        <x:v>Route planning</x:v>
      </x:c>
      <x:c r="J1978" s="6" t="str">
        <x:v>Warm-up</x:v>
      </x:c>
      <x:c r="K1978" s="6" t="str">
        <x:v>Ordered stops, path for each leg and total metres.</x:v>
      </x:c>
      <x:c r="L1978" s="6" t="str">
        <x:v>T02, T05, T13</x:v>
      </x:c>
      <x:c r="M1978" s="6" t="str">
        <x:v>Visit multiple rooms in the order specified.</x:v>
      </x:c>
      <x:c r="N1978" s="6" t="str">
        <x:v>{"stops":["resplan-433-F0-S004","resplan-433-F0-S005","resplan-433-F0-S001"],"optimal_length_m":17.1,"legs":[{"from_space_id":"resplan-433-F0-S004","to_space_id":"resplan-433-F0-S005","optimal_length_m":11.12,"space_path":["resplan-433-F0-S004","resplan-433-F0-S001","resplan-433-F0-S005"],"element_path":["resplan-433-F0-O0001","resplan-433-F0-O0001","resplan-433-F0-O0004","resplan-433-F0-O0004"]},{"from_space_id":"resplan-433-F0-S005","to_space_id":"resplan-433-F0-S001","optimal_length_m":5.98,"space_path":["resplan-433-F0-S005","resplan-433-F0-S001"],"element_path":["resplan-433-F0-O0004","resplan-433-F0-O0004"]}]}</x:v>
      </x:c>
      <x:c r="O1978" s="6"/>
      <x:c r="P1978" s="6" t="str">
        <x:v>Preserve stated visit order. Do not optimize stop order.</x:v>
      </x:c>
      <x:c r="Q1978" s="15" t="n">
        <x:v>17.1</x:v>
      </x:c>
      <x:c r="R1978" s="6" t="str">
        <x:v>m</x:v>
      </x:c>
      <x:c r="S1978" s="16"/>
      <x:c r="T1978" s="15"/>
      <x:c r="U1978" s="6"/>
      <x:c r="V1978" s="6"/>
      <x:c r="W1978" s="6" t="str">
        <x:v>Existing find_route(via=[...]).</x:v>
      </x:c>
      <x:c r="X1978" s="6" t="str">
        <x:v>data/train/resplan-433/questions_basic.jsonl</x:v>
      </x:c>
      <x:c r="Y1978" s="14" t="n">
        <x:v>8</x:v>
      </x:c>
      <x:c r="Z1978" s="6" t="str">
        <x:v>https://github.com/hagenhaeussler/Industrial-Agents-Hackathon-2026/blob/f41616590b69f3ea0c1cbfb41d6c35edd9ce53df/data/train/resplan-433/questions_basic.jsonl#L8</x:v>
      </x:c>
      <x:c r="AA1978" s="6" t="str">
        <x:v>resplan</x:v>
      </x:c>
      <x:c r="AB1978" s="6" t="str">
        <x:v>CC-BY-4.0</x:v>
      </x:c>
    </x:row>
    <x:row r="1979" ht="138" customHeight="1">
      <x:c r="A1979" s="14" t="n">
        <x:v>1974</x:v>
      </x:c>
      <x:c r="B1979" s="6" t="str">
        <x:v>tour</x:v>
      </x:c>
      <x:c r="C1979" s="6" t="str">
        <x:v>Starting at Bathroom 0.04 (Ground floor), visit Bathroom 0.05 (Ground floor), then Living room 0.01 (Ground floor) in this order. What is the route?</x:v>
      </x:c>
      <x:c r="D1979" s="6" t="str">
        <x:v>27.34 m total
Stops: Bathroom 0.04 → Bathroom 0.05 → Living room 0.01
Leg lengths (m): 16.02, 11.32
Full paths are in Answer JSON.</x:v>
      </x:c>
      <x:c r="E1979" s="6" t="str">
        <x:v>Reference supplied</x:v>
      </x:c>
      <x:c r="F1979" s="6" t="str">
        <x:v>train</x:v>
      </x:c>
      <x:c r="G1979" s="6" t="str">
        <x:v>resplan-4378</x:v>
      </x:c>
      <x:c r="H1979" s="6" t="str">
        <x:v>resplan-4378-Q09</x:v>
      </x:c>
      <x:c r="I1979" s="6" t="str">
        <x:v>Route planning</x:v>
      </x:c>
      <x:c r="J1979" s="6" t="str">
        <x:v>Warm-up</x:v>
      </x:c>
      <x:c r="K1979" s="6" t="str">
        <x:v>Ordered stops, path for each leg and total metres.</x:v>
      </x:c>
      <x:c r="L1979" s="6" t="str">
        <x:v>T02, T05, T13</x:v>
      </x:c>
      <x:c r="M1979" s="6" t="str">
        <x:v>Visit multiple rooms in the order specified.</x:v>
      </x:c>
      <x:c r="N1979" s="6" t="str">
        <x:v>{"stops":["resplan-4378-F0-S004","resplan-4378-F0-S005","resplan-4378-F0-S001"],"optimal_length_m":27.34,"legs":[{"from_space_id":"resplan-4378-F0-S004","to_space_id":"resplan-4378-F0-S005","optimal_length_m":16.02,"space_path":["resplan-4378-F0-S004","resplan-4378-F0-S001","resplan-4378-F0-S003","resplan-4378-F0-S005"],"element_path":["resplan-4378-F0-O0001","resplan-4378-F0-O0001","resplan-4378-F0-O0003","resplan-4378-F0-O0003","resplan-4378-F0-O0004","resplan-4378-F0-O0004"]},{"from_space_id":"resplan-4378-F0-S005","to_space_id":"resplan-4378-F0-S001","optimal_length_m":11.32,"space_path":["resplan-4378-F0-S005","resplan-4378-F0-S003","resplan-4378-F0-S001"],"element_path":["resplan-4378-F0-O0004","resplan-4378-F0-O0004","resplan-4378-F0-O0003","resplan-4378-F0-O0003"]}]}</x:v>
      </x:c>
      <x:c r="O1979" s="6"/>
      <x:c r="P1979" s="6" t="str">
        <x:v>Preserve stated visit order. Do not optimize stop order.</x:v>
      </x:c>
      <x:c r="Q1979" s="15" t="n">
        <x:v>27.34</x:v>
      </x:c>
      <x:c r="R1979" s="6" t="str">
        <x:v>m</x:v>
      </x:c>
      <x:c r="S1979" s="16"/>
      <x:c r="T1979" s="15"/>
      <x:c r="U1979" s="6"/>
      <x:c r="V1979" s="6"/>
      <x:c r="W1979" s="6" t="str">
        <x:v>Existing find_route(via=[...]).</x:v>
      </x:c>
      <x:c r="X1979" s="6" t="str">
        <x:v>data/train/resplan-4378/questions_basic.jsonl</x:v>
      </x:c>
      <x:c r="Y1979" s="14" t="n">
        <x:v>9</x:v>
      </x:c>
      <x:c r="Z1979" s="6" t="str">
        <x:v>https://github.com/hagenhaeussler/Industrial-Agents-Hackathon-2026/blob/f41616590b69f3ea0c1cbfb41d6c35edd9ce53df/data/train/resplan-4378/questions_basic.jsonl#L9</x:v>
      </x:c>
      <x:c r="AA1979" s="6" t="str">
        <x:v>resplan</x:v>
      </x:c>
      <x:c r="AB1979" s="6" t="str">
        <x:v>CC-BY-4.0</x:v>
      </x:c>
    </x:row>
    <x:row r="1980" ht="110" customHeight="1">
      <x:c r="A1980" s="14" t="n">
        <x:v>1975</x:v>
      </x:c>
      <x:c r="B1980" s="6" t="str">
        <x:v>tour</x:v>
      </x:c>
      <x:c r="C1980" s="6" t="str">
        <x:v>Starting at Kitchen 0.06 (Ground floor), visit Bedroom 0.02 (Ground floor), then Bathroom 0.04 (Ground floor) in this order. What is the route?</x:v>
      </x:c>
      <x:c r="D1980" s="6" t="str">
        <x:v>15.76 m total
Stops: Kitchen 0.06 → Bedroom 0.02 → Bathroom 0.04
Leg lengths (m): 10.65, 5.11
Full paths are in Answer JSON.</x:v>
      </x:c>
      <x:c r="E1980" s="6" t="str">
        <x:v>Reference supplied</x:v>
      </x:c>
      <x:c r="F1980" s="6" t="str">
        <x:v>train</x:v>
      </x:c>
      <x:c r="G1980" s="6" t="str">
        <x:v>resplan-4429</x:v>
      </x:c>
      <x:c r="H1980" s="6" t="str">
        <x:v>resplan-4429-Q09</x:v>
      </x:c>
      <x:c r="I1980" s="6" t="str">
        <x:v>Route planning</x:v>
      </x:c>
      <x:c r="J1980" s="6" t="str">
        <x:v>Warm-up</x:v>
      </x:c>
      <x:c r="K1980" s="6" t="str">
        <x:v>Ordered stops, path for each leg and total metres.</x:v>
      </x:c>
      <x:c r="L1980" s="6" t="str">
        <x:v>T02, T05, T13</x:v>
      </x:c>
      <x:c r="M1980" s="6" t="str">
        <x:v>Visit multiple rooms in the order specified.</x:v>
      </x:c>
      <x:c r="N1980" s="6" t="str">
        <x:v>{"stops":["resplan-4429-F0-S006","resplan-4429-F0-S002","resplan-4429-F0-S004"],"optimal_length_m":15.76,"legs":[{"from_space_id":"resplan-4429-F0-S006","to_space_id":"resplan-4429-F0-S002","optimal_length_m":10.65,"space_path":["resplan-4429-F0-S006","resplan-4429-F0-S001","resplan-4429-F0-S002"],"element_path":["resplan-4429-F0-O0006","resplan-4429-F0-O0006","resplan-4429-F0-O0003","resplan-4429-F0-O0003"]},{"from_space_id":"resplan-4429-F0-S002","to_space_id":"resplan-4429-F0-S004","optimal_length_m":5.11,"space_path":["resplan-4429-F0-S002","resplan-4429-F0-S004"],"element_path":["resplan-4429-F0-O0001","resplan-4429-F0-O0001"]}]}</x:v>
      </x:c>
      <x:c r="O1980" s="6"/>
      <x:c r="P1980" s="6" t="str">
        <x:v>Preserve stated visit order. Do not optimize stop order.</x:v>
      </x:c>
      <x:c r="Q1980" s="15" t="n">
        <x:v>15.76</x:v>
      </x:c>
      <x:c r="R1980" s="6" t="str">
        <x:v>m</x:v>
      </x:c>
      <x:c r="S1980" s="16"/>
      <x:c r="T1980" s="15"/>
      <x:c r="U1980" s="6"/>
      <x:c r="V1980" s="6"/>
      <x:c r="W1980" s="6" t="str">
        <x:v>Existing find_route(via=[...]).</x:v>
      </x:c>
      <x:c r="X1980" s="6" t="str">
        <x:v>data/train/resplan-4429/questions_basic.jsonl</x:v>
      </x:c>
      <x:c r="Y1980" s="14" t="n">
        <x:v>9</x:v>
      </x:c>
      <x:c r="Z1980" s="6" t="str">
        <x:v>https://github.com/hagenhaeussler/Industrial-Agents-Hackathon-2026/blob/f41616590b69f3ea0c1cbfb41d6c35edd9ce53df/data/train/resplan-4429/questions_basic.jsonl#L9</x:v>
      </x:c>
      <x:c r="AA1980" s="6" t="str">
        <x:v>resplan</x:v>
      </x:c>
      <x:c r="AB1980" s="6" t="str">
        <x:v>CC-BY-4.0</x:v>
      </x:c>
    </x:row>
    <x:row r="1981" ht="110" customHeight="1">
      <x:c r="A1981" s="14" t="n">
        <x:v>1976</x:v>
      </x:c>
      <x:c r="B1981" s="6" t="str">
        <x:v>tour</x:v>
      </x:c>
      <x:c r="C1981" s="6" t="str">
        <x:v>Starting at Living room 0.01 (Ground floor), visit Bedroom 0.04 (Ground floor), then Kitchen 0.07 (Ground floor) in this order. What is the route?</x:v>
      </x:c>
      <x:c r="D1981" s="6" t="str">
        <x:v>12.7 m total
Stops: Living room 0.01 → Bedroom 0.04 → Kitchen 0.07
Leg lengths (m): 4.17, 8.53
Full paths are in Answer JSON.</x:v>
      </x:c>
      <x:c r="E1981" s="6" t="str">
        <x:v>Reference supplied</x:v>
      </x:c>
      <x:c r="F1981" s="6" t="str">
        <x:v>train</x:v>
      </x:c>
      <x:c r="G1981" s="6" t="str">
        <x:v>resplan-4453</x:v>
      </x:c>
      <x:c r="H1981" s="6" t="str">
        <x:v>resplan-4453-Q09</x:v>
      </x:c>
      <x:c r="I1981" s="6" t="str">
        <x:v>Route planning</x:v>
      </x:c>
      <x:c r="J1981" s="6" t="str">
        <x:v>Warm-up</x:v>
      </x:c>
      <x:c r="K1981" s="6" t="str">
        <x:v>Ordered stops, path for each leg and total metres.</x:v>
      </x:c>
      <x:c r="L1981" s="6" t="str">
        <x:v>T02, T05, T13</x:v>
      </x:c>
      <x:c r="M1981" s="6" t="str">
        <x:v>Visit multiple rooms in the order specified.</x:v>
      </x:c>
      <x:c r="N1981" s="6" t="str">
        <x:v>{"stops":["resplan-4453-F0-S001","resplan-4453-F0-S004","resplan-4453-F0-S007"],"optimal_length_m":12.7,"legs":[{"from_space_id":"resplan-4453-F0-S001","to_space_id":"resplan-4453-F0-S004","optimal_length_m":4.17,"space_path":["resplan-4453-F0-S001","resplan-4453-F0-S004"],"element_path":["resplan-4453-F0-O0006","resplan-4453-F0-O0006"]},{"from_space_id":"resplan-4453-F0-S004","to_space_id":"resplan-4453-F0-S007","optimal_length_m":8.53,"space_path":["resplan-4453-F0-S004","resplan-4453-F0-S001","resplan-4453-F0-S007"],"element_path":["resplan-4453-F0-O0006","resplan-4453-F0-O0006","resplan-4453-F0-O0003","resplan-4453-F0-O0003"]}]}</x:v>
      </x:c>
      <x:c r="O1981" s="6"/>
      <x:c r="P1981" s="6" t="str">
        <x:v>Preserve stated visit order. Do not optimize stop order.</x:v>
      </x:c>
      <x:c r="Q1981" s="15" t="n">
        <x:v>12.7</x:v>
      </x:c>
      <x:c r="R1981" s="6" t="str">
        <x:v>m</x:v>
      </x:c>
      <x:c r="S1981" s="16"/>
      <x:c r="T1981" s="15"/>
      <x:c r="U1981" s="6"/>
      <x:c r="V1981" s="6"/>
      <x:c r="W1981" s="6" t="str">
        <x:v>Existing find_route(via=[...]).</x:v>
      </x:c>
      <x:c r="X1981" s="6" t="str">
        <x:v>data/train/resplan-4453/questions_basic.jsonl</x:v>
      </x:c>
      <x:c r="Y1981" s="14" t="n">
        <x:v>9</x:v>
      </x:c>
      <x:c r="Z1981" s="6" t="str">
        <x:v>https://github.com/hagenhaeussler/Industrial-Agents-Hackathon-2026/blob/f41616590b69f3ea0c1cbfb41d6c35edd9ce53df/data/train/resplan-4453/questions_basic.jsonl#L9</x:v>
      </x:c>
      <x:c r="AA1981" s="6" t="str">
        <x:v>resplan</x:v>
      </x:c>
      <x:c r="AB1981" s="6" t="str">
        <x:v>CC-BY-4.0</x:v>
      </x:c>
    </x:row>
    <x:row r="1982" ht="138" customHeight="1">
      <x:c r="A1982" s="14" t="n">
        <x:v>1977</x:v>
      </x:c>
      <x:c r="B1982" s="6" t="str">
        <x:v>tour</x:v>
      </x:c>
      <x:c r="C1982" s="6" t="str">
        <x:v>Starting at Bathroom 0.05 (Ground floor), visit Bedroom 0.02 (Ground floor), then Bedroom 0.03 (Ground floor) in this order. What is the route?</x:v>
      </x:c>
      <x:c r="D1982" s="6" t="str">
        <x:v>29.94 m total
Stops: Bathroom 0.05 → Bedroom 0.02 → Bedroom 0.03
Leg lengths (m): 17.02, 12.92
Full paths are in Answer JSON.</x:v>
      </x:c>
      <x:c r="E1982" s="6" t="str">
        <x:v>Reference supplied</x:v>
      </x:c>
      <x:c r="F1982" s="6" t="str">
        <x:v>train</x:v>
      </x:c>
      <x:c r="G1982" s="6" t="str">
        <x:v>resplan-457</x:v>
      </x:c>
      <x:c r="H1982" s="6" t="str">
        <x:v>resplan-457-Q09</x:v>
      </x:c>
      <x:c r="I1982" s="6" t="str">
        <x:v>Route planning</x:v>
      </x:c>
      <x:c r="J1982" s="6" t="str">
        <x:v>Warm-up</x:v>
      </x:c>
      <x:c r="K1982" s="6" t="str">
        <x:v>Ordered stops, path for each leg and total metres.</x:v>
      </x:c>
      <x:c r="L1982" s="6" t="str">
        <x:v>T02, T05, T13</x:v>
      </x:c>
      <x:c r="M1982" s="6" t="str">
        <x:v>Visit multiple rooms in the order specified.</x:v>
      </x:c>
      <x:c r="N1982" s="6" t="str">
        <x:v>{"stops":["resplan-457-F0-S005","resplan-457-F0-S002","resplan-457-F0-S003"],"optimal_length_m":29.94,"legs":[{"from_space_id":"resplan-457-F0-S005","to_space_id":"resplan-457-F0-S002","optimal_length_m":17.02,"space_path":["resplan-457-F0-S005","resplan-457-F0-S003","resplan-457-F0-S001","resplan-457-F0-S002"],"element_path":["resplan-457-F0-O0004","resplan-457-F0-O0004","resplan-457-F0-O0003","resplan-457-F0-O0003","resplan-457-F0-O0001","resplan-457-F0-O0001"]},{"from_space_id":"resplan-457-F0-S002","to_space_id":"resplan-457-F0-S003","optimal_length_m":12.92,"space_path":["resplan-457-F0-S002","resplan-457-F0-S001","resplan-457-F0-S003"],"element_path":["resplan-457-F0-O0001","resplan-457-F0-O0001","resplan-457-F0-O0003","resplan-457-F0-O0003"]}]}</x:v>
      </x:c>
      <x:c r="O1982" s="6"/>
      <x:c r="P1982" s="6" t="str">
        <x:v>Preserve stated visit order. Do not optimize stop order.</x:v>
      </x:c>
      <x:c r="Q1982" s="15" t="n">
        <x:v>29.94</x:v>
      </x:c>
      <x:c r="R1982" s="6" t="str">
        <x:v>m</x:v>
      </x:c>
      <x:c r="S1982" s="16"/>
      <x:c r="T1982" s="15"/>
      <x:c r="U1982" s="6"/>
      <x:c r="V1982" s="6"/>
      <x:c r="W1982" s="6" t="str">
        <x:v>Existing find_route(via=[...]).</x:v>
      </x:c>
      <x:c r="X1982" s="6" t="str">
        <x:v>data/train/resplan-457/questions_basic.jsonl</x:v>
      </x:c>
      <x:c r="Y1982" s="14" t="n">
        <x:v>9</x:v>
      </x:c>
      <x:c r="Z1982" s="6" t="str">
        <x:v>https://github.com/hagenhaeussler/Industrial-Agents-Hackathon-2026/blob/f41616590b69f3ea0c1cbfb41d6c35edd9ce53df/data/train/resplan-457/questions_basic.jsonl#L9</x:v>
      </x:c>
      <x:c r="AA1982" s="6" t="str">
        <x:v>resplan</x:v>
      </x:c>
      <x:c r="AB1982" s="6" t="str">
        <x:v>CC-BY-4.0</x:v>
      </x:c>
    </x:row>
    <x:row r="1983" ht="96" customHeight="1">
      <x:c r="A1983" s="14" t="n">
        <x:v>1978</x:v>
      </x:c>
      <x:c r="B1983" s="6" t="str">
        <x:v>tour</x:v>
      </x:c>
      <x:c r="C1983" s="6" t="str">
        <x:v>Starting at Bedroom 0.05 (Ground floor), visit Living room 0.01 (Ground floor), then Kitchen 0.09 (Ground floor) in this order. What is the route?</x:v>
      </x:c>
      <x:c r="D1983" s="6" t="str">
        <x:v>14 m total
Stops: Bedroom 0.05 → Living room 0.01 → Kitchen 0.09
Leg lengths (m): 9.32, 4.68
Full paths are in Answer JSON.</x:v>
      </x:c>
      <x:c r="E1983" s="6" t="str">
        <x:v>Reference supplied</x:v>
      </x:c>
      <x:c r="F1983" s="6" t="str">
        <x:v>train</x:v>
      </x:c>
      <x:c r="G1983" s="6" t="str">
        <x:v>resplan-47</x:v>
      </x:c>
      <x:c r="H1983" s="6" t="str">
        <x:v>resplan-47-Q09</x:v>
      </x:c>
      <x:c r="I1983" s="6" t="str">
        <x:v>Route planning</x:v>
      </x:c>
      <x:c r="J1983" s="6" t="str">
        <x:v>Warm-up</x:v>
      </x:c>
      <x:c r="K1983" s="6" t="str">
        <x:v>Ordered stops, path for each leg and total metres.</x:v>
      </x:c>
      <x:c r="L1983" s="6" t="str">
        <x:v>T02, T05, T13</x:v>
      </x:c>
      <x:c r="M1983" s="6" t="str">
        <x:v>Visit multiple rooms in the order specified.</x:v>
      </x:c>
      <x:c r="N1983" s="6" t="str">
        <x:v>{"stops":["resplan-47-F0-S005","resplan-47-F0-S001","resplan-47-F0-S009"],"optimal_length_m":14,"legs":[{"from_space_id":"resplan-47-F0-S005","to_space_id":"resplan-47-F0-S001","optimal_length_m":9.32,"space_path":["resplan-47-F0-S005","resplan-47-F0-S001"],"element_path":["resplan-47-F0-O0006","resplan-47-F0-O0006"]},{"from_space_id":"resplan-47-F0-S001","to_space_id":"resplan-47-F0-S009","optimal_length_m":4.68,"space_path":["resplan-47-F0-S001","resplan-47-F0-S009"],"element_path":["resplan-47-F0-O0011","resplan-47-F0-O0011"]}]}</x:v>
      </x:c>
      <x:c r="O1983" s="6"/>
      <x:c r="P1983" s="6" t="str">
        <x:v>Preserve stated visit order. Do not optimize stop order.</x:v>
      </x:c>
      <x:c r="Q1983" s="15" t="n">
        <x:v>14</x:v>
      </x:c>
      <x:c r="R1983" s="6" t="str">
        <x:v>m</x:v>
      </x:c>
      <x:c r="S1983" s="16"/>
      <x:c r="T1983" s="15"/>
      <x:c r="U1983" s="6"/>
      <x:c r="V1983" s="6"/>
      <x:c r="W1983" s="6" t="str">
        <x:v>Existing find_route(via=[...]).</x:v>
      </x:c>
      <x:c r="X1983" s="6" t="str">
        <x:v>data/train/resplan-47/questions_basic.jsonl</x:v>
      </x:c>
      <x:c r="Y1983" s="14" t="n">
        <x:v>9</x:v>
      </x:c>
      <x:c r="Z1983" s="6" t="str">
        <x:v>https://github.com/hagenhaeussler/Industrial-Agents-Hackathon-2026/blob/f41616590b69f3ea0c1cbfb41d6c35edd9ce53df/data/train/resplan-47/questions_basic.jsonl#L9</x:v>
      </x:c>
      <x:c r="AA1983" s="6" t="str">
        <x:v>resplan</x:v>
      </x:c>
      <x:c r="AB1983" s="6" t="str">
        <x:v>CC-BY-4.0</x:v>
      </x:c>
    </x:row>
    <x:row r="1984" ht="124" customHeight="1">
      <x:c r="A1984" s="14" t="n">
        <x:v>1979</x:v>
      </x:c>
      <x:c r="B1984" s="6" t="str">
        <x:v>tour</x:v>
      </x:c>
      <x:c r="C1984" s="6" t="str">
        <x:v>Starting at Bathroom 0.04 (Ground floor), visit Bathroom 0.03 (Ground floor), then Kitchen 0.05 (Ground floor) in this order. What is the route?</x:v>
      </x:c>
      <x:c r="D1984" s="6" t="str">
        <x:v>25.3 m total
Stops: Bathroom 0.04 → Bathroom 0.03 → Kitchen 0.05
Leg lengths (m): 13.38, 11.92
Full paths are in Answer JSON.</x:v>
      </x:c>
      <x:c r="E1984" s="6" t="str">
        <x:v>Reference supplied</x:v>
      </x:c>
      <x:c r="F1984" s="6" t="str">
        <x:v>train</x:v>
      </x:c>
      <x:c r="G1984" s="6" t="str">
        <x:v>resplan-5277</x:v>
      </x:c>
      <x:c r="H1984" s="6" t="str">
        <x:v>resplan-5277-Q09</x:v>
      </x:c>
      <x:c r="I1984" s="6" t="str">
        <x:v>Route planning</x:v>
      </x:c>
      <x:c r="J1984" s="6" t="str">
        <x:v>Warm-up</x:v>
      </x:c>
      <x:c r="K1984" s="6" t="str">
        <x:v>Ordered stops, path for each leg and total metres.</x:v>
      </x:c>
      <x:c r="L1984" s="6" t="str">
        <x:v>T02, T05, T13</x:v>
      </x:c>
      <x:c r="M1984" s="6" t="str">
        <x:v>Visit multiple rooms in the order specified.</x:v>
      </x:c>
      <x:c r="N1984" s="6" t="str">
        <x:v>{"stops":["resplan-5277-F0-S004","resplan-5277-F0-S003","resplan-5277-F0-S005"],"optimal_length_m":25.3,"legs":[{"from_space_id":"resplan-5277-F0-S004","to_space_id":"resplan-5277-F0-S003","optimal_length_m":13.38,"space_path":["resplan-5277-F0-S004","resplan-5277-F0-S001","resplan-5277-F0-S003"],"element_path":["resplan-5277-F0-O0002","resplan-5277-F0-O0002","resplan-5277-F0-O0003","resplan-5277-F0-O0003"]},{"from_space_id":"resplan-5277-F0-S003","to_space_id":"resplan-5277-F0-S005","optimal_length_m":11.92,"space_path":["resplan-5277-F0-S003","resplan-5277-F0-S001","resplan-5277-F0-S005"],"element_path":["resplan-5277-F0-O0003","resplan-5277-F0-O0003","resplan-5277-F0-O0005","resplan-5277-F0-O0005"]}]}</x:v>
      </x:c>
      <x:c r="O1984" s="6"/>
      <x:c r="P1984" s="6" t="str">
        <x:v>Preserve stated visit order. Do not optimize stop order.</x:v>
      </x:c>
      <x:c r="Q1984" s="15" t="n">
        <x:v>25.3</x:v>
      </x:c>
      <x:c r="R1984" s="6" t="str">
        <x:v>m</x:v>
      </x:c>
      <x:c r="S1984" s="16"/>
      <x:c r="T1984" s="15"/>
      <x:c r="U1984" s="6"/>
      <x:c r="V1984" s="6"/>
      <x:c r="W1984" s="6" t="str">
        <x:v>Existing find_route(via=[...]).</x:v>
      </x:c>
      <x:c r="X1984" s="6" t="str">
        <x:v>data/train/resplan-5277/questions_basic.jsonl</x:v>
      </x:c>
      <x:c r="Y1984" s="14" t="n">
        <x:v>9</x:v>
      </x:c>
      <x:c r="Z1984" s="6" t="str">
        <x:v>https://github.com/hagenhaeussler/Industrial-Agents-Hackathon-2026/blob/f41616590b69f3ea0c1cbfb41d6c35edd9ce53df/data/train/resplan-5277/questions_basic.jsonl#L9</x:v>
      </x:c>
      <x:c r="AA1984" s="6" t="str">
        <x:v>resplan</x:v>
      </x:c>
      <x:c r="AB1984" s="6" t="str">
        <x:v>CC-BY-4.0</x:v>
      </x:c>
    </x:row>
    <x:row r="1985" ht="110" customHeight="1">
      <x:c r="A1985" s="14" t="n">
        <x:v>1980</x:v>
      </x:c>
      <x:c r="B1985" s="6" t="str">
        <x:v>tour</x:v>
      </x:c>
      <x:c r="C1985" s="6" t="str">
        <x:v>Starting at Bathroom 0.03 (Ground floor), visit Living room 0.01 (Ground floor), then Bathroom 0.04 (Ground floor) in this order. What is the route?</x:v>
      </x:c>
      <x:c r="D1985" s="6" t="str">
        <x:v>13.14 m total
Stops: Bathroom 0.03 → Living room 0.01 → Bathroom 0.04
Leg lengths (m): 8.85, 4.29
Full paths are in Answer JSON.</x:v>
      </x:c>
      <x:c r="E1985" s="6" t="str">
        <x:v>Reference supplied</x:v>
      </x:c>
      <x:c r="F1985" s="6" t="str">
        <x:v>train</x:v>
      </x:c>
      <x:c r="G1985" s="6" t="str">
        <x:v>resplan-553</x:v>
      </x:c>
      <x:c r="H1985" s="6" t="str">
        <x:v>resplan-553-Q09</x:v>
      </x:c>
      <x:c r="I1985" s="6" t="str">
        <x:v>Route planning</x:v>
      </x:c>
      <x:c r="J1985" s="6" t="str">
        <x:v>Warm-up</x:v>
      </x:c>
      <x:c r="K1985" s="6" t="str">
        <x:v>Ordered stops, path for each leg and total metres.</x:v>
      </x:c>
      <x:c r="L1985" s="6" t="str">
        <x:v>T02, T05, T13</x:v>
      </x:c>
      <x:c r="M1985" s="6" t="str">
        <x:v>Visit multiple rooms in the order specified.</x:v>
      </x:c>
      <x:c r="N1985" s="6" t="str">
        <x:v>{"stops":["resplan-553-F0-S003","resplan-553-F0-S001","resplan-553-F0-S004"],"optimal_length_m":13.14,"legs":[{"from_space_id":"resplan-553-F0-S003","to_space_id":"resplan-553-F0-S001","optimal_length_m":8.85,"space_path":["resplan-553-F0-S003","resplan-553-F0-S002","resplan-553-F0-S001"],"element_path":["resplan-553-F0-O0003","resplan-553-F0-O0003","resplan-553-F0-O0001","resplan-553-F0-O0001"]},{"from_space_id":"resplan-553-F0-S001","to_space_id":"resplan-553-F0-S004","optimal_length_m":4.29,"space_path":["resplan-553-F0-S001","resplan-553-F0-S004"],"element_path":["resplan-553-F0-O0002","resplan-553-F0-O0002"]}]}</x:v>
      </x:c>
      <x:c r="O1985" s="6"/>
      <x:c r="P1985" s="6" t="str">
        <x:v>Preserve stated visit order. Do not optimize stop order.</x:v>
      </x:c>
      <x:c r="Q1985" s="15" t="n">
        <x:v>13.14</x:v>
      </x:c>
      <x:c r="R1985" s="6" t="str">
        <x:v>m</x:v>
      </x:c>
      <x:c r="S1985" s="16"/>
      <x:c r="T1985" s="15"/>
      <x:c r="U1985" s="6"/>
      <x:c r="V1985" s="6"/>
      <x:c r="W1985" s="6" t="str">
        <x:v>Existing find_route(via=[...]).</x:v>
      </x:c>
      <x:c r="X1985" s="6" t="str">
        <x:v>data/train/resplan-553/questions_basic.jsonl</x:v>
      </x:c>
      <x:c r="Y1985" s="14" t="n">
        <x:v>9</x:v>
      </x:c>
      <x:c r="Z1985" s="6" t="str">
        <x:v>https://github.com/hagenhaeussler/Industrial-Agents-Hackathon-2026/blob/f41616590b69f3ea0c1cbfb41d6c35edd9ce53df/data/train/resplan-553/questions_basic.jsonl#L9</x:v>
      </x:c>
      <x:c r="AA1985" s="6" t="str">
        <x:v>resplan</x:v>
      </x:c>
      <x:c r="AB1985" s="6" t="str">
        <x:v>CC-BY-4.0</x:v>
      </x:c>
    </x:row>
    <x:row r="1986" ht="110" customHeight="1">
      <x:c r="A1986" s="14" t="n">
        <x:v>1981</x:v>
      </x:c>
      <x:c r="B1986" s="6" t="str">
        <x:v>tour</x:v>
      </x:c>
      <x:c r="C1986" s="6" t="str">
        <x:v>Starting at Living room 0.01 (Ground floor), visit Bedroom 0.03 (Ground floor), then Kitchen 0.06 (Ground floor) in this order. What is the route?</x:v>
      </x:c>
      <x:c r="D1986" s="6" t="str">
        <x:v>15.33 m total
Stops: Living room 0.01 → Bedroom 0.03 → Kitchen 0.06
Leg lengths (m): 5.23, 10.1
Full paths are in Answer JSON.</x:v>
      </x:c>
      <x:c r="E1986" s="6" t="str">
        <x:v>Reference supplied</x:v>
      </x:c>
      <x:c r="F1986" s="6" t="str">
        <x:v>train</x:v>
      </x:c>
      <x:c r="G1986" s="6" t="str">
        <x:v>resplan-56</x:v>
      </x:c>
      <x:c r="H1986" s="6" t="str">
        <x:v>resplan-56-Q09</x:v>
      </x:c>
      <x:c r="I1986" s="6" t="str">
        <x:v>Route planning</x:v>
      </x:c>
      <x:c r="J1986" s="6" t="str">
        <x:v>Warm-up</x:v>
      </x:c>
      <x:c r="K1986" s="6" t="str">
        <x:v>Ordered stops, path for each leg and total metres.</x:v>
      </x:c>
      <x:c r="L1986" s="6" t="str">
        <x:v>T02, T05, T13</x:v>
      </x:c>
      <x:c r="M1986" s="6" t="str">
        <x:v>Visit multiple rooms in the order specified.</x:v>
      </x:c>
      <x:c r="N1986" s="6" t="str">
        <x:v>{"stops":["resplan-56-F0-S001","resplan-56-F0-S003","resplan-56-F0-S006"],"optimal_length_m":15.33,"legs":[{"from_space_id":"resplan-56-F0-S001","to_space_id":"resplan-56-F0-S003","optimal_length_m":5.23,"space_path":["resplan-56-F0-S001","resplan-56-F0-S003"],"element_path":["resplan-56-F0-O0002","resplan-56-F0-O0002"]},{"from_space_id":"resplan-56-F0-S003","to_space_id":"resplan-56-F0-S006","optimal_length_m":10.1,"space_path":["resplan-56-F0-S003","resplan-56-F0-S001","resplan-56-F0-S006"],"element_path":["resplan-56-F0-O0002","resplan-56-F0-O0002","resplan-56-F0-O0005","resplan-56-F0-O0005"]}]}</x:v>
      </x:c>
      <x:c r="O1986" s="6"/>
      <x:c r="P1986" s="6" t="str">
        <x:v>Preserve stated visit order. Do not optimize stop order.</x:v>
      </x:c>
      <x:c r="Q1986" s="15" t="n">
        <x:v>15.33</x:v>
      </x:c>
      <x:c r="R1986" s="6" t="str">
        <x:v>m</x:v>
      </x:c>
      <x:c r="S1986" s="16"/>
      <x:c r="T1986" s="15"/>
      <x:c r="U1986" s="6"/>
      <x:c r="V1986" s="6"/>
      <x:c r="W1986" s="6" t="str">
        <x:v>Existing find_route(via=[...]).</x:v>
      </x:c>
      <x:c r="X1986" s="6" t="str">
        <x:v>data/train/resplan-56/questions_basic.jsonl</x:v>
      </x:c>
      <x:c r="Y1986" s="14" t="n">
        <x:v>9</x:v>
      </x:c>
      <x:c r="Z1986" s="6" t="str">
        <x:v>https://github.com/hagenhaeussler/Industrial-Agents-Hackathon-2026/blob/f41616590b69f3ea0c1cbfb41d6c35edd9ce53df/data/train/resplan-56/questions_basic.jsonl#L9</x:v>
      </x:c>
      <x:c r="AA1986" s="6" t="str">
        <x:v>resplan</x:v>
      </x:c>
      <x:c r="AB1986" s="6" t="str">
        <x:v>CC-BY-4.0</x:v>
      </x:c>
    </x:row>
    <x:row r="1987" ht="138" customHeight="1">
      <x:c r="A1987" s="14" t="n">
        <x:v>1982</x:v>
      </x:c>
      <x:c r="B1987" s="6" t="str">
        <x:v>tour</x:v>
      </x:c>
      <x:c r="C1987" s="6" t="str">
        <x:v>Starting at Bathroom 0.04 (Ground floor), visit Kitchen 0.06 (Ground floor), then Bathroom 0.05 (Ground floor) in this order. What is the route?</x:v>
      </x:c>
      <x:c r="D1987" s="6" t="str">
        <x:v>24.29 m total
Stops: Bathroom 0.04 → Kitchen 0.06 → Bathroom 0.05
Leg lengths (m): 8.22, 16.07
Full paths are in Answer JSON.</x:v>
      </x:c>
      <x:c r="E1987" s="6" t="str">
        <x:v>Reference supplied</x:v>
      </x:c>
      <x:c r="F1987" s="6" t="str">
        <x:v>train</x:v>
      </x:c>
      <x:c r="G1987" s="6" t="str">
        <x:v>resplan-5783</x:v>
      </x:c>
      <x:c r="H1987" s="6" t="str">
        <x:v>resplan-5783-Q09</x:v>
      </x:c>
      <x:c r="I1987" s="6" t="str">
        <x:v>Route planning</x:v>
      </x:c>
      <x:c r="J1987" s="6" t="str">
        <x:v>Warm-up</x:v>
      </x:c>
      <x:c r="K1987" s="6" t="str">
        <x:v>Ordered stops, path for each leg and total metres.</x:v>
      </x:c>
      <x:c r="L1987" s="6" t="str">
        <x:v>T02, T05, T13</x:v>
      </x:c>
      <x:c r="M1987" s="6" t="str">
        <x:v>Visit multiple rooms in the order specified.</x:v>
      </x:c>
      <x:c r="N1987" s="6" t="str">
        <x:v>{"stops":["resplan-5783-F0-S004","resplan-5783-F0-S006","resplan-5783-F0-S005"],"optimal_length_m":24.29,"legs":[{"from_space_id":"resplan-5783-F0-S004","to_space_id":"resplan-5783-F0-S006","optimal_length_m":8.22,"space_path":["resplan-5783-F0-S004","resplan-5783-F0-S001","resplan-5783-F0-S006"],"element_path":["resplan-5783-F0-O0002","resplan-5783-F0-O0002","resplan-5783-F0-O0006","resplan-5783-F0-O0006"]},{"from_space_id":"resplan-5783-F0-S006","to_space_id":"resplan-5783-F0-S005","optimal_length_m":16.07,"space_path":["resplan-5783-F0-S006","resplan-5783-F0-S001","resplan-5783-F0-S002","resplan-5783-F0-S005"],"element_path":["resplan-5783-F0-O0006","resplan-5783-F0-O0006","resplan-5783-F0-O0003","resplan-5783-F0-O0003","resplan-5783-F0-O0001","resplan-5783-F0-O0001"]}]}</x:v>
      </x:c>
      <x:c r="O1987" s="6"/>
      <x:c r="P1987" s="6" t="str">
        <x:v>Preserve stated visit order. Do not optimize stop order.</x:v>
      </x:c>
      <x:c r="Q1987" s="15" t="n">
        <x:v>24.29</x:v>
      </x:c>
      <x:c r="R1987" s="6" t="str">
        <x:v>m</x:v>
      </x:c>
      <x:c r="S1987" s="16"/>
      <x:c r="T1987" s="15"/>
      <x:c r="U1987" s="6"/>
      <x:c r="V1987" s="6"/>
      <x:c r="W1987" s="6" t="str">
        <x:v>Existing find_route(via=[...]).</x:v>
      </x:c>
      <x:c r="X1987" s="6" t="str">
        <x:v>data/train/resplan-5783/questions_basic.jsonl</x:v>
      </x:c>
      <x:c r="Y1987" s="14" t="n">
        <x:v>9</x:v>
      </x:c>
      <x:c r="Z1987" s="6" t="str">
        <x:v>https://github.com/hagenhaeussler/Industrial-Agents-Hackathon-2026/blob/f41616590b69f3ea0c1cbfb41d6c35edd9ce53df/data/train/resplan-5783/questions_basic.jsonl#L9</x:v>
      </x:c>
      <x:c r="AA1987" s="6" t="str">
        <x:v>resplan</x:v>
      </x:c>
      <x:c r="AB1987" s="6" t="str">
        <x:v>CC-BY-4.0</x:v>
      </x:c>
    </x:row>
    <x:row r="1988" ht="124" customHeight="1">
      <x:c r="A1988" s="14" t="n">
        <x:v>1983</x:v>
      </x:c>
      <x:c r="B1988" s="6" t="str">
        <x:v>tour</x:v>
      </x:c>
      <x:c r="C1988" s="6" t="str">
        <x:v>Starting at Bedroom 0.03 (Ground floor), visit Bathroom 0.06 (Ground floor), then Bedroom 0.04 (Ground floor) in this order. What is the route?</x:v>
      </x:c>
      <x:c r="D1988" s="6" t="str">
        <x:v>18.75 m total
Stops: Bedroom 0.03 → Bathroom 0.06 → Bedroom 0.04
Leg lengths (m): 3.11, 15.64
Full paths are in Answer JSON.</x:v>
      </x:c>
      <x:c r="E1988" s="6" t="str">
        <x:v>Reference supplied</x:v>
      </x:c>
      <x:c r="F1988" s="6" t="str">
        <x:v>train</x:v>
      </x:c>
      <x:c r="G1988" s="6" t="str">
        <x:v>resplan-5871</x:v>
      </x:c>
      <x:c r="H1988" s="6" t="str">
        <x:v>resplan-5871-Q09</x:v>
      </x:c>
      <x:c r="I1988" s="6" t="str">
        <x:v>Route planning</x:v>
      </x:c>
      <x:c r="J1988" s="6" t="str">
        <x:v>Warm-up</x:v>
      </x:c>
      <x:c r="K1988" s="6" t="str">
        <x:v>Ordered stops, path for each leg and total metres.</x:v>
      </x:c>
      <x:c r="L1988" s="6" t="str">
        <x:v>T02, T05, T13</x:v>
      </x:c>
      <x:c r="M1988" s="6" t="str">
        <x:v>Visit multiple rooms in the order specified.</x:v>
      </x:c>
      <x:c r="N1988" s="6" t="str">
        <x:v>{"stops":["resplan-5871-F0-S003","resplan-5871-F0-S006","resplan-5871-F0-S004"],"optimal_length_m":18.75,"legs":[{"from_space_id":"resplan-5871-F0-S003","to_space_id":"resplan-5871-F0-S006","optimal_length_m":3.11,"space_path":["resplan-5871-F0-S003","resplan-5871-F0-S006"],"element_path":["resplan-5871-F0-O0005","resplan-5871-F0-O0005"]},{"from_space_id":"resplan-5871-F0-S006","to_space_id":"resplan-5871-F0-S004","optimal_length_m":15.64,"space_path":["resplan-5871-F0-S006","resplan-5871-F0-S003","resplan-5871-F0-S001","resplan-5871-F0-S004"],"element_path":["resplan-5871-F0-O0005","resplan-5871-F0-O0005","resplan-5871-F0-O0002","resplan-5871-F0-O0002","resplan-5871-F0-O0004","resplan-5871-F0-O0004"]}]}</x:v>
      </x:c>
      <x:c r="O1988" s="6"/>
      <x:c r="P1988" s="6" t="str">
        <x:v>Preserve stated visit order. Do not optimize stop order.</x:v>
      </x:c>
      <x:c r="Q1988" s="15" t="n">
        <x:v>18.75</x:v>
      </x:c>
      <x:c r="R1988" s="6" t="str">
        <x:v>m</x:v>
      </x:c>
      <x:c r="S1988" s="16"/>
      <x:c r="T1988" s="15"/>
      <x:c r="U1988" s="6"/>
      <x:c r="V1988" s="6"/>
      <x:c r="W1988" s="6" t="str">
        <x:v>Existing find_route(via=[...]).</x:v>
      </x:c>
      <x:c r="X1988" s="6" t="str">
        <x:v>data/train/resplan-5871/questions_basic.jsonl</x:v>
      </x:c>
      <x:c r="Y1988" s="14" t="n">
        <x:v>9</x:v>
      </x:c>
      <x:c r="Z1988" s="6" t="str">
        <x:v>https://github.com/hagenhaeussler/Industrial-Agents-Hackathon-2026/blob/f41616590b69f3ea0c1cbfb41d6c35edd9ce53df/data/train/resplan-5871/questions_basic.jsonl#L9</x:v>
      </x:c>
      <x:c r="AA1988" s="6" t="str">
        <x:v>resplan</x:v>
      </x:c>
      <x:c r="AB1988" s="6" t="str">
        <x:v>CC-BY-4.0</x:v>
      </x:c>
    </x:row>
    <x:row r="1989" ht="110" customHeight="1">
      <x:c r="A1989" s="14" t="n">
        <x:v>1984</x:v>
      </x:c>
      <x:c r="B1989" s="6" t="str">
        <x:v>tour</x:v>
      </x:c>
      <x:c r="C1989" s="6" t="str">
        <x:v>Starting at Bathroom 0.05 (Ground floor), visit Living room 0.01 (Ground floor), then Bedroom 0.03 (Ground floor) in this order. What is the route?</x:v>
      </x:c>
      <x:c r="D1989" s="6" t="str">
        <x:v>30.62 m total
Stops: Bathroom 0.05 → Living room 0.01 → Bedroom 0.03
Leg lengths (m): 17.39, 13.23
Full paths are in Answer JSON.</x:v>
      </x:c>
      <x:c r="E1989" s="6" t="str">
        <x:v>Reference supplied</x:v>
      </x:c>
      <x:c r="F1989" s="6" t="str">
        <x:v>train</x:v>
      </x:c>
      <x:c r="G1989" s="6" t="str">
        <x:v>resplan-6242</x:v>
      </x:c>
      <x:c r="H1989" s="6" t="str">
        <x:v>resplan-6242-Q09</x:v>
      </x:c>
      <x:c r="I1989" s="6" t="str">
        <x:v>Route planning</x:v>
      </x:c>
      <x:c r="J1989" s="6" t="str">
        <x:v>Warm-up</x:v>
      </x:c>
      <x:c r="K1989" s="6" t="str">
        <x:v>Ordered stops, path for each leg and total metres.</x:v>
      </x:c>
      <x:c r="L1989" s="6" t="str">
        <x:v>T02, T05, T13</x:v>
      </x:c>
      <x:c r="M1989" s="6" t="str">
        <x:v>Visit multiple rooms in the order specified.</x:v>
      </x:c>
      <x:c r="N1989" s="6" t="str">
        <x:v>{"stops":["resplan-6242-F0-S005","resplan-6242-F0-S001","resplan-6242-F0-S003"],"optimal_length_m":30.62,"legs":[{"from_space_id":"resplan-6242-F0-S005","to_space_id":"resplan-6242-F0-S001","optimal_length_m":17.39,"space_path":["resplan-6242-F0-S005","resplan-6242-F0-S003","resplan-6242-F0-S001"],"element_path":["resplan-6242-F0-O0002","resplan-6242-F0-O0002","resplan-6242-F0-O0004","resplan-6242-F0-O0004"]},{"from_space_id":"resplan-6242-F0-S001","to_space_id":"resplan-6242-F0-S003","optimal_length_m":13.23,"space_path":["resplan-6242-F0-S001","resplan-6242-F0-S003"],"element_path":["resplan-6242-F0-O0004","resplan-6242-F0-O0004"]}]}</x:v>
      </x:c>
      <x:c r="O1989" s="6"/>
      <x:c r="P1989" s="6" t="str">
        <x:v>Preserve stated visit order. Do not optimize stop order.</x:v>
      </x:c>
      <x:c r="Q1989" s="15" t="n">
        <x:v>30.62</x:v>
      </x:c>
      <x:c r="R1989" s="6" t="str">
        <x:v>m</x:v>
      </x:c>
      <x:c r="S1989" s="16"/>
      <x:c r="T1989" s="15"/>
      <x:c r="U1989" s="6"/>
      <x:c r="V1989" s="6"/>
      <x:c r="W1989" s="6" t="str">
        <x:v>Existing find_route(via=[...]).</x:v>
      </x:c>
      <x:c r="X1989" s="6" t="str">
        <x:v>data/train/resplan-6242/questions_basic.jsonl</x:v>
      </x:c>
      <x:c r="Y1989" s="14" t="n">
        <x:v>9</x:v>
      </x:c>
      <x:c r="Z1989" s="6" t="str">
        <x:v>https://github.com/hagenhaeussler/Industrial-Agents-Hackathon-2026/blob/f41616590b69f3ea0c1cbfb41d6c35edd9ce53df/data/train/resplan-6242/questions_basic.jsonl#L9</x:v>
      </x:c>
      <x:c r="AA1989" s="6" t="str">
        <x:v>resplan</x:v>
      </x:c>
      <x:c r="AB1989" s="6" t="str">
        <x:v>CC-BY-4.0</x:v>
      </x:c>
    </x:row>
    <x:row r="1990" ht="124" customHeight="1">
      <x:c r="A1990" s="14" t="n">
        <x:v>1985</x:v>
      </x:c>
      <x:c r="B1990" s="6" t="str">
        <x:v>tour</x:v>
      </x:c>
      <x:c r="C1990" s="6" t="str">
        <x:v>Starting at Bathroom 0.05 (Ground floor), visit Kitchen 0.06 (Ground floor), then Living room 0.01 (Ground floor) in this order. What is the route?</x:v>
      </x:c>
      <x:c r="D1990" s="6" t="str">
        <x:v>24.96 m total
Stops: Bathroom 0.05 → Kitchen 0.06 → Living room 0.01
Leg lengths (m): 18.38, 6.58
Full paths are in Answer JSON.</x:v>
      </x:c>
      <x:c r="E1990" s="6" t="str">
        <x:v>Reference supplied</x:v>
      </x:c>
      <x:c r="F1990" s="6" t="str">
        <x:v>train</x:v>
      </x:c>
      <x:c r="G1990" s="6" t="str">
        <x:v>resplan-6565</x:v>
      </x:c>
      <x:c r="H1990" s="6" t="str">
        <x:v>resplan-6565-Q09</x:v>
      </x:c>
      <x:c r="I1990" s="6" t="str">
        <x:v>Route planning</x:v>
      </x:c>
      <x:c r="J1990" s="6" t="str">
        <x:v>Warm-up</x:v>
      </x:c>
      <x:c r="K1990" s="6" t="str">
        <x:v>Ordered stops, path for each leg and total metres.</x:v>
      </x:c>
      <x:c r="L1990" s="6" t="str">
        <x:v>T02, T05, T13</x:v>
      </x:c>
      <x:c r="M1990" s="6" t="str">
        <x:v>Visit multiple rooms in the order specified.</x:v>
      </x:c>
      <x:c r="N1990" s="6" t="str">
        <x:v>{"stops":["resplan-6565-F0-S005","resplan-6565-F0-S006","resplan-6565-F0-S001"],"optimal_length_m":24.96,"legs":[{"from_space_id":"resplan-6565-F0-S005","to_space_id":"resplan-6565-F0-S006","optimal_length_m":18.38,"space_path":["resplan-6565-F0-S005","resplan-6565-F0-S002","resplan-6565-F0-S001","resplan-6565-F0-S006"],"element_path":["resplan-6565-F0-O0004","resplan-6565-F0-O0004","resplan-6565-F0-O0003","resplan-6565-F0-O0003","resplan-6565-F0-O0006","resplan-6565-F0-O0006"]},{"from_space_id":"resplan-6565-F0-S006","to_space_id":"resplan-6565-F0-S001","optimal_length_m":6.58,"space_path":["resplan-6565-F0-S006","resplan-6565-F0-S001"],"element_path":["resplan-6565-F0-O0006","resplan-6565-F0-O0006"]}]}</x:v>
      </x:c>
      <x:c r="O1990" s="6"/>
      <x:c r="P1990" s="6" t="str">
        <x:v>Preserve stated visit order. Do not optimize stop order.</x:v>
      </x:c>
      <x:c r="Q1990" s="15" t="n">
        <x:v>24.96</x:v>
      </x:c>
      <x:c r="R1990" s="6" t="str">
        <x:v>m</x:v>
      </x:c>
      <x:c r="S1990" s="16"/>
      <x:c r="T1990" s="15"/>
      <x:c r="U1990" s="6"/>
      <x:c r="V1990" s="6"/>
      <x:c r="W1990" s="6" t="str">
        <x:v>Existing find_route(via=[...]).</x:v>
      </x:c>
      <x:c r="X1990" s="6" t="str">
        <x:v>data/train/resplan-6565/questions_basic.jsonl</x:v>
      </x:c>
      <x:c r="Y1990" s="14" t="n">
        <x:v>9</x:v>
      </x:c>
      <x:c r="Z1990" s="6" t="str">
        <x:v>https://github.com/hagenhaeussler/Industrial-Agents-Hackathon-2026/blob/f41616590b69f3ea0c1cbfb41d6c35edd9ce53df/data/train/resplan-6565/questions_basic.jsonl#L9</x:v>
      </x:c>
      <x:c r="AA1990" s="6" t="str">
        <x:v>resplan</x:v>
      </x:c>
      <x:c r="AB1990" s="6" t="str">
        <x:v>CC-BY-4.0</x:v>
      </x:c>
    </x:row>
    <x:row r="1991" ht="110" customHeight="1">
      <x:c r="A1991" s="14" t="n">
        <x:v>1986</x:v>
      </x:c>
      <x:c r="B1991" s="6" t="str">
        <x:v>tour</x:v>
      </x:c>
      <x:c r="C1991" s="6" t="str">
        <x:v>Starting at Bedroom 0.04 (Ground floor), visit Storage 0.09 (Ground floor), then Living room 0.01 (Ground floor) in this order. What is the route?</x:v>
      </x:c>
      <x:c r="D1991" s="6" t="str">
        <x:v>20.48 m total
Stops: Bedroom 0.04 → Storage 0.09 → Living room 0.01
Leg lengths (m): 14.88, 5.6
Full paths are in Answer JSON.</x:v>
      </x:c>
      <x:c r="E1991" s="6" t="str">
        <x:v>Reference supplied</x:v>
      </x:c>
      <x:c r="F1991" s="6" t="str">
        <x:v>train</x:v>
      </x:c>
      <x:c r="G1991" s="6" t="str">
        <x:v>resplan-666</x:v>
      </x:c>
      <x:c r="H1991" s="6" t="str">
        <x:v>resplan-666-Q09</x:v>
      </x:c>
      <x:c r="I1991" s="6" t="str">
        <x:v>Route planning</x:v>
      </x:c>
      <x:c r="J1991" s="6" t="str">
        <x:v>Warm-up</x:v>
      </x:c>
      <x:c r="K1991" s="6" t="str">
        <x:v>Ordered stops, path for each leg and total metres.</x:v>
      </x:c>
      <x:c r="L1991" s="6" t="str">
        <x:v>T02, T05, T13</x:v>
      </x:c>
      <x:c r="M1991" s="6" t="str">
        <x:v>Visit multiple rooms in the order specified.</x:v>
      </x:c>
      <x:c r="N1991" s="6" t="str">
        <x:v>{"stops":["resplan-666-F0-S004","resplan-666-F0-S009","resplan-666-F0-S001"],"optimal_length_m":20.48,"legs":[{"from_space_id":"resplan-666-F0-S004","to_space_id":"resplan-666-F0-S009","optimal_length_m":14.88,"space_path":["resplan-666-F0-S004","resplan-666-F0-S001","resplan-666-F0-S009"],"element_path":["resplan-666-F0-O0005","resplan-666-F0-O0005","resplan-666-F0-O0009","resplan-666-F0-O0009"]},{"from_space_id":"resplan-666-F0-S009","to_space_id":"resplan-666-F0-S001","optimal_length_m":5.6,"space_path":["resplan-666-F0-S009","resplan-666-F0-S001"],"element_path":["resplan-666-F0-O0009","resplan-666-F0-O0009"]}]}</x:v>
      </x:c>
      <x:c r="O1991" s="6"/>
      <x:c r="P1991" s="6" t="str">
        <x:v>Preserve stated visit order. Do not optimize stop order.</x:v>
      </x:c>
      <x:c r="Q1991" s="15" t="n">
        <x:v>20.48</x:v>
      </x:c>
      <x:c r="R1991" s="6" t="str">
        <x:v>m</x:v>
      </x:c>
      <x:c r="S1991" s="16"/>
      <x:c r="T1991" s="15"/>
      <x:c r="U1991" s="6"/>
      <x:c r="V1991" s="6"/>
      <x:c r="W1991" s="6" t="str">
        <x:v>Existing find_route(via=[...]).</x:v>
      </x:c>
      <x:c r="X1991" s="6" t="str">
        <x:v>data/train/resplan-666/questions_basic.jsonl</x:v>
      </x:c>
      <x:c r="Y1991" s="14" t="n">
        <x:v>9</x:v>
      </x:c>
      <x:c r="Z1991" s="6" t="str">
        <x:v>https://github.com/hagenhaeussler/Industrial-Agents-Hackathon-2026/blob/f41616590b69f3ea0c1cbfb41d6c35edd9ce53df/data/train/resplan-666/questions_basic.jsonl#L9</x:v>
      </x:c>
      <x:c r="AA1991" s="6" t="str">
        <x:v>resplan</x:v>
      </x:c>
      <x:c r="AB1991" s="6" t="str">
        <x:v>CC-BY-4.0</x:v>
      </x:c>
    </x:row>
    <x:row r="1992" ht="124" customHeight="1">
      <x:c r="A1992" s="14" t="n">
        <x:v>1987</x:v>
      </x:c>
      <x:c r="B1992" s="6" t="str">
        <x:v>tour</x:v>
      </x:c>
      <x:c r="C1992" s="6" t="str">
        <x:v>Starting at Living room 0.01 (Ground floor), visit Kitchen 0.08 (Ground floor), then Bathroom 0.06 (Ground floor) in this order. What is the route?</x:v>
      </x:c>
      <x:c r="D1992" s="6" t="str">
        <x:v>24.36 m total
Stops: Living room 0.01 → Kitchen 0.08 → Bathroom 0.06
Leg lengths (m): 6.93, 17.43
Full paths are in Answer JSON.</x:v>
      </x:c>
      <x:c r="E1992" s="6" t="str">
        <x:v>Reference supplied</x:v>
      </x:c>
      <x:c r="F1992" s="6" t="str">
        <x:v>train</x:v>
      </x:c>
      <x:c r="G1992" s="6" t="str">
        <x:v>resplan-6994</x:v>
      </x:c>
      <x:c r="H1992" s="6" t="str">
        <x:v>resplan-6994-Q09</x:v>
      </x:c>
      <x:c r="I1992" s="6" t="str">
        <x:v>Route planning</x:v>
      </x:c>
      <x:c r="J1992" s="6" t="str">
        <x:v>Warm-up</x:v>
      </x:c>
      <x:c r="K1992" s="6" t="str">
        <x:v>Ordered stops, path for each leg and total metres.</x:v>
      </x:c>
      <x:c r="L1992" s="6" t="str">
        <x:v>T02, T05, T13</x:v>
      </x:c>
      <x:c r="M1992" s="6" t="str">
        <x:v>Visit multiple rooms in the order specified.</x:v>
      </x:c>
      <x:c r="N1992" s="6" t="str">
        <x:v>{"stops":["resplan-6994-F0-S001","resplan-6994-F0-S008","resplan-6994-F0-S006"],"optimal_length_m":24.36,"legs":[{"from_space_id":"resplan-6994-F0-S001","to_space_id":"resplan-6994-F0-S008","optimal_length_m":6.93,"space_path":["resplan-6994-F0-S001","resplan-6994-F0-S008"],"element_path":["resplan-6994-F0-O0003","resplan-6994-F0-O0003"]},{"from_space_id":"resplan-6994-F0-S008","to_space_id":"resplan-6994-F0-S006","optimal_length_m":17.43,"space_path":["resplan-6994-F0-S008","resplan-6994-F0-S001","resplan-6994-F0-S003","resplan-6994-F0-S006"],"element_path":["resplan-6994-F0-O0003","resplan-6994-F0-O0003","resplan-6994-F0-O0005","resplan-6994-F0-O0005","resplan-6994-F0-O0002","resplan-6994-F0-O0002"]}]}</x:v>
      </x:c>
      <x:c r="O1992" s="6"/>
      <x:c r="P1992" s="6" t="str">
        <x:v>Preserve stated visit order. Do not optimize stop order.</x:v>
      </x:c>
      <x:c r="Q1992" s="15" t="n">
        <x:v>24.36</x:v>
      </x:c>
      <x:c r="R1992" s="6" t="str">
        <x:v>m</x:v>
      </x:c>
      <x:c r="S1992" s="16"/>
      <x:c r="T1992" s="15"/>
      <x:c r="U1992" s="6"/>
      <x:c r="V1992" s="6"/>
      <x:c r="W1992" s="6" t="str">
        <x:v>Existing find_route(via=[...]).</x:v>
      </x:c>
      <x:c r="X1992" s="6" t="str">
        <x:v>data/train/resplan-6994/questions_basic.jsonl</x:v>
      </x:c>
      <x:c r="Y1992" s="14" t="n">
        <x:v>9</x:v>
      </x:c>
      <x:c r="Z1992" s="6" t="str">
        <x:v>https://github.com/hagenhaeussler/Industrial-Agents-Hackathon-2026/blob/f41616590b69f3ea0c1cbfb41d6c35edd9ce53df/data/train/resplan-6994/questions_basic.jsonl#L9</x:v>
      </x:c>
      <x:c r="AA1992" s="6" t="str">
        <x:v>resplan</x:v>
      </x:c>
      <x:c r="AB1992" s="6" t="str">
        <x:v>CC-BY-4.0</x:v>
      </x:c>
    </x:row>
    <x:row r="1993" ht="138" customHeight="1">
      <x:c r="A1993" s="14" t="n">
        <x:v>1988</x:v>
      </x:c>
      <x:c r="B1993" s="6" t="str">
        <x:v>tour</x:v>
      </x:c>
      <x:c r="C1993" s="6" t="str">
        <x:v>Starting at Bedroom 0.02 (Ground floor), visit Kitchen 0.06 (Ground floor), then Bathroom 0.05 (Ground floor) in this order. What is the route?</x:v>
      </x:c>
      <x:c r="D1993" s="6" t="str">
        <x:v>34.19 m total
Stops: Bedroom 0.02 → Kitchen 0.06 → Bathroom 0.05
Leg lengths (m): 15.26, 18.93
Full paths are in Answer JSON.</x:v>
      </x:c>
      <x:c r="E1993" s="6" t="str">
        <x:v>Reference supplied</x:v>
      </x:c>
      <x:c r="F1993" s="6" t="str">
        <x:v>train</x:v>
      </x:c>
      <x:c r="G1993" s="6" t="str">
        <x:v>resplan-7151</x:v>
      </x:c>
      <x:c r="H1993" s="6" t="str">
        <x:v>resplan-7151-Q09</x:v>
      </x:c>
      <x:c r="I1993" s="6" t="str">
        <x:v>Route planning</x:v>
      </x:c>
      <x:c r="J1993" s="6" t="str">
        <x:v>Warm-up</x:v>
      </x:c>
      <x:c r="K1993" s="6" t="str">
        <x:v>Ordered stops, path for each leg and total metres.</x:v>
      </x:c>
      <x:c r="L1993" s="6" t="str">
        <x:v>T02, T05, T13</x:v>
      </x:c>
      <x:c r="M1993" s="6" t="str">
        <x:v>Visit multiple rooms in the order specified.</x:v>
      </x:c>
      <x:c r="N1993" s="6" t="str">
        <x:v>{"stops":["resplan-7151-F0-S002","resplan-7151-F0-S006","resplan-7151-F0-S005"],"optimal_length_m":34.19,"legs":[{"from_space_id":"resplan-7151-F0-S002","to_space_id":"resplan-7151-F0-S006","optimal_length_m":15.26,"space_path":["resplan-7151-F0-S002","resplan-7151-F0-S001","resplan-7151-F0-S006"],"element_path":["resplan-7151-F0-O0002","resplan-7151-F0-O0002","resplan-7151-F0-O0006","resplan-7151-F0-O0006"]},{"from_space_id":"resplan-7151-F0-S006","to_space_id":"resplan-7151-F0-S005","optimal_length_m":18.93,"space_path":["resplan-7151-F0-S006","resplan-7151-F0-S001","resplan-7151-F0-S002","resplan-7151-F0-S005"],"element_path":["resplan-7151-F0-O0006","resplan-7151-F0-O0006","resplan-7151-F0-O0002","resplan-7151-F0-O0002","resplan-7151-F0-O0001","resplan-7151-F0-O0001"]}]}</x:v>
      </x:c>
      <x:c r="O1993" s="6"/>
      <x:c r="P1993" s="6" t="str">
        <x:v>Preserve stated visit order. Do not optimize stop order.</x:v>
      </x:c>
      <x:c r="Q1993" s="15" t="n">
        <x:v>34.19</x:v>
      </x:c>
      <x:c r="R1993" s="6" t="str">
        <x:v>m</x:v>
      </x:c>
      <x:c r="S1993" s="16"/>
      <x:c r="T1993" s="15"/>
      <x:c r="U1993" s="6"/>
      <x:c r="V1993" s="6"/>
      <x:c r="W1993" s="6" t="str">
        <x:v>Existing find_route(via=[...]).</x:v>
      </x:c>
      <x:c r="X1993" s="6" t="str">
        <x:v>data/train/resplan-7151/questions_basic.jsonl</x:v>
      </x:c>
      <x:c r="Y1993" s="14" t="n">
        <x:v>9</x:v>
      </x:c>
      <x:c r="Z1993" s="6" t="str">
        <x:v>https://github.com/hagenhaeussler/Industrial-Agents-Hackathon-2026/blob/f41616590b69f3ea0c1cbfb41d6c35edd9ce53df/data/train/resplan-7151/questions_basic.jsonl#L9</x:v>
      </x:c>
      <x:c r="AA1993" s="6" t="str">
        <x:v>resplan</x:v>
      </x:c>
      <x:c r="AB1993" s="6" t="str">
        <x:v>CC-BY-4.0</x:v>
      </x:c>
    </x:row>
    <x:row r="1994" ht="110" customHeight="1">
      <x:c r="A1994" s="14" t="n">
        <x:v>1989</x:v>
      </x:c>
      <x:c r="B1994" s="6" t="str">
        <x:v>tour</x:v>
      </x:c>
      <x:c r="C1994" s="6" t="str">
        <x:v>Starting at Bedroom 0.02 (Ground floor), visit Kitchen 0.06 (Ground floor), then Living room 0.01 (Ground floor) in this order. What is the route?</x:v>
      </x:c>
      <x:c r="D1994" s="6" t="str">
        <x:v>13.67 m total
Stops: Bedroom 0.02 → Kitchen 0.06 → Living room 0.01
Leg lengths (m): 9.5, 4.17
Full paths are in Answer JSON.</x:v>
      </x:c>
      <x:c r="E1994" s="6" t="str">
        <x:v>Reference supplied</x:v>
      </x:c>
      <x:c r="F1994" s="6" t="str">
        <x:v>train</x:v>
      </x:c>
      <x:c r="G1994" s="6" t="str">
        <x:v>resplan-7471</x:v>
      </x:c>
      <x:c r="H1994" s="6" t="str">
        <x:v>resplan-7471-Q09</x:v>
      </x:c>
      <x:c r="I1994" s="6" t="str">
        <x:v>Route planning</x:v>
      </x:c>
      <x:c r="J1994" s="6" t="str">
        <x:v>Warm-up</x:v>
      </x:c>
      <x:c r="K1994" s="6" t="str">
        <x:v>Ordered stops, path for each leg and total metres.</x:v>
      </x:c>
      <x:c r="L1994" s="6" t="str">
        <x:v>T02, T05, T13</x:v>
      </x:c>
      <x:c r="M1994" s="6" t="str">
        <x:v>Visit multiple rooms in the order specified.</x:v>
      </x:c>
      <x:c r="N1994" s="6" t="str">
        <x:v>{"stops":["resplan-7471-F0-S002","resplan-7471-F0-S006","resplan-7471-F0-S001"],"optimal_length_m":13.67,"legs":[{"from_space_id":"resplan-7471-F0-S002","to_space_id":"resplan-7471-F0-S006","optimal_length_m":9.5,"space_path":["resplan-7471-F0-S002","resplan-7471-F0-S001","resplan-7471-F0-S006"],"element_path":["resplan-7471-F0-O0004","resplan-7471-F0-O0004","resplan-7471-F0-O0005","resplan-7471-F0-O0005"]},{"from_space_id":"resplan-7471-F0-S006","to_space_id":"resplan-7471-F0-S001","optimal_length_m":4.17,"space_path":["resplan-7471-F0-S006","resplan-7471-F0-S001"],"element_path":["resplan-7471-F0-O0005","resplan-7471-F0-O0005"]}]}</x:v>
      </x:c>
      <x:c r="O1994" s="6"/>
      <x:c r="P1994" s="6" t="str">
        <x:v>Preserve stated visit order. Do not optimize stop order.</x:v>
      </x:c>
      <x:c r="Q1994" s="15" t="n">
        <x:v>13.67</x:v>
      </x:c>
      <x:c r="R1994" s="6" t="str">
        <x:v>m</x:v>
      </x:c>
      <x:c r="S1994" s="16"/>
      <x:c r="T1994" s="15"/>
      <x:c r="U1994" s="6"/>
      <x:c r="V1994" s="6"/>
      <x:c r="W1994" s="6" t="str">
        <x:v>Existing find_route(via=[...]).</x:v>
      </x:c>
      <x:c r="X1994" s="6" t="str">
        <x:v>data/train/resplan-7471/questions_basic.jsonl</x:v>
      </x:c>
      <x:c r="Y1994" s="14" t="n">
        <x:v>9</x:v>
      </x:c>
      <x:c r="Z1994" s="6" t="str">
        <x:v>https://github.com/hagenhaeussler/Industrial-Agents-Hackathon-2026/blob/f41616590b69f3ea0c1cbfb41d6c35edd9ce53df/data/train/resplan-7471/questions_basic.jsonl#L9</x:v>
      </x:c>
      <x:c r="AA1994" s="6" t="str">
        <x:v>resplan</x:v>
      </x:c>
      <x:c r="AB1994" s="6" t="str">
        <x:v>CC-BY-4.0</x:v>
      </x:c>
    </x:row>
    <x:row r="1995" ht="110" customHeight="1">
      <x:c r="A1995" s="14" t="n">
        <x:v>1990</x:v>
      </x:c>
      <x:c r="B1995" s="6" t="str">
        <x:v>tour</x:v>
      </x:c>
      <x:c r="C1995" s="6" t="str">
        <x:v>Starting at Bathroom 0.05 (Ground floor), visit Bedroom 0.02 (Ground floor), then Living room 0.01 (Ground floor) in this order. What is the route?</x:v>
      </x:c>
      <x:c r="D1995" s="6" t="str">
        <x:v>10.21 m total
Stops: Bathroom 0.05 → Bedroom 0.02 → Living room 0.01
Leg lengths (m): 3.06, 7.15
Full paths are in Answer JSON.</x:v>
      </x:c>
      <x:c r="E1995" s="6" t="str">
        <x:v>Reference supplied</x:v>
      </x:c>
      <x:c r="F1995" s="6" t="str">
        <x:v>train</x:v>
      </x:c>
      <x:c r="G1995" s="6" t="str">
        <x:v>resplan-7667</x:v>
      </x:c>
      <x:c r="H1995" s="6" t="str">
        <x:v>resplan-7667-Q09</x:v>
      </x:c>
      <x:c r="I1995" s="6" t="str">
        <x:v>Route planning</x:v>
      </x:c>
      <x:c r="J1995" s="6" t="str">
        <x:v>Warm-up</x:v>
      </x:c>
      <x:c r="K1995" s="6" t="str">
        <x:v>Ordered stops, path for each leg and total metres.</x:v>
      </x:c>
      <x:c r="L1995" s="6" t="str">
        <x:v>T02, T05, T13</x:v>
      </x:c>
      <x:c r="M1995" s="6" t="str">
        <x:v>Visit multiple rooms in the order specified.</x:v>
      </x:c>
      <x:c r="N1995" s="6" t="str">
        <x:v>{"stops":["resplan-7667-F0-S005","resplan-7667-F0-S002","resplan-7667-F0-S001"],"optimal_length_m":10.21,"legs":[{"from_space_id":"resplan-7667-F0-S005","to_space_id":"resplan-7667-F0-S002","optimal_length_m":3.06,"space_path":["resplan-7667-F0-S005","resplan-7667-F0-S002"],"element_path":["resplan-7667-F0-O0001","resplan-7667-F0-O0001"]},{"from_space_id":"resplan-7667-F0-S002","to_space_id":"resplan-7667-F0-S001","optimal_length_m":7.15,"space_path":["resplan-7667-F0-S002","resplan-7667-F0-S001"],"element_path":["resplan-7667-F0-O0004","resplan-7667-F0-O0004"]}]}</x:v>
      </x:c>
      <x:c r="O1995" s="6"/>
      <x:c r="P1995" s="6" t="str">
        <x:v>Preserve stated visit order. Do not optimize stop order.</x:v>
      </x:c>
      <x:c r="Q1995" s="15" t="n">
        <x:v>10.21</x:v>
      </x:c>
      <x:c r="R1995" s="6" t="str">
        <x:v>m</x:v>
      </x:c>
      <x:c r="S1995" s="16"/>
      <x:c r="T1995" s="15"/>
      <x:c r="U1995" s="6"/>
      <x:c r="V1995" s="6"/>
      <x:c r="W1995" s="6" t="str">
        <x:v>Existing find_route(via=[...]).</x:v>
      </x:c>
      <x:c r="X1995" s="6" t="str">
        <x:v>data/train/resplan-7667/questions_basic.jsonl</x:v>
      </x:c>
      <x:c r="Y1995" s="14" t="n">
        <x:v>9</x:v>
      </x:c>
      <x:c r="Z1995" s="6" t="str">
        <x:v>https://github.com/hagenhaeussler/Industrial-Agents-Hackathon-2026/blob/f41616590b69f3ea0c1cbfb41d6c35edd9ce53df/data/train/resplan-7667/questions_basic.jsonl#L9</x:v>
      </x:c>
      <x:c r="AA1995" s="6" t="str">
        <x:v>resplan</x:v>
      </x:c>
      <x:c r="AB1995" s="6" t="str">
        <x:v>CC-BY-4.0</x:v>
      </x:c>
    </x:row>
    <x:row r="1996" ht="138" customHeight="1">
      <x:c r="A1996" s="14" t="n">
        <x:v>1991</x:v>
      </x:c>
      <x:c r="B1996" s="6" t="str">
        <x:v>tour</x:v>
      </x:c>
      <x:c r="C1996" s="6" t="str">
        <x:v>Starting at Bathroom 0.04 (Ground floor), visit Bathroom 0.05 (Ground floor), then Kitchen 0.06 (Ground floor) in this order. What is the route?</x:v>
      </x:c>
      <x:c r="D1996" s="6" t="str">
        <x:v>32 m total
Stops: Bathroom 0.04 → Bathroom 0.05 → Kitchen 0.06
Leg lengths (m): 19.2, 12.8
Full paths are in Answer JSON.</x:v>
      </x:c>
      <x:c r="E1996" s="6" t="str">
        <x:v>Reference supplied</x:v>
      </x:c>
      <x:c r="F1996" s="6" t="str">
        <x:v>train</x:v>
      </x:c>
      <x:c r="G1996" s="6" t="str">
        <x:v>resplan-7709</x:v>
      </x:c>
      <x:c r="H1996" s="6" t="str">
        <x:v>resplan-7709-Q09</x:v>
      </x:c>
      <x:c r="I1996" s="6" t="str">
        <x:v>Route planning</x:v>
      </x:c>
      <x:c r="J1996" s="6" t="str">
        <x:v>Warm-up</x:v>
      </x:c>
      <x:c r="K1996" s="6" t="str">
        <x:v>Ordered stops, path for each leg and total metres.</x:v>
      </x:c>
      <x:c r="L1996" s="6" t="str">
        <x:v>T02, T05, T13</x:v>
      </x:c>
      <x:c r="M1996" s="6" t="str">
        <x:v>Visit multiple rooms in the order specified.</x:v>
      </x:c>
      <x:c r="N1996" s="6" t="str">
        <x:v>{"stops":["resplan-7709-F0-S004","resplan-7709-F0-S005","resplan-7709-F0-S006"],"optimal_length_m":32,"legs":[{"from_space_id":"resplan-7709-F0-S004","to_space_id":"resplan-7709-F0-S005","optimal_length_m":19.2,"space_path":["resplan-7709-F0-S004","resplan-7709-F0-S002","resplan-7709-F0-S001","resplan-7709-F0-S005"],"element_path":["resplan-7709-F0-O0001","resplan-7709-F0-O0001","resplan-7709-F0-O0002","resplan-7709-F0-O0002","resplan-7709-F0-O0004","resplan-7709-F0-O0004"]},{"from_space_id":"resplan-7709-F0-S005","to_space_id":"resplan-7709-F0-S006","optimal_length_m":12.8,"space_path":["resplan-7709-F0-S005","resplan-7709-F0-S001","resplan-7709-F0-S006"],"element_path":["resplan-7709-F0-O0004","resplan-7709-F0-O0004","resplan-7709-F0-O0005","resplan-7709-F0-O0005"]}]}</x:v>
      </x:c>
      <x:c r="O1996" s="6"/>
      <x:c r="P1996" s="6" t="str">
        <x:v>Preserve stated visit order. Do not optimize stop order.</x:v>
      </x:c>
      <x:c r="Q1996" s="15" t="n">
        <x:v>32</x:v>
      </x:c>
      <x:c r="R1996" s="6" t="str">
        <x:v>m</x:v>
      </x:c>
      <x:c r="S1996" s="16"/>
      <x:c r="T1996" s="15"/>
      <x:c r="U1996" s="6"/>
      <x:c r="V1996" s="6"/>
      <x:c r="W1996" s="6" t="str">
        <x:v>Existing find_route(via=[...]).</x:v>
      </x:c>
      <x:c r="X1996" s="6" t="str">
        <x:v>data/train/resplan-7709/questions_basic.jsonl</x:v>
      </x:c>
      <x:c r="Y1996" s="14" t="n">
        <x:v>9</x:v>
      </x:c>
      <x:c r="Z1996" s="6" t="str">
        <x:v>https://github.com/hagenhaeussler/Industrial-Agents-Hackathon-2026/blob/f41616590b69f3ea0c1cbfb41d6c35edd9ce53df/data/train/resplan-7709/questions_basic.jsonl#L9</x:v>
      </x:c>
      <x:c r="AA1996" s="6" t="str">
        <x:v>resplan</x:v>
      </x:c>
      <x:c r="AB1996" s="6" t="str">
        <x:v>CC-BY-4.0</x:v>
      </x:c>
    </x:row>
    <x:row r="1997" ht="124" customHeight="1">
      <x:c r="A1997" s="14" t="n">
        <x:v>1992</x:v>
      </x:c>
      <x:c r="B1997" s="6" t="str">
        <x:v>tour</x:v>
      </x:c>
      <x:c r="C1997" s="6" t="str">
        <x:v>Starting at Bedroom 0.02 (Ground floor), visit Bathroom 0.04 (Ground floor), then Kitchen 0.06 (Ground floor) in this order. What is the route?</x:v>
      </x:c>
      <x:c r="D1997" s="6" t="str">
        <x:v>30.56 m total
Stops: Bedroom 0.02 → Bathroom 0.04 → Kitchen 0.06
Leg lengths (m): 16.13, 14.43
Full paths are in Answer JSON.</x:v>
      </x:c>
      <x:c r="E1997" s="6" t="str">
        <x:v>Reference supplied</x:v>
      </x:c>
      <x:c r="F1997" s="6" t="str">
        <x:v>train</x:v>
      </x:c>
      <x:c r="G1997" s="6" t="str">
        <x:v>resplan-7948</x:v>
      </x:c>
      <x:c r="H1997" s="6" t="str">
        <x:v>resplan-7948-Q09</x:v>
      </x:c>
      <x:c r="I1997" s="6" t="str">
        <x:v>Route planning</x:v>
      </x:c>
      <x:c r="J1997" s="6" t="str">
        <x:v>Warm-up</x:v>
      </x:c>
      <x:c r="K1997" s="6" t="str">
        <x:v>Ordered stops, path for each leg and total metres.</x:v>
      </x:c>
      <x:c r="L1997" s="6" t="str">
        <x:v>T02, T05, T13</x:v>
      </x:c>
      <x:c r="M1997" s="6" t="str">
        <x:v>Visit multiple rooms in the order specified.</x:v>
      </x:c>
      <x:c r="N1997" s="6" t="str">
        <x:v>{"stops":["resplan-7948-F0-S002","resplan-7948-F0-S004","resplan-7948-F0-S006"],"optimal_length_m":30.56,"legs":[{"from_space_id":"resplan-7948-F0-S002","to_space_id":"resplan-7948-F0-S004","optimal_length_m":16.13,"space_path":["resplan-7948-F0-S002","resplan-7948-F0-S001","resplan-7948-F0-S004"],"element_path":["resplan-7948-F0-O0003","resplan-7948-F0-O0003","resplan-7948-F0-O0001","resplan-7948-F0-O0001"]},{"from_space_id":"resplan-7948-F0-S004","to_space_id":"resplan-7948-F0-S006","optimal_length_m":14.43,"space_path":["resplan-7948-F0-S004","resplan-7948-F0-S001","resplan-7948-F0-S006"],"element_path":["resplan-7948-F0-O0001","resplan-7948-F0-O0001","resplan-7948-F0-O0007","resplan-7948-F0-O0007"]}]}</x:v>
      </x:c>
      <x:c r="O1997" s="6"/>
      <x:c r="P1997" s="6" t="str">
        <x:v>Preserve stated visit order. Do not optimize stop order.</x:v>
      </x:c>
      <x:c r="Q1997" s="15" t="n">
        <x:v>30.56</x:v>
      </x:c>
      <x:c r="R1997" s="6" t="str">
        <x:v>m</x:v>
      </x:c>
      <x:c r="S1997" s="16"/>
      <x:c r="T1997" s="15"/>
      <x:c r="U1997" s="6"/>
      <x:c r="V1997" s="6"/>
      <x:c r="W1997" s="6" t="str">
        <x:v>Existing find_route(via=[...]).</x:v>
      </x:c>
      <x:c r="X1997" s="6" t="str">
        <x:v>data/train/resplan-7948/questions_basic.jsonl</x:v>
      </x:c>
      <x:c r="Y1997" s="14" t="n">
        <x:v>9</x:v>
      </x:c>
      <x:c r="Z1997" s="6" t="str">
        <x:v>https://github.com/hagenhaeussler/Industrial-Agents-Hackathon-2026/blob/f41616590b69f3ea0c1cbfb41d6c35edd9ce53df/data/train/resplan-7948/questions_basic.jsonl#L9</x:v>
      </x:c>
      <x:c r="AA1997" s="6" t="str">
        <x:v>resplan</x:v>
      </x:c>
      <x:c r="AB1997" s="6" t="str">
        <x:v>CC-BY-4.0</x:v>
      </x:c>
    </x:row>
    <x:row r="1998" ht="110" customHeight="1">
      <x:c r="A1998" s="14" t="n">
        <x:v>1993</x:v>
      </x:c>
      <x:c r="B1998" s="6" t="str">
        <x:v>tour</x:v>
      </x:c>
      <x:c r="C1998" s="6" t="str">
        <x:v>Starting at Living room 0.01 (Ground floor), visit Bathroom 0.04 (Ground floor), then Kitchen 0.05 (Ground floor) in this order. What is the route?</x:v>
      </x:c>
      <x:c r="D1998" s="6" t="str">
        <x:v>12.64 m total
Stops: Living room 0.01 → Bathroom 0.04 → Kitchen 0.05
Leg lengths (m): 3.24, 9.4
Full paths are in Answer JSON.</x:v>
      </x:c>
      <x:c r="E1998" s="6" t="str">
        <x:v>Reference supplied</x:v>
      </x:c>
      <x:c r="F1998" s="6" t="str">
        <x:v>train</x:v>
      </x:c>
      <x:c r="G1998" s="6" t="str">
        <x:v>resplan-8006</x:v>
      </x:c>
      <x:c r="H1998" s="6" t="str">
        <x:v>resplan-8006-Q09</x:v>
      </x:c>
      <x:c r="I1998" s="6" t="str">
        <x:v>Route planning</x:v>
      </x:c>
      <x:c r="J1998" s="6" t="str">
        <x:v>Warm-up</x:v>
      </x:c>
      <x:c r="K1998" s="6" t="str">
        <x:v>Ordered stops, path for each leg and total metres.</x:v>
      </x:c>
      <x:c r="L1998" s="6" t="str">
        <x:v>T02, T05, T13</x:v>
      </x:c>
      <x:c r="M1998" s="6" t="str">
        <x:v>Visit multiple rooms in the order specified.</x:v>
      </x:c>
      <x:c r="N1998" s="6" t="str">
        <x:v>{"stops":["resplan-8006-F0-S001","resplan-8006-F0-S004","resplan-8006-F0-S005"],"optimal_length_m":12.64,"legs":[{"from_space_id":"resplan-8006-F0-S001","to_space_id":"resplan-8006-F0-S004","optimal_length_m":3.24,"space_path":["resplan-8006-F0-S001","resplan-8006-F0-S004"],"element_path":["resplan-8006-F0-O0002","resplan-8006-F0-O0002"]},{"from_space_id":"resplan-8006-F0-S004","to_space_id":"resplan-8006-F0-S005","optimal_length_m":9.4,"space_path":["resplan-8006-F0-S004","resplan-8006-F0-S001","resplan-8006-F0-S005"],"element_path":["resplan-8006-F0-O0002","resplan-8006-F0-O0002","resplan-8006-F0-O0006","resplan-8006-F0-O0006"]}]}</x:v>
      </x:c>
      <x:c r="O1998" s="6"/>
      <x:c r="P1998" s="6" t="str">
        <x:v>Preserve stated visit order. Do not optimize stop order.</x:v>
      </x:c>
      <x:c r="Q1998" s="15" t="n">
        <x:v>12.64</x:v>
      </x:c>
      <x:c r="R1998" s="6" t="str">
        <x:v>m</x:v>
      </x:c>
      <x:c r="S1998" s="16"/>
      <x:c r="T1998" s="15"/>
      <x:c r="U1998" s="6"/>
      <x:c r="V1998" s="6"/>
      <x:c r="W1998" s="6" t="str">
        <x:v>Existing find_route(via=[...]).</x:v>
      </x:c>
      <x:c r="X1998" s="6" t="str">
        <x:v>data/train/resplan-8006/questions_basic.jsonl</x:v>
      </x:c>
      <x:c r="Y1998" s="14" t="n">
        <x:v>9</x:v>
      </x:c>
      <x:c r="Z1998" s="6" t="str">
        <x:v>https://github.com/hagenhaeussler/Industrial-Agents-Hackathon-2026/blob/f41616590b69f3ea0c1cbfb41d6c35edd9ce53df/data/train/resplan-8006/questions_basic.jsonl#L9</x:v>
      </x:c>
      <x:c r="AA1998" s="6" t="str">
        <x:v>resplan</x:v>
      </x:c>
      <x:c r="AB1998" s="6" t="str">
        <x:v>CC-BY-4.0</x:v>
      </x:c>
    </x:row>
    <x:row r="1999" ht="110" customHeight="1">
      <x:c r="A1999" s="14" t="n">
        <x:v>1994</x:v>
      </x:c>
      <x:c r="B1999" s="6" t="str">
        <x:v>tour</x:v>
      </x:c>
      <x:c r="C1999" s="6" t="str">
        <x:v>Starting at Bathroom 0.05 (Ground floor), visit Bedroom 0.03 (Ground floor), then Bathroom 0.04 (Ground floor) in this order. What is the route?</x:v>
      </x:c>
      <x:c r="D1999" s="6" t="str">
        <x:v>11.53 m total
Stops: Bathroom 0.05 → Bedroom 0.03 → Bathroom 0.04
Leg lengths (m): 8.29, 3.24
Full paths are in Answer JSON.</x:v>
      </x:c>
      <x:c r="E1999" s="6" t="str">
        <x:v>Reference supplied</x:v>
      </x:c>
      <x:c r="F1999" s="6" t="str">
        <x:v>train</x:v>
      </x:c>
      <x:c r="G1999" s="6" t="str">
        <x:v>resplan-8080</x:v>
      </x:c>
      <x:c r="H1999" s="6" t="str">
        <x:v>resplan-8080-Q09</x:v>
      </x:c>
      <x:c r="I1999" s="6" t="str">
        <x:v>Route planning</x:v>
      </x:c>
      <x:c r="J1999" s="6" t="str">
        <x:v>Warm-up</x:v>
      </x:c>
      <x:c r="K1999" s="6" t="str">
        <x:v>Ordered stops, path for each leg and total metres.</x:v>
      </x:c>
      <x:c r="L1999" s="6" t="str">
        <x:v>T02, T05, T13</x:v>
      </x:c>
      <x:c r="M1999" s="6" t="str">
        <x:v>Visit multiple rooms in the order specified.</x:v>
      </x:c>
      <x:c r="N1999" s="6" t="str">
        <x:v>{"stops":["resplan-8080-F0-S005","resplan-8080-F0-S003","resplan-8080-F0-S004"],"optimal_length_m":11.53,"legs":[{"from_space_id":"resplan-8080-F0-S005","to_space_id":"resplan-8080-F0-S003","optimal_length_m":8.29,"space_path":["resplan-8080-F0-S005","resplan-8080-F0-S001","resplan-8080-F0-S003"],"element_path":["resplan-8080-F0-O0002","resplan-8080-F0-O0002","resplan-8080-F0-O0003","resplan-8080-F0-O0003"]},{"from_space_id":"resplan-8080-F0-S003","to_space_id":"resplan-8080-F0-S004","optimal_length_m":3.24,"space_path":["resplan-8080-F0-S003","resplan-8080-F0-S004"],"element_path":["resplan-8080-F0-O0004","resplan-8080-F0-O0004"]}]}</x:v>
      </x:c>
      <x:c r="O1999" s="6"/>
      <x:c r="P1999" s="6" t="str">
        <x:v>Preserve stated visit order. Do not optimize stop order.</x:v>
      </x:c>
      <x:c r="Q1999" s="15" t="n">
        <x:v>11.53</x:v>
      </x:c>
      <x:c r="R1999" s="6" t="str">
        <x:v>m</x:v>
      </x:c>
      <x:c r="S1999" s="16"/>
      <x:c r="T1999" s="15"/>
      <x:c r="U1999" s="6"/>
      <x:c r="V1999" s="6"/>
      <x:c r="W1999" s="6" t="str">
        <x:v>Existing find_route(via=[...]).</x:v>
      </x:c>
      <x:c r="X1999" s="6" t="str">
        <x:v>data/train/resplan-8080/questions_basic.jsonl</x:v>
      </x:c>
      <x:c r="Y1999" s="14" t="n">
        <x:v>9</x:v>
      </x:c>
      <x:c r="Z1999" s="6" t="str">
        <x:v>https://github.com/hagenhaeussler/Industrial-Agents-Hackathon-2026/blob/f41616590b69f3ea0c1cbfb41d6c35edd9ce53df/data/train/resplan-8080/questions_basic.jsonl#L9</x:v>
      </x:c>
      <x:c r="AA1999" s="6" t="str">
        <x:v>resplan</x:v>
      </x:c>
      <x:c r="AB1999" s="6" t="str">
        <x:v>CC-BY-4.0</x:v>
      </x:c>
    </x:row>
    <x:row r="2000" ht="124" customHeight="1">
      <x:c r="A2000" s="14" t="n">
        <x:v>1995</x:v>
      </x:c>
      <x:c r="B2000" s="6" t="str">
        <x:v>tour</x:v>
      </x:c>
      <x:c r="C2000" s="6" t="str">
        <x:v>Starting at Kitchen 0.08 (Ground floor), visit Bedroom 0.02 (Ground floor), then Bathroom 0.07 (Ground floor) in this order. What is the route?</x:v>
      </x:c>
      <x:c r="D2000" s="6" t="str">
        <x:v>23.35 m total
Stops: Kitchen 0.08 → Bedroom 0.02 → Bathroom 0.07
Leg lengths (m): 13.73, 9.62
Full paths are in Answer JSON.</x:v>
      </x:c>
      <x:c r="E2000" s="6" t="str">
        <x:v>Reference supplied</x:v>
      </x:c>
      <x:c r="F2000" s="6" t="str">
        <x:v>train</x:v>
      </x:c>
      <x:c r="G2000" s="6" t="str">
        <x:v>resplan-8174</x:v>
      </x:c>
      <x:c r="H2000" s="6" t="str">
        <x:v>resplan-8174-Q09</x:v>
      </x:c>
      <x:c r="I2000" s="6" t="str">
        <x:v>Route planning</x:v>
      </x:c>
      <x:c r="J2000" s="6" t="str">
        <x:v>Warm-up</x:v>
      </x:c>
      <x:c r="K2000" s="6" t="str">
        <x:v>Ordered stops, path for each leg and total metres.</x:v>
      </x:c>
      <x:c r="L2000" s="6" t="str">
        <x:v>T02, T05, T13</x:v>
      </x:c>
      <x:c r="M2000" s="6" t="str">
        <x:v>Visit multiple rooms in the order specified.</x:v>
      </x:c>
      <x:c r="N2000" s="6" t="str">
        <x:v>{"stops":["resplan-8174-F0-S008","resplan-8174-F0-S002","resplan-8174-F0-S007"],"optimal_length_m":23.35,"legs":[{"from_space_id":"resplan-8174-F0-S008","to_space_id":"resplan-8174-F0-S002","optimal_length_m":13.73,"space_path":["resplan-8174-F0-S008","resplan-8174-F0-S001","resplan-8174-F0-S002"],"element_path":["resplan-8174-F0-O0006","resplan-8174-F0-O0006","resplan-8174-F0-O0001","resplan-8174-F0-O0001"]},{"from_space_id":"resplan-8174-F0-S002","to_space_id":"resplan-8174-F0-S007","optimal_length_m":9.62,"space_path":["resplan-8174-F0-S002","resplan-8174-F0-S001","resplan-8174-F0-S007"],"element_path":["resplan-8174-F0-O0001","resplan-8174-F0-O0001","resplan-8174-F0-O0003","resplan-8174-F0-O0003"]}]}</x:v>
      </x:c>
      <x:c r="O2000" s="6"/>
      <x:c r="P2000" s="6" t="str">
        <x:v>Preserve stated visit order. Do not optimize stop order.</x:v>
      </x:c>
      <x:c r="Q2000" s="15" t="n">
        <x:v>23.35</x:v>
      </x:c>
      <x:c r="R2000" s="6" t="str">
        <x:v>m</x:v>
      </x:c>
      <x:c r="S2000" s="16"/>
      <x:c r="T2000" s="15"/>
      <x:c r="U2000" s="6"/>
      <x:c r="V2000" s="6"/>
      <x:c r="W2000" s="6" t="str">
        <x:v>Existing find_route(via=[...]).</x:v>
      </x:c>
      <x:c r="X2000" s="6" t="str">
        <x:v>data/train/resplan-8174/questions_basic.jsonl</x:v>
      </x:c>
      <x:c r="Y2000" s="14" t="n">
        <x:v>9</x:v>
      </x:c>
      <x:c r="Z2000" s="6" t="str">
        <x:v>https://github.com/hagenhaeussler/Industrial-Agents-Hackathon-2026/blob/f41616590b69f3ea0c1cbfb41d6c35edd9ce53df/data/train/resplan-8174/questions_basic.jsonl#L9</x:v>
      </x:c>
      <x:c r="AA2000" s="6" t="str">
        <x:v>resplan</x:v>
      </x:c>
      <x:c r="AB2000" s="6" t="str">
        <x:v>CC-BY-4.0</x:v>
      </x:c>
    </x:row>
    <x:row r="2001" ht="124" customHeight="1">
      <x:c r="A2001" s="14" t="n">
        <x:v>1996</x:v>
      </x:c>
      <x:c r="B2001" s="6" t="str">
        <x:v>tour</x:v>
      </x:c>
      <x:c r="C2001" s="6" t="str">
        <x:v>Starting at Bedroom 0.03 (Ground floor), visit Bedroom 0.02 (Ground floor), then Kitchen 0.06 (Ground floor) in this order. What is the route?</x:v>
      </x:c>
      <x:c r="D2001" s="6" t="str">
        <x:v>30.54 m total
Stops: Bedroom 0.03 → Bedroom 0.02 → Kitchen 0.06
Leg lengths (m): 17.94, 12.6
Full paths are in Answer JSON.</x:v>
      </x:c>
      <x:c r="E2001" s="6" t="str">
        <x:v>Reference supplied</x:v>
      </x:c>
      <x:c r="F2001" s="6" t="str">
        <x:v>train</x:v>
      </x:c>
      <x:c r="G2001" s="6" t="str">
        <x:v>resplan-8431</x:v>
      </x:c>
      <x:c r="H2001" s="6" t="str">
        <x:v>resplan-8431-Q09</x:v>
      </x:c>
      <x:c r="I2001" s="6" t="str">
        <x:v>Route planning</x:v>
      </x:c>
      <x:c r="J2001" s="6" t="str">
        <x:v>Warm-up</x:v>
      </x:c>
      <x:c r="K2001" s="6" t="str">
        <x:v>Ordered stops, path for each leg and total metres.</x:v>
      </x:c>
      <x:c r="L2001" s="6" t="str">
        <x:v>T02, T05, T13</x:v>
      </x:c>
      <x:c r="M2001" s="6" t="str">
        <x:v>Visit multiple rooms in the order specified.</x:v>
      </x:c>
      <x:c r="N2001" s="6" t="str">
        <x:v>{"stops":["resplan-8431-F0-S003","resplan-8431-F0-S002","resplan-8431-F0-S006"],"optimal_length_m":30.54,"legs":[{"from_space_id":"resplan-8431-F0-S003","to_space_id":"resplan-8431-F0-S002","optimal_length_m":17.94,"space_path":["resplan-8431-F0-S003","resplan-8431-F0-S001","resplan-8431-F0-S002"],"element_path":["resplan-8431-F0-O0003","resplan-8431-F0-O0003","resplan-8431-F0-O0001","resplan-8431-F0-O0001"]},{"from_space_id":"resplan-8431-F0-S002","to_space_id":"resplan-8431-F0-S006","optimal_length_m":12.6,"space_path":["resplan-8431-F0-S002","resplan-8431-F0-S001","resplan-8431-F0-S006"],"element_path":["resplan-8431-F0-O0001","resplan-8431-F0-O0001","resplan-8431-F0-O0007","resplan-8431-F0-O0007"]}]}</x:v>
      </x:c>
      <x:c r="O2001" s="6"/>
      <x:c r="P2001" s="6" t="str">
        <x:v>Preserve stated visit order. Do not optimize stop order.</x:v>
      </x:c>
      <x:c r="Q2001" s="15" t="n">
        <x:v>30.54</x:v>
      </x:c>
      <x:c r="R2001" s="6" t="str">
        <x:v>m</x:v>
      </x:c>
      <x:c r="S2001" s="16"/>
      <x:c r="T2001" s="15"/>
      <x:c r="U2001" s="6"/>
      <x:c r="V2001" s="6"/>
      <x:c r="W2001" s="6" t="str">
        <x:v>Existing find_route(via=[...]).</x:v>
      </x:c>
      <x:c r="X2001" s="6" t="str">
        <x:v>data/train/resplan-8431/questions_basic.jsonl</x:v>
      </x:c>
      <x:c r="Y2001" s="14" t="n">
        <x:v>9</x:v>
      </x:c>
      <x:c r="Z2001" s="6" t="str">
        <x:v>https://github.com/hagenhaeussler/Industrial-Agents-Hackathon-2026/blob/f41616590b69f3ea0c1cbfb41d6c35edd9ce53df/data/train/resplan-8431/questions_basic.jsonl#L9</x:v>
      </x:c>
      <x:c r="AA2001" s="6" t="str">
        <x:v>resplan</x:v>
      </x:c>
      <x:c r="AB2001" s="6" t="str">
        <x:v>CC-BY-4.0</x:v>
      </x:c>
    </x:row>
    <x:row r="2002" ht="138" customHeight="1">
      <x:c r="A2002" s="14" t="n">
        <x:v>1997</x:v>
      </x:c>
      <x:c r="B2002" s="6" t="str">
        <x:v>tour</x:v>
      </x:c>
      <x:c r="C2002" s="6" t="str">
        <x:v>Starting at Kitchen 0.06 (Ground floor), visit Bathroom 0.05 (Ground floor), then Bathroom 0.04 (Ground floor) in this order. What is the route?</x:v>
      </x:c>
      <x:c r="D2002" s="6" t="str">
        <x:v>27.58 m total
Stops: Kitchen 0.06 → Bathroom 0.05 → Bathroom 0.04
Leg lengths (m): 11.27, 16.31
Full paths are in Answer JSON.</x:v>
      </x:c>
      <x:c r="E2002" s="6" t="str">
        <x:v>Reference supplied</x:v>
      </x:c>
      <x:c r="F2002" s="6" t="str">
        <x:v>train</x:v>
      </x:c>
      <x:c r="G2002" s="6" t="str">
        <x:v>resplan-8449</x:v>
      </x:c>
      <x:c r="H2002" s="6" t="str">
        <x:v>resplan-8449-Q09</x:v>
      </x:c>
      <x:c r="I2002" s="6" t="str">
        <x:v>Route planning</x:v>
      </x:c>
      <x:c r="J2002" s="6" t="str">
        <x:v>Warm-up</x:v>
      </x:c>
      <x:c r="K2002" s="6" t="str">
        <x:v>Ordered stops, path for each leg and total metres.</x:v>
      </x:c>
      <x:c r="L2002" s="6" t="str">
        <x:v>T02, T05, T13</x:v>
      </x:c>
      <x:c r="M2002" s="6" t="str">
        <x:v>Visit multiple rooms in the order specified.</x:v>
      </x:c>
      <x:c r="N2002" s="6" t="str">
        <x:v>{"stops":["resplan-8449-F0-S006","resplan-8449-F0-S005","resplan-8449-F0-S004"],"optimal_length_m":27.58,"legs":[{"from_space_id":"resplan-8449-F0-S006","to_space_id":"resplan-8449-F0-S005","optimal_length_m":11.27,"space_path":["resplan-8449-F0-S006","resplan-8449-F0-S001","resplan-8449-F0-S005"],"element_path":["resplan-8449-F0-O0001","resplan-8449-F0-O0001","resplan-8449-F0-O0003","resplan-8449-F0-O0003"]},{"from_space_id":"resplan-8449-F0-S005","to_space_id":"resplan-8449-F0-S004","optimal_length_m":16.31,"space_path":["resplan-8449-F0-S005","resplan-8449-F0-S001","resplan-8449-F0-S002","resplan-8449-F0-S004"],"element_path":["resplan-8449-F0-O0003","resplan-8449-F0-O0003","resplan-8449-F0-O0002","resplan-8449-F0-O0002","resplan-8449-F0-O0005","resplan-8449-F0-O0005"]}]}</x:v>
      </x:c>
      <x:c r="O2002" s="6"/>
      <x:c r="P2002" s="6" t="str">
        <x:v>Preserve stated visit order. Do not optimize stop order.</x:v>
      </x:c>
      <x:c r="Q2002" s="15" t="n">
        <x:v>27.58</x:v>
      </x:c>
      <x:c r="R2002" s="6" t="str">
        <x:v>m</x:v>
      </x:c>
      <x:c r="S2002" s="16"/>
      <x:c r="T2002" s="15"/>
      <x:c r="U2002" s="6"/>
      <x:c r="V2002" s="6"/>
      <x:c r="W2002" s="6" t="str">
        <x:v>Existing find_route(via=[...]).</x:v>
      </x:c>
      <x:c r="X2002" s="6" t="str">
        <x:v>data/train/resplan-8449/questions_basic.jsonl</x:v>
      </x:c>
      <x:c r="Y2002" s="14" t="n">
        <x:v>9</x:v>
      </x:c>
      <x:c r="Z2002" s="6" t="str">
        <x:v>https://github.com/hagenhaeussler/Industrial-Agents-Hackathon-2026/blob/f41616590b69f3ea0c1cbfb41d6c35edd9ce53df/data/train/resplan-8449/questions_basic.jsonl#L9</x:v>
      </x:c>
      <x:c r="AA2002" s="6" t="str">
        <x:v>resplan</x:v>
      </x:c>
      <x:c r="AB2002" s="6" t="str">
        <x:v>CC-BY-4.0</x:v>
      </x:c>
    </x:row>
    <x:row r="2003" ht="124" customHeight="1">
      <x:c r="A2003" s="14" t="n">
        <x:v>1998</x:v>
      </x:c>
      <x:c r="B2003" s="6" t="str">
        <x:v>tour</x:v>
      </x:c>
      <x:c r="C2003" s="6" t="str">
        <x:v>Starting at Bathroom 0.07 (Ground floor), visit Bedroom 0.03 (Ground floor), then Bedroom 0.05 (Ground floor) in this order. What is the route?</x:v>
      </x:c>
      <x:c r="D2003" s="6" t="str">
        <x:v>36.37 m total
Stops: Bathroom 0.07 → Bedroom 0.03 → Bedroom 0.05
Leg lengths (m): 17.49, 18.88
Full paths are in Answer JSON.</x:v>
      </x:c>
      <x:c r="E2003" s="6" t="str">
        <x:v>Reference supplied</x:v>
      </x:c>
      <x:c r="F2003" s="6" t="str">
        <x:v>train</x:v>
      </x:c>
      <x:c r="G2003" s="6" t="str">
        <x:v>resplan-8565</x:v>
      </x:c>
      <x:c r="H2003" s="6" t="str">
        <x:v>resplan-8565-Q09</x:v>
      </x:c>
      <x:c r="I2003" s="6" t="str">
        <x:v>Route planning</x:v>
      </x:c>
      <x:c r="J2003" s="6" t="str">
        <x:v>Warm-up</x:v>
      </x:c>
      <x:c r="K2003" s="6" t="str">
        <x:v>Ordered stops, path for each leg and total metres.</x:v>
      </x:c>
      <x:c r="L2003" s="6" t="str">
        <x:v>T02, T05, T13</x:v>
      </x:c>
      <x:c r="M2003" s="6" t="str">
        <x:v>Visit multiple rooms in the order specified.</x:v>
      </x:c>
      <x:c r="N2003" s="6" t="str">
        <x:v>{"stops":["resplan-8565-F0-S007","resplan-8565-F0-S003","resplan-8565-F0-S005"],"optimal_length_m":36.37,"legs":[{"from_space_id":"resplan-8565-F0-S007","to_space_id":"resplan-8565-F0-S003","optimal_length_m":17.49,"space_path":["resplan-8565-F0-S007","resplan-8565-F0-S001","resplan-8565-F0-S003"],"element_path":["resplan-8565-F0-O0011","resplan-8565-F0-O0011","resplan-8565-F0-O0003","resplan-8565-F0-O0003"]},{"from_space_id":"resplan-8565-F0-S003","to_space_id":"resplan-8565-F0-S005","optimal_length_m":18.88,"space_path":["resplan-8565-F0-S003","resplan-8565-F0-S001","resplan-8565-F0-S005"],"element_path":["resplan-8565-F0-O0003","resplan-8565-F0-O0003","resplan-8565-F0-O0007","resplan-8565-F0-O0007"]}]}</x:v>
      </x:c>
      <x:c r="O2003" s="6"/>
      <x:c r="P2003" s="6" t="str">
        <x:v>Preserve stated visit order. Do not optimize stop order.</x:v>
      </x:c>
      <x:c r="Q2003" s="15" t="n">
        <x:v>36.37</x:v>
      </x:c>
      <x:c r="R2003" s="6" t="str">
        <x:v>m</x:v>
      </x:c>
      <x:c r="S2003" s="16"/>
      <x:c r="T2003" s="15"/>
      <x:c r="U2003" s="6"/>
      <x:c r="V2003" s="6"/>
      <x:c r="W2003" s="6" t="str">
        <x:v>Existing find_route(via=[...]).</x:v>
      </x:c>
      <x:c r="X2003" s="6" t="str">
        <x:v>data/train/resplan-8565/questions_basic.jsonl</x:v>
      </x:c>
      <x:c r="Y2003" s="14" t="n">
        <x:v>9</x:v>
      </x:c>
      <x:c r="Z2003" s="6" t="str">
        <x:v>https://github.com/hagenhaeussler/Industrial-Agents-Hackathon-2026/blob/f41616590b69f3ea0c1cbfb41d6c35edd9ce53df/data/train/resplan-8565/questions_basic.jsonl#L9</x:v>
      </x:c>
      <x:c r="AA2003" s="6" t="str">
        <x:v>resplan</x:v>
      </x:c>
      <x:c r="AB2003" s="6" t="str">
        <x:v>CC-BY-4.0</x:v>
      </x:c>
    </x:row>
    <x:row r="2004" ht="124" customHeight="1">
      <x:c r="A2004" s="14" t="n">
        <x:v>1999</x:v>
      </x:c>
      <x:c r="B2004" s="6" t="str">
        <x:v>tour</x:v>
      </x:c>
      <x:c r="C2004" s="6" t="str">
        <x:v>Starting at Kitchen 0.06 (Ground floor), visit Bathroom 0.04 (Ground floor), then Bedroom 0.03 (Ground floor) in this order. What is the route?</x:v>
      </x:c>
      <x:c r="D2004" s="6" t="str">
        <x:v>18.84 m total
Stops: Kitchen 0.06 → Bathroom 0.04 → Bedroom 0.03
Leg lengths (m): 8.45, 10.39
Full paths are in Answer JSON.</x:v>
      </x:c>
      <x:c r="E2004" s="6" t="str">
        <x:v>Reference supplied</x:v>
      </x:c>
      <x:c r="F2004" s="6" t="str">
        <x:v>train</x:v>
      </x:c>
      <x:c r="G2004" s="6" t="str">
        <x:v>resplan-8889</x:v>
      </x:c>
      <x:c r="H2004" s="6" t="str">
        <x:v>resplan-8889-Q09</x:v>
      </x:c>
      <x:c r="I2004" s="6" t="str">
        <x:v>Route planning</x:v>
      </x:c>
      <x:c r="J2004" s="6" t="str">
        <x:v>Warm-up</x:v>
      </x:c>
      <x:c r="K2004" s="6" t="str">
        <x:v>Ordered stops, path for each leg and total metres.</x:v>
      </x:c>
      <x:c r="L2004" s="6" t="str">
        <x:v>T02, T05, T13</x:v>
      </x:c>
      <x:c r="M2004" s="6" t="str">
        <x:v>Visit multiple rooms in the order specified.</x:v>
      </x:c>
      <x:c r="N2004" s="6" t="str">
        <x:v>{"stops":["resplan-8889-F0-S006","resplan-8889-F0-S004","resplan-8889-F0-S003"],"optimal_length_m":18.84,"legs":[{"from_space_id":"resplan-8889-F0-S006","to_space_id":"resplan-8889-F0-S004","optimal_length_m":8.45,"space_path":["resplan-8889-F0-S006","resplan-8889-F0-S001","resplan-8889-F0-S004"],"element_path":["resplan-8889-F0-O0006","resplan-8889-F0-O0006","resplan-8889-F0-O0001","resplan-8889-F0-O0001"]},{"from_space_id":"resplan-8889-F0-S004","to_space_id":"resplan-8889-F0-S003","optimal_length_m":10.39,"space_path":["resplan-8889-F0-S004","resplan-8889-F0-S001","resplan-8889-F0-S003"],"element_path":["resplan-8889-F0-O0001","resplan-8889-F0-O0001","resplan-8889-F0-O0004","resplan-8889-F0-O0004"]}]}</x:v>
      </x:c>
      <x:c r="O2004" s="6"/>
      <x:c r="P2004" s="6" t="str">
        <x:v>Preserve stated visit order. Do not optimize stop order.</x:v>
      </x:c>
      <x:c r="Q2004" s="15" t="n">
        <x:v>18.84</x:v>
      </x:c>
      <x:c r="R2004" s="6" t="str">
        <x:v>m</x:v>
      </x:c>
      <x:c r="S2004" s="16"/>
      <x:c r="T2004" s="15"/>
      <x:c r="U2004" s="6"/>
      <x:c r="V2004" s="6"/>
      <x:c r="W2004" s="6" t="str">
        <x:v>Existing find_route(via=[...]).</x:v>
      </x:c>
      <x:c r="X2004" s="6" t="str">
        <x:v>data/train/resplan-8889/questions_basic.jsonl</x:v>
      </x:c>
      <x:c r="Y2004" s="14" t="n">
        <x:v>9</x:v>
      </x:c>
      <x:c r="Z2004" s="6" t="str">
        <x:v>https://github.com/hagenhaeussler/Industrial-Agents-Hackathon-2026/blob/f41616590b69f3ea0c1cbfb41d6c35edd9ce53df/data/train/resplan-8889/questions_basic.jsonl#L9</x:v>
      </x:c>
      <x:c r="AA2004" s="6" t="str">
        <x:v>resplan</x:v>
      </x:c>
      <x:c r="AB2004" s="6" t="str">
        <x:v>CC-BY-4.0</x:v>
      </x:c>
    </x:row>
    <x:row r="2005" ht="138" customHeight="1">
      <x:c r="A2005" s="14" t="n">
        <x:v>2000</x:v>
      </x:c>
      <x:c r="B2005" s="6" t="str">
        <x:v>tour</x:v>
      </x:c>
      <x:c r="C2005" s="6" t="str">
        <x:v>Starting at Bathroom 0.07 (Ground floor), visit Storage 0.10 (Ground floor), then Bedroom 0.04 (Ground floor) in this order. What is the route?</x:v>
      </x:c>
      <x:c r="D2005" s="6" t="str">
        <x:v>30.39 m total
Stops: Bathroom 0.07 → Storage 0.10 → Bedroom 0.04
Leg lengths (m): 18.85, 11.54
Full paths are in Answer JSON.</x:v>
      </x:c>
      <x:c r="E2005" s="6" t="str">
        <x:v>Reference supplied</x:v>
      </x:c>
      <x:c r="F2005" s="6" t="str">
        <x:v>train</x:v>
      </x:c>
      <x:c r="G2005" s="6" t="str">
        <x:v>resplan-9082</x:v>
      </x:c>
      <x:c r="H2005" s="6" t="str">
        <x:v>resplan-9082-Q09</x:v>
      </x:c>
      <x:c r="I2005" s="6" t="str">
        <x:v>Route planning</x:v>
      </x:c>
      <x:c r="J2005" s="6" t="str">
        <x:v>Warm-up</x:v>
      </x:c>
      <x:c r="K2005" s="6" t="str">
        <x:v>Ordered stops, path for each leg and total metres.</x:v>
      </x:c>
      <x:c r="L2005" s="6" t="str">
        <x:v>T02, T05, T13</x:v>
      </x:c>
      <x:c r="M2005" s="6" t="str">
        <x:v>Visit multiple rooms in the order specified.</x:v>
      </x:c>
      <x:c r="N2005" s="6" t="str">
        <x:v>{"stops":["resplan-9082-F0-S007","resplan-9082-F0-S010","resplan-9082-F0-S004"],"optimal_length_m":30.39,"legs":[{"from_space_id":"resplan-9082-F0-S007","to_space_id":"resplan-9082-F0-S010","optimal_length_m":18.85,"space_path":["resplan-9082-F0-S007","resplan-9082-F0-S003","resplan-9082-F0-S001","resplan-9082-F0-S010"],"element_path":["resplan-9082-F0-O0004","resplan-9082-F0-O0004","resplan-9082-F0-O0003","resplan-9082-F0-O0003","resplan-9082-F0-O0012","resplan-9082-F0-O0012"]},{"from_space_id":"resplan-9082-F0-S010","to_space_id":"resplan-9082-F0-S004","optimal_length_m":11.54,"space_path":["resplan-9082-F0-S010","resplan-9082-F0-S001","resplan-9082-F0-S004"],"element_path":["resplan-9082-F0-O0012","resplan-9082-F0-O0012","resplan-9082-F0-O0001","resplan-9082-F0-O0001"]}]}</x:v>
      </x:c>
      <x:c r="O2005" s="6"/>
      <x:c r="P2005" s="6" t="str">
        <x:v>Preserve stated visit order. Do not optimize stop order.</x:v>
      </x:c>
      <x:c r="Q2005" s="15" t="n">
        <x:v>30.39</x:v>
      </x:c>
      <x:c r="R2005" s="6" t="str">
        <x:v>m</x:v>
      </x:c>
      <x:c r="S2005" s="16"/>
      <x:c r="T2005" s="15"/>
      <x:c r="U2005" s="6"/>
      <x:c r="V2005" s="6"/>
      <x:c r="W2005" s="6" t="str">
        <x:v>Existing find_route(via=[...]).</x:v>
      </x:c>
      <x:c r="X2005" s="6" t="str">
        <x:v>data/train/resplan-9082/questions_basic.jsonl</x:v>
      </x:c>
      <x:c r="Y2005" s="14" t="n">
        <x:v>9</x:v>
      </x:c>
      <x:c r="Z2005" s="6" t="str">
        <x:v>https://github.com/hagenhaeussler/Industrial-Agents-Hackathon-2026/blob/f41616590b69f3ea0c1cbfb41d6c35edd9ce53df/data/train/resplan-9082/questions_basic.jsonl#L9</x:v>
      </x:c>
      <x:c r="AA2005" s="6" t="str">
        <x:v>resplan</x:v>
      </x:c>
      <x:c r="AB2005" s="6" t="str">
        <x:v>CC-BY-4.0</x:v>
      </x:c>
    </x:row>
    <x:row r="2006" ht="110" customHeight="1">
      <x:c r="A2006" s="14" t="n">
        <x:v>2001</x:v>
      </x:c>
      <x:c r="B2006" s="6" t="str">
        <x:v>tour</x:v>
      </x:c>
      <x:c r="C2006" s="6" t="str">
        <x:v>Starting at Bathroom 0.05 (Ground floor), visit Bedroom 0.03 (Ground floor), then Living room 0.01 (Ground floor) in this order. What is the route?</x:v>
      </x:c>
      <x:c r="D2006" s="6" t="str">
        <x:v>17.76 m total
Stops: Bathroom 0.05 → Bedroom 0.03 → Living room 0.01
Leg lengths (m): 11.73, 6.03
Full paths are in Answer JSON.</x:v>
      </x:c>
      <x:c r="E2006" s="6" t="str">
        <x:v>Reference supplied</x:v>
      </x:c>
      <x:c r="F2006" s="6" t="str">
        <x:v>train</x:v>
      </x:c>
      <x:c r="G2006" s="6" t="str">
        <x:v>resplan-9204</x:v>
      </x:c>
      <x:c r="H2006" s="6" t="str">
        <x:v>resplan-9204-Q09</x:v>
      </x:c>
      <x:c r="I2006" s="6" t="str">
        <x:v>Route planning</x:v>
      </x:c>
      <x:c r="J2006" s="6" t="str">
        <x:v>Warm-up</x:v>
      </x:c>
      <x:c r="K2006" s="6" t="str">
        <x:v>Ordered stops, path for each leg and total metres.</x:v>
      </x:c>
      <x:c r="L2006" s="6" t="str">
        <x:v>T02, T05, T13</x:v>
      </x:c>
      <x:c r="M2006" s="6" t="str">
        <x:v>Visit multiple rooms in the order specified.</x:v>
      </x:c>
      <x:c r="N2006" s="6" t="str">
        <x:v>{"stops":["resplan-9204-F0-S005","resplan-9204-F0-S003","resplan-9204-F0-S001"],"optimal_length_m":17.76,"legs":[{"from_space_id":"resplan-9204-F0-S005","to_space_id":"resplan-9204-F0-S003","optimal_length_m":11.73,"space_path":["resplan-9204-F0-S005","resplan-9204-F0-S001","resplan-9204-F0-S003"],"element_path":["resplan-9204-F0-O0003","resplan-9204-F0-O0003","resplan-9204-F0-O0004","resplan-9204-F0-O0004"]},{"from_space_id":"resplan-9204-F0-S003","to_space_id":"resplan-9204-F0-S001","optimal_length_m":6.03,"space_path":["resplan-9204-F0-S003","resplan-9204-F0-S001"],"element_path":["resplan-9204-F0-O0004","resplan-9204-F0-O0004"]}]}</x:v>
      </x:c>
      <x:c r="O2006" s="6"/>
      <x:c r="P2006" s="6" t="str">
        <x:v>Preserve stated visit order. Do not optimize stop order.</x:v>
      </x:c>
      <x:c r="Q2006" s="15" t="n">
        <x:v>17.76</x:v>
      </x:c>
      <x:c r="R2006" s="6" t="str">
        <x:v>m</x:v>
      </x:c>
      <x:c r="S2006" s="16"/>
      <x:c r="T2006" s="15"/>
      <x:c r="U2006" s="6"/>
      <x:c r="V2006" s="6"/>
      <x:c r="W2006" s="6" t="str">
        <x:v>Existing find_route(via=[...]).</x:v>
      </x:c>
      <x:c r="X2006" s="6" t="str">
        <x:v>data/train/resplan-9204/questions_basic.jsonl</x:v>
      </x:c>
      <x:c r="Y2006" s="14" t="n">
        <x:v>9</x:v>
      </x:c>
      <x:c r="Z2006" s="6" t="str">
        <x:v>https://github.com/hagenhaeussler/Industrial-Agents-Hackathon-2026/blob/f41616590b69f3ea0c1cbfb41d6c35edd9ce53df/data/train/resplan-9204/questions_basic.jsonl#L9</x:v>
      </x:c>
      <x:c r="AA2006" s="6" t="str">
        <x:v>resplan</x:v>
      </x:c>
      <x:c r="AB2006" s="6" t="str">
        <x:v>CC-BY-4.0</x:v>
      </x:c>
    </x:row>
    <x:row r="2007" ht="124" customHeight="1">
      <x:c r="A2007" s="14" t="n">
        <x:v>2002</x:v>
      </x:c>
      <x:c r="B2007" s="6" t="str">
        <x:v>tour</x:v>
      </x:c>
      <x:c r="C2007" s="6" t="str">
        <x:v>Starting at Bedroom 0.02 (Ground floor), visit Kitchen 0.06 (Ground floor), then Bathroom 0.05 (Ground floor) in this order. What is the route?</x:v>
      </x:c>
      <x:c r="D2007" s="6" t="str">
        <x:v>18.93 m total
Stops: Bedroom 0.02 → Kitchen 0.06 → Bathroom 0.05
Leg lengths (m): 9.78, 9.15
Full paths are in Answer JSON.</x:v>
      </x:c>
      <x:c r="E2007" s="6" t="str">
        <x:v>Reference supplied</x:v>
      </x:c>
      <x:c r="F2007" s="6" t="str">
        <x:v>train</x:v>
      </x:c>
      <x:c r="G2007" s="6" t="str">
        <x:v>resplan-9416</x:v>
      </x:c>
      <x:c r="H2007" s="6" t="str">
        <x:v>resplan-9416-Q09</x:v>
      </x:c>
      <x:c r="I2007" s="6" t="str">
        <x:v>Route planning</x:v>
      </x:c>
      <x:c r="J2007" s="6" t="str">
        <x:v>Warm-up</x:v>
      </x:c>
      <x:c r="K2007" s="6" t="str">
        <x:v>Ordered stops, path for each leg and total metres.</x:v>
      </x:c>
      <x:c r="L2007" s="6" t="str">
        <x:v>T02, T05, T13</x:v>
      </x:c>
      <x:c r="M2007" s="6" t="str">
        <x:v>Visit multiple rooms in the order specified.</x:v>
      </x:c>
      <x:c r="N2007" s="6" t="str">
        <x:v>{"stops":["resplan-9416-F0-S002","resplan-9416-F0-S006","resplan-9416-F0-S005"],"optimal_length_m":18.93,"legs":[{"from_space_id":"resplan-9416-F0-S002","to_space_id":"resplan-9416-F0-S006","optimal_length_m":9.78,"space_path":["resplan-9416-F0-S002","resplan-9416-F0-S001","resplan-9416-F0-S006"],"element_path":["resplan-9416-F0-O0002","resplan-9416-F0-O0002","resplan-9416-F0-O0008","resplan-9416-F0-O0008"]},{"from_space_id":"resplan-9416-F0-S006","to_space_id":"resplan-9416-F0-S005","optimal_length_m":9.15,"space_path":["resplan-9416-F0-S006","resplan-9416-F0-S001","resplan-9416-F0-S005"],"element_path":["resplan-9416-F0-O0008","resplan-9416-F0-O0008","resplan-9416-F0-O0001","resplan-9416-F0-O0001"]}]}</x:v>
      </x:c>
      <x:c r="O2007" s="6"/>
      <x:c r="P2007" s="6" t="str">
        <x:v>Preserve stated visit order. Do not optimize stop order.</x:v>
      </x:c>
      <x:c r="Q2007" s="15" t="n">
        <x:v>18.93</x:v>
      </x:c>
      <x:c r="R2007" s="6" t="str">
        <x:v>m</x:v>
      </x:c>
      <x:c r="S2007" s="16"/>
      <x:c r="T2007" s="15"/>
      <x:c r="U2007" s="6"/>
      <x:c r="V2007" s="6"/>
      <x:c r="W2007" s="6" t="str">
        <x:v>Existing find_route(via=[...]).</x:v>
      </x:c>
      <x:c r="X2007" s="6" t="str">
        <x:v>data/train/resplan-9416/questions_basic.jsonl</x:v>
      </x:c>
      <x:c r="Y2007" s="14" t="n">
        <x:v>9</x:v>
      </x:c>
      <x:c r="Z2007" s="6" t="str">
        <x:v>https://github.com/hagenhaeussler/Industrial-Agents-Hackathon-2026/blob/f41616590b69f3ea0c1cbfb41d6c35edd9ce53df/data/train/resplan-9416/questions_basic.jsonl#L9</x:v>
      </x:c>
      <x:c r="AA2007" s="6" t="str">
        <x:v>resplan</x:v>
      </x:c>
      <x:c r="AB2007" s="6" t="str">
        <x:v>CC-BY-4.0</x:v>
      </x:c>
    </x:row>
    <x:row r="2008" ht="138" customHeight="1">
      <x:c r="A2008" s="14" t="n">
        <x:v>2003</x:v>
      </x:c>
      <x:c r="B2008" s="6" t="str">
        <x:v>tour</x:v>
      </x:c>
      <x:c r="C2008" s="6" t="str">
        <x:v>Starting at Bedroom 0.02 (Ground floor), visit Bedroom 0.04 (Ground floor), then Bathroom 0.05 (Ground floor) in this order. What is the route?</x:v>
      </x:c>
      <x:c r="D2008" s="6" t="str">
        <x:v>30.29 m total
Stops: Bedroom 0.02 → Bedroom 0.04 → Bathroom 0.05
Leg lengths (m): 13.49, 16.8
Full paths are in Answer JSON.</x:v>
      </x:c>
      <x:c r="E2008" s="6" t="str">
        <x:v>Reference supplied</x:v>
      </x:c>
      <x:c r="F2008" s="6" t="str">
        <x:v>train</x:v>
      </x:c>
      <x:c r="G2008" s="6" t="str">
        <x:v>resplan-9515</x:v>
      </x:c>
      <x:c r="H2008" s="6" t="str">
        <x:v>resplan-9515-Q09</x:v>
      </x:c>
      <x:c r="I2008" s="6" t="str">
        <x:v>Route planning</x:v>
      </x:c>
      <x:c r="J2008" s="6" t="str">
        <x:v>Warm-up</x:v>
      </x:c>
      <x:c r="K2008" s="6" t="str">
        <x:v>Ordered stops, path for each leg and total metres.</x:v>
      </x:c>
      <x:c r="L2008" s="6" t="str">
        <x:v>T02, T05, T13</x:v>
      </x:c>
      <x:c r="M2008" s="6" t="str">
        <x:v>Visit multiple rooms in the order specified.</x:v>
      </x:c>
      <x:c r="N2008" s="6" t="str">
        <x:v>{"stops":["resplan-9515-F0-S002","resplan-9515-F0-S004","resplan-9515-F0-S005"],"optimal_length_m":30.29,"legs":[{"from_space_id":"resplan-9515-F0-S002","to_space_id":"resplan-9515-F0-S004","optimal_length_m":13.49,"space_path":["resplan-9515-F0-S002","resplan-9515-F0-S001","resplan-9515-F0-S004"],"element_path":["resplan-9515-F0-O0002","resplan-9515-F0-O0002","resplan-9515-F0-O0006","resplan-9515-F0-O0006"]},{"from_space_id":"resplan-9515-F0-S004","to_space_id":"resplan-9515-F0-S005","optimal_length_m":16.8,"space_path":["resplan-9515-F0-S004","resplan-9515-F0-S001","resplan-9515-F0-S002","resplan-9515-F0-S005"],"element_path":["resplan-9515-F0-O0006","resplan-9515-F0-O0006","resplan-9515-F0-O0002","resplan-9515-F0-O0002","resplan-9515-F0-O0001","resplan-9515-F0-O0001"]}]}</x:v>
      </x:c>
      <x:c r="O2008" s="6"/>
      <x:c r="P2008" s="6" t="str">
        <x:v>Preserve stated visit order. Do not optimize stop order.</x:v>
      </x:c>
      <x:c r="Q2008" s="15" t="n">
        <x:v>30.29</x:v>
      </x:c>
      <x:c r="R2008" s="6" t="str">
        <x:v>m</x:v>
      </x:c>
      <x:c r="S2008" s="16"/>
      <x:c r="T2008" s="15"/>
      <x:c r="U2008" s="6"/>
      <x:c r="V2008" s="6"/>
      <x:c r="W2008" s="6" t="str">
        <x:v>Existing find_route(via=[...]).</x:v>
      </x:c>
      <x:c r="X2008" s="6" t="str">
        <x:v>data/train/resplan-9515/questions_basic.jsonl</x:v>
      </x:c>
      <x:c r="Y2008" s="14" t="n">
        <x:v>9</x:v>
      </x:c>
      <x:c r="Z2008" s="6" t="str">
        <x:v>https://github.com/hagenhaeussler/Industrial-Agents-Hackathon-2026/blob/f41616590b69f3ea0c1cbfb41d6c35edd9ce53df/data/train/resplan-9515/questions_basic.jsonl#L9</x:v>
      </x:c>
      <x:c r="AA2008" s="6" t="str">
        <x:v>resplan</x:v>
      </x:c>
      <x:c r="AB2008" s="6" t="str">
        <x:v>CC-BY-4.0</x:v>
      </x:c>
    </x:row>
    <x:row r="2009" ht="138" customHeight="1">
      <x:c r="A2009" s="14" t="n">
        <x:v>2004</x:v>
      </x:c>
      <x:c r="B2009" s="6" t="str">
        <x:v>tour</x:v>
      </x:c>
      <x:c r="C2009" s="6" t="str">
        <x:v>Starting at Living room 0.01 (Ground floor), visit Bathroom 0.07 (Ground floor), then Bedroom 0.02 (Ground floor) in this order. What is the route?</x:v>
      </x:c>
      <x:c r="D2009" s="6" t="str">
        <x:v>23.47 m total
Stops: Living room 0.01 → Bathroom 0.07 → Bedroom 0.02
Leg lengths (m): 9.94, 13.53
Full paths are in Answer JSON.</x:v>
      </x:c>
      <x:c r="E2009" s="6" t="str">
        <x:v>Reference supplied</x:v>
      </x:c>
      <x:c r="F2009" s="6" t="str">
        <x:v>train</x:v>
      </x:c>
      <x:c r="G2009" s="6" t="str">
        <x:v>resplan-9809</x:v>
      </x:c>
      <x:c r="H2009" s="6" t="str">
        <x:v>resplan-9809-Q09</x:v>
      </x:c>
      <x:c r="I2009" s="6" t="str">
        <x:v>Route planning</x:v>
      </x:c>
      <x:c r="J2009" s="6" t="str">
        <x:v>Warm-up</x:v>
      </x:c>
      <x:c r="K2009" s="6" t="str">
        <x:v>Ordered stops, path for each leg and total metres.</x:v>
      </x:c>
      <x:c r="L2009" s="6" t="str">
        <x:v>T02, T05, T13</x:v>
      </x:c>
      <x:c r="M2009" s="6" t="str">
        <x:v>Visit multiple rooms in the order specified.</x:v>
      </x:c>
      <x:c r="N2009" s="6" t="str">
        <x:v>{"stops":["resplan-9809-F0-S001","resplan-9809-F0-S007","resplan-9809-F0-S002"],"optimal_length_m":23.47,"legs":[{"from_space_id":"resplan-9809-F0-S001","to_space_id":"resplan-9809-F0-S007","optimal_length_m":9.94,"space_path":["resplan-9809-F0-S001","resplan-9809-F0-S003","resplan-9809-F0-S007"],"element_path":["resplan-9809-F0-O0002","resplan-9809-F0-O0002","resplan-9809-F0-O0001","resplan-9809-F0-O0001"]},{"from_space_id":"resplan-9809-F0-S007","to_space_id":"resplan-9809-F0-S002","optimal_length_m":13.53,"space_path":["resplan-9809-F0-S007","resplan-9809-F0-S003","resplan-9809-F0-S001","resplan-9809-F0-S002"],"element_path":["resplan-9809-F0-O0001","resplan-9809-F0-O0001","resplan-9809-F0-O0002","resplan-9809-F0-O0002","resplan-9809-F0-O0003","resplan-9809-F0-O0003"]}]}</x:v>
      </x:c>
      <x:c r="O2009" s="6"/>
      <x:c r="P2009" s="6" t="str">
        <x:v>Preserve stated visit order. Do not optimize stop order.</x:v>
      </x:c>
      <x:c r="Q2009" s="15" t="n">
        <x:v>23.47</x:v>
      </x:c>
      <x:c r="R2009" s="6" t="str">
        <x:v>m</x:v>
      </x:c>
      <x:c r="S2009" s="16"/>
      <x:c r="T2009" s="15"/>
      <x:c r="U2009" s="6"/>
      <x:c r="V2009" s="6"/>
      <x:c r="W2009" s="6" t="str">
        <x:v>Existing find_route(via=[...]).</x:v>
      </x:c>
      <x:c r="X2009" s="6" t="str">
        <x:v>data/train/resplan-9809/questions_basic.jsonl</x:v>
      </x:c>
      <x:c r="Y2009" s="14" t="n">
        <x:v>9</x:v>
      </x:c>
      <x:c r="Z2009" s="6" t="str">
        <x:v>https://github.com/hagenhaeussler/Industrial-Agents-Hackathon-2026/blob/f41616590b69f3ea0c1cbfb41d6c35edd9ce53df/data/train/resplan-9809/questions_basic.jsonl#L9</x:v>
      </x:c>
      <x:c r="AA2009" s="6" t="str">
        <x:v>resplan</x:v>
      </x:c>
      <x:c r="AB2009" s="6" t="str">
        <x:v>CC-BY-4.0</x:v>
      </x:c>
    </x:row>
    <x:row r="2010" ht="110" customHeight="1">
      <x:c r="A2010" s="14" t="n">
        <x:v>2005</x:v>
      </x:c>
      <x:c r="B2010" s="6" t="str">
        <x:v>tour</x:v>
      </x:c>
      <x:c r="C2010" s="6" t="str">
        <x:v>Starting at Living room 0.01 (Ground floor), visit Bedroom 0.02 (Ground floor), then Bathroom 0.04 (Ground floor) in this order. What is the route?</x:v>
      </x:c>
      <x:c r="D2010" s="6" t="str">
        <x:v>14.93 m total
Stops: Living room 0.01 → Bedroom 0.02 → Bathroom 0.04
Leg lengths (m): 4.86, 10.07
Full paths are in Answer JSON.</x:v>
      </x:c>
      <x:c r="E2010" s="6" t="str">
        <x:v>Reference supplied</x:v>
      </x:c>
      <x:c r="F2010" s="6" t="str">
        <x:v>train</x:v>
      </x:c>
      <x:c r="G2010" s="6" t="str">
        <x:v>resplan-9872</x:v>
      </x:c>
      <x:c r="H2010" s="6" t="str">
        <x:v>resplan-9872-Q09</x:v>
      </x:c>
      <x:c r="I2010" s="6" t="str">
        <x:v>Route planning</x:v>
      </x:c>
      <x:c r="J2010" s="6" t="str">
        <x:v>Warm-up</x:v>
      </x:c>
      <x:c r="K2010" s="6" t="str">
        <x:v>Ordered stops, path for each leg and total metres.</x:v>
      </x:c>
      <x:c r="L2010" s="6" t="str">
        <x:v>T02, T05, T13</x:v>
      </x:c>
      <x:c r="M2010" s="6" t="str">
        <x:v>Visit multiple rooms in the order specified.</x:v>
      </x:c>
      <x:c r="N2010" s="6" t="str">
        <x:v>{"stops":["resplan-9872-F0-S001","resplan-9872-F0-S002","resplan-9872-F0-S004"],"optimal_length_m":14.93,"legs":[{"from_space_id":"resplan-9872-F0-S001","to_space_id":"resplan-9872-F0-S002","optimal_length_m":4.86,"space_path":["resplan-9872-F0-S001","resplan-9872-F0-S002"],"element_path":["resplan-9872-F0-O0001","resplan-9872-F0-O0001"]},{"from_space_id":"resplan-9872-F0-S002","to_space_id":"resplan-9872-F0-S004","optimal_length_m":10.07,"space_path":["resplan-9872-F0-S002","resplan-9872-F0-S001","resplan-9872-F0-S004"],"element_path":["resplan-9872-F0-O0001","resplan-9872-F0-O0001","resplan-9872-F0-O0002","resplan-9872-F0-O0002"]}]}</x:v>
      </x:c>
      <x:c r="O2010" s="6"/>
      <x:c r="P2010" s="6" t="str">
        <x:v>Preserve stated visit order. Do not optimize stop order.</x:v>
      </x:c>
      <x:c r="Q2010" s="15" t="n">
        <x:v>14.93</x:v>
      </x:c>
      <x:c r="R2010" s="6" t="str">
        <x:v>m</x:v>
      </x:c>
      <x:c r="S2010" s="16"/>
      <x:c r="T2010" s="15"/>
      <x:c r="U2010" s="6"/>
      <x:c r="V2010" s="6"/>
      <x:c r="W2010" s="6" t="str">
        <x:v>Existing find_route(via=[...]).</x:v>
      </x:c>
      <x:c r="X2010" s="6" t="str">
        <x:v>data/train/resplan-9872/questions_basic.jsonl</x:v>
      </x:c>
      <x:c r="Y2010" s="14" t="n">
        <x:v>9</x:v>
      </x:c>
      <x:c r="Z2010" s="6" t="str">
        <x:v>https://github.com/hagenhaeussler/Industrial-Agents-Hackathon-2026/blob/f41616590b69f3ea0c1cbfb41d6c35edd9ce53df/data/train/resplan-9872/questions_basic.jsonl#L9</x:v>
      </x:c>
      <x:c r="AA2010" s="6" t="str">
        <x:v>resplan</x:v>
      </x:c>
      <x:c r="AB2010" s="6" t="str">
        <x:v>CC-BY-4.0</x:v>
      </x:c>
    </x:row>
    <x:row r="2011" ht="180" customHeight="1">
      <x:c r="A2011" s="14" t="n">
        <x:v>2006</x:v>
      </x:c>
      <x:c r="B2011" s="6" t="str">
        <x:v>tour</x:v>
      </x:c>
      <x:c r="C2011" s="6" t="str">
        <x:v>Starting at Bathroom 2.14 (apartment 6) (Floor 2), visit Bathroom 1.08 (apartment 3) (Floor 1), then Bathroom 1.16 (apartment 4) (Floor 1) in this order. What is the route?</x:v>
      </x:c>
      <x:c r="D2011" s="6" t="str">
        <x:v>38.8 m total
Stops: Bathroom 2.14 (apartment 6) → Bathroom 1.08 (apartment 3) → Bathroom 1.16 (apartment 4)
Leg lengths (m): 28.35, 10.45
Full paths are in Answer JSON.</x:v>
      </x:c>
      <x:c r="E2011" s="6" t="str">
        <x:v>Reference supplied</x:v>
      </x:c>
      <x:c r="F2011" s="6" t="str">
        <x:v>train</x:v>
      </x:c>
      <x:c r="G2011" s="6" t="str">
        <x:v>swiss-1075</x:v>
      </x:c>
      <x:c r="H2011" s="6" t="str">
        <x:v>swiss-1075-Q10</x:v>
      </x:c>
      <x:c r="I2011" s="6" t="str">
        <x:v>Route planning</x:v>
      </x:c>
      <x:c r="J2011" s="6" t="str">
        <x:v>Warm-up</x:v>
      </x:c>
      <x:c r="K2011" s="6" t="str">
        <x:v>Ordered stops, path for each leg and total metres.</x:v>
      </x:c>
      <x:c r="L2011" s="6" t="str">
        <x:v>T02, T05, T13</x:v>
      </x:c>
      <x:c r="M2011" s="6" t="str">
        <x:v>Visit multiple rooms in the order specified.</x:v>
      </x:c>
      <x:c r="N2011" s="6" t="str">
        <x:v>{"stops":["swiss-1075-F2-S014","swiss-1075-F1-S008","swiss-1075-F1-S016"],"optimal_length_m":38.8,"legs":[{"from_space_id":"swiss-1075-F2-S014","to_space_id":"swiss-1075-F1-S008","optimal_length_m":28.35,"space_path":["swiss-1075-F2-S014","swiss-1075-F2-S008","swiss-1075-F2-S009","swiss-1075-F2-S017","swiss-1075-F1-S017","swiss-1075-F1-S001","swiss-1075-F1-S008"],"element_path":["swiss-1075-F2-O0039","swiss-1075-F2-O0039","swiss-1075-F2-O0037","swiss-1075-F2-O0037","swiss-1075-F2-O0036","swiss-1075-F2-O0036","swiss-1075-V01","swiss-1075-F1-O0020","swiss-1075-F1-O0020","swiss-1075-F1-O0019","swiss-1075-F1-O0019"]},{"from_space_id":"swiss-1075-F1-S008","to_space_id":"swiss-1075-F1-S016","optimal_length_m":10.45,"space_path":["swiss-1075-F1-S008","swiss-1075-F1-S001","swiss-1075-F1-S017","swiss-1075-F1-S013","swiss-1075-F1-S016"],"element_path":["swiss-1075-F1-O0019","swiss-1075-F1-O0019","swiss-1075-F1-O0020","swiss-1075-F1-O0020","swiss-1075-F1-O0027","swiss-1075-F1-O0027","swiss-1075-F1-O0025","swiss-1075-F1-O0025"]}]}</x:v>
      </x:c>
      <x:c r="O2011" s="6"/>
      <x:c r="P2011" s="6" t="str">
        <x:v>Preserve stated visit order. Do not optimize stop order.</x:v>
      </x:c>
      <x:c r="Q2011" s="15" t="n">
        <x:v>38.8</x:v>
      </x:c>
      <x:c r="R2011" s="6" t="str">
        <x:v>m</x:v>
      </x:c>
      <x:c r="S2011" s="16"/>
      <x:c r="T2011" s="15"/>
      <x:c r="U2011" s="6"/>
      <x:c r="V2011" s="6"/>
      <x:c r="W2011" s="6" t="str">
        <x:v>Existing find_route(via=[...]).</x:v>
      </x:c>
      <x:c r="X2011" s="6" t="str">
        <x:v>data/train/swiss-1075/questions_basic.jsonl</x:v>
      </x:c>
      <x:c r="Y2011" s="14" t="n">
        <x:v>10</x:v>
      </x:c>
      <x:c r="Z2011" s="6" t="str">
        <x:v>https://github.com/hagenhaeussler/Industrial-Agents-Hackathon-2026/blob/f41616590b69f3ea0c1cbfb41d6c35edd9ce53df/data/train/swiss-1075/questions_basic.jsonl#L10</x:v>
      </x:c>
      <x:c r="AA2011" s="6" t="str">
        <x:v>swiss_dwellings</x:v>
      </x:c>
      <x:c r="AB2011" s="6" t="str">
        <x:v>CC-BY-4.0</x:v>
      </x:c>
    </x:row>
    <x:row r="2012" ht="138" customHeight="1">
      <x:c r="A2012" s="14" t="n">
        <x:v>2007</x:v>
      </x:c>
      <x:c r="B2012" s="6" t="str">
        <x:v>tour</x:v>
      </x:c>
      <x:c r="C2012" s="6" t="str">
        <x:v>Starting at Kitchen 2.19 (apartment 7) (Floor 2), visit Living room 3.13 (apartment 10) (Floor 3), then Living room 2.26 (apartment 8) (Floor 2) in this order. What is the route?</x:v>
      </x:c>
      <x:c r="D2012" s="6" t="str">
        <x:v>48.98 m total
Stops: Kitchen 2.19 (apartment 7) → Living room 3.13 (apartment 10) → Living room 2.26 (apartment 8)
Leg lengths (m): 26.56, 22.42
Full paths are in Answer JSON.</x:v>
      </x:c>
      <x:c r="E2012" s="6" t="str">
        <x:v>Reference supplied</x:v>
      </x:c>
      <x:c r="F2012" s="6" t="str">
        <x:v>train</x:v>
      </x:c>
      <x:c r="G2012" s="6" t="str">
        <x:v>swiss-1104</x:v>
      </x:c>
      <x:c r="H2012" s="6" t="str">
        <x:v>swiss-1104-Q07</x:v>
      </x:c>
      <x:c r="I2012" s="6" t="str">
        <x:v>Route planning</x:v>
      </x:c>
      <x:c r="J2012" s="6" t="str">
        <x:v>Warm-up</x:v>
      </x:c>
      <x:c r="K2012" s="6" t="str">
        <x:v>Ordered stops, path for each leg and total metres.</x:v>
      </x:c>
      <x:c r="L2012" s="6" t="str">
        <x:v>T02, T05, T13</x:v>
      </x:c>
      <x:c r="M2012" s="6" t="str">
        <x:v>Visit multiple rooms in the order specified.</x:v>
      </x:c>
      <x:c r="N2012" s="6" t="str">
        <x:v>{"stops":["swiss-1104-F2-S019","swiss-1104-F3-S013","swiss-1104-F2-S026"],"optimal_length_m":48.98,"legs":[{"from_space_id":"swiss-1104-F2-S019","to_space_id":"swiss-1104-F3-S013","optimal_length_m":26.56,"space_path":["swiss-1104-F2-S019","swiss-1104-F2-S024","swiss-1104-F2-S031","swiss-1104-F3-S031","swiss-1104-F3-S013"],"element_path":["swiss-1104-F2-O0069","swiss-1104-F2-O0069","swiss-1104-F2-O0063","swiss-1104-F2-O0063","swiss-1104-V01","swiss-1104-F3-O0097","swiss-1104-F3-O0097"]},{"from_space_id":"swiss-1104-F3-S013","to_space_id":"swiss-1104-F2-S026","optimal_length_m":22.42,"space_path":["swiss-1104-F3-S013","swiss-1104-F3-S031","swiss-1104-F2-S031","swiss-1104-F2-S026"],"element_path":["swiss-1104-F3-O0097","swiss-1104-F3-O0097","swiss-1104-V01","swiss-1104-F2-O0074","swiss-1104-F2-O0074"]}]}</x:v>
      </x:c>
      <x:c r="O2012" s="6"/>
      <x:c r="P2012" s="6" t="str">
        <x:v>Preserve stated visit order. Do not optimize stop order.</x:v>
      </x:c>
      <x:c r="Q2012" s="15" t="n">
        <x:v>48.98</x:v>
      </x:c>
      <x:c r="R2012" s="6" t="str">
        <x:v>m</x:v>
      </x:c>
      <x:c r="S2012" s="16"/>
      <x:c r="T2012" s="15"/>
      <x:c r="U2012" s="6"/>
      <x:c r="V2012" s="6"/>
      <x:c r="W2012" s="6" t="str">
        <x:v>Existing find_route(via=[...]).</x:v>
      </x:c>
      <x:c r="X2012" s="6" t="str">
        <x:v>data/train/swiss-1104/questions_basic.jsonl</x:v>
      </x:c>
      <x:c r="Y2012" s="14" t="n">
        <x:v>7</x:v>
      </x:c>
      <x:c r="Z2012" s="6" t="str">
        <x:v>https://github.com/hagenhaeussler/Industrial-Agents-Hackathon-2026/blob/f41616590b69f3ea0c1cbfb41d6c35edd9ce53df/data/train/swiss-1104/questions_basic.jsonl#L7</x:v>
      </x:c>
      <x:c r="AA2012" s="6" t="str">
        <x:v>swiss_dwellings</x:v>
      </x:c>
      <x:c r="AB2012" s="6" t="str">
        <x:v>CC-BY-4.0</x:v>
      </x:c>
    </x:row>
    <x:row r="2013" ht="208" customHeight="1">
      <x:c r="A2013" s="14" t="n">
        <x:v>2008</x:v>
      </x:c>
      <x:c r="B2013" s="6" t="str">
        <x:v>tour</x:v>
      </x:c>
      <x:c r="C2013" s="6" t="str">
        <x:v>Starting at Kitchen 2.23 (apartment 14) (Floor 2), visit Bathroom 1.07 (apartment 7) (Floor 1), then Storage 4.21 (apartment 23) (Floor 4) in this order. What is the route?</x:v>
      </x:c>
      <x:c r="D2013" s="6" t="str">
        <x:v>103.3 m total
Stops: Kitchen 2.23 (apartment 14) → Bathroom 1.07 (apartment 7) → Storage 4.21 (apartment 23)
Leg lengths (m): 25.41, 77.89
Full paths are in Answer JSON.</x:v>
      </x:c>
      <x:c r="E2013" s="6" t="str">
        <x:v>Reference supplied</x:v>
      </x:c>
      <x:c r="F2013" s="6" t="str">
        <x:v>train</x:v>
      </x:c>
      <x:c r="G2013" s="6" t="str">
        <x:v>swiss-1110</x:v>
      </x:c>
      <x:c r="H2013" s="6" t="str">
        <x:v>swiss-1110-Q08</x:v>
      </x:c>
      <x:c r="I2013" s="6" t="str">
        <x:v>Route planning</x:v>
      </x:c>
      <x:c r="J2013" s="6" t="str">
        <x:v>Warm-up</x:v>
      </x:c>
      <x:c r="K2013" s="6" t="str">
        <x:v>Ordered stops, path for each leg and total metres.</x:v>
      </x:c>
      <x:c r="L2013" s="6" t="str">
        <x:v>T02, T05, T13</x:v>
      </x:c>
      <x:c r="M2013" s="6" t="str">
        <x:v>Visit multiple rooms in the order specified.</x:v>
      </x:c>
      <x:c r="N2013" s="6" t="str">
        <x:v>{"stops":["swiss-1110-F2-S023","swiss-1110-F1-S007","swiss-1110-F4-S021"],"optimal_length_m":103.3,"legs":[{"from_space_id":"swiss-1110-F2-S023","to_space_id":"swiss-1110-F1-S007","optimal_length_m":25.41,"space_path":["swiss-1110-F2-S023","swiss-1110-F2-S025","swiss-1110-F2-S034","swiss-1110-F1-S034","swiss-1110-F1-S011","swiss-1110-F1-S007"],"element_path":["swiss-1110-F2-O0104","swiss-1110-F2-O0104","swiss-1110-F2-O0100","swiss-1110-F2-O0100","swiss-1110-V01","swiss-1110-F1-O0050","swiss-1110-F1-O0050","swiss-1110-F1-O0051","swiss-1110-F1-O0051"]},{"from_space_id":"swiss-1110-F1-S007","to_space_id":"swiss-1110-F4-S021","optimal_length_m":77.89,"space_path":["swiss-1110-F1-S007","swiss-1110-F1-S011","swiss-1110-F1-S034","swiss-1110-F0-S035","outside","swiss-1110-F0-S037","swiss-1110-F1-S036","swiss-1110-F2-S036","swiss-1110-F3-S036","swiss-1110-F4-S036","swiss-1110-F4-S017","swiss-1110-F4-S021"],"element_path":["swiss-1110-F1-O0051","swiss-1110-F1-O0051","swiss-1110-F1-O0050","swiss-1110-F1-O0050","swiss-1110-V01","swiss-1110-F0-O0205","swiss-1110-F0-O0205","swiss-1110-F0-O0207","swiss-1110-F0-O0207","swiss-1110-V04","swiss-1110-V06","swiss-1110-V08","swiss-1110-V10","swiss-1110-F4-O0175","swiss-1110-F4-O0175","swiss-1110-F4-O0172","swiss-1110-F4-O0172"]}]}</x:v>
      </x:c>
      <x:c r="O2013" s="6"/>
      <x:c r="P2013" s="6" t="str">
        <x:v>Preserve stated visit order. Do not optimize stop order.</x:v>
      </x:c>
      <x:c r="Q2013" s="15" t="n">
        <x:v>103.3</x:v>
      </x:c>
      <x:c r="R2013" s="6" t="str">
        <x:v>m</x:v>
      </x:c>
      <x:c r="S2013" s="16"/>
      <x:c r="T2013" s="15"/>
      <x:c r="U2013" s="6"/>
      <x:c r="V2013" s="6"/>
      <x:c r="W2013" s="6" t="str">
        <x:v>Existing find_route(via=[...]).</x:v>
      </x:c>
      <x:c r="X2013" s="6" t="str">
        <x:v>data/train/swiss-1110/questions_basic.jsonl</x:v>
      </x:c>
      <x:c r="Y2013" s="14" t="n">
        <x:v>8</x:v>
      </x:c>
      <x:c r="Z2013" s="6" t="str">
        <x:v>https://github.com/hagenhaeussler/Industrial-Agents-Hackathon-2026/blob/f41616590b69f3ea0c1cbfb41d6c35edd9ce53df/data/train/swiss-1110/questions_basic.jsonl#L8</x:v>
      </x:c>
      <x:c r="AA2013" s="6" t="str">
        <x:v>swiss_dwellings</x:v>
      </x:c>
      <x:c r="AB2013" s="6" t="str">
        <x:v>CC-BY-4.0</x:v>
      </x:c>
    </x:row>
    <x:row r="2014" ht="194" customHeight="1">
      <x:c r="A2014" s="14" t="n">
        <x:v>2009</x:v>
      </x:c>
      <x:c r="B2014" s="6" t="str">
        <x:v>tour</x:v>
      </x:c>
      <x:c r="C2014" s="6" t="str">
        <x:v>Starting at Bathroom 0.17 (apartment 3) (Ground floor), visit Kitchen 2.22 (apartment 15) (Floor 2), then Bedroom 0.30 (apartment 4) (Ground floor) in this order. What is the route?</x:v>
      </x:c>
      <x:c r="D2014" s="6" t="str">
        <x:v>86.96 m total
Stops: Bathroom 0.17 (apartment 3) → Kitchen 2.22 (apartment 15) → Bedroom 0.30 (apartment 4)
Leg lengths (m): 46.61, 40.35
Full paths are in Answer JSON.</x:v>
      </x:c>
      <x:c r="E2014" s="6" t="str">
        <x:v>Reference supplied</x:v>
      </x:c>
      <x:c r="F2014" s="6" t="str">
        <x:v>train</x:v>
      </x:c>
      <x:c r="G2014" s="6" t="str">
        <x:v>swiss-116</x:v>
      </x:c>
      <x:c r="H2014" s="6" t="str">
        <x:v>swiss-116-Q08</x:v>
      </x:c>
      <x:c r="I2014" s="6" t="str">
        <x:v>Route planning</x:v>
      </x:c>
      <x:c r="J2014" s="6" t="str">
        <x:v>Warm-up</x:v>
      </x:c>
      <x:c r="K2014" s="6" t="str">
        <x:v>Ordered stops, path for each leg and total metres.</x:v>
      </x:c>
      <x:c r="L2014" s="6" t="str">
        <x:v>T02, T05, T13</x:v>
      </x:c>
      <x:c r="M2014" s="6" t="str">
        <x:v>Visit multiple rooms in the order specified.</x:v>
      </x:c>
      <x:c r="N2014" s="6" t="str">
        <x:v>{"stops":["swiss-116-F0-S017","swiss-116-F2-S022","swiss-116-F0-S030"],"optimal_length_m":86.96,"legs":[{"from_space_id":"swiss-116-F0-S017","to_space_id":"swiss-116-F2-S022","optimal_length_m":46.61,"space_path":["swiss-116-F0-S017","swiss-116-F0-S019","swiss-116-F0-S051","outside","swiss-116-F0-S052","swiss-116-F1-S052","swiss-116-F2-S052","swiss-116-F2-S024","swiss-116-F2-S022"],"element_path":["swiss-116-F0-O0021","swiss-116-F0-O0021","swiss-116-F0-O0001","swiss-116-F0-O0001","swiss-116-F0-O0154","swiss-116-F0-O0154","swiss-116-F0-O0155","swiss-116-F0-O0155","swiss-116-V02","swiss-116-V04","swiss-116-F2-O0121","swiss-116-F2-O0121","swiss-116-F2-O0127","swiss-116-F2-O0127"]},{"from_space_id":"swiss-116-F2-S022","to_space_id":"swiss-116-F0-S030","optimal_length_m":40.35,"space_path":["swiss-116-F2-S022","swiss-116-F2-S024","swiss-116-F2-S052","swiss-116-F1-S052","swiss-116-F0-S052","swiss-116-F0-S027","swiss-116-F0-S030"],"element_path":["swiss-116-F2-O0127","swiss-116-F2-O0127","swiss-116-F2-O0121","swiss-116-F2-O0121","swiss-116-V04","swiss-116-V02","swiss-116-F0-O0030","swiss-116-F0-O0030","swiss-116-F0-O0034","swiss-116-F0-O0034"]}]}</x:v>
      </x:c>
      <x:c r="O2014" s="6"/>
      <x:c r="P2014" s="6" t="str">
        <x:v>Preserve stated visit order. Do not optimize stop order.</x:v>
      </x:c>
      <x:c r="Q2014" s="15" t="n">
        <x:v>86.96</x:v>
      </x:c>
      <x:c r="R2014" s="6" t="str">
        <x:v>m</x:v>
      </x:c>
      <x:c r="S2014" s="16"/>
      <x:c r="T2014" s="15"/>
      <x:c r="U2014" s="6"/>
      <x:c r="V2014" s="6"/>
      <x:c r="W2014" s="6" t="str">
        <x:v>Existing find_route(via=[...]).</x:v>
      </x:c>
      <x:c r="X2014" s="6" t="str">
        <x:v>data/train/swiss-116/questions_basic.jsonl</x:v>
      </x:c>
      <x:c r="Y2014" s="14" t="n">
        <x:v>8</x:v>
      </x:c>
      <x:c r="Z2014" s="6" t="str">
        <x:v>https://github.com/hagenhaeussler/Industrial-Agents-Hackathon-2026/blob/f41616590b69f3ea0c1cbfb41d6c35edd9ce53df/data/train/swiss-116/questions_basic.jsonl#L8</x:v>
      </x:c>
      <x:c r="AA2014" s="6" t="str">
        <x:v>swiss_dwellings</x:v>
      </x:c>
      <x:c r="AB2014" s="6" t="str">
        <x:v>CC-BY-4.0</x:v>
      </x:c>
    </x:row>
    <x:row r="2015" ht="236" customHeight="1">
      <x:c r="A2015" s="14" t="n">
        <x:v>2010</x:v>
      </x:c>
      <x:c r="B2015" s="6" t="str">
        <x:v>tour</x:v>
      </x:c>
      <x:c r="C2015" s="6" t="str">
        <x:v>Starting at Living room 2.10 (apartment 10) (Floor 2), visit Living room 1.13 (apartment 6) (Floor 1), then Bedroom 2.17 (apartment 10) (Floor 2) in this order. What is the route?</x:v>
      </x:c>
      <x:c r="D2015" s="6" t="str">
        <x:v>122.01 m total
Stops: Living room 2.10 (apartment 10) → Living room 1.13 (apartment 6) → Bedroom 2.17 (apartment 10)
Leg lengths (m): 59.48, 62.53
Full paths are in Answer JSON.</x:v>
      </x:c>
      <x:c r="E2015" s="6" t="str">
        <x:v>Reference supplied</x:v>
      </x:c>
      <x:c r="F2015" s="6" t="str">
        <x:v>train</x:v>
      </x:c>
      <x:c r="G2015" s="6" t="str">
        <x:v>swiss-120</x:v>
      </x:c>
      <x:c r="H2015" s="6" t="str">
        <x:v>swiss-120-Q07</x:v>
      </x:c>
      <x:c r="I2015" s="6" t="str">
        <x:v>Route planning</x:v>
      </x:c>
      <x:c r="J2015" s="6" t="str">
        <x:v>Warm-up</x:v>
      </x:c>
      <x:c r="K2015" s="6" t="str">
        <x:v>Ordered stops, path for each leg and total metres.</x:v>
      </x:c>
      <x:c r="L2015" s="6" t="str">
        <x:v>T02, T05, T13</x:v>
      </x:c>
      <x:c r="M2015" s="6" t="str">
        <x:v>Visit multiple rooms in the order specified.</x:v>
      </x:c>
      <x:c r="N2015" s="6" t="str">
        <x:v>{"stops":["swiss-120-F2-S010","swiss-120-F1-S013","swiss-120-F2-S017"],"optimal_length_m":122.01,"legs":[{"from_space_id":"swiss-120-F2-S010","to_space_id":"swiss-120-F1-S013","optimal_length_m":59.48,"space_path":["swiss-120-F2-S010","swiss-120-F2-S011","swiss-120-F2-S036","swiss-120-F1-S036","swiss-120-F0-S033","outside","swiss-120-F0-S032","swiss-120-F1-S035","swiss-120-F1-S011","swiss-120-F1-S013"],"element_path":["swiss-120-F2-O0094","swiss-120-F2-O0094","swiss-120-F2-O0073","swiss-120-F2-O0073","swiss-120-V03","swiss-120-V02","swiss-120-F0-O0101","swiss-120-F0-O0101","swiss-120-F0-O0100","swiss-120-F0-O0100","swiss-120-V01","swiss-120-F1-O0041","swiss-120-F1-O0041","swiss-120-F1-O0061","swiss-120-F1-O0061"]},{"from_space_id":"swiss-120-F1-S013","to_space_id":"swiss-120-F2-S017","optimal_length_m":62.53,"space_path":["swiss-120-F1-S013","swiss-120-F1-S011","swiss-120-F1-S035","swiss-120-F0-S032","outside","swiss-120-F0-S033","swiss-120-F1-S036","swiss-120-F2-S036","swiss-120-F2-S011","swiss-120-F2-S013","swiss-120-F2-S017"],"element_path":["swiss-120-F1-O0061","swiss-120-F1-O0061","swiss-120-F1-O0041","swiss-120-F1-O0041","swiss-120-V01","swiss-120-F0-O0100","swiss-120-F0-O0100","swiss-120-F0-O0101","swiss-120-F0-O0101","swiss-120-V02","swiss-120-V03","swiss-120-F2-O0073","swiss-120-F2-O0073","swiss-120-F2-O0074","swiss-120-F2-O0074","swiss-120-F2-O0072","swiss-120-F2-O0072"]}]}</x:v>
      </x:c>
      <x:c r="O2015" s="6"/>
      <x:c r="P2015" s="6" t="str">
        <x:v>Preserve stated visit order. Do not optimize stop order.</x:v>
      </x:c>
      <x:c r="Q2015" s="15" t="n">
        <x:v>122.01</x:v>
      </x:c>
      <x:c r="R2015" s="6" t="str">
        <x:v>m</x:v>
      </x:c>
      <x:c r="S2015" s="16"/>
      <x:c r="T2015" s="15"/>
      <x:c r="U2015" s="6"/>
      <x:c r="V2015" s="6"/>
      <x:c r="W2015" s="6" t="str">
        <x:v>Existing find_route(via=[...]).</x:v>
      </x:c>
      <x:c r="X2015" s="6" t="str">
        <x:v>data/train/swiss-120/questions_basic.jsonl</x:v>
      </x:c>
      <x:c r="Y2015" s="14" t="n">
        <x:v>7</x:v>
      </x:c>
      <x:c r="Z2015" s="6" t="str">
        <x:v>https://github.com/hagenhaeussler/Industrial-Agents-Hackathon-2026/blob/f41616590b69f3ea0c1cbfb41d6c35edd9ce53df/data/train/swiss-120/questions_basic.jsonl#L7</x:v>
      </x:c>
      <x:c r="AA2015" s="6" t="str">
        <x:v>swiss_dwellings</x:v>
      </x:c>
      <x:c r="AB2015" s="6" t="str">
        <x:v>CC-BY-4.0</x:v>
      </x:c>
    </x:row>
    <x:row r="2016" ht="208" customHeight="1">
      <x:c r="A2016" s="14" t="n">
        <x:v>2011</x:v>
      </x:c>
      <x:c r="B2016" s="6" t="str">
        <x:v>tour</x:v>
      </x:c>
      <x:c r="C2016" s="6" t="str">
        <x:v>Starting at Bedroom 1.36 (apartment 15) (Floor 1), visit Kitchen 0.09 (apartment 2) (Ground floor), then Bedroom 0.45 (apartment 7) (Ground floor) in this order. What is the route?</x:v>
      </x:c>
      <x:c r="D2016" s="6" t="str">
        <x:v>52.83 m total
Stops: Bedroom 1.36 (apartment 15) → Kitchen 0.09 (apartment 2) → Bedroom 0.45 (apartment 7)
Leg lengths (m): 31.56, 21.27
Full paths are in Answer JSON.</x:v>
      </x:c>
      <x:c r="E2016" s="6" t="str">
        <x:v>Reference supplied</x:v>
      </x:c>
      <x:c r="F2016" s="6" t="str">
        <x:v>train</x:v>
      </x:c>
      <x:c r="G2016" s="6" t="str">
        <x:v>swiss-1224</x:v>
      </x:c>
      <x:c r="H2016" s="6" t="str">
        <x:v>swiss-1224-Q07</x:v>
      </x:c>
      <x:c r="I2016" s="6" t="str">
        <x:v>Route planning</x:v>
      </x:c>
      <x:c r="J2016" s="6" t="str">
        <x:v>Warm-up</x:v>
      </x:c>
      <x:c r="K2016" s="6" t="str">
        <x:v>Ordered stops, path for each leg and total metres.</x:v>
      </x:c>
      <x:c r="L2016" s="6" t="str">
        <x:v>T02, T05, T13</x:v>
      </x:c>
      <x:c r="M2016" s="6" t="str">
        <x:v>Visit multiple rooms in the order specified.</x:v>
      </x:c>
      <x:c r="N2016" s="6" t="str">
        <x:v>{"stops":["swiss-1224-F1-S036","swiss-1224-F0-S009","swiss-1224-F0-S045"],"optimal_length_m":52.83,"legs":[{"from_space_id":"swiss-1224-F1-S036","to_space_id":"swiss-1224-F0-S009","optimal_length_m":31.56,"space_path":["swiss-1224-F1-S036","swiss-1224-F1-S034","swiss-1224-F1-S063","swiss-1224-F0-S063","outside","swiss-1224-F0-S061","swiss-1224-F0-S008","swiss-1224-F0-S009"],"element_path":["swiss-1224-F1-O0095","swiss-1224-F1-O0095","swiss-1224-F1-O0098","swiss-1224-F1-O0098","swiss-1224-V01","swiss-1224-F0-O0183","swiss-1224-F0-O0183","swiss-1224-F0-O0181","swiss-1224-F0-O0181","swiss-1224-F0-O0014","swiss-1224-F0-O0014","swiss-1224-F0-O0009","swiss-1224-F0-O0009"]},{"from_space_id":"swiss-1224-F0-S009","to_space_id":"swiss-1224-F0-S045","optimal_length_m":21.27,"space_path":["swiss-1224-F0-S009","swiss-1224-F0-S008","swiss-1224-F0-S061","outside","swiss-1224-F0-S062","swiss-1224-F0-S044","swiss-1224-F0-S045"],"element_path":["swiss-1224-F0-O0009","swiss-1224-F0-O0009","swiss-1224-F0-O0014","swiss-1224-F0-O0014","swiss-1224-F0-O0181","swiss-1224-F0-O0181","swiss-1224-F0-O0182","swiss-1224-F0-O0182","swiss-1224-F0-O0046","swiss-1224-F0-O0046","swiss-1224-F0-O0018","swiss-1224-F0-O0018"]}]}</x:v>
      </x:c>
      <x:c r="O2016" s="6"/>
      <x:c r="P2016" s="6" t="str">
        <x:v>Preserve stated visit order. Do not optimize stop order.</x:v>
      </x:c>
      <x:c r="Q2016" s="15" t="n">
        <x:v>52.83</x:v>
      </x:c>
      <x:c r="R2016" s="6" t="str">
        <x:v>m</x:v>
      </x:c>
      <x:c r="S2016" s="16"/>
      <x:c r="T2016" s="15"/>
      <x:c r="U2016" s="6"/>
      <x:c r="V2016" s="6"/>
      <x:c r="W2016" s="6" t="str">
        <x:v>Existing find_route(via=[...]).</x:v>
      </x:c>
      <x:c r="X2016" s="6" t="str">
        <x:v>data/train/swiss-1224/questions_basic.jsonl</x:v>
      </x:c>
      <x:c r="Y2016" s="14" t="n">
        <x:v>7</x:v>
      </x:c>
      <x:c r="Z2016" s="6" t="str">
        <x:v>https://github.com/hagenhaeussler/Industrial-Agents-Hackathon-2026/blob/f41616590b69f3ea0c1cbfb41d6c35edd9ce53df/data/train/swiss-1224/questions_basic.jsonl#L7</x:v>
      </x:c>
      <x:c r="AA2016" s="6" t="str">
        <x:v>swiss_dwellings</x:v>
      </x:c>
      <x:c r="AB2016" s="6" t="str">
        <x:v>CC-BY-4.0</x:v>
      </x:c>
    </x:row>
    <x:row r="2017" ht="166" customHeight="1">
      <x:c r="A2017" s="14" t="n">
        <x:v>2012</x:v>
      </x:c>
      <x:c r="B2017" s="6" t="str">
        <x:v>tour</x:v>
      </x:c>
      <x:c r="C2017" s="6" t="str">
        <x:v>Starting at Bedroom 1.21 (apartment 4) (Floor 1), visit Living room 0.06 (apartment 1) (Ground floor), then Bathroom 1.23 (apartment 4) (Floor 1) in this order. What is the route?</x:v>
      </x:c>
      <x:c r="D2017" s="6" t="str">
        <x:v>63.9 m total
Stops: Bedroom 1.21 (apartment 4) → Living room 0.06 (apartment 1) → Bathroom 1.23 (apartment 4)
Leg lengths (m): 32.56, 31.34
Full paths are in Answer JSON.</x:v>
      </x:c>
      <x:c r="E2017" s="6" t="str">
        <x:v>Reference supplied</x:v>
      </x:c>
      <x:c r="F2017" s="6" t="str">
        <x:v>train</x:v>
      </x:c>
      <x:c r="G2017" s="6" t="str">
        <x:v>swiss-1283</x:v>
      </x:c>
      <x:c r="H2017" s="6" t="str">
        <x:v>swiss-1283-Q08</x:v>
      </x:c>
      <x:c r="I2017" s="6" t="str">
        <x:v>Route planning</x:v>
      </x:c>
      <x:c r="J2017" s="6" t="str">
        <x:v>Warm-up</x:v>
      </x:c>
      <x:c r="K2017" s="6" t="str">
        <x:v>Ordered stops, path for each leg and total metres.</x:v>
      </x:c>
      <x:c r="L2017" s="6" t="str">
        <x:v>T02, T05, T13</x:v>
      </x:c>
      <x:c r="M2017" s="6" t="str">
        <x:v>Visit multiple rooms in the order specified.</x:v>
      </x:c>
      <x:c r="N2017" s="6" t="str">
        <x:v>{"stops":["swiss-1283-F1-S021","swiss-1283-F0-S006","swiss-1283-F1-S023"],"optimal_length_m":63.9,"legs":[{"from_space_id":"swiss-1283-F1-S021","to_space_id":"swiss-1283-F0-S006","optimal_length_m":32.56,"space_path":["swiss-1283-F1-S021","swiss-1283-F1-S022","swiss-1283-F1-S025","swiss-1283-F0-S008","swiss-1283-F0-S003","swiss-1283-F0-S006"],"element_path":["swiss-1283-F1-O0024","swiss-1283-F1-O0024","swiss-1283-F1-O0019","swiss-1283-F1-O0019","swiss-1283-V01","swiss-1283-F0-O0002","swiss-1283-F0-O0002","swiss-1283-F0-O0007","swiss-1283-F0-O0007"]},{"from_space_id":"swiss-1283-F0-S006","to_space_id":"swiss-1283-F1-S023","optimal_length_m":31.34,"space_path":["swiss-1283-F0-S006","swiss-1283-F0-S003","swiss-1283-F0-S008","swiss-1283-F1-S025","swiss-1283-F1-S022","swiss-1283-F1-S023"],"element_path":["swiss-1283-F0-O0007","swiss-1283-F0-O0007","swiss-1283-F0-O0002","swiss-1283-F0-O0002","swiss-1283-V01","swiss-1283-F1-O0019","swiss-1283-F1-O0019","swiss-1283-F1-O0028","swiss-1283-F1-O0028"]}]}</x:v>
      </x:c>
      <x:c r="O2017" s="6"/>
      <x:c r="P2017" s="6" t="str">
        <x:v>Preserve stated visit order. Do not optimize stop order.</x:v>
      </x:c>
      <x:c r="Q2017" s="15" t="n">
        <x:v>63.9</x:v>
      </x:c>
      <x:c r="R2017" s="6" t="str">
        <x:v>m</x:v>
      </x:c>
      <x:c r="S2017" s="16"/>
      <x:c r="T2017" s="15"/>
      <x:c r="U2017" s="6"/>
      <x:c r="V2017" s="6"/>
      <x:c r="W2017" s="6" t="str">
        <x:v>Existing find_route(via=[...]).</x:v>
      </x:c>
      <x:c r="X2017" s="6" t="str">
        <x:v>data/train/swiss-1283/questions_basic.jsonl</x:v>
      </x:c>
      <x:c r="Y2017" s="14" t="n">
        <x:v>8</x:v>
      </x:c>
      <x:c r="Z2017" s="6" t="str">
        <x:v>https://github.com/hagenhaeussler/Industrial-Agents-Hackathon-2026/blob/f41616590b69f3ea0c1cbfb41d6c35edd9ce53df/data/train/swiss-1283/questions_basic.jsonl#L8</x:v>
      </x:c>
      <x:c r="AA2017" s="6" t="str">
        <x:v>swiss_dwellings</x:v>
      </x:c>
      <x:c r="AB2017" s="6" t="str">
        <x:v>CC-BY-4.0</x:v>
      </x:c>
    </x:row>
    <x:row r="2018" ht="208" customHeight="1">
      <x:c r="A2018" s="14" t="n">
        <x:v>2013</x:v>
      </x:c>
      <x:c r="B2018" s="6" t="str">
        <x:v>tour</x:v>
      </x:c>
      <x:c r="C2018" s="6" t="str">
        <x:v>Starting at Kitchen 2.11 (apartment 6) (Floor 2), visit Bedroom 0.05 (apartment 1) (Ground floor), then Bedroom 2.08 (apartment 6) (Floor 2) in this order. What is the route?</x:v>
      </x:c>
      <x:c r="D2018" s="6" t="str">
        <x:v>92.19 m total
Stops: Kitchen 2.11 (apartment 6) → Bedroom 0.05 (apartment 1) → Bedroom 2.08 (apartment 6)
Leg lengths (m): 43, 49.19
Full paths are in Answer JSON.</x:v>
      </x:c>
      <x:c r="E2018" s="6" t="str">
        <x:v>Reference supplied</x:v>
      </x:c>
      <x:c r="F2018" s="6" t="str">
        <x:v>train</x:v>
      </x:c>
      <x:c r="G2018" s="6" t="str">
        <x:v>swiss-1355</x:v>
      </x:c>
      <x:c r="H2018" s="6" t="str">
        <x:v>swiss-1355-Q07</x:v>
      </x:c>
      <x:c r="I2018" s="6" t="str">
        <x:v>Route planning</x:v>
      </x:c>
      <x:c r="J2018" s="6" t="str">
        <x:v>Warm-up</x:v>
      </x:c>
      <x:c r="K2018" s="6" t="str">
        <x:v>Ordered stops, path for each leg and total metres.</x:v>
      </x:c>
      <x:c r="L2018" s="6" t="str">
        <x:v>T02, T05, T13</x:v>
      </x:c>
      <x:c r="M2018" s="6" t="str">
        <x:v>Visit multiple rooms in the order specified.</x:v>
      </x:c>
      <x:c r="N2018" s="6" t="str">
        <x:v>{"stops":["swiss-1355-F2-S011","swiss-1355-F0-S005","swiss-1355-F2-S008"],"optimal_length_m":92.19,"legs":[{"from_space_id":"swiss-1355-F2-S011","to_space_id":"swiss-1355-F0-S005","optimal_length_m":43,"space_path":["swiss-1355-F2-S011","swiss-1355-F2-S015","swiss-1355-F2-S017","swiss-1355-F1-S017","swiss-1355-F0-S016","swiss-1355-F0-S004","swiss-1355-F0-S001","swiss-1355-F0-S005"],"element_path":["swiss-1355-F2-O0045","swiss-1355-F2-O0045","swiss-1355-F2-O0048","swiss-1355-F2-O0048","swiss-1355-V01","swiss-1355-V01","swiss-1355-F0-O0007","swiss-1355-F0-O0007","swiss-1355-F0-O0003","swiss-1355-F0-O0003","swiss-1355-F0-O0005","swiss-1355-F0-O0005"]},{"from_space_id":"swiss-1355-F0-S005","to_space_id":"swiss-1355-F2-S008","optimal_length_m":49.19,"space_path":["swiss-1355-F0-S005","swiss-1355-F0-S001","swiss-1355-F0-S004","swiss-1355-F0-S016","swiss-1355-F1-S017","swiss-1355-F2-S017","swiss-1355-F2-S015","swiss-1355-F2-S014","swiss-1355-F2-S008"],"element_path":["swiss-1355-F0-O0005","swiss-1355-F0-O0005","swiss-1355-F0-O0003","swiss-1355-F0-O0003","swiss-1355-F0-O0007","swiss-1355-F0-O0007","swiss-1355-V01","swiss-1355-V01","swiss-1355-F2-O0048","swiss-1355-F2-O0048","swiss-1355-F2-O0042","swiss-1355-F2-O0042","swiss-1355-F2-O0046","swiss-1355-F2-O0046"]}]}</x:v>
      </x:c>
      <x:c r="O2018" s="6"/>
      <x:c r="P2018" s="6" t="str">
        <x:v>Preserve stated visit order. Do not optimize stop order.</x:v>
      </x:c>
      <x:c r="Q2018" s="15" t="n">
        <x:v>92.19</x:v>
      </x:c>
      <x:c r="R2018" s="6" t="str">
        <x:v>m</x:v>
      </x:c>
      <x:c r="S2018" s="16"/>
      <x:c r="T2018" s="15"/>
      <x:c r="U2018" s="6"/>
      <x:c r="V2018" s="6"/>
      <x:c r="W2018" s="6" t="str">
        <x:v>Existing find_route(via=[...]).</x:v>
      </x:c>
      <x:c r="X2018" s="6" t="str">
        <x:v>data/train/swiss-1355/questions_basic.jsonl</x:v>
      </x:c>
      <x:c r="Y2018" s="14" t="n">
        <x:v>7</x:v>
      </x:c>
      <x:c r="Z2018" s="6" t="str">
        <x:v>https://github.com/hagenhaeussler/Industrial-Agents-Hackathon-2026/blob/f41616590b69f3ea0c1cbfb41d6c35edd9ce53df/data/train/swiss-1355/questions_basic.jsonl#L7</x:v>
      </x:c>
      <x:c r="AA2018" s="6" t="str">
        <x:v>swiss_dwellings</x:v>
      </x:c>
      <x:c r="AB2018" s="6" t="str">
        <x:v>CC-BY-4.0</x:v>
      </x:c>
    </x:row>
    <x:row r="2019" ht="208" customHeight="1">
      <x:c r="A2019" s="14" t="n">
        <x:v>2014</x:v>
      </x:c>
      <x:c r="B2019" s="6" t="str">
        <x:v>tour</x:v>
      </x:c>
      <x:c r="C2019" s="6" t="str">
        <x:v>Starting at Living room 0.04 (apartment 1) (Ground floor), visit Bedroom 1.35 (apartment 8) (Floor 1), then Storage 2.26 (apartment 11) (Floor 2) in this order. What is the route?</x:v>
      </x:c>
      <x:c r="D2019" s="6" t="str">
        <x:v>59.82 m total
Stops: Living room 0.04 (apartment 1) → Bedroom 1.35 (apartment 8) → Storage 2.26 (apartment 11)
Leg lengths (m): 29.13, 30.69
Full paths are in Answer JSON.</x:v>
      </x:c>
      <x:c r="E2019" s="6" t="str">
        <x:v>Reference supplied</x:v>
      </x:c>
      <x:c r="F2019" s="6" t="str">
        <x:v>train</x:v>
      </x:c>
      <x:c r="G2019" s="6" t="str">
        <x:v>swiss-1390</x:v>
      </x:c>
      <x:c r="H2019" s="6" t="str">
        <x:v>swiss-1390-Q08</x:v>
      </x:c>
      <x:c r="I2019" s="6" t="str">
        <x:v>Route planning</x:v>
      </x:c>
      <x:c r="J2019" s="6" t="str">
        <x:v>Warm-up</x:v>
      </x:c>
      <x:c r="K2019" s="6" t="str">
        <x:v>Ordered stops, path for each leg and total metres.</x:v>
      </x:c>
      <x:c r="L2019" s="6" t="str">
        <x:v>T02, T05, T13</x:v>
      </x:c>
      <x:c r="M2019" s="6" t="str">
        <x:v>Visit multiple rooms in the order specified.</x:v>
      </x:c>
      <x:c r="N2019" s="6" t="str">
        <x:v>{"stops":["swiss-1390-F0-S004","swiss-1390-F1-S035","swiss-1390-F2-S026"],"optimal_length_m":59.82,"legs":[{"from_space_id":"swiss-1390-F0-S004","to_space_id":"swiss-1390-F1-S035","optimal_length_m":29.13,"space_path":["swiss-1390-F0-S004","swiss-1390-F0-S008","swiss-1390-F0-S040","outside","swiss-1390-F0-S043","swiss-1390-F1-S042","swiss-1390-F1-S032","swiss-1390-F1-S031","swiss-1390-F1-S035"],"element_path":["swiss-1390-F0-O0034","swiss-1390-F0-O0034","swiss-1390-F0-O0006","swiss-1390-F0-O0006","swiss-1390-F0-O0165","swiss-1390-F0-O0165","swiss-1390-F0-O0168","swiss-1390-F0-O0168","swiss-1390-V03","swiss-1390-F1-O0064","swiss-1390-F1-O0064","swiss-1390-F1-O0081","swiss-1390-F1-O0081","swiss-1390-F1-O0072","swiss-1390-F1-O0072"]},{"from_space_id":"swiss-1390-F1-S035","to_space_id":"swiss-1390-F2-S026","optimal_length_m":30.69,"space_path":["swiss-1390-F1-S035","swiss-1390-F1-S031","swiss-1390-F1-S032","swiss-1390-F1-S042","swiss-1390-F2-S042","swiss-1390-F2-S024","swiss-1390-F2-S026"],"element_path":["swiss-1390-F1-O0072","swiss-1390-F1-O0072","swiss-1390-F1-O0081","swiss-1390-F1-O0081","swiss-1390-F1-O0064","swiss-1390-F1-O0064","swiss-1390-V06","swiss-1390-F2-O0101","swiss-1390-F2-O0101","swiss-1390-F2-O0120","swiss-1390-F2-O0120"]}]}</x:v>
      </x:c>
      <x:c r="O2019" s="6"/>
      <x:c r="P2019" s="6" t="str">
        <x:v>Preserve stated visit order. Do not optimize stop order.</x:v>
      </x:c>
      <x:c r="Q2019" s="15" t="n">
        <x:v>59.82</x:v>
      </x:c>
      <x:c r="R2019" s="6" t="str">
        <x:v>m</x:v>
      </x:c>
      <x:c r="S2019" s="16"/>
      <x:c r="T2019" s="15"/>
      <x:c r="U2019" s="6"/>
      <x:c r="V2019" s="6"/>
      <x:c r="W2019" s="6" t="str">
        <x:v>Existing find_route(via=[...]).</x:v>
      </x:c>
      <x:c r="X2019" s="6" t="str">
        <x:v>data/train/swiss-1390/questions_basic.jsonl</x:v>
      </x:c>
      <x:c r="Y2019" s="14" t="n">
        <x:v>8</x:v>
      </x:c>
      <x:c r="Z2019" s="6" t="str">
        <x:v>https://github.com/hagenhaeussler/Industrial-Agents-Hackathon-2026/blob/f41616590b69f3ea0c1cbfb41d6c35edd9ce53df/data/train/swiss-1390/questions_basic.jsonl#L8</x:v>
      </x:c>
      <x:c r="AA2019" s="6" t="str">
        <x:v>swiss_dwellings</x:v>
      </x:c>
      <x:c r="AB2019" s="6" t="str">
        <x:v>CC-BY-4.0</x:v>
      </x:c>
    </x:row>
    <x:row r="2020" ht="166" customHeight="1">
      <x:c r="A2020" s="14" t="n">
        <x:v>2015</x:v>
      </x:c>
      <x:c r="B2020" s="6" t="str">
        <x:v>tour</x:v>
      </x:c>
      <x:c r="C2020" s="6" t="str">
        <x:v>Starting at Bathroom 0.02 (apartment 1) (Ground floor), visit Bedroom 1.02 (apartment 3) (Floor 1), then Bedroom 2.12 (apartment 6) (Floor 2) in this order. What is the route?</x:v>
      </x:c>
      <x:c r="D2020" s="6" t="str">
        <x:v>65.01 m total
Stops: Bathroom 0.02 (apartment 1) → Bedroom 1.02 (apartment 3) → Bedroom 2.12 (apartment 6)
Leg lengths (m): 31.55, 33.46
Full paths are in Answer JSON.</x:v>
      </x:c>
      <x:c r="E2020" s="6" t="str">
        <x:v>Reference supplied</x:v>
      </x:c>
      <x:c r="F2020" s="6" t="str">
        <x:v>train</x:v>
      </x:c>
      <x:c r="G2020" s="6" t="str">
        <x:v>swiss-1433</x:v>
      </x:c>
      <x:c r="H2020" s="6" t="str">
        <x:v>swiss-1433-Q09</x:v>
      </x:c>
      <x:c r="I2020" s="6" t="str">
        <x:v>Route planning</x:v>
      </x:c>
      <x:c r="J2020" s="6" t="str">
        <x:v>Warm-up</x:v>
      </x:c>
      <x:c r="K2020" s="6" t="str">
        <x:v>Ordered stops, path for each leg and total metres.</x:v>
      </x:c>
      <x:c r="L2020" s="6" t="str">
        <x:v>T02, T05, T13</x:v>
      </x:c>
      <x:c r="M2020" s="6" t="str">
        <x:v>Visit multiple rooms in the order specified.</x:v>
      </x:c>
      <x:c r="N2020" s="6" t="str">
        <x:v>{"stops":["swiss-1433-F0-S002","swiss-1433-F1-S002","swiss-1433-F2-S012"],"optimal_length_m":65.01,"legs":[{"from_space_id":"swiss-1433-F0-S002","to_space_id":"swiss-1433-F1-S002","optimal_length_m":31.55,"space_path":["swiss-1433-F0-S002","swiss-1433-F0-S007","swiss-1433-F0-S015","swiss-1433-F1-S017","swiss-1433-F1-S004","swiss-1433-F1-S002"],"element_path":["swiss-1433-F0-O0006","swiss-1433-F0-O0006","swiss-1433-F0-O0007","swiss-1433-F0-O0007","swiss-1433-V01","swiss-1433-F1-O0019","swiss-1433-F1-O0019","swiss-1433-F1-O0016","swiss-1433-F1-O0016"]},{"from_space_id":"swiss-1433-F1-S002","to_space_id":"swiss-1433-F2-S012","optimal_length_m":33.46,"space_path":["swiss-1433-F1-S002","swiss-1433-F1-S004","swiss-1433-F1-S017","swiss-1433-F2-S017","swiss-1433-F2-S009","swiss-1433-F2-S012"],"element_path":["swiss-1433-F1-O0016","swiss-1433-F1-O0016","swiss-1433-F1-O0019","swiss-1433-F1-O0019","swiss-1433-V01","swiss-1433-F2-O0039","swiss-1433-F2-O0039","swiss-1433-F2-O0046","swiss-1433-F2-O0046"]}]}</x:v>
      </x:c>
      <x:c r="O2020" s="6"/>
      <x:c r="P2020" s="6" t="str">
        <x:v>Preserve stated visit order. Do not optimize stop order.</x:v>
      </x:c>
      <x:c r="Q2020" s="15" t="n">
        <x:v>65.01</x:v>
      </x:c>
      <x:c r="R2020" s="6" t="str">
        <x:v>m</x:v>
      </x:c>
      <x:c r="S2020" s="16"/>
      <x:c r="T2020" s="15"/>
      <x:c r="U2020" s="6"/>
      <x:c r="V2020" s="6"/>
      <x:c r="W2020" s="6" t="str">
        <x:v>Existing find_route(via=[...]).</x:v>
      </x:c>
      <x:c r="X2020" s="6" t="str">
        <x:v>data/train/swiss-1433/questions_basic.jsonl</x:v>
      </x:c>
      <x:c r="Y2020" s="14" t="n">
        <x:v>9</x:v>
      </x:c>
      <x:c r="Z2020" s="6" t="str">
        <x:v>https://github.com/hagenhaeussler/Industrial-Agents-Hackathon-2026/blob/f41616590b69f3ea0c1cbfb41d6c35edd9ce53df/data/train/swiss-1433/questions_basic.jsonl#L9</x:v>
      </x:c>
      <x:c r="AA2020" s="6" t="str">
        <x:v>swiss_dwellings</x:v>
      </x:c>
      <x:c r="AB2020" s="6" t="str">
        <x:v>CC-BY-4.0</x:v>
      </x:c>
    </x:row>
    <x:row r="2021" ht="264" customHeight="1">
      <x:c r="A2021" s="14" t="n">
        <x:v>2016</x:v>
      </x:c>
      <x:c r="B2021" s="6" t="str">
        <x:v>tour</x:v>
      </x:c>
      <x:c r="C2021" s="6" t="str">
        <x:v>Starting at Bedroom 2.38 (apartment 11) (Floor 2), visit Bedroom 1.44 (apartment 8) (Floor 1), then Bathroom 1.07 (apartment 5) (Floor 1) in this order. What is the route?</x:v>
      </x:c>
      <x:c r="D2021" s="6" t="str">
        <x:v>109.15 m total
Stops: Bedroom 2.38 (apartment 11) → Bedroom 1.44 (apartment 8) → Bathroom 1.07 (apartment 5)
Leg lengths (m): 61.51, 47.64
Full paths are in Answer JSON.</x:v>
      </x:c>
      <x:c r="E2021" s="6" t="str">
        <x:v>Reference supplied</x:v>
      </x:c>
      <x:c r="F2021" s="6" t="str">
        <x:v>train</x:v>
      </x:c>
      <x:c r="G2021" s="6" t="str">
        <x:v>swiss-1444</x:v>
      </x:c>
      <x:c r="H2021" s="6" t="str">
        <x:v>swiss-1444-Q08</x:v>
      </x:c>
      <x:c r="I2021" s="6" t="str">
        <x:v>Route planning</x:v>
      </x:c>
      <x:c r="J2021" s="6" t="str">
        <x:v>Warm-up</x:v>
      </x:c>
      <x:c r="K2021" s="6" t="str">
        <x:v>Ordered stops, path for each leg and total metres.</x:v>
      </x:c>
      <x:c r="L2021" s="6" t="str">
        <x:v>T02, T05, T13</x:v>
      </x:c>
      <x:c r="M2021" s="6" t="str">
        <x:v>Visit multiple rooms in the order specified.</x:v>
      </x:c>
      <x:c r="N2021" s="6" t="str">
        <x:v>{"stops":["swiss-1444-F2-S038","swiss-1444-F1-S044","swiss-1444-F1-S007"],"optimal_length_m":109.15,"legs":[{"from_space_id":"swiss-1444-F2-S038","to_space_id":"swiss-1444-F1-S044","optimal_length_m":61.51,"space_path":["swiss-1444-F2-S038","swiss-1444-F2-S036","swiss-1444-F2-S053","swiss-1444-F1-S052","swiss-1444-F0-S054","outside","swiss-1444-F0-S052","swiss-1444-F1-S054","swiss-1444-F1-S050","swiss-1444-F1-S040","swiss-1444-F1-S049","swiss-1444-F1-S044"],"element_path":["swiss-1444-F2-O0156","swiss-1444-F2-O0156","swiss-1444-F2-O0161","swiss-1444-F2-O0161","swiss-1444-V06","swiss-1444-V02","swiss-1444-F0-O0184","swiss-1444-F0-O0184","swiss-1444-F0-O0182","swiss-1444-F0-O0182","swiss-1444-V04","swiss-1444-F1-O0104","swiss-1444-F1-O0104","swiss-1444-F1-O0120","swiss-1444-F1-O0120","swiss-1444-F1-O0115","swiss-1444-F1-O0115","swiss-1444-F1-O0110","swiss-1444-F1-O0110"]},{"from_space_id":"swiss-1444-F1-S044","to_space_id":"swiss-1444-F1-S007","optimal_length_m":47.64,"space_path":["swiss-1444-F1-S044","swiss-1444-F1-S049","swiss-1444-F1-S040","swiss-1444-F1-S050","swiss-1444-F1-S054","swiss-1444-F0-S052","outside","swiss-1444-F0-S053","swiss-1444-F1-S051","swiss-1444-F1-S010","swiss-1444-F1-S007"],"element_path":["swiss-1444-F1-O0110","swiss-1444-F1-O0110","swiss-1444-F1-O0115","swiss-1444-F1-O0115","swiss-1444-F1-O0120","swiss-1444-F1-O0120","swiss-1444-F1-O0104","swiss-1444-F1-O0104","swiss-1444-V04","swiss-1444-F0-O0182","swiss-1444-F0-O0182","swiss-1444-F0-O0183","swiss-1444-F0-O0183","swiss-1444-V01","swiss-1444-F1-O0071","swiss-1444-F1-O0071","swiss-1444-F1-O0074","swiss-1444-F1-O0074"]}]}</x:v>
      </x:c>
      <x:c r="O2021" s="6"/>
      <x:c r="P2021" s="6" t="str">
        <x:v>Preserve stated visit order. Do not optimize stop order.</x:v>
      </x:c>
      <x:c r="Q2021" s="15" t="n">
        <x:v>109.15</x:v>
      </x:c>
      <x:c r="R2021" s="6" t="str">
        <x:v>m</x:v>
      </x:c>
      <x:c r="S2021" s="16"/>
      <x:c r="T2021" s="15"/>
      <x:c r="U2021" s="6"/>
      <x:c r="V2021" s="6"/>
      <x:c r="W2021" s="6" t="str">
        <x:v>Existing find_route(via=[...]).</x:v>
      </x:c>
      <x:c r="X2021" s="6" t="str">
        <x:v>data/train/swiss-1444/questions_basic.jsonl</x:v>
      </x:c>
      <x:c r="Y2021" s="14" t="n">
        <x:v>8</x:v>
      </x:c>
      <x:c r="Z2021" s="6" t="str">
        <x:v>https://github.com/hagenhaeussler/Industrial-Agents-Hackathon-2026/blob/f41616590b69f3ea0c1cbfb41d6c35edd9ce53df/data/train/swiss-1444/questions_basic.jsonl#L8</x:v>
      </x:c>
      <x:c r="AA2021" s="6" t="str">
        <x:v>swiss_dwellings</x:v>
      </x:c>
      <x:c r="AB2021" s="6" t="str">
        <x:v>CC-BY-4.0</x:v>
      </x:c>
    </x:row>
    <x:row r="2022" ht="166" customHeight="1">
      <x:c r="A2022" s="14" t="n">
        <x:v>2017</x:v>
      </x:c>
      <x:c r="B2022" s="6" t="str">
        <x:v>tour</x:v>
      </x:c>
      <x:c r="C2022" s="6" t="str">
        <x:v>Starting at Storage 3.07 (apartment 8) (Floor 3), visit Kitchen 2.17 (apartment 6) (Floor 2), then Bedroom 3.15 (apartment 8) (Floor 3) in this order. What is the route?</x:v>
      </x:c>
      <x:c r="D2022" s="6" t="str">
        <x:v>62.57 m total
Stops: Storage 3.07 (apartment 8) → Kitchen 2.17 (apartment 6) → Bedroom 3.15 (apartment 8)
Leg lengths (m): 31, 31.57
Full paths are in Answer JSON.</x:v>
      </x:c>
      <x:c r="E2022" s="6" t="str">
        <x:v>Reference supplied</x:v>
      </x:c>
      <x:c r="F2022" s="6" t="str">
        <x:v>train</x:v>
      </x:c>
      <x:c r="G2022" s="6" t="str">
        <x:v>swiss-1457</x:v>
      </x:c>
      <x:c r="H2022" s="6" t="str">
        <x:v>swiss-1457-Q09</x:v>
      </x:c>
      <x:c r="I2022" s="6" t="str">
        <x:v>Route planning</x:v>
      </x:c>
      <x:c r="J2022" s="6" t="str">
        <x:v>Warm-up</x:v>
      </x:c>
      <x:c r="K2022" s="6" t="str">
        <x:v>Ordered stops, path for each leg and total metres.</x:v>
      </x:c>
      <x:c r="L2022" s="6" t="str">
        <x:v>T02, T05, T13</x:v>
      </x:c>
      <x:c r="M2022" s="6" t="str">
        <x:v>Visit multiple rooms in the order specified.</x:v>
      </x:c>
      <x:c r="N2022" s="6" t="str">
        <x:v>{"stops":["swiss-1457-F3-S007","swiss-1457-F2-S017","swiss-1457-F3-S015"],"optimal_length_m":62.57,"legs":[{"from_space_id":"swiss-1457-F3-S007","to_space_id":"swiss-1457-F2-S017","optimal_length_m":31,"space_path":["swiss-1457-F3-S007","swiss-1457-F3-S009","swiss-1457-F3-S017","swiss-1457-F2-S021","swiss-1457-F2-S011","swiss-1457-F2-S017"],"element_path":["swiss-1457-F3-O0085","swiss-1457-F3-O0085","swiss-1457-F3-O0079","swiss-1457-F3-O0079","swiss-1457-V01","swiss-1457-F2-O0061","swiss-1457-F2-O0061","swiss-1457-F2-O0070","swiss-1457-F2-O0070"]},{"from_space_id":"swiss-1457-F2-S017","to_space_id":"swiss-1457-F3-S015","optimal_length_m":31.57,"space_path":["swiss-1457-F2-S017","swiss-1457-F2-S011","swiss-1457-F2-S021","swiss-1457-F3-S017","swiss-1457-F3-S009","swiss-1457-F3-S015"],"element_path":["swiss-1457-F2-O0070","swiss-1457-F2-O0070","swiss-1457-F2-O0061","swiss-1457-F2-O0061","swiss-1457-V01","swiss-1457-F3-O0079","swiss-1457-F3-O0079","swiss-1457-F3-O0082","swiss-1457-F3-O0082"]}]}</x:v>
      </x:c>
      <x:c r="O2022" s="6"/>
      <x:c r="P2022" s="6" t="str">
        <x:v>Preserve stated visit order. Do not optimize stop order.</x:v>
      </x:c>
      <x:c r="Q2022" s="15" t="n">
        <x:v>62.57</x:v>
      </x:c>
      <x:c r="R2022" s="6" t="str">
        <x:v>m</x:v>
      </x:c>
      <x:c r="S2022" s="16"/>
      <x:c r="T2022" s="15"/>
      <x:c r="U2022" s="6"/>
      <x:c r="V2022" s="6"/>
      <x:c r="W2022" s="6" t="str">
        <x:v>Existing find_route(via=[...]).</x:v>
      </x:c>
      <x:c r="X2022" s="6" t="str">
        <x:v>data/train/swiss-1457/questions_basic.jsonl</x:v>
      </x:c>
      <x:c r="Y2022" s="14" t="n">
        <x:v>9</x:v>
      </x:c>
      <x:c r="Z2022" s="6" t="str">
        <x:v>https://github.com/hagenhaeussler/Industrial-Agents-Hackathon-2026/blob/f41616590b69f3ea0c1cbfb41d6c35edd9ce53df/data/train/swiss-1457/questions_basic.jsonl#L9</x:v>
      </x:c>
      <x:c r="AA2022" s="6" t="str">
        <x:v>swiss_dwellings</x:v>
      </x:c>
      <x:c r="AB2022" s="6" t="str">
        <x:v>CC-BY-4.0</x:v>
      </x:c>
    </x:row>
    <x:row r="2023" ht="194" customHeight="1">
      <x:c r="A2023" s="14" t="n">
        <x:v>2018</x:v>
      </x:c>
      <x:c r="B2023" s="6" t="str">
        <x:v>tour</x:v>
      </x:c>
      <x:c r="C2023" s="6" t="str">
        <x:v>Starting at Bathroom 4.10 (apartment 9) (Floor 4), visit Kitchen 1.10 (apartment 4) (Floor 1), then Bedroom 2.16 (apartment 6) (Floor 2) in this order. What is the route?</x:v>
      </x:c>
      <x:c r="D2023" s="6" t="str">
        <x:v>90.27 m total
Stops: Bathroom 4.10 (apartment 9) → Kitchen 1.10 (apartment 4) → Bedroom 2.16 (apartment 6)
Leg lengths (m): 58.8, 31.47
Full paths are in Answer JSON.</x:v>
      </x:c>
      <x:c r="E2023" s="6" t="str">
        <x:v>Reference supplied</x:v>
      </x:c>
      <x:c r="F2023" s="6" t="str">
        <x:v>train</x:v>
      </x:c>
      <x:c r="G2023" s="6" t="str">
        <x:v>swiss-1463</x:v>
      </x:c>
      <x:c r="H2023" s="6" t="str">
        <x:v>swiss-1463-Q08</x:v>
      </x:c>
      <x:c r="I2023" s="6" t="str">
        <x:v>Route planning</x:v>
      </x:c>
      <x:c r="J2023" s="6" t="str">
        <x:v>Warm-up</x:v>
      </x:c>
      <x:c r="K2023" s="6" t="str">
        <x:v>Ordered stops, path for each leg and total metres.</x:v>
      </x:c>
      <x:c r="L2023" s="6" t="str">
        <x:v>T02, T05, T13</x:v>
      </x:c>
      <x:c r="M2023" s="6" t="str">
        <x:v>Visit multiple rooms in the order specified.</x:v>
      </x:c>
      <x:c r="N2023" s="6" t="str">
        <x:v>{"stops":["swiss-1463-F4-S010","swiss-1463-F1-S010","swiss-1463-F2-S016"],"optimal_length_m":90.27,"legs":[{"from_space_id":"swiss-1463-F4-S010","to_space_id":"swiss-1463-F1-S010","optimal_length_m":58.8,"space_path":["swiss-1463-F4-S010","swiss-1463-F4-S001","swiss-1463-F4-S009","swiss-1463-F4-S019","swiss-1463-F3-S020","swiss-1463-F2-S020","swiss-1463-F1-S018","swiss-1463-F1-S014","swiss-1463-F1-S010"],"element_path":["swiss-1463-F4-O0081","swiss-1463-F4-O0081","swiss-1463-F4-O0076","swiss-1463-F4-O0076","swiss-1463-F4-O0075","swiss-1463-F4-O0075","swiss-1463-V01","swiss-1463-V01","swiss-1463-V01","swiss-1463-F1-O0029","swiss-1463-F1-O0029","swiss-1463-F1-O0030","swiss-1463-F1-O0030"]},{"from_space_id":"swiss-1463-F1-S010","to_space_id":"swiss-1463-F2-S016","optimal_length_m":31.47,"space_path":["swiss-1463-F1-S010","swiss-1463-F1-S014","swiss-1463-F1-S018","swiss-1463-F2-S020","swiss-1463-F2-S015","swiss-1463-F2-S016"],"element_path":["swiss-1463-F1-O0030","swiss-1463-F1-O0030","swiss-1463-F1-O0029","swiss-1463-F1-O0029","swiss-1463-V01","swiss-1463-F2-O0051","swiss-1463-F2-O0051","swiss-1463-F2-O0052","swiss-1463-F2-O0052"]}]}</x:v>
      </x:c>
      <x:c r="O2023" s="6"/>
      <x:c r="P2023" s="6" t="str">
        <x:v>Preserve stated visit order. Do not optimize stop order.</x:v>
      </x:c>
      <x:c r="Q2023" s="15" t="n">
        <x:v>90.27</x:v>
      </x:c>
      <x:c r="R2023" s="6" t="str">
        <x:v>m</x:v>
      </x:c>
      <x:c r="S2023" s="16"/>
      <x:c r="T2023" s="15"/>
      <x:c r="U2023" s="6"/>
      <x:c r="V2023" s="6"/>
      <x:c r="W2023" s="6" t="str">
        <x:v>Existing find_route(via=[...]).</x:v>
      </x:c>
      <x:c r="X2023" s="6" t="str">
        <x:v>data/train/swiss-1463/questions_basic.jsonl</x:v>
      </x:c>
      <x:c r="Y2023" s="14" t="n">
        <x:v>8</x:v>
      </x:c>
      <x:c r="Z2023" s="6" t="str">
        <x:v>https://github.com/hagenhaeussler/Industrial-Agents-Hackathon-2026/blob/f41616590b69f3ea0c1cbfb41d6c35edd9ce53df/data/train/swiss-1463/questions_basic.jsonl#L8</x:v>
      </x:c>
      <x:c r="AA2023" s="6" t="str">
        <x:v>swiss_dwellings</x:v>
      </x:c>
      <x:c r="AB2023" s="6" t="str">
        <x:v>CC-BY-4.0</x:v>
      </x:c>
    </x:row>
    <x:row r="2024" ht="110" customHeight="1">
      <x:c r="A2024" s="14" t="n">
        <x:v>2019</x:v>
      </x:c>
      <x:c r="B2024" s="6" t="str">
        <x:v>tour</x:v>
      </x:c>
      <x:c r="C2024" s="6" t="str">
        <x:v>Starting at Bedroom 1.10 (apartment 3) (Floor 1), visit Bedroom 1.11 (apartment 3) (Floor 1), then Living room 1.02 (apartment 3) (Floor 1) in this order. What is the route?</x:v>
      </x:c>
      <x:c r="D2024" s="6" t="str">
        <x:v>20.14 m total
Stops: Bedroom 1.10 (apartment 3) → Bedroom 1.11 (apartment 3) → Living room 1.02 (apartment 3)
Leg lengths (m): 15.44, 4.7
Full paths are in Answer JSON.</x:v>
      </x:c>
      <x:c r="E2024" s="6" t="str">
        <x:v>Reference supplied</x:v>
      </x:c>
      <x:c r="F2024" s="6" t="str">
        <x:v>train</x:v>
      </x:c>
      <x:c r="G2024" s="6" t="str">
        <x:v>swiss-1470</x:v>
      </x:c>
      <x:c r="H2024" s="6" t="str">
        <x:v>swiss-1470-Q10</x:v>
      </x:c>
      <x:c r="I2024" s="6" t="str">
        <x:v>Route planning</x:v>
      </x:c>
      <x:c r="J2024" s="6" t="str">
        <x:v>Warm-up</x:v>
      </x:c>
      <x:c r="K2024" s="6" t="str">
        <x:v>Ordered stops, path for each leg and total metres.</x:v>
      </x:c>
      <x:c r="L2024" s="6" t="str">
        <x:v>T02, T05, T13</x:v>
      </x:c>
      <x:c r="M2024" s="6" t="str">
        <x:v>Visit multiple rooms in the order specified.</x:v>
      </x:c>
      <x:c r="N2024" s="6" t="str">
        <x:v>{"stops":["swiss-1470-F1-S010","swiss-1470-F1-S011","swiss-1470-F1-S002"],"optimal_length_m":20.14,"legs":[{"from_space_id":"swiss-1470-F1-S010","to_space_id":"swiss-1470-F1-S011","optimal_length_m":15.44,"space_path":["swiss-1470-F1-S010","swiss-1470-F1-S001","swiss-1470-F1-S011"],"element_path":["swiss-1470-F1-O0033","swiss-1470-F1-O0033","swiss-1470-F1-O0031","swiss-1470-F1-O0031"]},{"from_space_id":"swiss-1470-F1-S011","to_space_id":"swiss-1470-F1-S002","optimal_length_m":4.7,"space_path":["swiss-1470-F1-S011","swiss-1470-F1-S002"],"element_path":["swiss-1470-F1-O0053","swiss-1470-F1-O0053"]}]}</x:v>
      </x:c>
      <x:c r="O2024" s="6"/>
      <x:c r="P2024" s="6" t="str">
        <x:v>Preserve stated visit order. Do not optimize stop order.</x:v>
      </x:c>
      <x:c r="Q2024" s="15" t="n">
        <x:v>20.14</x:v>
      </x:c>
      <x:c r="R2024" s="6" t="str">
        <x:v>m</x:v>
      </x:c>
      <x:c r="S2024" s="16"/>
      <x:c r="T2024" s="15"/>
      <x:c r="U2024" s="6"/>
      <x:c r="V2024" s="6"/>
      <x:c r="W2024" s="6" t="str">
        <x:v>Existing find_route(via=[...]).</x:v>
      </x:c>
      <x:c r="X2024" s="6" t="str">
        <x:v>data/train/swiss-1470/questions_basic.jsonl</x:v>
      </x:c>
      <x:c r="Y2024" s="14" t="n">
        <x:v>10</x:v>
      </x:c>
      <x:c r="Z2024" s="6" t="str">
        <x:v>https://github.com/hagenhaeussler/Industrial-Agents-Hackathon-2026/blob/f41616590b69f3ea0c1cbfb41d6c35edd9ce53df/data/train/swiss-1470/questions_basic.jsonl#L10</x:v>
      </x:c>
      <x:c r="AA2024" s="6" t="str">
        <x:v>swiss_dwellings</x:v>
      </x:c>
      <x:c r="AB2024" s="6" t="str">
        <x:v>CC-BY-4.0</x:v>
      </x:c>
    </x:row>
    <x:row r="2025" ht="180" customHeight="1">
      <x:c r="A2025" s="14" t="n">
        <x:v>2020</x:v>
      </x:c>
      <x:c r="B2025" s="6" t="str">
        <x:v>tour</x:v>
      </x:c>
      <x:c r="C2025" s="6" t="str">
        <x:v>Starting at Bathroom 0.15 (apartment 2) (Ground floor), visit Bedroom 2.04 (apartment 5) (Floor 2), then Bathroom 1.08 (apartment 3) (Floor 1) in this order. What is the route?</x:v>
      </x:c>
      <x:c r="D2025" s="6" t="str">
        <x:v>82.85 m total
Stops: Bathroom 0.15 (apartment 2) → Bedroom 2.04 (apartment 5) → Bathroom 1.08 (apartment 3)
Leg lengths (m): 47.78, 35.07
Full paths are in Answer JSON.</x:v>
      </x:c>
      <x:c r="E2025" s="6" t="str">
        <x:v>Reference supplied</x:v>
      </x:c>
      <x:c r="F2025" s="6" t="str">
        <x:v>train</x:v>
      </x:c>
      <x:c r="G2025" s="6" t="str">
        <x:v>swiss-148</x:v>
      </x:c>
      <x:c r="H2025" s="6" t="str">
        <x:v>swiss-148-Q09</x:v>
      </x:c>
      <x:c r="I2025" s="6" t="str">
        <x:v>Route planning</x:v>
      </x:c>
      <x:c r="J2025" s="6" t="str">
        <x:v>Warm-up</x:v>
      </x:c>
      <x:c r="K2025" s="6" t="str">
        <x:v>Ordered stops, path for each leg and total metres.</x:v>
      </x:c>
      <x:c r="L2025" s="6" t="str">
        <x:v>T02, T05, T13</x:v>
      </x:c>
      <x:c r="M2025" s="6" t="str">
        <x:v>Visit multiple rooms in the order specified.</x:v>
      </x:c>
      <x:c r="N2025" s="6" t="str">
        <x:v>{"stops":["swiss-148-F0-S015","swiss-148-F2-S004","swiss-148-F1-S008"],"optimal_length_m":82.85,"legs":[{"from_space_id":"swiss-148-F0-S015","to_space_id":"swiss-148-F2-S004","optimal_length_m":47.78,"space_path":["swiss-148-F0-S015","swiss-148-F0-S011","swiss-148-F0-S022","swiss-148-F0-S023","swiss-148-F1-S025","swiss-148-F2-S025","swiss-148-F2-S014","swiss-148-F2-S004"],"element_path":["swiss-148-F0-O0026","swiss-148-F0-O0026","swiss-148-F0-O0017","swiss-148-F0-O0017","swiss-148-F0-O0016","swiss-148-F0-O0016","swiss-148-V01","swiss-148-V01","swiss-148-F2-O0071","swiss-148-F2-O0071","swiss-148-F2-O0066","swiss-148-F2-O0066"]},{"from_space_id":"swiss-148-F2-S004","to_space_id":"swiss-148-F1-S008","optimal_length_m":35.07,"space_path":["swiss-148-F2-S004","swiss-148-F2-S014","swiss-148-F2-S025","swiss-148-F1-S025","swiss-148-F1-S012","swiss-148-F1-S008"],"element_path":["swiss-148-F2-O0066","swiss-148-F2-O0066","swiss-148-F2-O0071","swiss-148-F2-O0071","swiss-148-V01","swiss-148-F1-O0046","swiss-148-F1-O0046","swiss-148-F1-O0034","swiss-148-F1-O0034"]}]}</x:v>
      </x:c>
      <x:c r="O2025" s="6"/>
      <x:c r="P2025" s="6" t="str">
        <x:v>Preserve stated visit order. Do not optimize stop order.</x:v>
      </x:c>
      <x:c r="Q2025" s="15" t="n">
        <x:v>82.85</x:v>
      </x:c>
      <x:c r="R2025" s="6" t="str">
        <x:v>m</x:v>
      </x:c>
      <x:c r="S2025" s="16"/>
      <x:c r="T2025" s="15"/>
      <x:c r="U2025" s="6"/>
      <x:c r="V2025" s="6"/>
      <x:c r="W2025" s="6" t="str">
        <x:v>Existing find_route(via=[...]).</x:v>
      </x:c>
      <x:c r="X2025" s="6" t="str">
        <x:v>data/train/swiss-148/questions_basic.jsonl</x:v>
      </x:c>
      <x:c r="Y2025" s="14" t="n">
        <x:v>9</x:v>
      </x:c>
      <x:c r="Z2025" s="6" t="str">
        <x:v>https://github.com/hagenhaeussler/Industrial-Agents-Hackathon-2026/blob/f41616590b69f3ea0c1cbfb41d6c35edd9ce53df/data/train/swiss-148/questions_basic.jsonl#L9</x:v>
      </x:c>
      <x:c r="AA2025" s="6" t="str">
        <x:v>swiss_dwellings</x:v>
      </x:c>
      <x:c r="AB2025" s="6" t="str">
        <x:v>CC-BY-4.0</x:v>
      </x:c>
    </x:row>
    <x:row r="2026" ht="222" customHeight="1">
      <x:c r="A2026" s="14" t="n">
        <x:v>2021</x:v>
      </x:c>
      <x:c r="B2026" s="6" t="str">
        <x:v>tour</x:v>
      </x:c>
      <x:c r="C2026" s="6" t="str">
        <x:v>Starting at Bedroom 0.32 (apartment 4) (Ground floor), visit Bedroom 1.29 (apartment 8) (Floor 1), then Bedroom 2.19 (apartment 11) (Floor 2) in this order. What is the route?</x:v>
      </x:c>
      <x:c r="D2026" s="6" t="str">
        <x:v>79.7 m total
Stops: Bedroom 0.32 (apartment 4) → Bedroom 1.29 (apartment 8) → Bedroom 2.19 (apartment 11)
Leg lengths (m): 28, 51.7
Full paths are in Answer JSON.</x:v>
      </x:c>
      <x:c r="E2026" s="6" t="str">
        <x:v>Reference supplied</x:v>
      </x:c>
      <x:c r="F2026" s="6" t="str">
        <x:v>train</x:v>
      </x:c>
      <x:c r="G2026" s="6" t="str">
        <x:v>swiss-1543</x:v>
      </x:c>
      <x:c r="H2026" s="6" t="str">
        <x:v>swiss-1543-Q08</x:v>
      </x:c>
      <x:c r="I2026" s="6" t="str">
        <x:v>Route planning</x:v>
      </x:c>
      <x:c r="J2026" s="6" t="str">
        <x:v>Warm-up</x:v>
      </x:c>
      <x:c r="K2026" s="6" t="str">
        <x:v>Ordered stops, path for each leg and total metres.</x:v>
      </x:c>
      <x:c r="L2026" s="6" t="str">
        <x:v>T02, T05, T13</x:v>
      </x:c>
      <x:c r="M2026" s="6" t="str">
        <x:v>Visit multiple rooms in the order specified.</x:v>
      </x:c>
      <x:c r="N2026" s="6" t="str">
        <x:v>{"stops":["swiss-1543-F0-S032","swiss-1543-F1-S029","swiss-1543-F2-S019"],"optimal_length_m":79.7,"legs":[{"from_space_id":"swiss-1543-F0-S032","to_space_id":"swiss-1543-F1-S029","optimal_length_m":28,"space_path":["swiss-1543-F0-S032","swiss-1543-F0-S031","swiss-1543-F0-S036","outside","swiss-1543-F0-S034","swiss-1543-F1-S036","swiss-1543-F1-S026","swiss-1543-F1-S027","swiss-1543-F1-S029"],"element_path":["swiss-1543-F0-O0029","swiss-1543-F0-O0029","swiss-1543-F0-O0033","swiss-1543-F0-O0033","swiss-1543-F0-O0117","swiss-1543-F0-O0117","swiss-1543-F0-O0115","swiss-1543-F0-O0115","swiss-1543-V04","swiss-1543-F1-O0066","swiss-1543-F1-O0066","swiss-1543-F1-O0067","swiss-1543-F1-O0067","swiss-1543-F1-O0065","swiss-1543-F1-O0065"]},{"from_space_id":"swiss-1543-F1-S029","to_space_id":"swiss-1543-F2-S019","optimal_length_m":51.7,"space_path":["swiss-1543-F1-S029","swiss-1543-F1-S027","swiss-1543-F1-S026","swiss-1543-F1-S036","swiss-1543-F0-S034","swiss-1543-F1-S035","swiss-1543-F2-S035","swiss-1543-F2-S022","swiss-1543-F2-S019"],"element_path":["swiss-1543-F1-O0065","swiss-1543-F1-O0065","swiss-1543-F1-O0067","swiss-1543-F1-O0067","swiss-1543-F1-O0066","swiss-1543-F1-O0066","swiss-1543-V04","swiss-1543-V01","swiss-1543-V01","swiss-1543-F2-O0092","swiss-1543-F2-O0092","swiss-1543-F2-O0091","swiss-1543-F2-O0091"]}]}</x:v>
      </x:c>
      <x:c r="O2026" s="6"/>
      <x:c r="P2026" s="6" t="str">
        <x:v>Preserve stated visit order. Do not optimize stop order.</x:v>
      </x:c>
      <x:c r="Q2026" s="15" t="n">
        <x:v>79.7</x:v>
      </x:c>
      <x:c r="R2026" s="6" t="str">
        <x:v>m</x:v>
      </x:c>
      <x:c r="S2026" s="16"/>
      <x:c r="T2026" s="15"/>
      <x:c r="U2026" s="6"/>
      <x:c r="V2026" s="6"/>
      <x:c r="W2026" s="6" t="str">
        <x:v>Existing find_route(via=[...]).</x:v>
      </x:c>
      <x:c r="X2026" s="6" t="str">
        <x:v>data/train/swiss-1543/questions_basic.jsonl</x:v>
      </x:c>
      <x:c r="Y2026" s="14" t="n">
        <x:v>8</x:v>
      </x:c>
      <x:c r="Z2026" s="6" t="str">
        <x:v>https://github.com/hagenhaeussler/Industrial-Agents-Hackathon-2026/blob/f41616590b69f3ea0c1cbfb41d6c35edd9ce53df/data/train/swiss-1543/questions_basic.jsonl#L8</x:v>
      </x:c>
      <x:c r="AA2026" s="6" t="str">
        <x:v>swiss_dwellings</x:v>
      </x:c>
      <x:c r="AB2026" s="6" t="str">
        <x:v>CC-BY-4.0</x:v>
      </x:c>
    </x:row>
    <x:row r="2027" ht="236" customHeight="1">
      <x:c r="A2027" s="14" t="n">
        <x:v>2022</x:v>
      </x:c>
      <x:c r="B2027" s="6" t="str">
        <x:v>tour</x:v>
      </x:c>
      <x:c r="C2027" s="6" t="str">
        <x:v>Starting at Bedroom 4.06 (apartment 11) (Floor 4), visit Kitchen 5.05 (apartment 13) (Floor 5), then Kitchen -1.05 (apartment 1) (Basement 1) in this order. What is the route?</x:v>
      </x:c>
      <x:c r="D2027" s="6" t="str">
        <x:v>116.59 m total
Stops: Bedroom 4.06 (apartment 11) → Kitchen 5.05 (apartment 13) → Kitchen -1.05 (apartment 1)
Leg lengths (m): 28.98, 87.61
Full paths are in Answer JSON.</x:v>
      </x:c>
      <x:c r="E2027" s="6" t="str">
        <x:v>Reference supplied</x:v>
      </x:c>
      <x:c r="F2027" s="6" t="str">
        <x:v>train</x:v>
      </x:c>
      <x:c r="G2027" s="6" t="str">
        <x:v>swiss-15503</x:v>
      </x:c>
      <x:c r="H2027" s="6" t="str">
        <x:v>swiss-15503-Q09</x:v>
      </x:c>
      <x:c r="I2027" s="6" t="str">
        <x:v>Route planning</x:v>
      </x:c>
      <x:c r="J2027" s="6" t="str">
        <x:v>Warm-up</x:v>
      </x:c>
      <x:c r="K2027" s="6" t="str">
        <x:v>Ordered stops, path for each leg and total metres.</x:v>
      </x:c>
      <x:c r="L2027" s="6" t="str">
        <x:v>T02, T05, T13</x:v>
      </x:c>
      <x:c r="M2027" s="6" t="str">
        <x:v>Visit multiple rooms in the order specified.</x:v>
      </x:c>
      <x:c r="N2027" s="6" t="str">
        <x:v>{"stops":["swiss-15503-F4-S006","swiss-15503-F5-S005","swiss-15503-F-1-S005"],"optimal_length_m":116.59,"legs":[{"from_space_id":"swiss-15503-F4-S006","to_space_id":"swiss-15503-F5-S005","optimal_length_m":28.98,"space_path":["swiss-15503-F4-S006","swiss-15503-F4-S004","swiss-15503-F4-S007","swiss-15503-F4-S015","swiss-15503-F5-S015","swiss-15503-F5-S004","swiss-15503-F5-S005"],"element_path":["swiss-15503-F4-O0078","swiss-15503-F4-O0078","swiss-15503-F4-O0067","swiss-15503-F4-O0067","swiss-15503-F4-O0068","swiss-15503-F4-O0068","swiss-15503-V01","swiss-15503-F5-O0084","swiss-15503-F5-O0084","swiss-15503-F5-O0093","swiss-15503-F5-O0093"]},{"from_space_id":"swiss-15503-F5-S005","to_space_id":"swiss-15503-F-1-S005","optimal_length_m":87.61,"space_path":["swiss-15503-F5-S005","swiss-15503-F5-S004","swiss-15503-F5-S015","swiss-15503-F4-S015","swiss-15503-F3-S015","swiss-15503-F2-S015","swiss-15503-F1-S015","swiss-15503-F0-S011","swiss-15503-F-1-S011","swiss-15503-F-1-S003","swiss-15503-F-1-S002","swiss-15503-F-1-S005"],"element_path":["swiss-15503-F5-O0093","swiss-15503-F5-O0093","swiss-15503-F5-O0084","swiss-15503-F5-O0084","swiss-15503-V01","swiss-15503-V01","swiss-15503-V01","swiss-15503-V01","swiss-15503-V01","swiss-15503-V01","swiss-15503-F-1-O0003","swiss-15503-F-1-O0003","swiss-15503-F-1-O0008","swiss-15503-F-1-O0008","swiss-15503-F-1-O0009","swiss-15503-F-1-O0009"]}]}</x:v>
      </x:c>
      <x:c r="O2027" s="6"/>
      <x:c r="P2027" s="6" t="str">
        <x:v>Preserve stated visit order. Do not optimize stop order.</x:v>
      </x:c>
      <x:c r="Q2027" s="15" t="n">
        <x:v>116.59</x:v>
      </x:c>
      <x:c r="R2027" s="6" t="str">
        <x:v>m</x:v>
      </x:c>
      <x:c r="S2027" s="16"/>
      <x:c r="T2027" s="15"/>
      <x:c r="U2027" s="6"/>
      <x:c r="V2027" s="6"/>
      <x:c r="W2027" s="6" t="str">
        <x:v>Existing find_route(via=[...]).</x:v>
      </x:c>
      <x:c r="X2027" s="6" t="str">
        <x:v>data/train/swiss-15503/questions_basic.jsonl</x:v>
      </x:c>
      <x:c r="Y2027" s="14" t="n">
        <x:v>9</x:v>
      </x:c>
      <x:c r="Z2027" s="6" t="str">
        <x:v>https://github.com/hagenhaeussler/Industrial-Agents-Hackathon-2026/blob/f41616590b69f3ea0c1cbfb41d6c35edd9ce53df/data/train/swiss-15503/questions_basic.jsonl#L9</x:v>
      </x:c>
      <x:c r="AA2027" s="6" t="str">
        <x:v>swiss_dwellings</x:v>
      </x:c>
      <x:c r="AB2027" s="6" t="str">
        <x:v>CC-BY-4.0</x:v>
      </x:c>
    </x:row>
    <x:row r="2028" ht="264" customHeight="1">
      <x:c r="A2028" s="14" t="n">
        <x:v>2023</x:v>
      </x:c>
      <x:c r="B2028" s="6" t="str">
        <x:v>tour</x:v>
      </x:c>
      <x:c r="C2028" s="6" t="str">
        <x:v>Starting at Bathroom 1.10 (apartment 6) (Floor 1), visit Bedroom 0.24 (apartment 3) (Ground floor), then Bedroom 0.30 (apartment 4) (Ground floor) in this order. What is the route?</x:v>
      </x:c>
      <x:c r="D2028" s="6" t="str">
        <x:v>82.58 m total
Stops: Bathroom 1.10 (apartment 6) → Bedroom 0.24 (apartment 3) → Bedroom 0.30 (apartment 4)
Leg lengths (m): 46.11, 36.47
Full paths are in Answer JSON.</x:v>
      </x:c>
      <x:c r="E2028" s="6" t="str">
        <x:v>Reference supplied</x:v>
      </x:c>
      <x:c r="F2028" s="6" t="str">
        <x:v>train</x:v>
      </x:c>
      <x:c r="G2028" s="6" t="str">
        <x:v>swiss-1571</x:v>
      </x:c>
      <x:c r="H2028" s="6" t="str">
        <x:v>swiss-1571-Q09</x:v>
      </x:c>
      <x:c r="I2028" s="6" t="str">
        <x:v>Route planning</x:v>
      </x:c>
      <x:c r="J2028" s="6" t="str">
        <x:v>Warm-up</x:v>
      </x:c>
      <x:c r="K2028" s="6" t="str">
        <x:v>Ordered stops, path for each leg and total metres.</x:v>
      </x:c>
      <x:c r="L2028" s="6" t="str">
        <x:v>T02, T05, T13</x:v>
      </x:c>
      <x:c r="M2028" s="6" t="str">
        <x:v>Visit multiple rooms in the order specified.</x:v>
      </x:c>
      <x:c r="N2028" s="6" t="str">
        <x:v>{"stops":["swiss-1571-F1-S010","swiss-1571-F0-S024","swiss-1571-F0-S030"],"optimal_length_m":82.58,"legs":[{"from_space_id":"swiss-1571-F1-S010","to_space_id":"swiss-1571-F0-S024","optimal_length_m":46.11,"space_path":["swiss-1571-F1-S010","swiss-1571-F1-S011","swiss-1571-F1-S009","swiss-1571-F1-S015","swiss-1571-F1-S037","swiss-1571-F0-S040","outside","swiss-1571-F0-S038","swiss-1571-F0-S020","swiss-1571-F0-S025","swiss-1571-F0-S024"],"element_path":["swiss-1571-F1-O0047","swiss-1571-F1-O0047","swiss-1571-F1-O0072","swiss-1571-F1-O0072","swiss-1571-F1-O0071","swiss-1571-F1-O0071","swiss-1571-F1-O0052","swiss-1571-F1-O0052","swiss-1571-V02","swiss-1571-F0-O0113","swiss-1571-F0-O0113","swiss-1571-F0-O0111","swiss-1571-F0-O0111","swiss-1571-F0-O0023","swiss-1571-F0-O0023","swiss-1571-F0-O0036","swiss-1571-F0-O0036","swiss-1571-F0-O0016","swiss-1571-F0-O0016"]},{"from_space_id":"swiss-1571-F0-S024","to_space_id":"swiss-1571-F0-S030","optimal_length_m":36.47,"space_path":["swiss-1571-F0-S024","swiss-1571-F0-S025","swiss-1571-F0-S020","swiss-1571-F0-S038","outside","swiss-1571-F0-S040","swiss-1571-F0-S037","swiss-1571-F0-S028","swiss-1571-F0-S027","swiss-1571-F0-S030"],"element_path":["swiss-1571-F0-O0016","swiss-1571-F0-O0016","swiss-1571-F0-O0036","swiss-1571-F0-O0036","swiss-1571-F0-O0023","swiss-1571-F0-O0023","swiss-1571-F0-O0111","swiss-1571-F0-O0111","swiss-1571-F0-O0113","swiss-1571-F0-O0113","swiss-1571-F0-O0033","swiss-1571-F0-O0033","swiss-1571-F0-O0038","swiss-1571-F0-O0038","swiss-1571-F0-O0037","swiss-1571-F0-O0037","swiss-1571-F0-O0032","swiss-1571-F0-O0032"]}]}</x:v>
      </x:c>
      <x:c r="O2028" s="6"/>
      <x:c r="P2028" s="6" t="str">
        <x:v>Preserve stated visit order. Do not optimize stop order.</x:v>
      </x:c>
      <x:c r="Q2028" s="15" t="n">
        <x:v>82.58</x:v>
      </x:c>
      <x:c r="R2028" s="6" t="str">
        <x:v>m</x:v>
      </x:c>
      <x:c r="S2028" s="16"/>
      <x:c r="T2028" s="15"/>
      <x:c r="U2028" s="6"/>
      <x:c r="V2028" s="6"/>
      <x:c r="W2028" s="6" t="str">
        <x:v>Existing find_route(via=[...]).</x:v>
      </x:c>
      <x:c r="X2028" s="6" t="str">
        <x:v>data/train/swiss-1571/questions_basic.jsonl</x:v>
      </x:c>
      <x:c r="Y2028" s="14" t="n">
        <x:v>9</x:v>
      </x:c>
      <x:c r="Z2028" s="6" t="str">
        <x:v>https://github.com/hagenhaeussler/Industrial-Agents-Hackathon-2026/blob/f41616590b69f3ea0c1cbfb41d6c35edd9ce53df/data/train/swiss-1571/questions_basic.jsonl#L9</x:v>
      </x:c>
      <x:c r="AA2028" s="6" t="str">
        <x:v>swiss_dwellings</x:v>
      </x:c>
      <x:c r="AB2028" s="6" t="str">
        <x:v>CC-BY-4.0</x:v>
      </x:c>
    </x:row>
    <x:row r="2029" ht="180" customHeight="1">
      <x:c r="A2029" s="14" t="n">
        <x:v>2024</x:v>
      </x:c>
      <x:c r="B2029" s="6" t="str">
        <x:v>tour</x:v>
      </x:c>
      <x:c r="C2029" s="6" t="str">
        <x:v>Starting at Kitchen 1.06 (apartment 2) (Floor 1), visit Bedroom 2.04 (apartment 3) (Floor 2), then Bedroom 1.07 (apartment 2) (Floor 1) in this order. What is the route?</x:v>
      </x:c>
      <x:c r="D2029" s="6" t="str">
        <x:v>60.1 m total
Stops: Kitchen 1.06 (apartment 2) → Bedroom 2.04 (apartment 3) → Bedroom 1.07 (apartment 2)
Leg lengths (m): 30.78, 29.32
Full paths are in Answer JSON.</x:v>
      </x:c>
      <x:c r="E2029" s="6" t="str">
        <x:v>Reference supplied</x:v>
      </x:c>
      <x:c r="F2029" s="6" t="str">
        <x:v>train</x:v>
      </x:c>
      <x:c r="G2029" s="6" t="str">
        <x:v>swiss-16357</x:v>
      </x:c>
      <x:c r="H2029" s="6" t="str">
        <x:v>swiss-16357-Q10</x:v>
      </x:c>
      <x:c r="I2029" s="6" t="str">
        <x:v>Route planning</x:v>
      </x:c>
      <x:c r="J2029" s="6" t="str">
        <x:v>Warm-up</x:v>
      </x:c>
      <x:c r="K2029" s="6" t="str">
        <x:v>Ordered stops, path for each leg and total metres.</x:v>
      </x:c>
      <x:c r="L2029" s="6" t="str">
        <x:v>T02, T05, T13</x:v>
      </x:c>
      <x:c r="M2029" s="6" t="str">
        <x:v>Visit multiple rooms in the order specified.</x:v>
      </x:c>
      <x:c r="N2029" s="6" t="str">
        <x:v>{"stops":["swiss-16357-F1-S006","swiss-16357-F2-S004","swiss-16357-F1-S007"],"optimal_length_m":60.1,"legs":[{"from_space_id":"swiss-16357-F1-S006","to_space_id":"swiss-16357-F2-S004","optimal_length_m":30.78,"space_path":["swiss-16357-F1-S006","swiss-16357-F1-S002","swiss-16357-F1-S008","swiss-16357-F2-S008","swiss-16357-F2-S005","swiss-16357-F2-S004"],"element_path":["swiss-16357-F1-O0008","swiss-16357-F1-O0008","swiss-16357-F1-O0010","swiss-16357-F1-O0010","swiss-16357-V01","swiss-16357-F2-O0012","swiss-16357-F2-O0012","swiss-16357-F2-O0013","swiss-16357-F2-O0013"]},{"from_space_id":"swiss-16357-F2-S004","to_space_id":"swiss-16357-F1-S007","optimal_length_m":29.32,"space_path":["swiss-16357-F2-S004","swiss-16357-F2-S005","swiss-16357-F2-S008","swiss-16357-F1-S008","swiss-16357-F1-S002","swiss-16357-F1-S007"],"element_path":["swiss-16357-F2-O0013","swiss-16357-F2-O0013","swiss-16357-F2-O0012","swiss-16357-F2-O0012","swiss-16357-V01","swiss-16357-F1-O0010","swiss-16357-F1-O0010","swiss-16357-F1-O0004","swiss-16357-F1-O0004"]}]}</x:v>
      </x:c>
      <x:c r="O2029" s="6"/>
      <x:c r="P2029" s="6" t="str">
        <x:v>Preserve stated visit order. Do not optimize stop order.</x:v>
      </x:c>
      <x:c r="Q2029" s="15" t="n">
        <x:v>60.1</x:v>
      </x:c>
      <x:c r="R2029" s="6" t="str">
        <x:v>m</x:v>
      </x:c>
      <x:c r="S2029" s="16"/>
      <x:c r="T2029" s="15"/>
      <x:c r="U2029" s="6"/>
      <x:c r="V2029" s="6"/>
      <x:c r="W2029" s="6" t="str">
        <x:v>Existing find_route(via=[...]).</x:v>
      </x:c>
      <x:c r="X2029" s="6" t="str">
        <x:v>data/train/swiss-16357/questions_basic.jsonl</x:v>
      </x:c>
      <x:c r="Y2029" s="14" t="n">
        <x:v>10</x:v>
      </x:c>
      <x:c r="Z2029" s="6" t="str">
        <x:v>https://github.com/hagenhaeussler/Industrial-Agents-Hackathon-2026/blob/f41616590b69f3ea0c1cbfb41d6c35edd9ce53df/data/train/swiss-16357/questions_basic.jsonl#L10</x:v>
      </x:c>
      <x:c r="AA2029" s="6" t="str">
        <x:v>swiss_dwellings</x:v>
      </x:c>
      <x:c r="AB2029" s="6" t="str">
        <x:v>CC-BY-4.0</x:v>
      </x:c>
    </x:row>
    <x:row r="2030" ht="208" customHeight="1">
      <x:c r="A2030" s="14" t="n">
        <x:v>2025</x:v>
      </x:c>
      <x:c r="B2030" s="6" t="str">
        <x:v>tour</x:v>
      </x:c>
      <x:c r="C2030" s="6" t="str">
        <x:v>Starting at Kitchen 0.04 (apartment 1) (Ground floor), visit Bedroom 3.01 (apartment 6) (Floor 3), then Bathroom 1.05 (apartment 2) (Floor 1) in this order. What is the route?</x:v>
      </x:c>
      <x:c r="D2030" s="6" t="str">
        <x:v>108.85 m total
Stops: Kitchen 0.04 (apartment 1) → Bedroom 3.01 (apartment 6) → Bathroom 1.05 (apartment 2)
Leg lengths (m): 60.18, 48.67
Full paths are in Answer JSON.</x:v>
      </x:c>
      <x:c r="E2030" s="6" t="str">
        <x:v>Reference supplied</x:v>
      </x:c>
      <x:c r="F2030" s="6" t="str">
        <x:v>train</x:v>
      </x:c>
      <x:c r="G2030" s="6" t="str">
        <x:v>swiss-1650</x:v>
      </x:c>
      <x:c r="H2030" s="6" t="str">
        <x:v>swiss-1650-Q09</x:v>
      </x:c>
      <x:c r="I2030" s="6" t="str">
        <x:v>Route planning</x:v>
      </x:c>
      <x:c r="J2030" s="6" t="str">
        <x:v>Warm-up</x:v>
      </x:c>
      <x:c r="K2030" s="6" t="str">
        <x:v>Ordered stops, path for each leg and total metres.</x:v>
      </x:c>
      <x:c r="L2030" s="6" t="str">
        <x:v>T02, T05, T13</x:v>
      </x:c>
      <x:c r="M2030" s="6" t="str">
        <x:v>Visit multiple rooms in the order specified.</x:v>
      </x:c>
      <x:c r="N2030" s="6" t="str">
        <x:v>{"stops":["swiss-1650-F0-S004","swiss-1650-F3-S001","swiss-1650-F1-S005"],"optimal_length_m":108.85,"legs":[{"from_space_id":"swiss-1650-F0-S004","to_space_id":"swiss-1650-F3-S001","optimal_length_m":60.18,"space_path":["swiss-1650-F0-S004","swiss-1650-F0-S005","swiss-1650-F0-S007","swiss-1650-F0-S009","swiss-1650-F1-S026","swiss-1650-F2-S026","swiss-1650-F3-S027","swiss-1650-F3-S002","swiss-1650-F3-S001"],"element_path":["swiss-1650-F0-O0002","swiss-1650-F0-O0002","swiss-1650-F0-O0004","swiss-1650-F0-O0004","swiss-1650-F0-O0011","swiss-1650-F0-O0011","swiss-1650-V01","swiss-1650-V01","swiss-1650-V01","swiss-1650-F3-O0088","swiss-1650-F3-O0088","swiss-1650-F3-O0082","swiss-1650-F3-O0082"]},{"from_space_id":"swiss-1650-F3-S001","to_space_id":"swiss-1650-F1-S005","optimal_length_m":48.67,"space_path":["swiss-1650-F3-S001","swiss-1650-F3-S002","swiss-1650-F3-S027","swiss-1650-F2-S026","swiss-1650-F1-S026","swiss-1650-F1-S003","swiss-1650-F1-S012","swiss-1650-F1-S005"],"element_path":["swiss-1650-F3-O0082","swiss-1650-F3-O0082","swiss-1650-F3-O0088","swiss-1650-F3-O0088","swiss-1650-V01","swiss-1650-V01","swiss-1650-F1-O0022","swiss-1650-F1-O0022","swiss-1650-F1-O0043","swiss-1650-F1-O0043","swiss-1650-F1-O0024","swiss-1650-F1-O0024"]}]}</x:v>
      </x:c>
      <x:c r="O2030" s="6"/>
      <x:c r="P2030" s="6" t="str">
        <x:v>Preserve stated visit order. Do not optimize stop order.</x:v>
      </x:c>
      <x:c r="Q2030" s="15" t="n">
        <x:v>108.85</x:v>
      </x:c>
      <x:c r="R2030" s="6" t="str">
        <x:v>m</x:v>
      </x:c>
      <x:c r="S2030" s="16"/>
      <x:c r="T2030" s="15"/>
      <x:c r="U2030" s="6"/>
      <x:c r="V2030" s="6"/>
      <x:c r="W2030" s="6" t="str">
        <x:v>Existing find_route(via=[...]).</x:v>
      </x:c>
      <x:c r="X2030" s="6" t="str">
        <x:v>data/train/swiss-1650/questions_basic.jsonl</x:v>
      </x:c>
      <x:c r="Y2030" s="14" t="n">
        <x:v>9</x:v>
      </x:c>
      <x:c r="Z2030" s="6" t="str">
        <x:v>https://github.com/hagenhaeussler/Industrial-Agents-Hackathon-2026/blob/f41616590b69f3ea0c1cbfb41d6c35edd9ce53df/data/train/swiss-1650/questions_basic.jsonl#L9</x:v>
      </x:c>
      <x:c r="AA2030" s="6" t="str">
        <x:v>swiss_dwellings</x:v>
      </x:c>
      <x:c r="AB2030" s="6" t="str">
        <x:v>CC-BY-4.0</x:v>
      </x:c>
    </x:row>
    <x:row r="2031" ht="194" customHeight="1">
      <x:c r="A2031" s="14" t="n">
        <x:v>2026</x:v>
      </x:c>
      <x:c r="B2031" s="6" t="str">
        <x:v>tour</x:v>
      </x:c>
      <x:c r="C2031" s="6" t="str">
        <x:v>Starting at Kitchen 2.07 (apartment 6) (Floor 2), visit Bedroom 4.11 (apartment 13) (Floor 4), then Bathroom 4.07 (apartment 12) (Floor 4) in this order. What is the route?</x:v>
      </x:c>
      <x:c r="D2031" s="6" t="str">
        <x:v>57.11 m total
Stops: Kitchen 2.07 (apartment 6) → Bedroom 4.11 (apartment 13) → Bathroom 4.07 (apartment 12)
Leg lengths (m): 41.96, 15.15
Full paths are in Answer JSON.</x:v>
      </x:c>
      <x:c r="E2031" s="6" t="str">
        <x:v>Reference supplied</x:v>
      </x:c>
      <x:c r="F2031" s="6" t="str">
        <x:v>train</x:v>
      </x:c>
      <x:c r="G2031" s="6" t="str">
        <x:v>swiss-18196</x:v>
      </x:c>
      <x:c r="H2031" s="6" t="str">
        <x:v>swiss-18196-Q09</x:v>
      </x:c>
      <x:c r="I2031" s="6" t="str">
        <x:v>Route planning</x:v>
      </x:c>
      <x:c r="J2031" s="6" t="str">
        <x:v>Warm-up</x:v>
      </x:c>
      <x:c r="K2031" s="6" t="str">
        <x:v>Ordered stops, path for each leg and total metres.</x:v>
      </x:c>
      <x:c r="L2031" s="6" t="str">
        <x:v>T02, T05, T13</x:v>
      </x:c>
      <x:c r="M2031" s="6" t="str">
        <x:v>Visit multiple rooms in the order specified.</x:v>
      </x:c>
      <x:c r="N2031" s="6" t="str">
        <x:v>{"stops":["swiss-18196-F2-S007","swiss-18196-F4-S011","swiss-18196-F4-S007"],"optimal_length_m":57.11,"legs":[{"from_space_id":"swiss-18196-F2-S007","to_space_id":"swiss-18196-F4-S011","optimal_length_m":41.96,"space_path":["swiss-18196-F2-S007","swiss-18196-F2-S010","swiss-18196-F2-S009","swiss-18196-F2-S017","swiss-18196-F3-S017","swiss-18196-F4-S017","swiss-18196-F4-S013","swiss-18196-F4-S011"],"element_path":["swiss-18196-F2-O0035","swiss-18196-F2-O0035","swiss-18196-F2-O0032","swiss-18196-F2-O0032","swiss-18196-F2-O0034","swiss-18196-F2-O0034","swiss-18196-V01","swiss-18196-V01","swiss-18196-F4-O0074","swiss-18196-F4-O0074","swiss-18196-F4-O0076","swiss-18196-F4-O0076"]},{"from_space_id":"swiss-18196-F4-S011","to_space_id":"swiss-18196-F4-S007","optimal_length_m":15.15,"space_path":["swiss-18196-F4-S011","swiss-18196-F4-S013","swiss-18196-F4-S017","swiss-18196-F4-S010","swiss-18196-F4-S007"],"element_path":["swiss-18196-F4-O0076","swiss-18196-F4-O0076","swiss-18196-F4-O0074","swiss-18196-F4-O0074","swiss-18196-F4-O0066","swiss-18196-F4-O0066","swiss-18196-F4-O0065","swiss-18196-F4-O0065"]}]}</x:v>
      </x:c>
      <x:c r="O2031" s="6"/>
      <x:c r="P2031" s="6" t="str">
        <x:v>Preserve stated visit order. Do not optimize stop order.</x:v>
      </x:c>
      <x:c r="Q2031" s="15" t="n">
        <x:v>57.11</x:v>
      </x:c>
      <x:c r="R2031" s="6" t="str">
        <x:v>m</x:v>
      </x:c>
      <x:c r="S2031" s="16"/>
      <x:c r="T2031" s="15"/>
      <x:c r="U2031" s="6"/>
      <x:c r="V2031" s="6"/>
      <x:c r="W2031" s="6" t="str">
        <x:v>Existing find_route(via=[...]).</x:v>
      </x:c>
      <x:c r="X2031" s="6" t="str">
        <x:v>data/train/swiss-18196/questions_basic.jsonl</x:v>
      </x:c>
      <x:c r="Y2031" s="14" t="n">
        <x:v>9</x:v>
      </x:c>
      <x:c r="Z2031" s="6" t="str">
        <x:v>https://github.com/hagenhaeussler/Industrial-Agents-Hackathon-2026/blob/f41616590b69f3ea0c1cbfb41d6c35edd9ce53df/data/train/swiss-18196/questions_basic.jsonl#L9</x:v>
      </x:c>
      <x:c r="AA2031" s="6" t="str">
        <x:v>swiss_dwellings</x:v>
      </x:c>
      <x:c r="AB2031" s="6" t="str">
        <x:v>CC-BY-4.0</x:v>
      </x:c>
    </x:row>
    <x:row r="2032" ht="152" customHeight="1">
      <x:c r="A2032" s="14" t="n">
        <x:v>2027</x:v>
      </x:c>
      <x:c r="B2032" s="6" t="str">
        <x:v>tour</x:v>
      </x:c>
      <x:c r="C2032" s="6" t="str">
        <x:v>Starting at Bedroom 4.05 (apartment 13) (Floor 4), visit Bathroom 4.07 (apartment 13) (Floor 4), then Kitchen 2.10 (apartment 8) (Floor 2) in this order. What is the route?</x:v>
      </x:c>
      <x:c r="D2032" s="6" t="str">
        <x:v>52.86 m total
Stops: Bedroom 4.05 (apartment 13) → Bathroom 4.07 (apartment 13) → Kitchen 2.10 (apartment 8)
Leg lengths (m): 8.59, 44.27
Full paths are in Answer JSON.</x:v>
      </x:c>
      <x:c r="E2032" s="6" t="str">
        <x:v>Reference supplied</x:v>
      </x:c>
      <x:c r="F2032" s="6" t="str">
        <x:v>train</x:v>
      </x:c>
      <x:c r="G2032" s="6" t="str">
        <x:v>swiss-18256</x:v>
      </x:c>
      <x:c r="H2032" s="6" t="str">
        <x:v>swiss-18256-Q09</x:v>
      </x:c>
      <x:c r="I2032" s="6" t="str">
        <x:v>Route planning</x:v>
      </x:c>
      <x:c r="J2032" s="6" t="str">
        <x:v>Warm-up</x:v>
      </x:c>
      <x:c r="K2032" s="6" t="str">
        <x:v>Ordered stops, path for each leg and total metres.</x:v>
      </x:c>
      <x:c r="L2032" s="6" t="str">
        <x:v>T02, T05, T13</x:v>
      </x:c>
      <x:c r="M2032" s="6" t="str">
        <x:v>Visit multiple rooms in the order specified.</x:v>
      </x:c>
      <x:c r="N2032" s="6" t="str">
        <x:v>{"stops":["swiss-18256-F4-S005","swiss-18256-F4-S007","swiss-18256-F2-S010"],"optimal_length_m":52.86,"legs":[{"from_space_id":"swiss-18256-F4-S005","to_space_id":"swiss-18256-F4-S007","optimal_length_m":8.59,"space_path":["swiss-18256-F4-S005","swiss-18256-F4-S001","swiss-18256-F4-S007"],"element_path":["swiss-18256-F4-O0110","swiss-18256-F4-O0110","swiss-18256-F4-O0111","swiss-18256-F4-O0111"]},{"from_space_id":"swiss-18256-F4-S007","to_space_id":"swiss-18256-F2-S010","optimal_length_m":44.27,"space_path":["swiss-18256-F4-S007","swiss-18256-F4-S001","swiss-18256-F4-S023","swiss-18256-F3-S024","swiss-18256-F2-S024","swiss-18256-F2-S008","swiss-18256-F2-S010"],"element_path":["swiss-18256-F4-O0111","swiss-18256-F4-O0111","swiss-18256-F4-O0112","swiss-18256-F4-O0112","swiss-18256-V01","swiss-18256-V01","swiss-18256-F2-O0063","swiss-18256-F2-O0063","swiss-18256-F2-O0062","swiss-18256-F2-O0062"]}]}</x:v>
      </x:c>
      <x:c r="O2032" s="6"/>
      <x:c r="P2032" s="6" t="str">
        <x:v>Preserve stated visit order. Do not optimize stop order.</x:v>
      </x:c>
      <x:c r="Q2032" s="15" t="n">
        <x:v>52.86</x:v>
      </x:c>
      <x:c r="R2032" s="6" t="str">
        <x:v>m</x:v>
      </x:c>
      <x:c r="S2032" s="16"/>
      <x:c r="T2032" s="15"/>
      <x:c r="U2032" s="6"/>
      <x:c r="V2032" s="6"/>
      <x:c r="W2032" s="6" t="str">
        <x:v>Existing find_route(via=[...]).</x:v>
      </x:c>
      <x:c r="X2032" s="6" t="str">
        <x:v>data/train/swiss-18256/questions_basic.jsonl</x:v>
      </x:c>
      <x:c r="Y2032" s="14" t="n">
        <x:v>9</x:v>
      </x:c>
      <x:c r="Z2032" s="6" t="str">
        <x:v>https://github.com/hagenhaeussler/Industrial-Agents-Hackathon-2026/blob/f41616590b69f3ea0c1cbfb41d6c35edd9ce53df/data/train/swiss-18256/questions_basic.jsonl#L9</x:v>
      </x:c>
      <x:c r="AA2032" s="6" t="str">
        <x:v>swiss_dwellings</x:v>
      </x:c>
      <x:c r="AB2032" s="6" t="str">
        <x:v>CC-BY-4.0</x:v>
      </x:c>
    </x:row>
    <x:row r="2033" ht="180" customHeight="1">
      <x:c r="A2033" s="14" t="n">
        <x:v>2028</x:v>
      </x:c>
      <x:c r="B2033" s="6" t="str">
        <x:v>tour</x:v>
      </x:c>
      <x:c r="C2033" s="6" t="str">
        <x:v>Starting at Bathroom 2.07 (apartment 5) (Floor 2), visit Bedroom 1.01 (apartment 3) (Floor 1), then Bedroom 0.05 (apartment 1) (Ground floor) in this order. What is the route?</x:v>
      </x:c>
      <x:c r="D2033" s="6" t="str">
        <x:v>57.76 m total
Stops: Bathroom 2.07 (apartment 5) → Bedroom 1.01 (apartment 3) → Bedroom 0.05 (apartment 1)
Leg lengths (m): 28.04, 29.72
Full paths are in Answer JSON.</x:v>
      </x:c>
      <x:c r="E2033" s="6" t="str">
        <x:v>Reference supplied</x:v>
      </x:c>
      <x:c r="F2033" s="6" t="str">
        <x:v>train</x:v>
      </x:c>
      <x:c r="G2033" s="6" t="str">
        <x:v>swiss-18260</x:v>
      </x:c>
      <x:c r="H2033" s="6" t="str">
        <x:v>swiss-18260-Q10</x:v>
      </x:c>
      <x:c r="I2033" s="6" t="str">
        <x:v>Route planning</x:v>
      </x:c>
      <x:c r="J2033" s="6" t="str">
        <x:v>Warm-up</x:v>
      </x:c>
      <x:c r="K2033" s="6" t="str">
        <x:v>Ordered stops, path for each leg and total metres.</x:v>
      </x:c>
      <x:c r="L2033" s="6" t="str">
        <x:v>T02, T05, T13</x:v>
      </x:c>
      <x:c r="M2033" s="6" t="str">
        <x:v>Visit multiple rooms in the order specified.</x:v>
      </x:c>
      <x:c r="N2033" s="6" t="str">
        <x:v>{"stops":["swiss-18260-F2-S007","swiss-18260-F1-S001","swiss-18260-F0-S005"],"optimal_length_m":57.76,"legs":[{"from_space_id":"swiss-18260-F2-S007","to_space_id":"swiss-18260-F1-S001","optimal_length_m":28.04,"space_path":["swiss-18260-F2-S007","swiss-18260-F2-S004","swiss-18260-F2-S017","swiss-18260-F1-S017","swiss-18260-F1-S005","swiss-18260-F1-S001"],"element_path":["swiss-18260-F2-O0035","swiss-18260-F2-O0035","swiss-18260-F2-O0036","swiss-18260-F2-O0036","swiss-18260-V01","swiss-18260-F1-O0021","swiss-18260-F1-O0021","swiss-18260-F1-O0018","swiss-18260-F1-O0018"]},{"from_space_id":"swiss-18260-F1-S001","to_space_id":"swiss-18260-F0-S005","optimal_length_m":29.72,"space_path":["swiss-18260-F1-S001","swiss-18260-F1-S005","swiss-18260-F1-S017","swiss-18260-F0-S017","swiss-18260-F0-S007","swiss-18260-F0-S005"],"element_path":["swiss-18260-F1-O0018","swiss-18260-F1-O0018","swiss-18260-F1-O0021","swiss-18260-F1-O0021","swiss-18260-V01","swiss-18260-F0-O0001","swiss-18260-F0-O0001","swiss-18260-F0-O0002","swiss-18260-F0-O0002"]}]}</x:v>
      </x:c>
      <x:c r="O2033" s="6"/>
      <x:c r="P2033" s="6" t="str">
        <x:v>Preserve stated visit order. Do not optimize stop order.</x:v>
      </x:c>
      <x:c r="Q2033" s="15" t="n">
        <x:v>57.76</x:v>
      </x:c>
      <x:c r="R2033" s="6" t="str">
        <x:v>m</x:v>
      </x:c>
      <x:c r="S2033" s="16"/>
      <x:c r="T2033" s="15"/>
      <x:c r="U2033" s="6"/>
      <x:c r="V2033" s="6"/>
      <x:c r="W2033" s="6" t="str">
        <x:v>Existing find_route(via=[...]).</x:v>
      </x:c>
      <x:c r="X2033" s="6" t="str">
        <x:v>data/train/swiss-18260/questions_basic.jsonl</x:v>
      </x:c>
      <x:c r="Y2033" s="14" t="n">
        <x:v>10</x:v>
      </x:c>
      <x:c r="Z2033" s="6" t="str">
        <x:v>https://github.com/hagenhaeussler/Industrial-Agents-Hackathon-2026/blob/f41616590b69f3ea0c1cbfb41d6c35edd9ce53df/data/train/swiss-18260/questions_basic.jsonl#L10</x:v>
      </x:c>
      <x:c r="AA2033" s="6" t="str">
        <x:v>swiss_dwellings</x:v>
      </x:c>
      <x:c r="AB2033" s="6" t="str">
        <x:v>CC-BY-4.0</x:v>
      </x:c>
    </x:row>
    <x:row r="2034" ht="194" customHeight="1">
      <x:c r="A2034" s="14" t="n">
        <x:v>2029</x:v>
      </x:c>
      <x:c r="B2034" s="6" t="str">
        <x:v>tour</x:v>
      </x:c>
      <x:c r="C2034" s="6" t="str">
        <x:v>Starting at Kitchen 4.10 (apartment 10) (Floor 4), visit Living room 0.02 (apartment 1) (Ground floor), then Bedroom 1.03 (apartment 3) (Floor 1) in this order. What is the route?</x:v>
      </x:c>
      <x:c r="D2034" s="6" t="str">
        <x:v>91.38 m total
Stops: Kitchen 4.10 (apartment 10) → Living room 0.02 (apartment 1) → Bedroom 1.03 (apartment 3)
Leg lengths (m): 64.32, 27.06
Full paths are in Answer JSON.</x:v>
      </x:c>
      <x:c r="E2034" s="6" t="str">
        <x:v>Reference supplied</x:v>
      </x:c>
      <x:c r="F2034" s="6" t="str">
        <x:v>train</x:v>
      </x:c>
      <x:c r="G2034" s="6" t="str">
        <x:v>swiss-1828</x:v>
      </x:c>
      <x:c r="H2034" s="6" t="str">
        <x:v>swiss-1828-Q09</x:v>
      </x:c>
      <x:c r="I2034" s="6" t="str">
        <x:v>Route planning</x:v>
      </x:c>
      <x:c r="J2034" s="6" t="str">
        <x:v>Warm-up</x:v>
      </x:c>
      <x:c r="K2034" s="6" t="str">
        <x:v>Ordered stops, path for each leg and total metres.</x:v>
      </x:c>
      <x:c r="L2034" s="6" t="str">
        <x:v>T02, T05, T13</x:v>
      </x:c>
      <x:c r="M2034" s="6" t="str">
        <x:v>Visit multiple rooms in the order specified.</x:v>
      </x:c>
      <x:c r="N2034" s="6" t="str">
        <x:v>{"stops":["swiss-1828-F4-S010","swiss-1828-F0-S002","swiss-1828-F1-S003"],"optimal_length_m":91.38,"legs":[{"from_space_id":"swiss-1828-F4-S010","to_space_id":"swiss-1828-F0-S002","optimal_length_m":64.32,"space_path":["swiss-1828-F4-S010","swiss-1828-F4-S007","swiss-1828-F4-S009","swiss-1828-F4-S012","swiss-1828-F3-S013","swiss-1828-F2-S013","swiss-1828-F1-S013","swiss-1828-F0-S013","swiss-1828-F0-S003","swiss-1828-F0-S002"],"element_path":["swiss-1828-F4-O0059","swiss-1828-F4-O0059","swiss-1828-F4-O0055","swiss-1828-F4-O0055","swiss-1828-F4-O0054","swiss-1828-F4-O0054","swiss-1828-V02","swiss-1828-V01","swiss-1828-V01","swiss-1828-V01","swiss-1828-F0-O0002","swiss-1828-F0-O0002","swiss-1828-F0-O0004","swiss-1828-F0-O0004"]},{"from_space_id":"swiss-1828-F0-S002","to_space_id":"swiss-1828-F1-S003","optimal_length_m":27.06,"space_path":["swiss-1828-F0-S002","swiss-1828-F0-S003","swiss-1828-F0-S013","swiss-1828-F1-S013","swiss-1828-F1-S001","swiss-1828-F1-S003"],"element_path":["swiss-1828-F0-O0004","swiss-1828-F0-O0004","swiss-1828-F0-O0002","swiss-1828-F0-O0002","swiss-1828-V01","swiss-1828-F1-O0013","swiss-1828-F1-O0013","swiss-1828-F1-O0018","swiss-1828-F1-O0018"]}]}</x:v>
      </x:c>
      <x:c r="O2034" s="6"/>
      <x:c r="P2034" s="6" t="str">
        <x:v>Preserve stated visit order. Do not optimize stop order.</x:v>
      </x:c>
      <x:c r="Q2034" s="15" t="n">
        <x:v>91.38</x:v>
      </x:c>
      <x:c r="R2034" s="6" t="str">
        <x:v>m</x:v>
      </x:c>
      <x:c r="S2034" s="16"/>
      <x:c r="T2034" s="15"/>
      <x:c r="U2034" s="6"/>
      <x:c r="V2034" s="6"/>
      <x:c r="W2034" s="6" t="str">
        <x:v>Existing find_route(via=[...]).</x:v>
      </x:c>
      <x:c r="X2034" s="6" t="str">
        <x:v>data/train/swiss-1828/questions_basic.jsonl</x:v>
      </x:c>
      <x:c r="Y2034" s="14" t="n">
        <x:v>9</x:v>
      </x:c>
      <x:c r="Z2034" s="6" t="str">
        <x:v>https://github.com/hagenhaeussler/Industrial-Agents-Hackathon-2026/blob/f41616590b69f3ea0c1cbfb41d6c35edd9ce53df/data/train/swiss-1828/questions_basic.jsonl#L9</x:v>
      </x:c>
      <x:c r="AA2034" s="6" t="str">
        <x:v>swiss_dwellings</x:v>
      </x:c>
      <x:c r="AB2034" s="6" t="str">
        <x:v>CC-BY-4.0</x:v>
      </x:c>
    </x:row>
    <x:row r="2035" ht="166" customHeight="1">
      <x:c r="A2035" s="14" t="n">
        <x:v>2030</x:v>
      </x:c>
      <x:c r="B2035" s="6" t="str">
        <x:v>tour</x:v>
      </x:c>
      <x:c r="C2035" s="6" t="str">
        <x:v>Starting at Storage 1.13 (apartment 4) (Floor 1), visit Living room 1.04 (apartment 3) (Floor 1), then Bedroom 0.05 (apartment 1) (Ground floor) in this order. What is the route?</x:v>
      </x:c>
      <x:c r="D2035" s="6" t="str">
        <x:v>45.93 m total
Stops: Storage 1.13 (apartment 4) → Living room 1.04 (apartment 3) → Bedroom 0.05 (apartment 1)
Leg lengths (m): 16.93, 29
Full paths are in Answer JSON.</x:v>
      </x:c>
      <x:c r="E2035" s="6" t="str">
        <x:v>Reference supplied</x:v>
      </x:c>
      <x:c r="F2035" s="6" t="str">
        <x:v>train</x:v>
      </x:c>
      <x:c r="G2035" s="6" t="str">
        <x:v>swiss-1829</x:v>
      </x:c>
      <x:c r="H2035" s="6" t="str">
        <x:v>swiss-1829-Q09</x:v>
      </x:c>
      <x:c r="I2035" s="6" t="str">
        <x:v>Route planning</x:v>
      </x:c>
      <x:c r="J2035" s="6" t="str">
        <x:v>Warm-up</x:v>
      </x:c>
      <x:c r="K2035" s="6" t="str">
        <x:v>Ordered stops, path for each leg and total metres.</x:v>
      </x:c>
      <x:c r="L2035" s="6" t="str">
        <x:v>T02, T05, T13</x:v>
      </x:c>
      <x:c r="M2035" s="6" t="str">
        <x:v>Visit multiple rooms in the order specified.</x:v>
      </x:c>
      <x:c r="N2035" s="6" t="str">
        <x:v>{"stops":["swiss-1829-F1-S013","swiss-1829-F1-S004","swiss-1829-F0-S005"],"optimal_length_m":45.93,"legs":[{"from_space_id":"swiss-1829-F1-S013","to_space_id":"swiss-1829-F1-S004","optimal_length_m":16.93,"space_path":["swiss-1829-F1-S013","swiss-1829-F1-S010","swiss-1829-F1-S020","swiss-1829-F1-S002","swiss-1829-F1-S004"],"element_path":["swiss-1829-F1-O0034","swiss-1829-F1-O0034","swiss-1829-F1-O0036","swiss-1829-F1-O0036","swiss-1829-F1-O0027","swiss-1829-F1-O0027","swiss-1829-F1-O0026","swiss-1829-F1-O0026"]},{"from_space_id":"swiss-1829-F1-S004","to_space_id":"swiss-1829-F0-S005","optimal_length_m":29,"space_path":["swiss-1829-F1-S004","swiss-1829-F1-S002","swiss-1829-F1-S020","swiss-1829-F0-S020","swiss-1829-F0-S001","swiss-1829-F0-S005"],"element_path":["swiss-1829-F1-O0026","swiss-1829-F1-O0026","swiss-1829-F1-O0027","swiss-1829-F1-O0027","swiss-1829-V01","swiss-1829-F0-O0004","swiss-1829-F0-O0004","swiss-1829-F0-O0002","swiss-1829-F0-O0002"]}]}</x:v>
      </x:c>
      <x:c r="O2035" s="6"/>
      <x:c r="P2035" s="6" t="str">
        <x:v>Preserve stated visit order. Do not optimize stop order.</x:v>
      </x:c>
      <x:c r="Q2035" s="15" t="n">
        <x:v>45.93</x:v>
      </x:c>
      <x:c r="R2035" s="6" t="str">
        <x:v>m</x:v>
      </x:c>
      <x:c r="S2035" s="16"/>
      <x:c r="T2035" s="15"/>
      <x:c r="U2035" s="6"/>
      <x:c r="V2035" s="6"/>
      <x:c r="W2035" s="6" t="str">
        <x:v>Existing find_route(via=[...]).</x:v>
      </x:c>
      <x:c r="X2035" s="6" t="str">
        <x:v>data/train/swiss-1829/questions_basic.jsonl</x:v>
      </x:c>
      <x:c r="Y2035" s="14" t="n">
        <x:v>9</x:v>
      </x:c>
      <x:c r="Z2035" s="6" t="str">
        <x:v>https://github.com/hagenhaeussler/Industrial-Agents-Hackathon-2026/blob/f41616590b69f3ea0c1cbfb41d6c35edd9ce53df/data/train/swiss-1829/questions_basic.jsonl#L9</x:v>
      </x:c>
      <x:c r="AA2035" s="6" t="str">
        <x:v>swiss_dwellings</x:v>
      </x:c>
      <x:c r="AB2035" s="6" t="str">
        <x:v>CC-BY-4.0</x:v>
      </x:c>
    </x:row>
    <x:row r="2036" ht="278" customHeight="1">
      <x:c r="A2036" s="14" t="n">
        <x:v>2031</x:v>
      </x:c>
      <x:c r="B2036" s="6" t="str">
        <x:v>tour</x:v>
      </x:c>
      <x:c r="C2036" s="6" t="str">
        <x:v>Starting at Bathroom 4.26 (apartment 18) (Floor 4), visit Bedroom 2.01 (apartment 7) (Floor 2), then Bathroom 3.10 (apartment 12) (Floor 3) in this order. What is the route?</x:v>
      </x:c>
      <x:c r="D2036" s="6" t="str">
        <x:v>89.84 m total
Stops: Bathroom 4.26 (apartment 18) → Bedroom 2.01 (apartment 7) → Bathroom 3.10 (apartment 12)
Leg lengths (m): 50.92, 38.92
Full paths are in Answer JSON.</x:v>
      </x:c>
      <x:c r="E2036" s="6" t="str">
        <x:v>Reference supplied</x:v>
      </x:c>
      <x:c r="F2036" s="6" t="str">
        <x:v>train</x:v>
      </x:c>
      <x:c r="G2036" s="6" t="str">
        <x:v>swiss-1860</x:v>
      </x:c>
      <x:c r="H2036" s="6" t="str">
        <x:v>swiss-1860-Q07</x:v>
      </x:c>
      <x:c r="I2036" s="6" t="str">
        <x:v>Route planning</x:v>
      </x:c>
      <x:c r="J2036" s="6" t="str">
        <x:v>Warm-up</x:v>
      </x:c>
      <x:c r="K2036" s="6" t="str">
        <x:v>Ordered stops, path for each leg and total metres.</x:v>
      </x:c>
      <x:c r="L2036" s="6" t="str">
        <x:v>T02, T05, T13</x:v>
      </x:c>
      <x:c r="M2036" s="6" t="str">
        <x:v>Visit multiple rooms in the order specified.</x:v>
      </x:c>
      <x:c r="N2036" s="6" t="str">
        <x:v>{"stops":["swiss-1860-F4-S026","swiss-1860-F2-S001","swiss-1860-F3-S010"],"optimal_length_m":89.84,"legs":[{"from_space_id":"swiss-1860-F4-S026","to_space_id":"swiss-1860-F2-S001","optimal_length_m":50.92,"space_path":["swiss-1860-F4-S026","swiss-1860-F4-S024","swiss-1860-F4-S028","swiss-1860-F4-S025","swiss-1860-F4-S034","swiss-1860-F3-S034","swiss-1860-F2-S034","swiss-1860-F2-S033","swiss-1860-F2-S002","swiss-1860-F2-S007","swiss-1860-F2-S003","swiss-1860-F2-S001"],"element_path":["swiss-1860-F4-O0147","swiss-1860-F4-O0147","swiss-1860-F4-O0142","swiss-1860-F4-O0142","swiss-1860-F4-O0146","swiss-1860-F4-O0146","swiss-1860-F4-O0139","swiss-1860-F4-O0139","swiss-1860-V06","swiss-1860-V01","swiss-1860-F2-O0049","swiss-1860-F2-O0049","swiss-1860-F2-O0053","swiss-1860-F2-O0053","swiss-1860-F2-O0059","swiss-1860-F2-O0059","swiss-1860-F2-O0052","swiss-1860-F2-O0052","swiss-1860-F2-O0056","swiss-1860-F2-O0056"]},{"from_space_id":"swiss-1860-F2-S001","to_space_id":"swiss-1860-F3-S010","optimal_length_m":38.92,"space_path":["swiss-1860-F2-S001","swiss-1860-F2-S003","swiss-1860-F2-S007","swiss-1860-F2-S002","swiss-1860-F2-S033","swiss-1860-F2-S034","swiss-1860-F3-S034","swiss-1860-F3-S015","swiss-1860-F3-S016","swiss-1860-F3-S011","swiss-1860-F3-S010"],"element_path":["swiss-1860-F2-O0056","swiss-1860-F2-O0056","swiss-1860-F2-O0052","swiss-1860-F2-O0052","swiss-1860-F2-O0059","swiss-1860-F2-O0059","swiss-1860-F2-O0053","swiss-1860-F2-O0053","swiss-1860-F2-O0049","swiss-1860-F2-O0049","swiss-1860-V01","swiss-1860-F3-O0098","swiss-1860-F3-O0098","swiss-1860-F3-O0096","swiss-1860-F3-O0096","swiss-1860-F3-O0093","swiss-1860-F3-O0093","swiss-1860-F3-O0102","swiss-1860-F3-O0102"]}]}</x:v>
      </x:c>
      <x:c r="O2036" s="6"/>
      <x:c r="P2036" s="6" t="str">
        <x:v>Preserve stated visit order. Do not optimize stop order.</x:v>
      </x:c>
      <x:c r="Q2036" s="15" t="n">
        <x:v>89.84</x:v>
      </x:c>
      <x:c r="R2036" s="6" t="str">
        <x:v>m</x:v>
      </x:c>
      <x:c r="S2036" s="16"/>
      <x:c r="T2036" s="15"/>
      <x:c r="U2036" s="6"/>
      <x:c r="V2036" s="6"/>
      <x:c r="W2036" s="6" t="str">
        <x:v>Existing find_route(via=[...]).</x:v>
      </x:c>
      <x:c r="X2036" s="6" t="str">
        <x:v>data/train/swiss-1860/questions_basic.jsonl</x:v>
      </x:c>
      <x:c r="Y2036" s="14" t="n">
        <x:v>7</x:v>
      </x:c>
      <x:c r="Z2036" s="6" t="str">
        <x:v>https://github.com/hagenhaeussler/Industrial-Agents-Hackathon-2026/blob/f41616590b69f3ea0c1cbfb41d6c35edd9ce53df/data/train/swiss-1860/questions_basic.jsonl#L7</x:v>
      </x:c>
      <x:c r="AA2036" s="6" t="str">
        <x:v>swiss_dwellings</x:v>
      </x:c>
      <x:c r="AB2036" s="6" t="str">
        <x:v>CC-BY-4.0</x:v>
      </x:c>
    </x:row>
    <x:row r="2037" ht="194" customHeight="1">
      <x:c r="A2037" s="14" t="n">
        <x:v>2032</x:v>
      </x:c>
      <x:c r="B2037" s="6" t="str">
        <x:v>tour</x:v>
      </x:c>
      <x:c r="C2037" s="6" t="str">
        <x:v>Starting at Bedroom 2.04 (apartment 9) (Floor 2), visit Bedroom 2.19 (apartment 11) (Floor 2), then Kitchen 0.06 (apartment 1) (Ground floor) in this order. What is the route?</x:v>
      </x:c>
      <x:c r="D2037" s="6" t="str">
        <x:v>72.14 m total
Stops: Bedroom 2.04 (apartment 9) → Bedroom 2.19 (apartment 11) → Kitchen 0.06 (apartment 1)
Leg lengths (m): 23.16, 48.98
Full paths are in Answer JSON.</x:v>
      </x:c>
      <x:c r="E2037" s="6" t="str">
        <x:v>Reference supplied</x:v>
      </x:c>
      <x:c r="F2037" s="6" t="str">
        <x:v>train</x:v>
      </x:c>
      <x:c r="G2037" s="6" t="str">
        <x:v>swiss-1883</x:v>
      </x:c>
      <x:c r="H2037" s="6" t="str">
        <x:v>swiss-1883-Q07</x:v>
      </x:c>
      <x:c r="I2037" s="6" t="str">
        <x:v>Route planning</x:v>
      </x:c>
      <x:c r="J2037" s="6" t="str">
        <x:v>Warm-up</x:v>
      </x:c>
      <x:c r="K2037" s="6" t="str">
        <x:v>Ordered stops, path for each leg and total metres.</x:v>
      </x:c>
      <x:c r="L2037" s="6" t="str">
        <x:v>T02, T05, T13</x:v>
      </x:c>
      <x:c r="M2037" s="6" t="str">
        <x:v>Visit multiple rooms in the order specified.</x:v>
      </x:c>
      <x:c r="N2037" s="6" t="str">
        <x:v>{"stops":["swiss-1883-F2-S004","swiss-1883-F2-S019","swiss-1883-F0-S006"],"optimal_length_m":72.14,"legs":[{"from_space_id":"swiss-1883-F2-S004","to_space_id":"swiss-1883-F2-S019","optimal_length_m":23.16,"space_path":["swiss-1883-F2-S004","swiss-1883-F2-S005","swiss-1883-F2-S035","swiss-1883-F2-S022","swiss-1883-F2-S018","swiss-1883-F2-S019"],"element_path":["swiss-1883-F2-O0065","swiss-1883-F2-O0065","swiss-1883-F2-O0069","swiss-1883-F2-O0069","swiss-1883-F2-O0070","swiss-1883-F2-O0070","swiss-1883-F2-O0089","swiss-1883-F2-O0089","swiss-1883-F2-O0090","swiss-1883-F2-O0090"]},{"from_space_id":"swiss-1883-F2-S019","to_space_id":"swiss-1883-F0-S006","optimal_length_m":48.98,"space_path":["swiss-1883-F2-S019","swiss-1883-F2-S018","swiss-1883-F2-S022","swiss-1883-F2-S035","swiss-1883-F1-S035","swiss-1883-F0-S031","swiss-1883-F0-S007","swiss-1883-F0-S006"],"element_path":["swiss-1883-F2-O0090","swiss-1883-F2-O0090","swiss-1883-F2-O0089","swiss-1883-F2-O0089","swiss-1883-F2-O0070","swiss-1883-F2-O0070","swiss-1883-V01","swiss-1883-V01","swiss-1883-F0-O0009","swiss-1883-F0-O0009","swiss-1883-F0-O0006","swiss-1883-F0-O0006"]}]}</x:v>
      </x:c>
      <x:c r="O2037" s="6"/>
      <x:c r="P2037" s="6" t="str">
        <x:v>Preserve stated visit order. Do not optimize stop order.</x:v>
      </x:c>
      <x:c r="Q2037" s="15" t="n">
        <x:v>72.14</x:v>
      </x:c>
      <x:c r="R2037" s="6" t="str">
        <x:v>m</x:v>
      </x:c>
      <x:c r="S2037" s="16"/>
      <x:c r="T2037" s="15"/>
      <x:c r="U2037" s="6"/>
      <x:c r="V2037" s="6"/>
      <x:c r="W2037" s="6" t="str">
        <x:v>Existing find_route(via=[...]).</x:v>
      </x:c>
      <x:c r="X2037" s="6" t="str">
        <x:v>data/train/swiss-1883/questions_basic.jsonl</x:v>
      </x:c>
      <x:c r="Y2037" s="14" t="n">
        <x:v>7</x:v>
      </x:c>
      <x:c r="Z2037" s="6" t="str">
        <x:v>https://github.com/hagenhaeussler/Industrial-Agents-Hackathon-2026/blob/f41616590b69f3ea0c1cbfb41d6c35edd9ce53df/data/train/swiss-1883/questions_basic.jsonl#L7</x:v>
      </x:c>
      <x:c r="AA2037" s="6" t="str">
        <x:v>swiss_dwellings</x:v>
      </x:c>
      <x:c r="AB2037" s="6" t="str">
        <x:v>CC-BY-4.0</x:v>
      </x:c>
    </x:row>
    <x:row r="2038" ht="208" customHeight="1">
      <x:c r="A2038" s="14" t="n">
        <x:v>2033</x:v>
      </x:c>
      <x:c r="B2038" s="6" t="str">
        <x:v>tour</x:v>
      </x:c>
      <x:c r="C2038" s="6" t="str">
        <x:v>Starting at Bathroom 0.12 (apartment 2) (Ground floor), visit Bedroom 0.32 (apartment 4) (Ground floor), then Bathroom 1.22 (apartment 7) (Floor 1) in this order. What is the route?</x:v>
      </x:c>
      <x:c r="D2038" s="6" t="str">
        <x:v>42.41 m total
Stops: Bathroom 0.12 (apartment 2) → Bedroom 0.32 (apartment 4) → Bathroom 1.22 (apartment 7)
Leg lengths (m): 12.94, 29.47
Full paths are in Answer JSON.</x:v>
      </x:c>
      <x:c r="E2038" s="6" t="str">
        <x:v>Reference supplied</x:v>
      </x:c>
      <x:c r="F2038" s="6" t="str">
        <x:v>train</x:v>
      </x:c>
      <x:c r="G2038" s="6" t="str">
        <x:v>swiss-1889</x:v>
      </x:c>
      <x:c r="H2038" s="6" t="str">
        <x:v>swiss-1889-Q09</x:v>
      </x:c>
      <x:c r="I2038" s="6" t="str">
        <x:v>Route planning</x:v>
      </x:c>
      <x:c r="J2038" s="6" t="str">
        <x:v>Warm-up</x:v>
      </x:c>
      <x:c r="K2038" s="6" t="str">
        <x:v>Ordered stops, path for each leg and total metres.</x:v>
      </x:c>
      <x:c r="L2038" s="6" t="str">
        <x:v>T02, T05, T13</x:v>
      </x:c>
      <x:c r="M2038" s="6" t="str">
        <x:v>Visit multiple rooms in the order specified.</x:v>
      </x:c>
      <x:c r="N2038" s="6" t="str">
        <x:v>{"stops":["swiss-1889-F0-S012","swiss-1889-F0-S032","swiss-1889-F1-S022"],"optimal_length_m":42.41,"legs":[{"from_space_id":"swiss-1889-F0-S012","to_space_id":"swiss-1889-F0-S032","optimal_length_m":12.94,"space_path":["swiss-1889-F0-S012","swiss-1889-F0-S011","swiss-1889-F0-S038","outside","swiss-1889-F0-S039","swiss-1889-F0-S029","swiss-1889-F0-S032"],"element_path":["swiss-1889-F0-O0021","swiss-1889-F0-O0021","swiss-1889-F0-O0015","swiss-1889-F0-O0015","swiss-1889-F0-O0139","swiss-1889-F0-O0139","swiss-1889-F0-O0140","swiss-1889-F0-O0140","swiss-1889-F0-O0037","swiss-1889-F0-O0037","swiss-1889-F0-O0030","swiss-1889-F0-O0030"]},{"from_space_id":"swiss-1889-F0-S032","to_space_id":"swiss-1889-F1-S022","optimal_length_m":29.47,"space_path":["swiss-1889-F0-S032","swiss-1889-F0-S029","swiss-1889-F0-S039","outside","swiss-1889-F0-S037","swiss-1889-F1-S037","swiss-1889-F1-S025","swiss-1889-F1-S022"],"element_path":["swiss-1889-F0-O0030","swiss-1889-F0-O0030","swiss-1889-F0-O0037","swiss-1889-F0-O0037","swiss-1889-F0-O0140","swiss-1889-F0-O0140","swiss-1889-F0-O0138","swiss-1889-F0-O0138","swiss-1889-V01","swiss-1889-F1-O0067","swiss-1889-F1-O0067","swiss-1889-F1-O0059","swiss-1889-F1-O0059"]}]}</x:v>
      </x:c>
      <x:c r="O2038" s="6"/>
      <x:c r="P2038" s="6" t="str">
        <x:v>Preserve stated visit order. Do not optimize stop order.</x:v>
      </x:c>
      <x:c r="Q2038" s="15" t="n">
        <x:v>42.41</x:v>
      </x:c>
      <x:c r="R2038" s="6" t="str">
        <x:v>m</x:v>
      </x:c>
      <x:c r="S2038" s="16"/>
      <x:c r="T2038" s="15"/>
      <x:c r="U2038" s="6"/>
      <x:c r="V2038" s="6"/>
      <x:c r="W2038" s="6" t="str">
        <x:v>Existing find_route(via=[...]).</x:v>
      </x:c>
      <x:c r="X2038" s="6" t="str">
        <x:v>data/train/swiss-1889/questions_basic.jsonl</x:v>
      </x:c>
      <x:c r="Y2038" s="14" t="n">
        <x:v>9</x:v>
      </x:c>
      <x:c r="Z2038" s="6" t="str">
        <x:v>https://github.com/hagenhaeussler/Industrial-Agents-Hackathon-2026/blob/f41616590b69f3ea0c1cbfb41d6c35edd9ce53df/data/train/swiss-1889/questions_basic.jsonl#L9</x:v>
      </x:c>
      <x:c r="AA2038" s="6" t="str">
        <x:v>swiss_dwellings</x:v>
      </x:c>
      <x:c r="AB2038" s="6" t="str">
        <x:v>CC-BY-4.0</x:v>
      </x:c>
    </x:row>
    <x:row r="2039" ht="180" customHeight="1">
      <x:c r="A2039" s="14" t="n">
        <x:v>2034</x:v>
      </x:c>
      <x:c r="B2039" s="6" t="str">
        <x:v>tour</x:v>
      </x:c>
      <x:c r="C2039" s="6" t="str">
        <x:v>Starting at Bedroom 1.21 (apartment 6) (Floor 1), visit Bathroom 2.08 (apartment 8) (Floor 2), then Kitchen 0.15 (apartment 2) (Ground floor) in this order. What is the route?</x:v>
      </x:c>
      <x:c r="D2039" s="6" t="str">
        <x:v>78.55 m total
Stops: Bedroom 1.21 (apartment 6) → Bathroom 2.08 (apartment 8) → Kitchen 0.15 (apartment 2)
Leg lengths (m): 33.03, 45.52
Full paths are in Answer JSON.</x:v>
      </x:c>
      <x:c r="E2039" s="6" t="str">
        <x:v>Reference supplied</x:v>
      </x:c>
      <x:c r="F2039" s="6" t="str">
        <x:v>train</x:v>
      </x:c>
      <x:c r="G2039" s="6" t="str">
        <x:v>swiss-1898</x:v>
      </x:c>
      <x:c r="H2039" s="6" t="str">
        <x:v>swiss-1898-Q09</x:v>
      </x:c>
      <x:c r="I2039" s="6" t="str">
        <x:v>Route planning</x:v>
      </x:c>
      <x:c r="J2039" s="6" t="str">
        <x:v>Warm-up</x:v>
      </x:c>
      <x:c r="K2039" s="6" t="str">
        <x:v>Ordered stops, path for each leg and total metres.</x:v>
      </x:c>
      <x:c r="L2039" s="6" t="str">
        <x:v>T02, T05, T13</x:v>
      </x:c>
      <x:c r="M2039" s="6" t="str">
        <x:v>Visit multiple rooms in the order specified.</x:v>
      </x:c>
      <x:c r="N2039" s="6" t="str">
        <x:v>{"stops":["swiss-1898-F1-S021","swiss-1898-F2-S008","swiss-1898-F0-S015"],"optimal_length_m":78.55,"legs":[{"from_space_id":"swiss-1898-F1-S021","to_space_id":"swiss-1898-F2-S008","optimal_length_m":33.03,"space_path":["swiss-1898-F1-S021","swiss-1898-F1-S019","swiss-1898-F1-S022","swiss-1898-F2-S022","swiss-1898-F2-S007","swiss-1898-F2-S008"],"element_path":["swiss-1898-F1-O0042","swiss-1898-F1-O0042","swiss-1898-F1-O0039","swiss-1898-F1-O0039","swiss-1898-V01","swiss-1898-F2-O0054","swiss-1898-F2-O0054","swiss-1898-F2-O0055","swiss-1898-F2-O0055"]},{"from_space_id":"swiss-1898-F2-S008","to_space_id":"swiss-1898-F0-S015","optimal_length_m":45.52,"space_path":["swiss-1898-F2-S008","swiss-1898-F2-S007","swiss-1898-F2-S022","swiss-1898-F1-S022","swiss-1898-F0-S022","swiss-1898-F0-S010","swiss-1898-F0-S015"],"element_path":["swiss-1898-F2-O0055","swiss-1898-F2-O0055","swiss-1898-F2-O0054","swiss-1898-F2-O0054","swiss-1898-V01","swiss-1898-V01","swiss-1898-F0-O0013","swiss-1898-F0-O0013","swiss-1898-F0-O0016","swiss-1898-F0-O0016"]}]}</x:v>
      </x:c>
      <x:c r="O2039" s="6"/>
      <x:c r="P2039" s="6" t="str">
        <x:v>Preserve stated visit order. Do not optimize stop order.</x:v>
      </x:c>
      <x:c r="Q2039" s="15" t="n">
        <x:v>78.55</x:v>
      </x:c>
      <x:c r="R2039" s="6" t="str">
        <x:v>m</x:v>
      </x:c>
      <x:c r="S2039" s="16"/>
      <x:c r="T2039" s="15"/>
      <x:c r="U2039" s="6"/>
      <x:c r="V2039" s="6"/>
      <x:c r="W2039" s="6" t="str">
        <x:v>Existing find_route(via=[...]).</x:v>
      </x:c>
      <x:c r="X2039" s="6" t="str">
        <x:v>data/train/swiss-1898/questions_basic.jsonl</x:v>
      </x:c>
      <x:c r="Y2039" s="14" t="n">
        <x:v>9</x:v>
      </x:c>
      <x:c r="Z2039" s="6" t="str">
        <x:v>https://github.com/hagenhaeussler/Industrial-Agents-Hackathon-2026/blob/f41616590b69f3ea0c1cbfb41d6c35edd9ce53df/data/train/swiss-1898/questions_basic.jsonl#L9</x:v>
      </x:c>
      <x:c r="AA2039" s="6" t="str">
        <x:v>swiss_dwellings</x:v>
      </x:c>
      <x:c r="AB2039" s="6" t="str">
        <x:v>CC-BY-4.0</x:v>
      </x:c>
    </x:row>
    <x:row r="2040" ht="180" customHeight="1">
      <x:c r="A2040" s="14" t="n">
        <x:v>2035</x:v>
      </x:c>
      <x:c r="B2040" s="6" t="str">
        <x:v>tour</x:v>
      </x:c>
      <x:c r="C2040" s="6" t="str">
        <x:v>Starting at Bedroom 1.32 (apartment 7) (Floor 1), visit Bedroom 1.69 (apartment 15) (Floor 1), then Bedroom 4.05 (apartment 48) (Floor 4) in this order. What is the route?</x:v>
      </x:c>
      <x:c r="D2040" s="6" t="str">
        <x:v>117.25 m total
Stops: Bedroom 1.32 (apartment 7) → Bedroom 1.69 (apartment 15) → Bedroom 4.05 (apartment 48)
Leg lengths (m): 42.09, 75.16
Full paths are in Answer JSON.</x:v>
      </x:c>
      <x:c r="E2040" s="6" t="str">
        <x:v>Reference supplied</x:v>
      </x:c>
      <x:c r="F2040" s="6" t="str">
        <x:v>train</x:v>
      </x:c>
      <x:c r="G2040" s="6" t="str">
        <x:v>swiss-1922</x:v>
      </x:c>
      <x:c r="H2040" s="6" t="str">
        <x:v>swiss-1922-Q08</x:v>
      </x:c>
      <x:c r="I2040" s="6" t="str">
        <x:v>Route planning</x:v>
      </x:c>
      <x:c r="J2040" s="6" t="str">
        <x:v>Warm-up</x:v>
      </x:c>
      <x:c r="K2040" s="6" t="str">
        <x:v>Ordered stops, path for each leg and total metres.</x:v>
      </x:c>
      <x:c r="L2040" s="6" t="str">
        <x:v>T02, T05, T13</x:v>
      </x:c>
      <x:c r="M2040" s="6" t="str">
        <x:v>Visit multiple rooms in the order specified.</x:v>
      </x:c>
      <x:c r="N2040" s="6" t="str">
        <x:v>{"stops":["swiss-1922-F1-S032","swiss-1922-F1-S069","swiss-1922-F4-S005"],"optimal_length_m":117.25,"legs":[{"from_space_id":"swiss-1922-F1-S032","to_space_id":"swiss-1922-F1-S069","optimal_length_m":42.09,"space_path":["swiss-1922-F1-S032","swiss-1922-F1-S034","swiss-1922-F1-S076","swiss-1922-F0-S008","swiss-1922-F1-S073","swiss-1922-F1-S069"],"element_path":["swiss-1922-F1-O0039","swiss-1922-F1-O0039","swiss-1922-F1-O0038","swiss-1922-F1-O0038","swiss-1922-V01","swiss-1922-V03","swiss-1922-F1-O0064","swiss-1922-F1-O0064"]},{"from_space_id":"swiss-1922-F1-S069","to_space_id":"swiss-1922-F4-S005","optimal_length_m":75.16,"space_path":["swiss-1922-F1-S069","swiss-1922-F1-S073","swiss-1922-F0-S008","swiss-1922-F1-S075","swiss-1922-F2-S075","swiss-1922-F3-S075","swiss-1922-F4-S082","swiss-1922-F4-S007","swiss-1922-F4-S005"],"element_path":["swiss-1922-F1-O0064","swiss-1922-F1-O0064","swiss-1922-V03","swiss-1922-V05","swiss-1922-V08","swiss-1922-V11","swiss-1922-V14","swiss-1922-F4-O0225","swiss-1922-F4-O0225","swiss-1922-F4-O0227","swiss-1922-F4-O0227"]}]}</x:v>
      </x:c>
      <x:c r="O2040" s="6"/>
      <x:c r="P2040" s="6" t="str">
        <x:v>Preserve stated visit order. Do not optimize stop order.</x:v>
      </x:c>
      <x:c r="Q2040" s="15" t="n">
        <x:v>117.25</x:v>
      </x:c>
      <x:c r="R2040" s="6" t="str">
        <x:v>m</x:v>
      </x:c>
      <x:c r="S2040" s="16"/>
      <x:c r="T2040" s="15"/>
      <x:c r="U2040" s="6"/>
      <x:c r="V2040" s="6"/>
      <x:c r="W2040" s="6" t="str">
        <x:v>Existing find_route(via=[...]).</x:v>
      </x:c>
      <x:c r="X2040" s="6" t="str">
        <x:v>data/train/swiss-1922/questions_basic.jsonl</x:v>
      </x:c>
      <x:c r="Y2040" s="14" t="n">
        <x:v>8</x:v>
      </x:c>
      <x:c r="Z2040" s="6" t="str">
        <x:v>https://github.com/hagenhaeussler/Industrial-Agents-Hackathon-2026/blob/f41616590b69f3ea0c1cbfb41d6c35edd9ce53df/data/train/swiss-1922/questions_basic.jsonl#L8</x:v>
      </x:c>
      <x:c r="AA2040" s="6" t="str">
        <x:v>swiss_dwellings</x:v>
      </x:c>
      <x:c r="AB2040" s="6" t="str">
        <x:v>CC-BY-4.0</x:v>
      </x:c>
    </x:row>
    <x:row r="2041" ht="180" customHeight="1">
      <x:c r="A2041" s="14" t="n">
        <x:v>2036</x:v>
      </x:c>
      <x:c r="B2041" s="6" t="str">
        <x:v>tour</x:v>
      </x:c>
      <x:c r="C2041" s="6" t="str">
        <x:v>Starting at Bedroom 1.05 (apartment 3) (Floor 1), visit Kitchen 2.02 (apartment 5) (Floor 2), then Bathroom 0.02 (apartment 1) (Ground floor) in this order. What is the route?</x:v>
      </x:c>
      <x:c r="D2041" s="6" t="str">
        <x:v>79.11 m total
Stops: Bedroom 1.05 (apartment 3) → Kitchen 2.02 (apartment 5) → Bathroom 0.02 (apartment 1)
Leg lengths (m): 34.93, 44.18
Full paths are in Answer JSON.</x:v>
      </x:c>
      <x:c r="E2041" s="6" t="str">
        <x:v>Reference supplied</x:v>
      </x:c>
      <x:c r="F2041" s="6" t="str">
        <x:v>train</x:v>
      </x:c>
      <x:c r="G2041" s="6" t="str">
        <x:v>swiss-1928</x:v>
      </x:c>
      <x:c r="H2041" s="6" t="str">
        <x:v>swiss-1928-Q10</x:v>
      </x:c>
      <x:c r="I2041" s="6" t="str">
        <x:v>Route planning</x:v>
      </x:c>
      <x:c r="J2041" s="6" t="str">
        <x:v>Warm-up</x:v>
      </x:c>
      <x:c r="K2041" s="6" t="str">
        <x:v>Ordered stops, path for each leg and total metres.</x:v>
      </x:c>
      <x:c r="L2041" s="6" t="str">
        <x:v>T02, T05, T13</x:v>
      </x:c>
      <x:c r="M2041" s="6" t="str">
        <x:v>Visit multiple rooms in the order specified.</x:v>
      </x:c>
      <x:c r="N2041" s="6" t="str">
        <x:v>{"stops":["swiss-1928-F1-S005","swiss-1928-F2-S002","swiss-1928-F0-S002"],"optimal_length_m":79.11,"legs":[{"from_space_id":"swiss-1928-F1-S005","to_space_id":"swiss-1928-F2-S002","optimal_length_m":34.93,"space_path":["swiss-1928-F1-S005","swiss-1928-F1-S002","swiss-1928-F1-S016","swiss-1928-F2-S016","swiss-1928-F2-S007","swiss-1928-F2-S002"],"element_path":["swiss-1928-F1-O0018","swiss-1928-F1-O0018","swiss-1928-F1-O0021","swiss-1928-F1-O0021","swiss-1928-V01","swiss-1928-F2-O0034","swiss-1928-F2-O0034","swiss-1928-F2-O0037","swiss-1928-F2-O0037"]},{"from_space_id":"swiss-1928-F2-S002","to_space_id":"swiss-1928-F0-S002","optimal_length_m":44.18,"space_path":["swiss-1928-F2-S002","swiss-1928-F2-S007","swiss-1928-F2-S016","swiss-1928-F1-S016","swiss-1928-F0-S016","swiss-1928-F0-S003","swiss-1928-F0-S002"],"element_path":["swiss-1928-F2-O0037","swiss-1928-F2-O0037","swiss-1928-F2-O0034","swiss-1928-F2-O0034","swiss-1928-V01","swiss-1928-V01","swiss-1928-F0-O0004","swiss-1928-F0-O0004","swiss-1928-F0-O0007","swiss-1928-F0-O0007"]}]}</x:v>
      </x:c>
      <x:c r="O2041" s="6"/>
      <x:c r="P2041" s="6" t="str">
        <x:v>Preserve stated visit order. Do not optimize stop order.</x:v>
      </x:c>
      <x:c r="Q2041" s="15" t="n">
        <x:v>79.11</x:v>
      </x:c>
      <x:c r="R2041" s="6" t="str">
        <x:v>m</x:v>
      </x:c>
      <x:c r="S2041" s="16"/>
      <x:c r="T2041" s="15"/>
      <x:c r="U2041" s="6"/>
      <x:c r="V2041" s="6"/>
      <x:c r="W2041" s="6" t="str">
        <x:v>Existing find_route(via=[...]).</x:v>
      </x:c>
      <x:c r="X2041" s="6" t="str">
        <x:v>data/train/swiss-1928/questions_basic.jsonl</x:v>
      </x:c>
      <x:c r="Y2041" s="14" t="n">
        <x:v>10</x:v>
      </x:c>
      <x:c r="Z2041" s="6" t="str">
        <x:v>https://github.com/hagenhaeussler/Industrial-Agents-Hackathon-2026/blob/f41616590b69f3ea0c1cbfb41d6c35edd9ce53df/data/train/swiss-1928/questions_basic.jsonl#L10</x:v>
      </x:c>
      <x:c r="AA2041" s="6" t="str">
        <x:v>swiss_dwellings</x:v>
      </x:c>
      <x:c r="AB2041" s="6" t="str">
        <x:v>CC-BY-4.0</x:v>
      </x:c>
    </x:row>
    <x:row r="2042" ht="180" customHeight="1">
      <x:c r="A2042" s="14" t="n">
        <x:v>2037</x:v>
      </x:c>
      <x:c r="B2042" s="6" t="str">
        <x:v>tour</x:v>
      </x:c>
      <x:c r="C2042" s="6" t="str">
        <x:v>Starting at Bedroom 2.01 (apartment 5) (Floor 2), visit Bathroom 1.04 (apartment 3) (Floor 1), then Bedroom 2.16 (apartment 6) (Floor 2) in this order. What is the route?</x:v>
      </x:c>
      <x:c r="D2042" s="6" t="str">
        <x:v>54.75 m total
Stops: Bedroom 2.01 (apartment 5) → Bathroom 1.04 (apartment 3) → Bedroom 2.16 (apartment 6)
Leg lengths (m): 24.87, 29.88
Full paths are in Answer JSON.</x:v>
      </x:c>
      <x:c r="E2042" s="6" t="str">
        <x:v>Reference supplied</x:v>
      </x:c>
      <x:c r="F2042" s="6" t="str">
        <x:v>train</x:v>
      </x:c>
      <x:c r="G2042" s="6" t="str">
        <x:v>swiss-1936</x:v>
      </x:c>
      <x:c r="H2042" s="6" t="str">
        <x:v>swiss-1936-Q08</x:v>
      </x:c>
      <x:c r="I2042" s="6" t="str">
        <x:v>Route planning</x:v>
      </x:c>
      <x:c r="J2042" s="6" t="str">
        <x:v>Warm-up</x:v>
      </x:c>
      <x:c r="K2042" s="6" t="str">
        <x:v>Ordered stops, path for each leg and total metres.</x:v>
      </x:c>
      <x:c r="L2042" s="6" t="str">
        <x:v>T02, T05, T13</x:v>
      </x:c>
      <x:c r="M2042" s="6" t="str">
        <x:v>Visit multiple rooms in the order specified.</x:v>
      </x:c>
      <x:c r="N2042" s="6" t="str">
        <x:v>{"stops":["swiss-1936-F2-S001","swiss-1936-F1-S004","swiss-1936-F2-S016"],"optimal_length_m":54.75,"legs":[{"from_space_id":"swiss-1936-F2-S001","to_space_id":"swiss-1936-F1-S004","optimal_length_m":24.87,"space_path":["swiss-1936-F2-S001","swiss-1936-F2-S007","swiss-1936-F2-S019","swiss-1936-F1-S019","swiss-1936-F1-S001","swiss-1936-F1-S004"],"element_path":["swiss-1936-F2-O0041","swiss-1936-F2-O0041","swiss-1936-F2-O0042","swiss-1936-F2-O0042","swiss-1936-V04","swiss-1936-F1-O0022","swiss-1936-F1-O0022","swiss-1936-F1-O0025","swiss-1936-F1-O0025"]},{"from_space_id":"swiss-1936-F1-S004","to_space_id":"swiss-1936-F2-S016","optimal_length_m":29.88,"space_path":["swiss-1936-F1-S004","swiss-1936-F1-S001","swiss-1936-F1-S019","swiss-1936-F1-S020","swiss-1936-F2-S020","swiss-1936-F2-S015","swiss-1936-F2-S016"],"element_path":["swiss-1936-F1-O0025","swiss-1936-F1-O0025","swiss-1936-F1-O0022","swiss-1936-F1-O0022","swiss-1936-F1-O0020","swiss-1936-F1-O0020","swiss-1936-V01","swiss-1936-F2-O0049","swiss-1936-F2-O0049","swiss-1936-F2-O0050","swiss-1936-F2-O0050"]}]}</x:v>
      </x:c>
      <x:c r="O2042" s="6"/>
      <x:c r="P2042" s="6" t="str">
        <x:v>Preserve stated visit order. Do not optimize stop order.</x:v>
      </x:c>
      <x:c r="Q2042" s="15" t="n">
        <x:v>54.75</x:v>
      </x:c>
      <x:c r="R2042" s="6" t="str">
        <x:v>m</x:v>
      </x:c>
      <x:c r="S2042" s="16"/>
      <x:c r="T2042" s="15"/>
      <x:c r="U2042" s="6"/>
      <x:c r="V2042" s="6"/>
      <x:c r="W2042" s="6" t="str">
        <x:v>Existing find_route(via=[...]).</x:v>
      </x:c>
      <x:c r="X2042" s="6" t="str">
        <x:v>data/train/swiss-1936/questions_basic.jsonl</x:v>
      </x:c>
      <x:c r="Y2042" s="14" t="n">
        <x:v>8</x:v>
      </x:c>
      <x:c r="Z2042" s="6" t="str">
        <x:v>https://github.com/hagenhaeussler/Industrial-Agents-Hackathon-2026/blob/f41616590b69f3ea0c1cbfb41d6c35edd9ce53df/data/train/swiss-1936/questions_basic.jsonl#L8</x:v>
      </x:c>
      <x:c r="AA2042" s="6" t="str">
        <x:v>swiss_dwellings</x:v>
      </x:c>
      <x:c r="AB2042" s="6" t="str">
        <x:v>CC-BY-4.0</x:v>
      </x:c>
    </x:row>
    <x:row r="2043" ht="166" customHeight="1">
      <x:c r="A2043" s="14" t="n">
        <x:v>2038</x:v>
      </x:c>
      <x:c r="B2043" s="6" t="str">
        <x:v>tour</x:v>
      </x:c>
      <x:c r="C2043" s="6" t="str">
        <x:v>Starting at Bedroom 2.05 (apartment 9) (Floor 2), visit Bathroom 2.11 (apartment 10) (Floor 2), then Bedroom 3.02 (apartment 13) (Floor 3) in this order. What is the route?</x:v>
      </x:c>
      <x:c r="D2043" s="6" t="str">
        <x:v>48.98 m total
Stops: Bedroom 2.05 (apartment 9) → Bathroom 2.11 (apartment 10) → Bedroom 3.02 (apartment 13)
Leg lengths (m): 18.44, 30.54
Full paths are in Answer JSON.</x:v>
      </x:c>
      <x:c r="E2043" s="6" t="str">
        <x:v>Reference supplied</x:v>
      </x:c>
      <x:c r="F2043" s="6" t="str">
        <x:v>train</x:v>
      </x:c>
      <x:c r="G2043" s="6" t="str">
        <x:v>swiss-1956</x:v>
      </x:c>
      <x:c r="H2043" s="6" t="str">
        <x:v>swiss-1956-Q07</x:v>
      </x:c>
      <x:c r="I2043" s="6" t="str">
        <x:v>Route planning</x:v>
      </x:c>
      <x:c r="J2043" s="6" t="str">
        <x:v>Warm-up</x:v>
      </x:c>
      <x:c r="K2043" s="6" t="str">
        <x:v>Ordered stops, path for each leg and total metres.</x:v>
      </x:c>
      <x:c r="L2043" s="6" t="str">
        <x:v>T02, T05, T13</x:v>
      </x:c>
      <x:c r="M2043" s="6" t="str">
        <x:v>Visit multiple rooms in the order specified.</x:v>
      </x:c>
      <x:c r="N2043" s="6" t="str">
        <x:v>{"stops":["swiss-1956-F2-S005","swiss-1956-F2-S011","swiss-1956-F3-S002"],"optimal_length_m":48.98,"legs":[{"from_space_id":"swiss-1956-F2-S005","to_space_id":"swiss-1956-F2-S011","optimal_length_m":18.44,"space_path":["swiss-1956-F2-S005","swiss-1956-F2-S004","swiss-1956-F2-S027","swiss-1956-F2-S012","swiss-1956-F2-S011"],"element_path":["swiss-1956-F2-O0053","swiss-1956-F2-O0053","swiss-1956-F2-O0056","swiss-1956-F2-O0056","swiss-1956-F2-O0064","swiss-1956-F2-O0064","swiss-1956-F2-O0061","swiss-1956-F2-O0061"]},{"from_space_id":"swiss-1956-F2-S011","to_space_id":"swiss-1956-F3-S002","optimal_length_m":30.54,"space_path":["swiss-1956-F2-S011","swiss-1956-F2-S012","swiss-1956-F2-S027","swiss-1956-F3-S027","swiss-1956-F3-S006","swiss-1956-F3-S002"],"element_path":["swiss-1956-F2-O0061","swiss-1956-F2-O0061","swiss-1956-F2-O0064","swiss-1956-F2-O0064","swiss-1956-V01","swiss-1956-F3-O0082","swiss-1956-F3-O0082","swiss-1956-F3-O0083","swiss-1956-F3-O0083"]}]}</x:v>
      </x:c>
      <x:c r="O2043" s="6"/>
      <x:c r="P2043" s="6" t="str">
        <x:v>Preserve stated visit order. Do not optimize stop order.</x:v>
      </x:c>
      <x:c r="Q2043" s="15" t="n">
        <x:v>48.98</x:v>
      </x:c>
      <x:c r="R2043" s="6" t="str">
        <x:v>m</x:v>
      </x:c>
      <x:c r="S2043" s="16"/>
      <x:c r="T2043" s="15"/>
      <x:c r="U2043" s="6"/>
      <x:c r="V2043" s="6"/>
      <x:c r="W2043" s="6" t="str">
        <x:v>Existing find_route(via=[...]).</x:v>
      </x:c>
      <x:c r="X2043" s="6" t="str">
        <x:v>data/train/swiss-1956/questions_basic.jsonl</x:v>
      </x:c>
      <x:c r="Y2043" s="14" t="n">
        <x:v>7</x:v>
      </x:c>
      <x:c r="Z2043" s="6" t="str">
        <x:v>https://github.com/hagenhaeussler/Industrial-Agents-Hackathon-2026/blob/f41616590b69f3ea0c1cbfb41d6c35edd9ce53df/data/train/swiss-1956/questions_basic.jsonl#L7</x:v>
      </x:c>
      <x:c r="AA2043" s="6" t="str">
        <x:v>swiss_dwellings</x:v>
      </x:c>
      <x:c r="AB2043" s="6" t="str">
        <x:v>CC-BY-4.0</x:v>
      </x:c>
    </x:row>
    <x:row r="2044" ht="292" customHeight="1">
      <x:c r="A2044" s="14" t="n">
        <x:v>2039</x:v>
      </x:c>
      <x:c r="B2044" s="6" t="str">
        <x:v>tour</x:v>
      </x:c>
      <x:c r="C2044" s="6" t="str">
        <x:v>Starting at Bedroom 1.30 (apartment 11) (Floor 1), visit Bathroom 0.07 (apartment 4) (Ground floor), then Bedroom 2.02 (apartment 12) (Floor 2) in this order. What is the route?</x:v>
      </x:c>
      <x:c r="D2044" s="6" t="str">
        <x:v>83.25 m total
Stops: Bedroom 1.30 (apartment 11) → Bathroom 0.07 (apartment 4) → Bedroom 2.02 (apartment 12)
Leg lengths (m): 34.93, 48.32
Full paths are in Answer JSON.</x:v>
      </x:c>
      <x:c r="E2044" s="6" t="str">
        <x:v>Reference supplied</x:v>
      </x:c>
      <x:c r="F2044" s="6" t="str">
        <x:v>train</x:v>
      </x:c>
      <x:c r="G2044" s="6" t="str">
        <x:v>swiss-1970</x:v>
      </x:c>
      <x:c r="H2044" s="6" t="str">
        <x:v>swiss-1970-Q10</x:v>
      </x:c>
      <x:c r="I2044" s="6" t="str">
        <x:v>Route planning</x:v>
      </x:c>
      <x:c r="J2044" s="6" t="str">
        <x:v>Warm-up</x:v>
      </x:c>
      <x:c r="K2044" s="6" t="str">
        <x:v>Ordered stops, path for each leg and total metres.</x:v>
      </x:c>
      <x:c r="L2044" s="6" t="str">
        <x:v>T02, T05, T13</x:v>
      </x:c>
      <x:c r="M2044" s="6" t="str">
        <x:v>Visit multiple rooms in the order specified.</x:v>
      </x:c>
      <x:c r="N2044" s="6" t="str">
        <x:v>{"stops":["swiss-1970-F1-S030","swiss-1970-F0-S007","swiss-1970-F2-S002"],"optimal_length_m":83.25,"legs":[{"from_space_id":"swiss-1970-F1-S030","to_space_id":"swiss-1970-F0-S007","optimal_length_m":34.93,"space_path":["swiss-1970-F1-S030","swiss-1970-F1-S026","swiss-1970-F1-S033","swiss-1970-F1-S031","swiss-1970-F1-S038","swiss-1970-F0-S037","outside","swiss-1970-F0-S035","swiss-1970-F0-S006","swiss-1970-F0-S004","swiss-1970-F0-S005","swiss-1970-F0-S007"],"element_path":["swiss-1970-F1-O0083","swiss-1970-F1-O0083","swiss-1970-F1-O0080","swiss-1970-F1-O0080","swiss-1970-F1-O0084","swiss-1970-F1-O0084","swiss-1970-F1-O0088","swiss-1970-F1-O0088","swiss-1970-V01","swiss-1970-F0-O0135","swiss-1970-F0-O0135","swiss-1970-F0-O0133","swiss-1970-F0-O0133","swiss-1970-F0-O0019","swiss-1970-F0-O0019","swiss-1970-F0-O0017","swiss-1970-F0-O0017","swiss-1970-F0-O0016","swiss-1970-F0-O0016","swiss-1970-F0-O0022","swiss-1970-F0-O0022"]},{"from_space_id":"swiss-1970-F0-S007","to_space_id":"swiss-1970-F2-S002","optimal_length_m":48.32,"space_path":["swiss-1970-F0-S007","swiss-1970-F0-S005","swiss-1970-F0-S004","swiss-1970-F0-S006","swiss-1970-F0-S035","outside","swiss-1970-F0-S038","swiss-1970-F1-S037","swiss-1970-F2-S035","swiss-1970-F2-S003","swiss-1970-F2-S009","swiss-1970-F2-S007","swiss-1970-F2-S002"],"element_path":["swiss-1970-F0-O0022","swiss-1970-F0-O0022","swiss-1970-F0-O0016","swiss-1970-F0-O0016","swiss-1970-F0-O0017","swiss-1970-F0-O0017","swiss-1970-F0-O0019","swiss-1970-F0-O0019","swiss-1970-F0-O0133","swiss-1970-F0-O0133","swiss-1970-F0-O0136","swiss-1970-F0-O0136","swiss-1970-V07","swiss-1970-V08","swiss-1970-F2-O0097","swiss-1970-F2-O0097","swiss-1970-F2-O0101","swiss-1970-F2-O0101","swiss-1970-F2-O0102","swiss-1970-F2-O0102","swiss-1970-F2-O0096","swiss-1970-F2-O0096"]}]}</x:v>
      </x:c>
      <x:c r="O2044" s="6"/>
      <x:c r="P2044" s="6" t="str">
        <x:v>Preserve stated visit order. Do not optimize stop order.</x:v>
      </x:c>
      <x:c r="Q2044" s="15" t="n">
        <x:v>83.25</x:v>
      </x:c>
      <x:c r="R2044" s="6" t="str">
        <x:v>m</x:v>
      </x:c>
      <x:c r="S2044" s="16"/>
      <x:c r="T2044" s="15"/>
      <x:c r="U2044" s="6"/>
      <x:c r="V2044" s="6"/>
      <x:c r="W2044" s="6" t="str">
        <x:v>Existing find_route(via=[...]).</x:v>
      </x:c>
      <x:c r="X2044" s="6" t="str">
        <x:v>data/train/swiss-1970/questions_basic.jsonl</x:v>
      </x:c>
      <x:c r="Y2044" s="14" t="n">
        <x:v>10</x:v>
      </x:c>
      <x:c r="Z2044" s="6" t="str">
        <x:v>https://github.com/hagenhaeussler/Industrial-Agents-Hackathon-2026/blob/f41616590b69f3ea0c1cbfb41d6c35edd9ce53df/data/train/swiss-1970/questions_basic.jsonl#L10</x:v>
      </x:c>
      <x:c r="AA2044" s="6" t="str">
        <x:v>swiss_dwellings</x:v>
      </x:c>
      <x:c r="AB2044" s="6" t="str">
        <x:v>CC-BY-4.0</x:v>
      </x:c>
    </x:row>
    <x:row r="2045" ht="194" customHeight="1">
      <x:c r="A2045" s="14" t="n">
        <x:v>2040</x:v>
      </x:c>
      <x:c r="B2045" s="6" t="str">
        <x:v>tour</x:v>
      </x:c>
      <x:c r="C2045" s="6" t="str">
        <x:v>Starting at Bedroom 1.14 (apartment 6) (Floor 1), visit Bedroom 0.24 (apartment 3) (Ground floor), then Bathroom 2.04 (apartment 9) (Floor 2) in this order. What is the route?</x:v>
      </x:c>
      <x:c r="D2045" s="6" t="str">
        <x:v>68.44 m total
Stops: Bedroom 1.14 (apartment 6) → Bedroom 0.24 (apartment 3) → Bathroom 2.04 (apartment 9)
Leg lengths (m): 29.81, 38.63
Full paths are in Answer JSON.</x:v>
      </x:c>
      <x:c r="E2045" s="6" t="str">
        <x:v>Reference supplied</x:v>
      </x:c>
      <x:c r="F2045" s="6" t="str">
        <x:v>train</x:v>
      </x:c>
      <x:c r="G2045" s="6" t="str">
        <x:v>swiss-2049</x:v>
      </x:c>
      <x:c r="H2045" s="6" t="str">
        <x:v>swiss-2049-Q07</x:v>
      </x:c>
      <x:c r="I2045" s="6" t="str">
        <x:v>Route planning</x:v>
      </x:c>
      <x:c r="J2045" s="6" t="str">
        <x:v>Warm-up</x:v>
      </x:c>
      <x:c r="K2045" s="6" t="str">
        <x:v>Ordered stops, path for each leg and total metres.</x:v>
      </x:c>
      <x:c r="L2045" s="6" t="str">
        <x:v>T02, T05, T13</x:v>
      </x:c>
      <x:c r="M2045" s="6" t="str">
        <x:v>Visit multiple rooms in the order specified.</x:v>
      </x:c>
      <x:c r="N2045" s="6" t="str">
        <x:v>{"stops":["swiss-2049-F1-S014","swiss-2049-F0-S024","swiss-2049-F2-S004"],"optimal_length_m":68.44,"legs":[{"from_space_id":"swiss-2049-F1-S014","to_space_id":"swiss-2049-F0-S024","optimal_length_m":29.81,"space_path":["swiss-2049-F1-S014","swiss-2049-F1-S017","swiss-2049-F1-S036","swiss-2049-F0-S036","outside","swiss-2049-F0-S037","swiss-2049-F0-S023","swiss-2049-F0-S024"],"element_path":["swiss-2049-F1-O0051","swiss-2049-F1-O0051","swiss-2049-F1-O0054","swiss-2049-F1-O0054","swiss-2049-V04","swiss-2049-F0-O0182","swiss-2049-F0-O0182","swiss-2049-F0-O0183","swiss-2049-F0-O0183","swiss-2049-F0-O0023","swiss-2049-F0-O0023","swiss-2049-F0-O0025","swiss-2049-F0-O0025"]},{"from_space_id":"swiss-2049-F0-S024","to_space_id":"swiss-2049-F2-S004","optimal_length_m":38.63,"space_path":["swiss-2049-F0-S024","swiss-2049-F0-S023","swiss-2049-F0-S037","swiss-2049-F1-S035","swiss-2049-F2-S035","swiss-2049-F2-S006","swiss-2049-F2-S004"],"element_path":["swiss-2049-F0-O0025","swiss-2049-F0-O0025","swiss-2049-F0-O0023","swiss-2049-F0-O0023","swiss-2049-V03","swiss-2049-V06","swiss-2049-F2-O0080","swiss-2049-F2-O0080","swiss-2049-F2-O0079","swiss-2049-F2-O0079"]}]}</x:v>
      </x:c>
      <x:c r="O2045" s="6"/>
      <x:c r="P2045" s="6" t="str">
        <x:v>Preserve stated visit order. Do not optimize stop order.</x:v>
      </x:c>
      <x:c r="Q2045" s="15" t="n">
        <x:v>68.44</x:v>
      </x:c>
      <x:c r="R2045" s="6" t="str">
        <x:v>m</x:v>
      </x:c>
      <x:c r="S2045" s="16"/>
      <x:c r="T2045" s="15"/>
      <x:c r="U2045" s="6"/>
      <x:c r="V2045" s="6"/>
      <x:c r="W2045" s="6" t="str">
        <x:v>Existing find_route(via=[...]).</x:v>
      </x:c>
      <x:c r="X2045" s="6" t="str">
        <x:v>data/train/swiss-2049/questions_basic.jsonl</x:v>
      </x:c>
      <x:c r="Y2045" s="14" t="n">
        <x:v>7</x:v>
      </x:c>
      <x:c r="Z2045" s="6" t="str">
        <x:v>https://github.com/hagenhaeussler/Industrial-Agents-Hackathon-2026/blob/f41616590b69f3ea0c1cbfb41d6c35edd9ce53df/data/train/swiss-2049/questions_basic.jsonl#L7</x:v>
      </x:c>
      <x:c r="AA2045" s="6" t="str">
        <x:v>swiss_dwellings</x:v>
      </x:c>
      <x:c r="AB2045" s="6" t="str">
        <x:v>CC-BY-4.0</x:v>
      </x:c>
    </x:row>
    <x:row r="2046" ht="166" customHeight="1">
      <x:c r="A2046" s="14" t="n">
        <x:v>2041</x:v>
      </x:c>
      <x:c r="B2046" s="6" t="str">
        <x:v>tour</x:v>
      </x:c>
      <x:c r="C2046" s="6" t="str">
        <x:v>Starting at Bathroom 0.15 (apartment 2) (Ground floor), visit Bedroom 1.01 (apartment 3) (Floor 1), then Bedroom 0.17 (apartment 2) (Ground floor) in this order. What is the route?</x:v>
      </x:c>
      <x:c r="D2046" s="6" t="str">
        <x:v>62.01 m total
Stops: Bathroom 0.15 (apartment 2) → Bedroom 1.01 (apartment 3) → Bedroom 0.17 (apartment 2)
Leg lengths (m): 30.45, 31.56
Full paths are in Answer JSON.</x:v>
      </x:c>
      <x:c r="E2046" s="6" t="str">
        <x:v>Reference supplied</x:v>
      </x:c>
      <x:c r="F2046" s="6" t="str">
        <x:v>train</x:v>
      </x:c>
      <x:c r="G2046" s="6" t="str">
        <x:v>swiss-2084</x:v>
      </x:c>
      <x:c r="H2046" s="6" t="str">
        <x:v>swiss-2084-Q07</x:v>
      </x:c>
      <x:c r="I2046" s="6" t="str">
        <x:v>Route planning</x:v>
      </x:c>
      <x:c r="J2046" s="6" t="str">
        <x:v>Warm-up</x:v>
      </x:c>
      <x:c r="K2046" s="6" t="str">
        <x:v>Ordered stops, path for each leg and total metres.</x:v>
      </x:c>
      <x:c r="L2046" s="6" t="str">
        <x:v>T02, T05, T13</x:v>
      </x:c>
      <x:c r="M2046" s="6" t="str">
        <x:v>Visit multiple rooms in the order specified.</x:v>
      </x:c>
      <x:c r="N2046" s="6" t="str">
        <x:v>{"stops":["swiss-2084-F0-S015","swiss-2084-F1-S001","swiss-2084-F0-S017"],"optimal_length_m":62.01,"legs":[{"from_space_id":"swiss-2084-F0-S015","to_space_id":"swiss-2084-F1-S001","optimal_length_m":30.45,"space_path":["swiss-2084-F0-S015","swiss-2084-F0-S024","swiss-2084-F0-S027","swiss-2084-F1-S028","swiss-2084-F1-S012","swiss-2084-F1-S001"],"element_path":["swiss-2084-F0-O0018","swiss-2084-F0-O0018","swiss-2084-F0-O0017","swiss-2084-F0-O0017","swiss-2084-V03","swiss-2084-F1-O0032","swiss-2084-F1-O0032","swiss-2084-F1-O0034","swiss-2084-F1-O0034"]},{"from_space_id":"swiss-2084-F1-S001","to_space_id":"swiss-2084-F0-S017","optimal_length_m":31.56,"space_path":["swiss-2084-F1-S001","swiss-2084-F1-S012","swiss-2084-F1-S028","swiss-2084-F0-S027","swiss-2084-F0-S024","swiss-2084-F0-S017"],"element_path":["swiss-2084-F1-O0034","swiss-2084-F1-O0034","swiss-2084-F1-O0032","swiss-2084-F1-O0032","swiss-2084-V03","swiss-2084-F0-O0017","swiss-2084-F0-O0017","swiss-2084-F0-O0014","swiss-2084-F0-O0014"]}]}</x:v>
      </x:c>
      <x:c r="O2046" s="6"/>
      <x:c r="P2046" s="6" t="str">
        <x:v>Preserve stated visit order. Do not optimize stop order.</x:v>
      </x:c>
      <x:c r="Q2046" s="15" t="n">
        <x:v>62.01</x:v>
      </x:c>
      <x:c r="R2046" s="6" t="str">
        <x:v>m</x:v>
      </x:c>
      <x:c r="S2046" s="16"/>
      <x:c r="T2046" s="15"/>
      <x:c r="U2046" s="6"/>
      <x:c r="V2046" s="6"/>
      <x:c r="W2046" s="6" t="str">
        <x:v>Existing find_route(via=[...]).</x:v>
      </x:c>
      <x:c r="X2046" s="6" t="str">
        <x:v>data/train/swiss-2084/questions_basic.jsonl</x:v>
      </x:c>
      <x:c r="Y2046" s="14" t="n">
        <x:v>7</x:v>
      </x:c>
      <x:c r="Z2046" s="6" t="str">
        <x:v>https://github.com/hagenhaeussler/Industrial-Agents-Hackathon-2026/blob/f41616590b69f3ea0c1cbfb41d6c35edd9ce53df/data/train/swiss-2084/questions_basic.jsonl#L7</x:v>
      </x:c>
      <x:c r="AA2046" s="6" t="str">
        <x:v>swiss_dwellings</x:v>
      </x:c>
      <x:c r="AB2046" s="6" t="str">
        <x:v>CC-BY-4.0</x:v>
      </x:c>
    </x:row>
    <x:row r="2047" ht="180" customHeight="1">
      <x:c r="A2047" s="14" t="n">
        <x:v>2042</x:v>
      </x:c>
      <x:c r="B2047" s="6" t="str">
        <x:v>tour</x:v>
      </x:c>
      <x:c r="C2047" s="6" t="str">
        <x:v>Starting at Bedroom 1.44 (apartment 11) (Floor 1), visit Bathroom 3.07 (apartment 19) (Floor 3), then Bedroom 1.05 (apartment 7) (Floor 1) in this order. What is the route?</x:v>
      </x:c>
      <x:c r="D2047" s="6" t="str">
        <x:v>93.55 m total
Stops: Bedroom 1.44 (apartment 11) → Bathroom 3.07 (apartment 19) → Bedroom 1.05 (apartment 7)
Leg lengths (m): 46.19, 47.36
Full paths are in Answer JSON.</x:v>
      </x:c>
      <x:c r="E2047" s="6" t="str">
        <x:v>Reference supplied</x:v>
      </x:c>
      <x:c r="F2047" s="6" t="str">
        <x:v>train</x:v>
      </x:c>
      <x:c r="G2047" s="6" t="str">
        <x:v>swiss-210</x:v>
      </x:c>
      <x:c r="H2047" s="6" t="str">
        <x:v>swiss-210-Q08</x:v>
      </x:c>
      <x:c r="I2047" s="6" t="str">
        <x:v>Route planning</x:v>
      </x:c>
      <x:c r="J2047" s="6" t="str">
        <x:v>Warm-up</x:v>
      </x:c>
      <x:c r="K2047" s="6" t="str">
        <x:v>Ordered stops, path for each leg and total metres.</x:v>
      </x:c>
      <x:c r="L2047" s="6" t="str">
        <x:v>T02, T05, T13</x:v>
      </x:c>
      <x:c r="M2047" s="6" t="str">
        <x:v>Visit multiple rooms in the order specified.</x:v>
      </x:c>
      <x:c r="N2047" s="6" t="str">
        <x:v>{"stops":["swiss-210-F1-S044","swiss-210-F3-S007","swiss-210-F1-S005"],"optimal_length_m":93.55,"legs":[{"from_space_id":"swiss-210-F1-S044","to_space_id":"swiss-210-F3-S007","optimal_length_m":46.19,"space_path":["swiss-210-F1-S044","swiss-210-F1-S039","swiss-210-F1-S055","swiss-210-F2-S055","swiss-210-F3-S055","swiss-210-F3-S005","swiss-210-F3-S007"],"element_path":["swiss-210-F1-O0108","swiss-210-F1-O0108","swiss-210-F1-O0104","swiss-210-F1-O0104","swiss-210-V01","swiss-210-V01","swiss-210-F3-O0204","swiss-210-F3-O0204","swiss-210-F3-O0198","swiss-210-F3-O0198"]},{"from_space_id":"swiss-210-F3-S007","to_space_id":"swiss-210-F1-S005","optimal_length_m":47.36,"space_path":["swiss-210-F3-S007","swiss-210-F3-S005","swiss-210-F3-S055","swiss-210-F2-S055","swiss-210-F1-S055","swiss-210-F1-S010","swiss-210-F1-S005"],"element_path":["swiss-210-F3-O0198","swiss-210-F3-O0198","swiss-210-F3-O0204","swiss-210-F3-O0204","swiss-210-V01","swiss-210-V01","swiss-210-F1-O0070","swiss-210-F1-O0070","swiss-210-F1-O0063","swiss-210-F1-O0063"]}]}</x:v>
      </x:c>
      <x:c r="O2047" s="6"/>
      <x:c r="P2047" s="6" t="str">
        <x:v>Preserve stated visit order. Do not optimize stop order.</x:v>
      </x:c>
      <x:c r="Q2047" s="15" t="n">
        <x:v>93.55</x:v>
      </x:c>
      <x:c r="R2047" s="6" t="str">
        <x:v>m</x:v>
      </x:c>
      <x:c r="S2047" s="16"/>
      <x:c r="T2047" s="15"/>
      <x:c r="U2047" s="6"/>
      <x:c r="V2047" s="6"/>
      <x:c r="W2047" s="6" t="str">
        <x:v>Existing find_route(via=[...]).</x:v>
      </x:c>
      <x:c r="X2047" s="6" t="str">
        <x:v>data/train/swiss-210/questions_basic.jsonl</x:v>
      </x:c>
      <x:c r="Y2047" s="14" t="n">
        <x:v>8</x:v>
      </x:c>
      <x:c r="Z2047" s="6" t="str">
        <x:v>https://github.com/hagenhaeussler/Industrial-Agents-Hackathon-2026/blob/f41616590b69f3ea0c1cbfb41d6c35edd9ce53df/data/train/swiss-210/questions_basic.jsonl#L8</x:v>
      </x:c>
      <x:c r="AA2047" s="6" t="str">
        <x:v>swiss_dwellings</x:v>
      </x:c>
      <x:c r="AB2047" s="6" t="str">
        <x:v>CC-BY-4.0</x:v>
      </x:c>
    </x:row>
    <x:row r="2048" ht="166" customHeight="1">
      <x:c r="A2048" s="14" t="n">
        <x:v>2043</x:v>
      </x:c>
      <x:c r="B2048" s="6" t="str">
        <x:v>tour</x:v>
      </x:c>
      <x:c r="C2048" s="6" t="str">
        <x:v>Starting at Living room 0.02 (apartment 1) (Ground floor), visit Kitchen 3.19 (apartment 12) (Floor 3), then Bedroom 3.06 (apartment 10) (Floor 3) in this order. What is the route?</x:v>
      </x:c>
      <x:c r="D2048" s="6" t="str">
        <x:v>70.51 m total
Stops: Living room 0.02 (apartment 1) → Kitchen 3.19 (apartment 12) → Bedroom 3.06 (apartment 10)
Leg lengths (m): 54.89, 15.62
Full paths are in Answer JSON.</x:v>
      </x:c>
      <x:c r="E2048" s="6" t="str">
        <x:v>Reference supplied</x:v>
      </x:c>
      <x:c r="F2048" s="6" t="str">
        <x:v>train</x:v>
      </x:c>
      <x:c r="G2048" s="6" t="str">
        <x:v>swiss-22</x:v>
      </x:c>
      <x:c r="H2048" s="6" t="str">
        <x:v>swiss-22-Q07</x:v>
      </x:c>
      <x:c r="I2048" s="6" t="str">
        <x:v>Route planning</x:v>
      </x:c>
      <x:c r="J2048" s="6" t="str">
        <x:v>Warm-up</x:v>
      </x:c>
      <x:c r="K2048" s="6" t="str">
        <x:v>Ordered stops, path for each leg and total metres.</x:v>
      </x:c>
      <x:c r="L2048" s="6" t="str">
        <x:v>T02, T05, T13</x:v>
      </x:c>
      <x:c r="M2048" s="6" t="str">
        <x:v>Visit multiple rooms in the order specified.</x:v>
      </x:c>
      <x:c r="N2048" s="6" t="str">
        <x:v>{"stops":["swiss-22-F0-S002","swiss-22-F3-S019","swiss-22-F3-S006"],"optimal_length_m":70.51,"legs":[{"from_space_id":"swiss-22-F0-S002","to_space_id":"swiss-22-F3-S019","optimal_length_m":54.89,"space_path":["swiss-22-F0-S002","swiss-22-F0-S005","swiss-22-F0-S021","swiss-22-F1-S021","swiss-22-F2-S021","swiss-22-F3-S021","swiss-22-F3-S018","swiss-22-F3-S019"],"element_path":["swiss-22-F0-O0007","swiss-22-F0-O0007","swiss-22-F0-O0008","swiss-22-F0-O0008","swiss-22-V01","swiss-22-V01","swiss-22-V01","swiss-22-F3-O0072","swiss-22-F3-O0072","swiss-22-F3-O0077","swiss-22-F3-O0077"]},{"from_space_id":"swiss-22-F3-S019","to_space_id":"swiss-22-F3-S006","optimal_length_m":15.62,"space_path":["swiss-22-F3-S019","swiss-22-F3-S018","swiss-22-F3-S021","swiss-22-F3-S003","swiss-22-F3-S006"],"element_path":["swiss-22-F3-O0077","swiss-22-F3-O0077","swiss-22-F3-O0072","swiss-22-F3-O0072","swiss-22-F3-O0064","swiss-22-F3-O0064","swiss-22-F3-O0066","swiss-22-F3-O0066"]}]}</x:v>
      </x:c>
      <x:c r="O2048" s="6"/>
      <x:c r="P2048" s="6" t="str">
        <x:v>Preserve stated visit order. Do not optimize stop order.</x:v>
      </x:c>
      <x:c r="Q2048" s="15" t="n">
        <x:v>70.51</x:v>
      </x:c>
      <x:c r="R2048" s="6" t="str">
        <x:v>m</x:v>
      </x:c>
      <x:c r="S2048" s="16"/>
      <x:c r="T2048" s="15"/>
      <x:c r="U2048" s="6"/>
      <x:c r="V2048" s="6"/>
      <x:c r="W2048" s="6" t="str">
        <x:v>Existing find_route(via=[...]).</x:v>
      </x:c>
      <x:c r="X2048" s="6" t="str">
        <x:v>data/train/swiss-22/questions_basic.jsonl</x:v>
      </x:c>
      <x:c r="Y2048" s="14" t="n">
        <x:v>7</x:v>
      </x:c>
      <x:c r="Z2048" s="6" t="str">
        <x:v>https://github.com/hagenhaeussler/Industrial-Agents-Hackathon-2026/blob/f41616590b69f3ea0c1cbfb41d6c35edd9ce53df/data/train/swiss-22/questions_basic.jsonl#L7</x:v>
      </x:c>
      <x:c r="AA2048" s="6" t="str">
        <x:v>swiss_dwellings</x:v>
      </x:c>
      <x:c r="AB2048" s="6" t="str">
        <x:v>CC-BY-4.0</x:v>
      </x:c>
    </x:row>
    <x:row r="2049" ht="250" customHeight="1">
      <x:c r="A2049" s="14" t="n">
        <x:v>2044</x:v>
      </x:c>
      <x:c r="B2049" s="6" t="str">
        <x:v>tour</x:v>
      </x:c>
      <x:c r="C2049" s="6" t="str">
        <x:v>Starting at Bedroom 0.42 (apartment 6) (Ground floor), visit Bedroom 1.42 (apartment 11) (Floor 1), then Kitchen 2.15 (apartment 15) (Floor 2) in this order. What is the route?</x:v>
      </x:c>
      <x:c r="D2049" s="6" t="str">
        <x:v>86.96 m total
Stops: Bedroom 0.42 (apartment 6) → Bedroom 1.42 (apartment 11) → Kitchen 2.15 (apartment 15)
Leg lengths (m): 29.77, 57.19
Full paths are in Answer JSON.</x:v>
      </x:c>
      <x:c r="E2049" s="6" t="str">
        <x:v>Reference supplied</x:v>
      </x:c>
      <x:c r="F2049" s="6" t="str">
        <x:v>train</x:v>
      </x:c>
      <x:c r="G2049" s="6" t="str">
        <x:v>swiss-2214</x:v>
      </x:c>
      <x:c r="H2049" s="6" t="str">
        <x:v>swiss-2214-Q07</x:v>
      </x:c>
      <x:c r="I2049" s="6" t="str">
        <x:v>Route planning</x:v>
      </x:c>
      <x:c r="J2049" s="6" t="str">
        <x:v>Warm-up</x:v>
      </x:c>
      <x:c r="K2049" s="6" t="str">
        <x:v>Ordered stops, path for each leg and total metres.</x:v>
      </x:c>
      <x:c r="L2049" s="6" t="str">
        <x:v>T02, T05, T13</x:v>
      </x:c>
      <x:c r="M2049" s="6" t="str">
        <x:v>Visit multiple rooms in the order specified.</x:v>
      </x:c>
      <x:c r="N2049" s="6" t="str">
        <x:v>{"stops":["swiss-2214-F0-S042","swiss-2214-F1-S042","swiss-2214-F2-S015"],"optimal_length_m":86.96,"legs":[{"from_space_id":"swiss-2214-F0-S042","to_space_id":"swiss-2214-F1-S042","optimal_length_m":29.77,"space_path":["swiss-2214-F0-S042","swiss-2214-F0-S044","swiss-2214-F0-S054","outside","swiss-2214-F0-S053","swiss-2214-F1-S064","swiss-2214-F1-S040","swiss-2214-F1-S038","swiss-2214-F1-S042"],"element_path":["swiss-2214-F0-O0042","swiss-2214-F0-O0042","swiss-2214-F0-O0039","swiss-2214-F0-O0039","swiss-2214-F0-O0261","swiss-2214-F0-O0261","swiss-2214-F0-O0260","swiss-2214-F0-O0260","swiss-2214-V06","swiss-2214-F1-O0089","swiss-2214-F1-O0089","swiss-2214-F1-O0112","swiss-2214-F1-O0112","swiss-2214-F1-O0091","swiss-2214-F1-O0091"]},{"from_space_id":"swiss-2214-F1-S042","to_space_id":"swiss-2214-F2-S015","optimal_length_m":57.19,"space_path":["swiss-2214-F1-S042","swiss-2214-F1-S038","swiss-2214-F1-S040","swiss-2214-F1-S064","swiss-2214-F0-S053","outside","swiss-2214-F0-S050","swiss-2214-F1-S062","swiss-2214-F2-S061","swiss-2214-F2-S013","swiss-2214-F2-S017","swiss-2214-F2-S015"],"element_path":["swiss-2214-F1-O0091","swiss-2214-F1-O0091","swiss-2214-F1-O0112","swiss-2214-F1-O0112","swiss-2214-F1-O0089","swiss-2214-F1-O0089","swiss-2214-V06","swiss-2214-F0-O0260","swiss-2214-F0-O0260","swiss-2214-F0-O0257","swiss-2214-F0-O0257","swiss-2214-V04","swiss-2214-V09","swiss-2214-F2-O0130","swiss-2214-F2-O0130","swiss-2214-F2-O0172","swiss-2214-F2-O0172","swiss-2214-F2-O0129","swiss-2214-F2-O0129"]}]}</x:v>
      </x:c>
      <x:c r="O2049" s="6"/>
      <x:c r="P2049" s="6" t="str">
        <x:v>Preserve stated visit order. Do not optimize stop order.</x:v>
      </x:c>
      <x:c r="Q2049" s="15" t="n">
        <x:v>86.96</x:v>
      </x:c>
      <x:c r="R2049" s="6" t="str">
        <x:v>m</x:v>
      </x:c>
      <x:c r="S2049" s="16"/>
      <x:c r="T2049" s="15"/>
      <x:c r="U2049" s="6"/>
      <x:c r="V2049" s="6"/>
      <x:c r="W2049" s="6" t="str">
        <x:v>Existing find_route(via=[...]).</x:v>
      </x:c>
      <x:c r="X2049" s="6" t="str">
        <x:v>data/train/swiss-2214/questions_basic.jsonl</x:v>
      </x:c>
      <x:c r="Y2049" s="14" t="n">
        <x:v>7</x:v>
      </x:c>
      <x:c r="Z2049" s="6" t="str">
        <x:v>https://github.com/hagenhaeussler/Industrial-Agents-Hackathon-2026/blob/f41616590b69f3ea0c1cbfb41d6c35edd9ce53df/data/train/swiss-2214/questions_basic.jsonl#L7</x:v>
      </x:c>
      <x:c r="AA2049" s="6" t="str">
        <x:v>swiss_dwellings</x:v>
      </x:c>
      <x:c r="AB2049" s="6" t="str">
        <x:v>CC-BY-4.0</x:v>
      </x:c>
    </x:row>
    <x:row r="2050" ht="208" customHeight="1">
      <x:c r="A2050" s="14" t="n">
        <x:v>2045</x:v>
      </x:c>
      <x:c r="B2050" s="6" t="str">
        <x:v>tour</x:v>
      </x:c>
      <x:c r="C2050" s="6" t="str">
        <x:v>Starting at Bedroom 2.29 (apartment 12) (Floor 2), visit Bathroom 3.27 (apartment 16) (Floor 3), then Storage 1.17 (apartment 7) (Floor 1) in this order. What is the route?</x:v>
      </x:c>
      <x:c r="D2050" s="6" t="str">
        <x:v>96.46 m total
Stops: Bedroom 2.29 (apartment 12) → Bathroom 3.27 (apartment 16) → Storage 1.17 (apartment 7)
Leg lengths (m): 28.75, 67.71
Full paths are in Answer JSON.</x:v>
      </x:c>
      <x:c r="E2050" s="6" t="str">
        <x:v>Reference supplied</x:v>
      </x:c>
      <x:c r="F2050" s="6" t="str">
        <x:v>train</x:v>
      </x:c>
      <x:c r="G2050" s="6" t="str">
        <x:v>swiss-2216</x:v>
      </x:c>
      <x:c r="H2050" s="6" t="str">
        <x:v>swiss-2216-Q08</x:v>
      </x:c>
      <x:c r="I2050" s="6" t="str">
        <x:v>Route planning</x:v>
      </x:c>
      <x:c r="J2050" s="6" t="str">
        <x:v>Warm-up</x:v>
      </x:c>
      <x:c r="K2050" s="6" t="str">
        <x:v>Ordered stops, path for each leg and total metres.</x:v>
      </x:c>
      <x:c r="L2050" s="6" t="str">
        <x:v>T02, T05, T13</x:v>
      </x:c>
      <x:c r="M2050" s="6" t="str">
        <x:v>Visit multiple rooms in the order specified.</x:v>
      </x:c>
      <x:c r="N2050" s="6" t="str">
        <x:v>{"stops":["swiss-2216-F2-S029","swiss-2216-F3-S027","swiss-2216-F1-S017"],"optimal_length_m":96.46,"legs":[{"from_space_id":"swiss-2216-F2-S029","to_space_id":"swiss-2216-F3-S027","optimal_length_m":28.75,"space_path":["swiss-2216-F2-S029","swiss-2216-F2-S028","swiss-2216-F2-S032","swiss-2216-F3-S032","swiss-2216-F3-S023","swiss-2216-F3-S027"],"element_path":["swiss-2216-F2-O0086","swiss-2216-F2-O0086","swiss-2216-F2-O0089","swiss-2216-F2-O0089","swiss-2216-V01","swiss-2216-F3-O0116","swiss-2216-F3-O0116","swiss-2216-F3-O0115","swiss-2216-F3-O0115"]},{"from_space_id":"swiss-2216-F3-S027","to_space_id":"swiss-2216-F1-S017","optimal_length_m":67.71,"space_path":["swiss-2216-F3-S027","swiss-2216-F3-S023","swiss-2216-F3-S032","swiss-2216-F2-S032","swiss-2216-F1-S032","swiss-2216-F0-S032","outside","swiss-2216-F0-S031","swiss-2216-F1-S031","swiss-2216-F1-S021","swiss-2216-F1-S017"],"element_path":["swiss-2216-F3-O0115","swiss-2216-F3-O0115","swiss-2216-F3-O0116","swiss-2216-F3-O0116","swiss-2216-V01","swiss-2216-V01","swiss-2216-V01","swiss-2216-F0-O0179","swiss-2216-F0-O0179","swiss-2216-F0-O0178","swiss-2216-F0-O0178","swiss-2216-V02","swiss-2216-F1-O0049","swiss-2216-F1-O0049","swiss-2216-F1-O0044","swiss-2216-F1-O0044"]}]}</x:v>
      </x:c>
      <x:c r="O2050" s="6"/>
      <x:c r="P2050" s="6" t="str">
        <x:v>Preserve stated visit order. Do not optimize stop order.</x:v>
      </x:c>
      <x:c r="Q2050" s="15" t="n">
        <x:v>96.46</x:v>
      </x:c>
      <x:c r="R2050" s="6" t="str">
        <x:v>m</x:v>
      </x:c>
      <x:c r="S2050" s="16"/>
      <x:c r="T2050" s="15"/>
      <x:c r="U2050" s="6"/>
      <x:c r="V2050" s="6"/>
      <x:c r="W2050" s="6" t="str">
        <x:v>Existing find_route(via=[...]).</x:v>
      </x:c>
      <x:c r="X2050" s="6" t="str">
        <x:v>data/train/swiss-2216/questions_basic.jsonl</x:v>
      </x:c>
      <x:c r="Y2050" s="14" t="n">
        <x:v>8</x:v>
      </x:c>
      <x:c r="Z2050" s="6" t="str">
        <x:v>https://github.com/hagenhaeussler/Industrial-Agents-Hackathon-2026/blob/f41616590b69f3ea0c1cbfb41d6c35edd9ce53df/data/train/swiss-2216/questions_basic.jsonl#L8</x:v>
      </x:c>
      <x:c r="AA2050" s="6" t="str">
        <x:v>swiss_dwellings</x:v>
      </x:c>
      <x:c r="AB2050" s="6" t="str">
        <x:v>CC-BY-4.0</x:v>
      </x:c>
    </x:row>
    <x:row r="2051" ht="166" customHeight="1">
      <x:c r="A2051" s="14" t="n">
        <x:v>2046</x:v>
      </x:c>
      <x:c r="B2051" s="6" t="str">
        <x:v>tour</x:v>
      </x:c>
      <x:c r="C2051" s="6" t="str">
        <x:v>Starting at Bedroom 1.08 (apartment 3) (Floor 1), visit Bedroom 2.08 (apartment 5) (Floor 2), then Bedroom 1.09 (apartment 3) (Floor 1) in this order. What is the route?</x:v>
      </x:c>
      <x:c r="D2051" s="6" t="str">
        <x:v>56.28 m total
Stops: Bedroom 1.08 (apartment 3) → Bedroom 2.08 (apartment 5) → Bedroom 1.09 (apartment 3)
Leg lengths (m): 27.67, 28.61
Full paths are in Answer JSON.</x:v>
      </x:c>
      <x:c r="E2051" s="6" t="str">
        <x:v>Reference supplied</x:v>
      </x:c>
      <x:c r="F2051" s="6" t="str">
        <x:v>train</x:v>
      </x:c>
      <x:c r="G2051" s="6" t="str">
        <x:v>swiss-2221</x:v>
      </x:c>
      <x:c r="H2051" s="6" t="str">
        <x:v>swiss-2221-Q10</x:v>
      </x:c>
      <x:c r="I2051" s="6" t="str">
        <x:v>Route planning</x:v>
      </x:c>
      <x:c r="J2051" s="6" t="str">
        <x:v>Warm-up</x:v>
      </x:c>
      <x:c r="K2051" s="6" t="str">
        <x:v>Ordered stops, path for each leg and total metres.</x:v>
      </x:c>
      <x:c r="L2051" s="6" t="str">
        <x:v>T02, T05, T13</x:v>
      </x:c>
      <x:c r="M2051" s="6" t="str">
        <x:v>Visit multiple rooms in the order specified.</x:v>
      </x:c>
      <x:c r="N2051" s="6" t="str">
        <x:v>{"stops":["swiss-2221-F1-S008","swiss-2221-F2-S008","swiss-2221-F1-S009"],"optimal_length_m":56.28,"legs":[{"from_space_id":"swiss-2221-F1-S008","to_space_id":"swiss-2221-F2-S008","optimal_length_m":27.67,"space_path":["swiss-2221-F1-S008","swiss-2221-F1-S001","swiss-2221-F1-S017","swiss-2221-F2-S017","swiss-2221-F2-S005","swiss-2221-F2-S008"],"element_path":["swiss-2221-F1-O0020","swiss-2221-F1-O0020","swiss-2221-F1-O0018","swiss-2221-F1-O0018","swiss-2221-V01","swiss-2221-F2-O0042","swiss-2221-F2-O0042","swiss-2221-F2-O0044","swiss-2221-F2-O0044"]},{"from_space_id":"swiss-2221-F2-S008","to_space_id":"swiss-2221-F1-S009","optimal_length_m":28.61,"space_path":["swiss-2221-F2-S008","swiss-2221-F2-S005","swiss-2221-F2-S017","swiss-2221-F1-S017","swiss-2221-F1-S001","swiss-2221-F1-S009"],"element_path":["swiss-2221-F2-O0044","swiss-2221-F2-O0044","swiss-2221-F2-O0042","swiss-2221-F2-O0042","swiss-2221-V01","swiss-2221-F1-O0018","swiss-2221-F1-O0018","swiss-2221-F1-O0027","swiss-2221-F1-O0027"]}]}</x:v>
      </x:c>
      <x:c r="O2051" s="6"/>
      <x:c r="P2051" s="6" t="str">
        <x:v>Preserve stated visit order. Do not optimize stop order.</x:v>
      </x:c>
      <x:c r="Q2051" s="15" t="n">
        <x:v>56.28</x:v>
      </x:c>
      <x:c r="R2051" s="6" t="str">
        <x:v>m</x:v>
      </x:c>
      <x:c r="S2051" s="16"/>
      <x:c r="T2051" s="15"/>
      <x:c r="U2051" s="6"/>
      <x:c r="V2051" s="6"/>
      <x:c r="W2051" s="6" t="str">
        <x:v>Existing find_route(via=[...]).</x:v>
      </x:c>
      <x:c r="X2051" s="6" t="str">
        <x:v>data/train/swiss-2221/questions_basic.jsonl</x:v>
      </x:c>
      <x:c r="Y2051" s="14" t="n">
        <x:v>10</x:v>
      </x:c>
      <x:c r="Z2051" s="6" t="str">
        <x:v>https://github.com/hagenhaeussler/Industrial-Agents-Hackathon-2026/blob/f41616590b69f3ea0c1cbfb41d6c35edd9ce53df/data/train/swiss-2221/questions_basic.jsonl#L10</x:v>
      </x:c>
      <x:c r="AA2051" s="6" t="str">
        <x:v>swiss_dwellings</x:v>
      </x:c>
      <x:c r="AB2051" s="6" t="str">
        <x:v>CC-BY-4.0</x:v>
      </x:c>
    </x:row>
    <x:row r="2052" ht="208" customHeight="1">
      <x:c r="A2052" s="14" t="n">
        <x:v>2047</x:v>
      </x:c>
      <x:c r="B2052" s="6" t="str">
        <x:v>tour</x:v>
      </x:c>
      <x:c r="C2052" s="6" t="str">
        <x:v>Starting at Kitchen 3.45 (apartment 24) (Floor 3), visit Bedroom 1.25 (apartment 10) (Floor 1), then Bedroom 2.40 (apartment 17) (Floor 2) in this order. What is the route?</x:v>
      </x:c>
      <x:c r="D2052" s="6" t="str">
        <x:v>98.55 m total
Stops: Kitchen 3.45 (apartment 24) → Bedroom 1.25 (apartment 10) → Bedroom 2.40 (apartment 17)
Leg lengths (m): 39.27, 59.28
Full paths are in Answer JSON.</x:v>
      </x:c>
      <x:c r="E2052" s="6" t="str">
        <x:v>Reference supplied</x:v>
      </x:c>
      <x:c r="F2052" s="6" t="str">
        <x:v>train</x:v>
      </x:c>
      <x:c r="G2052" s="6" t="str">
        <x:v>swiss-2235</x:v>
      </x:c>
      <x:c r="H2052" s="6" t="str">
        <x:v>swiss-2235-Q08</x:v>
      </x:c>
      <x:c r="I2052" s="6" t="str">
        <x:v>Route planning</x:v>
      </x:c>
      <x:c r="J2052" s="6" t="str">
        <x:v>Warm-up</x:v>
      </x:c>
      <x:c r="K2052" s="6" t="str">
        <x:v>Ordered stops, path for each leg and total metres.</x:v>
      </x:c>
      <x:c r="L2052" s="6" t="str">
        <x:v>T02, T05, T13</x:v>
      </x:c>
      <x:c r="M2052" s="6" t="str">
        <x:v>Visit multiple rooms in the order specified.</x:v>
      </x:c>
      <x:c r="N2052" s="6" t="str">
        <x:v>{"stops":["swiss-2235-F3-S045","swiss-2235-F1-S025","swiss-2235-F2-S040"],"optimal_length_m":98.55,"legs":[{"from_space_id":"swiss-2235-F3-S045","to_space_id":"swiss-2235-F1-S025","optimal_length_m":39.27,"space_path":["swiss-2235-F3-S045","swiss-2235-F3-S046","swiss-2235-F3-S049","swiss-2235-F2-S049","swiss-2235-F1-S049","swiss-2235-F1-S029","swiss-2235-F1-S025"],"element_path":["swiss-2235-F3-O0191","swiss-2235-F3-O0191","swiss-2235-F3-O0193","swiss-2235-F3-O0193","swiss-2235-V04","swiss-2235-V03","swiss-2235-F1-O0080","swiss-2235-F1-O0080","swiss-2235-F1-O0074","swiss-2235-F1-O0074"]},{"from_space_id":"swiss-2235-F1-S025","to_space_id":"swiss-2235-F2-S040","optimal_length_m":59.28,"space_path":["swiss-2235-F1-S025","swiss-2235-F1-S029","swiss-2235-F1-S049","swiss-2235-F0-S049","outside","swiss-2235-F0-S048","swiss-2235-F1-S048","swiss-2235-F2-S048","swiss-2235-F2-S037","swiss-2235-F2-S040"],"element_path":["swiss-2235-F1-O0074","swiss-2235-F1-O0074","swiss-2235-F1-O0080","swiss-2235-F1-O0080","swiss-2235-V02","swiss-2235-F0-O0198","swiss-2235-F0-O0198","swiss-2235-F0-O0197","swiss-2235-F0-O0197","swiss-2235-V01","swiss-2235-V01","swiss-2235-F2-O0134","swiss-2235-F2-O0134","swiss-2235-F2-O0137","swiss-2235-F2-O0137"]}]}</x:v>
      </x:c>
      <x:c r="O2052" s="6"/>
      <x:c r="P2052" s="6" t="str">
        <x:v>Preserve stated visit order. Do not optimize stop order.</x:v>
      </x:c>
      <x:c r="Q2052" s="15" t="n">
        <x:v>98.55</x:v>
      </x:c>
      <x:c r="R2052" s="6" t="str">
        <x:v>m</x:v>
      </x:c>
      <x:c r="S2052" s="16"/>
      <x:c r="T2052" s="15"/>
      <x:c r="U2052" s="6"/>
      <x:c r="V2052" s="6"/>
      <x:c r="W2052" s="6" t="str">
        <x:v>Existing find_route(via=[...]).</x:v>
      </x:c>
      <x:c r="X2052" s="6" t="str">
        <x:v>data/train/swiss-2235/questions_basic.jsonl</x:v>
      </x:c>
      <x:c r="Y2052" s="14" t="n">
        <x:v>8</x:v>
      </x:c>
      <x:c r="Z2052" s="6" t="str">
        <x:v>https://github.com/hagenhaeussler/Industrial-Agents-Hackathon-2026/blob/f41616590b69f3ea0c1cbfb41d6c35edd9ce53df/data/train/swiss-2235/questions_basic.jsonl#L8</x:v>
      </x:c>
      <x:c r="AA2052" s="6" t="str">
        <x:v>swiss_dwellings</x:v>
      </x:c>
      <x:c r="AB2052" s="6" t="str">
        <x:v>CC-BY-4.0</x:v>
      </x:c>
    </x:row>
    <x:row r="2053" ht="222" customHeight="1">
      <x:c r="A2053" s="14" t="n">
        <x:v>2048</x:v>
      </x:c>
      <x:c r="B2053" s="6" t="str">
        <x:v>tour</x:v>
      </x:c>
      <x:c r="C2053" s="6" t="str">
        <x:v>Starting at Living room 0.05 (apartment 1) (Ground floor), visit Living room 2.03 (apartment 15) (Floor 2), then Kitchen 1.54 (apartment 14) (Floor 1) in this order. What is the route?</x:v>
      </x:c>
      <x:c r="D2053" s="6" t="str">
        <x:v>101.55 m total
Stops: Living room 0.05 (apartment 1) → Living room 2.03 (apartment 15) → Kitchen 1.54 (apartment 14)
Leg lengths (m): 41.76, 59.79
Full paths are in Answer JSON.</x:v>
      </x:c>
      <x:c r="E2053" s="6" t="str">
        <x:v>Reference supplied</x:v>
      </x:c>
      <x:c r="F2053" s="6" t="str">
        <x:v>train</x:v>
      </x:c>
      <x:c r="G2053" s="6" t="str">
        <x:v>swiss-2274</x:v>
      </x:c>
      <x:c r="H2053" s="6" t="str">
        <x:v>swiss-2274-Q08</x:v>
      </x:c>
      <x:c r="I2053" s="6" t="str">
        <x:v>Route planning</x:v>
      </x:c>
      <x:c r="J2053" s="6" t="str">
        <x:v>Warm-up</x:v>
      </x:c>
      <x:c r="K2053" s="6" t="str">
        <x:v>Ordered stops, path for each leg and total metres.</x:v>
      </x:c>
      <x:c r="L2053" s="6" t="str">
        <x:v>T02, T05, T13</x:v>
      </x:c>
      <x:c r="M2053" s="6" t="str">
        <x:v>Visit multiple rooms in the order specified.</x:v>
      </x:c>
      <x:c r="N2053" s="6" t="str">
        <x:v>{"stops":["swiss-2274-F0-S005","swiss-2274-F2-S003","swiss-2274-F1-S054"],"optimal_length_m":101.55,"legs":[{"from_space_id":"swiss-2274-F0-S005","to_space_id":"swiss-2274-F2-S003","optimal_length_m":41.76,"space_path":["swiss-2274-F0-S005","swiss-2274-F0-S053","outside","swiss-2274-F0-S056","swiss-2274-F1-S062","swiss-2274-F2-S061","swiss-2274-F2-S008","swiss-2274-F2-S003"],"element_path":["swiss-2274-F0-O0005","swiss-2274-F0-O0005","swiss-2274-F0-O0196","swiss-2274-F0-O0196","swiss-2274-F0-O0199","swiss-2274-F0-O0199","swiss-2274-V05","swiss-2274-V07","swiss-2274-F2-O0139","swiss-2274-F2-O0139","swiss-2274-F2-O0132","swiss-2274-F2-O0132"]},{"from_space_id":"swiss-2274-F2-S003","to_space_id":"swiss-2274-F1-S054","optimal_length_m":59.79,"space_path":["swiss-2274-F2-S003","swiss-2274-F2-S008","swiss-2274-F2-S061","swiss-2274-F1-S062","swiss-2274-F0-S056","outside","swiss-2274-F0-S060","swiss-2274-F1-S060","swiss-2274-F1-S053","swiss-2274-F1-S052","swiss-2274-F1-S054"],"element_path":["swiss-2274-F2-O0132","swiss-2274-F2-O0132","swiss-2274-F2-O0139","swiss-2274-F2-O0139","swiss-2274-V07","swiss-2274-V05","swiss-2274-F0-O0199","swiss-2274-F0-O0199","swiss-2274-F0-O0203","swiss-2274-F0-O0203","swiss-2274-V01","swiss-2274-F1-O0123","swiss-2274-F1-O0123","swiss-2274-F1-O0122","swiss-2274-F1-O0122","swiss-2274-F1-O0121","swiss-2274-F1-O0121"]}]}</x:v>
      </x:c>
      <x:c r="O2053" s="6"/>
      <x:c r="P2053" s="6" t="str">
        <x:v>Preserve stated visit order. Do not optimize stop order.</x:v>
      </x:c>
      <x:c r="Q2053" s="15" t="n">
        <x:v>101.55</x:v>
      </x:c>
      <x:c r="R2053" s="6" t="str">
        <x:v>m</x:v>
      </x:c>
      <x:c r="S2053" s="16"/>
      <x:c r="T2053" s="15"/>
      <x:c r="U2053" s="6"/>
      <x:c r="V2053" s="6"/>
      <x:c r="W2053" s="6" t="str">
        <x:v>Existing find_route(via=[...]).</x:v>
      </x:c>
      <x:c r="X2053" s="6" t="str">
        <x:v>data/train/swiss-2274/questions_basic.jsonl</x:v>
      </x:c>
      <x:c r="Y2053" s="14" t="n">
        <x:v>8</x:v>
      </x:c>
      <x:c r="Z2053" s="6" t="str">
        <x:v>https://github.com/hagenhaeussler/Industrial-Agents-Hackathon-2026/blob/f41616590b69f3ea0c1cbfb41d6c35edd9ce53df/data/train/swiss-2274/questions_basic.jsonl#L8</x:v>
      </x:c>
      <x:c r="AA2053" s="6" t="str">
        <x:v>swiss_dwellings</x:v>
      </x:c>
      <x:c r="AB2053" s="6" t="str">
        <x:v>CC-BY-4.0</x:v>
      </x:c>
    </x:row>
    <x:row r="2054" ht="180" customHeight="1">
      <x:c r="A2054" s="14" t="n">
        <x:v>2049</x:v>
      </x:c>
      <x:c r="B2054" s="6" t="str">
        <x:v>tour</x:v>
      </x:c>
      <x:c r="C2054" s="6" t="str">
        <x:v>Starting at Bathroom 0.12 (apartment 2) (Ground floor), visit Bathroom 2.18 (apartment 15) (Floor 2), then Kitchen 1.42 (apartment 12) (Floor 1) in this order. What is the route?</x:v>
      </x:c>
      <x:c r="D2054" s="6" t="str">
        <x:v>64.84 m total
Stops: Bathroom 0.12 (apartment 2) → Bathroom 2.18 (apartment 15) → Kitchen 1.42 (apartment 12)
Leg lengths (m): 39.56, 25.28
Full paths are in Answer JSON.</x:v>
      </x:c>
      <x:c r="E2054" s="6" t="str">
        <x:v>Reference supplied</x:v>
      </x:c>
      <x:c r="F2054" s="6" t="str">
        <x:v>train</x:v>
      </x:c>
      <x:c r="G2054" s="6" t="str">
        <x:v>swiss-2314</x:v>
      </x:c>
      <x:c r="H2054" s="6" t="str">
        <x:v>swiss-2314-Q08</x:v>
      </x:c>
      <x:c r="I2054" s="6" t="str">
        <x:v>Route planning</x:v>
      </x:c>
      <x:c r="J2054" s="6" t="str">
        <x:v>Warm-up</x:v>
      </x:c>
      <x:c r="K2054" s="6" t="str">
        <x:v>Ordered stops, path for each leg and total metres.</x:v>
      </x:c>
      <x:c r="L2054" s="6" t="str">
        <x:v>T02, T05, T13</x:v>
      </x:c>
      <x:c r="M2054" s="6" t="str">
        <x:v>Visit multiple rooms in the order specified.</x:v>
      </x:c>
      <x:c r="N2054" s="6" t="str">
        <x:v>{"stops":["swiss-2314-F0-S012","swiss-2314-F2-S018","swiss-2314-F1-S042"],"optimal_length_m":64.84,"legs":[{"from_space_id":"swiss-2314-F0-S012","to_space_id":"swiss-2314-F2-S018","optimal_length_m":39.56,"space_path":["swiss-2314-F0-S012","swiss-2314-F0-S007","swiss-2314-F0-S044","swiss-2314-F1-S043","swiss-2314-F2-S022","swiss-2314-F2-S017","swiss-2314-F2-S018"],"element_path":["swiss-2314-F0-O0010","swiss-2314-F0-O0010","swiss-2314-F0-O0004","swiss-2314-F0-O0004","swiss-2314-V01","swiss-2314-V01","swiss-2314-F2-O0109","swiss-2314-F2-O0109","swiss-2314-F2-O0098","swiss-2314-F2-O0098"]},{"from_space_id":"swiss-2314-F2-S018","to_space_id":"swiss-2314-F1-S042","optimal_length_m":25.28,"space_path":["swiss-2314-F2-S018","swiss-2314-F2-S017","swiss-2314-F2-S022","swiss-2314-F1-S043","swiss-2314-F1-S040","swiss-2314-F1-S042"],"element_path":["swiss-2314-F2-O0098","swiss-2314-F2-O0098","swiss-2314-F2-O0109","swiss-2314-F2-O0109","swiss-2314-V01","swiss-2314-F1-O0084","swiss-2314-F1-O0084","swiss-2314-F1-O0085","swiss-2314-F1-O0085"]}]}</x:v>
      </x:c>
      <x:c r="O2054" s="6"/>
      <x:c r="P2054" s="6" t="str">
        <x:v>Preserve stated visit order. Do not optimize stop order.</x:v>
      </x:c>
      <x:c r="Q2054" s="15" t="n">
        <x:v>64.84</x:v>
      </x:c>
      <x:c r="R2054" s="6" t="str">
        <x:v>m</x:v>
      </x:c>
      <x:c r="S2054" s="16"/>
      <x:c r="T2054" s="15"/>
      <x:c r="U2054" s="6"/>
      <x:c r="V2054" s="6"/>
      <x:c r="W2054" s="6" t="str">
        <x:v>Existing find_route(via=[...]).</x:v>
      </x:c>
      <x:c r="X2054" s="6" t="str">
        <x:v>data/train/swiss-2314/questions_basic.jsonl</x:v>
      </x:c>
      <x:c r="Y2054" s="14" t="n">
        <x:v>8</x:v>
      </x:c>
      <x:c r="Z2054" s="6" t="str">
        <x:v>https://github.com/hagenhaeussler/Industrial-Agents-Hackathon-2026/blob/f41616590b69f3ea0c1cbfb41d6c35edd9ce53df/data/train/swiss-2314/questions_basic.jsonl#L8</x:v>
      </x:c>
      <x:c r="AA2054" s="6" t="str">
        <x:v>swiss_dwellings</x:v>
      </x:c>
      <x:c r="AB2054" s="6" t="str">
        <x:v>CC-BY-4.0</x:v>
      </x:c>
    </x:row>
    <x:row r="2055" ht="222" customHeight="1">
      <x:c r="A2055" s="14" t="n">
        <x:v>2050</x:v>
      </x:c>
      <x:c r="B2055" s="6" t="str">
        <x:v>tour</x:v>
      </x:c>
      <x:c r="C2055" s="6" t="str">
        <x:v>Starting at Living room 2.12 (apartment 10) (Floor 2), visit Bedroom 2.15 (apartment 11) (Floor 2), then Bedroom 3.16 (apartment 15) (Floor 3) in this order. What is the route?</x:v>
      </x:c>
      <x:c r="D2055" s="6" t="str">
        <x:v>91.29 m total
Stops: Living room 2.12 (apartment 10) → Bedroom 2.15 (apartment 11) → Bedroom 3.16 (apartment 15)
Leg lengths (m): 62.56, 28.73
Full paths are in Answer JSON.</x:v>
      </x:c>
      <x:c r="E2055" s="6" t="str">
        <x:v>Reference supplied</x:v>
      </x:c>
      <x:c r="F2055" s="6" t="str">
        <x:v>train</x:v>
      </x:c>
      <x:c r="G2055" s="6" t="str">
        <x:v>swiss-2390</x:v>
      </x:c>
      <x:c r="H2055" s="6" t="str">
        <x:v>swiss-2390-Q08</x:v>
      </x:c>
      <x:c r="I2055" s="6" t="str">
        <x:v>Route planning</x:v>
      </x:c>
      <x:c r="J2055" s="6" t="str">
        <x:v>Warm-up</x:v>
      </x:c>
      <x:c r="K2055" s="6" t="str">
        <x:v>Ordered stops, path for each leg and total metres.</x:v>
      </x:c>
      <x:c r="L2055" s="6" t="str">
        <x:v>T02, T05, T13</x:v>
      </x:c>
      <x:c r="M2055" s="6" t="str">
        <x:v>Visit multiple rooms in the order specified.</x:v>
      </x:c>
      <x:c r="N2055" s="6" t="str">
        <x:v>{"stops":["swiss-2390-F2-S012","swiss-2390-F2-S015","swiss-2390-F3-S016"],"optimal_length_m":91.29,"legs":[{"from_space_id":"swiss-2390-F2-S012","to_space_id":"swiss-2390-F2-S015","optimal_length_m":62.56,"space_path":["swiss-2390-F2-S012","swiss-2390-F2-S010","swiss-2390-F2-S030","swiss-2390-F1-S030","swiss-2390-F0-S031","outside","swiss-2390-F0-S032","swiss-2390-F1-S029","swiss-2390-F2-S031","swiss-2390-F2-S019","swiss-2390-F2-S015"],"element_path":["swiss-2390-F2-O0073","swiss-2390-F2-O0073","swiss-2390-F2-O0076","swiss-2390-F2-O0076","swiss-2390-V01","swiss-2390-V01","swiss-2390-F0-O0135","swiss-2390-F0-O0135","swiss-2390-F0-O0136","swiss-2390-F0-O0136","swiss-2390-V02","swiss-2390-V06","swiss-2390-F2-O0080","swiss-2390-F2-O0080","swiss-2390-F2-O0079","swiss-2390-F2-O0079"]},{"from_space_id":"swiss-2390-F2-S015","to_space_id":"swiss-2390-F3-S016","optimal_length_m":28.73,"space_path":["swiss-2390-F2-S015","swiss-2390-F2-S019","swiss-2390-F2-S031","swiss-2390-F2-S032","swiss-2390-F3-S031","swiss-2390-F3-S019","swiss-2390-F3-S016"],"element_path":["swiss-2390-F2-O0079","swiss-2390-F2-O0079","swiss-2390-F2-O0080","swiss-2390-F2-O0080","swiss-2390-F2-O0062","swiss-2390-F2-O0062","swiss-2390-V09","swiss-2390-F3-O0108","swiss-2390-F3-O0108","swiss-2390-F3-O0109","swiss-2390-F3-O0109"]}]}</x:v>
      </x:c>
      <x:c r="O2055" s="6"/>
      <x:c r="P2055" s="6" t="str">
        <x:v>Preserve stated visit order. Do not optimize stop order.</x:v>
      </x:c>
      <x:c r="Q2055" s="15" t="n">
        <x:v>91.29</x:v>
      </x:c>
      <x:c r="R2055" s="6" t="str">
        <x:v>m</x:v>
      </x:c>
      <x:c r="S2055" s="16"/>
      <x:c r="T2055" s="15"/>
      <x:c r="U2055" s="6"/>
      <x:c r="V2055" s="6"/>
      <x:c r="W2055" s="6" t="str">
        <x:v>Existing find_route(via=[...]).</x:v>
      </x:c>
      <x:c r="X2055" s="6" t="str">
        <x:v>data/train/swiss-2390/questions_basic.jsonl</x:v>
      </x:c>
      <x:c r="Y2055" s="14" t="n">
        <x:v>8</x:v>
      </x:c>
      <x:c r="Z2055" s="6" t="str">
        <x:v>https://github.com/hagenhaeussler/Industrial-Agents-Hackathon-2026/blob/f41616590b69f3ea0c1cbfb41d6c35edd9ce53df/data/train/swiss-2390/questions_basic.jsonl#L8</x:v>
      </x:c>
      <x:c r="AA2055" s="6" t="str">
        <x:v>swiss_dwellings</x:v>
      </x:c>
      <x:c r="AB2055" s="6" t="str">
        <x:v>CC-BY-4.0</x:v>
      </x:c>
    </x:row>
    <x:row r="2056" ht="180" customHeight="1">
      <x:c r="A2056" s="14" t="n">
        <x:v>2051</x:v>
      </x:c>
      <x:c r="B2056" s="6" t="str">
        <x:v>tour</x:v>
      </x:c>
      <x:c r="C2056" s="6" t="str">
        <x:v>Starting at Bathroom 2.10 (apartment 8) (Floor 2), visit Kitchen 1.16 (apartment 6) (Floor 1), then Bedroom 2.18 (apartment 9) (Floor 2) in this order. What is the route?</x:v>
      </x:c>
      <x:c r="D2056" s="6" t="str">
        <x:v>68.88 m total
Stops: Bathroom 2.10 (apartment 8) → Kitchen 1.16 (apartment 6) → Bedroom 2.18 (apartment 9)
Leg lengths (m): 46.46, 22.42
Full paths are in Answer JSON.</x:v>
      </x:c>
      <x:c r="E2056" s="6" t="str">
        <x:v>Reference supplied</x:v>
      </x:c>
      <x:c r="F2056" s="6" t="str">
        <x:v>train</x:v>
      </x:c>
      <x:c r="G2056" s="6" t="str">
        <x:v>swiss-2476</x:v>
      </x:c>
      <x:c r="H2056" s="6" t="str">
        <x:v>swiss-2476-Q08</x:v>
      </x:c>
      <x:c r="I2056" s="6" t="str">
        <x:v>Route planning</x:v>
      </x:c>
      <x:c r="J2056" s="6" t="str">
        <x:v>Warm-up</x:v>
      </x:c>
      <x:c r="K2056" s="6" t="str">
        <x:v>Ordered stops, path for each leg and total metres.</x:v>
      </x:c>
      <x:c r="L2056" s="6" t="str">
        <x:v>T02, T05, T13</x:v>
      </x:c>
      <x:c r="M2056" s="6" t="str">
        <x:v>Visit multiple rooms in the order specified.</x:v>
      </x:c>
      <x:c r="N2056" s="6" t="str">
        <x:v>{"stops":["swiss-2476-F2-S010","swiss-2476-F1-S016","swiss-2476-F2-S018"],"optimal_length_m":68.88,"legs":[{"from_space_id":"swiss-2476-F2-S010","to_space_id":"swiss-2476-F1-S016","optimal_length_m":46.46,"space_path":["swiss-2476-F2-S010","swiss-2476-F2-S015","swiss-2476-F2-S023","swiss-2476-F1-S023","swiss-2476-F0-S022","swiss-2476-F1-S022","swiss-2476-F1-S021","swiss-2476-F1-S016"],"element_path":["swiss-2476-F2-O0055","swiss-2476-F2-O0055","swiss-2476-F2-O0049","swiss-2476-F2-O0049","swiss-2476-V03","swiss-2476-V02","swiss-2476-V01","swiss-2476-F1-O0040","swiss-2476-F1-O0040","swiss-2476-F1-O0038","swiss-2476-F1-O0038"]},{"from_space_id":"swiss-2476-F1-S016","to_space_id":"swiss-2476-F2-S018","optimal_length_m":22.42,"space_path":["swiss-2476-F1-S016","swiss-2476-F1-S021","swiss-2476-F1-S022","swiss-2476-F2-S022","swiss-2476-F2-S021","swiss-2476-F2-S018"],"element_path":["swiss-2476-F1-O0038","swiss-2476-F1-O0038","swiss-2476-F1-O0040","swiss-2476-F1-O0040","swiss-2476-V01","swiss-2476-F2-O0063","swiss-2476-F2-O0063","swiss-2476-F2-O0062","swiss-2476-F2-O0062"]}]}</x:v>
      </x:c>
      <x:c r="O2056" s="6"/>
      <x:c r="P2056" s="6" t="str">
        <x:v>Preserve stated visit order. Do not optimize stop order.</x:v>
      </x:c>
      <x:c r="Q2056" s="15" t="n">
        <x:v>68.88</x:v>
      </x:c>
      <x:c r="R2056" s="6" t="str">
        <x:v>m</x:v>
      </x:c>
      <x:c r="S2056" s="16"/>
      <x:c r="T2056" s="15"/>
      <x:c r="U2056" s="6"/>
      <x:c r="V2056" s="6"/>
      <x:c r="W2056" s="6" t="str">
        <x:v>Existing find_route(via=[...]).</x:v>
      </x:c>
      <x:c r="X2056" s="6" t="str">
        <x:v>data/train/swiss-2476/questions_basic.jsonl</x:v>
      </x:c>
      <x:c r="Y2056" s="14" t="n">
        <x:v>8</x:v>
      </x:c>
      <x:c r="Z2056" s="6" t="str">
        <x:v>https://github.com/hagenhaeussler/Industrial-Agents-Hackathon-2026/blob/f41616590b69f3ea0c1cbfb41d6c35edd9ce53df/data/train/swiss-2476/questions_basic.jsonl#L8</x:v>
      </x:c>
      <x:c r="AA2056" s="6" t="str">
        <x:v>swiss_dwellings</x:v>
      </x:c>
      <x:c r="AB2056" s="6" t="str">
        <x:v>CC-BY-4.0</x:v>
      </x:c>
    </x:row>
    <x:row r="2057" ht="180" customHeight="1">
      <x:c r="A2057" s="14" t="n">
        <x:v>2052</x:v>
      </x:c>
      <x:c r="B2057" s="6" t="str">
        <x:v>tour</x:v>
      </x:c>
      <x:c r="C2057" s="6" t="str">
        <x:v>Starting at Bathroom 0.20 (apartment 3) (Ground floor), visit Bedroom 0.12 (apartment 2) (Ground floor), then Kitchen 2.13 (apartment 8) (Floor 2) in this order. What is the route?</x:v>
      </x:c>
      <x:c r="D2057" s="6" t="str">
        <x:v>57.39 m total
Stops: Bathroom 0.20 (apartment 3) → Bedroom 0.12 (apartment 2) → Kitchen 2.13 (apartment 8)
Leg lengths (m): 14.3, 43.09
Full paths are in Answer JSON.</x:v>
      </x:c>
      <x:c r="E2057" s="6" t="str">
        <x:v>Reference supplied</x:v>
      </x:c>
      <x:c r="F2057" s="6" t="str">
        <x:v>train</x:v>
      </x:c>
      <x:c r="G2057" s="6" t="str">
        <x:v>swiss-2482</x:v>
      </x:c>
      <x:c r="H2057" s="6" t="str">
        <x:v>swiss-2482-Q09</x:v>
      </x:c>
      <x:c r="I2057" s="6" t="str">
        <x:v>Route planning</x:v>
      </x:c>
      <x:c r="J2057" s="6" t="str">
        <x:v>Warm-up</x:v>
      </x:c>
      <x:c r="K2057" s="6" t="str">
        <x:v>Ordered stops, path for each leg and total metres.</x:v>
      </x:c>
      <x:c r="L2057" s="6" t="str">
        <x:v>T02, T05, T13</x:v>
      </x:c>
      <x:c r="M2057" s="6" t="str">
        <x:v>Visit multiple rooms in the order specified.</x:v>
      </x:c>
      <x:c r="N2057" s="6" t="str">
        <x:v>{"stops":["swiss-2482-F0-S020","swiss-2482-F0-S012","swiss-2482-F2-S013"],"optimal_length_m":57.39,"legs":[{"from_space_id":"swiss-2482-F0-S020","to_space_id":"swiss-2482-F0-S012","optimal_length_m":14.3,"space_path":["swiss-2482-F0-S020","swiss-2482-F0-S016","swiss-2482-F0-S022","swiss-2482-F0-S009","swiss-2482-F0-S012"],"element_path":["swiss-2482-F0-O0010","swiss-2482-F0-O0010","swiss-2482-F0-O0019","swiss-2482-F0-O0019","swiss-2482-F0-O0012","swiss-2482-F0-O0012","swiss-2482-F0-O0008","swiss-2482-F0-O0008"]},{"from_space_id":"swiss-2482-F0-S012","to_space_id":"swiss-2482-F2-S013","optimal_length_m":43.09,"space_path":["swiss-2482-F0-S012","swiss-2482-F0-S009","swiss-2482-F0-S022","swiss-2482-F1-S022","swiss-2482-F2-S022","swiss-2482-F2-S009","swiss-2482-F2-S010","swiss-2482-F2-S013"],"element_path":["swiss-2482-F0-O0008","swiss-2482-F0-O0008","swiss-2482-F0-O0012","swiss-2482-F0-O0012","swiss-2482-V01","swiss-2482-V01","swiss-2482-F2-O0053","swiss-2482-F2-O0053","swiss-2482-F2-O0055","swiss-2482-F2-O0055","swiss-2482-F2-O0054","swiss-2482-F2-O0054"]}]}</x:v>
      </x:c>
      <x:c r="O2057" s="6"/>
      <x:c r="P2057" s="6" t="str">
        <x:v>Preserve stated visit order. Do not optimize stop order.</x:v>
      </x:c>
      <x:c r="Q2057" s="15" t="n">
        <x:v>57.39</x:v>
      </x:c>
      <x:c r="R2057" s="6" t="str">
        <x:v>m</x:v>
      </x:c>
      <x:c r="S2057" s="16"/>
      <x:c r="T2057" s="15"/>
      <x:c r="U2057" s="6"/>
      <x:c r="V2057" s="6"/>
      <x:c r="W2057" s="6" t="str">
        <x:v>Existing find_route(via=[...]).</x:v>
      </x:c>
      <x:c r="X2057" s="6" t="str">
        <x:v>data/train/swiss-2482/questions_basic.jsonl</x:v>
      </x:c>
      <x:c r="Y2057" s="14" t="n">
        <x:v>9</x:v>
      </x:c>
      <x:c r="Z2057" s="6" t="str">
        <x:v>https://github.com/hagenhaeussler/Industrial-Agents-Hackathon-2026/blob/f41616590b69f3ea0c1cbfb41d6c35edd9ce53df/data/train/swiss-2482/questions_basic.jsonl#L9</x:v>
      </x:c>
      <x:c r="AA2057" s="6" t="str">
        <x:v>swiss_dwellings</x:v>
      </x:c>
      <x:c r="AB2057" s="6" t="str">
        <x:v>CC-BY-4.0</x:v>
      </x:c>
    </x:row>
    <x:row r="2058" ht="152" customHeight="1">
      <x:c r="A2058" s="14" t="n">
        <x:v>2053</x:v>
      </x:c>
      <x:c r="B2058" s="6" t="str">
        <x:v>tour</x:v>
      </x:c>
      <x:c r="C2058" s="6" t="str">
        <x:v>Starting at Kitchen 1.42 (apartment 8) (Floor 1), visit Living room 1.35 (apartment 8) (Floor 1), then Storage 2.42 (apartment 12) (Floor 2) in this order. What is the route?</x:v>
      </x:c>
      <x:c r="D2058" s="6" t="str">
        <x:v>56.57 m total
Stops: Kitchen 1.42 (apartment 8) → Living room 1.35 (apartment 8) → Storage 2.42 (apartment 12)
Leg lengths (m): 3.09, 53.48
Full paths are in Answer JSON.</x:v>
      </x:c>
      <x:c r="E2058" s="6" t="str">
        <x:v>Reference supplied</x:v>
      </x:c>
      <x:c r="F2058" s="6" t="str">
        <x:v>train</x:v>
      </x:c>
      <x:c r="G2058" s="6" t="str">
        <x:v>swiss-256</x:v>
      </x:c>
      <x:c r="H2058" s="6" t="str">
        <x:v>swiss-256-Q07</x:v>
      </x:c>
      <x:c r="I2058" s="6" t="str">
        <x:v>Route planning</x:v>
      </x:c>
      <x:c r="J2058" s="6" t="str">
        <x:v>Warm-up</x:v>
      </x:c>
      <x:c r="K2058" s="6" t="str">
        <x:v>Ordered stops, path for each leg and total metres.</x:v>
      </x:c>
      <x:c r="L2058" s="6" t="str">
        <x:v>T02, T05, T13</x:v>
      </x:c>
      <x:c r="M2058" s="6" t="str">
        <x:v>Visit multiple rooms in the order specified.</x:v>
      </x:c>
      <x:c r="N2058" s="6" t="str">
        <x:v>{"stops":["swiss-256-F1-S042","swiss-256-F1-S035","swiss-256-F2-S042"],"optimal_length_m":56.57,"legs":[{"from_space_id":"swiss-256-F1-S042","to_space_id":"swiss-256-F1-S035","optimal_length_m":3.09,"space_path":["swiss-256-F1-S042","swiss-256-F1-S035"],"element_path":["swiss-256-F1-O0085","swiss-256-F1-O0085"]},{"from_space_id":"swiss-256-F1-S035","to_space_id":"swiss-256-F2-S042","optimal_length_m":53.48,"space_path":["swiss-256-F1-S035","swiss-256-F1-S038","swiss-256-F1-S044","swiss-256-F0-S044","swiss-256-F1-S043","swiss-256-F2-S043","swiss-256-F2-S033","swiss-256-F2-S039","swiss-256-F2-S042"],"element_path":["swiss-256-F1-O0084","swiss-256-F1-O0084","swiss-256-F1-O0074","swiss-256-F1-O0074","swiss-256-V02","swiss-256-V01","swiss-256-V01","swiss-256-F2-O0111","swiss-256-F2-O0111","swiss-256-F2-O0113","swiss-256-F2-O0113","swiss-256-F2-O0114","swiss-256-F2-O0114"]}]}</x:v>
      </x:c>
      <x:c r="O2058" s="6"/>
      <x:c r="P2058" s="6" t="str">
        <x:v>Preserve stated visit order. Do not optimize stop order.</x:v>
      </x:c>
      <x:c r="Q2058" s="15" t="n">
        <x:v>56.57</x:v>
      </x:c>
      <x:c r="R2058" s="6" t="str">
        <x:v>m</x:v>
      </x:c>
      <x:c r="S2058" s="16"/>
      <x:c r="T2058" s="15"/>
      <x:c r="U2058" s="6"/>
      <x:c r="V2058" s="6"/>
      <x:c r="W2058" s="6" t="str">
        <x:v>Existing find_route(via=[...]).</x:v>
      </x:c>
      <x:c r="X2058" s="6" t="str">
        <x:v>data/train/swiss-256/questions_basic.jsonl</x:v>
      </x:c>
      <x:c r="Y2058" s="14" t="n">
        <x:v>7</x:v>
      </x:c>
      <x:c r="Z2058" s="6" t="str">
        <x:v>https://github.com/hagenhaeussler/Industrial-Agents-Hackathon-2026/blob/f41616590b69f3ea0c1cbfb41d6c35edd9ce53df/data/train/swiss-256/questions_basic.jsonl#L7</x:v>
      </x:c>
      <x:c r="AA2058" s="6" t="str">
        <x:v>swiss_dwellings</x:v>
      </x:c>
      <x:c r="AB2058" s="6" t="str">
        <x:v>CC-BY-4.0</x:v>
      </x:c>
    </x:row>
    <x:row r="2059" ht="222" customHeight="1">
      <x:c r="A2059" s="14" t="n">
        <x:v>2054</x:v>
      </x:c>
      <x:c r="B2059" s="6" t="str">
        <x:v>tour</x:v>
      </x:c>
      <x:c r="C2059" s="6" t="str">
        <x:v>Starting at Bathroom 1.08 (apartment 17) (Floor 1), visit Bedroom 3.01 (apartment 42) (Floor 3), then Bedroom 0.38 (apartment 12) (Ground floor) in this order. What is the route?</x:v>
      </x:c>
      <x:c r="D2059" s="6" t="str">
        <x:v>107.98 m total
Stops: Bathroom 1.08 (apartment 17) → Bedroom 3.01 (apartment 42) → Bedroom 0.38 (apartment 12)
Leg lengths (m): 49.17, 58.81
Full paths are in Answer JSON.</x:v>
      </x:c>
      <x:c r="E2059" s="6" t="str">
        <x:v>Reference supplied</x:v>
      </x:c>
      <x:c r="F2059" s="6" t="str">
        <x:v>train</x:v>
      </x:c>
      <x:c r="G2059" s="6" t="str">
        <x:v>swiss-2798</x:v>
      </x:c>
      <x:c r="H2059" s="6" t="str">
        <x:v>swiss-2798-Q08</x:v>
      </x:c>
      <x:c r="I2059" s="6" t="str">
        <x:v>Route planning</x:v>
      </x:c>
      <x:c r="J2059" s="6" t="str">
        <x:v>Warm-up</x:v>
      </x:c>
      <x:c r="K2059" s="6" t="str">
        <x:v>Ordered stops, path for each leg and total metres.</x:v>
      </x:c>
      <x:c r="L2059" s="6" t="str">
        <x:v>T02, T05, T13</x:v>
      </x:c>
      <x:c r="M2059" s="6" t="str">
        <x:v>Visit multiple rooms in the order specified.</x:v>
      </x:c>
      <x:c r="N2059" s="6" t="str">
        <x:v>{"stops":["swiss-2798-F1-S008","swiss-2798-F3-S001","swiss-2798-F0-S038"],"optimal_length_m":107.98,"legs":[{"from_space_id":"swiss-2798-F1-S008","to_space_id":"swiss-2798-F3-S001","optimal_length_m":49.17,"space_path":["swiss-2798-F1-S008","swiss-2798-F1-S006","swiss-2798-F1-S053","swiss-2798-F1-S055","swiss-2798-F1-S054","swiss-2798-F2-S054","swiss-2798-F3-S037","swiss-2798-F3-S003","swiss-2798-F3-S001"],"element_path":["swiss-2798-F1-O0067","swiss-2798-F1-O0067","swiss-2798-F1-O0068","swiss-2798-F1-O0068","swiss-2798-F1-O0062","swiss-2798-F1-O0062","swiss-2798-F1-O0063","swiss-2798-F1-O0063","swiss-2798-V01","swiss-2798-V01","swiss-2798-F3-O0170","swiss-2798-F3-O0170","swiss-2798-F3-O0194","swiss-2798-F3-O0194"]},{"from_space_id":"swiss-2798-F3-S001","to_space_id":"swiss-2798-F0-S038","optimal_length_m":58.81,"space_path":["swiss-2798-F3-S001","swiss-2798-F3-S003","swiss-2798-F3-S037","swiss-2798-F2-S054","swiss-2798-F1-S054","swiss-2798-F0-S054","outside","swiss-2798-F0-S053","swiss-2798-F0-S039","swiss-2798-F0-S038"],"element_path":["swiss-2798-F3-O0194","swiss-2798-F3-O0194","swiss-2798-F3-O0170","swiss-2798-F3-O0170","swiss-2798-V01","swiss-2798-V01","swiss-2798-V01","swiss-2798-F0-O0207","swiss-2798-F0-O0207","swiss-2798-F0-O0206","swiss-2798-F0-O0206","swiss-2798-F0-O0038","swiss-2798-F0-O0038","swiss-2798-F0-O0058","swiss-2798-F0-O0058"]}]}</x:v>
      </x:c>
      <x:c r="O2059" s="6"/>
      <x:c r="P2059" s="6" t="str">
        <x:v>Preserve stated visit order. Do not optimize stop order.</x:v>
      </x:c>
      <x:c r="Q2059" s="15" t="n">
        <x:v>107.98</x:v>
      </x:c>
      <x:c r="R2059" s="6" t="str">
        <x:v>m</x:v>
      </x:c>
      <x:c r="S2059" s="16"/>
      <x:c r="T2059" s="15"/>
      <x:c r="U2059" s="6"/>
      <x:c r="V2059" s="6"/>
      <x:c r="W2059" s="6" t="str">
        <x:v>Existing find_route(via=[...]).</x:v>
      </x:c>
      <x:c r="X2059" s="6" t="str">
        <x:v>data/train/swiss-2798/questions_basic.jsonl</x:v>
      </x:c>
      <x:c r="Y2059" s="14" t="n">
        <x:v>8</x:v>
      </x:c>
      <x:c r="Z2059" s="6" t="str">
        <x:v>https://github.com/hagenhaeussler/Industrial-Agents-Hackathon-2026/blob/f41616590b69f3ea0c1cbfb41d6c35edd9ce53df/data/train/swiss-2798/questions_basic.jsonl#L8</x:v>
      </x:c>
      <x:c r="AA2059" s="6" t="str">
        <x:v>swiss_dwellings</x:v>
      </x:c>
      <x:c r="AB2059" s="6" t="str">
        <x:v>CC-BY-4.0</x:v>
      </x:c>
    </x:row>
    <x:row r="2060" ht="166" customHeight="1">
      <x:c r="A2060" s="14" t="n">
        <x:v>2055</x:v>
      </x:c>
      <x:c r="B2060" s="6" t="str">
        <x:v>tour</x:v>
      </x:c>
      <x:c r="C2060" s="6" t="str">
        <x:v>Starting at Bathroom 1.03 (apartment 3) (Floor 1), visit Bedroom 2.14 (apartment 6) (Floor 2), then Bathroom 1.07 (apartment 3) (Floor 1) in this order. What is the route?</x:v>
      </x:c>
      <x:c r="D2060" s="6" t="str">
        <x:v>68.15 m total
Stops: Bathroom 1.03 (apartment 3) → Bedroom 2.14 (apartment 6) → Bathroom 1.07 (apartment 3)
Leg lengths (m): 30.46, 37.69
Full paths are in Answer JSON.</x:v>
      </x:c>
      <x:c r="E2060" s="6" t="str">
        <x:v>Reference supplied</x:v>
      </x:c>
      <x:c r="F2060" s="6" t="str">
        <x:v>train</x:v>
      </x:c>
      <x:c r="G2060" s="6" t="str">
        <x:v>swiss-28</x:v>
      </x:c>
      <x:c r="H2060" s="6" t="str">
        <x:v>swiss-28-Q10</x:v>
      </x:c>
      <x:c r="I2060" s="6" t="str">
        <x:v>Route planning</x:v>
      </x:c>
      <x:c r="J2060" s="6" t="str">
        <x:v>Warm-up</x:v>
      </x:c>
      <x:c r="K2060" s="6" t="str">
        <x:v>Ordered stops, path for each leg and total metres.</x:v>
      </x:c>
      <x:c r="L2060" s="6" t="str">
        <x:v>T02, T05, T13</x:v>
      </x:c>
      <x:c r="M2060" s="6" t="str">
        <x:v>Visit multiple rooms in the order specified.</x:v>
      </x:c>
      <x:c r="N2060" s="6" t="str">
        <x:v>{"stops":["swiss-28-F1-S003","swiss-28-F2-S014","swiss-28-F1-S007"],"optimal_length_m":68.15,"legs":[{"from_space_id":"swiss-28-F1-S003","to_space_id":"swiss-28-F2-S014","optimal_length_m":30.46,"space_path":["swiss-28-F1-S003","swiss-28-F1-S008","swiss-28-F1-S019","swiss-28-F2-S019","swiss-28-F2-S018","swiss-28-F2-S014"],"element_path":["swiss-28-F1-O0027","swiss-28-F1-O0027","swiss-28-F1-O0022","swiss-28-F1-O0022","swiss-28-V01","swiss-28-F2-O0058","swiss-28-F2-O0058","swiss-28-F2-O0055","swiss-28-F2-O0055"]},{"from_space_id":"swiss-28-F2-S014","to_space_id":"swiss-28-F1-S007","optimal_length_m":37.69,"space_path":["swiss-28-F2-S014","swiss-28-F2-S018","swiss-28-F2-S019","swiss-28-F1-S019","swiss-28-F1-S008","swiss-28-F1-S004","swiss-28-F1-S007"],"element_path":["swiss-28-F2-O0055","swiss-28-F2-O0055","swiss-28-F2-O0058","swiss-28-F2-O0058","swiss-28-V01","swiss-28-F1-O0022","swiss-28-F1-O0022","swiss-28-F1-O0040","swiss-28-F1-O0040","swiss-28-F1-O0023","swiss-28-F1-O0023"]}]}</x:v>
      </x:c>
      <x:c r="O2060" s="6"/>
      <x:c r="P2060" s="6" t="str">
        <x:v>Preserve stated visit order. Do not optimize stop order.</x:v>
      </x:c>
      <x:c r="Q2060" s="15" t="n">
        <x:v>68.15</x:v>
      </x:c>
      <x:c r="R2060" s="6" t="str">
        <x:v>m</x:v>
      </x:c>
      <x:c r="S2060" s="16"/>
      <x:c r="T2060" s="15"/>
      <x:c r="U2060" s="6"/>
      <x:c r="V2060" s="6"/>
      <x:c r="W2060" s="6" t="str">
        <x:v>Existing find_route(via=[...]).</x:v>
      </x:c>
      <x:c r="X2060" s="6" t="str">
        <x:v>data/train/swiss-28/questions_basic.jsonl</x:v>
      </x:c>
      <x:c r="Y2060" s="14" t="n">
        <x:v>10</x:v>
      </x:c>
      <x:c r="Z2060" s="6" t="str">
        <x:v>https://github.com/hagenhaeussler/Industrial-Agents-Hackathon-2026/blob/f41616590b69f3ea0c1cbfb41d6c35edd9ce53df/data/train/swiss-28/questions_basic.jsonl#L10</x:v>
      </x:c>
      <x:c r="AA2060" s="6" t="str">
        <x:v>swiss_dwellings</x:v>
      </x:c>
      <x:c r="AB2060" s="6" t="str">
        <x:v>CC-BY-4.0</x:v>
      </x:c>
    </x:row>
    <x:row r="2061" ht="166" customHeight="1">
      <x:c r="A2061" s="14" t="n">
        <x:v>2056</x:v>
      </x:c>
      <x:c r="B2061" s="6" t="str">
        <x:v>tour</x:v>
      </x:c>
      <x:c r="C2061" s="6" t="str">
        <x:v>Starting at Bedroom 1.07 (apartment 5) (Floor 1), visit Living room 0.15 (apartment 4) (Ground floor), then Bathroom 0.10 (apartment 3) (Ground floor) in this order. What is the route?</x:v>
      </x:c>
      <x:c r="D2061" s="6" t="str">
        <x:v>46.49 m total
Stops: Bedroom 1.07 (apartment 5) → Living room 0.15 (apartment 4) → Bathroom 0.10 (apartment 3)
Leg lengths (m): 31.56, 14.93
Full paths are in Answer JSON.</x:v>
      </x:c>
      <x:c r="E2061" s="6" t="str">
        <x:v>Reference supplied</x:v>
      </x:c>
      <x:c r="F2061" s="6" t="str">
        <x:v>train</x:v>
      </x:c>
      <x:c r="G2061" s="6" t="str">
        <x:v>swiss-2974</x:v>
      </x:c>
      <x:c r="H2061" s="6" t="str">
        <x:v>swiss-2974-Q08</x:v>
      </x:c>
      <x:c r="I2061" s="6" t="str">
        <x:v>Route planning</x:v>
      </x:c>
      <x:c r="J2061" s="6" t="str">
        <x:v>Warm-up</x:v>
      </x:c>
      <x:c r="K2061" s="6" t="str">
        <x:v>Ordered stops, path for each leg and total metres.</x:v>
      </x:c>
      <x:c r="L2061" s="6" t="str">
        <x:v>T02, T05, T13</x:v>
      </x:c>
      <x:c r="M2061" s="6" t="str">
        <x:v>Visit multiple rooms in the order specified.</x:v>
      </x:c>
      <x:c r="N2061" s="6" t="str">
        <x:v>{"stops":["swiss-2974-F1-S007","swiss-2974-F0-S015","swiss-2974-F0-S010"],"optimal_length_m":46.49,"legs":[{"from_space_id":"swiss-2974-F1-S007","to_space_id":"swiss-2974-F0-S015","optimal_length_m":31.56,"space_path":["swiss-2974-F1-S007","swiss-2974-F1-S002","swiss-2974-F1-S025","swiss-2974-F0-S020","swiss-2974-F0-S017","swiss-2974-F0-S015"],"element_path":["swiss-2974-F1-O0026","swiss-2974-F1-O0026","swiss-2974-F1-O0024","swiss-2974-F1-O0024","swiss-2974-V01","swiss-2974-F0-O0016","swiss-2974-F0-O0016","swiss-2974-F0-O0013","swiss-2974-F0-O0013"]},{"from_space_id":"swiss-2974-F0-S015","to_space_id":"swiss-2974-F0-S010","optimal_length_m":14.93,"space_path":["swiss-2974-F0-S015","swiss-2974-F0-S017","swiss-2974-F0-S020","swiss-2974-F0-S011","swiss-2974-F0-S010"],"element_path":["swiss-2974-F0-O0013","swiss-2974-F0-O0013","swiss-2974-F0-O0016","swiss-2974-F0-O0016","swiss-2974-F0-O0011","swiss-2974-F0-O0011","swiss-2974-F0-O0012","swiss-2974-F0-O0012"]}]}</x:v>
      </x:c>
      <x:c r="O2061" s="6"/>
      <x:c r="P2061" s="6" t="str">
        <x:v>Preserve stated visit order. Do not optimize stop order.</x:v>
      </x:c>
      <x:c r="Q2061" s="15" t="n">
        <x:v>46.49</x:v>
      </x:c>
      <x:c r="R2061" s="6" t="str">
        <x:v>m</x:v>
      </x:c>
      <x:c r="S2061" s="16"/>
      <x:c r="T2061" s="15"/>
      <x:c r="U2061" s="6"/>
      <x:c r="V2061" s="6"/>
      <x:c r="W2061" s="6" t="str">
        <x:v>Existing find_route(via=[...]).</x:v>
      </x:c>
      <x:c r="X2061" s="6" t="str">
        <x:v>data/train/swiss-2974/questions_basic.jsonl</x:v>
      </x:c>
      <x:c r="Y2061" s="14" t="n">
        <x:v>8</x:v>
      </x:c>
      <x:c r="Z2061" s="6" t="str">
        <x:v>https://github.com/hagenhaeussler/Industrial-Agents-Hackathon-2026/blob/f41616590b69f3ea0c1cbfb41d6c35edd9ce53df/data/train/swiss-2974/questions_basic.jsonl#L8</x:v>
      </x:c>
      <x:c r="AA2061" s="6" t="str">
        <x:v>swiss_dwellings</x:v>
      </x:c>
      <x:c r="AB2061" s="6" t="str">
        <x:v>CC-BY-4.0</x:v>
      </x:c>
    </x:row>
    <x:row r="2062" ht="236" customHeight="1">
      <x:c r="A2062" s="14" t="n">
        <x:v>2057</x:v>
      </x:c>
      <x:c r="B2062" s="6" t="str">
        <x:v>tour</x:v>
      </x:c>
      <x:c r="C2062" s="6" t="str">
        <x:v>Starting at Bathroom 3.19 (apartment 20) (Floor 3), visit Bedroom 0.05 (apartment 1) (Ground floor), then Bedroom 3.14 (apartment 20) (Floor 3) in this order. What is the route?</x:v>
      </x:c>
      <x:c r="D2062" s="6" t="str">
        <x:v>116.39 m total
Stops: Bathroom 3.19 (apartment 20) → Bedroom 0.05 (apartment 1) → Bedroom 3.14 (apartment 20)
Leg lengths (m): 57.28, 59.11
Full paths are in Answer JSON.</x:v>
      </x:c>
      <x:c r="E2062" s="6" t="str">
        <x:v>Reference supplied</x:v>
      </x:c>
      <x:c r="F2062" s="6" t="str">
        <x:v>train</x:v>
      </x:c>
      <x:c r="G2062" s="6" t="str">
        <x:v>swiss-2975</x:v>
      </x:c>
      <x:c r="H2062" s="6" t="str">
        <x:v>swiss-2975-Q09</x:v>
      </x:c>
      <x:c r="I2062" s="6" t="str">
        <x:v>Route planning</x:v>
      </x:c>
      <x:c r="J2062" s="6" t="str">
        <x:v>Warm-up</x:v>
      </x:c>
      <x:c r="K2062" s="6" t="str">
        <x:v>Ordered stops, path for each leg and total metres.</x:v>
      </x:c>
      <x:c r="L2062" s="6" t="str">
        <x:v>T02, T05, T13</x:v>
      </x:c>
      <x:c r="M2062" s="6" t="str">
        <x:v>Visit multiple rooms in the order specified.</x:v>
      </x:c>
      <x:c r="N2062" s="6" t="str">
        <x:v>{"stops":["swiss-2975-F3-S019","swiss-2975-F0-S005","swiss-2975-F3-S014"],"optimal_length_m":116.39,"legs":[{"from_space_id":"swiss-2975-F3-S019","to_space_id":"swiss-2975-F0-S005","optimal_length_m":57.28,"space_path":["swiss-2975-F3-S019","swiss-2975-F3-S013","swiss-2975-F3-S012","swiss-2975-F3-S051","swiss-2975-F2-S051","swiss-2975-F1-S051","swiss-2975-F0-S049","swiss-2975-F0-S006","swiss-2975-F0-S001","swiss-2975-F0-S005"],"element_path":["swiss-2975-F3-O0171","swiss-2975-F3-O0171","swiss-2975-F3-O0172","swiss-2975-F3-O0172","swiss-2975-F3-O0165","swiss-2975-F3-O0165","swiss-2975-V01","swiss-2975-V01","swiss-2975-V01","swiss-2975-F0-O0001","swiss-2975-F0-O0001","swiss-2975-F0-O0005","swiss-2975-F0-O0005","swiss-2975-F0-O0009","swiss-2975-F0-O0009"]},{"from_space_id":"swiss-2975-F0-S005","to_space_id":"swiss-2975-F3-S014","optimal_length_m":59.11,"space_path":["swiss-2975-F0-S005","swiss-2975-F0-S001","swiss-2975-F0-S006","swiss-2975-F0-S049","swiss-2975-F1-S051","swiss-2975-F2-S051","swiss-2975-F3-S051","swiss-2975-F3-S012","swiss-2975-F3-S013","swiss-2975-F3-S014"],"element_path":["swiss-2975-F0-O0009","swiss-2975-F0-O0009","swiss-2975-F0-O0005","swiss-2975-F0-O0005","swiss-2975-F0-O0001","swiss-2975-F0-O0001","swiss-2975-V01","swiss-2975-V01","swiss-2975-V01","swiss-2975-F3-O0165","swiss-2975-F3-O0165","swiss-2975-F3-O0172","swiss-2975-F3-O0172","swiss-2975-F3-O0168","swiss-2975-F3-O0168"]}]}</x:v>
      </x:c>
      <x:c r="O2062" s="6"/>
      <x:c r="P2062" s="6" t="str">
        <x:v>Preserve stated visit order. Do not optimize stop order.</x:v>
      </x:c>
      <x:c r="Q2062" s="15" t="n">
        <x:v>116.39</x:v>
      </x:c>
      <x:c r="R2062" s="6" t="str">
        <x:v>m</x:v>
      </x:c>
      <x:c r="S2062" s="16"/>
      <x:c r="T2062" s="15"/>
      <x:c r="U2062" s="6"/>
      <x:c r="V2062" s="6"/>
      <x:c r="W2062" s="6" t="str">
        <x:v>Existing find_route(via=[...]).</x:v>
      </x:c>
      <x:c r="X2062" s="6" t="str">
        <x:v>data/train/swiss-2975/questions_basic.jsonl</x:v>
      </x:c>
      <x:c r="Y2062" s="14" t="n">
        <x:v>9</x:v>
      </x:c>
      <x:c r="Z2062" s="6" t="str">
        <x:v>https://github.com/hagenhaeussler/Industrial-Agents-Hackathon-2026/blob/f41616590b69f3ea0c1cbfb41d6c35edd9ce53df/data/train/swiss-2975/questions_basic.jsonl#L9</x:v>
      </x:c>
      <x:c r="AA2062" s="6" t="str">
        <x:v>swiss_dwellings</x:v>
      </x:c>
      <x:c r="AB2062" s="6" t="str">
        <x:v>CC-BY-4.0</x:v>
      </x:c>
    </x:row>
    <x:row r="2063" ht="208" customHeight="1">
      <x:c r="A2063" s="14" t="n">
        <x:v>2058</x:v>
      </x:c>
      <x:c r="B2063" s="6" t="str">
        <x:v>tour</x:v>
      </x:c>
      <x:c r="C2063" s="6" t="str">
        <x:v>Starting at Bedroom 0.37 (apartment 4) (Ground floor), visit Living room 1.04 (apartment 5) (Floor 1), then Bathroom 0.13 (apartment 2) (Ground floor) in this order. What is the route?</x:v>
      </x:c>
      <x:c r="D2063" s="6" t="str">
        <x:v>56.33 m total
Stops: Bedroom 0.37 (apartment 4) → Living room 1.04 (apartment 5) → Bathroom 0.13 (apartment 2)
Leg lengths (m): 28.77, 27.56
Full paths are in Answer JSON.</x:v>
      </x:c>
      <x:c r="E2063" s="6" t="str">
        <x:v>Reference supplied</x:v>
      </x:c>
      <x:c r="F2063" s="6" t="str">
        <x:v>train</x:v>
      </x:c>
      <x:c r="G2063" s="6" t="str">
        <x:v>swiss-3066</x:v>
      </x:c>
      <x:c r="H2063" s="6" t="str">
        <x:v>swiss-3066-Q09</x:v>
      </x:c>
      <x:c r="I2063" s="6" t="str">
        <x:v>Route planning</x:v>
      </x:c>
      <x:c r="J2063" s="6" t="str">
        <x:v>Warm-up</x:v>
      </x:c>
      <x:c r="K2063" s="6" t="str">
        <x:v>Ordered stops, path for each leg and total metres.</x:v>
      </x:c>
      <x:c r="L2063" s="6" t="str">
        <x:v>T02, T05, T13</x:v>
      </x:c>
      <x:c r="M2063" s="6" t="str">
        <x:v>Visit multiple rooms in the order specified.</x:v>
      </x:c>
      <x:c r="N2063" s="6" t="str">
        <x:v>{"stops":["swiss-3066-F0-S037","swiss-3066-F1-S004","swiss-3066-F0-S013"],"optimal_length_m":56.33,"legs":[{"from_space_id":"swiss-3066-F0-S037","to_space_id":"swiss-3066-F1-S004","optimal_length_m":28.77,"space_path":["swiss-3066-F0-S037","swiss-3066-F0-S035","swiss-3066-F0-S044","outside","swiss-3066-F0-S043","swiss-3066-F1-S043","swiss-3066-F1-S007","swiss-3066-F1-S004"],"element_path":["swiss-3066-F0-O0036","swiss-3066-F0-O0036","swiss-3066-F0-O0031","swiss-3066-F0-O0031","swiss-3066-F0-O0098","swiss-3066-F0-O0098","swiss-3066-F0-O0097","swiss-3066-F0-O0097","swiss-3066-V02","swiss-3066-F1-O0054","swiss-3066-F1-O0054","swiss-3066-F1-O0085","swiss-3066-F1-O0085"]},{"from_space_id":"swiss-3066-F1-S004","to_space_id":"swiss-3066-F0-S013","optimal_length_m":27.56,"space_path":["swiss-3066-F1-S004","swiss-3066-F1-S007","swiss-3066-F1-S043","swiss-3066-F0-S043","outside","swiss-3066-F0-S042","swiss-3066-F0-S016","swiss-3066-F0-S013"],"element_path":["swiss-3066-F1-O0085","swiss-3066-F1-O0085","swiss-3066-F1-O0054","swiss-3066-F1-O0054","swiss-3066-V02","swiss-3066-F0-O0097","swiss-3066-F0-O0097","swiss-3066-F0-O0096","swiss-3066-F0-O0096","swiss-3066-F0-O0021","swiss-3066-F0-O0021","swiss-3066-F0-O0017","swiss-3066-F0-O0017"]}]}</x:v>
      </x:c>
      <x:c r="O2063" s="6"/>
      <x:c r="P2063" s="6" t="str">
        <x:v>Preserve stated visit order. Do not optimize stop order.</x:v>
      </x:c>
      <x:c r="Q2063" s="15" t="n">
        <x:v>56.33</x:v>
      </x:c>
      <x:c r="R2063" s="6" t="str">
        <x:v>m</x:v>
      </x:c>
      <x:c r="S2063" s="16"/>
      <x:c r="T2063" s="15"/>
      <x:c r="U2063" s="6"/>
      <x:c r="V2063" s="6"/>
      <x:c r="W2063" s="6" t="str">
        <x:v>Existing find_route(via=[...]).</x:v>
      </x:c>
      <x:c r="X2063" s="6" t="str">
        <x:v>data/train/swiss-3066/questions_basic.jsonl</x:v>
      </x:c>
      <x:c r="Y2063" s="14" t="n">
        <x:v>9</x:v>
      </x:c>
      <x:c r="Z2063" s="6" t="str">
        <x:v>https://github.com/hagenhaeussler/Industrial-Agents-Hackathon-2026/blob/f41616590b69f3ea0c1cbfb41d6c35edd9ce53df/data/train/swiss-3066/questions_basic.jsonl#L9</x:v>
      </x:c>
      <x:c r="AA2063" s="6" t="str">
        <x:v>swiss_dwellings</x:v>
      </x:c>
      <x:c r="AB2063" s="6" t="str">
        <x:v>CC-BY-4.0</x:v>
      </x:c>
    </x:row>
    <x:row r="2064" ht="250" customHeight="1">
      <x:c r="A2064" s="14" t="n">
        <x:v>2059</x:v>
      </x:c>
      <x:c r="B2064" s="6" t="str">
        <x:v>tour</x:v>
      </x:c>
      <x:c r="C2064" s="6" t="str">
        <x:v>Starting at Bedroom 3.17 (apartment 17) (Floor 3), visit Living room 3.02 (apartment 16) (Floor 3), then Bedroom 3.32 (apartment 19) (Floor 3) in this order. What is the route?</x:v>
      </x:c>
      <x:c r="D2064" s="6" t="str">
        <x:v>209.84 m total
Stops: Bedroom 3.17 (apartment 17) → Living room 3.02 (apartment 16) → Bedroom 3.32 (apartment 19)
Leg lengths (m): 105.29, 104.55
Full paths are in Answer JSON.</x:v>
      </x:c>
      <x:c r="E2064" s="6" t="str">
        <x:v>Reference supplied</x:v>
      </x:c>
      <x:c r="F2064" s="6" t="str">
        <x:v>train</x:v>
      </x:c>
      <x:c r="G2064" s="6" t="str">
        <x:v>swiss-3092</x:v>
      </x:c>
      <x:c r="H2064" s="6" t="str">
        <x:v>swiss-3092-Q07</x:v>
      </x:c>
      <x:c r="I2064" s="6" t="str">
        <x:v>Route planning</x:v>
      </x:c>
      <x:c r="J2064" s="6" t="str">
        <x:v>Warm-up</x:v>
      </x:c>
      <x:c r="K2064" s="6" t="str">
        <x:v>Ordered stops, path for each leg and total metres.</x:v>
      </x:c>
      <x:c r="L2064" s="6" t="str">
        <x:v>T02, T05, T13</x:v>
      </x:c>
      <x:c r="M2064" s="6" t="str">
        <x:v>Visit multiple rooms in the order specified.</x:v>
      </x:c>
      <x:c r="N2064" s="6" t="str">
        <x:v>{"stops":["swiss-3092-F3-S017","swiss-3092-F3-S002","swiss-3092-F3-S032"],"optimal_length_m":209.84,"legs":[{"from_space_id":"swiss-3092-F3-S017","to_space_id":"swiss-3092-F3-S002","optimal_length_m":105.29,"space_path":["swiss-3092-F3-S017","swiss-3092-F3-S013","swiss-3092-F3-S043","swiss-3092-F2-S043","swiss-3092-F1-S043","swiss-3092-F0-S043","outside","swiss-3092-F0-S044","swiss-3092-F1-S044","swiss-3092-F2-S044","swiss-3092-F3-S044","swiss-3092-F3-S002"],"element_path":["swiss-3092-F3-O0145","swiss-3092-F3-O0145","swiss-3092-F3-O0141","swiss-3092-F3-O0141","swiss-3092-V04","swiss-3092-V03","swiss-3092-V02","swiss-3092-F0-O0173","swiss-3092-F0-O0173","swiss-3092-F0-O0174","swiss-3092-F0-O0174","swiss-3092-V01","swiss-3092-V01","swiss-3092-V01","swiss-3092-F3-O0137","swiss-3092-F3-O0137"]},{"from_space_id":"swiss-3092-F3-S002","to_space_id":"swiss-3092-F3-S032","optimal_length_m":104.55,"space_path":["swiss-3092-F3-S002","swiss-3092-F3-S044","swiss-3092-F2-S044","swiss-3092-F1-S044","swiss-3092-F0-S044","outside","swiss-3092-F0-S043","swiss-3092-F1-S043","swiss-3092-F2-S043","swiss-3092-F3-S043","swiss-3092-F3-S036","swiss-3092-F3-S032"],"element_path":["swiss-3092-F3-O0137","swiss-3092-F3-O0137","swiss-3092-V01","swiss-3092-V01","swiss-3092-V01","swiss-3092-F0-O0174","swiss-3092-F0-O0174","swiss-3092-F0-O0173","swiss-3092-F0-O0173","swiss-3092-V02","swiss-3092-V03","swiss-3092-V04","swiss-3092-F3-O0162","swiss-3092-F3-O0162","swiss-3092-F3-O0159","swiss-3092-F3-O0159"]}]}</x:v>
      </x:c>
      <x:c r="O2064" s="6"/>
      <x:c r="P2064" s="6" t="str">
        <x:v>Preserve stated visit order. Do not optimize stop order.</x:v>
      </x:c>
      <x:c r="Q2064" s="15" t="n">
        <x:v>209.84</x:v>
      </x:c>
      <x:c r="R2064" s="6" t="str">
        <x:v>m</x:v>
      </x:c>
      <x:c r="S2064" s="16"/>
      <x:c r="T2064" s="15"/>
      <x:c r="U2064" s="6"/>
      <x:c r="V2064" s="6"/>
      <x:c r="W2064" s="6" t="str">
        <x:v>Existing find_route(via=[...]).</x:v>
      </x:c>
      <x:c r="X2064" s="6" t="str">
        <x:v>data/train/swiss-3092/questions_basic.jsonl</x:v>
      </x:c>
      <x:c r="Y2064" s="14" t="n">
        <x:v>7</x:v>
      </x:c>
      <x:c r="Z2064" s="6" t="str">
        <x:v>https://github.com/hagenhaeussler/Industrial-Agents-Hackathon-2026/blob/f41616590b69f3ea0c1cbfb41d6c35edd9ce53df/data/train/swiss-3092/questions_basic.jsonl#L7</x:v>
      </x:c>
      <x:c r="AA2064" s="6" t="str">
        <x:v>swiss_dwellings</x:v>
      </x:c>
      <x:c r="AB2064" s="6" t="str">
        <x:v>CC-BY-4.0</x:v>
      </x:c>
    </x:row>
    <x:row r="2065" ht="138" customHeight="1">
      <x:c r="A2065" s="14" t="n">
        <x:v>2060</x:v>
      </x:c>
      <x:c r="B2065" s="6" t="str">
        <x:v>tour</x:v>
      </x:c>
      <x:c r="C2065" s="6" t="str">
        <x:v>Starting at Bedroom 2.04 (apartment 5) (Floor 2), visit Kitchen 2.11 (apartment 5) (Floor 2), then Storage 2.01 (apartment 5) (Floor 2) in this order. What is the route?</x:v>
      </x:c>
      <x:c r="D2065" s="6" t="str">
        <x:v>20.59 m total
Stops: Bedroom 2.04 (apartment 5) → Kitchen 2.11 (apartment 5) → Storage 2.01 (apartment 5)
Leg lengths (m): 11.28, 9.31
Full paths are in Answer JSON.</x:v>
      </x:c>
      <x:c r="E2065" s="6" t="str">
        <x:v>Reference supplied</x:v>
      </x:c>
      <x:c r="F2065" s="6" t="str">
        <x:v>train</x:v>
      </x:c>
      <x:c r="G2065" s="6" t="str">
        <x:v>swiss-3096</x:v>
      </x:c>
      <x:c r="H2065" s="6" t="str">
        <x:v>swiss-3096-Q10</x:v>
      </x:c>
      <x:c r="I2065" s="6" t="str">
        <x:v>Route planning</x:v>
      </x:c>
      <x:c r="J2065" s="6" t="str">
        <x:v>Warm-up</x:v>
      </x:c>
      <x:c r="K2065" s="6" t="str">
        <x:v>Ordered stops, path for each leg and total metres.</x:v>
      </x:c>
      <x:c r="L2065" s="6" t="str">
        <x:v>T02, T05, T13</x:v>
      </x:c>
      <x:c r="M2065" s="6" t="str">
        <x:v>Visit multiple rooms in the order specified.</x:v>
      </x:c>
      <x:c r="N2065" s="6" t="str">
        <x:v>{"stops":["swiss-3096-F2-S004","swiss-3096-F2-S011","swiss-3096-F2-S001"],"optimal_length_m":20.59,"legs":[{"from_space_id":"swiss-3096-F2-S004","to_space_id":"swiss-3096-F2-S011","optimal_length_m":11.28,"space_path":["swiss-3096-F2-S004","swiss-3096-F2-S002","swiss-3096-F2-S007","swiss-3096-F2-S011"],"element_path":["swiss-3096-F2-O0056","swiss-3096-F2-O0056","swiss-3096-F2-O0069","swiss-3096-F2-O0069","swiss-3096-F2-O0052","swiss-3096-F2-O0052"]},{"from_space_id":"swiss-3096-F2-S011","to_space_id":"swiss-3096-F2-S001","optimal_length_m":9.31,"space_path":["swiss-3096-F2-S011","swiss-3096-F2-S007","swiss-3096-F2-S002","swiss-3096-F2-S001"],"element_path":["swiss-3096-F2-O0052","swiss-3096-F2-O0052","swiss-3096-F2-O0069","swiss-3096-F2-O0069","swiss-3096-F2-O0051","swiss-3096-F2-O0051"]}]}</x:v>
      </x:c>
      <x:c r="O2065" s="6"/>
      <x:c r="P2065" s="6" t="str">
        <x:v>Preserve stated visit order. Do not optimize stop order.</x:v>
      </x:c>
      <x:c r="Q2065" s="15" t="n">
        <x:v>20.59</x:v>
      </x:c>
      <x:c r="R2065" s="6" t="str">
        <x:v>m</x:v>
      </x:c>
      <x:c r="S2065" s="16"/>
      <x:c r="T2065" s="15"/>
      <x:c r="U2065" s="6"/>
      <x:c r="V2065" s="6"/>
      <x:c r="W2065" s="6" t="str">
        <x:v>Existing find_route(via=[...]).</x:v>
      </x:c>
      <x:c r="X2065" s="6" t="str">
        <x:v>data/train/swiss-3096/questions_basic.jsonl</x:v>
      </x:c>
      <x:c r="Y2065" s="14" t="n">
        <x:v>10</x:v>
      </x:c>
      <x:c r="Z2065" s="6" t="str">
        <x:v>https://github.com/hagenhaeussler/Industrial-Agents-Hackathon-2026/blob/f41616590b69f3ea0c1cbfb41d6c35edd9ce53df/data/train/swiss-3096/questions_basic.jsonl#L10</x:v>
      </x:c>
      <x:c r="AA2065" s="6" t="str">
        <x:v>swiss_dwellings</x:v>
      </x:c>
      <x:c r="AB2065" s="6" t="str">
        <x:v>CC-BY-4.0</x:v>
      </x:c>
    </x:row>
    <x:row r="2066" ht="166" customHeight="1">
      <x:c r="A2066" s="14" t="n">
        <x:v>2061</x:v>
      </x:c>
      <x:c r="B2066" s="6" t="str">
        <x:v>tour</x:v>
      </x:c>
      <x:c r="C2066" s="6" t="str">
        <x:v>Starting at Bedroom 2.20 (apartment 8) (Floor 2), visit Kitchen 2.08 (apartment 7) (Floor 2), then Bedroom 4.15 (apartment 14) (Floor 4) in this order. What is the route?</x:v>
      </x:c>
      <x:c r="D2066" s="6" t="str">
        <x:v>58.76 m total
Stops: Bedroom 2.20 (apartment 8) → Kitchen 2.08 (apartment 7) → Bedroom 4.15 (apartment 14)
Leg lengths (m): 17.38, 41.38
Full paths are in Answer JSON.</x:v>
      </x:c>
      <x:c r="E2066" s="6" t="str">
        <x:v>Reference supplied</x:v>
      </x:c>
      <x:c r="F2066" s="6" t="str">
        <x:v>train</x:v>
      </x:c>
      <x:c r="G2066" s="6" t="str">
        <x:v>swiss-3197</x:v>
      </x:c>
      <x:c r="H2066" s="6" t="str">
        <x:v>swiss-3197-Q08</x:v>
      </x:c>
      <x:c r="I2066" s="6" t="str">
        <x:v>Route planning</x:v>
      </x:c>
      <x:c r="J2066" s="6" t="str">
        <x:v>Warm-up</x:v>
      </x:c>
      <x:c r="K2066" s="6" t="str">
        <x:v>Ordered stops, path for each leg and total metres.</x:v>
      </x:c>
      <x:c r="L2066" s="6" t="str">
        <x:v>T02, T05, T13</x:v>
      </x:c>
      <x:c r="M2066" s="6" t="str">
        <x:v>Visit multiple rooms in the order specified.</x:v>
      </x:c>
      <x:c r="N2066" s="6" t="str">
        <x:v>{"stops":["swiss-3197-F2-S020","swiss-3197-F2-S008","swiss-3197-F4-S015"],"optimal_length_m":58.76,"legs":[{"from_space_id":"swiss-3197-F2-S020","to_space_id":"swiss-3197-F2-S008","optimal_length_m":17.38,"space_path":["swiss-3197-F2-S020","swiss-3197-F2-S016","swiss-3197-F2-S022","swiss-3197-F2-S010","swiss-3197-F2-S008"],"element_path":["swiss-3197-F2-O0054","swiss-3197-F2-O0054","swiss-3197-F2-O0051","swiss-3197-F2-O0051","swiss-3197-F2-O0045","swiss-3197-F2-O0045","swiss-3197-F2-O0057","swiss-3197-F2-O0057"]},{"from_space_id":"swiss-3197-F2-S008","to_space_id":"swiss-3197-F4-S015","optimal_length_m":41.38,"space_path":["swiss-3197-F2-S008","swiss-3197-F2-S010","swiss-3197-F2-S022","swiss-3197-F3-S022","swiss-3197-F4-S022","swiss-3197-F4-S014","swiss-3197-F4-S015"],"element_path":["swiss-3197-F2-O0057","swiss-3197-F2-O0057","swiss-3197-F2-O0045","swiss-3197-F2-O0045","swiss-3197-V01","swiss-3197-V01","swiss-3197-F4-O0096","swiss-3197-F4-O0096","swiss-3197-F4-O0091","swiss-3197-F4-O0091"]}]}</x:v>
      </x:c>
      <x:c r="O2066" s="6"/>
      <x:c r="P2066" s="6" t="str">
        <x:v>Preserve stated visit order. Do not optimize stop order.</x:v>
      </x:c>
      <x:c r="Q2066" s="15" t="n">
        <x:v>58.76</x:v>
      </x:c>
      <x:c r="R2066" s="6" t="str">
        <x:v>m</x:v>
      </x:c>
      <x:c r="S2066" s="16"/>
      <x:c r="T2066" s="15"/>
      <x:c r="U2066" s="6"/>
      <x:c r="V2066" s="6"/>
      <x:c r="W2066" s="6" t="str">
        <x:v>Existing find_route(via=[...]).</x:v>
      </x:c>
      <x:c r="X2066" s="6" t="str">
        <x:v>data/train/swiss-3197/questions_basic.jsonl</x:v>
      </x:c>
      <x:c r="Y2066" s="14" t="n">
        <x:v>8</x:v>
      </x:c>
      <x:c r="Z2066" s="6" t="str">
        <x:v>https://github.com/hagenhaeussler/Industrial-Agents-Hackathon-2026/blob/f41616590b69f3ea0c1cbfb41d6c35edd9ce53df/data/train/swiss-3197/questions_basic.jsonl#L8</x:v>
      </x:c>
      <x:c r="AA2066" s="6" t="str">
        <x:v>swiss_dwellings</x:v>
      </x:c>
      <x:c r="AB2066" s="6" t="str">
        <x:v>CC-BY-4.0</x:v>
      </x:c>
    </x:row>
    <x:row r="2067" ht="180" customHeight="1">
      <x:c r="A2067" s="14" t="n">
        <x:v>2062</x:v>
      </x:c>
      <x:c r="B2067" s="6" t="str">
        <x:v>tour</x:v>
      </x:c>
      <x:c r="C2067" s="6" t="str">
        <x:v>Starting at Bedroom 0.09 (apartment 3) (Ground floor), visit Bathroom 2.09 (apartment 7) (Floor 2), then Living room 2.13 (apartment 7) (Floor 2) in this order. What is the route?</x:v>
      </x:c>
      <x:c r="D2067" s="6" t="str">
        <x:v>58.28 m total
Stops: Bedroom 0.09 (apartment 3) → Bathroom 2.09 (apartment 7) → Living room 2.13 (apartment 7)
Leg lengths (m): 52.95, 5.33
Full paths are in Answer JSON.</x:v>
      </x:c>
      <x:c r="E2067" s="6" t="str">
        <x:v>Reference supplied</x:v>
      </x:c>
      <x:c r="F2067" s="6" t="str">
        <x:v>train</x:v>
      </x:c>
      <x:c r="G2067" s="6" t="str">
        <x:v>swiss-325</x:v>
      </x:c>
      <x:c r="H2067" s="6" t="str">
        <x:v>swiss-325-Q09</x:v>
      </x:c>
      <x:c r="I2067" s="6" t="str">
        <x:v>Route planning</x:v>
      </x:c>
      <x:c r="J2067" s="6" t="str">
        <x:v>Warm-up</x:v>
      </x:c>
      <x:c r="K2067" s="6" t="str">
        <x:v>Ordered stops, path for each leg and total metres.</x:v>
      </x:c>
      <x:c r="L2067" s="6" t="str">
        <x:v>T02, T05, T13</x:v>
      </x:c>
      <x:c r="M2067" s="6" t="str">
        <x:v>Visit multiple rooms in the order specified.</x:v>
      </x:c>
      <x:c r="N2067" s="6" t="str">
        <x:v>{"stops":["swiss-325-F0-S009","swiss-325-F2-S009","swiss-325-F2-S013"],"optimal_length_m":58.28,"legs":[{"from_space_id":"swiss-325-F0-S009","to_space_id":"swiss-325-F2-S009","optimal_length_m":52.95,"space_path":["swiss-325-F0-S009","swiss-325-F0-S010","swiss-325-F0-S017","swiss-325-F0-S015","swiss-325-F0-S020","swiss-325-F1-S021","swiss-325-F2-S015","swiss-325-F2-S008","swiss-325-F2-S013","swiss-325-F2-S014","swiss-325-F2-S009"],"element_path":["swiss-325-F0-O0019","swiss-325-F0-O0019","swiss-325-F0-O0014","swiss-325-F0-O0014","swiss-325-F0-O0017","swiss-325-F0-O0017","swiss-325-F0-O0022","swiss-325-F0-O0022","swiss-325-V01","swiss-325-V01","swiss-325-F2-O0053","swiss-325-F2-O0053","swiss-325-F2-O0058","swiss-325-F2-O0058","swiss-325-F2-O0059","swiss-325-F2-O0059","swiss-325-F2-O0052","swiss-325-F2-O0052"]},{"from_space_id":"swiss-325-F2-S009","to_space_id":"swiss-325-F2-S013","optimal_length_m":5.33,"space_path":["swiss-325-F2-S009","swiss-325-F2-S014","swiss-325-F2-S013"],"element_path":["swiss-325-F2-O0052","swiss-325-F2-O0052","swiss-325-F2-O0059","swiss-325-F2-O0059"]}]}</x:v>
      </x:c>
      <x:c r="O2067" s="6"/>
      <x:c r="P2067" s="6" t="str">
        <x:v>Preserve stated visit order. Do not optimize stop order.</x:v>
      </x:c>
      <x:c r="Q2067" s="15" t="n">
        <x:v>58.28</x:v>
      </x:c>
      <x:c r="R2067" s="6" t="str">
        <x:v>m</x:v>
      </x:c>
      <x:c r="S2067" s="16"/>
      <x:c r="T2067" s="15"/>
      <x:c r="U2067" s="6"/>
      <x:c r="V2067" s="6"/>
      <x:c r="W2067" s="6" t="str">
        <x:v>Existing find_route(via=[...]).</x:v>
      </x:c>
      <x:c r="X2067" s="6" t="str">
        <x:v>data/train/swiss-325/questions_basic.jsonl</x:v>
      </x:c>
      <x:c r="Y2067" s="14" t="n">
        <x:v>9</x:v>
      </x:c>
      <x:c r="Z2067" s="6" t="str">
        <x:v>https://github.com/hagenhaeussler/Industrial-Agents-Hackathon-2026/blob/f41616590b69f3ea0c1cbfb41d6c35edd9ce53df/data/train/swiss-325/questions_basic.jsonl#L9</x:v>
      </x:c>
      <x:c r="AA2067" s="6" t="str">
        <x:v>swiss_dwellings</x:v>
      </x:c>
      <x:c r="AB2067" s="6" t="str">
        <x:v>CC-BY-4.0</x:v>
      </x:c>
    </x:row>
    <x:row r="2068" ht="194" customHeight="1">
      <x:c r="A2068" s="14" t="n">
        <x:v>2063</x:v>
      </x:c>
      <x:c r="B2068" s="6" t="str">
        <x:v>tour</x:v>
      </x:c>
      <x:c r="C2068" s="6" t="str">
        <x:v>Starting at Bathroom 2.05 (apartment 9) (Floor 2), visit Bedroom 0.14 (apartment 2) (Ground floor), then Kitchen 1.23 (apartment 8) (Floor 1) in this order. What is the route?</x:v>
      </x:c>
      <x:c r="D2068" s="6" t="str">
        <x:v>79.27 m total
Stops: Bathroom 2.05 (apartment 9) → Bedroom 0.14 (apartment 2) → Kitchen 1.23 (apartment 8)
Leg lengths (m): 45.11, 34.16
Full paths are in Answer JSON.</x:v>
      </x:c>
      <x:c r="E2068" s="6" t="str">
        <x:v>Reference supplied</x:v>
      </x:c>
      <x:c r="F2068" s="6" t="str">
        <x:v>train</x:v>
      </x:c>
      <x:c r="G2068" s="6" t="str">
        <x:v>swiss-328</x:v>
      </x:c>
      <x:c r="H2068" s="6" t="str">
        <x:v>swiss-328-Q07</x:v>
      </x:c>
      <x:c r="I2068" s="6" t="str">
        <x:v>Route planning</x:v>
      </x:c>
      <x:c r="J2068" s="6" t="str">
        <x:v>Warm-up</x:v>
      </x:c>
      <x:c r="K2068" s="6" t="str">
        <x:v>Ordered stops, path for each leg and total metres.</x:v>
      </x:c>
      <x:c r="L2068" s="6" t="str">
        <x:v>T02, T05, T13</x:v>
      </x:c>
      <x:c r="M2068" s="6" t="str">
        <x:v>Visit multiple rooms in the order specified.</x:v>
      </x:c>
      <x:c r="N2068" s="6" t="str">
        <x:v>{"stops":["swiss-328-F2-S005","swiss-328-F0-S014","swiss-328-F1-S023"],"optimal_length_m":79.27,"legs":[{"from_space_id":"swiss-328-F2-S005","to_space_id":"swiss-328-F0-S014","optimal_length_m":45.11,"space_path":["swiss-328-F2-S005","swiss-328-F2-S006","swiss-328-F2-S003","swiss-328-F2-S029","swiss-328-F1-S029","swiss-328-F0-S029","swiss-328-F0-S010","swiss-328-F0-S014"],"element_path":["swiss-328-F2-O0084","swiss-328-F2-O0084","swiss-328-F2-O0060","swiss-328-F2-O0060","swiss-328-F2-O0061","swiss-328-F2-O0061","swiss-328-V01","swiss-328-V01","swiss-328-F0-O0012","swiss-328-F0-O0012","swiss-328-F0-O0013","swiss-328-F0-O0013"]},{"from_space_id":"swiss-328-F0-S014","to_space_id":"swiss-328-F1-S023","optimal_length_m":34.16,"space_path":["swiss-328-F0-S014","swiss-328-F0-S010","swiss-328-F0-S029","outside","swiss-328-F0-S030","swiss-328-F1-S030","swiss-328-F1-S028","swiss-328-F1-S023"],"element_path":["swiss-328-F0-O0013","swiss-328-F0-O0013","swiss-328-F0-O0012","swiss-328-F0-O0012","swiss-328-F0-O0088","swiss-328-F0-O0088","swiss-328-F0-O0089","swiss-328-F0-O0089","swiss-328-V02","swiss-328-F1-O0053","swiss-328-F1-O0053","swiss-328-F1-O0054","swiss-328-F1-O0054"]}]}</x:v>
      </x:c>
      <x:c r="O2068" s="6"/>
      <x:c r="P2068" s="6" t="str">
        <x:v>Preserve stated visit order. Do not optimize stop order.</x:v>
      </x:c>
      <x:c r="Q2068" s="15" t="n">
        <x:v>79.27</x:v>
      </x:c>
      <x:c r="R2068" s="6" t="str">
        <x:v>m</x:v>
      </x:c>
      <x:c r="S2068" s="16"/>
      <x:c r="T2068" s="15"/>
      <x:c r="U2068" s="6"/>
      <x:c r="V2068" s="6"/>
      <x:c r="W2068" s="6" t="str">
        <x:v>Existing find_route(via=[...]).</x:v>
      </x:c>
      <x:c r="X2068" s="6" t="str">
        <x:v>data/train/swiss-328/questions_basic.jsonl</x:v>
      </x:c>
      <x:c r="Y2068" s="14" t="n">
        <x:v>7</x:v>
      </x:c>
      <x:c r="Z2068" s="6" t="str">
        <x:v>https://github.com/hagenhaeussler/Industrial-Agents-Hackathon-2026/blob/f41616590b69f3ea0c1cbfb41d6c35edd9ce53df/data/train/swiss-328/questions_basic.jsonl#L7</x:v>
      </x:c>
      <x:c r="AA2068" s="6" t="str">
        <x:v>swiss_dwellings</x:v>
      </x:c>
      <x:c r="AB2068" s="6" t="str">
        <x:v>CC-BY-4.0</x:v>
      </x:c>
    </x:row>
    <x:row r="2069" ht="194" customHeight="1">
      <x:c r="A2069" s="14" t="n">
        <x:v>2064</x:v>
      </x:c>
      <x:c r="B2069" s="6" t="str">
        <x:v>tour</x:v>
      </x:c>
      <x:c r="C2069" s="6" t="str">
        <x:v>Starting at Bedroom 3.19 (apartment 14) (Floor 3), visit Bathroom 3.15 (apartment 14) (Floor 3), then Living room 0.35 (apartment 4) (Ground floor) in this order. What is the route?</x:v>
      </x:c>
      <x:c r="D2069" s="6" t="str">
        <x:v>83.37 m total
Stops: Bedroom 3.19 (apartment 14) → Bathroom 3.15 (apartment 14) → Living room 0.35 (apartment 4)
Leg lengths (m): 14.17, 69.2
Full paths are in Answer JSON.</x:v>
      </x:c>
      <x:c r="E2069" s="6" t="str">
        <x:v>Reference supplied</x:v>
      </x:c>
      <x:c r="F2069" s="6" t="str">
        <x:v>train</x:v>
      </x:c>
      <x:c r="G2069" s="6" t="str">
        <x:v>swiss-3284</x:v>
      </x:c>
      <x:c r="H2069" s="6" t="str">
        <x:v>swiss-3284-Q08</x:v>
      </x:c>
      <x:c r="I2069" s="6" t="str">
        <x:v>Route planning</x:v>
      </x:c>
      <x:c r="J2069" s="6" t="str">
        <x:v>Warm-up</x:v>
      </x:c>
      <x:c r="K2069" s="6" t="str">
        <x:v>Ordered stops, path for each leg and total metres.</x:v>
      </x:c>
      <x:c r="L2069" s="6" t="str">
        <x:v>T02, T05, T13</x:v>
      </x:c>
      <x:c r="M2069" s="6" t="str">
        <x:v>Visit multiple rooms in the order specified.</x:v>
      </x:c>
      <x:c r="N2069" s="6" t="str">
        <x:v>{"stops":["swiss-3284-F3-S019","swiss-3284-F3-S015","swiss-3284-F0-S035"],"optimal_length_m":83.37,"legs":[{"from_space_id":"swiss-3284-F3-S019","to_space_id":"swiss-3284-F3-S015","optimal_length_m":14.17,"space_path":["swiss-3284-F3-S019","swiss-3284-F3-S025","swiss-3284-F3-S021","swiss-3284-F3-S015"],"element_path":["swiss-3284-F3-O0163","swiss-3284-F3-O0163","swiss-3284-F3-O0164","swiss-3284-F3-O0164","swiss-3284-F3-O0151","swiss-3284-F3-O0151"]},{"from_space_id":"swiss-3284-F3-S015","to_space_id":"swiss-3284-F0-S035","optimal_length_m":69.2,"space_path":["swiss-3284-F3-S015","swiss-3284-F3-S021","swiss-3284-F3-S027","swiss-3284-F2-S045","swiss-3284-F1-S045","swiss-3284-F0-S045","outside","swiss-3284-F0-S046","swiss-3284-F0-S038","swiss-3284-F0-S036","swiss-3284-F0-S035"],"element_path":["swiss-3284-F3-O0151","swiss-3284-F3-O0151","swiss-3284-F3-O0160","swiss-3284-F3-O0160","swiss-3284-V05","swiss-3284-V04","swiss-3284-V03","swiss-3284-F0-O0165","swiss-3284-F0-O0165","swiss-3284-F0-O0166","swiss-3284-F0-O0166","swiss-3284-F0-O0033","swiss-3284-F0-O0033","swiss-3284-F0-O0046","swiss-3284-F0-O0046","swiss-3284-F0-O0045","swiss-3284-F0-O0045"]}]}</x:v>
      </x:c>
      <x:c r="O2069" s="6"/>
      <x:c r="P2069" s="6" t="str">
        <x:v>Preserve stated visit order. Do not optimize stop order.</x:v>
      </x:c>
      <x:c r="Q2069" s="15" t="n">
        <x:v>83.37</x:v>
      </x:c>
      <x:c r="R2069" s="6" t="str">
        <x:v>m</x:v>
      </x:c>
      <x:c r="S2069" s="16"/>
      <x:c r="T2069" s="15"/>
      <x:c r="U2069" s="6"/>
      <x:c r="V2069" s="6"/>
      <x:c r="W2069" s="6" t="str">
        <x:v>Existing find_route(via=[...]).</x:v>
      </x:c>
      <x:c r="X2069" s="6" t="str">
        <x:v>data/train/swiss-3284/questions_basic.jsonl</x:v>
      </x:c>
      <x:c r="Y2069" s="14" t="n">
        <x:v>8</x:v>
      </x:c>
      <x:c r="Z2069" s="6" t="str">
        <x:v>https://github.com/hagenhaeussler/Industrial-Agents-Hackathon-2026/blob/f41616590b69f3ea0c1cbfb41d6c35edd9ce53df/data/train/swiss-3284/questions_basic.jsonl#L8</x:v>
      </x:c>
      <x:c r="AA2069" s="6" t="str">
        <x:v>swiss_dwellings</x:v>
      </x:c>
      <x:c r="AB2069" s="6" t="str">
        <x:v>CC-BY-4.0</x:v>
      </x:c>
    </x:row>
    <x:row r="2070" ht="166" customHeight="1">
      <x:c r="A2070" s="14" t="n">
        <x:v>2065</x:v>
      </x:c>
      <x:c r="B2070" s="6" t="str">
        <x:v>tour</x:v>
      </x:c>
      <x:c r="C2070" s="6" t="str">
        <x:v>Starting at Bedroom 1.09 (apartment 4) (Floor 1), visit Kitchen 3.15 (apartment 8) (Floor 3), then Bedroom 3.01 (apartment 7) (Floor 3) in this order. What is the route?</x:v>
      </x:c>
      <x:c r="D2070" s="6" t="str">
        <x:v>56.56 m total
Stops: Bedroom 1.09 (apartment 4) → Kitchen 3.15 (apartment 8) → Bedroom 3.01 (apartment 7)
Leg lengths (m): 40.8, 15.76
Full paths are in Answer JSON.</x:v>
      </x:c>
      <x:c r="E2070" s="6" t="str">
        <x:v>Reference supplied</x:v>
      </x:c>
      <x:c r="F2070" s="6" t="str">
        <x:v>train</x:v>
      </x:c>
      <x:c r="G2070" s="6" t="str">
        <x:v>swiss-333</x:v>
      </x:c>
      <x:c r="H2070" s="6" t="str">
        <x:v>swiss-333-Q09</x:v>
      </x:c>
      <x:c r="I2070" s="6" t="str">
        <x:v>Route planning</x:v>
      </x:c>
      <x:c r="J2070" s="6" t="str">
        <x:v>Warm-up</x:v>
      </x:c>
      <x:c r="K2070" s="6" t="str">
        <x:v>Ordered stops, path for each leg and total metres.</x:v>
      </x:c>
      <x:c r="L2070" s="6" t="str">
        <x:v>T02, T05, T13</x:v>
      </x:c>
      <x:c r="M2070" s="6" t="str">
        <x:v>Visit multiple rooms in the order specified.</x:v>
      </x:c>
      <x:c r="N2070" s="6" t="str">
        <x:v>{"stops":["swiss-333-F1-S009","swiss-333-F3-S015","swiss-333-F3-S001"],"optimal_length_m":56.56,"legs":[{"from_space_id":"swiss-333-F1-S009","to_space_id":"swiss-333-F3-S015","optimal_length_m":40.8,"space_path":["swiss-333-F1-S009","swiss-333-F1-S010","swiss-333-F1-S016","swiss-333-F2-S016","swiss-333-F3-S016","swiss-333-F3-S013","swiss-333-F3-S015"],"element_path":["swiss-333-F1-O0031","swiss-333-F1-O0031","swiss-333-F1-O0029","swiss-333-F1-O0029","swiss-333-V01","swiss-333-V01","swiss-333-F3-O0053","swiss-333-F3-O0053","swiss-333-F3-O0062","swiss-333-F3-O0062"]},{"from_space_id":"swiss-333-F3-S015","to_space_id":"swiss-333-F3-S001","optimal_length_m":15.76,"space_path":["swiss-333-F3-S015","swiss-333-F3-S013","swiss-333-F3-S016","swiss-333-F3-S005","swiss-333-F3-S001"],"element_path":["swiss-333-F3-O0062","swiss-333-F3-O0062","swiss-333-F3-O0053","swiss-333-F3-O0053","swiss-333-F3-O0059","swiss-333-F3-O0059","swiss-333-F3-O0058","swiss-333-F3-O0058"]}]}</x:v>
      </x:c>
      <x:c r="O2070" s="6"/>
      <x:c r="P2070" s="6" t="str">
        <x:v>Preserve stated visit order. Do not optimize stop order.</x:v>
      </x:c>
      <x:c r="Q2070" s="15" t="n">
        <x:v>56.56</x:v>
      </x:c>
      <x:c r="R2070" s="6" t="str">
        <x:v>m</x:v>
      </x:c>
      <x:c r="S2070" s="16"/>
      <x:c r="T2070" s="15"/>
      <x:c r="U2070" s="6"/>
      <x:c r="V2070" s="6"/>
      <x:c r="W2070" s="6" t="str">
        <x:v>Existing find_route(via=[...]).</x:v>
      </x:c>
      <x:c r="X2070" s="6" t="str">
        <x:v>data/train/swiss-333/questions_basic.jsonl</x:v>
      </x:c>
      <x:c r="Y2070" s="14" t="n">
        <x:v>9</x:v>
      </x:c>
      <x:c r="Z2070" s="6" t="str">
        <x:v>https://github.com/hagenhaeussler/Industrial-Agents-Hackathon-2026/blob/f41616590b69f3ea0c1cbfb41d6c35edd9ce53df/data/train/swiss-333/questions_basic.jsonl#L9</x:v>
      </x:c>
      <x:c r="AA2070" s="6" t="str">
        <x:v>swiss_dwellings</x:v>
      </x:c>
      <x:c r="AB2070" s="6" t="str">
        <x:v>CC-BY-4.0</x:v>
      </x:c>
    </x:row>
    <x:row r="2071" ht="222" customHeight="1">
      <x:c r="A2071" s="14" t="n">
        <x:v>2066</x:v>
      </x:c>
      <x:c r="B2071" s="6" t="str">
        <x:v>tour</x:v>
      </x:c>
      <x:c r="C2071" s="6" t="str">
        <x:v>Starting at Bedroom 0.16 (apartment 2) (Ground floor), visit Bathroom 0.04 (apartment 1) (Ground floor), then Bedroom 0.31 (apartment 4) (Ground floor) in this order. What is the route?</x:v>
      </x:c>
      <x:c r="D2071" s="6" t="str">
        <x:v>42.71 m total
Stops: Bedroom 0.16 (apartment 2) → Bathroom 0.04 (apartment 1) → Bedroom 0.31 (apartment 4)
Leg lengths (m): 20.34, 22.37
Full paths are in Answer JSON.</x:v>
      </x:c>
      <x:c r="E2071" s="6" t="str">
        <x:v>Reference supplied</x:v>
      </x:c>
      <x:c r="F2071" s="6" t="str">
        <x:v>train</x:v>
      </x:c>
      <x:c r="G2071" s="6" t="str">
        <x:v>swiss-3338</x:v>
      </x:c>
      <x:c r="H2071" s="6" t="str">
        <x:v>swiss-3338-Q08</x:v>
      </x:c>
      <x:c r="I2071" s="6" t="str">
        <x:v>Route planning</x:v>
      </x:c>
      <x:c r="J2071" s="6" t="str">
        <x:v>Warm-up</x:v>
      </x:c>
      <x:c r="K2071" s="6" t="str">
        <x:v>Ordered stops, path for each leg and total metres.</x:v>
      </x:c>
      <x:c r="L2071" s="6" t="str">
        <x:v>T02, T05, T13</x:v>
      </x:c>
      <x:c r="M2071" s="6" t="str">
        <x:v>Visit multiple rooms in the order specified.</x:v>
      </x:c>
      <x:c r="N2071" s="6" t="str">
        <x:v>{"stops":["swiss-3338-F0-S016","swiss-3338-F0-S004","swiss-3338-F0-S031"],"optimal_length_m":42.71,"legs":[{"from_space_id":"swiss-3338-F0-S016","to_space_id":"swiss-3338-F0-S004","optimal_length_m":20.34,"space_path":["swiss-3338-F0-S016","swiss-3338-F0-S010","swiss-3338-F0-S014","swiss-3338-F0-S037","swiss-3338-F0-S009","swiss-3338-F0-S003","swiss-3338-F0-S004"],"element_path":["swiss-3338-F0-O0011","swiss-3338-F0-O0011","swiss-3338-F0-O0020","swiss-3338-F0-O0020","swiss-3338-F0-O0019","swiss-3338-F0-O0019","swiss-3338-F0-O0005","swiss-3338-F0-O0005","swiss-3338-F0-O0009","swiss-3338-F0-O0009","swiss-3338-F0-O0010","swiss-3338-F0-O0010"]},{"from_space_id":"swiss-3338-F0-S004","to_space_id":"swiss-3338-F0-S031","optimal_length_m":22.37,"space_path":["swiss-3338-F0-S004","swiss-3338-F0-S003","swiss-3338-F0-S009","swiss-3338-F0-S037","outside","swiss-3338-F0-S044","swiss-3338-F0-S035","swiss-3338-F0-S036","swiss-3338-F0-S031"],"element_path":["swiss-3338-F0-O0010","swiss-3338-F0-O0010","swiss-3338-F0-O0009","swiss-3338-F0-O0009","swiss-3338-F0-O0005","swiss-3338-F0-O0005","swiss-3338-F0-O0109","swiss-3338-F0-O0109","swiss-3338-F0-O0116","swiss-3338-F0-O0116","swiss-3338-F0-O0040","swiss-3338-F0-O0040","swiss-3338-F0-O0039","swiss-3338-F0-O0039","swiss-3338-F0-O0036","swiss-3338-F0-O0036"]}]}</x:v>
      </x:c>
      <x:c r="O2071" s="6"/>
      <x:c r="P2071" s="6" t="str">
        <x:v>Preserve stated visit order. Do not optimize stop order.</x:v>
      </x:c>
      <x:c r="Q2071" s="15" t="n">
        <x:v>42.71</x:v>
      </x:c>
      <x:c r="R2071" s="6" t="str">
        <x:v>m</x:v>
      </x:c>
      <x:c r="S2071" s="16"/>
      <x:c r="T2071" s="15"/>
      <x:c r="U2071" s="6"/>
      <x:c r="V2071" s="6"/>
      <x:c r="W2071" s="6" t="str">
        <x:v>Existing find_route(via=[...]).</x:v>
      </x:c>
      <x:c r="X2071" s="6" t="str">
        <x:v>data/train/swiss-3338/questions_basic.jsonl</x:v>
      </x:c>
      <x:c r="Y2071" s="14" t="n">
        <x:v>8</x:v>
      </x:c>
      <x:c r="Z2071" s="6" t="str">
        <x:v>https://github.com/hagenhaeussler/Industrial-Agents-Hackathon-2026/blob/f41616590b69f3ea0c1cbfb41d6c35edd9ce53df/data/train/swiss-3338/questions_basic.jsonl#L8</x:v>
      </x:c>
      <x:c r="AA2071" s="6" t="str">
        <x:v>swiss_dwellings</x:v>
      </x:c>
      <x:c r="AB2071" s="6" t="str">
        <x:v>CC-BY-4.0</x:v>
      </x:c>
    </x:row>
    <x:row r="2072" ht="166" customHeight="1">
      <x:c r="A2072" s="14" t="n">
        <x:v>2067</x:v>
      </x:c>
      <x:c r="B2072" s="6" t="str">
        <x:v>tour</x:v>
      </x:c>
      <x:c r="C2072" s="6" t="str">
        <x:v>Starting at Bedroom 0.23 (apartment 4) (Ground floor), visit Bedroom 2.23 (apartment 10) (Floor 2), then Bedroom 2.04 (apartment 8) (Floor 2) in this order. What is the route?</x:v>
      </x:c>
      <x:c r="D2072" s="6" t="str">
        <x:v>54.17 m total
Stops: Bedroom 0.23 (apartment 4) → Bedroom 2.23 (apartment 10) → Bedroom 2.04 (apartment 8)
Leg lengths (m): 40.85, 13.32
Full paths are in Answer JSON.</x:v>
      </x:c>
      <x:c r="E2072" s="6" t="str">
        <x:v>Reference supplied</x:v>
      </x:c>
      <x:c r="F2072" s="6" t="str">
        <x:v>train</x:v>
      </x:c>
      <x:c r="G2072" s="6" t="str">
        <x:v>swiss-3355</x:v>
      </x:c>
      <x:c r="H2072" s="6" t="str">
        <x:v>swiss-3355-Q09</x:v>
      </x:c>
      <x:c r="I2072" s="6" t="str">
        <x:v>Route planning</x:v>
      </x:c>
      <x:c r="J2072" s="6" t="str">
        <x:v>Warm-up</x:v>
      </x:c>
      <x:c r="K2072" s="6" t="str">
        <x:v>Ordered stops, path for each leg and total metres.</x:v>
      </x:c>
      <x:c r="L2072" s="6" t="str">
        <x:v>T02, T05, T13</x:v>
      </x:c>
      <x:c r="M2072" s="6" t="str">
        <x:v>Visit multiple rooms in the order specified.</x:v>
      </x:c>
      <x:c r="N2072" s="6" t="str">
        <x:v>{"stops":["swiss-3355-F0-S023","swiss-3355-F2-S023","swiss-3355-F2-S004"],"optimal_length_m":54.17,"legs":[{"from_space_id":"swiss-3355-F0-S023","to_space_id":"swiss-3355-F2-S023","optimal_length_m":40.85,"space_path":["swiss-3355-F0-S023","swiss-3355-F0-S025","swiss-3355-F0-S028","swiss-3355-F1-S028","swiss-3355-F2-S029","swiss-3355-F2-S023"],"element_path":["swiss-3355-F0-O0029","swiss-3355-F0-O0029","swiss-3355-F0-O0028","swiss-3355-F0-O0028","swiss-3355-V01","swiss-3355-V01","swiss-3355-F2-O0083","swiss-3355-F2-O0083"]},{"from_space_id":"swiss-3355-F2-S023","to_space_id":"swiss-3355-F2-S004","optimal_length_m":13.32,"space_path":["swiss-3355-F2-S023","swiss-3355-F2-S029","swiss-3355-F2-S028","swiss-3355-F2-S001","swiss-3355-F2-S004"],"element_path":["swiss-3355-F2-O0083","swiss-3355-F2-O0083","swiss-3355-F2-O0065","swiss-3355-F2-O0065","swiss-3355-F2-O0073","swiss-3355-F2-O0073","swiss-3355-F2-O0088","swiss-3355-F2-O0088"]}]}</x:v>
      </x:c>
      <x:c r="O2072" s="6"/>
      <x:c r="P2072" s="6" t="str">
        <x:v>Preserve stated visit order. Do not optimize stop order.</x:v>
      </x:c>
      <x:c r="Q2072" s="15" t="n">
        <x:v>54.17</x:v>
      </x:c>
      <x:c r="R2072" s="6" t="str">
        <x:v>m</x:v>
      </x:c>
      <x:c r="S2072" s="16"/>
      <x:c r="T2072" s="15"/>
      <x:c r="U2072" s="6"/>
      <x:c r="V2072" s="6"/>
      <x:c r="W2072" s="6" t="str">
        <x:v>Existing find_route(via=[...]).</x:v>
      </x:c>
      <x:c r="X2072" s="6" t="str">
        <x:v>data/train/swiss-3355/questions_basic.jsonl</x:v>
      </x:c>
      <x:c r="Y2072" s="14" t="n">
        <x:v>9</x:v>
      </x:c>
      <x:c r="Z2072" s="6" t="str">
        <x:v>https://github.com/hagenhaeussler/Industrial-Agents-Hackathon-2026/blob/f41616590b69f3ea0c1cbfb41d6c35edd9ce53df/data/train/swiss-3355/questions_basic.jsonl#L9</x:v>
      </x:c>
      <x:c r="AA2072" s="6" t="str">
        <x:v>swiss_dwellings</x:v>
      </x:c>
      <x:c r="AB2072" s="6" t="str">
        <x:v>CC-BY-4.0</x:v>
      </x:c>
    </x:row>
    <x:row r="2073" ht="152" customHeight="1">
      <x:c r="A2073" s="14" t="n">
        <x:v>2068</x:v>
      </x:c>
      <x:c r="B2073" s="6" t="str">
        <x:v>tour</x:v>
      </x:c>
      <x:c r="C2073" s="6" t="str">
        <x:v>Starting at Kitchen 3.03 (apartment 7) (Floor 3), visit Bathroom 2.10 (apartment 5) (Floor 2), then Bedroom 2.01 (apartment 5) (Floor 2) in this order. What is the route?</x:v>
      </x:c>
      <x:c r="D2073" s="6" t="str">
        <x:v>34.71 m total
Stops: Kitchen 3.03 (apartment 7) → Bathroom 2.10 (apartment 5) → Bedroom 2.01 (apartment 5)
Leg lengths (m): 27.81, 6.9
Full paths are in Answer JSON.</x:v>
      </x:c>
      <x:c r="E2073" s="6" t="str">
        <x:v>Reference supplied</x:v>
      </x:c>
      <x:c r="F2073" s="6" t="str">
        <x:v>train</x:v>
      </x:c>
      <x:c r="G2073" s="6" t="str">
        <x:v>swiss-3418</x:v>
      </x:c>
      <x:c r="H2073" s="6" t="str">
        <x:v>swiss-3418-Q08</x:v>
      </x:c>
      <x:c r="I2073" s="6" t="str">
        <x:v>Route planning</x:v>
      </x:c>
      <x:c r="J2073" s="6" t="str">
        <x:v>Warm-up</x:v>
      </x:c>
      <x:c r="K2073" s="6" t="str">
        <x:v>Ordered stops, path for each leg and total metres.</x:v>
      </x:c>
      <x:c r="L2073" s="6" t="str">
        <x:v>T02, T05, T13</x:v>
      </x:c>
      <x:c r="M2073" s="6" t="str">
        <x:v>Visit multiple rooms in the order specified.</x:v>
      </x:c>
      <x:c r="N2073" s="6" t="str">
        <x:v>{"stops":["swiss-3418-F3-S003","swiss-3418-F2-S010","swiss-3418-F2-S001"],"optimal_length_m":34.71,"legs":[{"from_space_id":"swiss-3418-F3-S003","to_space_id":"swiss-3418-F2-S010","optimal_length_m":27.81,"space_path":["swiss-3418-F3-S003","swiss-3418-F3-S004","swiss-3418-F3-S015","swiss-3418-F2-S023","swiss-3418-F2-S006","swiss-3418-F2-S010"],"element_path":["swiss-3418-F3-O0095","swiss-3418-F3-O0095","swiss-3418-F3-O0083","swiss-3418-F3-O0083","swiss-3418-V01","swiss-3418-F2-O0057","swiss-3418-F2-O0057","swiss-3418-F2-O0059","swiss-3418-F2-O0059"]},{"from_space_id":"swiss-3418-F2-S010","to_space_id":"swiss-3418-F2-S001","optimal_length_m":6.9,"space_path":["swiss-3418-F2-S010","swiss-3418-F2-S006","swiss-3418-F2-S001"],"element_path":["swiss-3418-F2-O0059","swiss-3418-F2-O0059","swiss-3418-F2-O0058","swiss-3418-F2-O0058"]}]}</x:v>
      </x:c>
      <x:c r="O2073" s="6"/>
      <x:c r="P2073" s="6" t="str">
        <x:v>Preserve stated visit order. Do not optimize stop order.</x:v>
      </x:c>
      <x:c r="Q2073" s="15" t="n">
        <x:v>34.71</x:v>
      </x:c>
      <x:c r="R2073" s="6" t="str">
        <x:v>m</x:v>
      </x:c>
      <x:c r="S2073" s="16"/>
      <x:c r="T2073" s="15"/>
      <x:c r="U2073" s="6"/>
      <x:c r="V2073" s="6"/>
      <x:c r="W2073" s="6" t="str">
        <x:v>Existing find_route(via=[...]).</x:v>
      </x:c>
      <x:c r="X2073" s="6" t="str">
        <x:v>data/train/swiss-3418/questions_basic.jsonl</x:v>
      </x:c>
      <x:c r="Y2073" s="14" t="n">
        <x:v>8</x:v>
      </x:c>
      <x:c r="Z2073" s="6" t="str">
        <x:v>https://github.com/hagenhaeussler/Industrial-Agents-Hackathon-2026/blob/f41616590b69f3ea0c1cbfb41d6c35edd9ce53df/data/train/swiss-3418/questions_basic.jsonl#L8</x:v>
      </x:c>
      <x:c r="AA2073" s="6" t="str">
        <x:v>swiss_dwellings</x:v>
      </x:c>
      <x:c r="AB2073" s="6" t="str">
        <x:v>CC-BY-4.0</x:v>
      </x:c>
    </x:row>
    <x:row r="2074" ht="124" customHeight="1">
      <x:c r="A2074" s="14" t="n">
        <x:v>2069</x:v>
      </x:c>
      <x:c r="B2074" s="6" t="str">
        <x:v>tour</x:v>
      </x:c>
      <x:c r="C2074" s="6" t="str">
        <x:v>Starting at Kitchen 1.07 (apartment 2) (Floor 1), visit Bathroom 1.04 (apartment 2) (Floor 1), then Bedroom 1.06 (apartment 2) (Floor 1) in this order. What is the route?</x:v>
      </x:c>
      <x:c r="D2074" s="6" t="str">
        <x:v>17.58 m total
Stops: Kitchen 1.07 (apartment 2) → Bathroom 1.04 (apartment 2) → Bedroom 1.06 (apartment 2)
Leg lengths (m): 8.32, 9.26
Full paths are in Answer JSON.</x:v>
      </x:c>
      <x:c r="E2074" s="6" t="str">
        <x:v>Reference supplied</x:v>
      </x:c>
      <x:c r="F2074" s="6" t="str">
        <x:v>train</x:v>
      </x:c>
      <x:c r="G2074" s="6" t="str">
        <x:v>swiss-373</x:v>
      </x:c>
      <x:c r="H2074" s="6" t="str">
        <x:v>swiss-373-Q10</x:v>
      </x:c>
      <x:c r="I2074" s="6" t="str">
        <x:v>Route planning</x:v>
      </x:c>
      <x:c r="J2074" s="6" t="str">
        <x:v>Warm-up</x:v>
      </x:c>
      <x:c r="K2074" s="6" t="str">
        <x:v>Ordered stops, path for each leg and total metres.</x:v>
      </x:c>
      <x:c r="L2074" s="6" t="str">
        <x:v>T02, T05, T13</x:v>
      </x:c>
      <x:c r="M2074" s="6" t="str">
        <x:v>Visit multiple rooms in the order specified.</x:v>
      </x:c>
      <x:c r="N2074" s="6" t="str">
        <x:v>{"stops":["swiss-373-F1-S007","swiss-373-F1-S004","swiss-373-F1-S006"],"optimal_length_m":17.58,"legs":[{"from_space_id":"swiss-373-F1-S007","to_space_id":"swiss-373-F1-S004","optimal_length_m":8.32,"space_path":["swiss-373-F1-S007","swiss-373-F1-S005","swiss-373-F1-S004"],"element_path":["swiss-373-F1-O0010","swiss-373-F1-O0010","swiss-373-F1-O0017","swiss-373-F1-O0017"]},{"from_space_id":"swiss-373-F1-S004","to_space_id":"swiss-373-F1-S006","optimal_length_m":9.26,"space_path":["swiss-373-F1-S004","swiss-373-F1-S005","swiss-373-F1-S006"],"element_path":["swiss-373-F1-O0017","swiss-373-F1-O0017","swiss-373-F1-O0016","swiss-373-F1-O0016"]}]}</x:v>
      </x:c>
      <x:c r="O2074" s="6"/>
      <x:c r="P2074" s="6" t="str">
        <x:v>Preserve stated visit order. Do not optimize stop order.</x:v>
      </x:c>
      <x:c r="Q2074" s="15" t="n">
        <x:v>17.58</x:v>
      </x:c>
      <x:c r="R2074" s="6" t="str">
        <x:v>m</x:v>
      </x:c>
      <x:c r="S2074" s="16"/>
      <x:c r="T2074" s="15"/>
      <x:c r="U2074" s="6"/>
      <x:c r="V2074" s="6"/>
      <x:c r="W2074" s="6" t="str">
        <x:v>Existing find_route(via=[...]).</x:v>
      </x:c>
      <x:c r="X2074" s="6" t="str">
        <x:v>data/train/swiss-373/questions_basic.jsonl</x:v>
      </x:c>
      <x:c r="Y2074" s="14" t="n">
        <x:v>10</x:v>
      </x:c>
      <x:c r="Z2074" s="6" t="str">
        <x:v>https://github.com/hagenhaeussler/Industrial-Agents-Hackathon-2026/blob/f41616590b69f3ea0c1cbfb41d6c35edd9ce53df/data/train/swiss-373/questions_basic.jsonl#L10</x:v>
      </x:c>
      <x:c r="AA2074" s="6" t="str">
        <x:v>swiss_dwellings</x:v>
      </x:c>
      <x:c r="AB2074" s="6" t="str">
        <x:v>CC-BY-4.0</x:v>
      </x:c>
    </x:row>
    <x:row r="2075" ht="152" customHeight="1">
      <x:c r="A2075" s="14" t="n">
        <x:v>2070</x:v>
      </x:c>
      <x:c r="B2075" s="6" t="str">
        <x:v>tour</x:v>
      </x:c>
      <x:c r="C2075" s="6" t="str">
        <x:v>Starting at Kitchen 4.07 (apartment 5) (Floor 4), visit Bathroom 2.08 (apartment 3) (Floor 2), then Bedroom 2.04 (apartment 3) (Floor 2) in this order. What is the route?</x:v>
      </x:c>
      <x:c r="D2075" s="6" t="str">
        <x:v>46.93 m total
Stops: Kitchen 4.07 (apartment 5) → Bathroom 2.08 (apartment 3) → Bedroom 2.04 (apartment 3)
Leg lengths (m): 39, 7.93
Full paths are in Answer JSON.</x:v>
      </x:c>
      <x:c r="E2075" s="6" t="str">
        <x:v>Reference supplied</x:v>
      </x:c>
      <x:c r="F2075" s="6" t="str">
        <x:v>train</x:v>
      </x:c>
      <x:c r="G2075" s="6" t="str">
        <x:v>swiss-390</x:v>
      </x:c>
      <x:c r="H2075" s="6" t="str">
        <x:v>swiss-390-Q10</x:v>
      </x:c>
      <x:c r="I2075" s="6" t="str">
        <x:v>Route planning</x:v>
      </x:c>
      <x:c r="J2075" s="6" t="str">
        <x:v>Warm-up</x:v>
      </x:c>
      <x:c r="K2075" s="6" t="str">
        <x:v>Ordered stops, path for each leg and total metres.</x:v>
      </x:c>
      <x:c r="L2075" s="6" t="str">
        <x:v>T02, T05, T13</x:v>
      </x:c>
      <x:c r="M2075" s="6" t="str">
        <x:v>Visit multiple rooms in the order specified.</x:v>
      </x:c>
      <x:c r="N2075" s="6" t="str">
        <x:v>{"stops":["swiss-390-F4-S007","swiss-390-F2-S008","swiss-390-F2-S004"],"optimal_length_m":46.93,"legs":[{"from_space_id":"swiss-390-F4-S007","to_space_id":"swiss-390-F2-S008","optimal_length_m":39,"space_path":["swiss-390-F4-S007","swiss-390-F4-S006","swiss-390-F4-S008","swiss-390-F4-S009","swiss-390-F3-S009","swiss-390-F2-S009","swiss-390-F2-S005","swiss-390-F2-S008"],"element_path":["swiss-390-F4-O0041","swiss-390-F4-O0041","swiss-390-F4-O0042","swiss-390-F4-O0042","swiss-390-F4-O0035","swiss-390-F4-O0035","swiss-390-V01","swiss-390-V01","swiss-390-F2-O0020","swiss-390-F2-O0020","swiss-390-F2-O0022","swiss-390-F2-O0022"]},{"from_space_id":"swiss-390-F2-S008","to_space_id":"swiss-390-F2-S004","optimal_length_m":7.93,"space_path":["swiss-390-F2-S008","swiss-390-F2-S005","swiss-390-F2-S004"],"element_path":["swiss-390-F2-O0022","swiss-390-F2-O0022","swiss-390-F2-O0026","swiss-390-F2-O0026"]}]}</x:v>
      </x:c>
      <x:c r="O2075" s="6"/>
      <x:c r="P2075" s="6" t="str">
        <x:v>Preserve stated visit order. Do not optimize stop order.</x:v>
      </x:c>
      <x:c r="Q2075" s="15" t="n">
        <x:v>46.93</x:v>
      </x:c>
      <x:c r="R2075" s="6" t="str">
        <x:v>m</x:v>
      </x:c>
      <x:c r="S2075" s="16"/>
      <x:c r="T2075" s="15"/>
      <x:c r="U2075" s="6"/>
      <x:c r="V2075" s="6"/>
      <x:c r="W2075" s="6" t="str">
        <x:v>Existing find_route(via=[...]).</x:v>
      </x:c>
      <x:c r="X2075" s="6" t="str">
        <x:v>data/train/swiss-390/questions_basic.jsonl</x:v>
      </x:c>
      <x:c r="Y2075" s="14" t="n">
        <x:v>10</x:v>
      </x:c>
      <x:c r="Z2075" s="6" t="str">
        <x:v>https://github.com/hagenhaeussler/Industrial-Agents-Hackathon-2026/blob/f41616590b69f3ea0c1cbfb41d6c35edd9ce53df/data/train/swiss-390/questions_basic.jsonl#L10</x:v>
      </x:c>
      <x:c r="AA2075" s="6" t="str">
        <x:v>swiss_dwellings</x:v>
      </x:c>
      <x:c r="AB2075" s="6" t="str">
        <x:v>CC-BY-4.0</x:v>
      </x:c>
    </x:row>
    <x:row r="2076" ht="166" customHeight="1">
      <x:c r="A2076" s="14" t="n">
        <x:v>2071</x:v>
      </x:c>
      <x:c r="B2076" s="6" t="str">
        <x:v>tour</x:v>
      </x:c>
      <x:c r="C2076" s="6" t="str">
        <x:v>Starting at Bedroom 1.10 (apartment 4) (Floor 1), visit Bathroom 1.18 (apartment 4) (Floor 1), then Bathroom 1.02 (apartment 3) (Floor 1) in this order. What is the route?</x:v>
      </x:c>
      <x:c r="D2076" s="6" t="str">
        <x:v>47.86 m total
Stops: Bedroom 1.10 (apartment 4) → Bathroom 1.18 (apartment 4) → Bathroom 1.02 (apartment 3)
Leg lengths (m): 16.41, 31.45
Full paths are in Answer JSON.</x:v>
      </x:c>
      <x:c r="E2076" s="6" t="str">
        <x:v>Reference supplied</x:v>
      </x:c>
      <x:c r="F2076" s="6" t="str">
        <x:v>train</x:v>
      </x:c>
      <x:c r="G2076" s="6" t="str">
        <x:v>swiss-401</x:v>
      </x:c>
      <x:c r="H2076" s="6" t="str">
        <x:v>swiss-401-Q10</x:v>
      </x:c>
      <x:c r="I2076" s="6" t="str">
        <x:v>Route planning</x:v>
      </x:c>
      <x:c r="J2076" s="6" t="str">
        <x:v>Warm-up</x:v>
      </x:c>
      <x:c r="K2076" s="6" t="str">
        <x:v>Ordered stops, path for each leg and total metres.</x:v>
      </x:c>
      <x:c r="L2076" s="6" t="str">
        <x:v>T02, T05, T13</x:v>
      </x:c>
      <x:c r="M2076" s="6" t="str">
        <x:v>Visit multiple rooms in the order specified.</x:v>
      </x:c>
      <x:c r="N2076" s="6" t="str">
        <x:v>{"stops":["swiss-401-F1-S010","swiss-401-F1-S018","swiss-401-F1-S002"],"optimal_length_m":47.86,"legs":[{"from_space_id":"swiss-401-F1-S010","to_space_id":"swiss-401-F1-S018","optimal_length_m":16.41,"space_path":["swiss-401-F1-S010","swiss-401-F1-S011","swiss-401-F1-S012","swiss-401-F1-S018"],"element_path":["swiss-401-F1-O0046","swiss-401-F1-O0046","swiss-401-F1-O0050","swiss-401-F1-O0050","swiss-401-F1-O0049","swiss-401-F1-O0049"]},{"from_space_id":"swiss-401-F1-S018","to_space_id":"swiss-401-F1-S002","optimal_length_m":31.45,"space_path":["swiss-401-F1-S018","swiss-401-F1-S012","swiss-401-F1-S011","swiss-401-F1-S020","swiss-401-F1-S007","swiss-401-F1-S003","swiss-401-F1-S002"],"element_path":["swiss-401-F1-O0049","swiss-401-F1-O0049","swiss-401-F1-O0050","swiss-401-F1-O0050","swiss-401-F1-O0044","swiss-401-F1-O0044","swiss-401-F1-O0036","swiss-401-F1-O0036","swiss-401-F1-O0029","swiss-401-F1-O0029","swiss-401-F1-O0033","swiss-401-F1-O0033"]}]}</x:v>
      </x:c>
      <x:c r="O2076" s="6"/>
      <x:c r="P2076" s="6" t="str">
        <x:v>Preserve stated visit order. Do not optimize stop order.</x:v>
      </x:c>
      <x:c r="Q2076" s="15" t="n">
        <x:v>47.86</x:v>
      </x:c>
      <x:c r="R2076" s="6" t="str">
        <x:v>m</x:v>
      </x:c>
      <x:c r="S2076" s="16"/>
      <x:c r="T2076" s="15"/>
      <x:c r="U2076" s="6"/>
      <x:c r="V2076" s="6"/>
      <x:c r="W2076" s="6" t="str">
        <x:v>Existing find_route(via=[...]).</x:v>
      </x:c>
      <x:c r="X2076" s="6" t="str">
        <x:v>data/train/swiss-401/questions_basic.jsonl</x:v>
      </x:c>
      <x:c r="Y2076" s="14" t="n">
        <x:v>10</x:v>
      </x:c>
      <x:c r="Z2076" s="6" t="str">
        <x:v>https://github.com/hagenhaeussler/Industrial-Agents-Hackathon-2026/blob/f41616590b69f3ea0c1cbfb41d6c35edd9ce53df/data/train/swiss-401/questions_basic.jsonl#L10</x:v>
      </x:c>
      <x:c r="AA2076" s="6" t="str">
        <x:v>swiss_dwellings</x:v>
      </x:c>
      <x:c r="AB2076" s="6" t="str">
        <x:v>CC-BY-4.0</x:v>
      </x:c>
    </x:row>
    <x:row r="2077" ht="180" customHeight="1">
      <x:c r="A2077" s="14" t="n">
        <x:v>2072</x:v>
      </x:c>
      <x:c r="B2077" s="6" t="str">
        <x:v>tour</x:v>
      </x:c>
      <x:c r="C2077" s="6" t="str">
        <x:v>Starting at Bathroom 2.02 (apartment 5) (Floor 2), visit Bedroom 3.15 (apartment 8) (Floor 3), then Bedroom 2.10 (apartment 6) (Floor 2) in this order. What is the route?</x:v>
      </x:c>
      <x:c r="D2077" s="6" t="str">
        <x:v>69.91 m total
Stops: Bathroom 2.02 (apartment 5) → Bedroom 3.15 (apartment 8) → Bedroom 2.10 (apartment 6)
Leg lengths (m): 34.71, 35.2
Full paths are in Answer JSON.</x:v>
      </x:c>
      <x:c r="E2077" s="6" t="str">
        <x:v>Reference supplied</x:v>
      </x:c>
      <x:c r="F2077" s="6" t="str">
        <x:v>train</x:v>
      </x:c>
      <x:c r="G2077" s="6" t="str">
        <x:v>swiss-430</x:v>
      </x:c>
      <x:c r="H2077" s="6" t="str">
        <x:v>swiss-430-Q10</x:v>
      </x:c>
      <x:c r="I2077" s="6" t="str">
        <x:v>Route planning</x:v>
      </x:c>
      <x:c r="J2077" s="6" t="str">
        <x:v>Warm-up</x:v>
      </x:c>
      <x:c r="K2077" s="6" t="str">
        <x:v>Ordered stops, path for each leg and total metres.</x:v>
      </x:c>
      <x:c r="L2077" s="6" t="str">
        <x:v>T02, T05, T13</x:v>
      </x:c>
      <x:c r="M2077" s="6" t="str">
        <x:v>Visit multiple rooms in the order specified.</x:v>
      </x:c>
      <x:c r="N2077" s="6" t="str">
        <x:v>{"stops":["swiss-430-F2-S002","swiss-430-F3-S015","swiss-430-F2-S010"],"optimal_length_m":69.91,"legs":[{"from_space_id":"swiss-430-F2-S002","to_space_id":"swiss-430-F3-S015","optimal_length_m":34.71,"space_path":["swiss-430-F2-S002","swiss-430-F2-S003","swiss-430-F2-S019","swiss-430-F3-S020","swiss-430-F3-S013","swiss-430-F3-S014","swiss-430-F3-S015"],"element_path":["swiss-430-F2-O0056","swiss-430-F2-O0056","swiss-430-F2-O0052","swiss-430-F2-O0052","swiss-430-V01","swiss-430-F3-O0079","swiss-430-F3-O0079","swiss-430-F3-O0084","swiss-430-F3-O0084","swiss-430-F3-O0078","swiss-430-F3-O0078"]},{"from_space_id":"swiss-430-F3-S015","to_space_id":"swiss-430-F2-S010","optimal_length_m":35.2,"space_path":["swiss-430-F3-S015","swiss-430-F3-S014","swiss-430-F3-S013","swiss-430-F3-S020","swiss-430-F2-S019","swiss-430-F2-S016","swiss-430-F2-S010"],"element_path":["swiss-430-F3-O0078","swiss-430-F3-O0078","swiss-430-F3-O0084","swiss-430-F3-O0084","swiss-430-F3-O0079","swiss-430-F3-O0079","swiss-430-V01","swiss-430-F2-O0057","swiss-430-F2-O0057","swiss-430-F2-O0066","swiss-430-F2-O0066"]}]}</x:v>
      </x:c>
      <x:c r="O2077" s="6"/>
      <x:c r="P2077" s="6" t="str">
        <x:v>Preserve stated visit order. Do not optimize stop order.</x:v>
      </x:c>
      <x:c r="Q2077" s="15" t="n">
        <x:v>69.91</x:v>
      </x:c>
      <x:c r="R2077" s="6" t="str">
        <x:v>m</x:v>
      </x:c>
      <x:c r="S2077" s="16"/>
      <x:c r="T2077" s="15"/>
      <x:c r="U2077" s="6"/>
      <x:c r="V2077" s="6"/>
      <x:c r="W2077" s="6" t="str">
        <x:v>Existing find_route(via=[...]).</x:v>
      </x:c>
      <x:c r="X2077" s="6" t="str">
        <x:v>data/train/swiss-430/questions_basic.jsonl</x:v>
      </x:c>
      <x:c r="Y2077" s="14" t="n">
        <x:v>10</x:v>
      </x:c>
      <x:c r="Z2077" s="6" t="str">
        <x:v>https://github.com/hagenhaeussler/Industrial-Agents-Hackathon-2026/blob/f41616590b69f3ea0c1cbfb41d6c35edd9ce53df/data/train/swiss-430/questions_basic.jsonl#L10</x:v>
      </x:c>
      <x:c r="AA2077" s="6" t="str">
        <x:v>swiss_dwellings</x:v>
      </x:c>
      <x:c r="AB2077" s="6" t="str">
        <x:v>CC-BY-4.0</x:v>
      </x:c>
    </x:row>
    <x:row r="2078" ht="194" customHeight="1">
      <x:c r="A2078" s="14" t="n">
        <x:v>2073</x:v>
      </x:c>
      <x:c r="B2078" s="6" t="str">
        <x:v>tour</x:v>
      </x:c>
      <x:c r="C2078" s="6" t="str">
        <x:v>Starting at Bedroom 5.11 (apartment 17) (Floor 5), visit Living room 0.17 (apartment 3) (Ground floor), then Living room 0.01 (apartment 1) (Ground floor) in this order. What is the route?</x:v>
      </x:c>
      <x:c r="D2078" s="6" t="str">
        <x:v>95.62 m total
Stops: Bedroom 5.11 (apartment 17) → Living room 0.17 (apartment 3) → Living room 0.01 (apartment 1)
Leg lengths (m): 77.49, 18.13
Full paths are in Answer JSON.</x:v>
      </x:c>
      <x:c r="E2078" s="6" t="str">
        <x:v>Reference supplied</x:v>
      </x:c>
      <x:c r="F2078" s="6" t="str">
        <x:v>train</x:v>
      </x:c>
      <x:c r="G2078" s="6" t="str">
        <x:v>swiss-433</x:v>
      </x:c>
      <x:c r="H2078" s="6" t="str">
        <x:v>swiss-433-Q07</x:v>
      </x:c>
      <x:c r="I2078" s="6" t="str">
        <x:v>Route planning</x:v>
      </x:c>
      <x:c r="J2078" s="6" t="str">
        <x:v>Warm-up</x:v>
      </x:c>
      <x:c r="K2078" s="6" t="str">
        <x:v>Ordered stops, path for each leg and total metres.</x:v>
      </x:c>
      <x:c r="L2078" s="6" t="str">
        <x:v>T02, T05, T13</x:v>
      </x:c>
      <x:c r="M2078" s="6" t="str">
        <x:v>Visit multiple rooms in the order specified.</x:v>
      </x:c>
      <x:c r="N2078" s="6" t="str">
        <x:v>{"stops":["swiss-433-F5-S011","swiss-433-F0-S017","swiss-433-F0-S001"],"optimal_length_m":95.62,"legs":[{"from_space_id":"swiss-433-F5-S011","to_space_id":"swiss-433-F0-S017","optimal_length_m":77.49,"space_path":["swiss-433-F5-S011","swiss-433-F5-S009","swiss-433-F5-S024","swiss-433-F4-S024","swiss-433-F3-S024","swiss-433-F2-S024","swiss-433-F1-S024","swiss-433-F0-S018","swiss-433-F0-S016","swiss-433-F0-S017"],"element_path":["swiss-433-F5-O0147","swiss-433-F5-O0147","swiss-433-F5-O0148","swiss-433-F5-O0148","swiss-433-V01","swiss-433-V01","swiss-433-V01","swiss-433-V01","swiss-433-V01","swiss-433-F0-O0018","swiss-433-F0-O0018","swiss-433-F0-O0015","swiss-433-F0-O0015"]},{"from_space_id":"swiss-433-F0-S017","to_space_id":"swiss-433-F0-S001","optimal_length_m":18.13,"space_path":["swiss-433-F0-S017","swiss-433-F0-S016","swiss-433-F0-S018","swiss-433-F0-S005","swiss-433-F0-S002","swiss-433-F0-S001"],"element_path":["swiss-433-F0-O0015","swiss-433-F0-O0015","swiss-433-F0-O0018","swiss-433-F0-O0018","swiss-433-F0-O0006","swiss-433-F0-O0006","swiss-433-F0-O0002","swiss-433-F0-O0002","swiss-433-F0-O0005","swiss-433-F0-O0005"]}]}</x:v>
      </x:c>
      <x:c r="O2078" s="6"/>
      <x:c r="P2078" s="6" t="str">
        <x:v>Preserve stated visit order. Do not optimize stop order.</x:v>
      </x:c>
      <x:c r="Q2078" s="15" t="n">
        <x:v>95.62</x:v>
      </x:c>
      <x:c r="R2078" s="6" t="str">
        <x:v>m</x:v>
      </x:c>
      <x:c r="S2078" s="16"/>
      <x:c r="T2078" s="15"/>
      <x:c r="U2078" s="6"/>
      <x:c r="V2078" s="6"/>
      <x:c r="W2078" s="6" t="str">
        <x:v>Existing find_route(via=[...]).</x:v>
      </x:c>
      <x:c r="X2078" s="6" t="str">
        <x:v>data/train/swiss-433/questions_basic.jsonl</x:v>
      </x:c>
      <x:c r="Y2078" s="14" t="n">
        <x:v>7</x:v>
      </x:c>
      <x:c r="Z2078" s="6" t="str">
        <x:v>https://github.com/hagenhaeussler/Industrial-Agents-Hackathon-2026/blob/f41616590b69f3ea0c1cbfb41d6c35edd9ce53df/data/train/swiss-433/questions_basic.jsonl#L7</x:v>
      </x:c>
      <x:c r="AA2078" s="6" t="str">
        <x:v>swiss_dwellings</x:v>
      </x:c>
      <x:c r="AB2078" s="6" t="str">
        <x:v>CC-BY-4.0</x:v>
      </x:c>
    </x:row>
    <x:row r="2079" ht="236" customHeight="1">
      <x:c r="A2079" s="14" t="n">
        <x:v>2074</x:v>
      </x:c>
      <x:c r="B2079" s="6" t="str">
        <x:v>tour</x:v>
      </x:c>
      <x:c r="C2079" s="6" t="str">
        <x:v>Starting at Kitchen 5.13 (apartment 20) (Floor 5), visit Bedroom 1.15 (apartment 6) (Floor 1), then Bathroom 0.21 (apartment 4) (Ground floor) in this order. What is the route?</x:v>
      </x:c>
      <x:c r="D2079" s="6" t="str">
        <x:v>119.61 m total
Stops: Kitchen 5.13 (apartment 20) → Bedroom 1.15 (apartment 6) → Bathroom 0.21 (apartment 4)
Leg lengths (m): 93.27, 26.34
Full paths are in Answer JSON.</x:v>
      </x:c>
      <x:c r="E2079" s="6" t="str">
        <x:v>Reference supplied</x:v>
      </x:c>
      <x:c r="F2079" s="6" t="str">
        <x:v>train</x:v>
      </x:c>
      <x:c r="G2079" s="6" t="str">
        <x:v>swiss-437</x:v>
      </x:c>
      <x:c r="H2079" s="6" t="str">
        <x:v>swiss-437-Q08</x:v>
      </x:c>
      <x:c r="I2079" s="6" t="str">
        <x:v>Route planning</x:v>
      </x:c>
      <x:c r="J2079" s="6" t="str">
        <x:v>Warm-up</x:v>
      </x:c>
      <x:c r="K2079" s="6" t="str">
        <x:v>Ordered stops, path for each leg and total metres.</x:v>
      </x:c>
      <x:c r="L2079" s="6" t="str">
        <x:v>T02, T05, T13</x:v>
      </x:c>
      <x:c r="M2079" s="6" t="str">
        <x:v>Visit multiple rooms in the order specified.</x:v>
      </x:c>
      <x:c r="N2079" s="6" t="str">
        <x:v>{"stops":["swiss-437-F5-S013","swiss-437-F1-S015","swiss-437-F0-S021"],"optimal_length_m":119.61,"legs":[{"from_space_id":"swiss-437-F5-S013","to_space_id":"swiss-437-F1-S015","optimal_length_m":93.27,"space_path":["swiss-437-F5-S013","swiss-437-F5-S020","swiss-437-F5-S012","swiss-437-F5-S038","swiss-437-F4-S021","swiss-437-F3-S039","swiss-437-F2-S039","swiss-437-F1-S039","swiss-437-F0-S026","outside","swiss-437-F0-S027","swiss-437-F1-S040","swiss-437-F1-S014","swiss-437-F1-S015"],"element_path":["swiss-437-F5-O0200","swiss-437-F5-O0200","swiss-437-F5-O0199","swiss-437-F5-O0199","swiss-437-F5-O0179","swiss-437-F5-O0179","swiss-437-V07","swiss-437-V01","swiss-437-V01","swiss-437-V01","swiss-437-V01","swiss-437-F0-O0206","swiss-437-F0-O0206","swiss-437-F0-O0207","swiss-437-F0-O0207","swiss-437-V03","swiss-437-F1-O0040","swiss-437-F1-O0040","swiss-437-F1-O0036","swiss-437-F1-O0036"]},{"from_space_id":"swiss-437-F1-S015","to_space_id":"swiss-437-F0-S021","optimal_length_m":26.34,"space_path":["swiss-437-F1-S015","swiss-437-F1-S014","swiss-437-F1-S040","swiss-437-F0-S027","outside","swiss-437-F0-S029","swiss-437-F0-S023","swiss-437-F0-S021"],"element_path":["swiss-437-F1-O0036","swiss-437-F1-O0036","swiss-437-F1-O0040","swiss-437-F1-O0040","swiss-437-V03","swiss-437-F0-O0207","swiss-437-F0-O0207","swiss-437-F0-O0209","swiss-437-F0-O0209","swiss-437-F0-O0016","swiss-437-F0-O0016","swiss-437-F0-O0018","swiss-437-F0-O0018"]}]}</x:v>
      </x:c>
      <x:c r="O2079" s="6"/>
      <x:c r="P2079" s="6" t="str">
        <x:v>Preserve stated visit order. Do not optimize stop order.</x:v>
      </x:c>
      <x:c r="Q2079" s="15" t="n">
        <x:v>119.61</x:v>
      </x:c>
      <x:c r="R2079" s="6" t="str">
        <x:v>m</x:v>
      </x:c>
      <x:c r="S2079" s="16"/>
      <x:c r="T2079" s="15"/>
      <x:c r="U2079" s="6"/>
      <x:c r="V2079" s="6"/>
      <x:c r="W2079" s="6" t="str">
        <x:v>Existing find_route(via=[...]).</x:v>
      </x:c>
      <x:c r="X2079" s="6" t="str">
        <x:v>data/train/swiss-437/questions_basic.jsonl</x:v>
      </x:c>
      <x:c r="Y2079" s="14" t="n">
        <x:v>8</x:v>
      </x:c>
      <x:c r="Z2079" s="6" t="str">
        <x:v>https://github.com/hagenhaeussler/Industrial-Agents-Hackathon-2026/blob/f41616590b69f3ea0c1cbfb41d6c35edd9ce53df/data/train/swiss-437/questions_basic.jsonl#L8</x:v>
      </x:c>
      <x:c r="AA2079" s="6" t="str">
        <x:v>swiss_dwellings</x:v>
      </x:c>
      <x:c r="AB2079" s="6" t="str">
        <x:v>CC-BY-4.0</x:v>
      </x:c>
    </x:row>
    <x:row r="2080" ht="236" customHeight="1">
      <x:c r="A2080" s="14" t="n">
        <x:v>2075</x:v>
      </x:c>
      <x:c r="B2080" s="6" t="str">
        <x:v>tour</x:v>
      </x:c>
      <x:c r="C2080" s="6" t="str">
        <x:v>Starting at Bedroom 0.16 (apartment 5) (Ground floor), visit Bedroom 3.07 (apartment 18) (Floor 3), then Bedroom 2.13 (apartment 15) (Floor 2) in this order. What is the route?</x:v>
      </x:c>
      <x:c r="D2080" s="6" t="str">
        <x:v>139.72 m total
Stops: Bedroom 0.16 (apartment 5) → Bedroom 3.07 (apartment 18) → Bedroom 2.13 (apartment 15)
Leg lengths (m): 60.01, 79.71
Full paths are in Answer JSON.</x:v>
      </x:c>
      <x:c r="E2080" s="6" t="str">
        <x:v>Reference supplied</x:v>
      </x:c>
      <x:c r="F2080" s="6" t="str">
        <x:v>train</x:v>
      </x:c>
      <x:c r="G2080" s="6" t="str">
        <x:v>swiss-442</x:v>
      </x:c>
      <x:c r="H2080" s="6" t="str">
        <x:v>swiss-442-Q07</x:v>
      </x:c>
      <x:c r="I2080" s="6" t="str">
        <x:v>Route planning</x:v>
      </x:c>
      <x:c r="J2080" s="6" t="str">
        <x:v>Warm-up</x:v>
      </x:c>
      <x:c r="K2080" s="6" t="str">
        <x:v>Ordered stops, path for each leg and total metres.</x:v>
      </x:c>
      <x:c r="L2080" s="6" t="str">
        <x:v>T02, T05, T13</x:v>
      </x:c>
      <x:c r="M2080" s="6" t="str">
        <x:v>Visit multiple rooms in the order specified.</x:v>
      </x:c>
      <x:c r="N2080" s="6" t="str">
        <x:v>{"stops":["swiss-442-F0-S016","swiss-442-F3-S007","swiss-442-F2-S013"],"optimal_length_m":139.72,"legs":[{"from_space_id":"swiss-442-F0-S016","to_space_id":"swiss-442-F3-S007","optimal_length_m":60.01,"space_path":["swiss-442-F0-S016","swiss-442-F0-S015","swiss-442-F0-S031","outside","swiss-442-F0-S032","swiss-442-F1-S032","swiss-442-F2-S032","swiss-442-F3-S029","swiss-442-F3-S001","swiss-442-F3-S007"],"element_path":["swiss-442-F0-O0028","swiss-442-F0-O0028","swiss-442-F0-O0026","swiss-442-F0-O0026","swiss-442-F0-O0144","swiss-442-F0-O0144","swiss-442-F0-O0145","swiss-442-F0-O0145","swiss-442-V05","swiss-442-V07","swiss-442-V09","swiss-442-F3-O0115","swiss-442-F3-O0115","swiss-442-F3-O0113","swiss-442-F3-O0113"]},{"from_space_id":"swiss-442-F3-S007","to_space_id":"swiss-442-F2-S013","optimal_length_m":79.71,"space_path":["swiss-442-F3-S007","swiss-442-F3-S001","swiss-442-F3-S029","swiss-442-F2-S032","swiss-442-F1-S032","swiss-442-F0-S032","outside","swiss-442-F0-S031","swiss-442-F1-S031","swiss-442-F2-S031","swiss-442-F2-S012","swiss-442-F2-S013"],"element_path":["swiss-442-F3-O0113","swiss-442-F3-O0113","swiss-442-F3-O0115","swiss-442-F3-O0115","swiss-442-V09","swiss-442-V07","swiss-442-V05","swiss-442-F0-O0145","swiss-442-F0-O0145","swiss-442-F0-O0144","swiss-442-F0-O0144","swiss-442-V04","swiss-442-V06","swiss-442-F2-O0095","swiss-442-F2-O0095","swiss-442-F2-O0096","swiss-442-F2-O0096"]}]}</x:v>
      </x:c>
      <x:c r="O2080" s="6"/>
      <x:c r="P2080" s="6" t="str">
        <x:v>Preserve stated visit order. Do not optimize stop order.</x:v>
      </x:c>
      <x:c r="Q2080" s="15" t="n">
        <x:v>139.72</x:v>
      </x:c>
      <x:c r="R2080" s="6" t="str">
        <x:v>m</x:v>
      </x:c>
      <x:c r="S2080" s="16"/>
      <x:c r="T2080" s="15"/>
      <x:c r="U2080" s="6"/>
      <x:c r="V2080" s="6"/>
      <x:c r="W2080" s="6" t="str">
        <x:v>Existing find_route(via=[...]).</x:v>
      </x:c>
      <x:c r="X2080" s="6" t="str">
        <x:v>data/train/swiss-442/questions_basic.jsonl</x:v>
      </x:c>
      <x:c r="Y2080" s="14" t="n">
        <x:v>7</x:v>
      </x:c>
      <x:c r="Z2080" s="6" t="str">
        <x:v>https://github.com/hagenhaeussler/Industrial-Agents-Hackathon-2026/blob/f41616590b69f3ea0c1cbfb41d6c35edd9ce53df/data/train/swiss-442/questions_basic.jsonl#L7</x:v>
      </x:c>
      <x:c r="AA2080" s="6" t="str">
        <x:v>swiss_dwellings</x:v>
      </x:c>
      <x:c r="AB2080" s="6" t="str">
        <x:v>CC-BY-4.0</x:v>
      </x:c>
    </x:row>
    <x:row r="2081" ht="194" customHeight="1">
      <x:c r="A2081" s="14" t="n">
        <x:v>2076</x:v>
      </x:c>
      <x:c r="B2081" s="6" t="str">
        <x:v>tour</x:v>
      </x:c>
      <x:c r="C2081" s="6" t="str">
        <x:v>Starting at Kitchen 0.29 (apartment 5) (Ground floor), visit Bathroom 2.18 (apartment 19) (Floor 2), then Living room 1.45 (apartment 16) (Floor 1) in this order. What is the route?</x:v>
      </x:c>
      <x:c r="D2081" s="6" t="str">
        <x:v>90.93 m total
Stops: Kitchen 0.29 (apartment 5) → Bathroom 2.18 (apartment 19) → Living room 1.45 (apartment 16)
Leg lengths (m): 36.51, 54.42
Full paths are in Answer JSON.</x:v>
      </x:c>
      <x:c r="E2081" s="6" t="str">
        <x:v>Reference supplied</x:v>
      </x:c>
      <x:c r="F2081" s="6" t="str">
        <x:v>train</x:v>
      </x:c>
      <x:c r="G2081" s="6" t="str">
        <x:v>swiss-474</x:v>
      </x:c>
      <x:c r="H2081" s="6" t="str">
        <x:v>swiss-474-Q07</x:v>
      </x:c>
      <x:c r="I2081" s="6" t="str">
        <x:v>Route planning</x:v>
      </x:c>
      <x:c r="J2081" s="6" t="str">
        <x:v>Warm-up</x:v>
      </x:c>
      <x:c r="K2081" s="6" t="str">
        <x:v>Ordered stops, path for each leg and total metres.</x:v>
      </x:c>
      <x:c r="L2081" s="6" t="str">
        <x:v>T02, T05, T13</x:v>
      </x:c>
      <x:c r="M2081" s="6" t="str">
        <x:v>Visit multiple rooms in the order specified.</x:v>
      </x:c>
      <x:c r="N2081" s="6" t="str">
        <x:v>{"stops":["swiss-474-F0-S029","swiss-474-F2-S018","swiss-474-F1-S045"],"optimal_length_m":90.93,"legs":[{"from_space_id":"swiss-474-F0-S029","to_space_id":"swiss-474-F2-S018","optimal_length_m":36.51,"space_path":["swiss-474-F0-S029","swiss-474-F0-S030","swiss-474-F0-S054","swiss-474-F1-S054","swiss-474-F2-S054","swiss-474-F2-S016","swiss-474-F2-S018"],"element_path":["swiss-474-F0-O0028","swiss-474-F0-O0028","swiss-474-F0-O0027","swiss-474-F0-O0027","swiss-474-V01","swiss-474-V01","swiss-474-F2-O0126","swiss-474-F2-O0126","swiss-474-F2-O0130","swiss-474-F2-O0130"]},{"from_space_id":"swiss-474-F2-S018","to_space_id":"swiss-474-F1-S045","optimal_length_m":54.42,"space_path":["swiss-474-F2-S018","swiss-474-F2-S016","swiss-474-F2-S054","swiss-474-F1-S054","swiss-474-F0-S054","outside","swiss-474-F0-S058","swiss-474-F1-S058","swiss-474-F1-S050","swiss-474-F1-S045"],"element_path":["swiss-474-F2-O0130","swiss-474-F2-O0130","swiss-474-F2-O0126","swiss-474-F2-O0126","swiss-474-V01","swiss-474-V01","swiss-474-F0-O0172","swiss-474-F0-O0172","swiss-474-F0-O0176","swiss-474-F0-O0176","swiss-474-V05","swiss-474-F1-O0105","swiss-474-F1-O0105","swiss-474-F1-O0102","swiss-474-F1-O0102"]}]}</x:v>
      </x:c>
      <x:c r="O2081" s="6"/>
      <x:c r="P2081" s="6" t="str">
        <x:v>Preserve stated visit order. Do not optimize stop order.</x:v>
      </x:c>
      <x:c r="Q2081" s="15" t="n">
        <x:v>90.93</x:v>
      </x:c>
      <x:c r="R2081" s="6" t="str">
        <x:v>m</x:v>
      </x:c>
      <x:c r="S2081" s="16"/>
      <x:c r="T2081" s="15"/>
      <x:c r="U2081" s="6"/>
      <x:c r="V2081" s="6"/>
      <x:c r="W2081" s="6" t="str">
        <x:v>Existing find_route(via=[...]).</x:v>
      </x:c>
      <x:c r="X2081" s="6" t="str">
        <x:v>data/train/swiss-474/questions_basic.jsonl</x:v>
      </x:c>
      <x:c r="Y2081" s="14" t="n">
        <x:v>7</x:v>
      </x:c>
      <x:c r="Z2081" s="6" t="str">
        <x:v>https://github.com/hagenhaeussler/Industrial-Agents-Hackathon-2026/blob/f41616590b69f3ea0c1cbfb41d6c35edd9ce53df/data/train/swiss-474/questions_basic.jsonl#L7</x:v>
      </x:c>
      <x:c r="AA2081" s="6" t="str">
        <x:v>swiss_dwellings</x:v>
      </x:c>
      <x:c r="AB2081" s="6" t="str">
        <x:v>CC-BY-4.0</x:v>
      </x:c>
    </x:row>
    <x:row r="2082" ht="208" customHeight="1">
      <x:c r="A2082" s="14" t="n">
        <x:v>2077</x:v>
      </x:c>
      <x:c r="B2082" s="6" t="str">
        <x:v>tour</x:v>
      </x:c>
      <x:c r="C2082" s="6" t="str">
        <x:v>Starting at Bathroom 1.05 (apartment 2) (Floor 1), visit Kitchen 0.04 (apartment 1) (Ground floor), then Bedroom 2.07 (apartment 3) (Floor 2) in this order. What is the route?</x:v>
      </x:c>
      <x:c r="D2082" s="6" t="str">
        <x:v>70.13 m total
Stops: Bathroom 1.05 (apartment 2) → Kitchen 0.04 (apartment 1) → Bedroom 2.07 (apartment 3)
Leg lengths (m): 29.04, 41.09
Full paths are in Answer JSON.</x:v>
      </x:c>
      <x:c r="E2082" s="6" t="str">
        <x:v>Reference supplied</x:v>
      </x:c>
      <x:c r="F2082" s="6" t="str">
        <x:v>train</x:v>
      </x:c>
      <x:c r="G2082" s="6" t="str">
        <x:v>swiss-4967</x:v>
      </x:c>
      <x:c r="H2082" s="6" t="str">
        <x:v>swiss-4967-Q10</x:v>
      </x:c>
      <x:c r="I2082" s="6" t="str">
        <x:v>Route planning</x:v>
      </x:c>
      <x:c r="J2082" s="6" t="str">
        <x:v>Warm-up</x:v>
      </x:c>
      <x:c r="K2082" s="6" t="str">
        <x:v>Ordered stops, path for each leg and total metres.</x:v>
      </x:c>
      <x:c r="L2082" s="6" t="str">
        <x:v>T02, T05, T13</x:v>
      </x:c>
      <x:c r="M2082" s="6" t="str">
        <x:v>Visit multiple rooms in the order specified.</x:v>
      </x:c>
      <x:c r="N2082" s="6" t="str">
        <x:v>{"stops":["swiss-4967-F1-S005","swiss-4967-F0-S004","swiss-4967-F2-S007"],"optimal_length_m":70.13,"legs":[{"from_space_id":"swiss-4967-F1-S005","to_space_id":"swiss-4967-F0-S004","optimal_length_m":29.04,"space_path":["swiss-4967-F1-S005","swiss-4967-F1-S001","swiss-4967-F1-S010","swiss-4967-F0-S008","outside","swiss-4967-F0-S009","swiss-4967-F0-S002","swiss-4967-F0-S004"],"element_path":["swiss-4967-F1-O0016","swiss-4967-F1-O0016","swiss-4967-F1-O0015","swiss-4967-F1-O0015","swiss-4967-V01","swiss-4967-F0-O0044","swiss-4967-F0-O0044","swiss-4967-F0-O0045","swiss-4967-F0-O0045","swiss-4967-F0-O0004","swiss-4967-F0-O0004","swiss-4967-F0-O0003","swiss-4967-F0-O0003"]},{"from_space_id":"swiss-4967-F0-S004","to_space_id":"swiss-4967-F2-S007","optimal_length_m":41.09,"space_path":["swiss-4967-F0-S004","swiss-4967-F0-S002","swiss-4967-F0-S009","outside","swiss-4967-F0-S008","swiss-4967-F1-S010","swiss-4967-F2-S009","swiss-4967-F2-S001","swiss-4967-F2-S007"],"element_path":["swiss-4967-F0-O0003","swiss-4967-F0-O0003","swiss-4967-F0-O0004","swiss-4967-F0-O0004","swiss-4967-F0-O0045","swiss-4967-F0-O0045","swiss-4967-F0-O0044","swiss-4967-F0-O0044","swiss-4967-V01","swiss-4967-V01","swiss-4967-F2-O0025","swiss-4967-F2-O0025","swiss-4967-F2-O0023","swiss-4967-F2-O0023"]}]}</x:v>
      </x:c>
      <x:c r="O2082" s="6"/>
      <x:c r="P2082" s="6" t="str">
        <x:v>Preserve stated visit order. Do not optimize stop order.</x:v>
      </x:c>
      <x:c r="Q2082" s="15" t="n">
        <x:v>70.13</x:v>
      </x:c>
      <x:c r="R2082" s="6" t="str">
        <x:v>m</x:v>
      </x:c>
      <x:c r="S2082" s="16"/>
      <x:c r="T2082" s="15"/>
      <x:c r="U2082" s="6"/>
      <x:c r="V2082" s="6"/>
      <x:c r="W2082" s="6" t="str">
        <x:v>Existing find_route(via=[...]).</x:v>
      </x:c>
      <x:c r="X2082" s="6" t="str">
        <x:v>data/train/swiss-4967/questions_basic.jsonl</x:v>
      </x:c>
      <x:c r="Y2082" s="14" t="n">
        <x:v>10</x:v>
      </x:c>
      <x:c r="Z2082" s="6" t="str">
        <x:v>https://github.com/hagenhaeussler/Industrial-Agents-Hackathon-2026/blob/f41616590b69f3ea0c1cbfb41d6c35edd9ce53df/data/train/swiss-4967/questions_basic.jsonl#L10</x:v>
      </x:c>
      <x:c r="AA2082" s="6" t="str">
        <x:v>swiss_dwellings</x:v>
      </x:c>
      <x:c r="AB2082" s="6" t="str">
        <x:v>CC-BY-4.0</x:v>
      </x:c>
    </x:row>
    <x:row r="2083" ht="194" customHeight="1">
      <x:c r="A2083" s="14" t="n">
        <x:v>2078</x:v>
      </x:c>
      <x:c r="B2083" s="6" t="str">
        <x:v>tour</x:v>
      </x:c>
      <x:c r="C2083" s="6" t="str">
        <x:v>Starting at Living room 2.01 (apartment 5) (Floor 2), visit Bedroom 5.04 (apartment 11) (Floor 5), then Bathroom 2.03 (apartment 5) (Floor 2) in this order. What is the route?</x:v>
      </x:c>
      <x:c r="D2083" s="6" t="str">
        <x:v>98.73 m total
Stops: Living room 2.01 (apartment 5) → Bedroom 5.04 (apartment 11) → Bathroom 2.03 (apartment 5)
Leg lengths (m): 51.03, 47.7
Full paths are in Answer JSON.</x:v>
      </x:c>
      <x:c r="E2083" s="6" t="str">
        <x:v>Reference supplied</x:v>
      </x:c>
      <x:c r="F2083" s="6" t="str">
        <x:v>train</x:v>
      </x:c>
      <x:c r="G2083" s="6" t="str">
        <x:v>swiss-5354</x:v>
      </x:c>
      <x:c r="H2083" s="6" t="str">
        <x:v>swiss-5354-Q08</x:v>
      </x:c>
      <x:c r="I2083" s="6" t="str">
        <x:v>Route planning</x:v>
      </x:c>
      <x:c r="J2083" s="6" t="str">
        <x:v>Warm-up</x:v>
      </x:c>
      <x:c r="K2083" s="6" t="str">
        <x:v>Ordered stops, path for each leg and total metres.</x:v>
      </x:c>
      <x:c r="L2083" s="6" t="str">
        <x:v>T02, T05, T13</x:v>
      </x:c>
      <x:c r="M2083" s="6" t="str">
        <x:v>Visit multiple rooms in the order specified.</x:v>
      </x:c>
      <x:c r="N2083" s="6" t="str">
        <x:v>{"stops":["swiss-5354-F2-S001","swiss-5354-F5-S004","swiss-5354-F2-S003"],"optimal_length_m":98.73,"legs":[{"from_space_id":"swiss-5354-F2-S001","to_space_id":"swiss-5354-F5-S004","optimal_length_m":51.03,"space_path":["swiss-5354-F2-S001","swiss-5354-F2-S004","swiss-5354-F2-S018","swiss-5354-F3-S018","swiss-5354-F4-S018","swiss-5354-F5-S010","swiss-5354-F5-S001","swiss-5354-F5-S004"],"element_path":["swiss-5354-F2-O0052","swiss-5354-F2-O0052","swiss-5354-F2-O0041","swiss-5354-F2-O0041","swiss-5354-V05","swiss-5354-V06","swiss-5354-V07","swiss-5354-F5-O0099","swiss-5354-F5-O0099","swiss-5354-F5-O0105","swiss-5354-F5-O0105"]},{"from_space_id":"swiss-5354-F5-S004","to_space_id":"swiss-5354-F2-S003","optimal_length_m":47.7,"space_path":["swiss-5354-F5-S004","swiss-5354-F5-S001","swiss-5354-F5-S010","swiss-5354-F4-S018","swiss-5354-F3-S018","swiss-5354-F2-S018","swiss-5354-F2-S004","swiss-5354-F2-S003"],"element_path":["swiss-5354-F5-O0105","swiss-5354-F5-O0105","swiss-5354-F5-O0099","swiss-5354-F5-O0099","swiss-5354-V07","swiss-5354-V06","swiss-5354-V05","swiss-5354-F2-O0041","swiss-5354-F2-O0041","swiss-5354-F2-O0039","swiss-5354-F2-O0039"]}]}</x:v>
      </x:c>
      <x:c r="O2083" s="6"/>
      <x:c r="P2083" s="6" t="str">
        <x:v>Preserve stated visit order. Do not optimize stop order.</x:v>
      </x:c>
      <x:c r="Q2083" s="15" t="n">
        <x:v>98.73</x:v>
      </x:c>
      <x:c r="R2083" s="6" t="str">
        <x:v>m</x:v>
      </x:c>
      <x:c r="S2083" s="16"/>
      <x:c r="T2083" s="15"/>
      <x:c r="U2083" s="6"/>
      <x:c r="V2083" s="6"/>
      <x:c r="W2083" s="6" t="str">
        <x:v>Existing find_route(via=[...]).</x:v>
      </x:c>
      <x:c r="X2083" s="6" t="str">
        <x:v>data/train/swiss-5354/questions_basic.jsonl</x:v>
      </x:c>
      <x:c r="Y2083" s="14" t="n">
        <x:v>8</x:v>
      </x:c>
      <x:c r="Z2083" s="6" t="str">
        <x:v>https://github.com/hagenhaeussler/Industrial-Agents-Hackathon-2026/blob/f41616590b69f3ea0c1cbfb41d6c35edd9ce53df/data/train/swiss-5354/questions_basic.jsonl#L8</x:v>
      </x:c>
      <x:c r="AA2083" s="6" t="str">
        <x:v>swiss_dwellings</x:v>
      </x:c>
      <x:c r="AB2083" s="6" t="str">
        <x:v>CC-BY-4.0</x:v>
      </x:c>
    </x:row>
    <x:row r="2084" ht="152" customHeight="1">
      <x:c r="A2084" s="14" t="n">
        <x:v>2079</x:v>
      </x:c>
      <x:c r="B2084" s="6" t="str">
        <x:v>tour</x:v>
      </x:c>
      <x:c r="C2084" s="6" t="str">
        <x:v>Starting at Bedroom 1.06 (apartment 4) (Floor 1), visit Storage 1.09 (apartment 4) (Floor 1), then Bedroom 2.01 (apartment 5) (Floor 2) in this order. What is the route?</x:v>
      </x:c>
      <x:c r="D2084" s="6" t="str">
        <x:v>35.36 m total
Stops: Bedroom 1.06 (apartment 4) → Storage 1.09 (apartment 4) → Bedroom 2.01 (apartment 5)
Leg lengths (m): 9.54, 25.82
Full paths are in Answer JSON.</x:v>
      </x:c>
      <x:c r="E2084" s="6" t="str">
        <x:v>Reference supplied</x:v>
      </x:c>
      <x:c r="F2084" s="6" t="str">
        <x:v>train</x:v>
      </x:c>
      <x:c r="G2084" s="6" t="str">
        <x:v>swiss-5422</x:v>
      </x:c>
      <x:c r="H2084" s="6" t="str">
        <x:v>swiss-5422-Q10</x:v>
      </x:c>
      <x:c r="I2084" s="6" t="str">
        <x:v>Route planning</x:v>
      </x:c>
      <x:c r="J2084" s="6" t="str">
        <x:v>Warm-up</x:v>
      </x:c>
      <x:c r="K2084" s="6" t="str">
        <x:v>Ordered stops, path for each leg and total metres.</x:v>
      </x:c>
      <x:c r="L2084" s="6" t="str">
        <x:v>T02, T05, T13</x:v>
      </x:c>
      <x:c r="M2084" s="6" t="str">
        <x:v>Visit multiple rooms in the order specified.</x:v>
      </x:c>
      <x:c r="N2084" s="6" t="str">
        <x:v>{"stops":["swiss-5422-F1-S006","swiss-5422-F1-S009","swiss-5422-F2-S001"],"optimal_length_m":35.36,"legs":[{"from_space_id":"swiss-5422-F1-S006","to_space_id":"swiss-5422-F1-S009","optimal_length_m":9.54,"space_path":["swiss-5422-F1-S006","swiss-5422-F1-S010","swiss-5422-F1-S007","swiss-5422-F1-S009"],"element_path":["swiss-5422-F1-O0016","swiss-5422-F1-O0016","swiss-5422-F1-O0012","swiss-5422-F1-O0012","swiss-5422-F1-O0011","swiss-5422-F1-O0011"]},{"from_space_id":"swiss-5422-F1-S009","to_space_id":"swiss-5422-F2-S001","optimal_length_m":25.82,"space_path":["swiss-5422-F1-S009","swiss-5422-F1-S007","swiss-5422-F1-S011","swiss-5422-F2-S008","swiss-5422-F2-S004","swiss-5422-F2-S001"],"element_path":["swiss-5422-F1-O0011","swiss-5422-F1-O0011","swiss-5422-F1-O0013","swiss-5422-F1-O0013","swiss-5422-V01","swiss-5422-F2-O0023","swiss-5422-F2-O0023","swiss-5422-F2-O0020","swiss-5422-F2-O0020"]}]}</x:v>
      </x:c>
      <x:c r="O2084" s="6"/>
      <x:c r="P2084" s="6" t="str">
        <x:v>Preserve stated visit order. Do not optimize stop order.</x:v>
      </x:c>
      <x:c r="Q2084" s="15" t="n">
        <x:v>35.36</x:v>
      </x:c>
      <x:c r="R2084" s="6" t="str">
        <x:v>m</x:v>
      </x:c>
      <x:c r="S2084" s="16"/>
      <x:c r="T2084" s="15"/>
      <x:c r="U2084" s="6"/>
      <x:c r="V2084" s="6"/>
      <x:c r="W2084" s="6" t="str">
        <x:v>Existing find_route(via=[...]).</x:v>
      </x:c>
      <x:c r="X2084" s="6" t="str">
        <x:v>data/train/swiss-5422/questions_basic.jsonl</x:v>
      </x:c>
      <x:c r="Y2084" s="14" t="n">
        <x:v>10</x:v>
      </x:c>
      <x:c r="Z2084" s="6" t="str">
        <x:v>https://github.com/hagenhaeussler/Industrial-Agents-Hackathon-2026/blob/f41616590b69f3ea0c1cbfb41d6c35edd9ce53df/data/train/swiss-5422/questions_basic.jsonl#L10</x:v>
      </x:c>
      <x:c r="AA2084" s="6" t="str">
        <x:v>swiss_dwellings</x:v>
      </x:c>
      <x:c r="AB2084" s="6" t="str">
        <x:v>CC-BY-4.0</x:v>
      </x:c>
    </x:row>
    <x:row r="2085" ht="236" customHeight="1">
      <x:c r="A2085" s="14" t="n">
        <x:v>2080</x:v>
      </x:c>
      <x:c r="B2085" s="6" t="str">
        <x:v>tour</x:v>
      </x:c>
      <x:c r="C2085" s="6" t="str">
        <x:v>Starting at Bathroom 5.03 (apartment 11) (Floor 5), visit Bedroom 2.08 (apartment 5) (Floor 2), then Bathroom 1.15 (apartment 4) (Floor 1) in this order. What is the route?</x:v>
      </x:c>
      <x:c r="D2085" s="6" t="str">
        <x:v>92.42 m total
Stops: Bathroom 5.03 (apartment 11) → Bedroom 2.08 (apartment 5) → Bathroom 1.15 (apartment 4)
Leg lengths (m): 59.03, 33.39
Full paths are in Answer JSON.</x:v>
      </x:c>
      <x:c r="E2085" s="6" t="str">
        <x:v>Reference supplied</x:v>
      </x:c>
      <x:c r="F2085" s="6" t="str">
        <x:v>train</x:v>
      </x:c>
      <x:c r="G2085" s="6" t="str">
        <x:v>swiss-5690</x:v>
      </x:c>
      <x:c r="H2085" s="6" t="str">
        <x:v>swiss-5690-Q08</x:v>
      </x:c>
      <x:c r="I2085" s="6" t="str">
        <x:v>Route planning</x:v>
      </x:c>
      <x:c r="J2085" s="6" t="str">
        <x:v>Warm-up</x:v>
      </x:c>
      <x:c r="K2085" s="6" t="str">
        <x:v>Ordered stops, path for each leg and total metres.</x:v>
      </x:c>
      <x:c r="L2085" s="6" t="str">
        <x:v>T02, T05, T13</x:v>
      </x:c>
      <x:c r="M2085" s="6" t="str">
        <x:v>Visit multiple rooms in the order specified.</x:v>
      </x:c>
      <x:c r="N2085" s="6" t="str">
        <x:v>{"stops":["swiss-5690-F5-S003","swiss-5690-F2-S008","swiss-5690-F1-S015"],"optimal_length_m":92.42,"legs":[{"from_space_id":"swiss-5690-F5-S003","to_space_id":"swiss-5690-F2-S008","optimal_length_m":59.03,"space_path":["swiss-5690-F5-S003","swiss-5690-F5-S005","swiss-5690-F5-S017","swiss-5690-F4-S017","swiss-5690-F4-S018","swiss-5690-F3-S018","swiss-5690-F2-S017","swiss-5690-F2-S005","swiss-5690-F2-S004","swiss-5690-F2-S009","swiss-5690-F2-S008"],"element_path":["swiss-5690-F5-O0097","swiss-5690-F5-O0097","swiss-5690-F5-O0104","swiss-5690-F5-O0104","swiss-5690-V01","swiss-5690-F4-O0076","swiss-5690-F4-O0076","swiss-5690-V06","swiss-5690-V05","swiss-5690-F2-O0039","swiss-5690-F2-O0039","swiss-5690-F2-O0043","swiss-5690-F2-O0043","swiss-5690-F2-O0041","swiss-5690-F2-O0041","swiss-5690-F2-O0040","swiss-5690-F2-O0040"]},{"from_space_id":"swiss-5690-F2-S008","to_space_id":"swiss-5690-F1-S015","optimal_length_m":33.39,"space_path":["swiss-5690-F2-S008","swiss-5690-F2-S009","swiss-5690-F2-S004","swiss-5690-F2-S005","swiss-5690-F2-S017","swiss-5690-F1-S018","swiss-5690-F1-S014","swiss-5690-F1-S015"],"element_path":["swiss-5690-F2-O0040","swiss-5690-F2-O0040","swiss-5690-F2-O0041","swiss-5690-F2-O0041","swiss-5690-F2-O0043","swiss-5690-F2-O0043","swiss-5690-F2-O0039","swiss-5690-F2-O0039","swiss-5690-V04","swiss-5690-F1-O0037","swiss-5690-F1-O0037","swiss-5690-F1-O0034","swiss-5690-F1-O0034"]}]}</x:v>
      </x:c>
      <x:c r="O2085" s="6"/>
      <x:c r="P2085" s="6" t="str">
        <x:v>Preserve stated visit order. Do not optimize stop order.</x:v>
      </x:c>
      <x:c r="Q2085" s="15" t="n">
        <x:v>92.42</x:v>
      </x:c>
      <x:c r="R2085" s="6" t="str">
        <x:v>m</x:v>
      </x:c>
      <x:c r="S2085" s="16"/>
      <x:c r="T2085" s="15"/>
      <x:c r="U2085" s="6"/>
      <x:c r="V2085" s="6"/>
      <x:c r="W2085" s="6" t="str">
        <x:v>Existing find_route(via=[...]).</x:v>
      </x:c>
      <x:c r="X2085" s="6" t="str">
        <x:v>data/train/swiss-5690/questions_basic.jsonl</x:v>
      </x:c>
      <x:c r="Y2085" s="14" t="n">
        <x:v>8</x:v>
      </x:c>
      <x:c r="Z2085" s="6" t="str">
        <x:v>https://github.com/hagenhaeussler/Industrial-Agents-Hackathon-2026/blob/f41616590b69f3ea0c1cbfb41d6c35edd9ce53df/data/train/swiss-5690/questions_basic.jsonl#L8</x:v>
      </x:c>
      <x:c r="AA2085" s="6" t="str">
        <x:v>swiss_dwellings</x:v>
      </x:c>
      <x:c r="AB2085" s="6" t="str">
        <x:v>CC-BY-4.0</x:v>
      </x:c>
    </x:row>
    <x:row r="2086" ht="124" customHeight="1">
      <x:c r="A2086" s="14" t="n">
        <x:v>2081</x:v>
      </x:c>
      <x:c r="B2086" s="6" t="str">
        <x:v>tour</x:v>
      </x:c>
      <x:c r="C2086" s="6" t="str">
        <x:v>Starting at Bedroom 0.02 (apartment 1) (Ground floor), visit Bedroom 0.04 (apartment 1) (Ground floor), then Bathroom 0.03 (apartment 1) (Ground floor) in this order. What is the route?</x:v>
      </x:c>
      <x:c r="D2086" s="6" t="str">
        <x:v>24.68 m total
Stops: Bedroom 0.02 (apartment 1) → Bedroom 0.04 (apartment 1) → Bathroom 0.03 (apartment 1)
Leg lengths (m): 10.67, 14.01
Full paths are in Answer JSON.</x:v>
      </x:c>
      <x:c r="E2086" s="6" t="str">
        <x:v>Reference supplied</x:v>
      </x:c>
      <x:c r="F2086" s="6" t="str">
        <x:v>train</x:v>
      </x:c>
      <x:c r="G2086" s="6" t="str">
        <x:v>swiss-5779</x:v>
      </x:c>
      <x:c r="H2086" s="6" t="str">
        <x:v>swiss-5779-Q09</x:v>
      </x:c>
      <x:c r="I2086" s="6" t="str">
        <x:v>Route planning</x:v>
      </x:c>
      <x:c r="J2086" s="6" t="str">
        <x:v>Warm-up</x:v>
      </x:c>
      <x:c r="K2086" s="6" t="str">
        <x:v>Ordered stops, path for each leg and total metres.</x:v>
      </x:c>
      <x:c r="L2086" s="6" t="str">
        <x:v>T02, T05, T13</x:v>
      </x:c>
      <x:c r="M2086" s="6" t="str">
        <x:v>Visit multiple rooms in the order specified.</x:v>
      </x:c>
      <x:c r="N2086" s="6" t="str">
        <x:v>{"stops":["swiss-5779-F0-S002","swiss-5779-F0-S004","swiss-5779-F0-S003"],"optimal_length_m":24.68,"legs":[{"from_space_id":"swiss-5779-F0-S002","to_space_id":"swiss-5779-F0-S004","optimal_length_m":10.67,"space_path":["swiss-5779-F0-S002","swiss-5779-F0-S008","swiss-5779-F0-S004"],"element_path":["swiss-5779-F0-O0011","swiss-5779-F0-O0011","swiss-5779-F0-O0004","swiss-5779-F0-O0004"]},{"from_space_id":"swiss-5779-F0-S004","to_space_id":"swiss-5779-F0-S003","optimal_length_m":14.01,"space_path":["swiss-5779-F0-S004","swiss-5779-F0-S008","swiss-5779-F0-S003"],"element_path":["swiss-5779-F0-O0004","swiss-5779-F0-O0004","swiss-5779-F0-O0006","swiss-5779-F0-O0006"]}]}</x:v>
      </x:c>
      <x:c r="O2086" s="6"/>
      <x:c r="P2086" s="6" t="str">
        <x:v>Preserve stated visit order. Do not optimize stop order.</x:v>
      </x:c>
      <x:c r="Q2086" s="15" t="n">
        <x:v>24.68</x:v>
      </x:c>
      <x:c r="R2086" s="6" t="str">
        <x:v>m</x:v>
      </x:c>
      <x:c r="S2086" s="16"/>
      <x:c r="T2086" s="15"/>
      <x:c r="U2086" s="6"/>
      <x:c r="V2086" s="6"/>
      <x:c r="W2086" s="6" t="str">
        <x:v>Existing find_route(via=[...]).</x:v>
      </x:c>
      <x:c r="X2086" s="6" t="str">
        <x:v>data/train/swiss-5779/questions_basic.jsonl</x:v>
      </x:c>
      <x:c r="Y2086" s="14" t="n">
        <x:v>9</x:v>
      </x:c>
      <x:c r="Z2086" s="6" t="str">
        <x:v>https://github.com/hagenhaeussler/Industrial-Agents-Hackathon-2026/blob/f41616590b69f3ea0c1cbfb41d6c35edd9ce53df/data/train/swiss-5779/questions_basic.jsonl#L9</x:v>
      </x:c>
      <x:c r="AA2086" s="6" t="str">
        <x:v>swiss_dwellings</x:v>
      </x:c>
      <x:c r="AB2086" s="6" t="str">
        <x:v>CC-BY-4.0</x:v>
      </x:c>
    </x:row>
    <x:row r="2087" ht="166" customHeight="1">
      <x:c r="A2087" s="14" t="n">
        <x:v>2082</x:v>
      </x:c>
      <x:c r="B2087" s="6" t="str">
        <x:v>tour</x:v>
      </x:c>
      <x:c r="C2087" s="6" t="str">
        <x:v>Starting at Bathroom 1.04 (apartment 2) (Floor 1), visit Living room 2.01 (apartment 3) (Floor 2), then Kitchen 0.06 (apartment 1) (Ground floor) in this order. What is the route?</x:v>
      </x:c>
      <x:c r="D2087" s="6" t="str">
        <x:v>63.71 m total
Stops: Bathroom 1.04 (apartment 2) → Living room 2.01 (apartment 3) → Kitchen 0.06 (apartment 1)
Leg lengths (m): 25.04, 38.67
Full paths are in Answer JSON.</x:v>
      </x:c>
      <x:c r="E2087" s="6" t="str">
        <x:v>Reference supplied</x:v>
      </x:c>
      <x:c r="F2087" s="6" t="str">
        <x:v>train</x:v>
      </x:c>
      <x:c r="G2087" s="6" t="str">
        <x:v>swiss-59</x:v>
      </x:c>
      <x:c r="H2087" s="6" t="str">
        <x:v>swiss-59-Q08</x:v>
      </x:c>
      <x:c r="I2087" s="6" t="str">
        <x:v>Route planning</x:v>
      </x:c>
      <x:c r="J2087" s="6" t="str">
        <x:v>Warm-up</x:v>
      </x:c>
      <x:c r="K2087" s="6" t="str">
        <x:v>Ordered stops, path for each leg and total metres.</x:v>
      </x:c>
      <x:c r="L2087" s="6" t="str">
        <x:v>T02, T05, T13</x:v>
      </x:c>
      <x:c r="M2087" s="6" t="str">
        <x:v>Visit multiple rooms in the order specified.</x:v>
      </x:c>
      <x:c r="N2087" s="6" t="str">
        <x:v>{"stops":["swiss-59-F1-S004","swiss-59-F2-S001","swiss-59-F0-S006"],"optimal_length_m":63.71,"legs":[{"from_space_id":"swiss-59-F1-S004","to_space_id":"swiss-59-F2-S001","optimal_length_m":25.04,"space_path":["swiss-59-F1-S004","swiss-59-F1-S007","swiss-59-F1-S011","swiss-59-F2-S011","swiss-59-F2-S009","swiss-59-F2-S001"],"element_path":["swiss-59-F1-O0015","swiss-59-F1-O0015","swiss-59-F1-O0012","swiss-59-F1-O0012","swiss-59-V01","swiss-59-F2-O0025","swiss-59-F2-O0025","swiss-59-F2-O0033","swiss-59-F2-O0033"]},{"from_space_id":"swiss-59-F2-S001","to_space_id":"swiss-59-F0-S006","optimal_length_m":38.67,"space_path":["swiss-59-F2-S001","swiss-59-F2-S009","swiss-59-F2-S011","swiss-59-F1-S011","swiss-59-F0-S011","swiss-59-F0-S009","swiss-59-F0-S006"],"element_path":["swiss-59-F2-O0033","swiss-59-F2-O0033","swiss-59-F2-O0025","swiss-59-F2-O0025","swiss-59-V01","swiss-59-V01","swiss-59-F0-O0010","swiss-59-F0-O0010","swiss-59-F0-O0007","swiss-59-F0-O0007"]}]}</x:v>
      </x:c>
      <x:c r="O2087" s="6"/>
      <x:c r="P2087" s="6" t="str">
        <x:v>Preserve stated visit order. Do not optimize stop order.</x:v>
      </x:c>
      <x:c r="Q2087" s="15" t="n">
        <x:v>63.71</x:v>
      </x:c>
      <x:c r="R2087" s="6" t="str">
        <x:v>m</x:v>
      </x:c>
      <x:c r="S2087" s="16"/>
      <x:c r="T2087" s="15"/>
      <x:c r="U2087" s="6"/>
      <x:c r="V2087" s="6"/>
      <x:c r="W2087" s="6" t="str">
        <x:v>Existing find_route(via=[...]).</x:v>
      </x:c>
      <x:c r="X2087" s="6" t="str">
        <x:v>data/train/swiss-59/questions_basic.jsonl</x:v>
      </x:c>
      <x:c r="Y2087" s="14" t="n">
        <x:v>8</x:v>
      </x:c>
      <x:c r="Z2087" s="6" t="str">
        <x:v>https://github.com/hagenhaeussler/Industrial-Agents-Hackathon-2026/blob/f41616590b69f3ea0c1cbfb41d6c35edd9ce53df/data/train/swiss-59/questions_basic.jsonl#L8</x:v>
      </x:c>
      <x:c r="AA2087" s="6" t="str">
        <x:v>swiss_dwellings</x:v>
      </x:c>
      <x:c r="AB2087" s="6" t="str">
        <x:v>CC-BY-4.0</x:v>
      </x:c>
    </x:row>
    <x:row r="2088" ht="222" customHeight="1">
      <x:c r="A2088" s="14" t="n">
        <x:v>2083</x:v>
      </x:c>
      <x:c r="B2088" s="6" t="str">
        <x:v>tour</x:v>
      </x:c>
      <x:c r="C2088" s="6" t="str">
        <x:v>Starting at Kitchen 0.01 (apartment 1) (Ground floor), visit Kitchen 4.04 (apartment 7) (Floor 4), then Bathroom 0.05 (apartment 2) (Ground floor) in this order. What is the route?</x:v>
      </x:c>
      <x:c r="D2088" s="6" t="str">
        <x:v>130.17 m total
Stops: Kitchen 0.01 (apartment 1) → Kitchen 4.04 (apartment 7) → Bathroom 0.05 (apartment 2)
Leg lengths (m): 63.1, 67.07
Full paths are in Answer JSON.</x:v>
      </x:c>
      <x:c r="E2088" s="6" t="str">
        <x:v>Reference supplied</x:v>
      </x:c>
      <x:c r="F2088" s="6" t="str">
        <x:v>train</x:v>
      </x:c>
      <x:c r="G2088" s="6" t="str">
        <x:v>swiss-6148</x:v>
      </x:c>
      <x:c r="H2088" s="6" t="str">
        <x:v>swiss-6148-Q09</x:v>
      </x:c>
      <x:c r="I2088" s="6" t="str">
        <x:v>Route planning</x:v>
      </x:c>
      <x:c r="J2088" s="6" t="str">
        <x:v>Warm-up</x:v>
      </x:c>
      <x:c r="K2088" s="6" t="str">
        <x:v>Ordered stops, path for each leg and total metres.</x:v>
      </x:c>
      <x:c r="L2088" s="6" t="str">
        <x:v>T02, T05, T13</x:v>
      </x:c>
      <x:c r="M2088" s="6" t="str">
        <x:v>Visit multiple rooms in the order specified.</x:v>
      </x:c>
      <x:c r="N2088" s="6" t="str">
        <x:v>{"stops":["swiss-6148-F0-S001","swiss-6148-F4-S004","swiss-6148-F0-S005"],"optimal_length_m":130.17,"legs":[{"from_space_id":"swiss-6148-F0-S001","to_space_id":"swiss-6148-F4-S004","optimal_length_m":63.1,"space_path":["swiss-6148-F0-S001","swiss-6148-F0-S002","swiss-6148-F0-S008","swiss-6148-F1-S011","swiss-6148-F2-S007","swiss-6148-F3-S007","swiss-6148-F4-S005","swiss-6148-F4-S001","swiss-6148-F4-S004"],"element_path":["swiss-6148-F0-O0007","swiss-6148-F0-O0007","swiss-6148-F0-O0001","swiss-6148-F0-O0001","swiss-6148-V01","swiss-6148-V01","swiss-6148-V01","swiss-6148-V01","swiss-6148-F4-O0032","swiss-6148-F4-O0032","swiss-6148-F4-O0030","swiss-6148-F4-O0030"]},{"from_space_id":"swiss-6148-F4-S004","to_space_id":"swiss-6148-F0-S005","optimal_length_m":67.07,"space_path":["swiss-6148-F4-S004","swiss-6148-F4-S001","swiss-6148-F4-S005","swiss-6148-F3-S007","swiss-6148-F2-S007","swiss-6148-F1-S011","swiss-6148-F0-S008","outside","swiss-6148-F0-S009","swiss-6148-F0-S006","swiss-6148-F0-S005"],"element_path":["swiss-6148-F4-O0030","swiss-6148-F4-O0030","swiss-6148-F4-O0032","swiss-6148-F4-O0032","swiss-6148-V01","swiss-6148-V01","swiss-6148-V01","swiss-6148-V01","swiss-6148-F0-O0035","swiss-6148-F0-O0035","swiss-6148-F0-O0036","swiss-6148-F0-O0036","swiss-6148-F0-O0005","swiss-6148-F0-O0005","swiss-6148-F0-O0006","swiss-6148-F0-O0006"]}]}</x:v>
      </x:c>
      <x:c r="O2088" s="6"/>
      <x:c r="P2088" s="6" t="str">
        <x:v>Preserve stated visit order. Do not optimize stop order.</x:v>
      </x:c>
      <x:c r="Q2088" s="15" t="n">
        <x:v>130.17</x:v>
      </x:c>
      <x:c r="R2088" s="6" t="str">
        <x:v>m</x:v>
      </x:c>
      <x:c r="S2088" s="16"/>
      <x:c r="T2088" s="15"/>
      <x:c r="U2088" s="6"/>
      <x:c r="V2088" s="6"/>
      <x:c r="W2088" s="6" t="str">
        <x:v>Existing find_route(via=[...]).</x:v>
      </x:c>
      <x:c r="X2088" s="6" t="str">
        <x:v>data/train/swiss-6148/questions_basic.jsonl</x:v>
      </x:c>
      <x:c r="Y2088" s="14" t="n">
        <x:v>9</x:v>
      </x:c>
      <x:c r="Z2088" s="6" t="str">
        <x:v>https://github.com/hagenhaeussler/Industrial-Agents-Hackathon-2026/blob/f41616590b69f3ea0c1cbfb41d6c35edd9ce53df/data/train/swiss-6148/questions_basic.jsonl#L9</x:v>
      </x:c>
      <x:c r="AA2088" s="6" t="str">
        <x:v>swiss_dwellings</x:v>
      </x:c>
      <x:c r="AB2088" s="6" t="str">
        <x:v>CC-BY-4.0</x:v>
      </x:c>
    </x:row>
    <x:row r="2089" ht="180" customHeight="1">
      <x:c r="A2089" s="14" t="n">
        <x:v>2084</x:v>
      </x:c>
      <x:c r="B2089" s="6" t="str">
        <x:v>tour</x:v>
      </x:c>
      <x:c r="C2089" s="6" t="str">
        <x:v>Starting at Bathroom 4.15 (apartment 10) (Floor 4), visit Bedroom 3.16 (apartment 8) (Floor 3), then Storage 4.10 (apartment 10) (Floor 4) in this order. What is the route?</x:v>
      </x:c>
      <x:c r="D2089" s="6" t="str">
        <x:v>56.17 m total
Stops: Bathroom 4.15 (apartment 10) → Bedroom 3.16 (apartment 8) → Storage 4.10 (apartment 10)
Leg lengths (m): 28.8, 27.37
Full paths are in Answer JSON.</x:v>
      </x:c>
      <x:c r="E2089" s="6" t="str">
        <x:v>Reference supplied</x:v>
      </x:c>
      <x:c r="F2089" s="6" t="str">
        <x:v>train</x:v>
      </x:c>
      <x:c r="G2089" s="6" t="str">
        <x:v>swiss-624</x:v>
      </x:c>
      <x:c r="H2089" s="6" t="str">
        <x:v>swiss-624-Q09</x:v>
      </x:c>
      <x:c r="I2089" s="6" t="str">
        <x:v>Route planning</x:v>
      </x:c>
      <x:c r="J2089" s="6" t="str">
        <x:v>Warm-up</x:v>
      </x:c>
      <x:c r="K2089" s="6" t="str">
        <x:v>Ordered stops, path for each leg and total metres.</x:v>
      </x:c>
      <x:c r="L2089" s="6" t="str">
        <x:v>T02, T05, T13</x:v>
      </x:c>
      <x:c r="M2089" s="6" t="str">
        <x:v>Visit multiple rooms in the order specified.</x:v>
      </x:c>
      <x:c r="N2089" s="6" t="str">
        <x:v>{"stops":["swiss-624-F4-S015","swiss-624-F3-S016","swiss-624-F4-S010"],"optimal_length_m":56.17,"legs":[{"from_space_id":"swiss-624-F4-S015","to_space_id":"swiss-624-F3-S016","optimal_length_m":28.8,"space_path":["swiss-624-F4-S015","swiss-624-F4-S013","swiss-624-F4-S018","swiss-624-F4-S022","swiss-624-F3-S022","swiss-624-F3-S020","swiss-624-F3-S016"],"element_path":["swiss-624-F4-O0113","swiss-624-F4-O0113","swiss-624-F4-O0103","swiss-624-F4-O0103","swiss-624-F4-O0102","swiss-624-F4-O0102","swiss-624-V05","swiss-624-F3-O0090","swiss-624-F3-O0090","swiss-624-F3-O0085","swiss-624-F3-O0085"]},{"from_space_id":"swiss-624-F3-S016","to_space_id":"swiss-624-F4-S010","optimal_length_m":27.37,"space_path":["swiss-624-F3-S016","swiss-624-F3-S020","swiss-624-F3-S022","swiss-624-F4-S022","swiss-624-F4-S018","swiss-624-F4-S010"],"element_path":["swiss-624-F3-O0085","swiss-624-F3-O0085","swiss-624-F3-O0090","swiss-624-F3-O0090","swiss-624-V05","swiss-624-F4-O0102","swiss-624-F4-O0102","swiss-624-F4-O0112","swiss-624-F4-O0112"]}]}</x:v>
      </x:c>
      <x:c r="O2089" s="6"/>
      <x:c r="P2089" s="6" t="str">
        <x:v>Preserve stated visit order. Do not optimize stop order.</x:v>
      </x:c>
      <x:c r="Q2089" s="15" t="n">
        <x:v>56.17</x:v>
      </x:c>
      <x:c r="R2089" s="6" t="str">
        <x:v>m</x:v>
      </x:c>
      <x:c r="S2089" s="16"/>
      <x:c r="T2089" s="15"/>
      <x:c r="U2089" s="6"/>
      <x:c r="V2089" s="6"/>
      <x:c r="W2089" s="6" t="str">
        <x:v>Existing find_route(via=[...]).</x:v>
      </x:c>
      <x:c r="X2089" s="6" t="str">
        <x:v>data/train/swiss-624/questions_basic.jsonl</x:v>
      </x:c>
      <x:c r="Y2089" s="14" t="n">
        <x:v>9</x:v>
      </x:c>
      <x:c r="Z2089" s="6" t="str">
        <x:v>https://github.com/hagenhaeussler/Industrial-Agents-Hackathon-2026/blob/f41616590b69f3ea0c1cbfb41d6c35edd9ce53df/data/train/swiss-624/questions_basic.jsonl#L9</x:v>
      </x:c>
      <x:c r="AA2089" s="6" t="str">
        <x:v>swiss_dwellings</x:v>
      </x:c>
      <x:c r="AB2089" s="6" t="str">
        <x:v>CC-BY-4.0</x:v>
      </x:c>
    </x:row>
    <x:row r="2090" ht="166" customHeight="1">
      <x:c r="A2090" s="14" t="n">
        <x:v>2085</x:v>
      </x:c>
      <x:c r="B2090" s="6" t="str">
        <x:v>tour</x:v>
      </x:c>
      <x:c r="C2090" s="6" t="str">
        <x:v>Starting at Bedroom 2.15 (apartment 8) (Floor 2), visit Bathroom 3.01 (apartment 9) (Floor 3), then Kitchen 4.09 (apartment 11) (Floor 4) in this order. What is the route?</x:v>
      </x:c>
      <x:c r="D2090" s="6" t="str">
        <x:v>54.76 m total
Stops: Bedroom 2.15 (apartment 8) → Bathroom 3.01 (apartment 9) → Kitchen 4.09 (apartment 11)
Leg lengths (m): 26.4, 28.36
Full paths are in Answer JSON.</x:v>
      </x:c>
      <x:c r="E2090" s="6" t="str">
        <x:v>Reference supplied</x:v>
      </x:c>
      <x:c r="F2090" s="6" t="str">
        <x:v>train</x:v>
      </x:c>
      <x:c r="G2090" s="6" t="str">
        <x:v>swiss-6456</x:v>
      </x:c>
      <x:c r="H2090" s="6" t="str">
        <x:v>swiss-6456-Q07</x:v>
      </x:c>
      <x:c r="I2090" s="6" t="str">
        <x:v>Route planning</x:v>
      </x:c>
      <x:c r="J2090" s="6" t="str">
        <x:v>Warm-up</x:v>
      </x:c>
      <x:c r="K2090" s="6" t="str">
        <x:v>Ordered stops, path for each leg and total metres.</x:v>
      </x:c>
      <x:c r="L2090" s="6" t="str">
        <x:v>T02, T05, T13</x:v>
      </x:c>
      <x:c r="M2090" s="6" t="str">
        <x:v>Visit multiple rooms in the order specified.</x:v>
      </x:c>
      <x:c r="N2090" s="6" t="str">
        <x:v>{"stops":["swiss-6456-F2-S015","swiss-6456-F3-S001","swiss-6456-F4-S009"],"optimal_length_m":54.76,"legs":[{"from_space_id":"swiss-6456-F2-S015","to_space_id":"swiss-6456-F3-S001","optimal_length_m":26.4,"space_path":["swiss-6456-F2-S015","swiss-6456-F2-S014","swiss-6456-F2-S019","swiss-6456-F3-S017","swiss-6456-F3-S002","swiss-6456-F3-S001"],"element_path":["swiss-6456-F2-O0047","swiss-6456-F2-O0047","swiss-6456-F2-O0045","swiss-6456-F2-O0045","swiss-6456-V01","swiss-6456-F3-O0056","swiss-6456-F3-O0056","swiss-6456-F3-O0052","swiss-6456-F3-O0052"]},{"from_space_id":"swiss-6456-F3-S001","to_space_id":"swiss-6456-F4-S009","optimal_length_m":28.36,"space_path":["swiss-6456-F3-S001","swiss-6456-F3-S002","swiss-6456-F3-S017","swiss-6456-F4-S017","swiss-6456-F4-S004","swiss-6456-F4-S009"],"element_path":["swiss-6456-F3-O0052","swiss-6456-F3-O0052","swiss-6456-F3-O0056","swiss-6456-F3-O0056","swiss-6456-V01","swiss-6456-F4-O0078","swiss-6456-F4-O0078","swiss-6456-F4-O0069","swiss-6456-F4-O0069"]}]}</x:v>
      </x:c>
      <x:c r="O2090" s="6"/>
      <x:c r="P2090" s="6" t="str">
        <x:v>Preserve stated visit order. Do not optimize stop order.</x:v>
      </x:c>
      <x:c r="Q2090" s="15" t="n">
        <x:v>54.76</x:v>
      </x:c>
      <x:c r="R2090" s="6" t="str">
        <x:v>m</x:v>
      </x:c>
      <x:c r="S2090" s="16"/>
      <x:c r="T2090" s="15"/>
      <x:c r="U2090" s="6"/>
      <x:c r="V2090" s="6"/>
      <x:c r="W2090" s="6" t="str">
        <x:v>Existing find_route(via=[...]).</x:v>
      </x:c>
      <x:c r="X2090" s="6" t="str">
        <x:v>data/train/swiss-6456/questions_basic.jsonl</x:v>
      </x:c>
      <x:c r="Y2090" s="14" t="n">
        <x:v>7</x:v>
      </x:c>
      <x:c r="Z2090" s="6" t="str">
        <x:v>https://github.com/hagenhaeussler/Industrial-Agents-Hackathon-2026/blob/f41616590b69f3ea0c1cbfb41d6c35edd9ce53df/data/train/swiss-6456/questions_basic.jsonl#L7</x:v>
      </x:c>
      <x:c r="AA2090" s="6" t="str">
        <x:v>swiss_dwellings</x:v>
      </x:c>
      <x:c r="AB2090" s="6" t="str">
        <x:v>CC-BY-4.0</x:v>
      </x:c>
    </x:row>
    <x:row r="2091" ht="166" customHeight="1">
      <x:c r="A2091" s="14" t="n">
        <x:v>2086</x:v>
      </x:c>
      <x:c r="B2091" s="6" t="str">
        <x:v>tour</x:v>
      </x:c>
      <x:c r="C2091" s="6" t="str">
        <x:v>Starting at Kitchen 0.15 (apartment 2) (Ground floor), visit Kitchen 1.17 (apartment 5) (Floor 1), then Bedroom 0.12 (apartment 2) (Ground floor) in this order. What is the route?</x:v>
      </x:c>
      <x:c r="D2091" s="6" t="str">
        <x:v>60.62 m total
Stops: Kitchen 0.15 (apartment 2) → Kitchen 1.17 (apartment 5) → Bedroom 0.12 (apartment 2)
Leg lengths (m): 29.55, 31.07
Full paths are in Answer JSON.</x:v>
      </x:c>
      <x:c r="E2091" s="6" t="str">
        <x:v>Reference supplied</x:v>
      </x:c>
      <x:c r="F2091" s="6" t="str">
        <x:v>train</x:v>
      </x:c>
      <x:c r="G2091" s="6" t="str">
        <x:v>swiss-668</x:v>
      </x:c>
      <x:c r="H2091" s="6" t="str">
        <x:v>swiss-668-Q08</x:v>
      </x:c>
      <x:c r="I2091" s="6" t="str">
        <x:v>Route planning</x:v>
      </x:c>
      <x:c r="J2091" s="6" t="str">
        <x:v>Warm-up</x:v>
      </x:c>
      <x:c r="K2091" s="6" t="str">
        <x:v>Ordered stops, path for each leg and total metres.</x:v>
      </x:c>
      <x:c r="L2091" s="6" t="str">
        <x:v>T02, T05, T13</x:v>
      </x:c>
      <x:c r="M2091" s="6" t="str">
        <x:v>Visit multiple rooms in the order specified.</x:v>
      </x:c>
      <x:c r="N2091" s="6" t="str">
        <x:v>{"stops":["swiss-668-F0-S015","swiss-668-F1-S017","swiss-668-F0-S012"],"optimal_length_m":60.62,"legs":[{"from_space_id":"swiss-668-F0-S015","to_space_id":"swiss-668-F1-S017","optimal_length_m":29.55,"space_path":["swiss-668-F0-S015","swiss-668-F0-S011","swiss-668-F0-S023","swiss-668-F1-S024","swiss-668-F1-S015","swiss-668-F1-S017"],"element_path":["swiss-668-F0-O0012","swiss-668-F0-O0012","swiss-668-F0-O0008","swiss-668-F0-O0008","swiss-668-V01","swiss-668-F1-O0036","swiss-668-F1-O0036","swiss-668-F1-O0039","swiss-668-F1-O0039"]},{"from_space_id":"swiss-668-F1-S017","to_space_id":"swiss-668-F0-S012","optimal_length_m":31.07,"space_path":["swiss-668-F1-S017","swiss-668-F1-S015","swiss-668-F1-S024","swiss-668-F0-S023","swiss-668-F0-S011","swiss-668-F0-S012"],"element_path":["swiss-668-F1-O0039","swiss-668-F1-O0039","swiss-668-F1-O0036","swiss-668-F1-O0036","swiss-668-V01","swiss-668-F0-O0008","swiss-668-F0-O0008","swiss-668-F0-O0013","swiss-668-F0-O0013"]}]}</x:v>
      </x:c>
      <x:c r="O2091" s="6"/>
      <x:c r="P2091" s="6" t="str">
        <x:v>Preserve stated visit order. Do not optimize stop order.</x:v>
      </x:c>
      <x:c r="Q2091" s="15" t="n">
        <x:v>60.62</x:v>
      </x:c>
      <x:c r="R2091" s="6" t="str">
        <x:v>m</x:v>
      </x:c>
      <x:c r="S2091" s="16"/>
      <x:c r="T2091" s="15"/>
      <x:c r="U2091" s="6"/>
      <x:c r="V2091" s="6"/>
      <x:c r="W2091" s="6" t="str">
        <x:v>Existing find_route(via=[...]).</x:v>
      </x:c>
      <x:c r="X2091" s="6" t="str">
        <x:v>data/train/swiss-668/questions_basic.jsonl</x:v>
      </x:c>
      <x:c r="Y2091" s="14" t="n">
        <x:v>8</x:v>
      </x:c>
      <x:c r="Z2091" s="6" t="str">
        <x:v>https://github.com/hagenhaeussler/Industrial-Agents-Hackathon-2026/blob/f41616590b69f3ea0c1cbfb41d6c35edd9ce53df/data/train/swiss-668/questions_basic.jsonl#L8</x:v>
      </x:c>
      <x:c r="AA2091" s="6" t="str">
        <x:v>swiss_dwellings</x:v>
      </x:c>
      <x:c r="AB2091" s="6" t="str">
        <x:v>CC-BY-4.0</x:v>
      </x:c>
    </x:row>
    <x:row r="2092" ht="208" customHeight="1">
      <x:c r="A2092" s="14" t="n">
        <x:v>2087</x:v>
      </x:c>
      <x:c r="B2092" s="6" t="str">
        <x:v>tour</x:v>
      </x:c>
      <x:c r="C2092" s="6" t="str">
        <x:v>Starting at Bedroom 1.11 (apartment 8) (Floor 1), visit Bedroom 0.03 (apartment 3) (Ground floor), then Living room 1.02 (apartment 7) (Floor 1) in this order. What is the route?</x:v>
      </x:c>
      <x:c r="D2092" s="6" t="str">
        <x:v>68.21 m total
Stops: Bedroom 1.11 (apartment 8) → Bedroom 0.03 (apartment 3) → Living room 1.02 (apartment 7)
Leg lengths (m): 33.59, 34.62
Full paths are in Answer JSON.</x:v>
      </x:c>
      <x:c r="E2092" s="6" t="str">
        <x:v>Reference supplied</x:v>
      </x:c>
      <x:c r="F2092" s="6" t="str">
        <x:v>train</x:v>
      </x:c>
      <x:c r="G2092" s="6" t="str">
        <x:v>swiss-685</x:v>
      </x:c>
      <x:c r="H2092" s="6" t="str">
        <x:v>swiss-685-Q08</x:v>
      </x:c>
      <x:c r="I2092" s="6" t="str">
        <x:v>Route planning</x:v>
      </x:c>
      <x:c r="J2092" s="6" t="str">
        <x:v>Warm-up</x:v>
      </x:c>
      <x:c r="K2092" s="6" t="str">
        <x:v>Ordered stops, path for each leg and total metres.</x:v>
      </x:c>
      <x:c r="L2092" s="6" t="str">
        <x:v>T02, T05, T13</x:v>
      </x:c>
      <x:c r="M2092" s="6" t="str">
        <x:v>Visit multiple rooms in the order specified.</x:v>
      </x:c>
      <x:c r="N2092" s="6" t="str">
        <x:v>{"stops":["swiss-685-F1-S011","swiss-685-F0-S003","swiss-685-F1-S002"],"optimal_length_m":68.21,"legs":[{"from_space_id":"swiss-685-F1-S011","to_space_id":"swiss-685-F0-S003","optimal_length_m":33.59,"space_path":["swiss-685-F1-S011","swiss-685-F1-S014","swiss-685-F1-S033","swiss-685-F0-S033","outside","swiss-685-F0-S034","swiss-685-F0-S004","swiss-685-F0-S003"],"element_path":["swiss-685-F1-O0063","swiss-685-F1-O0063","swiss-685-F1-O0052","swiss-685-F1-O0052","swiss-685-V01","swiss-685-F0-O0103","swiss-685-F0-O0103","swiss-685-F0-O0104","swiss-685-F0-O0104","swiss-685-F0-O0022","swiss-685-F0-O0022","swiss-685-F0-O0023","swiss-685-F0-O0023"]},{"from_space_id":"swiss-685-F0-S003","to_space_id":"swiss-685-F1-S002","optimal_length_m":34.62,"space_path":["swiss-685-F0-S003","swiss-685-F0-S004","swiss-685-F0-S034","outside","swiss-685-F0-S033","swiss-685-F1-S033","swiss-685-F1-S003","swiss-685-F1-S002"],"element_path":["swiss-685-F0-O0023","swiss-685-F0-O0023","swiss-685-F0-O0022","swiss-685-F0-O0022","swiss-685-F0-O0104","swiss-685-F0-O0104","swiss-685-F0-O0103","swiss-685-F0-O0103","swiss-685-V01","swiss-685-F1-O0051","swiss-685-F1-O0051","swiss-685-F1-O0081","swiss-685-F1-O0081"]}]}</x:v>
      </x:c>
      <x:c r="O2092" s="6"/>
      <x:c r="P2092" s="6" t="str">
        <x:v>Preserve stated visit order. Do not optimize stop order.</x:v>
      </x:c>
      <x:c r="Q2092" s="15" t="n">
        <x:v>68.21</x:v>
      </x:c>
      <x:c r="R2092" s="6" t="str">
        <x:v>m</x:v>
      </x:c>
      <x:c r="S2092" s="16"/>
      <x:c r="T2092" s="15"/>
      <x:c r="U2092" s="6"/>
      <x:c r="V2092" s="6"/>
      <x:c r="W2092" s="6" t="str">
        <x:v>Existing find_route(via=[...]).</x:v>
      </x:c>
      <x:c r="X2092" s="6" t="str">
        <x:v>data/train/swiss-685/questions_basic.jsonl</x:v>
      </x:c>
      <x:c r="Y2092" s="14" t="n">
        <x:v>8</x:v>
      </x:c>
      <x:c r="Z2092" s="6" t="str">
        <x:v>https://github.com/hagenhaeussler/Industrial-Agents-Hackathon-2026/blob/f41616590b69f3ea0c1cbfb41d6c35edd9ce53df/data/train/swiss-685/questions_basic.jsonl#L8</x:v>
      </x:c>
      <x:c r="AA2092" s="6" t="str">
        <x:v>swiss_dwellings</x:v>
      </x:c>
      <x:c r="AB2092" s="6" t="str">
        <x:v>CC-BY-4.0</x:v>
      </x:c>
    </x:row>
    <x:row r="2093" ht="208" customHeight="1">
      <x:c r="A2093" s="14" t="n">
        <x:v>2088</x:v>
      </x:c>
      <x:c r="B2093" s="6" t="str">
        <x:v>tour</x:v>
      </x:c>
      <x:c r="C2093" s="6" t="str">
        <x:v>Starting at Kitchen 2.40 (apartment 17) (Floor 2), visit Kitchen 2.68 (apartment 20) (Floor 2), then Bedroom 4.48 (apartment 40) (Floor 4) in this order. What is the route?</x:v>
      </x:c>
      <x:c r="D2093" s="6" t="str">
        <x:v>111.25 m total
Stops: Kitchen 2.40 (apartment 17) → Kitchen 2.68 (apartment 20) → Bedroom 4.48 (apartment 40)
Leg lengths (m): 70.7, 40.55
Full paths are in Answer JSON.</x:v>
      </x:c>
      <x:c r="E2093" s="6" t="str">
        <x:v>Reference supplied</x:v>
      </x:c>
      <x:c r="F2093" s="6" t="str">
        <x:v>train</x:v>
      </x:c>
      <x:c r="G2093" s="6" t="str">
        <x:v>swiss-692</x:v>
      </x:c>
      <x:c r="H2093" s="6" t="str">
        <x:v>swiss-692-Q07</x:v>
      </x:c>
      <x:c r="I2093" s="6" t="str">
        <x:v>Route planning</x:v>
      </x:c>
      <x:c r="J2093" s="6" t="str">
        <x:v>Warm-up</x:v>
      </x:c>
      <x:c r="K2093" s="6" t="str">
        <x:v>Ordered stops, path for each leg and total metres.</x:v>
      </x:c>
      <x:c r="L2093" s="6" t="str">
        <x:v>T02, T05, T13</x:v>
      </x:c>
      <x:c r="M2093" s="6" t="str">
        <x:v>Visit multiple rooms in the order specified.</x:v>
      </x:c>
      <x:c r="N2093" s="6" t="str">
        <x:v>{"stops":["swiss-692-F2-S040","swiss-692-F2-S068","swiss-692-F4-S048"],"optimal_length_m":111.25,"legs":[{"from_space_id":"swiss-692-F2-S040","to_space_id":"swiss-692-F2-S068","optimal_length_m":70.7,"space_path":["swiss-692-F2-S040","swiss-692-F2-S045","swiss-692-F2-S088","swiss-692-F1-S055","swiss-692-F0-S048","outside","swiss-692-F0-S047","swiss-692-F1-S054","swiss-692-F2-S087","swiss-692-F2-S061","swiss-692-F2-S068"],"element_path":["swiss-692-F2-O0150","swiss-692-F2-O0150","swiss-692-F2-O0149","swiss-692-F2-O0149","swiss-692-V05","swiss-692-V02","swiss-692-F0-O0361","swiss-692-F0-O0361","swiss-692-F0-O0360","swiss-692-F0-O0360","swiss-692-V01","swiss-692-V01","swiss-692-F2-O0176","swiss-692-F2-O0176","swiss-692-F2-O0172","swiss-692-F2-O0172"]},{"from_space_id":"swiss-692-F2-S068","to_space_id":"swiss-692-F4-S048","optimal_length_m":40.55,"space_path":["swiss-692-F2-S068","swiss-692-F2-S061","swiss-692-F2-S087","swiss-692-F3-S087","swiss-692-F4-S075","swiss-692-F4-S054","swiss-692-F4-S048"],"element_path":["swiss-692-F2-O0172","swiss-692-F2-O0172","swiss-692-F2-O0176","swiss-692-F2-O0176","swiss-692-V01","swiss-692-V18","swiss-692-F4-O0340","swiss-692-F4-O0340","swiss-692-F4-O0345","swiss-692-F4-O0345"]}]}</x:v>
      </x:c>
      <x:c r="O2093" s="6"/>
      <x:c r="P2093" s="6" t="str">
        <x:v>Preserve stated visit order. Do not optimize stop order.</x:v>
      </x:c>
      <x:c r="Q2093" s="15" t="n">
        <x:v>111.25</x:v>
      </x:c>
      <x:c r="R2093" s="6" t="str">
        <x:v>m</x:v>
      </x:c>
      <x:c r="S2093" s="16"/>
      <x:c r="T2093" s="15"/>
      <x:c r="U2093" s="6"/>
      <x:c r="V2093" s="6"/>
      <x:c r="W2093" s="6" t="str">
        <x:v>Existing find_route(via=[...]).</x:v>
      </x:c>
      <x:c r="X2093" s="6" t="str">
        <x:v>data/train/swiss-692/questions_basic.jsonl</x:v>
      </x:c>
      <x:c r="Y2093" s="14" t="n">
        <x:v>7</x:v>
      </x:c>
      <x:c r="Z2093" s="6" t="str">
        <x:v>https://github.com/hagenhaeussler/Industrial-Agents-Hackathon-2026/blob/f41616590b69f3ea0c1cbfb41d6c35edd9ce53df/data/train/swiss-692/questions_basic.jsonl#L7</x:v>
      </x:c>
      <x:c r="AA2093" s="6" t="str">
        <x:v>swiss_dwellings</x:v>
      </x:c>
      <x:c r="AB2093" s="6" t="str">
        <x:v>CC-BY-4.0</x:v>
      </x:c>
    </x:row>
    <x:row r="2094" ht="180" customHeight="1">
      <x:c r="A2094" s="14" t="n">
        <x:v>2089</x:v>
      </x:c>
      <x:c r="B2094" s="6" t="str">
        <x:v>tour</x:v>
      </x:c>
      <x:c r="C2094" s="6" t="str">
        <x:v>Starting at Bedroom 2.21 (apartment 6) (Floor 2), visit Storage 3.06 (apartment 7) (Floor 3), then Living room 1.02 (apartment 3) (Floor 1) in this order. What is the route?</x:v>
      </x:c>
      <x:c r="D2094" s="6" t="str">
        <x:v>65.88 m total
Stops: Bedroom 2.21 (apartment 6) → Storage 3.06 (apartment 7) → Living room 1.02 (apartment 3)
Leg lengths (m): 29.37, 36.51
Full paths are in Answer JSON.</x:v>
      </x:c>
      <x:c r="E2094" s="6" t="str">
        <x:v>Reference supplied</x:v>
      </x:c>
      <x:c r="F2094" s="6" t="str">
        <x:v>train</x:v>
      </x:c>
      <x:c r="G2094" s="6" t="str">
        <x:v>swiss-920</x:v>
      </x:c>
      <x:c r="H2094" s="6" t="str">
        <x:v>swiss-920-Q07</x:v>
      </x:c>
      <x:c r="I2094" s="6" t="str">
        <x:v>Route planning</x:v>
      </x:c>
      <x:c r="J2094" s="6" t="str">
        <x:v>Warm-up</x:v>
      </x:c>
      <x:c r="K2094" s="6" t="str">
        <x:v>Ordered stops, path for each leg and total metres.</x:v>
      </x:c>
      <x:c r="L2094" s="6" t="str">
        <x:v>T02, T05, T13</x:v>
      </x:c>
      <x:c r="M2094" s="6" t="str">
        <x:v>Visit multiple rooms in the order specified.</x:v>
      </x:c>
      <x:c r="N2094" s="6" t="str">
        <x:v>{"stops":["swiss-920-F2-S021","swiss-920-F3-S006","swiss-920-F1-S002"],"optimal_length_m":65.88,"legs":[{"from_space_id":"swiss-920-F2-S021","to_space_id":"swiss-920-F3-S006","optimal_length_m":29.37,"space_path":["swiss-920-F2-S021","swiss-920-F2-S013","swiss-920-F2-S015","swiss-920-F2-S024","swiss-920-F3-S013","swiss-920-F3-S005","swiss-920-F3-S006"],"element_path":["swiss-920-F2-O0062","swiss-920-F2-O0062","swiss-920-F2-O0074","swiss-920-F2-O0074","swiss-920-F2-O0061","swiss-920-F2-O0061","swiss-920-V01","swiss-920-F3-O0082","swiss-920-F3-O0082","swiss-920-F3-O0083","swiss-920-F3-O0083"]},{"from_space_id":"swiss-920-F3-S006","to_space_id":"swiss-920-F1-S002","optimal_length_m":36.51,"space_path":["swiss-920-F3-S006","swiss-920-F3-S005","swiss-920-F3-S013","swiss-920-F2-S024","swiss-920-F1-S023","swiss-920-F1-S010","swiss-920-F1-S002"],"element_path":["swiss-920-F3-O0083","swiss-920-F3-O0083","swiss-920-F3-O0082","swiss-920-F3-O0082","swiss-920-V01","swiss-920-V01","swiss-920-F1-O0027","swiss-920-F1-O0027","swiss-920-F1-O0046","swiss-920-F1-O0046"]}]}</x:v>
      </x:c>
      <x:c r="O2094" s="6"/>
      <x:c r="P2094" s="6" t="str">
        <x:v>Preserve stated visit order. Do not optimize stop order.</x:v>
      </x:c>
      <x:c r="Q2094" s="15" t="n">
        <x:v>65.88</x:v>
      </x:c>
      <x:c r="R2094" s="6" t="str">
        <x:v>m</x:v>
      </x:c>
      <x:c r="S2094" s="16"/>
      <x:c r="T2094" s="15"/>
      <x:c r="U2094" s="6"/>
      <x:c r="V2094" s="6"/>
      <x:c r="W2094" s="6" t="str">
        <x:v>Existing find_route(via=[...]).</x:v>
      </x:c>
      <x:c r="X2094" s="6" t="str">
        <x:v>data/train/swiss-920/questions_basic.jsonl</x:v>
      </x:c>
      <x:c r="Y2094" s="14" t="n">
        <x:v>7</x:v>
      </x:c>
      <x:c r="Z2094" s="6" t="str">
        <x:v>https://github.com/hagenhaeussler/Industrial-Agents-Hackathon-2026/blob/f41616590b69f3ea0c1cbfb41d6c35edd9ce53df/data/train/swiss-920/questions_basic.jsonl#L7</x:v>
      </x:c>
      <x:c r="AA2094" s="6" t="str">
        <x:v>swiss_dwellings</x:v>
      </x:c>
      <x:c r="AB2094" s="6" t="str">
        <x:v>CC-BY-4.0</x:v>
      </x:c>
    </x:row>
    <x:row r="2095" ht="264" customHeight="1">
      <x:c r="A2095" s="14" t="n">
        <x:v>2090</x:v>
      </x:c>
      <x:c r="B2095" s="6" t="str">
        <x:v>tour</x:v>
      </x:c>
      <x:c r="C2095" s="6" t="str">
        <x:v>Starting at Bathroom 5.04 (apartment 21) (Floor 5), visit Bathroom 1.06 (apartment 5) (Floor 1), then Bedroom 2.14 (apartment 10) (Floor 2) in this order. What is the route?</x:v>
      </x:c>
      <x:c r="D2095" s="6" t="str">
        <x:v>138.71 m total
Stops: Bathroom 5.04 (apartment 21) → Bathroom 1.06 (apartment 5) → Bedroom 2.14 (apartment 10)
Leg lengths (m): 76.26, 62.45
Full paths are in Answer JSON.</x:v>
      </x:c>
      <x:c r="E2095" s="6" t="str">
        <x:v>Reference supplied</x:v>
      </x:c>
      <x:c r="F2095" s="6" t="str">
        <x:v>train</x:v>
      </x:c>
      <x:c r="G2095" s="6" t="str">
        <x:v>swiss-921</x:v>
      </x:c>
      <x:c r="H2095" s="6" t="str">
        <x:v>swiss-921-Q07</x:v>
      </x:c>
      <x:c r="I2095" s="6" t="str">
        <x:v>Route planning</x:v>
      </x:c>
      <x:c r="J2095" s="6" t="str">
        <x:v>Warm-up</x:v>
      </x:c>
      <x:c r="K2095" s="6" t="str">
        <x:v>Ordered stops, path for each leg and total metres.</x:v>
      </x:c>
      <x:c r="L2095" s="6" t="str">
        <x:v>T02, T05, T13</x:v>
      </x:c>
      <x:c r="M2095" s="6" t="str">
        <x:v>Visit multiple rooms in the order specified.</x:v>
      </x:c>
      <x:c r="N2095" s="6" t="str">
        <x:v>{"stops":["swiss-921-F5-S004","swiss-921-F1-S006","swiss-921-F2-S014"],"optimal_length_m":138.71,"legs":[{"from_space_id":"swiss-921-F5-S004","to_space_id":"swiss-921-F1-S006","optimal_length_m":76.26,"space_path":["swiss-921-F5-S004","swiss-921-F5-S011","swiss-921-F5-S002","swiss-921-F5-S040","swiss-921-F4-S038","swiss-921-F3-S039","swiss-921-F2-S038","swiss-921-F1-S038","swiss-921-F1-S009","swiss-921-F1-S005","swiss-921-F1-S002","swiss-921-F1-S006"],"element_path":["swiss-921-F5-O0216","swiss-921-F5-O0216","swiss-921-F5-O0248","swiss-921-F5-O0248","swiss-921-F5-O0212","swiss-921-F5-O0212","swiss-921-V01","swiss-921-V01","swiss-921-V01","swiss-921-V01","swiss-921-F1-O0045","swiss-921-F1-O0045","swiss-921-F1-O0076","swiss-921-F1-O0076","swiss-921-F1-O0074","swiss-921-F1-O0074","swiss-921-F1-O0046","swiss-921-F1-O0046"]},{"from_space_id":"swiss-921-F1-S006","to_space_id":"swiss-921-F2-S014","optimal_length_m":62.45,"space_path":["swiss-921-F1-S006","swiss-921-F1-S002","swiss-921-F1-S005","swiss-921-F1-S009","swiss-921-F1-S038","swiss-921-F0-S039","outside","swiss-921-F0-S038","swiss-921-F1-S039","swiss-921-F2-S039","swiss-921-F2-S015","swiss-921-F2-S014"],"element_path":["swiss-921-F1-O0046","swiss-921-F1-O0046","swiss-921-F1-O0074","swiss-921-F1-O0074","swiss-921-F1-O0076","swiss-921-F1-O0076","swiss-921-F1-O0045","swiss-921-F1-O0045","swiss-921-V01","swiss-921-F0-O0300","swiss-921-F0-O0300","swiss-921-F0-O0299","swiss-921-F0-O0299","swiss-921-V03","swiss-921-V04","swiss-921-F2-O0094","swiss-921-F2-O0094","swiss-921-F2-O0091","swiss-921-F2-O0091"]}]}</x:v>
      </x:c>
      <x:c r="O2095" s="6"/>
      <x:c r="P2095" s="6" t="str">
        <x:v>Preserve stated visit order. Do not optimize stop order.</x:v>
      </x:c>
      <x:c r="Q2095" s="15" t="n">
        <x:v>138.71</x:v>
      </x:c>
      <x:c r="R2095" s="6" t="str">
        <x:v>m</x:v>
      </x:c>
      <x:c r="S2095" s="16"/>
      <x:c r="T2095" s="15"/>
      <x:c r="U2095" s="6"/>
      <x:c r="V2095" s="6"/>
      <x:c r="W2095" s="6" t="str">
        <x:v>Existing find_route(via=[...]).</x:v>
      </x:c>
      <x:c r="X2095" s="6" t="str">
        <x:v>data/train/swiss-921/questions_basic.jsonl</x:v>
      </x:c>
      <x:c r="Y2095" s="14" t="n">
        <x:v>7</x:v>
      </x:c>
      <x:c r="Z2095" s="6" t="str">
        <x:v>https://github.com/hagenhaeussler/Industrial-Agents-Hackathon-2026/blob/f41616590b69f3ea0c1cbfb41d6c35edd9ce53df/data/train/swiss-921/questions_basic.jsonl#L7</x:v>
      </x:c>
      <x:c r="AA2095" s="6" t="str">
        <x:v>swiss_dwellings</x:v>
      </x:c>
      <x:c r="AB2095" s="6" t="str">
        <x:v>CC-BY-4.0</x:v>
      </x:c>
    </x:row>
    <x:row r="2096" ht="278" customHeight="1">
      <x:c r="A2096" s="14" t="n">
        <x:v>2091</x:v>
      </x:c>
      <x:c r="B2096" s="6" t="str">
        <x:v>tour</x:v>
      </x:c>
      <x:c r="C2096" s="6" t="str">
        <x:v>Starting at Generic room N0319 (Ground floor), visit Generic room N1315 (Floor 1), then Generic room N4325B (Floor 4) in this order. What is the route?</x:v>
      </x:c>
      <x:c r="D2096" s="6" t="str">
        <x:v>118.57 m total
Stops: Generic room N0319 → Generic room N1315 → Generic room N4325B
Leg lengths (m): 43.51, 75.06
Full paths are in Answer JSON.</x:v>
      </x:c>
      <x:c r="E2096" s="6" t="str">
        <x:v>Reference supplied</x:v>
      </x:c>
      <x:c r="F2096" s="6" t="str">
        <x:v>dev</x:v>
      </x:c>
      <x:c r="G2096" s="6" t="str">
        <x:v>osm-way22744230</x:v>
      </x:c>
      <x:c r="H2096" s="6" t="str">
        <x:v>osm-way22744230-Q10</x:v>
      </x:c>
      <x:c r="I2096" s="6" t="str">
        <x:v>Route planning</x:v>
      </x:c>
      <x:c r="J2096" s="6" t="str">
        <x:v>Warm-up</x:v>
      </x:c>
      <x:c r="K2096" s="6" t="str">
        <x:v>Ordered stops, path for each leg and total metres.</x:v>
      </x:c>
      <x:c r="L2096" s="6" t="str">
        <x:v>T02, T05, T13</x:v>
      </x:c>
      <x:c r="M2096" s="6" t="str">
        <x:v>Visit multiple rooms in the order specified.</x:v>
      </x:c>
      <x:c r="N2096" s="6" t="str">
        <x:v>{"stops":["osm-way22744230-F0-S012","osm-way22744230-F1-S045","osm-way22744230-F4-S033"],"optimal_length_m":118.57,"legs":[{"from_space_id":"osm-way22744230-F0-S012","to_space_id":"osm-way22744230-F1-S045","optimal_length_m":43.51,"space_path":["osm-way22744230-F0-S012","outside","osm-way22744230-F0-S033","osm-way22744230-F0-S023","osm-way22744230-F1-S010","osm-way22744230-F1-S027","osm-way22744230-F1-S029","osm-way22744230-F1-S045"],"element_path":["osm-way22744230-F0-O0379","osm-way22744230-F0-O0379","osm-way22744230-F0-O0122","osm-way22744230-F0-O0122","osm-way22744230-F0-O0380","osm-way22744230-F0-O0380","osm-way22744230-V06","osm-way22744230-F1-O0385","osm-way22744230-F1-O0385","osm-way22744230-F1-O0160","osm-way22744230-F1-O0160","osm-way22744230-F1-O0178","osm-way22744230-F1-O0178"]},{"from_space_id":"osm-way22744230-F1-S045","to_space_id":"osm-way22744230-F4-S033","optimal_length_m":75.06,"space_path":["osm-way22744230-F1-S045","osm-way22744230-F1-S029","osm-way22744230-F1-S027","osm-way22744230-F1-S010","osm-way22744230-F2-S047","osm-way22744230-F3-S036","osm-way22744230-F4-S017","osm-way22744230-F4-S012","osm-way22744230-F4-S030","osm-way22744230-F4-S037","osm-way22744230-F4-S033"],"element_path":["osm-way22744230-F1-O0178","osm-way22744230-F1-O0178","osm-way22744230-F1-O0160","osm-way22744230-F1-O0160","osm-way22744230-F1-O0385","osm-way22744230-F1-O0385","osm-way22744230-V06","osm-way22744230-V06","osm-way22744230-V06","osm-way22744230-F4-O0393","osm-way22744230-F4-O0393","osm-way22744230-F4-O0291","osm-way22744230-F4-O0291","osm-way22744230-F4-O0315","osm-way22744230-F4-O0315","osm-way22744230-F4-O0312","osm-way22744230-F4-O0312"]}]}</x:v>
      </x:c>
      <x:c r="O2096" s="6"/>
      <x:c r="P2096" s="6" t="str">
        <x:v>Preserve stated visit order. Do not optimize stop order.</x:v>
      </x:c>
      <x:c r="Q2096" s="15" t="n">
        <x:v>118.57</x:v>
      </x:c>
      <x:c r="R2096" s="6" t="str">
        <x:v>m</x:v>
      </x:c>
      <x:c r="S2096" s="16"/>
      <x:c r="T2096" s="15"/>
      <x:c r="U2096" s="6"/>
      <x:c r="V2096" s="6"/>
      <x:c r="W2096" s="6" t="str">
        <x:v>Existing find_route(via=[...]).</x:v>
      </x:c>
      <x:c r="X2096" s="6" t="str">
        <x:v>data/dev/osm-way22744230/questions_basic.jsonl</x:v>
      </x:c>
      <x:c r="Y2096" s="14" t="n">
        <x:v>10</x:v>
      </x:c>
      <x:c r="Z2096" s="6" t="str">
        <x:v>https://github.com/hagenhaeussler/Industrial-Agents-Hackathon-2026/blob/f41616590b69f3ea0c1cbfb41d6c35edd9ce53df/data/dev/osm-way22744230/questions_basic.jsonl#L10</x:v>
      </x:c>
      <x:c r="AA2096" s="6" t="str">
        <x:v>osm_indoor</x:v>
      </x:c>
      <x:c r="AB2096" s="6" t="str">
        <x:v>ODbL-1.0</x:v>
      </x:c>
    </x:row>
    <x:row r="2097" ht="180" customHeight="1">
      <x:c r="A2097" s="14" t="n">
        <x:v>2092</x:v>
      </x:c>
      <x:c r="B2097" s="6" t="str">
        <x:v>tour</x:v>
      </x:c>
      <x:c r="C2097" s="6" t="str">
        <x:v>Starting at Generic room K06 (Basement 2), visit Generic room K01/ K02 (Basement 2), then Generic room E05 (Ground floor) in this order. What is the route?</x:v>
      </x:c>
      <x:c r="D2097" s="6" t="str">
        <x:v>94.26 m total
Stops: Generic room K06 → Generic room K01/ K02 → Generic room E05
Leg lengths (m): 22.1, 72.16
Full paths are in Answer JSON.</x:v>
      </x:c>
      <x:c r="E2097" s="6" t="str">
        <x:v>Reference supplied</x:v>
      </x:c>
      <x:c r="F2097" s="6" t="str">
        <x:v>dev</x:v>
      </x:c>
      <x:c r="G2097" s="6" t="str">
        <x:v>osm-way27326387</x:v>
      </x:c>
      <x:c r="H2097" s="6" t="str">
        <x:v>osm-way27326387-Q07</x:v>
      </x:c>
      <x:c r="I2097" s="6" t="str">
        <x:v>Route planning</x:v>
      </x:c>
      <x:c r="J2097" s="6" t="str">
        <x:v>Warm-up</x:v>
      </x:c>
      <x:c r="K2097" s="6" t="str">
        <x:v>Ordered stops, path for each leg and total metres.</x:v>
      </x:c>
      <x:c r="L2097" s="6" t="str">
        <x:v>T02, T05, T13</x:v>
      </x:c>
      <x:c r="M2097" s="6" t="str">
        <x:v>Visit multiple rooms in the order specified.</x:v>
      </x:c>
      <x:c r="N2097" s="6" t="str">
        <x:v>{"stops":["osm-way27326387-F-2-S009","osm-way27326387-F-2-S022","osm-way27326387-F0-S013"],"optimal_length_m":94.26,"legs":[{"from_space_id":"osm-way27326387-F-2-S009","to_space_id":"osm-way27326387-F-2-S022","optimal_length_m":22.1,"space_path":["osm-way27326387-F-2-S009","osm-way27326387-F-2-S008","osm-way27326387-F-2-S022"],"element_path":["osm-way27326387-F-2-O0015","osm-way27326387-F-2-O0015","osm-way27326387-F-2-O0019","osm-way27326387-F-2-O0019"]},{"from_space_id":"osm-way27326387-F-2-S022","to_space_id":"osm-way27326387-F0-S013","optimal_length_m":72.16,"space_path":["osm-way27326387-F-2-S022","osm-way27326387-F-2-S008","osm-way27326387-F-2-S017","osm-way27326387-F0-S021","osm-way27326387-F0-S020","osm-way27326387-F0-S012","osm-way27326387-F0-S013"],"element_path":["osm-way27326387-F-2-O0019","osm-way27326387-F-2-O0019","osm-way27326387-F-2-O0008","osm-way27326387-F-2-O0008","osm-way27326387-V01","osm-way27326387-F0-O0023","osm-way27326387-F0-O0023","osm-way27326387-F0-O0043","osm-way27326387-F0-O0043","osm-way27326387-F0-O0036","osm-way27326387-F0-O0036"]}]}</x:v>
      </x:c>
      <x:c r="O2097" s="6"/>
      <x:c r="P2097" s="6" t="str">
        <x:v>Preserve stated visit order. Do not optimize stop order.</x:v>
      </x:c>
      <x:c r="Q2097" s="15" t="n">
        <x:v>94.26</x:v>
      </x:c>
      <x:c r="R2097" s="6" t="str">
        <x:v>m</x:v>
      </x:c>
      <x:c r="S2097" s="16"/>
      <x:c r="T2097" s="15"/>
      <x:c r="U2097" s="6"/>
      <x:c r="V2097" s="6"/>
      <x:c r="W2097" s="6" t="str">
        <x:v>Existing find_route(via=[...]).</x:v>
      </x:c>
      <x:c r="X2097" s="6" t="str">
        <x:v>data/dev/osm-way27326387/questions_basic.jsonl</x:v>
      </x:c>
      <x:c r="Y2097" s="14" t="n">
        <x:v>7</x:v>
      </x:c>
      <x:c r="Z2097" s="6" t="str">
        <x:v>https://github.com/hagenhaeussler/Industrial-Agents-Hackathon-2026/blob/f41616590b69f3ea0c1cbfb41d6c35edd9ce53df/data/dev/osm-way27326387/questions_basic.jsonl#L7</x:v>
      </x:c>
      <x:c r="AA2097" s="6" t="str">
        <x:v>osm_indoor</x:v>
      </x:c>
      <x:c r="AB2097" s="6" t="str">
        <x:v>ODbL-1.0</x:v>
      </x:c>
    </x:row>
    <x:row r="2098" ht="264" customHeight="1">
      <x:c r="A2098" s="14" t="n">
        <x:v>2093</x:v>
      </x:c>
      <x:c r="B2098" s="6" t="str">
        <x:v>tour</x:v>
      </x:c>
      <x:c r="C2098" s="6" t="str">
        <x:v>Starting at Generic room 03.05.019A (Floor 3), visit Generic room 00.05.043 (Ground floor), then Generic room 03.11.059 (Floor 3) in this order. What is the route?</x:v>
      </x:c>
      <x:c r="D2098" s="6" t="str">
        <x:v>191.23 m total
Stops: Generic room 03.05.019A → Generic room 00.05.043 → Generic room 03.11.059
Leg lengths (m): 107.24, 83.99
Full paths are in Answer JSON.</x:v>
      </x:c>
      <x:c r="E2098" s="6" t="str">
        <x:v>Reference supplied</x:v>
      </x:c>
      <x:c r="F2098" s="6" t="str">
        <x:v>dev</x:v>
      </x:c>
      <x:c r="G2098" s="6" t="str">
        <x:v>osm-way27917482</x:v>
      </x:c>
      <x:c r="H2098" s="6" t="str">
        <x:v>osm-way27917482-Q10</x:v>
      </x:c>
      <x:c r="I2098" s="6" t="str">
        <x:v>Route planning</x:v>
      </x:c>
      <x:c r="J2098" s="6" t="str">
        <x:v>Warm-up</x:v>
      </x:c>
      <x:c r="K2098" s="6" t="str">
        <x:v>Ordered stops, path for each leg and total metres.</x:v>
      </x:c>
      <x:c r="L2098" s="6" t="str">
        <x:v>T02, T05, T13</x:v>
      </x:c>
      <x:c r="M2098" s="6" t="str">
        <x:v>Visit multiple rooms in the order specified.</x:v>
      </x:c>
      <x:c r="N2098" s="6" t="str">
        <x:v>{"stops":["osm-way27917482-F3-S040","osm-way27917482-F0-S328","osm-way27917482-F3-S274"],"optimal_length_m":191.23,"legs":[{"from_space_id":"osm-way27917482-F3-S040","to_space_id":"osm-way27917482-F0-S328","optimal_length_m":107.24,"space_path":["osm-way27917482-F3-S040","osm-way27917482-F3-S043","osm-way27917482-F3-S039","osm-way27917482-F3-S395","osm-way27917482-F2-S387","osm-way27917482-F1-S390","osm-way27917482-F0-S308","osm-way27917482-F0-S307","osm-way27917482-F0-S320","osm-way27917482-F0-S328"],"element_path":["osm-way27917482-F3-O0086","osm-way27917482-F3-O0086","osm-way27917482-F3-O0085","osm-way27917482-F3-O0085","osm-way27917482-F3-O0084","osm-way27917482-F3-O0084","osm-way27917482-V11","osm-way27917482-V11","osm-way27917482-V11","osm-way27917482-F0-O1671","osm-way27917482-F0-O1671","osm-way27917482-F0-O1641","osm-way27917482-F0-O1641","osm-way27917482-F0-O1649","osm-way27917482-F0-O1649"]},{"from_space_id":"osm-way27917482-F0-S328","to_space_id":"osm-way27917482-F3-S274","optimal_length_m":83.99,"space_path":["osm-way27917482-F0-S328","osm-way27917482-F0-S320","osm-way27917482-F0-S307","osm-way27917482-F0-S308","outside","osm-way27917482-F3-S295","osm-way27917482-F3-S268","osm-way27917482-F3-S274"],"element_path":["osm-way27917482-F0-O1649","osm-way27917482-F0-O1649","osm-way27917482-F0-O1641","osm-way27917482-F0-O1641","osm-way27917482-F0-O1671","osm-way27917482-F0-O1671","osm-way27917482-F0-O1669","osm-way27917482-F0-O1669","osm-way27917482-F3-O1188","osm-way27917482-F3-O1188","osm-way27917482-F3-O1167","osm-way27917482-F3-O1167","osm-way27917482-F3-O1185","osm-way27917482-F3-O1185"]}]}</x:v>
      </x:c>
      <x:c r="O2098" s="6"/>
      <x:c r="P2098" s="6" t="str">
        <x:v>Preserve stated visit order. Do not optimize stop order.</x:v>
      </x:c>
      <x:c r="Q2098" s="15" t="n">
        <x:v>191.23</x:v>
      </x:c>
      <x:c r="R2098" s="6" t="str">
        <x:v>m</x:v>
      </x:c>
      <x:c r="S2098" s="16"/>
      <x:c r="T2098" s="15"/>
      <x:c r="U2098" s="6"/>
      <x:c r="V2098" s="6"/>
      <x:c r="W2098" s="6" t="str">
        <x:v>Existing find_route(via=[...]).</x:v>
      </x:c>
      <x:c r="X2098" s="6" t="str">
        <x:v>data/dev/osm-way27917482/questions_basic.jsonl</x:v>
      </x:c>
      <x:c r="Y2098" s="14" t="n">
        <x:v>10</x:v>
      </x:c>
      <x:c r="Z2098" s="6" t="str">
        <x:v>https://github.com/hagenhaeussler/Industrial-Agents-Hackathon-2026/blob/f41616590b69f3ea0c1cbfb41d6c35edd9ce53df/data/dev/osm-way27917482/questions_basic.jsonl#L10</x:v>
      </x:c>
      <x:c r="AA2098" s="6" t="str">
        <x:v>osm_indoor</x:v>
      </x:c>
      <x:c r="AB2098" s="6" t="str">
        <x:v>ODbL-1.0</x:v>
      </x:c>
    </x:row>
    <x:row r="2099" ht="180" customHeight="1">
      <x:c r="A2099" s="14" t="n">
        <x:v>2094</x:v>
      </x:c>
      <x:c r="B2099" s="6" t="str">
        <x:v>tour</x:v>
      </x:c>
      <x:c r="C2099" s="6" t="str">
        <x:v>Starting at Edeka (Ground floor), visit Hermes (Floor 2), then Generic room 1.02 (Floor 1) in this order. What is the route?</x:v>
      </x:c>
      <x:c r="D2099" s="6" t="str">
        <x:v>497.54 m total
Stops: Edeka → Hermes → Generic room 1.02
Leg lengths (m): 243.64, 253.9
Full paths are in Answer JSON.</x:v>
      </x:c>
      <x:c r="E2099" s="6" t="str">
        <x:v>Reference supplied</x:v>
      </x:c>
      <x:c r="F2099" s="6" t="str">
        <x:v>dev</x:v>
      </x:c>
      <x:c r="G2099" s="6" t="str">
        <x:v>osm-way360544293</x:v>
      </x:c>
      <x:c r="H2099" s="6" t="str">
        <x:v>osm-way360544293-Q09</x:v>
      </x:c>
      <x:c r="I2099" s="6" t="str">
        <x:v>Route planning</x:v>
      </x:c>
      <x:c r="J2099" s="6" t="str">
        <x:v>Warm-up</x:v>
      </x:c>
      <x:c r="K2099" s="6" t="str">
        <x:v>Ordered stops, path for each leg and total metres.</x:v>
      </x:c>
      <x:c r="L2099" s="6" t="str">
        <x:v>T02, T05, T13</x:v>
      </x:c>
      <x:c r="M2099" s="6" t="str">
        <x:v>Visit multiple rooms in the order specified.</x:v>
      </x:c>
      <x:c r="N2099" s="6" t="str">
        <x:v>{"stops":["osm-way360544293-F0-S014","osm-way360544293-F2-S006","osm-way360544293-F1-S002"],"optimal_length_m":497.54,"legs":[{"from_space_id":"osm-way360544293-F0-S014","to_space_id":"osm-way360544293-F2-S006","optimal_length_m":243.64,"space_path":["osm-way360544293-F0-S014","osm-way360544293-F0-S009","outside","osm-way360544293-F2-S001","osm-way360544293-F2-S006"],"element_path":["osm-way360544293-F0-O0050","osm-way360544293-F0-O0050","osm-way360544293-F0-O0019","osm-way360544293-F0-O0019","osm-way360544293-F2-O0017","osm-way360544293-F2-O0017","osm-way360544293-F2-O0038","osm-way360544293-F2-O0038"]},{"from_space_id":"osm-way360544293-F2-S006","to_space_id":"osm-way360544293-F1-S002","optimal_length_m":253.9,"space_path":["osm-way360544293-F2-S006","osm-way360544293-F2-S001","outside","osm-way360544293-F1-S001","osm-way360544293-F1-S002"],"element_path":["osm-way360544293-F2-O0038","osm-way360544293-F2-O0038","osm-way360544293-F2-O0017","osm-way360544293-F2-O0017","osm-way360544293-F1-O0013","osm-way360544293-F1-O0013","osm-way360544293-F1-O0020","osm-way360544293-F1-O0020"]}]}</x:v>
      </x:c>
      <x:c r="O2099" s="6"/>
      <x:c r="P2099" s="6" t="str">
        <x:v>Preserve stated visit order. Do not optimize stop order.</x:v>
      </x:c>
      <x:c r="Q2099" s="15" t="n">
        <x:v>497.54</x:v>
      </x:c>
      <x:c r="R2099" s="6" t="str">
        <x:v>m</x:v>
      </x:c>
      <x:c r="S2099" s="16"/>
      <x:c r="T2099" s="15"/>
      <x:c r="U2099" s="6"/>
      <x:c r="V2099" s="6"/>
      <x:c r="W2099" s="6" t="str">
        <x:v>Existing find_route(via=[...]).</x:v>
      </x:c>
      <x:c r="X2099" s="6" t="str">
        <x:v>data/dev/osm-way360544293/questions_basic.jsonl</x:v>
      </x:c>
      <x:c r="Y2099" s="14" t="n">
        <x:v>9</x:v>
      </x:c>
      <x:c r="Z2099" s="6" t="str">
        <x:v>https://github.com/hagenhaeussler/Industrial-Agents-Hackathon-2026/blob/f41616590b69f3ea0c1cbfb41d6c35edd9ce53df/data/dev/osm-way360544293/questions_basic.jsonl#L9</x:v>
      </x:c>
      <x:c r="AA2099" s="6" t="str">
        <x:v>osm_indoor</x:v>
      </x:c>
      <x:c r="AB2099" s="6" t="str">
        <x:v>ODbL-1.0</x:v>
      </x:c>
    </x:row>
    <x:row r="2100" ht="222" customHeight="1">
      <x:c r="A2100" s="14" t="n">
        <x:v>2095</x:v>
      </x:c>
      <x:c r="B2100" s="6" t="str">
        <x:v>tour</x:v>
      </x:c>
      <x:c r="C2100" s="6" t="str">
        <x:v>Starting at Lab 1.24 (Floor 1), visit Office 2.12 (Floor 2), then Seminar room 3.26 (Floor 3) in this order. What is the route?</x:v>
      </x:c>
      <x:c r="D2100" s="6" t="str">
        <x:v>92.26 m total
Stops: Lab 1.24 → Office 2.12 → Seminar room 3.26
Leg lengths (m): 43.72, 48.54
Full paths are in Answer JSON.</x:v>
      </x:c>
      <x:c r="E2100" s="6" t="str">
        <x:v>Reference supplied</x:v>
      </x:c>
      <x:c r="F2100" s="6" t="str">
        <x:v>dev</x:v>
      </x:c>
      <x:c r="G2100" s="6" t="str">
        <x:v>proc-campus-dev-000</x:v>
      </x:c>
      <x:c r="H2100" s="6" t="str">
        <x:v>proc-campus-dev-000-Q10</x:v>
      </x:c>
      <x:c r="I2100" s="6" t="str">
        <x:v>Route planning</x:v>
      </x:c>
      <x:c r="J2100" s="6" t="str">
        <x:v>Warm-up</x:v>
      </x:c>
      <x:c r="K2100" s="6" t="str">
        <x:v>Ordered stops, path for each leg and total metres.</x:v>
      </x:c>
      <x:c r="L2100" s="6" t="str">
        <x:v>T02, T05, T13</x:v>
      </x:c>
      <x:c r="M2100" s="6" t="str">
        <x:v>Visit multiple rooms in the order specified.</x:v>
      </x:c>
      <x:c r="N2100" s="6" t="str">
        <x:v>{"stops":["proc-campus-dev-000-F1-S024","proc-campus-dev-000-F2-S012","proc-campus-dev-000-F3-S026"],"optimal_length_m":92.26,"legs":[{"from_space_id":"proc-campus-dev-000-F1-S024","to_space_id":"proc-campus-dev-000-F2-S012","optimal_length_m":43.72,"space_path":["proc-campus-dev-000-F1-S024","proc-campus-dev-000-F1-S001","proc-campus-dev-000-F1-S009","proc-campus-dev-000-F2-S009","proc-campus-dev-000-F2-S001","proc-campus-dev-000-F2-S012"],"element_path":["proc-campus-dev-000-F1-O0052","proc-campus-dev-000-F1-O0052","proc-campus-dev-000-F1-O0037","proc-campus-dev-000-F1-O0037","proc-campus-dev-000-V03","proc-campus-dev-000-F2-O0067","proc-campus-dev-000-F2-O0067","proc-campus-dev-000-F2-O0070","proc-campus-dev-000-F2-O0070"]},{"from_space_id":"proc-campus-dev-000-F2-S012","to_space_id":"proc-campus-dev-000-F3-S026","optimal_length_m":48.54,"space_path":["proc-campus-dev-000-F2-S012","proc-campus-dev-000-F2-S001","proc-campus-dev-000-F2-S009","proc-campus-dev-000-F3-S009","proc-campus-dev-000-F3-S001","proc-campus-dev-000-F3-S026"],"element_path":["proc-campus-dev-000-F2-O0070","proc-campus-dev-000-F2-O0070","proc-campus-dev-000-F2-O0067","proc-campus-dev-000-F2-O0067","proc-campus-dev-000-V03","proc-campus-dev-000-F3-O0097","proc-campus-dev-000-F3-O0097","proc-campus-dev-000-F3-O0114","proc-campus-dev-000-F3-O0114"]}]}</x:v>
      </x:c>
      <x:c r="O2100" s="6"/>
      <x:c r="P2100" s="6" t="str">
        <x:v>Preserve stated visit order. Do not optimize stop order.</x:v>
      </x:c>
      <x:c r="Q2100" s="15" t="n">
        <x:v>92.26</x:v>
      </x:c>
      <x:c r="R2100" s="6" t="str">
        <x:v>m</x:v>
      </x:c>
      <x:c r="S2100" s="16"/>
      <x:c r="T2100" s="15"/>
      <x:c r="U2100" s="6"/>
      <x:c r="V2100" s="6"/>
      <x:c r="W2100" s="6" t="str">
        <x:v>Existing find_route(via=[...]).</x:v>
      </x:c>
      <x:c r="X2100" s="6" t="str">
        <x:v>data/dev/proc-campus-dev-000/questions_basic.jsonl</x:v>
      </x:c>
      <x:c r="Y2100" s="14" t="n">
        <x:v>10</x:v>
      </x:c>
      <x:c r="Z2100" s="6" t="str">
        <x:v>https://github.com/hagenhaeussler/Industrial-Agents-Hackathon-2026/blob/f41616590b69f3ea0c1cbfb41d6c35edd9ce53df/data/dev/proc-campus-dev-000/questions_basic.jsonl#L10</x:v>
      </x:c>
      <x:c r="AA2100" s="6" t="str">
        <x:v>procedural</x:v>
      </x:c>
      <x:c r="AB2100" s="6" t="str">
        <x:v>CC0-1.0</x:v>
      </x:c>
    </x:row>
    <x:row r="2101" ht="194" customHeight="1">
      <x:c r="A2101" s="14" t="n">
        <x:v>2096</x:v>
      </x:c>
      <x:c r="B2101" s="6" t="str">
        <x:v>tour</x:v>
      </x:c>
      <x:c r="C2101" s="6" t="str">
        <x:v>Starting at Office 1.21 (Floor 1), visit Office 3.12 (Floor 3), then Office 3.09 (Floor 3) in this order. What is the route?</x:v>
      </x:c>
      <x:c r="D2101" s="6" t="str">
        <x:v>121.42 m total
Stops: Office 1.21 → Office 3.12 → Office 3.09
Leg lengths (m): 87.89, 33.53
Full paths are in Answer JSON.</x:v>
      </x:c>
      <x:c r="E2101" s="6" t="str">
        <x:v>Reference supplied</x:v>
      </x:c>
      <x:c r="F2101" s="6" t="str">
        <x:v>dev</x:v>
      </x:c>
      <x:c r="G2101" s="6" t="str">
        <x:v>proc-campus-dev-001</x:v>
      </x:c>
      <x:c r="H2101" s="6" t="str">
        <x:v>proc-campus-dev-001-Q10</x:v>
      </x:c>
      <x:c r="I2101" s="6" t="str">
        <x:v>Route planning</x:v>
      </x:c>
      <x:c r="J2101" s="6" t="str">
        <x:v>Warm-up</x:v>
      </x:c>
      <x:c r="K2101" s="6" t="str">
        <x:v>Ordered stops, path for each leg and total metres.</x:v>
      </x:c>
      <x:c r="L2101" s="6" t="str">
        <x:v>T02, T05, T13</x:v>
      </x:c>
      <x:c r="M2101" s="6" t="str">
        <x:v>Visit multiple rooms in the order specified.</x:v>
      </x:c>
      <x:c r="N2101" s="6" t="str">
        <x:v>{"stops":["proc-campus-dev-001-F1-S021","proc-campus-dev-001-F3-S012","proc-campus-dev-001-F3-S009"],"optimal_length_m":121.42,"legs":[{"from_space_id":"proc-campus-dev-001-F1-S021","to_space_id":"proc-campus-dev-001-F3-S012","optimal_length_m":87.89,"space_path":["proc-campus-dev-001-F1-S021","proc-campus-dev-001-F1-S001","proc-campus-dev-001-F1-S010","proc-campus-dev-001-F2-S010","proc-campus-dev-001-F3-S010","proc-campus-dev-001-F3-S001","proc-campus-dev-001-F3-S012"],"element_path":["proc-campus-dev-001-F1-O0043","proc-campus-dev-001-F1-O0043","proc-campus-dev-001-F1-O0032","proc-campus-dev-001-F1-O0032","proc-campus-dev-001-V03","proc-campus-dev-001-V03","proc-campus-dev-001-F3-O0080","proc-campus-dev-001-F3-O0080","proc-campus-dev-001-F3-O0082","proc-campus-dev-001-F3-O0082"]},{"from_space_id":"proc-campus-dev-001-F3-S012","to_space_id":"proc-campus-dev-001-F3-S009","optimal_length_m":33.53,"space_path":["proc-campus-dev-001-F3-S012","proc-campus-dev-001-F3-S001","proc-campus-dev-001-F3-S009"],"element_path":["proc-campus-dev-001-F3-O0082","proc-campus-dev-001-F3-O0082","proc-campus-dev-001-F3-O0079","proc-campus-dev-001-F3-O0079"]}]}</x:v>
      </x:c>
      <x:c r="O2101" s="6"/>
      <x:c r="P2101" s="6" t="str">
        <x:v>Preserve stated visit order. Do not optimize stop order.</x:v>
      </x:c>
      <x:c r="Q2101" s="15" t="n">
        <x:v>121.42</x:v>
      </x:c>
      <x:c r="R2101" s="6" t="str">
        <x:v>m</x:v>
      </x:c>
      <x:c r="S2101" s="16"/>
      <x:c r="T2101" s="15"/>
      <x:c r="U2101" s="6"/>
      <x:c r="V2101" s="6"/>
      <x:c r="W2101" s="6" t="str">
        <x:v>Existing find_route(via=[...]).</x:v>
      </x:c>
      <x:c r="X2101" s="6" t="str">
        <x:v>data/dev/proc-campus-dev-001/questions_basic.jsonl</x:v>
      </x:c>
      <x:c r="Y2101" s="14" t="n">
        <x:v>10</x:v>
      </x:c>
      <x:c r="Z2101" s="6" t="str">
        <x:v>https://github.com/hagenhaeussler/Industrial-Agents-Hackathon-2026/blob/f41616590b69f3ea0c1cbfb41d6c35edd9ce53df/data/dev/proc-campus-dev-001/questions_basic.jsonl#L10</x:v>
      </x:c>
      <x:c r="AA2101" s="6" t="str">
        <x:v>procedural</x:v>
      </x:c>
      <x:c r="AB2101" s="6" t="str">
        <x:v>CC0-1.0</x:v>
      </x:c>
    </x:row>
    <x:row r="2102" ht="222" customHeight="1">
      <x:c r="A2102" s="14" t="n">
        <x:v>2097</x:v>
      </x:c>
      <x:c r="B2102" s="6" t="str">
        <x:v>tour</x:v>
      </x:c>
      <x:c r="C2102" s="6" t="str">
        <x:v>Starting at Seminar room 2.03 (Floor 2), visit Seminar room 1.17 (Floor 1), then Office 2.13 (Floor 2) in this order. What is the route?</x:v>
      </x:c>
      <x:c r="D2102" s="6" t="str">
        <x:v>157.72 m total
Stops: Seminar room 2.03 → Seminar room 1.17 → Office 2.13
Leg lengths (m): 75.52, 82.2
Full paths are in Answer JSON.</x:v>
      </x:c>
      <x:c r="E2102" s="6" t="str">
        <x:v>Reference supplied</x:v>
      </x:c>
      <x:c r="F2102" s="6" t="str">
        <x:v>dev</x:v>
      </x:c>
      <x:c r="G2102" s="6" t="str">
        <x:v>proc-campus-dev-002</x:v>
      </x:c>
      <x:c r="H2102" s="6" t="str">
        <x:v>proc-campus-dev-002-Q10</x:v>
      </x:c>
      <x:c r="I2102" s="6" t="str">
        <x:v>Route planning</x:v>
      </x:c>
      <x:c r="J2102" s="6" t="str">
        <x:v>Warm-up</x:v>
      </x:c>
      <x:c r="K2102" s="6" t="str">
        <x:v>Ordered stops, path for each leg and total metres.</x:v>
      </x:c>
      <x:c r="L2102" s="6" t="str">
        <x:v>T02, T05, T13</x:v>
      </x:c>
      <x:c r="M2102" s="6" t="str">
        <x:v>Visit multiple rooms in the order specified.</x:v>
      </x:c>
      <x:c r="N2102" s="6" t="str">
        <x:v>{"stops":["proc-campus-dev-002-F2-S003","proc-campus-dev-002-F1-S017","proc-campus-dev-002-F2-S013"],"optimal_length_m":157.72,"legs":[{"from_space_id":"proc-campus-dev-002-F2-S003","to_space_id":"proc-campus-dev-002-F1-S017","optimal_length_m":75.52,"space_path":["proc-campus-dev-002-F2-S003","proc-campus-dev-002-F2-S001","proc-campus-dev-002-F2-S010","proc-campus-dev-002-F1-S010","proc-campus-dev-002-F1-S001","proc-campus-dev-002-F1-S017"],"element_path":["proc-campus-dev-002-F2-O0045","proc-campus-dev-002-F2-O0045","proc-campus-dev-002-F2-O0052","proc-campus-dev-002-F2-O0052","proc-campus-dev-002-V03","proc-campus-dev-002-F1-O0030","proc-campus-dev-002-F1-O0030","proc-campus-dev-002-F1-O0037","proc-campus-dev-002-F1-O0037"]},{"from_space_id":"proc-campus-dev-002-F1-S017","to_space_id":"proc-campus-dev-002-F2-S013","optimal_length_m":82.2,"space_path":["proc-campus-dev-002-F1-S017","proc-campus-dev-002-F1-S001","proc-campus-dev-002-F1-S010","proc-campus-dev-002-F2-S010","proc-campus-dev-002-F2-S001","proc-campus-dev-002-F2-S013"],"element_path":["proc-campus-dev-002-F1-O0037","proc-campus-dev-002-F1-O0037","proc-campus-dev-002-F1-O0030","proc-campus-dev-002-F1-O0030","proc-campus-dev-002-V03","proc-campus-dev-002-F2-O0052","proc-campus-dev-002-F2-O0052","proc-campus-dev-002-F2-O0055","proc-campus-dev-002-F2-O0055"]}]}</x:v>
      </x:c>
      <x:c r="O2102" s="6"/>
      <x:c r="P2102" s="6" t="str">
        <x:v>Preserve stated visit order. Do not optimize stop order.</x:v>
      </x:c>
      <x:c r="Q2102" s="15" t="n">
        <x:v>157.72</x:v>
      </x:c>
      <x:c r="R2102" s="6" t="str">
        <x:v>m</x:v>
      </x:c>
      <x:c r="S2102" s="16"/>
      <x:c r="T2102" s="15"/>
      <x:c r="U2102" s="6"/>
      <x:c r="V2102" s="6"/>
      <x:c r="W2102" s="6" t="str">
        <x:v>Existing find_route(via=[...]).</x:v>
      </x:c>
      <x:c r="X2102" s="6" t="str">
        <x:v>data/dev/proc-campus-dev-002/questions_basic.jsonl</x:v>
      </x:c>
      <x:c r="Y2102" s="14" t="n">
        <x:v>10</x:v>
      </x:c>
      <x:c r="Z2102" s="6" t="str">
        <x:v>https://github.com/hagenhaeussler/Industrial-Agents-Hackathon-2026/blob/f41616590b69f3ea0c1cbfb41d6c35edd9ce53df/data/dev/proc-campus-dev-002/questions_basic.jsonl#L10</x:v>
      </x:c>
      <x:c r="AA2102" s="6" t="str">
        <x:v>procedural</x:v>
      </x:c>
      <x:c r="AB2102" s="6" t="str">
        <x:v>CC0-1.0</x:v>
      </x:c>
    </x:row>
    <x:row r="2103" ht="236" customHeight="1">
      <x:c r="A2103" s="14" t="n">
        <x:v>2098</x:v>
      </x:c>
      <x:c r="B2103" s="6" t="str">
        <x:v>tour</x:v>
      </x:c>
      <x:c r="C2103" s="6" t="str">
        <x:v>Starting at Office 2.20 (Floor 2), visit Toilet 3.17 (Floor 3), then Toilet 0.15 (Ground floor) in this order. What is the route?</x:v>
      </x:c>
      <x:c r="D2103" s="6" t="str">
        <x:v>96.37 m total
Stops: Office 2.20 → Toilet 3.17 → Toilet 0.15
Leg lengths (m): 42.24, 54.13
Full paths are in Answer JSON.</x:v>
      </x:c>
      <x:c r="E2103" s="6" t="str">
        <x:v>Reference supplied</x:v>
      </x:c>
      <x:c r="F2103" s="6" t="str">
        <x:v>dev</x:v>
      </x:c>
      <x:c r="G2103" s="6" t="str">
        <x:v>proc-campus-dev-006</x:v>
      </x:c>
      <x:c r="H2103" s="6" t="str">
        <x:v>proc-campus-dev-006-Q10</x:v>
      </x:c>
      <x:c r="I2103" s="6" t="str">
        <x:v>Route planning</x:v>
      </x:c>
      <x:c r="J2103" s="6" t="str">
        <x:v>Warm-up</x:v>
      </x:c>
      <x:c r="K2103" s="6" t="str">
        <x:v>Ordered stops, path for each leg and total metres.</x:v>
      </x:c>
      <x:c r="L2103" s="6" t="str">
        <x:v>T02, T05, T13</x:v>
      </x:c>
      <x:c r="M2103" s="6" t="str">
        <x:v>Visit multiple rooms in the order specified.</x:v>
      </x:c>
      <x:c r="N2103" s="6" t="str">
        <x:v>{"stops":["proc-campus-dev-006-F2-S020","proc-campus-dev-006-F3-S017","proc-campus-dev-006-F0-S015"],"optimal_length_m":96.37,"legs":[{"from_space_id":"proc-campus-dev-006-F2-S020","to_space_id":"proc-campus-dev-006-F3-S017","optimal_length_m":42.24,"space_path":["proc-campus-dev-006-F2-S020","proc-campus-dev-006-F2-S001","proc-campus-dev-006-F2-S006","proc-campus-dev-006-F3-S006","proc-campus-dev-006-F3-S001","proc-campus-dev-006-F3-S017"],"element_path":["proc-campus-dev-006-F2-O0060","proc-campus-dev-006-F2-O0060","proc-campus-dev-006-F2-O0046","proc-campus-dev-006-F2-O0046","proc-campus-dev-006-V01","proc-campus-dev-006-F3-O0067","proc-campus-dev-006-F3-O0067","proc-campus-dev-006-F3-O0078","proc-campus-dev-006-F3-O0078"]},{"from_space_id":"proc-campus-dev-006-F3-S017","to_space_id":"proc-campus-dev-006-F0-S015","optimal_length_m":54.13,"space_path":["proc-campus-dev-006-F3-S017","proc-campus-dev-006-F3-S001","proc-campus-dev-006-F3-S006","proc-campus-dev-006-F2-S006","proc-campus-dev-006-F1-S006","proc-campus-dev-006-F0-S006","proc-campus-dev-006-F0-S001","proc-campus-dev-006-F0-S015"],"element_path":["proc-campus-dev-006-F3-O0078","proc-campus-dev-006-F3-O0078","proc-campus-dev-006-F3-O0067","proc-campus-dev-006-F3-O0067","proc-campus-dev-006-V01","proc-campus-dev-006-V01","proc-campus-dev-006-V01","proc-campus-dev-006-F0-O0005","proc-campus-dev-006-F0-O0005","proc-campus-dev-006-F0-O0014","proc-campus-dev-006-F0-O0014"]}]}</x:v>
      </x:c>
      <x:c r="O2103" s="6"/>
      <x:c r="P2103" s="6" t="str">
        <x:v>Preserve stated visit order. Do not optimize stop order.</x:v>
      </x:c>
      <x:c r="Q2103" s="15" t="n">
        <x:v>96.37</x:v>
      </x:c>
      <x:c r="R2103" s="6" t="str">
        <x:v>m</x:v>
      </x:c>
      <x:c r="S2103" s="16"/>
      <x:c r="T2103" s="15"/>
      <x:c r="U2103" s="6"/>
      <x:c r="V2103" s="6"/>
      <x:c r="W2103" s="6" t="str">
        <x:v>Existing find_route(via=[...]).</x:v>
      </x:c>
      <x:c r="X2103" s="6" t="str">
        <x:v>data/dev/proc-campus-dev-006/questions_basic.jsonl</x:v>
      </x:c>
      <x:c r="Y2103" s="14" t="n">
        <x:v>10</x:v>
      </x:c>
      <x:c r="Z2103" s="6" t="str">
        <x:v>https://github.com/hagenhaeussler/Industrial-Agents-Hackathon-2026/blob/f41616590b69f3ea0c1cbfb41d6c35edd9ce53df/data/dev/proc-campus-dev-006/questions_basic.jsonl#L10</x:v>
      </x:c>
      <x:c r="AA2103" s="6" t="str">
        <x:v>procedural</x:v>
      </x:c>
      <x:c r="AB2103" s="6" t="str">
        <x:v>CC0-1.0</x:v>
      </x:c>
    </x:row>
    <x:row r="2104" ht="264" customHeight="1">
      <x:c r="A2104" s="14" t="n">
        <x:v>2099</x:v>
      </x:c>
      <x:c r="B2104" s="6" t="str">
        <x:v>tour</x:v>
      </x:c>
      <x:c r="C2104" s="6" t="str">
        <x:v>Starting at Office 3.02 (Floor 3), visit Office 0.19 (Ground floor), then Toilet 3.26 (Floor 3) in this order. What is the route?</x:v>
      </x:c>
      <x:c r="D2104" s="6" t="str">
        <x:v>167.12 m total
Stops: Office 3.02 → Office 0.19 → Toilet 3.26
Leg lengths (m): 100.02, 67.1
Full paths are in Answer JSON.</x:v>
      </x:c>
      <x:c r="E2104" s="6" t="str">
        <x:v>Reference supplied</x:v>
      </x:c>
      <x:c r="F2104" s="6" t="str">
        <x:v>dev</x:v>
      </x:c>
      <x:c r="G2104" s="6" t="str">
        <x:v>proc-campus-dev-009</x:v>
      </x:c>
      <x:c r="H2104" s="6" t="str">
        <x:v>proc-campus-dev-009-Q10</x:v>
      </x:c>
      <x:c r="I2104" s="6" t="str">
        <x:v>Route planning</x:v>
      </x:c>
      <x:c r="J2104" s="6" t="str">
        <x:v>Warm-up</x:v>
      </x:c>
      <x:c r="K2104" s="6" t="str">
        <x:v>Ordered stops, path for each leg and total metres.</x:v>
      </x:c>
      <x:c r="L2104" s="6" t="str">
        <x:v>T02, T05, T13</x:v>
      </x:c>
      <x:c r="M2104" s="6" t="str">
        <x:v>Visit multiple rooms in the order specified.</x:v>
      </x:c>
      <x:c r="N2104" s="6" t="str">
        <x:v>{"stops":["proc-campus-dev-009-F3-S002","proc-campus-dev-009-F0-S019","proc-campus-dev-009-F3-S026"],"optimal_length_m":167.12,"legs":[{"from_space_id":"proc-campus-dev-009-F3-S002","to_space_id":"proc-campus-dev-009-F0-S019","optimal_length_m":100.02,"space_path":["proc-campus-dev-009-F3-S002","proc-campus-dev-009-F3-S001","proc-campus-dev-009-F3-S010","proc-campus-dev-009-F2-S010","proc-campus-dev-009-F1-S010","proc-campus-dev-009-F0-S007","proc-campus-dev-009-F0-S001","proc-campus-dev-009-F0-S019"],"element_path":["proc-campus-dev-009-F3-O0102","proc-campus-dev-009-F3-O0102","proc-campus-dev-009-F3-O0110","proc-campus-dev-009-F3-O0110","proc-campus-dev-009-V03","proc-campus-dev-009-V03","proc-campus-dev-009-V03","proc-campus-dev-009-F0-O0006","proc-campus-dev-009-F0-O0006","proc-campus-dev-009-F0-O0018","proc-campus-dev-009-F0-O0018"]},{"from_space_id":"proc-campus-dev-009-F0-S019","to_space_id":"proc-campus-dev-009-F3-S026","optimal_length_m":67.1,"space_path":["proc-campus-dev-009-F0-S019","proc-campus-dev-009-F0-S001","proc-campus-dev-009-F0-S007","proc-campus-dev-009-F1-S010","proc-campus-dev-009-F2-S010","proc-campus-dev-009-F3-S010","proc-campus-dev-009-F3-S001","proc-campus-dev-009-F3-S026"],"element_path":["proc-campus-dev-009-F0-O0018","proc-campus-dev-009-F0-O0018","proc-campus-dev-009-F0-O0006","proc-campus-dev-009-F0-O0006","proc-campus-dev-009-V03","proc-campus-dev-009-V03","proc-campus-dev-009-V03","proc-campus-dev-009-F3-O0110","proc-campus-dev-009-F3-O0110","proc-campus-dev-009-F3-O0126","proc-campus-dev-009-F3-O0126"]}]}</x:v>
      </x:c>
      <x:c r="O2104" s="6"/>
      <x:c r="P2104" s="6" t="str">
        <x:v>Preserve stated visit order. Do not optimize stop order.</x:v>
      </x:c>
      <x:c r="Q2104" s="15" t="n">
        <x:v>167.12</x:v>
      </x:c>
      <x:c r="R2104" s="6" t="str">
        <x:v>m</x:v>
      </x:c>
      <x:c r="S2104" s="16"/>
      <x:c r="T2104" s="15"/>
      <x:c r="U2104" s="6"/>
      <x:c r="V2104" s="6"/>
      <x:c r="W2104" s="6" t="str">
        <x:v>Existing find_route(via=[...]).</x:v>
      </x:c>
      <x:c r="X2104" s="6" t="str">
        <x:v>data/dev/proc-campus-dev-009/questions_basic.jsonl</x:v>
      </x:c>
      <x:c r="Y2104" s="14" t="n">
        <x:v>10</x:v>
      </x:c>
      <x:c r="Z2104" s="6" t="str">
        <x:v>https://github.com/hagenhaeussler/Industrial-Agents-Hackathon-2026/blob/f41616590b69f3ea0c1cbfb41d6c35edd9ce53df/data/dev/proc-campus-dev-009/questions_basic.jsonl#L10</x:v>
      </x:c>
      <x:c r="AA2104" s="6" t="str">
        <x:v>procedural</x:v>
      </x:c>
      <x:c r="AB2104" s="6" t="str">
        <x:v>CC0-1.0</x:v>
      </x:c>
    </x:row>
    <x:row r="2105" ht="222" customHeight="1">
      <x:c r="A2105" s="14" t="n">
        <x:v>2100</x:v>
      </x:c>
      <x:c r="B2105" s="6" t="str">
        <x:v>tour</x:v>
      </x:c>
      <x:c r="C2105" s="6" t="str">
        <x:v>Starting at Print room 2.09 (Floor 2), visit Seminar room 1.02 (Floor 1), then Toilet 0.16 (Ground floor) in this order. What is the route?</x:v>
      </x:c>
      <x:c r="D2105" s="6" t="str">
        <x:v>153.54 m total
Stops: Print room 2.09 → Seminar room 1.02 → Toilet 0.16
Leg lengths (m): 74.77, 78.77
Full paths are in Answer JSON.</x:v>
      </x:c>
      <x:c r="E2105" s="6" t="str">
        <x:v>Reference supplied</x:v>
      </x:c>
      <x:c r="F2105" s="6" t="str">
        <x:v>dev</x:v>
      </x:c>
      <x:c r="G2105" s="6" t="str">
        <x:v>proc-campus-dev-013</x:v>
      </x:c>
      <x:c r="H2105" s="6" t="str">
        <x:v>proc-campus-dev-013-Q10</x:v>
      </x:c>
      <x:c r="I2105" s="6" t="str">
        <x:v>Route planning</x:v>
      </x:c>
      <x:c r="J2105" s="6" t="str">
        <x:v>Warm-up</x:v>
      </x:c>
      <x:c r="K2105" s="6" t="str">
        <x:v>Ordered stops, path for each leg and total metres.</x:v>
      </x:c>
      <x:c r="L2105" s="6" t="str">
        <x:v>T02, T05, T13</x:v>
      </x:c>
      <x:c r="M2105" s="6" t="str">
        <x:v>Visit multiple rooms in the order specified.</x:v>
      </x:c>
      <x:c r="N2105" s="6" t="str">
        <x:v>{"stops":["proc-campus-dev-013-F2-S009","proc-campus-dev-013-F1-S002","proc-campus-dev-013-F0-S016"],"optimal_length_m":153.54,"legs":[{"from_space_id":"proc-campus-dev-013-F2-S009","to_space_id":"proc-campus-dev-013-F1-S002","optimal_length_m":74.77,"space_path":["proc-campus-dev-013-F2-S009","proc-campus-dev-013-F2-S001","proc-campus-dev-013-F2-S010","proc-campus-dev-013-F1-S010","proc-campus-dev-013-F1-S001","proc-campus-dev-013-F1-S002"],"element_path":["proc-campus-dev-013-F2-O0049","proc-campus-dev-013-F2-O0049","proc-campus-dev-013-F2-O0050","proc-campus-dev-013-F2-O0050","proc-campus-dev-013-V03","proc-campus-dev-013-F1-O0029","proc-campus-dev-013-F1-O0029","proc-campus-dev-013-F1-O0021","proc-campus-dev-013-F1-O0021"]},{"from_space_id":"proc-campus-dev-013-F1-S002","to_space_id":"proc-campus-dev-013-F0-S016","optimal_length_m":78.77,"space_path":["proc-campus-dev-013-F1-S002","proc-campus-dev-013-F1-S001","proc-campus-dev-013-F1-S010","proc-campus-dev-013-F0-S010","proc-campus-dev-013-F0-S001","proc-campus-dev-013-F0-S016"],"element_path":["proc-campus-dev-013-F1-O0021","proc-campus-dev-013-F1-O0021","proc-campus-dev-013-F1-O0029","proc-campus-dev-013-F1-O0029","proc-campus-dev-013-V03","proc-campus-dev-013-F0-O0009","proc-campus-dev-013-F0-O0009","proc-campus-dev-013-F0-O0015","proc-campus-dev-013-F0-O0015"]}]}</x:v>
      </x:c>
      <x:c r="O2105" s="6"/>
      <x:c r="P2105" s="6" t="str">
        <x:v>Preserve stated visit order. Do not optimize stop order.</x:v>
      </x:c>
      <x:c r="Q2105" s="15" t="n">
        <x:v>153.54</x:v>
      </x:c>
      <x:c r="R2105" s="6" t="str">
        <x:v>m</x:v>
      </x:c>
      <x:c r="S2105" s="16"/>
      <x:c r="T2105" s="15"/>
      <x:c r="U2105" s="6"/>
      <x:c r="V2105" s="6"/>
      <x:c r="W2105" s="6" t="str">
        <x:v>Existing find_route(via=[...]).</x:v>
      </x:c>
      <x:c r="X2105" s="6" t="str">
        <x:v>data/dev/proc-campus-dev-013/questions_basic.jsonl</x:v>
      </x:c>
      <x:c r="Y2105" s="14" t="n">
        <x:v>10</x:v>
      </x:c>
      <x:c r="Z2105" s="6" t="str">
        <x:v>https://github.com/hagenhaeussler/Industrial-Agents-Hackathon-2026/blob/f41616590b69f3ea0c1cbfb41d6c35edd9ce53df/data/dev/proc-campus-dev-013/questions_basic.jsonl#L10</x:v>
      </x:c>
      <x:c r="AA2105" s="6" t="str">
        <x:v>procedural</x:v>
      </x:c>
      <x:c r="AB2105" s="6" t="str">
        <x:v>CC0-1.0</x:v>
      </x:c>
    </x:row>
    <x:row r="2106" ht="236" customHeight="1">
      <x:c r="A2106" s="14" t="n">
        <x:v>2101</x:v>
      </x:c>
      <x:c r="B2106" s="6" t="str">
        <x:v>tour</x:v>
      </x:c>
      <x:c r="C2106" s="6" t="str">
        <x:v>Starting at Office 1.18 (Floor 1), visit Office 0.32 (Ground floor), then Server room 1.13 (Floor 1) in this order. What is the route?</x:v>
      </x:c>
      <x:c r="D2106" s="6" t="str">
        <x:v>276.28 m total
Stops: Office 1.18 → Office 0.32 → Server room 1.13
Leg lengths (m): 150.03, 126.25
Full paths are in Answer JSON.</x:v>
      </x:c>
      <x:c r="E2106" s="6" t="str">
        <x:v>Reference supplied</x:v>
      </x:c>
      <x:c r="F2106" s="6" t="str">
        <x:v>dev</x:v>
      </x:c>
      <x:c r="G2106" s="6" t="str">
        <x:v>proc-factory-dev-003</x:v>
      </x:c>
      <x:c r="H2106" s="6" t="str">
        <x:v>proc-factory-dev-003-Q10</x:v>
      </x:c>
      <x:c r="I2106" s="6" t="str">
        <x:v>Route planning</x:v>
      </x:c>
      <x:c r="J2106" s="6" t="str">
        <x:v>Warm-up</x:v>
      </x:c>
      <x:c r="K2106" s="6" t="str">
        <x:v>Ordered stops, path for each leg and total metres.</x:v>
      </x:c>
      <x:c r="L2106" s="6" t="str">
        <x:v>T02, T05, T13</x:v>
      </x:c>
      <x:c r="M2106" s="6" t="str">
        <x:v>Visit multiple rooms in the order specified.</x:v>
      </x:c>
      <x:c r="N2106" s="6" t="str">
        <x:v>{"stops":["proc-factory-dev-003-F1-S018","proc-factory-dev-003-F0-S032","proc-factory-dev-003-F1-S013"],"optimal_length_m":276.28,"legs":[{"from_space_id":"proc-factory-dev-003-F1-S018","to_space_id":"proc-factory-dev-003-F0-S032","optimal_length_m":150.03,"space_path":["proc-factory-dev-003-F1-S018","proc-factory-dev-003-F1-S001","proc-factory-dev-003-F1-S002","proc-factory-dev-003-F0-S017","proc-factory-dev-003-F0-S016","proc-factory-dev-003-F0-S032"],"element_path":["proc-factory-dev-003-F1-O0071","proc-factory-dev-003-F1-O0071","proc-factory-dev-003-F1-O0055","proc-factory-dev-003-F1-O0055","proc-factory-dev-003-V01","proc-factory-dev-003-F0-O0021","proc-factory-dev-003-F0-O0021","proc-factory-dev-003-F0-O0037","proc-factory-dev-003-F0-O0037"]},{"from_space_id":"proc-factory-dev-003-F0-S032","to_space_id":"proc-factory-dev-003-F1-S013","optimal_length_m":126.25,"space_path":["proc-factory-dev-003-F0-S032","proc-factory-dev-003-F0-S016","proc-factory-dev-003-F0-S017","proc-factory-dev-003-F1-S002","proc-factory-dev-003-F1-S001","proc-factory-dev-003-F1-S013"],"element_path":["proc-factory-dev-003-F0-O0037","proc-factory-dev-003-F0-O0037","proc-factory-dev-003-F0-O0021","proc-factory-dev-003-F0-O0021","proc-factory-dev-003-V01","proc-factory-dev-003-F1-O0055","proc-factory-dev-003-F1-O0055","proc-factory-dev-003-F1-O0066","proc-factory-dev-003-F1-O0066"]}]}</x:v>
      </x:c>
      <x:c r="O2106" s="6"/>
      <x:c r="P2106" s="6" t="str">
        <x:v>Preserve stated visit order. Do not optimize stop order.</x:v>
      </x:c>
      <x:c r="Q2106" s="15" t="n">
        <x:v>276.28</x:v>
      </x:c>
      <x:c r="R2106" s="6" t="str">
        <x:v>m</x:v>
      </x:c>
      <x:c r="S2106" s="16"/>
      <x:c r="T2106" s="15"/>
      <x:c r="U2106" s="6"/>
      <x:c r="V2106" s="6"/>
      <x:c r="W2106" s="6" t="str">
        <x:v>Existing find_route(via=[...]).</x:v>
      </x:c>
      <x:c r="X2106" s="6" t="str">
        <x:v>data/dev/proc-factory-dev-003/questions_basic.jsonl</x:v>
      </x:c>
      <x:c r="Y2106" s="14" t="n">
        <x:v>10</x:v>
      </x:c>
      <x:c r="Z2106" s="6" t="str">
        <x:v>https://github.com/hagenhaeussler/Industrial-Agents-Hackathon-2026/blob/f41616590b69f3ea0c1cbfb41d6c35edd9ce53df/data/dev/proc-factory-dev-003/questions_basic.jsonl#L10</x:v>
      </x:c>
      <x:c r="AA2106" s="6" t="str">
        <x:v>procedural</x:v>
      </x:c>
      <x:c r="AB2106" s="6" t="str">
        <x:v>CC0-1.0</x:v>
      </x:c>
    </x:row>
    <x:row r="2107" ht="194" customHeight="1">
      <x:c r="A2107" s="14" t="n">
        <x:v>2102</x:v>
      </x:c>
      <x:c r="B2107" s="6" t="str">
        <x:v>tour</x:v>
      </x:c>
      <x:c r="C2107" s="6" t="str">
        <x:v>Starting at Meeting room 1.08 (Floor 1), visit Meeting room 0.22 (Ground floor), then Office 0.29 (Ground floor) in this order. What is the route?</x:v>
      </x:c>
      <x:c r="D2107" s="6" t="str">
        <x:v>97.42 m total
Stops: Meeting room 1.08 → Meeting room 0.22 → Office 0.29
Leg lengths (m): 71.25, 26.17
Full paths are in Answer JSON.</x:v>
      </x:c>
      <x:c r="E2107" s="6" t="str">
        <x:v>Reference supplied</x:v>
      </x:c>
      <x:c r="F2107" s="6" t="str">
        <x:v>dev</x:v>
      </x:c>
      <x:c r="G2107" s="6" t="str">
        <x:v>proc-factory-dev-004</x:v>
      </x:c>
      <x:c r="H2107" s="6" t="str">
        <x:v>proc-factory-dev-004-Q10</x:v>
      </x:c>
      <x:c r="I2107" s="6" t="str">
        <x:v>Route planning</x:v>
      </x:c>
      <x:c r="J2107" s="6" t="str">
        <x:v>Warm-up</x:v>
      </x:c>
      <x:c r="K2107" s="6" t="str">
        <x:v>Ordered stops, path for each leg and total metres.</x:v>
      </x:c>
      <x:c r="L2107" s="6" t="str">
        <x:v>T02, T05, T13</x:v>
      </x:c>
      <x:c r="M2107" s="6" t="str">
        <x:v>Visit multiple rooms in the order specified.</x:v>
      </x:c>
      <x:c r="N2107" s="6" t="str">
        <x:v>{"stops":["proc-factory-dev-004-F1-S008","proc-factory-dev-004-F0-S022","proc-factory-dev-004-F0-S029"],"optimal_length_m":97.42,"legs":[{"from_space_id":"proc-factory-dev-004-F1-S008","to_space_id":"proc-factory-dev-004-F0-S022","optimal_length_m":71.25,"space_path":["proc-factory-dev-004-F1-S008","proc-factory-dev-004-F1-S001","proc-factory-dev-004-F1-S002","proc-factory-dev-004-F0-S014","proc-factory-dev-004-F0-S013","proc-factory-dev-004-F0-S022"],"element_path":["proc-factory-dev-004-F1-O0046","proc-factory-dev-004-F1-O0046","proc-factory-dev-004-F1-O0040","proc-factory-dev-004-F1-O0040","proc-factory-dev-004-V01","proc-factory-dev-004-F0-O0019","proc-factory-dev-004-F0-O0019","proc-factory-dev-004-F0-O0028","proc-factory-dev-004-F0-O0028"]},{"from_space_id":"proc-factory-dev-004-F0-S022","to_space_id":"proc-factory-dev-004-F0-S029","optimal_length_m":26.17,"space_path":["proc-factory-dev-004-F0-S022","proc-factory-dev-004-F0-S013","proc-factory-dev-004-F0-S029"],"element_path":["proc-factory-dev-004-F0-O0028","proc-factory-dev-004-F0-O0028","proc-factory-dev-004-F0-O0036","proc-factory-dev-004-F0-O0036"]}]}</x:v>
      </x:c>
      <x:c r="O2107" s="6"/>
      <x:c r="P2107" s="6" t="str">
        <x:v>Preserve stated visit order. Do not optimize stop order.</x:v>
      </x:c>
      <x:c r="Q2107" s="15" t="n">
        <x:v>97.42</x:v>
      </x:c>
      <x:c r="R2107" s="6" t="str">
        <x:v>m</x:v>
      </x:c>
      <x:c r="S2107" s="16"/>
      <x:c r="T2107" s="15"/>
      <x:c r="U2107" s="6"/>
      <x:c r="V2107" s="6"/>
      <x:c r="W2107" s="6" t="str">
        <x:v>Existing find_route(via=[...]).</x:v>
      </x:c>
      <x:c r="X2107" s="6" t="str">
        <x:v>data/dev/proc-factory-dev-004/questions_basic.jsonl</x:v>
      </x:c>
      <x:c r="Y2107" s="14" t="n">
        <x:v>10</x:v>
      </x:c>
      <x:c r="Z2107" s="6" t="str">
        <x:v>https://github.com/hagenhaeussler/Industrial-Agents-Hackathon-2026/blob/f41616590b69f3ea0c1cbfb41d6c35edd9ce53df/data/dev/proc-factory-dev-004/questions_basic.jsonl#L10</x:v>
      </x:c>
      <x:c r="AA2107" s="6" t="str">
        <x:v>procedural</x:v>
      </x:c>
      <x:c r="AB2107" s="6" t="str">
        <x:v>CC0-1.0</x:v>
      </x:c>
    </x:row>
    <x:row r="2108" ht="250" customHeight="1">
      <x:c r="A2108" s="14" t="n">
        <x:v>2103</x:v>
      </x:c>
      <x:c r="B2108" s="6" t="str">
        <x:v>tour</x:v>
      </x:c>
      <x:c r="C2108" s="6" t="str">
        <x:v>Starting at Meeting room 2.20 (Floor 2), visit Office 0.32 (Ground floor), then Office 2.28 (Floor 2) in this order. What is the route?</x:v>
      </x:c>
      <x:c r="D2108" s="6" t="str">
        <x:v>275.47 m total
Stops: Meeting room 2.20 → Office 0.32 → Office 2.28
Leg lengths (m): 148.82, 126.65
Full paths are in Answer JSON.</x:v>
      </x:c>
      <x:c r="E2108" s="6" t="str">
        <x:v>Reference supplied</x:v>
      </x:c>
      <x:c r="F2108" s="6" t="str">
        <x:v>dev</x:v>
      </x:c>
      <x:c r="G2108" s="6" t="str">
        <x:v>proc-factory-dev-005</x:v>
      </x:c>
      <x:c r="H2108" s="6" t="str">
        <x:v>proc-factory-dev-005-Q10</x:v>
      </x:c>
      <x:c r="I2108" s="6" t="str">
        <x:v>Route planning</x:v>
      </x:c>
      <x:c r="J2108" s="6" t="str">
        <x:v>Warm-up</x:v>
      </x:c>
      <x:c r="K2108" s="6" t="str">
        <x:v>Ordered stops, path for each leg and total metres.</x:v>
      </x:c>
      <x:c r="L2108" s="6" t="str">
        <x:v>T02, T05, T13</x:v>
      </x:c>
      <x:c r="M2108" s="6" t="str">
        <x:v>Visit multiple rooms in the order specified.</x:v>
      </x:c>
      <x:c r="N2108" s="6" t="str">
        <x:v>{"stops":["proc-factory-dev-005-F2-S020","proc-factory-dev-005-F0-S032","proc-factory-dev-005-F2-S028"],"optimal_length_m":275.47,"legs":[{"from_space_id":"proc-factory-dev-005-F2-S020","to_space_id":"proc-factory-dev-005-F0-S032","optimal_length_m":148.82,"space_path":["proc-factory-dev-005-F2-S020","proc-factory-dev-005-F2-S001","proc-factory-dev-005-F2-S002","proc-factory-dev-005-F1-S002","proc-factory-dev-005-F0-S020","proc-factory-dev-005-F0-S019","proc-factory-dev-005-F0-S032"],"element_path":["proc-factory-dev-005-F2-O0119","proc-factory-dev-005-F2-O0119","proc-factory-dev-005-F2-O0101","proc-factory-dev-005-F2-O0101","proc-factory-dev-005-V01","proc-factory-dev-005-V01","proc-factory-dev-005-F0-O0024","proc-factory-dev-005-F0-O0024","proc-factory-dev-005-F0-O0037","proc-factory-dev-005-F0-O0037"]},{"from_space_id":"proc-factory-dev-005-F0-S032","to_space_id":"proc-factory-dev-005-F2-S028","optimal_length_m":126.65,"space_path":["proc-factory-dev-005-F0-S032","proc-factory-dev-005-F0-S019","proc-factory-dev-005-F0-S020","proc-factory-dev-005-F1-S002","proc-factory-dev-005-F2-S002","proc-factory-dev-005-F2-S001","proc-factory-dev-005-F2-S028"],"element_path":["proc-factory-dev-005-F0-O0037","proc-factory-dev-005-F0-O0037","proc-factory-dev-005-F0-O0024","proc-factory-dev-005-F0-O0024","proc-factory-dev-005-V01","proc-factory-dev-005-V01","proc-factory-dev-005-F2-O0101","proc-factory-dev-005-F2-O0101","proc-factory-dev-005-F2-O0127","proc-factory-dev-005-F2-O0127"]}]}</x:v>
      </x:c>
      <x:c r="O2108" s="6"/>
      <x:c r="P2108" s="6" t="str">
        <x:v>Preserve stated visit order. Do not optimize stop order.</x:v>
      </x:c>
      <x:c r="Q2108" s="15" t="n">
        <x:v>275.47</x:v>
      </x:c>
      <x:c r="R2108" s="6" t="str">
        <x:v>m</x:v>
      </x:c>
      <x:c r="S2108" s="16"/>
      <x:c r="T2108" s="15"/>
      <x:c r="U2108" s="6"/>
      <x:c r="V2108" s="6"/>
      <x:c r="W2108" s="6" t="str">
        <x:v>Existing find_route(via=[...]).</x:v>
      </x:c>
      <x:c r="X2108" s="6" t="str">
        <x:v>data/dev/proc-factory-dev-005/questions_basic.jsonl</x:v>
      </x:c>
      <x:c r="Y2108" s="14" t="n">
        <x:v>10</x:v>
      </x:c>
      <x:c r="Z2108" s="6" t="str">
        <x:v>https://github.com/hagenhaeussler/Industrial-Agents-Hackathon-2026/blob/f41616590b69f3ea0c1cbfb41d6c35edd9ce53df/data/dev/proc-factory-dev-005/questions_basic.jsonl#L10</x:v>
      </x:c>
      <x:c r="AA2108" s="6" t="str">
        <x:v>procedural</x:v>
      </x:c>
      <x:c r="AB2108" s="6" t="str">
        <x:v>CC0-1.0</x:v>
      </x:c>
    </x:row>
    <x:row r="2109" ht="194" customHeight="1">
      <x:c r="A2109" s="14" t="n">
        <x:v>2104</x:v>
      </x:c>
      <x:c r="B2109" s="6" t="str">
        <x:v>tour</x:v>
      </x:c>
      <x:c r="C2109" s="6" t="str">
        <x:v>Starting at Server room 1.08 (Floor 1), visit Office 1.04 (Floor 1), then Server room 0.14 (Ground floor) in this order. What is the route?</x:v>
      </x:c>
      <x:c r="D2109" s="6" t="str">
        <x:v>103.84 m total
Stops: Server room 1.08 → Office 1.04 → Server room 0.14
Leg lengths (m): 23.4, 80.44
Full paths are in Answer JSON.</x:v>
      </x:c>
      <x:c r="E2109" s="6" t="str">
        <x:v>Reference supplied</x:v>
      </x:c>
      <x:c r="F2109" s="6" t="str">
        <x:v>dev</x:v>
      </x:c>
      <x:c r="G2109" s="6" t="str">
        <x:v>proc-factory-dev-007</x:v>
      </x:c>
      <x:c r="H2109" s="6" t="str">
        <x:v>proc-factory-dev-007-Q10</x:v>
      </x:c>
      <x:c r="I2109" s="6" t="str">
        <x:v>Route planning</x:v>
      </x:c>
      <x:c r="J2109" s="6" t="str">
        <x:v>Warm-up</x:v>
      </x:c>
      <x:c r="K2109" s="6" t="str">
        <x:v>Ordered stops, path for each leg and total metres.</x:v>
      </x:c>
      <x:c r="L2109" s="6" t="str">
        <x:v>T02, T05, T13</x:v>
      </x:c>
      <x:c r="M2109" s="6" t="str">
        <x:v>Visit multiple rooms in the order specified.</x:v>
      </x:c>
      <x:c r="N2109" s="6" t="str">
        <x:v>{"stops":["proc-factory-dev-007-F1-S008","proc-factory-dev-007-F1-S004","proc-factory-dev-007-F0-S014"],"optimal_length_m":103.84,"legs":[{"from_space_id":"proc-factory-dev-007-F1-S008","to_space_id":"proc-factory-dev-007-F1-S004","optimal_length_m":23.4,"space_path":["proc-factory-dev-007-F1-S008","proc-factory-dev-007-F1-S001","proc-factory-dev-007-F1-S004"],"element_path":["proc-factory-dev-007-F1-O0039","proc-factory-dev-007-F1-O0039","proc-factory-dev-007-F1-O0035","proc-factory-dev-007-F1-O0035"]},{"from_space_id":"proc-factory-dev-007-F1-S004","to_space_id":"proc-factory-dev-007-F0-S014","optimal_length_m":80.44,"space_path":["proc-factory-dev-007-F1-S004","proc-factory-dev-007-F1-S001","proc-factory-dev-007-F1-S002","proc-factory-dev-007-F0-S011","proc-factory-dev-007-F0-S010","proc-factory-dev-007-F0-S014"],"element_path":["proc-factory-dev-007-F1-O0035","proc-factory-dev-007-F1-O0035","proc-factory-dev-007-F1-O0033","proc-factory-dev-007-F1-O0033","proc-factory-dev-007-V01","proc-factory-dev-007-F0-O0013","proc-factory-dev-007-F0-O0013","proc-factory-dev-007-F0-O0017","proc-factory-dev-007-F0-O0017"]}]}</x:v>
      </x:c>
      <x:c r="O2109" s="6"/>
      <x:c r="P2109" s="6" t="str">
        <x:v>Preserve stated visit order. Do not optimize stop order.</x:v>
      </x:c>
      <x:c r="Q2109" s="15" t="n">
        <x:v>103.84</x:v>
      </x:c>
      <x:c r="R2109" s="6" t="str">
        <x:v>m</x:v>
      </x:c>
      <x:c r="S2109" s="16"/>
      <x:c r="T2109" s="15"/>
      <x:c r="U2109" s="6"/>
      <x:c r="V2109" s="6"/>
      <x:c r="W2109" s="6" t="str">
        <x:v>Existing find_route(via=[...]).</x:v>
      </x:c>
      <x:c r="X2109" s="6" t="str">
        <x:v>data/dev/proc-factory-dev-007/questions_basic.jsonl</x:v>
      </x:c>
      <x:c r="Y2109" s="14" t="n">
        <x:v>10</x:v>
      </x:c>
      <x:c r="Z2109" s="6" t="str">
        <x:v>https://github.com/hagenhaeussler/Industrial-Agents-Hackathon-2026/blob/f41616590b69f3ea0c1cbfb41d6c35edd9ce53df/data/dev/proc-factory-dev-007/questions_basic.jsonl#L10</x:v>
      </x:c>
      <x:c r="AA2109" s="6" t="str">
        <x:v>procedural</x:v>
      </x:c>
      <x:c r="AB2109" s="6" t="str">
        <x:v>CC0-1.0</x:v>
      </x:c>
    </x:row>
    <x:row r="2110" ht="152" customHeight="1">
      <x:c r="A2110" s="14" t="n">
        <x:v>2105</x:v>
      </x:c>
      <x:c r="B2110" s="6" t="str">
        <x:v>tour</x:v>
      </x:c>
      <x:c r="C2110" s="6" t="str">
        <x:v>Starting at Office 0.48 (Ground floor), visit Meeting room 0.31 (Ground floor), then Office 0.46 (Ground floor) in this order. What is the route?</x:v>
      </x:c>
      <x:c r="D2110" s="6" t="str">
        <x:v>50.85 m total
Stops: Office 0.48 → Meeting room 0.31 → Office 0.46
Leg lengths (m): 22.67, 28.18
Full paths are in Answer JSON.</x:v>
      </x:c>
      <x:c r="E2110" s="6" t="str">
        <x:v>Reference supplied</x:v>
      </x:c>
      <x:c r="F2110" s="6" t="str">
        <x:v>dev</x:v>
      </x:c>
      <x:c r="G2110" s="6" t="str">
        <x:v>proc-factory-dev-008</x:v>
      </x:c>
      <x:c r="H2110" s="6" t="str">
        <x:v>proc-factory-dev-008-Q10</x:v>
      </x:c>
      <x:c r="I2110" s="6" t="str">
        <x:v>Route planning</x:v>
      </x:c>
      <x:c r="J2110" s="6" t="str">
        <x:v>Warm-up</x:v>
      </x:c>
      <x:c r="K2110" s="6" t="str">
        <x:v>Ordered stops, path for each leg and total metres.</x:v>
      </x:c>
      <x:c r="L2110" s="6" t="str">
        <x:v>T02, T05, T13</x:v>
      </x:c>
      <x:c r="M2110" s="6" t="str">
        <x:v>Visit multiple rooms in the order specified.</x:v>
      </x:c>
      <x:c r="N2110" s="6" t="str">
        <x:v>{"stops":["proc-factory-dev-008-F0-S048","proc-factory-dev-008-F0-S031","proc-factory-dev-008-F0-S046"],"optimal_length_m":50.85,"legs":[{"from_space_id":"proc-factory-dev-008-F0-S048","to_space_id":"proc-factory-dev-008-F0-S031","optimal_length_m":22.67,"space_path":["proc-factory-dev-008-F0-S048","proc-factory-dev-008-F0-S025","proc-factory-dev-008-F0-S031"],"element_path":["proc-factory-dev-008-F0-O0065","proc-factory-dev-008-F0-O0065","proc-factory-dev-008-F0-O0047","proc-factory-dev-008-F0-O0047"]},{"from_space_id":"proc-factory-dev-008-F0-S031","to_space_id":"proc-factory-dev-008-F0-S046","optimal_length_m":28.18,"space_path":["proc-factory-dev-008-F0-S031","proc-factory-dev-008-F0-S025","proc-factory-dev-008-F0-S046"],"element_path":["proc-factory-dev-008-F0-O0047","proc-factory-dev-008-F0-O0047","proc-factory-dev-008-F0-O0063","proc-factory-dev-008-F0-O0063"]}]}</x:v>
      </x:c>
      <x:c r="O2110" s="6"/>
      <x:c r="P2110" s="6" t="str">
        <x:v>Preserve stated visit order. Do not optimize stop order.</x:v>
      </x:c>
      <x:c r="Q2110" s="15" t="n">
        <x:v>50.85</x:v>
      </x:c>
      <x:c r="R2110" s="6" t="str">
        <x:v>m</x:v>
      </x:c>
      <x:c r="S2110" s="16"/>
      <x:c r="T2110" s="15"/>
      <x:c r="U2110" s="6"/>
      <x:c r="V2110" s="6"/>
      <x:c r="W2110" s="6" t="str">
        <x:v>Existing find_route(via=[...]).</x:v>
      </x:c>
      <x:c r="X2110" s="6" t="str">
        <x:v>data/dev/proc-factory-dev-008/questions_basic.jsonl</x:v>
      </x:c>
      <x:c r="Y2110" s="14" t="n">
        <x:v>10</x:v>
      </x:c>
      <x:c r="Z2110" s="6" t="str">
        <x:v>https://github.com/hagenhaeussler/Industrial-Agents-Hackathon-2026/blob/f41616590b69f3ea0c1cbfb41d6c35edd9ce53df/data/dev/proc-factory-dev-008/questions_basic.jsonl#L10</x:v>
      </x:c>
      <x:c r="AA2110" s="6" t="str">
        <x:v>procedural</x:v>
      </x:c>
      <x:c r="AB2110" s="6" t="str">
        <x:v>CC0-1.0</x:v>
      </x:c>
    </x:row>
    <x:row r="2111" ht="194" customHeight="1">
      <x:c r="A2111" s="14" t="n">
        <x:v>2106</x:v>
      </x:c>
      <x:c r="B2111" s="6" t="str">
        <x:v>tour</x:v>
      </x:c>
      <x:c r="C2111" s="6" t="str">
        <x:v>Starting at Kitchen 0.25 (Ground floor), visit Server room 0.18 (Ground floor), then Kitchen 1.09 (Floor 1) in this order. What is the route?</x:v>
      </x:c>
      <x:c r="D2111" s="6" t="str">
        <x:v>94.89 m total
Stops: Kitchen 0.25 → Server room 0.18 → Kitchen 1.09
Leg lengths (m): 24.61, 70.28
Full paths are in Answer JSON.</x:v>
      </x:c>
      <x:c r="E2111" s="6" t="str">
        <x:v>Reference supplied</x:v>
      </x:c>
      <x:c r="F2111" s="6" t="str">
        <x:v>dev</x:v>
      </x:c>
      <x:c r="G2111" s="6" t="str">
        <x:v>proc-factory-dev-010</x:v>
      </x:c>
      <x:c r="H2111" s="6" t="str">
        <x:v>proc-factory-dev-010-Q10</x:v>
      </x:c>
      <x:c r="I2111" s="6" t="str">
        <x:v>Route planning</x:v>
      </x:c>
      <x:c r="J2111" s="6" t="str">
        <x:v>Warm-up</x:v>
      </x:c>
      <x:c r="K2111" s="6" t="str">
        <x:v>Ordered stops, path for each leg and total metres.</x:v>
      </x:c>
      <x:c r="L2111" s="6" t="str">
        <x:v>T02, T05, T13</x:v>
      </x:c>
      <x:c r="M2111" s="6" t="str">
        <x:v>Visit multiple rooms in the order specified.</x:v>
      </x:c>
      <x:c r="N2111" s="6" t="str">
        <x:v>{"stops":["proc-factory-dev-010-F0-S025","proc-factory-dev-010-F0-S018","proc-factory-dev-010-F1-S009"],"optimal_length_m":94.89,"legs":[{"from_space_id":"proc-factory-dev-010-F0-S025","to_space_id":"proc-factory-dev-010-F0-S018","optimal_length_m":24.61,"space_path":["proc-factory-dev-010-F0-S025","proc-factory-dev-010-F0-S013","proc-factory-dev-010-F0-S018"],"element_path":["proc-factory-dev-010-F0-O0030","proc-factory-dev-010-F0-O0030","proc-factory-dev-010-F0-O0022","proc-factory-dev-010-F0-O0022"]},{"from_space_id":"proc-factory-dev-010-F0-S018","to_space_id":"proc-factory-dev-010-F1-S009","optimal_length_m":70.28,"space_path":["proc-factory-dev-010-F0-S018","proc-factory-dev-010-F0-S013","proc-factory-dev-010-F0-S014","proc-factory-dev-010-F1-S002","proc-factory-dev-010-F1-S001","proc-factory-dev-010-F1-S009"],"element_path":["proc-factory-dev-010-F0-O0022","proc-factory-dev-010-F0-O0022","proc-factory-dev-010-F0-O0017","proc-factory-dev-010-F0-O0017","proc-factory-dev-010-V01","proc-factory-dev-010-F1-O0039","proc-factory-dev-010-F1-O0039","proc-factory-dev-010-F1-O0046","proc-factory-dev-010-F1-O0046"]}]}</x:v>
      </x:c>
      <x:c r="O2111" s="6"/>
      <x:c r="P2111" s="6" t="str">
        <x:v>Preserve stated visit order. Do not optimize stop order.</x:v>
      </x:c>
      <x:c r="Q2111" s="15" t="n">
        <x:v>94.89</x:v>
      </x:c>
      <x:c r="R2111" s="6" t="str">
        <x:v>m</x:v>
      </x:c>
      <x:c r="S2111" s="16"/>
      <x:c r="T2111" s="15"/>
      <x:c r="U2111" s="6"/>
      <x:c r="V2111" s="6"/>
      <x:c r="W2111" s="6" t="str">
        <x:v>Existing find_route(via=[...]).</x:v>
      </x:c>
      <x:c r="X2111" s="6" t="str">
        <x:v>data/dev/proc-factory-dev-010/questions_basic.jsonl</x:v>
      </x:c>
      <x:c r="Y2111" s="14" t="n">
        <x:v>10</x:v>
      </x:c>
      <x:c r="Z2111" s="6" t="str">
        <x:v>https://github.com/hagenhaeussler/Industrial-Agents-Hackathon-2026/blob/f41616590b69f3ea0c1cbfb41d6c35edd9ce53df/data/dev/proc-factory-dev-010/questions_basic.jsonl#L10</x:v>
      </x:c>
      <x:c r="AA2111" s="6" t="str">
        <x:v>procedural</x:v>
      </x:c>
      <x:c r="AB2111" s="6" t="str">
        <x:v>CC0-1.0</x:v>
      </x:c>
    </x:row>
    <x:row r="2112" ht="194" customHeight="1">
      <x:c r="A2112" s="14" t="n">
        <x:v>2107</x:v>
      </x:c>
      <x:c r="B2112" s="6" t="str">
        <x:v>tour</x:v>
      </x:c>
      <x:c r="C2112" s="6" t="str">
        <x:v>Starting at Office 0.56 (Ground floor), visit Office 1.39 (Floor 1), then Office 1.21 (Floor 1) in this order. What is the route?</x:v>
      </x:c>
      <x:c r="D2112" s="6" t="str">
        <x:v>240.88 m total
Stops: Office 0.56 → Office 1.39 → Office 1.21
Leg lengths (m): 162.09, 78.79
Full paths are in Answer JSON.</x:v>
      </x:c>
      <x:c r="E2112" s="6" t="str">
        <x:v>Reference supplied</x:v>
      </x:c>
      <x:c r="F2112" s="6" t="str">
        <x:v>dev</x:v>
      </x:c>
      <x:c r="G2112" s="6" t="str">
        <x:v>proc-factory-dev-011</x:v>
      </x:c>
      <x:c r="H2112" s="6" t="str">
        <x:v>proc-factory-dev-011-Q10</x:v>
      </x:c>
      <x:c r="I2112" s="6" t="str">
        <x:v>Route planning</x:v>
      </x:c>
      <x:c r="J2112" s="6" t="str">
        <x:v>Warm-up</x:v>
      </x:c>
      <x:c r="K2112" s="6" t="str">
        <x:v>Ordered stops, path for each leg and total metres.</x:v>
      </x:c>
      <x:c r="L2112" s="6" t="str">
        <x:v>T02, T05, T13</x:v>
      </x:c>
      <x:c r="M2112" s="6" t="str">
        <x:v>Visit multiple rooms in the order specified.</x:v>
      </x:c>
      <x:c r="N2112" s="6" t="str">
        <x:v>{"stops":["proc-factory-dev-011-F0-S056","proc-factory-dev-011-F1-S039","proc-factory-dev-011-F1-S021"],"optimal_length_m":240.88,"legs":[{"from_space_id":"proc-factory-dev-011-F0-S056","to_space_id":"proc-factory-dev-011-F1-S039","optimal_length_m":162.09,"space_path":["proc-factory-dev-011-F0-S056","proc-factory-dev-011-F0-S021","proc-factory-dev-011-F0-S022","proc-factory-dev-011-F1-S002","proc-factory-dev-011-F1-S001","proc-factory-dev-011-F1-S039"],"element_path":["proc-factory-dev-011-F0-O0069","proc-factory-dev-011-F0-O0069","proc-factory-dev-011-F0-O0033","proc-factory-dev-011-F0-O0033","proc-factory-dev-011-V01","proc-factory-dev-011-F1-O0075","proc-factory-dev-011-F1-O0075","proc-factory-dev-011-F1-O0112","proc-factory-dev-011-F1-O0112"]},{"from_space_id":"proc-factory-dev-011-F1-S039","to_space_id":"proc-factory-dev-011-F1-S021","optimal_length_m":78.79,"space_path":["proc-factory-dev-011-F1-S039","proc-factory-dev-011-F1-S001","proc-factory-dev-011-F1-S021"],"element_path":["proc-factory-dev-011-F1-O0112","proc-factory-dev-011-F1-O0112","proc-factory-dev-011-F1-O0094","proc-factory-dev-011-F1-O0094"]}]}</x:v>
      </x:c>
      <x:c r="O2112" s="6"/>
      <x:c r="P2112" s="6" t="str">
        <x:v>Preserve stated visit order. Do not optimize stop order.</x:v>
      </x:c>
      <x:c r="Q2112" s="15" t="n">
        <x:v>240.88</x:v>
      </x:c>
      <x:c r="R2112" s="6" t="str">
        <x:v>m</x:v>
      </x:c>
      <x:c r="S2112" s="16"/>
      <x:c r="T2112" s="15"/>
      <x:c r="U2112" s="6"/>
      <x:c r="V2112" s="6"/>
      <x:c r="W2112" s="6" t="str">
        <x:v>Existing find_route(via=[...]).</x:v>
      </x:c>
      <x:c r="X2112" s="6" t="str">
        <x:v>data/dev/proc-factory-dev-011/questions_basic.jsonl</x:v>
      </x:c>
      <x:c r="Y2112" s="14" t="n">
        <x:v>10</x:v>
      </x:c>
      <x:c r="Z2112" s="6" t="str">
        <x:v>https://github.com/hagenhaeussler/Industrial-Agents-Hackathon-2026/blob/f41616590b69f3ea0c1cbfb41d6c35edd9ce53df/data/dev/proc-factory-dev-011/questions_basic.jsonl#L10</x:v>
      </x:c>
      <x:c r="AA2112" s="6" t="str">
        <x:v>procedural</x:v>
      </x:c>
      <x:c r="AB2112" s="6" t="str">
        <x:v>CC0-1.0</x:v>
      </x:c>
    </x:row>
    <x:row r="2113" ht="236" customHeight="1">
      <x:c r="A2113" s="14" t="n">
        <x:v>2108</x:v>
      </x:c>
      <x:c r="B2113" s="6" t="str">
        <x:v>tour</x:v>
      </x:c>
      <x:c r="C2113" s="6" t="str">
        <x:v>Starting at Office 2.08 (Floor 2), visit Office 0.37 (Ground floor), then Office 1.14 (Floor 1) in this order. What is the route?</x:v>
      </x:c>
      <x:c r="D2113" s="6" t="str">
        <x:v>233.15 m total
Stops: Office 2.08 → Office 0.37 → Office 1.14
Leg lengths (m): 123.11, 110.04
Full paths are in Answer JSON.</x:v>
      </x:c>
      <x:c r="E2113" s="6" t="str">
        <x:v>Reference supplied</x:v>
      </x:c>
      <x:c r="F2113" s="6" t="str">
        <x:v>dev</x:v>
      </x:c>
      <x:c r="G2113" s="6" t="str">
        <x:v>proc-factory-dev-012</x:v>
      </x:c>
      <x:c r="H2113" s="6" t="str">
        <x:v>proc-factory-dev-012-Q10</x:v>
      </x:c>
      <x:c r="I2113" s="6" t="str">
        <x:v>Route planning</x:v>
      </x:c>
      <x:c r="J2113" s="6" t="str">
        <x:v>Warm-up</x:v>
      </x:c>
      <x:c r="K2113" s="6" t="str">
        <x:v>Ordered stops, path for each leg and total metres.</x:v>
      </x:c>
      <x:c r="L2113" s="6" t="str">
        <x:v>T02, T05, T13</x:v>
      </x:c>
      <x:c r="M2113" s="6" t="str">
        <x:v>Visit multiple rooms in the order specified.</x:v>
      </x:c>
      <x:c r="N2113" s="6" t="str">
        <x:v>{"stops":["proc-factory-dev-012-F2-S008","proc-factory-dev-012-F0-S037","proc-factory-dev-012-F1-S014"],"optimal_length_m":233.15,"legs":[{"from_space_id":"proc-factory-dev-012-F2-S008","to_space_id":"proc-factory-dev-012-F0-S037","optimal_length_m":123.11,"space_path":["proc-factory-dev-012-F2-S008","proc-factory-dev-012-F2-S001","proc-factory-dev-012-F2-S002","proc-factory-dev-012-F1-S002","proc-factory-dev-012-F0-S026","proc-factory-dev-012-F0-S025","proc-factory-dev-012-F0-S037"],"element_path":["proc-factory-dev-012-F2-O0114","proc-factory-dev-012-F2-O0114","proc-factory-dev-012-F2-O0108","proc-factory-dev-012-F2-O0108","proc-factory-dev-012-V01","proc-factory-dev-012-V01","proc-factory-dev-012-F0-O0037","proc-factory-dev-012-F0-O0037","proc-factory-dev-012-F0-O0049","proc-factory-dev-012-F0-O0049"]},{"from_space_id":"proc-factory-dev-012-F0-S037","to_space_id":"proc-factory-dev-012-F1-S014","optimal_length_m":110.04,"space_path":["proc-factory-dev-012-F0-S037","proc-factory-dev-012-F0-S025","proc-factory-dev-012-F0-S026","proc-factory-dev-012-F1-S002","proc-factory-dev-012-F1-S001","proc-factory-dev-012-F1-S014"],"element_path":["proc-factory-dev-012-F0-O0049","proc-factory-dev-012-F0-O0049","proc-factory-dev-012-F0-O0037","proc-factory-dev-012-F0-O0037","proc-factory-dev-012-V01","proc-factory-dev-012-F1-O0074","proc-factory-dev-012-F1-O0074","proc-factory-dev-012-F1-O0086","proc-factory-dev-012-F1-O0086"]}]}</x:v>
      </x:c>
      <x:c r="O2113" s="6"/>
      <x:c r="P2113" s="6" t="str">
        <x:v>Preserve stated visit order. Do not optimize stop order.</x:v>
      </x:c>
      <x:c r="Q2113" s="15" t="n">
        <x:v>233.15</x:v>
      </x:c>
      <x:c r="R2113" s="6" t="str">
        <x:v>m</x:v>
      </x:c>
      <x:c r="S2113" s="16"/>
      <x:c r="T2113" s="15"/>
      <x:c r="U2113" s="6"/>
      <x:c r="V2113" s="6"/>
      <x:c r="W2113" s="6" t="str">
        <x:v>Existing find_route(via=[...]).</x:v>
      </x:c>
      <x:c r="X2113" s="6" t="str">
        <x:v>data/dev/proc-factory-dev-012/questions_basic.jsonl</x:v>
      </x:c>
      <x:c r="Y2113" s="14" t="n">
        <x:v>10</x:v>
      </x:c>
      <x:c r="Z2113" s="6" t="str">
        <x:v>https://github.com/hagenhaeussler/Industrial-Agents-Hackathon-2026/blob/f41616590b69f3ea0c1cbfb41d6c35edd9ce53df/data/dev/proc-factory-dev-012/questions_basic.jsonl#L10</x:v>
      </x:c>
      <x:c r="AA2113" s="6" t="str">
        <x:v>procedural</x:v>
      </x:c>
      <x:c r="AB2113" s="6" t="str">
        <x:v>CC0-1.0</x:v>
      </x:c>
    </x:row>
    <x:row r="2114" ht="138" customHeight="1">
      <x:c r="A2114" s="14" t="n">
        <x:v>2109</x:v>
      </x:c>
      <x:c r="B2114" s="6" t="str">
        <x:v>tour</x:v>
      </x:c>
      <x:c r="C2114" s="6" t="str">
        <x:v>Starting at Living room 0.01 (Ground floor), visit Bathroom 0.05 (Ground floor), then Bedroom 0.02 (Ground floor) in this order. What is the route?</x:v>
      </x:c>
      <x:c r="D2114" s="6" t="str">
        <x:v>16.4 m total
Stops: Living room 0.01 → Bathroom 0.05 → Bedroom 0.02
Leg lengths (m): 6.01, 10.39
Full paths are in Answer JSON.</x:v>
      </x:c>
      <x:c r="E2114" s="6" t="str">
        <x:v>Reference supplied</x:v>
      </x:c>
      <x:c r="F2114" s="6" t="str">
        <x:v>dev</x:v>
      </x:c>
      <x:c r="G2114" s="6" t="str">
        <x:v>resplan-14509</x:v>
      </x:c>
      <x:c r="H2114" s="6" t="str">
        <x:v>resplan-14509-Q09</x:v>
      </x:c>
      <x:c r="I2114" s="6" t="str">
        <x:v>Route planning</x:v>
      </x:c>
      <x:c r="J2114" s="6" t="str">
        <x:v>Warm-up</x:v>
      </x:c>
      <x:c r="K2114" s="6" t="str">
        <x:v>Ordered stops, path for each leg and total metres.</x:v>
      </x:c>
      <x:c r="L2114" s="6" t="str">
        <x:v>T02, T05, T13</x:v>
      </x:c>
      <x:c r="M2114" s="6" t="str">
        <x:v>Visit multiple rooms in the order specified.</x:v>
      </x:c>
      <x:c r="N2114" s="6" t="str">
        <x:v>{"stops":["resplan-14509-F0-S001","resplan-14509-F0-S005","resplan-14509-F0-S002"],"optimal_length_m":16.4,"legs":[{"from_space_id":"resplan-14509-F0-S001","to_space_id":"resplan-14509-F0-S005","optimal_length_m":6.01,"space_path":["resplan-14509-F0-S001","resplan-14509-F0-S006","resplan-14509-F0-S005"],"element_path":["resplan-14509-F0-O0005","resplan-14509-F0-O0005","resplan-14509-F0-O0006","resplan-14509-F0-O0006"]},{"from_space_id":"resplan-14509-F0-S005","to_space_id":"resplan-14509-F0-S002","optimal_length_m":10.39,"space_path":["resplan-14509-F0-S005","resplan-14509-F0-S006","resplan-14509-F0-S001","resplan-14509-F0-S002"],"element_path":["resplan-14509-F0-O0006","resplan-14509-F0-O0006","resplan-14509-F0-O0005","resplan-14509-F0-O0005","resplan-14509-F0-O0002","resplan-14509-F0-O0002"]}]}</x:v>
      </x:c>
      <x:c r="O2114" s="6"/>
      <x:c r="P2114" s="6" t="str">
        <x:v>Preserve stated visit order. Do not optimize stop order.</x:v>
      </x:c>
      <x:c r="Q2114" s="15" t="n">
        <x:v>16.4</x:v>
      </x:c>
      <x:c r="R2114" s="6" t="str">
        <x:v>m</x:v>
      </x:c>
      <x:c r="S2114" s="16"/>
      <x:c r="T2114" s="15"/>
      <x:c r="U2114" s="6"/>
      <x:c r="V2114" s="6"/>
      <x:c r="W2114" s="6" t="str">
        <x:v>Existing find_route(via=[...]).</x:v>
      </x:c>
      <x:c r="X2114" s="6" t="str">
        <x:v>data/dev/resplan-14509/questions_basic.jsonl</x:v>
      </x:c>
      <x:c r="Y2114" s="14" t="n">
        <x:v>9</x:v>
      </x:c>
      <x:c r="Z2114" s="6" t="str">
        <x:v>https://github.com/hagenhaeussler/Industrial-Agents-Hackathon-2026/blob/f41616590b69f3ea0c1cbfb41d6c35edd9ce53df/data/dev/resplan-14509/questions_basic.jsonl#L9</x:v>
      </x:c>
      <x:c r="AA2114" s="6" t="str">
        <x:v>resplan</x:v>
      </x:c>
      <x:c r="AB2114" s="6" t="str">
        <x:v>CC-BY-4.0</x:v>
      </x:c>
    </x:row>
    <x:row r="2115" ht="110" customHeight="1">
      <x:c r="A2115" s="14" t="n">
        <x:v>2110</x:v>
      </x:c>
      <x:c r="B2115" s="6" t="str">
        <x:v>tour</x:v>
      </x:c>
      <x:c r="C2115" s="6" t="str">
        <x:v>Starting at Living room 0.01 (Ground floor), visit Kitchen 0.06 (Ground floor), then Bedroom 0.03 (Ground floor) in this order. What is the route?</x:v>
      </x:c>
      <x:c r="D2115" s="6" t="str">
        <x:v>14.09 m total
Stops: Living room 0.01 → Kitchen 0.06 → Bedroom 0.03
Leg lengths (m): 3.34, 10.75
Full paths are in Answer JSON.</x:v>
      </x:c>
      <x:c r="E2115" s="6" t="str">
        <x:v>Reference supplied</x:v>
      </x:c>
      <x:c r="F2115" s="6" t="str">
        <x:v>dev</x:v>
      </x:c>
      <x:c r="G2115" s="6" t="str">
        <x:v>resplan-1465</x:v>
      </x:c>
      <x:c r="H2115" s="6" t="str">
        <x:v>resplan-1465-Q09</x:v>
      </x:c>
      <x:c r="I2115" s="6" t="str">
        <x:v>Route planning</x:v>
      </x:c>
      <x:c r="J2115" s="6" t="str">
        <x:v>Warm-up</x:v>
      </x:c>
      <x:c r="K2115" s="6" t="str">
        <x:v>Ordered stops, path for each leg and total metres.</x:v>
      </x:c>
      <x:c r="L2115" s="6" t="str">
        <x:v>T02, T05, T13</x:v>
      </x:c>
      <x:c r="M2115" s="6" t="str">
        <x:v>Visit multiple rooms in the order specified.</x:v>
      </x:c>
      <x:c r="N2115" s="6" t="str">
        <x:v>{"stops":["resplan-1465-F0-S001","resplan-1465-F0-S006","resplan-1465-F0-S003"],"optimal_length_m":14.09,"legs":[{"from_space_id":"resplan-1465-F0-S001","to_space_id":"resplan-1465-F0-S006","optimal_length_m":3.34,"space_path":["resplan-1465-F0-S001","resplan-1465-F0-S006"],"element_path":["resplan-1465-F0-O0009","resplan-1465-F0-O0009"]},{"from_space_id":"resplan-1465-F0-S006","to_space_id":"resplan-1465-F0-S003","optimal_length_m":10.75,"space_path":["resplan-1465-F0-S006","resplan-1465-F0-S001","resplan-1465-F0-S003"],"element_path":["resplan-1465-F0-O0009","resplan-1465-F0-O0009","resplan-1465-F0-O0004","resplan-1465-F0-O0004"]}]}</x:v>
      </x:c>
      <x:c r="O2115" s="6"/>
      <x:c r="P2115" s="6" t="str">
        <x:v>Preserve stated visit order. Do not optimize stop order.</x:v>
      </x:c>
      <x:c r="Q2115" s="15" t="n">
        <x:v>14.09</x:v>
      </x:c>
      <x:c r="R2115" s="6" t="str">
        <x:v>m</x:v>
      </x:c>
      <x:c r="S2115" s="16"/>
      <x:c r="T2115" s="15"/>
      <x:c r="U2115" s="6"/>
      <x:c r="V2115" s="6"/>
      <x:c r="W2115" s="6" t="str">
        <x:v>Existing find_route(via=[...]).</x:v>
      </x:c>
      <x:c r="X2115" s="6" t="str">
        <x:v>data/dev/resplan-1465/questions_basic.jsonl</x:v>
      </x:c>
      <x:c r="Y2115" s="14" t="n">
        <x:v>9</x:v>
      </x:c>
      <x:c r="Z2115" s="6" t="str">
        <x:v>https://github.com/hagenhaeussler/Industrial-Agents-Hackathon-2026/blob/f41616590b69f3ea0c1cbfb41d6c35edd9ce53df/data/dev/resplan-1465/questions_basic.jsonl#L9</x:v>
      </x:c>
      <x:c r="AA2115" s="6" t="str">
        <x:v>resplan</x:v>
      </x:c>
      <x:c r="AB2115" s="6" t="str">
        <x:v>CC-BY-4.0</x:v>
      </x:c>
    </x:row>
    <x:row r="2116" ht="124" customHeight="1">
      <x:c r="A2116" s="14" t="n">
        <x:v>2111</x:v>
      </x:c>
      <x:c r="B2116" s="6" t="str">
        <x:v>tour</x:v>
      </x:c>
      <x:c r="C2116" s="6" t="str">
        <x:v>Starting at Bedroom 0.02 (Ground floor), visit Bathroom 0.08 (Ground floor), then Bedroom 0.03 (Ground floor) in this order. What is the route?</x:v>
      </x:c>
      <x:c r="D2116" s="6" t="str">
        <x:v>21.37 m total
Stops: Bedroom 0.02 → Bathroom 0.08 → Bedroom 0.03
Leg lengths (m): 4.22, 17.15
Full paths are in Answer JSON.</x:v>
      </x:c>
      <x:c r="E2116" s="6" t="str">
        <x:v>Reference supplied</x:v>
      </x:c>
      <x:c r="F2116" s="6" t="str">
        <x:v>dev</x:v>
      </x:c>
      <x:c r="G2116" s="6" t="str">
        <x:v>resplan-15179</x:v>
      </x:c>
      <x:c r="H2116" s="6" t="str">
        <x:v>resplan-15179-Q09</x:v>
      </x:c>
      <x:c r="I2116" s="6" t="str">
        <x:v>Route planning</x:v>
      </x:c>
      <x:c r="J2116" s="6" t="str">
        <x:v>Warm-up</x:v>
      </x:c>
      <x:c r="K2116" s="6" t="str">
        <x:v>Ordered stops, path for each leg and total metres.</x:v>
      </x:c>
      <x:c r="L2116" s="6" t="str">
        <x:v>T02, T05, T13</x:v>
      </x:c>
      <x:c r="M2116" s="6" t="str">
        <x:v>Visit multiple rooms in the order specified.</x:v>
      </x:c>
      <x:c r="N2116" s="6" t="str">
        <x:v>{"stops":["resplan-15179-F0-S002","resplan-15179-F0-S008","resplan-15179-F0-S003"],"optimal_length_m":21.37,"legs":[{"from_space_id":"resplan-15179-F0-S002","to_space_id":"resplan-15179-F0-S008","optimal_length_m":4.22,"space_path":["resplan-15179-F0-S002","resplan-15179-F0-S008"],"element_path":["resplan-15179-F0-O0003","resplan-15179-F0-O0003"]},{"from_space_id":"resplan-15179-F0-S008","to_space_id":"resplan-15179-F0-S003","optimal_length_m":17.15,"space_path":["resplan-15179-F0-S008","resplan-15179-F0-S002","resplan-15179-F0-S001","resplan-15179-F0-S003"],"element_path":["resplan-15179-F0-O0003","resplan-15179-F0-O0003","resplan-15179-F0-O0002","resplan-15179-F0-O0002","resplan-15179-F0-O0004","resplan-15179-F0-O0004"]}]}</x:v>
      </x:c>
      <x:c r="O2116" s="6"/>
      <x:c r="P2116" s="6" t="str">
        <x:v>Preserve stated visit order. Do not optimize stop order.</x:v>
      </x:c>
      <x:c r="Q2116" s="15" t="n">
        <x:v>21.37</x:v>
      </x:c>
      <x:c r="R2116" s="6" t="str">
        <x:v>m</x:v>
      </x:c>
      <x:c r="S2116" s="16"/>
      <x:c r="T2116" s="15"/>
      <x:c r="U2116" s="6"/>
      <x:c r="V2116" s="6"/>
      <x:c r="W2116" s="6" t="str">
        <x:v>Existing find_route(via=[...]).</x:v>
      </x:c>
      <x:c r="X2116" s="6" t="str">
        <x:v>data/dev/resplan-15179/questions_basic.jsonl</x:v>
      </x:c>
      <x:c r="Y2116" s="14" t="n">
        <x:v>9</x:v>
      </x:c>
      <x:c r="Z2116" s="6" t="str">
        <x:v>https://github.com/hagenhaeussler/Industrial-Agents-Hackathon-2026/blob/f41616590b69f3ea0c1cbfb41d6c35edd9ce53df/data/dev/resplan-15179/questions_basic.jsonl#L9</x:v>
      </x:c>
      <x:c r="AA2116" s="6" t="str">
        <x:v>resplan</x:v>
      </x:c>
      <x:c r="AB2116" s="6" t="str">
        <x:v>CC-BY-4.0</x:v>
      </x:c>
    </x:row>
    <x:row r="2117" ht="138" customHeight="1">
      <x:c r="A2117" s="14" t="n">
        <x:v>2112</x:v>
      </x:c>
      <x:c r="B2117" s="6" t="str">
        <x:v>tour</x:v>
      </x:c>
      <x:c r="C2117" s="6" t="str">
        <x:v>Starting at Living room 0.01 (Ground floor), visit Bathroom 0.05 (Ground floor), then Bathroom 0.04 (Ground floor) in this order. What is the route?</x:v>
      </x:c>
      <x:c r="D2117" s="6" t="str">
        <x:v>34.37 m total
Stops: Living room 0.01 → Bathroom 0.05 → Bathroom 0.04
Leg lengths (m): 13.22, 21.15
Full paths are in Answer JSON.</x:v>
      </x:c>
      <x:c r="E2117" s="6" t="str">
        <x:v>Reference supplied</x:v>
      </x:c>
      <x:c r="F2117" s="6" t="str">
        <x:v>dev</x:v>
      </x:c>
      <x:c r="G2117" s="6" t="str">
        <x:v>resplan-16154</x:v>
      </x:c>
      <x:c r="H2117" s="6" t="str">
        <x:v>resplan-16154-Q09</x:v>
      </x:c>
      <x:c r="I2117" s="6" t="str">
        <x:v>Route planning</x:v>
      </x:c>
      <x:c r="J2117" s="6" t="str">
        <x:v>Warm-up</x:v>
      </x:c>
      <x:c r="K2117" s="6" t="str">
        <x:v>Ordered stops, path for each leg and total metres.</x:v>
      </x:c>
      <x:c r="L2117" s="6" t="str">
        <x:v>T02, T05, T13</x:v>
      </x:c>
      <x:c r="M2117" s="6" t="str">
        <x:v>Visit multiple rooms in the order specified.</x:v>
      </x:c>
      <x:c r="N2117" s="6" t="str">
        <x:v>{"stops":["resplan-16154-F0-S001","resplan-16154-F0-S005","resplan-16154-F0-S004"],"optimal_length_m":34.37,"legs":[{"from_space_id":"resplan-16154-F0-S001","to_space_id":"resplan-16154-F0-S005","optimal_length_m":13.22,"space_path":["resplan-16154-F0-S001","resplan-16154-F0-S002","resplan-16154-F0-S005"],"element_path":["resplan-16154-F0-O0003","resplan-16154-F0-O0003","resplan-16154-F0-O0004","resplan-16154-F0-O0004"]},{"from_space_id":"resplan-16154-F0-S005","to_space_id":"resplan-16154-F0-S004","optimal_length_m":21.15,"space_path":["resplan-16154-F0-S005","resplan-16154-F0-S002","resplan-16154-F0-S001","resplan-16154-F0-S004"],"element_path":["resplan-16154-F0-O0004","resplan-16154-F0-O0004","resplan-16154-F0-O0003","resplan-16154-F0-O0003","resplan-16154-F0-O0005","resplan-16154-F0-O0005"]}]}</x:v>
      </x:c>
      <x:c r="O2117" s="6"/>
      <x:c r="P2117" s="6" t="str">
        <x:v>Preserve stated visit order. Do not optimize stop order.</x:v>
      </x:c>
      <x:c r="Q2117" s="15" t="n">
        <x:v>34.37</x:v>
      </x:c>
      <x:c r="R2117" s="6" t="str">
        <x:v>m</x:v>
      </x:c>
      <x:c r="S2117" s="16"/>
      <x:c r="T2117" s="15"/>
      <x:c r="U2117" s="6"/>
      <x:c r="V2117" s="6"/>
      <x:c r="W2117" s="6" t="str">
        <x:v>Existing find_route(via=[...]).</x:v>
      </x:c>
      <x:c r="X2117" s="6" t="str">
        <x:v>data/dev/resplan-16154/questions_basic.jsonl</x:v>
      </x:c>
      <x:c r="Y2117" s="14" t="n">
        <x:v>9</x:v>
      </x:c>
      <x:c r="Z2117" s="6" t="str">
        <x:v>https://github.com/hagenhaeussler/Industrial-Agents-Hackathon-2026/blob/f41616590b69f3ea0c1cbfb41d6c35edd9ce53df/data/dev/resplan-16154/questions_basic.jsonl#L9</x:v>
      </x:c>
      <x:c r="AA2117" s="6" t="str">
        <x:v>resplan</x:v>
      </x:c>
      <x:c r="AB2117" s="6" t="str">
        <x:v>CC-BY-4.0</x:v>
      </x:c>
    </x:row>
    <x:row r="2118" ht="138" customHeight="1">
      <x:c r="A2118" s="14" t="n">
        <x:v>2113</x:v>
      </x:c>
      <x:c r="B2118" s="6" t="str">
        <x:v>tour</x:v>
      </x:c>
      <x:c r="C2118" s="6" t="str">
        <x:v>Starting at Bedroom 0.02 (Ground floor), visit Bedroom 0.03 (Ground floor), then Bathroom 0.07 (Ground floor) in this order. What is the route?</x:v>
      </x:c>
      <x:c r="D2118" s="6" t="str">
        <x:v>28.75 m total
Stops: Bedroom 0.02 → Bedroom 0.03 → Bathroom 0.07
Leg lengths (m): 12.38, 16.37
Full paths are in Answer JSON.</x:v>
      </x:c>
      <x:c r="E2118" s="6" t="str">
        <x:v>Reference supplied</x:v>
      </x:c>
      <x:c r="F2118" s="6" t="str">
        <x:v>dev</x:v>
      </x:c>
      <x:c r="G2118" s="6" t="str">
        <x:v>resplan-1677</x:v>
      </x:c>
      <x:c r="H2118" s="6" t="str">
        <x:v>resplan-1677-Q09</x:v>
      </x:c>
      <x:c r="I2118" s="6" t="str">
        <x:v>Route planning</x:v>
      </x:c>
      <x:c r="J2118" s="6" t="str">
        <x:v>Warm-up</x:v>
      </x:c>
      <x:c r="K2118" s="6" t="str">
        <x:v>Ordered stops, path for each leg and total metres.</x:v>
      </x:c>
      <x:c r="L2118" s="6" t="str">
        <x:v>T02, T05, T13</x:v>
      </x:c>
      <x:c r="M2118" s="6" t="str">
        <x:v>Visit multiple rooms in the order specified.</x:v>
      </x:c>
      <x:c r="N2118" s="6" t="str">
        <x:v>{"stops":["resplan-1677-F0-S002","resplan-1677-F0-S003","resplan-1677-F0-S007"],"optimal_length_m":28.75,"legs":[{"from_space_id":"resplan-1677-F0-S002","to_space_id":"resplan-1677-F0-S003","optimal_length_m":12.38,"space_path":["resplan-1677-F0-S002","resplan-1677-F0-S001","resplan-1677-F0-S003"],"element_path":["resplan-1677-F0-O0002","resplan-1677-F0-O0002","resplan-1677-F0-O0004","resplan-1677-F0-O0004"]},{"from_space_id":"resplan-1677-F0-S003","to_space_id":"resplan-1677-F0-S007","optimal_length_m":16.37,"space_path":["resplan-1677-F0-S003","resplan-1677-F0-S001","resplan-1677-F0-S004","resplan-1677-F0-S007"],"element_path":["resplan-1677-F0-O0004","resplan-1677-F0-O0004","resplan-1677-F0-O0005","resplan-1677-F0-O0005","resplan-1677-F0-O0008","resplan-1677-F0-O0008"]}]}</x:v>
      </x:c>
      <x:c r="O2118" s="6"/>
      <x:c r="P2118" s="6" t="str">
        <x:v>Preserve stated visit order. Do not optimize stop order.</x:v>
      </x:c>
      <x:c r="Q2118" s="15" t="n">
        <x:v>28.75</x:v>
      </x:c>
      <x:c r="R2118" s="6" t="str">
        <x:v>m</x:v>
      </x:c>
      <x:c r="S2118" s="16"/>
      <x:c r="T2118" s="15"/>
      <x:c r="U2118" s="6"/>
      <x:c r="V2118" s="6"/>
      <x:c r="W2118" s="6" t="str">
        <x:v>Existing find_route(via=[...]).</x:v>
      </x:c>
      <x:c r="X2118" s="6" t="str">
        <x:v>data/dev/resplan-1677/questions_basic.jsonl</x:v>
      </x:c>
      <x:c r="Y2118" s="14" t="n">
        <x:v>9</x:v>
      </x:c>
      <x:c r="Z2118" s="6" t="str">
        <x:v>https://github.com/hagenhaeussler/Industrial-Agents-Hackathon-2026/blob/f41616590b69f3ea0c1cbfb41d6c35edd9ce53df/data/dev/resplan-1677/questions_basic.jsonl#L9</x:v>
      </x:c>
      <x:c r="AA2118" s="6" t="str">
        <x:v>resplan</x:v>
      </x:c>
      <x:c r="AB2118" s="6" t="str">
        <x:v>CC-BY-4.0</x:v>
      </x:c>
    </x:row>
    <x:row r="2119" ht="138" customHeight="1">
      <x:c r="A2119" s="14" t="n">
        <x:v>2114</x:v>
      </x:c>
      <x:c r="B2119" s="6" t="str">
        <x:v>tour</x:v>
      </x:c>
      <x:c r="C2119" s="6" t="str">
        <x:v>Starting at Bedroom 0.02 (Ground floor), visit Storage 0.07 (Ground floor), then Bathroom 0.05 (Ground floor) in this order. What is the route?</x:v>
      </x:c>
      <x:c r="D2119" s="6" t="str">
        <x:v>24.93 m total
Stops: Bedroom 0.02 → Storage 0.07 → Bathroom 0.05
Leg lengths (m): 10.63, 14.3
Full paths are in Answer JSON.</x:v>
      </x:c>
      <x:c r="E2119" s="6" t="str">
        <x:v>Reference supplied</x:v>
      </x:c>
      <x:c r="F2119" s="6" t="str">
        <x:v>dev</x:v>
      </x:c>
      <x:c r="G2119" s="6" t="str">
        <x:v>resplan-3832</x:v>
      </x:c>
      <x:c r="H2119" s="6" t="str">
        <x:v>resplan-3832-Q09</x:v>
      </x:c>
      <x:c r="I2119" s="6" t="str">
        <x:v>Route planning</x:v>
      </x:c>
      <x:c r="J2119" s="6" t="str">
        <x:v>Warm-up</x:v>
      </x:c>
      <x:c r="K2119" s="6" t="str">
        <x:v>Ordered stops, path for each leg and total metres.</x:v>
      </x:c>
      <x:c r="L2119" s="6" t="str">
        <x:v>T02, T05, T13</x:v>
      </x:c>
      <x:c r="M2119" s="6" t="str">
        <x:v>Visit multiple rooms in the order specified.</x:v>
      </x:c>
      <x:c r="N2119" s="6" t="str">
        <x:v>{"stops":["resplan-3832-F0-S002","resplan-3832-F0-S007","resplan-3832-F0-S005"],"optimal_length_m":24.93,"legs":[{"from_space_id":"resplan-3832-F0-S002","to_space_id":"resplan-3832-F0-S007","optimal_length_m":10.63,"space_path":["resplan-3832-F0-S002","resplan-3832-F0-S001","resplan-3832-F0-S007"],"element_path":["resplan-3832-F0-O0002","resplan-3832-F0-O0002","resplan-3832-F0-O0003","resplan-3832-F0-O0003"]},{"from_space_id":"resplan-3832-F0-S007","to_space_id":"resplan-3832-F0-S005","optimal_length_m":14.3,"space_path":["resplan-3832-F0-S007","resplan-3832-F0-S001","resplan-3832-F0-S002","resplan-3832-F0-S005"],"element_path":["resplan-3832-F0-O0003","resplan-3832-F0-O0003","resplan-3832-F0-O0002","resplan-3832-F0-O0002","resplan-3832-F0-O0001","resplan-3832-F0-O0001"]}]}</x:v>
      </x:c>
      <x:c r="O2119" s="6"/>
      <x:c r="P2119" s="6" t="str">
        <x:v>Preserve stated visit order. Do not optimize stop order.</x:v>
      </x:c>
      <x:c r="Q2119" s="15" t="n">
        <x:v>24.93</x:v>
      </x:c>
      <x:c r="R2119" s="6" t="str">
        <x:v>m</x:v>
      </x:c>
      <x:c r="S2119" s="16"/>
      <x:c r="T2119" s="15"/>
      <x:c r="U2119" s="6"/>
      <x:c r="V2119" s="6"/>
      <x:c r="W2119" s="6" t="str">
        <x:v>Existing find_route(via=[...]).</x:v>
      </x:c>
      <x:c r="X2119" s="6" t="str">
        <x:v>data/dev/resplan-3832/questions_basic.jsonl</x:v>
      </x:c>
      <x:c r="Y2119" s="14" t="n">
        <x:v>9</x:v>
      </x:c>
      <x:c r="Z2119" s="6" t="str">
        <x:v>https://github.com/hagenhaeussler/Industrial-Agents-Hackathon-2026/blob/f41616590b69f3ea0c1cbfb41d6c35edd9ce53df/data/dev/resplan-3832/questions_basic.jsonl#L9</x:v>
      </x:c>
      <x:c r="AA2119" s="6" t="str">
        <x:v>resplan</x:v>
      </x:c>
      <x:c r="AB2119" s="6" t="str">
        <x:v>CC-BY-4.0</x:v>
      </x:c>
    </x:row>
    <x:row r="2120" ht="110" customHeight="1">
      <x:c r="A2120" s="14" t="n">
        <x:v>2115</x:v>
      </x:c>
      <x:c r="B2120" s="6" t="str">
        <x:v>tour</x:v>
      </x:c>
      <x:c r="C2120" s="6" t="str">
        <x:v>Starting at Bedroom 0.02 (Ground floor), visit Living room 0.01 (Ground floor), then Bedroom 0.03 (Ground floor) in this order. What is the route?</x:v>
      </x:c>
      <x:c r="D2120" s="6" t="str">
        <x:v>16.61 m total
Stops: Bedroom 0.02 → Living room 0.01 → Bedroom 0.03
Leg lengths (m): 8.07, 8.54
Full paths are in Answer JSON.</x:v>
      </x:c>
      <x:c r="E2120" s="6" t="str">
        <x:v>Reference supplied</x:v>
      </x:c>
      <x:c r="F2120" s="6" t="str">
        <x:v>dev</x:v>
      </x:c>
      <x:c r="G2120" s="6" t="str">
        <x:v>resplan-439</x:v>
      </x:c>
      <x:c r="H2120" s="6" t="str">
        <x:v>resplan-439-Q09</x:v>
      </x:c>
      <x:c r="I2120" s="6" t="str">
        <x:v>Route planning</x:v>
      </x:c>
      <x:c r="J2120" s="6" t="str">
        <x:v>Warm-up</x:v>
      </x:c>
      <x:c r="K2120" s="6" t="str">
        <x:v>Ordered stops, path for each leg and total metres.</x:v>
      </x:c>
      <x:c r="L2120" s="6" t="str">
        <x:v>T02, T05, T13</x:v>
      </x:c>
      <x:c r="M2120" s="6" t="str">
        <x:v>Visit multiple rooms in the order specified.</x:v>
      </x:c>
      <x:c r="N2120" s="6" t="str">
        <x:v>{"stops":["resplan-439-F0-S002","resplan-439-F0-S001","resplan-439-F0-S003"],"optimal_length_m":16.61,"legs":[{"from_space_id":"resplan-439-F0-S002","to_space_id":"resplan-439-F0-S001","optimal_length_m":8.07,"space_path":["resplan-439-F0-S002","resplan-439-F0-S001"],"element_path":["resplan-439-F0-O0002","resplan-439-F0-O0002"]},{"from_space_id":"resplan-439-F0-S001","to_space_id":"resplan-439-F0-S003","optimal_length_m":8.54,"space_path":["resplan-439-F0-S001","resplan-439-F0-S003"],"element_path":["resplan-439-F0-O0004","resplan-439-F0-O0004"]}]}</x:v>
      </x:c>
      <x:c r="O2120" s="6"/>
      <x:c r="P2120" s="6" t="str">
        <x:v>Preserve stated visit order. Do not optimize stop order.</x:v>
      </x:c>
      <x:c r="Q2120" s="15" t="n">
        <x:v>16.61</x:v>
      </x:c>
      <x:c r="R2120" s="6" t="str">
        <x:v>m</x:v>
      </x:c>
      <x:c r="S2120" s="16"/>
      <x:c r="T2120" s="15"/>
      <x:c r="U2120" s="6"/>
      <x:c r="V2120" s="6"/>
      <x:c r="W2120" s="6" t="str">
        <x:v>Existing find_route(via=[...]).</x:v>
      </x:c>
      <x:c r="X2120" s="6" t="str">
        <x:v>data/dev/resplan-439/questions_basic.jsonl</x:v>
      </x:c>
      <x:c r="Y2120" s="14" t="n">
        <x:v>9</x:v>
      </x:c>
      <x:c r="Z2120" s="6" t="str">
        <x:v>https://github.com/hagenhaeussler/Industrial-Agents-Hackathon-2026/blob/f41616590b69f3ea0c1cbfb41d6c35edd9ce53df/data/dev/resplan-439/questions_basic.jsonl#L9</x:v>
      </x:c>
      <x:c r="AA2120" s="6" t="str">
        <x:v>resplan</x:v>
      </x:c>
      <x:c r="AB2120" s="6" t="str">
        <x:v>CC-BY-4.0</x:v>
      </x:c>
    </x:row>
    <x:row r="2121" ht="110" customHeight="1">
      <x:c r="A2121" s="14" t="n">
        <x:v>2116</x:v>
      </x:c>
      <x:c r="B2121" s="6" t="str">
        <x:v>tour</x:v>
      </x:c>
      <x:c r="C2121" s="6" t="str">
        <x:v>Starting at Bathroom 0.05 (Ground floor), visit Living room 0.01 (Ground floor), then Kitchen 0.06 (Ground floor) in this order. What is the route?</x:v>
      </x:c>
      <x:c r="D2121" s="6" t="str">
        <x:v>15.98 m total
Stops: Bathroom 0.05 → Living room 0.01 → Kitchen 0.06
Leg lengths (m): 9.46, 6.52
Full paths are in Answer JSON.</x:v>
      </x:c>
      <x:c r="E2121" s="6" t="str">
        <x:v>Reference supplied</x:v>
      </x:c>
      <x:c r="F2121" s="6" t="str">
        <x:v>dev</x:v>
      </x:c>
      <x:c r="G2121" s="6" t="str">
        <x:v>resplan-7336</x:v>
      </x:c>
      <x:c r="H2121" s="6" t="str">
        <x:v>resplan-7336-Q09</x:v>
      </x:c>
      <x:c r="I2121" s="6" t="str">
        <x:v>Route planning</x:v>
      </x:c>
      <x:c r="J2121" s="6" t="str">
        <x:v>Warm-up</x:v>
      </x:c>
      <x:c r="K2121" s="6" t="str">
        <x:v>Ordered stops, path for each leg and total metres.</x:v>
      </x:c>
      <x:c r="L2121" s="6" t="str">
        <x:v>T02, T05, T13</x:v>
      </x:c>
      <x:c r="M2121" s="6" t="str">
        <x:v>Visit multiple rooms in the order specified.</x:v>
      </x:c>
      <x:c r="N2121" s="6" t="str">
        <x:v>{"stops":["resplan-7336-F0-S005","resplan-7336-F0-S001","resplan-7336-F0-S006"],"optimal_length_m":15.98,"legs":[{"from_space_id":"resplan-7336-F0-S005","to_space_id":"resplan-7336-F0-S001","optimal_length_m":9.46,"space_path":["resplan-7336-F0-S005","resplan-7336-F0-S003","resplan-7336-F0-S001"],"element_path":["resplan-7336-F0-O0005","resplan-7336-F0-O0005","resplan-7336-F0-O0006","resplan-7336-F0-O0006"]},{"from_space_id":"resplan-7336-F0-S001","to_space_id":"resplan-7336-F0-S006","optimal_length_m":6.52,"space_path":["resplan-7336-F0-S001","resplan-7336-F0-S006"],"element_path":["resplan-7336-F0-O0008","resplan-7336-F0-O0008"]}]}</x:v>
      </x:c>
      <x:c r="O2121" s="6"/>
      <x:c r="P2121" s="6" t="str">
        <x:v>Preserve stated visit order. Do not optimize stop order.</x:v>
      </x:c>
      <x:c r="Q2121" s="15" t="n">
        <x:v>15.98</x:v>
      </x:c>
      <x:c r="R2121" s="6" t="str">
        <x:v>m</x:v>
      </x:c>
      <x:c r="S2121" s="16"/>
      <x:c r="T2121" s="15"/>
      <x:c r="U2121" s="6"/>
      <x:c r="V2121" s="6"/>
      <x:c r="W2121" s="6" t="str">
        <x:v>Existing find_route(via=[...]).</x:v>
      </x:c>
      <x:c r="X2121" s="6" t="str">
        <x:v>data/dev/resplan-7336/questions_basic.jsonl</x:v>
      </x:c>
      <x:c r="Y2121" s="14" t="n">
        <x:v>9</x:v>
      </x:c>
      <x:c r="Z2121" s="6" t="str">
        <x:v>https://github.com/hagenhaeussler/Industrial-Agents-Hackathon-2026/blob/f41616590b69f3ea0c1cbfb41d6c35edd9ce53df/data/dev/resplan-7336/questions_basic.jsonl#L9</x:v>
      </x:c>
      <x:c r="AA2121" s="6" t="str">
        <x:v>resplan</x:v>
      </x:c>
      <x:c r="AB2121" s="6" t="str">
        <x:v>CC-BY-4.0</x:v>
      </x:c>
    </x:row>
    <x:row r="2122" ht="124" customHeight="1">
      <x:c r="A2122" s="14" t="n">
        <x:v>2117</x:v>
      </x:c>
      <x:c r="B2122" s="6" t="str">
        <x:v>tour</x:v>
      </x:c>
      <x:c r="C2122" s="6" t="str">
        <x:v>Starting at Kitchen 0.06 (Ground floor), visit Bathroom 0.05 (Ground floor), then Bedroom 0.02 (Ground floor) in this order. What is the route?</x:v>
      </x:c>
      <x:c r="D2122" s="6" t="str">
        <x:v>19.37 m total
Stops: Kitchen 0.06 → Bathroom 0.05 → Bedroom 0.02
Leg lengths (m): 9.18, 10.19
Full paths are in Answer JSON.</x:v>
      </x:c>
      <x:c r="E2122" s="6" t="str">
        <x:v>Reference supplied</x:v>
      </x:c>
      <x:c r="F2122" s="6" t="str">
        <x:v>dev</x:v>
      </x:c>
      <x:c r="G2122" s="6" t="str">
        <x:v>resplan-8169</x:v>
      </x:c>
      <x:c r="H2122" s="6" t="str">
        <x:v>resplan-8169-Q09</x:v>
      </x:c>
      <x:c r="I2122" s="6" t="str">
        <x:v>Route planning</x:v>
      </x:c>
      <x:c r="J2122" s="6" t="str">
        <x:v>Warm-up</x:v>
      </x:c>
      <x:c r="K2122" s="6" t="str">
        <x:v>Ordered stops, path for each leg and total metres.</x:v>
      </x:c>
      <x:c r="L2122" s="6" t="str">
        <x:v>T02, T05, T13</x:v>
      </x:c>
      <x:c r="M2122" s="6" t="str">
        <x:v>Visit multiple rooms in the order specified.</x:v>
      </x:c>
      <x:c r="N2122" s="6" t="str">
        <x:v>{"stops":["resplan-8169-F0-S006","resplan-8169-F0-S005","resplan-8169-F0-S002"],"optimal_length_m":19.37,"legs":[{"from_space_id":"resplan-8169-F0-S006","to_space_id":"resplan-8169-F0-S005","optimal_length_m":9.18,"space_path":["resplan-8169-F0-S006","resplan-8169-F0-S001","resplan-8169-F0-S005"],"element_path":["resplan-8169-F0-O0005","resplan-8169-F0-O0005","resplan-8169-F0-O0001","resplan-8169-F0-O0001"]},{"from_space_id":"resplan-8169-F0-S005","to_space_id":"resplan-8169-F0-S002","optimal_length_m":10.19,"space_path":["resplan-8169-F0-S005","resplan-8169-F0-S001","resplan-8169-F0-S002"],"element_path":["resplan-8169-F0-O0001","resplan-8169-F0-O0001","resplan-8169-F0-O0003","resplan-8169-F0-O0003"]}]}</x:v>
      </x:c>
      <x:c r="O2122" s="6"/>
      <x:c r="P2122" s="6" t="str">
        <x:v>Preserve stated visit order. Do not optimize stop order.</x:v>
      </x:c>
      <x:c r="Q2122" s="15" t="n">
        <x:v>19.37</x:v>
      </x:c>
      <x:c r="R2122" s="6" t="str">
        <x:v>m</x:v>
      </x:c>
      <x:c r="S2122" s="16"/>
      <x:c r="T2122" s="15"/>
      <x:c r="U2122" s="6"/>
      <x:c r="V2122" s="6"/>
      <x:c r="W2122" s="6" t="str">
        <x:v>Existing find_route(via=[...]).</x:v>
      </x:c>
      <x:c r="X2122" s="6" t="str">
        <x:v>data/dev/resplan-8169/questions_basic.jsonl</x:v>
      </x:c>
      <x:c r="Y2122" s="14" t="n">
        <x:v>9</x:v>
      </x:c>
      <x:c r="Z2122" s="6" t="str">
        <x:v>https://github.com/hagenhaeussler/Industrial-Agents-Hackathon-2026/blob/f41616590b69f3ea0c1cbfb41d6c35edd9ce53df/data/dev/resplan-8169/questions_basic.jsonl#L9</x:v>
      </x:c>
      <x:c r="AA2122" s="6" t="str">
        <x:v>resplan</x:v>
      </x:c>
      <x:c r="AB2122" s="6" t="str">
        <x:v>CC-BY-4.0</x:v>
      </x:c>
    </x:row>
    <x:row r="2123" ht="124" customHeight="1">
      <x:c r="A2123" s="14" t="n">
        <x:v>2118</x:v>
      </x:c>
      <x:c r="B2123" s="6" t="str">
        <x:v>tour</x:v>
      </x:c>
      <x:c r="C2123" s="6" t="str">
        <x:v>Starting at Bathroom 0.03 (Ground floor), visit Kitchen 0.05 (Ground floor), then Living room 0.01 (Ground floor) in this order. What is the route?</x:v>
      </x:c>
      <x:c r="D2123" s="6" t="str">
        <x:v>18.33 m total
Stops: Bathroom 0.03 → Kitchen 0.05 → Living room 0.01
Leg lengths (m): 14.15, 4.18
Full paths are in Answer JSON.</x:v>
      </x:c>
      <x:c r="E2123" s="6" t="str">
        <x:v>Reference supplied</x:v>
      </x:c>
      <x:c r="F2123" s="6" t="str">
        <x:v>dev</x:v>
      </x:c>
      <x:c r="G2123" s="6" t="str">
        <x:v>resplan-8269</x:v>
      </x:c>
      <x:c r="H2123" s="6" t="str">
        <x:v>resplan-8269-Q09</x:v>
      </x:c>
      <x:c r="I2123" s="6" t="str">
        <x:v>Route planning</x:v>
      </x:c>
      <x:c r="J2123" s="6" t="str">
        <x:v>Warm-up</x:v>
      </x:c>
      <x:c r="K2123" s="6" t="str">
        <x:v>Ordered stops, path for each leg and total metres.</x:v>
      </x:c>
      <x:c r="L2123" s="6" t="str">
        <x:v>T02, T05, T13</x:v>
      </x:c>
      <x:c r="M2123" s="6" t="str">
        <x:v>Visit multiple rooms in the order specified.</x:v>
      </x:c>
      <x:c r="N2123" s="6" t="str">
        <x:v>{"stops":["resplan-8269-F0-S003","resplan-8269-F0-S005","resplan-8269-F0-S001"],"optimal_length_m":18.33,"legs":[{"from_space_id":"resplan-8269-F0-S003","to_space_id":"resplan-8269-F0-S005","optimal_length_m":14.15,"space_path":["resplan-8269-F0-S003","resplan-8269-F0-S002","resplan-8269-F0-S001","resplan-8269-F0-S005"],"element_path":["resplan-8269-F0-O0003","resplan-8269-F0-O0003","resplan-8269-F0-O0002","resplan-8269-F0-O0002","resplan-8269-F0-O0004","resplan-8269-F0-O0004"]},{"from_space_id":"resplan-8269-F0-S005","to_space_id":"resplan-8269-F0-S001","optimal_length_m":4.18,"space_path":["resplan-8269-F0-S005","resplan-8269-F0-S001"],"element_path":["resplan-8269-F0-O0004","resplan-8269-F0-O0004"]}]}</x:v>
      </x:c>
      <x:c r="O2123" s="6"/>
      <x:c r="P2123" s="6" t="str">
        <x:v>Preserve stated visit order. Do not optimize stop order.</x:v>
      </x:c>
      <x:c r="Q2123" s="15" t="n">
        <x:v>18.33</x:v>
      </x:c>
      <x:c r="R2123" s="6" t="str">
        <x:v>m</x:v>
      </x:c>
      <x:c r="S2123" s="16"/>
      <x:c r="T2123" s="15"/>
      <x:c r="U2123" s="6"/>
      <x:c r="V2123" s="6"/>
      <x:c r="W2123" s="6" t="str">
        <x:v>Existing find_route(via=[...]).</x:v>
      </x:c>
      <x:c r="X2123" s="6" t="str">
        <x:v>data/dev/resplan-8269/questions_basic.jsonl</x:v>
      </x:c>
      <x:c r="Y2123" s="14" t="n">
        <x:v>9</x:v>
      </x:c>
      <x:c r="Z2123" s="6" t="str">
        <x:v>https://github.com/hagenhaeussler/Industrial-Agents-Hackathon-2026/blob/f41616590b69f3ea0c1cbfb41d6c35edd9ce53df/data/dev/resplan-8269/questions_basic.jsonl#L9</x:v>
      </x:c>
      <x:c r="AA2123" s="6" t="str">
        <x:v>resplan</x:v>
      </x:c>
      <x:c r="AB2123" s="6" t="str">
        <x:v>CC-BY-4.0</x:v>
      </x:c>
    </x:row>
    <x:row r="2124" ht="278" customHeight="1">
      <x:c r="A2124" s="14" t="n">
        <x:v>2119</x:v>
      </x:c>
      <x:c r="B2124" s="6" t="str">
        <x:v>tour</x:v>
      </x:c>
      <x:c r="C2124" s="6" t="str">
        <x:v>Starting at Bathroom 1.32 (apartment 15) (Floor 1), visit Storage 1.05 (apartment 13) (Floor 1), then Bedroom 3.19 (apartment 26) (Floor 3) in this order. What is the route?</x:v>
      </x:c>
      <x:c r="D2124" s="6" t="str">
        <x:v>156.85 m total
Stops: Bathroom 1.32 (apartment 15) → Storage 1.05 (apartment 13) → Bedroom 3.19 (apartment 26)
Leg lengths (m): 65.26, 91.59
Full paths are in Answer JSON.</x:v>
      </x:c>
      <x:c r="E2124" s="6" t="str">
        <x:v>Reference supplied</x:v>
      </x:c>
      <x:c r="F2124" s="6" t="str">
        <x:v>dev</x:v>
      </x:c>
      <x:c r="G2124" s="6" t="str">
        <x:v>swiss-1689</x:v>
      </x:c>
      <x:c r="H2124" s="6" t="str">
        <x:v>swiss-1689-Q07</x:v>
      </x:c>
      <x:c r="I2124" s="6" t="str">
        <x:v>Route planning</x:v>
      </x:c>
      <x:c r="J2124" s="6" t="str">
        <x:v>Warm-up</x:v>
      </x:c>
      <x:c r="K2124" s="6" t="str">
        <x:v>Ordered stops, path for each leg and total metres.</x:v>
      </x:c>
      <x:c r="L2124" s="6" t="str">
        <x:v>T02, T05, T13</x:v>
      </x:c>
      <x:c r="M2124" s="6" t="str">
        <x:v>Visit multiple rooms in the order specified.</x:v>
      </x:c>
      <x:c r="N2124" s="6" t="str">
        <x:v>{"stops":["swiss-1689-F1-S032","swiss-1689-F1-S005","swiss-1689-F3-S019"],"optimal_length_m":156.85,"legs":[{"from_space_id":"swiss-1689-F1-S032","to_space_id":"swiss-1689-F1-S005","optimal_length_m":65.26,"space_path":["swiss-1689-F1-S032","swiss-1689-F1-S034","swiss-1689-F1-S026","swiss-1689-F1-S033","swiss-1689-F1-S079","swiss-1689-F0-S069","swiss-1689-F1-S078","swiss-1689-F1-S002","swiss-1689-F1-S011","swiss-1689-F1-S012","swiss-1689-F1-S005"],"element_path":["swiss-1689-F1-O0156","swiss-1689-F1-O0156","swiss-1689-F1-O0153","swiss-1689-F1-O0153","swiss-1689-F1-O0162","swiss-1689-F1-O0162","swiss-1689-F1-O0159","swiss-1689-F1-O0159","swiss-1689-V08","swiss-1689-V01","swiss-1689-F1-O0132","swiss-1689-F1-O0132","swiss-1689-F1-O0133","swiss-1689-F1-O0133","swiss-1689-F1-O0136","swiss-1689-F1-O0136","swiss-1689-F1-O0137","swiss-1689-F1-O0137"]},{"from_space_id":"swiss-1689-F1-S005","to_space_id":"swiss-1689-F3-S019","optimal_length_m":91.59,"space_path":["swiss-1689-F1-S005","swiss-1689-F1-S012","swiss-1689-F1-S011","swiss-1689-F1-S002","swiss-1689-F1-S078","swiss-1689-F0-S069","swiss-1689-F1-S079","swiss-1689-F2-S079","swiss-1689-F3-S079","swiss-1689-F3-S024","swiss-1689-F3-S025","swiss-1689-F3-S016","swiss-1689-F3-S019"],"element_path":["swiss-1689-F1-O0137","swiss-1689-F1-O0137","swiss-1689-F1-O0136","swiss-1689-F1-O0136","swiss-1689-F1-O0133","swiss-1689-F1-O0133","swiss-1689-F1-O0132","swiss-1689-F1-O0132","swiss-1689-V01","swiss-1689-V08","swiss-1689-V10","swiss-1689-V12","swiss-1689-F3-O0316","swiss-1689-F3-O0316","swiss-1689-F3-O0314","swiss-1689-F3-O0314","swiss-1689-F3-O0313","swiss-1689-F3-O0313","swiss-1689-F3-O0315","swiss-1689-F3-O0315"]}]}</x:v>
      </x:c>
      <x:c r="O2124" s="6"/>
      <x:c r="P2124" s="6" t="str">
        <x:v>Preserve stated visit order. Do not optimize stop order.</x:v>
      </x:c>
      <x:c r="Q2124" s="15" t="n">
        <x:v>156.85</x:v>
      </x:c>
      <x:c r="R2124" s="6" t="str">
        <x:v>m</x:v>
      </x:c>
      <x:c r="S2124" s="16"/>
      <x:c r="T2124" s="15"/>
      <x:c r="U2124" s="6"/>
      <x:c r="V2124" s="6"/>
      <x:c r="W2124" s="6" t="str">
        <x:v>Existing find_route(via=[...]).</x:v>
      </x:c>
      <x:c r="X2124" s="6" t="str">
        <x:v>data/dev/swiss-1689/questions_basic.jsonl</x:v>
      </x:c>
      <x:c r="Y2124" s="14" t="n">
        <x:v>7</x:v>
      </x:c>
      <x:c r="Z2124" s="6" t="str">
        <x:v>https://github.com/hagenhaeussler/Industrial-Agents-Hackathon-2026/blob/f41616590b69f3ea0c1cbfb41d6c35edd9ce53df/data/dev/swiss-1689/questions_basic.jsonl#L7</x:v>
      </x:c>
      <x:c r="AA2124" s="6" t="str">
        <x:v>swiss_dwellings</x:v>
      </x:c>
      <x:c r="AB2124" s="6" t="str">
        <x:v>CC-BY-4.0</x:v>
      </x:c>
    </x:row>
    <x:row r="2125" ht="222" customHeight="1">
      <x:c r="A2125" s="14" t="n">
        <x:v>2120</x:v>
      </x:c>
      <x:c r="B2125" s="6" t="str">
        <x:v>tour</x:v>
      </x:c>
      <x:c r="C2125" s="6" t="str">
        <x:v>Starting at Living room 2.23 (apartment 12) (Floor 2), visit Living room 0.27 (apartment 4) (Ground floor), then Kitchen 1.30 (apartment 8) (Floor 1) in this order. What is the route?</x:v>
      </x:c>
      <x:c r="D2125" s="6" t="str">
        <x:v>87.67 m total
Stops: Living room 2.23 (apartment 12) → Living room 0.27 (apartment 4) → Kitchen 1.30 (apartment 8)
Leg lengths (m): 47.18, 40.49
Full paths are in Answer JSON.</x:v>
      </x:c>
      <x:c r="E2125" s="6" t="str">
        <x:v>Reference supplied</x:v>
      </x:c>
      <x:c r="F2125" s="6" t="str">
        <x:v>dev</x:v>
      </x:c>
      <x:c r="G2125" s="6" t="str">
        <x:v>swiss-1785</x:v>
      </x:c>
      <x:c r="H2125" s="6" t="str">
        <x:v>swiss-1785-Q08</x:v>
      </x:c>
      <x:c r="I2125" s="6" t="str">
        <x:v>Route planning</x:v>
      </x:c>
      <x:c r="J2125" s="6" t="str">
        <x:v>Warm-up</x:v>
      </x:c>
      <x:c r="K2125" s="6" t="str">
        <x:v>Ordered stops, path for each leg and total metres.</x:v>
      </x:c>
      <x:c r="L2125" s="6" t="str">
        <x:v>T02, T05, T13</x:v>
      </x:c>
      <x:c r="M2125" s="6" t="str">
        <x:v>Visit multiple rooms in the order specified.</x:v>
      </x:c>
      <x:c r="N2125" s="6" t="str">
        <x:v>{"stops":["swiss-1785-F2-S023","swiss-1785-F0-S027","swiss-1785-F1-S030"],"optimal_length_m":87.67,"legs":[{"from_space_id":"swiss-1785-F2-S023","to_space_id":"swiss-1785-F0-S027","optimal_length_m":47.18,"space_path":["swiss-1785-F2-S023","swiss-1785-F2-S025","swiss-1785-F2-S029","swiss-1785-F1-S034","swiss-1785-F0-S035","outside","swiss-1785-F0-S034","swiss-1785-F0-S032","swiss-1785-F0-S027"],"element_path":["swiss-1785-F2-O0089","swiss-1785-F2-O0089","swiss-1785-F2-O0088","swiss-1785-F2-O0088","swiss-1785-V04","swiss-1785-V01","swiss-1785-F0-O0110","swiss-1785-F0-O0110","swiss-1785-F0-O0109","swiss-1785-F0-O0109","swiss-1785-F0-O0021","swiss-1785-F0-O0021","swiss-1785-F0-O0034","swiss-1785-F0-O0034"]},{"from_space_id":"swiss-1785-F0-S027","to_space_id":"swiss-1785-F1-S030","optimal_length_m":40.49,"space_path":["swiss-1785-F0-S027","swiss-1785-F0-S032","swiss-1785-F0-S034","outside","swiss-1785-F0-S035","swiss-1785-F1-S034","swiss-1785-F1-S031","swiss-1785-F1-S028","swiss-1785-F1-S030"],"element_path":["swiss-1785-F0-O0034","swiss-1785-F0-O0034","swiss-1785-F0-O0021","swiss-1785-F0-O0021","swiss-1785-F0-O0109","swiss-1785-F0-O0109","swiss-1785-F0-O0110","swiss-1785-F0-O0110","swiss-1785-V01","swiss-1785-F1-O0060","swiss-1785-F1-O0060","swiss-1785-F1-O0070","swiss-1785-F1-O0070","swiss-1785-F1-O0069","swiss-1785-F1-O0069"]}]}</x:v>
      </x:c>
      <x:c r="O2125" s="6"/>
      <x:c r="P2125" s="6" t="str">
        <x:v>Preserve stated visit order. Do not optimize stop order.</x:v>
      </x:c>
      <x:c r="Q2125" s="15" t="n">
        <x:v>87.67</x:v>
      </x:c>
      <x:c r="R2125" s="6" t="str">
        <x:v>m</x:v>
      </x:c>
      <x:c r="S2125" s="16"/>
      <x:c r="T2125" s="15"/>
      <x:c r="U2125" s="6"/>
      <x:c r="V2125" s="6"/>
      <x:c r="W2125" s="6" t="str">
        <x:v>Existing find_route(via=[...]).</x:v>
      </x:c>
      <x:c r="X2125" s="6" t="str">
        <x:v>data/dev/swiss-1785/questions_basic.jsonl</x:v>
      </x:c>
      <x:c r="Y2125" s="14" t="n">
        <x:v>8</x:v>
      </x:c>
      <x:c r="Z2125" s="6" t="str">
        <x:v>https://github.com/hagenhaeussler/Industrial-Agents-Hackathon-2026/blob/f41616590b69f3ea0c1cbfb41d6c35edd9ce53df/data/dev/swiss-1785/questions_basic.jsonl#L8</x:v>
      </x:c>
      <x:c r="AA2125" s="6" t="str">
        <x:v>swiss_dwellings</x:v>
      </x:c>
      <x:c r="AB2125" s="6" t="str">
        <x:v>CC-BY-4.0</x:v>
      </x:c>
    </x:row>
    <x:row r="2126" ht="208" customHeight="1">
      <x:c r="A2126" s="14" t="n">
        <x:v>2121</x:v>
      </x:c>
      <x:c r="B2126" s="6" t="str">
        <x:v>tour</x:v>
      </x:c>
      <x:c r="C2126" s="6" t="str">
        <x:v>Starting at Bedroom 2.05 (apartment 9) (Floor 2), visit Kitchen 0.07 (apartment 1) (Ground floor), then Bathroom 2.16 (apartment 10) (Floor 2) in this order. What is the route?</x:v>
      </x:c>
      <x:c r="D2126" s="6" t="str">
        <x:v>101.22 m total
Stops: Bedroom 2.05 (apartment 9) → Kitchen 0.07 (apartment 1) → Bathroom 2.16 (apartment 10)
Leg lengths (m): 51.04, 50.18
Full paths are in Answer JSON.</x:v>
      </x:c>
      <x:c r="E2126" s="6" t="str">
        <x:v>Reference supplied</x:v>
      </x:c>
      <x:c r="F2126" s="6" t="str">
        <x:v>dev</x:v>
      </x:c>
      <x:c r="G2126" s="6" t="str">
        <x:v>swiss-203</x:v>
      </x:c>
      <x:c r="H2126" s="6" t="str">
        <x:v>swiss-203-Q07</x:v>
      </x:c>
      <x:c r="I2126" s="6" t="str">
        <x:v>Route planning</x:v>
      </x:c>
      <x:c r="J2126" s="6" t="str">
        <x:v>Warm-up</x:v>
      </x:c>
      <x:c r="K2126" s="6" t="str">
        <x:v>Ordered stops, path for each leg and total metres.</x:v>
      </x:c>
      <x:c r="L2126" s="6" t="str">
        <x:v>T02, T05, T13</x:v>
      </x:c>
      <x:c r="M2126" s="6" t="str">
        <x:v>Visit multiple rooms in the order specified.</x:v>
      </x:c>
      <x:c r="N2126" s="6" t="str">
        <x:v>{"stops":["swiss-203-F2-S005","swiss-203-F0-S007","swiss-203-F2-S016"],"optimal_length_m":101.22,"legs":[{"from_space_id":"swiss-203-F2-S005","to_space_id":"swiss-203-F0-S007","optimal_length_m":51.04,"space_path":["swiss-203-F2-S005","swiss-203-F2-S003","swiss-203-F2-S006","swiss-203-F2-S033","swiss-203-F1-S033","swiss-203-F0-S035","outside","swiss-203-F0-S033","swiss-203-F0-S004","swiss-203-F0-S007"],"element_path":["swiss-203-F2-O0073","swiss-203-F2-O0073","swiss-203-F2-O0099","swiss-203-F2-O0099","swiss-203-F2-O0072","swiss-203-F2-O0072","swiss-203-V05","swiss-203-V02","swiss-203-F0-O0139","swiss-203-F0-O0139","swiss-203-F0-O0137","swiss-203-F0-O0137","swiss-203-F0-O0006","swiss-203-F0-O0006","swiss-203-F0-O0004","swiss-203-F0-O0004"]},{"from_space_id":"swiss-203-F0-S007","to_space_id":"swiss-203-F2-S016","optimal_length_m":50.18,"space_path":["swiss-203-F0-S007","swiss-203-F0-S004","swiss-203-F0-S033","swiss-203-F1-S036","swiss-203-F2-S034","swiss-203-F2-S013","swiss-203-F2-S011","swiss-203-F2-S016"],"element_path":["swiss-203-F0-O0004","swiss-203-F0-O0004","swiss-203-F0-O0006","swiss-203-F0-O0006","swiss-203-V01","swiss-203-V01","swiss-203-F2-O0082","swiss-203-F2-O0082","swiss-203-F2-O0100","swiss-203-F2-O0100","swiss-203-F2-O0078","swiss-203-F2-O0078"]}]}</x:v>
      </x:c>
      <x:c r="O2126" s="6"/>
      <x:c r="P2126" s="6" t="str">
        <x:v>Preserve stated visit order. Do not optimize stop order.</x:v>
      </x:c>
      <x:c r="Q2126" s="15" t="n">
        <x:v>101.22</x:v>
      </x:c>
      <x:c r="R2126" s="6" t="str">
        <x:v>m</x:v>
      </x:c>
      <x:c r="S2126" s="16"/>
      <x:c r="T2126" s="15"/>
      <x:c r="U2126" s="6"/>
      <x:c r="V2126" s="6"/>
      <x:c r="W2126" s="6" t="str">
        <x:v>Existing find_route(via=[...]).</x:v>
      </x:c>
      <x:c r="X2126" s="6" t="str">
        <x:v>data/dev/swiss-203/questions_basic.jsonl</x:v>
      </x:c>
      <x:c r="Y2126" s="14" t="n">
        <x:v>7</x:v>
      </x:c>
      <x:c r="Z2126" s="6" t="str">
        <x:v>https://github.com/hagenhaeussler/Industrial-Agents-Hackathon-2026/blob/f41616590b69f3ea0c1cbfb41d6c35edd9ce53df/data/dev/swiss-203/questions_basic.jsonl#L7</x:v>
      </x:c>
      <x:c r="AA2126" s="6" t="str">
        <x:v>swiss_dwellings</x:v>
      </x:c>
      <x:c r="AB2126" s="6" t="str">
        <x:v>CC-BY-4.0</x:v>
      </x:c>
    </x:row>
    <x:row r="2127" ht="180" customHeight="1">
      <x:c r="A2127" s="14" t="n">
        <x:v>2122</x:v>
      </x:c>
      <x:c r="B2127" s="6" t="str">
        <x:v>tour</x:v>
      </x:c>
      <x:c r="C2127" s="6" t="str">
        <x:v>Starting at Bathroom 2.02 (apartment 5) (Floor 2), visit Kitchen 2.13 (apartment 6) (Floor 2), then Bedroom 1.10 (apartment 4) (Floor 1) in this order. What is the route?</x:v>
      </x:c>
      <x:c r="D2127" s="6" t="str">
        <x:v>40.63 m total
Stops: Bathroom 2.02 (apartment 5) → Kitchen 2.13 (apartment 6) → Bedroom 1.10 (apartment 4)
Leg lengths (m): 14.4, 26.23
Full paths are in Answer JSON.</x:v>
      </x:c>
      <x:c r="E2127" s="6" t="str">
        <x:v>Reference supplied</x:v>
      </x:c>
      <x:c r="F2127" s="6" t="str">
        <x:v>dev</x:v>
      </x:c>
      <x:c r="G2127" s="6" t="str">
        <x:v>swiss-2074</x:v>
      </x:c>
      <x:c r="H2127" s="6" t="str">
        <x:v>swiss-2074-Q09</x:v>
      </x:c>
      <x:c r="I2127" s="6" t="str">
        <x:v>Route planning</x:v>
      </x:c>
      <x:c r="J2127" s="6" t="str">
        <x:v>Warm-up</x:v>
      </x:c>
      <x:c r="K2127" s="6" t="str">
        <x:v>Ordered stops, path for each leg and total metres.</x:v>
      </x:c>
      <x:c r="L2127" s="6" t="str">
        <x:v>T02, T05, T13</x:v>
      </x:c>
      <x:c r="M2127" s="6" t="str">
        <x:v>Visit multiple rooms in the order specified.</x:v>
      </x:c>
      <x:c r="N2127" s="6" t="str">
        <x:v>{"stops":["swiss-2074-F2-S002","swiss-2074-F2-S013","swiss-2074-F1-S010"],"optimal_length_m":40.63,"legs":[{"from_space_id":"swiss-2074-F2-S002","to_space_id":"swiss-2074-F2-S013","optimal_length_m":14.4,"space_path":["swiss-2074-F2-S002","swiss-2074-F2-S005","swiss-2074-F2-S016","swiss-2074-F2-S017","swiss-2074-F2-S014","swiss-2074-F2-S013"],"element_path":["swiss-2074-F2-O0034","swiss-2074-F2-O0034","swiss-2074-F2-O0037","swiss-2074-F2-O0037","swiss-2074-F2-O0033","swiss-2074-F2-O0033","swiss-2074-F2-O0041","swiss-2074-F2-O0041","swiss-2074-F2-O0045","swiss-2074-F2-O0045"]},{"from_space_id":"swiss-2074-F2-S013","to_space_id":"swiss-2074-F1-S010","optimal_length_m":26.23,"space_path":["swiss-2074-F2-S013","swiss-2074-F2-S014","swiss-2074-F2-S017","swiss-2074-F1-S017","swiss-2074-F1-S013","swiss-2074-F1-S010"],"element_path":["swiss-2074-F2-O0045","swiss-2074-F2-O0045","swiss-2074-F2-O0041","swiss-2074-F2-O0041","swiss-2074-V03","swiss-2074-F1-O0032","swiss-2074-F1-O0032","swiss-2074-F1-O0028","swiss-2074-F1-O0028"]}]}</x:v>
      </x:c>
      <x:c r="O2127" s="6"/>
      <x:c r="P2127" s="6" t="str">
        <x:v>Preserve stated visit order. Do not optimize stop order.</x:v>
      </x:c>
      <x:c r="Q2127" s="15" t="n">
        <x:v>40.63</x:v>
      </x:c>
      <x:c r="R2127" s="6" t="str">
        <x:v>m</x:v>
      </x:c>
      <x:c r="S2127" s="16"/>
      <x:c r="T2127" s="15"/>
      <x:c r="U2127" s="6"/>
      <x:c r="V2127" s="6"/>
      <x:c r="W2127" s="6" t="str">
        <x:v>Existing find_route(via=[...]).</x:v>
      </x:c>
      <x:c r="X2127" s="6" t="str">
        <x:v>data/dev/swiss-2074/questions_basic.jsonl</x:v>
      </x:c>
      <x:c r="Y2127" s="14" t="n">
        <x:v>9</x:v>
      </x:c>
      <x:c r="Z2127" s="6" t="str">
        <x:v>https://github.com/hagenhaeussler/Industrial-Agents-Hackathon-2026/blob/f41616590b69f3ea0c1cbfb41d6c35edd9ce53df/data/dev/swiss-2074/questions_basic.jsonl#L9</x:v>
      </x:c>
      <x:c r="AA2127" s="6" t="str">
        <x:v>swiss_dwellings</x:v>
      </x:c>
      <x:c r="AB2127" s="6" t="str">
        <x:v>CC-BY-4.0</x:v>
      </x:c>
    </x:row>
    <x:row r="2128" ht="208" customHeight="1">
      <x:c r="A2128" s="14" t="n">
        <x:v>2123</x:v>
      </x:c>
      <x:c r="B2128" s="6" t="str">
        <x:v>tour</x:v>
      </x:c>
      <x:c r="C2128" s="6" t="str">
        <x:v>Starting at Bedroom 2.06 (apartment 9) (Floor 2), visit Bedroom 4.19 (apartment 19) (Floor 4), then Bedroom 4.25 (apartment 19) (Floor 4) in this order. What is the route?</x:v>
      </x:c>
      <x:c r="D2128" s="6" t="str">
        <x:v>106.7 m total
Stops: Bedroom 2.06 (apartment 9) → Bedroom 4.19 (apartment 19) → Bedroom 4.25 (apartment 19)
Leg lengths (m): 96.23, 10.47
Full paths are in Answer JSON.</x:v>
      </x:c>
      <x:c r="E2128" s="6" t="str">
        <x:v>Reference supplied</x:v>
      </x:c>
      <x:c r="F2128" s="6" t="str">
        <x:v>dev</x:v>
      </x:c>
      <x:c r="G2128" s="6" t="str">
        <x:v>swiss-2211</x:v>
      </x:c>
      <x:c r="H2128" s="6" t="str">
        <x:v>swiss-2211-Q07</x:v>
      </x:c>
      <x:c r="I2128" s="6" t="str">
        <x:v>Route planning</x:v>
      </x:c>
      <x:c r="J2128" s="6" t="str">
        <x:v>Warm-up</x:v>
      </x:c>
      <x:c r="K2128" s="6" t="str">
        <x:v>Ordered stops, path for each leg and total metres.</x:v>
      </x:c>
      <x:c r="L2128" s="6" t="str">
        <x:v>T02, T05, T13</x:v>
      </x:c>
      <x:c r="M2128" s="6" t="str">
        <x:v>Visit multiple rooms in the order specified.</x:v>
      </x:c>
      <x:c r="N2128" s="6" t="str">
        <x:v>{"stops":["swiss-2211-F2-S006","swiss-2211-F4-S019","swiss-2211-F4-S025"],"optimal_length_m":106.7,"legs":[{"from_space_id":"swiss-2211-F2-S006","to_space_id":"swiss-2211-F4-S019","optimal_length_m":96.23,"space_path":["swiss-2211-F2-S006","swiss-2211-F2-S005","swiss-2211-F2-S038","swiss-2211-F1-S039","swiss-2211-F0-S038","swiss-2211-F1-S038","swiss-2211-F2-S039","swiss-2211-F3-S038","swiss-2211-F4-S041","swiss-2211-F4-S018","swiss-2211-F4-S017","swiss-2211-F4-S024","swiss-2211-F4-S019"],"element_path":["swiss-2211-F2-O0090","swiss-2211-F2-O0090","swiss-2211-F2-O0082","swiss-2211-F2-O0082","swiss-2211-V01","swiss-2211-V01","swiss-2211-V03","swiss-2211-V05","swiss-2211-V07","swiss-2211-V10","swiss-2211-F4-O0181","swiss-2211-F4-O0181","swiss-2211-F4-O0178","swiss-2211-F4-O0178","swiss-2211-F4-O0183","swiss-2211-F4-O0183","swiss-2211-F4-O0180","swiss-2211-F4-O0180"]},{"from_space_id":"swiss-2211-F4-S019","to_space_id":"swiss-2211-F4-S025","optimal_length_m":10.47,"space_path":["swiss-2211-F4-S019","swiss-2211-F4-S024","swiss-2211-F4-S017","swiss-2211-F4-S025"],"element_path":["swiss-2211-F4-O0180","swiss-2211-F4-O0180","swiss-2211-F4-O0183","swiss-2211-F4-O0183","swiss-2211-F4-O0177","swiss-2211-F4-O0177"]}]}</x:v>
      </x:c>
      <x:c r="O2128" s="6"/>
      <x:c r="P2128" s="6" t="str">
        <x:v>Preserve stated visit order. Do not optimize stop order.</x:v>
      </x:c>
      <x:c r="Q2128" s="15" t="n">
        <x:v>106.7</x:v>
      </x:c>
      <x:c r="R2128" s="6" t="str">
        <x:v>m</x:v>
      </x:c>
      <x:c r="S2128" s="16"/>
      <x:c r="T2128" s="15"/>
      <x:c r="U2128" s="6"/>
      <x:c r="V2128" s="6"/>
      <x:c r="W2128" s="6" t="str">
        <x:v>Existing find_route(via=[...]).</x:v>
      </x:c>
      <x:c r="X2128" s="6" t="str">
        <x:v>data/dev/swiss-2211/questions_basic.jsonl</x:v>
      </x:c>
      <x:c r="Y2128" s="14" t="n">
        <x:v>7</x:v>
      </x:c>
      <x:c r="Z2128" s="6" t="str">
        <x:v>https://github.com/hagenhaeussler/Industrial-Agents-Hackathon-2026/blob/f41616590b69f3ea0c1cbfb41d6c35edd9ce53df/data/dev/swiss-2211/questions_basic.jsonl#L7</x:v>
      </x:c>
      <x:c r="AA2128" s="6" t="str">
        <x:v>swiss_dwellings</x:v>
      </x:c>
      <x:c r="AB2128" s="6" t="str">
        <x:v>CC-BY-4.0</x:v>
      </x:c>
    </x:row>
    <x:row r="2129" ht="194" customHeight="1">
      <x:c r="A2129" s="14" t="n">
        <x:v>2124</x:v>
      </x:c>
      <x:c r="B2129" s="6" t="str">
        <x:v>tour</x:v>
      </x:c>
      <x:c r="C2129" s="6" t="str">
        <x:v>Starting at Kitchen 3.11 (apartment 8) (Floor 3), visit Kitchen 3.04 (apartment 7) (Floor 3), then Bathroom 1.10 (apartment 4) (Floor 1) in this order. What is the route?</x:v>
      </x:c>
      <x:c r="D2129" s="6" t="str">
        <x:v>63.37 m total
Stops: Kitchen 3.11 (apartment 8) → Kitchen 3.04 (apartment 7) → Bathroom 1.10 (apartment 4)
Leg lengths (m): 18.48, 44.89
Full paths are in Answer JSON.</x:v>
      </x:c>
      <x:c r="E2129" s="6" t="str">
        <x:v>Reference supplied</x:v>
      </x:c>
      <x:c r="F2129" s="6" t="str">
        <x:v>dev</x:v>
      </x:c>
      <x:c r="G2129" s="6" t="str">
        <x:v>swiss-2325</x:v>
      </x:c>
      <x:c r="H2129" s="6" t="str">
        <x:v>swiss-2325-Q10</x:v>
      </x:c>
      <x:c r="I2129" s="6" t="str">
        <x:v>Route planning</x:v>
      </x:c>
      <x:c r="J2129" s="6" t="str">
        <x:v>Warm-up</x:v>
      </x:c>
      <x:c r="K2129" s="6" t="str">
        <x:v>Ordered stops, path for each leg and total metres.</x:v>
      </x:c>
      <x:c r="L2129" s="6" t="str">
        <x:v>T02, T05, T13</x:v>
      </x:c>
      <x:c r="M2129" s="6" t="str">
        <x:v>Visit multiple rooms in the order specified.</x:v>
      </x:c>
      <x:c r="N2129" s="6" t="str">
        <x:v>{"stops":["swiss-2325-F3-S011","swiss-2325-F3-S004","swiss-2325-F1-S010"],"optimal_length_m":63.37,"legs":[{"from_space_id":"swiss-2325-F3-S011","to_space_id":"swiss-2325-F3-S004","optimal_length_m":18.48,"space_path":["swiss-2325-F3-S011","swiss-2325-F3-S013","swiss-2325-F3-S019","swiss-2325-F3-S018","swiss-2325-F3-S006","swiss-2325-F3-S004"],"element_path":["swiss-2325-F3-O0072","swiss-2325-F3-O0072","swiss-2325-F3-O0070","swiss-2325-F3-O0070","swiss-2325-F3-O0055","swiss-2325-F3-O0055","swiss-2325-F3-O0056","swiss-2325-F3-O0056","swiss-2325-F3-O0057","swiss-2325-F3-O0057"]},{"from_space_id":"swiss-2325-F3-S004","to_space_id":"swiss-2325-F1-S010","optimal_length_m":44.89,"space_path":["swiss-2325-F3-S004","swiss-2325-F3-S006","swiss-2325-F3-S018","swiss-2325-F3-S019","swiss-2325-F2-S019","swiss-2325-F1-S019","swiss-2325-F1-S016","swiss-2325-F1-S010"],"element_path":["swiss-2325-F3-O0057","swiss-2325-F3-O0057","swiss-2325-F3-O0056","swiss-2325-F3-O0056","swiss-2325-F3-O0055","swiss-2325-F3-O0055","swiss-2325-V05","swiss-2325-V04","swiss-2325-F1-O0028","swiss-2325-F1-O0028","swiss-2325-F1-O0030","swiss-2325-F1-O0030"]}]}</x:v>
      </x:c>
      <x:c r="O2129" s="6"/>
      <x:c r="P2129" s="6" t="str">
        <x:v>Preserve stated visit order. Do not optimize stop order.</x:v>
      </x:c>
      <x:c r="Q2129" s="15" t="n">
        <x:v>63.37</x:v>
      </x:c>
      <x:c r="R2129" s="6" t="str">
        <x:v>m</x:v>
      </x:c>
      <x:c r="S2129" s="16"/>
      <x:c r="T2129" s="15"/>
      <x:c r="U2129" s="6"/>
      <x:c r="V2129" s="6"/>
      <x:c r="W2129" s="6" t="str">
        <x:v>Existing find_route(via=[...]).</x:v>
      </x:c>
      <x:c r="X2129" s="6" t="str">
        <x:v>data/dev/swiss-2325/questions_basic.jsonl</x:v>
      </x:c>
      <x:c r="Y2129" s="14" t="n">
        <x:v>10</x:v>
      </x:c>
      <x:c r="Z2129" s="6" t="str">
        <x:v>https://github.com/hagenhaeussler/Industrial-Agents-Hackathon-2026/blob/f41616590b69f3ea0c1cbfb41d6c35edd9ce53df/data/dev/swiss-2325/questions_basic.jsonl#L10</x:v>
      </x:c>
      <x:c r="AA2129" s="6" t="str">
        <x:v>swiss_dwellings</x:v>
      </x:c>
      <x:c r="AB2129" s="6" t="str">
        <x:v>CC-BY-4.0</x:v>
      </x:c>
    </x:row>
    <x:row r="2130" ht="222" customHeight="1">
      <x:c r="A2130" s="14" t="n">
        <x:v>2125</x:v>
      </x:c>
      <x:c r="B2130" s="6" t="str">
        <x:v>tour</x:v>
      </x:c>
      <x:c r="C2130" s="6" t="str">
        <x:v>Starting at Bedroom 3.19 (apartment 15) (Floor 3), visit Bathroom 0.11 (apartment 2) (Ground floor), then Bathroom 0.18 (apartment 3) (Ground floor) in this order. What is the route?</x:v>
      </x:c>
      <x:c r="D2130" s="6" t="str">
        <x:v>82.68 m total
Stops: Bedroom 3.19 (apartment 15) → Bathroom 0.11 (apartment 2) → Bathroom 0.18 (apartment 3)
Leg lengths (m): 57.58, 25.1
Full paths are in Answer JSON.</x:v>
      </x:c>
      <x:c r="E2130" s="6" t="str">
        <x:v>Reference supplied</x:v>
      </x:c>
      <x:c r="F2130" s="6" t="str">
        <x:v>dev</x:v>
      </x:c>
      <x:c r="G2130" s="6" t="str">
        <x:v>swiss-31</x:v>
      </x:c>
      <x:c r="H2130" s="6" t="str">
        <x:v>swiss-31-Q08</x:v>
      </x:c>
      <x:c r="I2130" s="6" t="str">
        <x:v>Route planning</x:v>
      </x:c>
      <x:c r="J2130" s="6" t="str">
        <x:v>Warm-up</x:v>
      </x:c>
      <x:c r="K2130" s="6" t="str">
        <x:v>Ordered stops, path for each leg and total metres.</x:v>
      </x:c>
      <x:c r="L2130" s="6" t="str">
        <x:v>T02, T05, T13</x:v>
      </x:c>
      <x:c r="M2130" s="6" t="str">
        <x:v>Visit multiple rooms in the order specified.</x:v>
      </x:c>
      <x:c r="N2130" s="6" t="str">
        <x:v>{"stops":["swiss-31-F3-S019","swiss-31-F0-S011","swiss-31-F0-S018"],"optimal_length_m":82.68,"legs":[{"from_space_id":"swiss-31-F3-S019","to_space_id":"swiss-31-F0-S011","optimal_length_m":57.58,"space_path":["swiss-31-F3-S019","swiss-31-F3-S020","swiss-31-F3-S033","swiss-31-F2-S031","swiss-31-F1-S031","swiss-31-F0-S027","outside","swiss-31-F0-S028","swiss-31-F0-S006","swiss-31-F0-S013","swiss-31-F0-S011"],"element_path":["swiss-31-F3-O0104","swiss-31-F3-O0104","swiss-31-F3-O0106","swiss-31-F3-O0106","swiss-31-V01","swiss-31-V01","swiss-31-V01","swiss-31-F0-O0121","swiss-31-F0-O0121","swiss-31-F0-O0122","swiss-31-F0-O0122","swiss-31-F0-O0011","swiss-31-F0-O0011","swiss-31-F0-O0023","swiss-31-F0-O0023","swiss-31-F0-O0008","swiss-31-F0-O0008"]},{"from_space_id":"swiss-31-F0-S011","to_space_id":"swiss-31-F0-S018","optimal_length_m":25.1,"space_path":["swiss-31-F0-S011","swiss-31-F0-S013","swiss-31-F0-S006","swiss-31-F0-S028","outside","swiss-31-F0-S029","swiss-31-F0-S014","swiss-31-F0-S017","swiss-31-F0-S018"],"element_path":["swiss-31-F0-O0008","swiss-31-F0-O0008","swiss-31-F0-O0023","swiss-31-F0-O0023","swiss-31-F0-O0011","swiss-31-F0-O0011","swiss-31-F0-O0122","swiss-31-F0-O0122","swiss-31-F0-O0123","swiss-31-F0-O0123","swiss-31-F0-O0013","swiss-31-F0-O0013","swiss-31-F0-O0025","swiss-31-F0-O0025","swiss-31-F0-O0014","swiss-31-F0-O0014"]}]}</x:v>
      </x:c>
      <x:c r="O2130" s="6"/>
      <x:c r="P2130" s="6" t="str">
        <x:v>Preserve stated visit order. Do not optimize stop order.</x:v>
      </x:c>
      <x:c r="Q2130" s="15" t="n">
        <x:v>82.68</x:v>
      </x:c>
      <x:c r="R2130" s="6" t="str">
        <x:v>m</x:v>
      </x:c>
      <x:c r="S2130" s="16"/>
      <x:c r="T2130" s="15"/>
      <x:c r="U2130" s="6"/>
      <x:c r="V2130" s="6"/>
      <x:c r="W2130" s="6" t="str">
        <x:v>Existing find_route(via=[...]).</x:v>
      </x:c>
      <x:c r="X2130" s="6" t="str">
        <x:v>data/dev/swiss-31/questions_basic.jsonl</x:v>
      </x:c>
      <x:c r="Y2130" s="14" t="n">
        <x:v>8</x:v>
      </x:c>
      <x:c r="Z2130" s="6" t="str">
        <x:v>https://github.com/hagenhaeussler/Industrial-Agents-Hackathon-2026/blob/f41616590b69f3ea0c1cbfb41d6c35edd9ce53df/data/dev/swiss-31/questions_basic.jsonl#L8</x:v>
      </x:c>
      <x:c r="AA2130" s="6" t="str">
        <x:v>swiss_dwellings</x:v>
      </x:c>
      <x:c r="AB2130" s="6" t="str">
        <x:v>CC-BY-4.0</x:v>
      </x:c>
    </x:row>
    <x:row r="2131" ht="208" customHeight="1">
      <x:c r="A2131" s="14" t="n">
        <x:v>2126</x:v>
      </x:c>
      <x:c r="B2131" s="6" t="str">
        <x:v>tour</x:v>
      </x:c>
      <x:c r="C2131" s="6" t="str">
        <x:v>Starting at Living room 0.04 (apartment 1) (Ground floor), visit Kitchen 1.09 (apartment 3) (Floor 1), then Living room 2.08 (apartment 5) (Floor 2) in this order. What is the route?</x:v>
      </x:c>
      <x:c r="D2131" s="6" t="str">
        <x:v>78.16 m total
Stops: Living room 0.04 (apartment 1) → Kitchen 1.09 (apartment 3) → Living room 2.08 (apartment 5)
Leg lengths (m): 39.43, 38.73
Full paths are in Answer JSON.</x:v>
      </x:c>
      <x:c r="E2131" s="6" t="str">
        <x:v>Reference supplied</x:v>
      </x:c>
      <x:c r="F2131" s="6" t="str">
        <x:v>dev</x:v>
      </x:c>
      <x:c r="G2131" s="6" t="str">
        <x:v>swiss-3254</x:v>
      </x:c>
      <x:c r="H2131" s="6" t="str">
        <x:v>swiss-3254-Q09</x:v>
      </x:c>
      <x:c r="I2131" s="6" t="str">
        <x:v>Route planning</x:v>
      </x:c>
      <x:c r="J2131" s="6" t="str">
        <x:v>Warm-up</x:v>
      </x:c>
      <x:c r="K2131" s="6" t="str">
        <x:v>Ordered stops, path for each leg and total metres.</x:v>
      </x:c>
      <x:c r="L2131" s="6" t="str">
        <x:v>T02, T05, T13</x:v>
      </x:c>
      <x:c r="M2131" s="6" t="str">
        <x:v>Visit multiple rooms in the order specified.</x:v>
      </x:c>
      <x:c r="N2131" s="6" t="str">
        <x:v>{"stops":["swiss-3254-F0-S004","swiss-3254-F1-S009","swiss-3254-F2-S008"],"optimal_length_m":78.16,"legs":[{"from_space_id":"swiss-3254-F0-S004","to_space_id":"swiss-3254-F1-S009","optimal_length_m":39.43,"space_path":["swiss-3254-F0-S004","swiss-3254-F0-S001","swiss-3254-F0-S019","swiss-3254-F1-S019","swiss-3254-F1-S004","swiss-3254-F1-S008","swiss-3254-F1-S009"],"element_path":["swiss-3254-F0-O0008","swiss-3254-F0-O0008","swiss-3254-F0-O0003","swiss-3254-F0-O0003","swiss-3254-V02","swiss-3254-F1-O0026","swiss-3254-F1-O0026","swiss-3254-F1-O0021","swiss-3254-F1-O0021","swiss-3254-F1-O0023","swiss-3254-F1-O0023"]},{"from_space_id":"swiss-3254-F1-S009","to_space_id":"swiss-3254-F2-S008","optimal_length_m":38.73,"space_path":["swiss-3254-F1-S009","swiss-3254-F1-S008","swiss-3254-F1-S004","swiss-3254-F1-S019","swiss-3254-F1-S020","swiss-3254-F2-S019","swiss-3254-F2-S002","swiss-3254-F2-S008"],"element_path":["swiss-3254-F1-O0023","swiss-3254-F1-O0023","swiss-3254-F1-O0021","swiss-3254-F1-O0021","swiss-3254-F1-O0026","swiss-3254-F1-O0026","swiss-3254-F1-O0020","swiss-3254-F1-O0020","swiss-3254-V01","swiss-3254-F2-O0044","swiss-3254-F2-O0044","swiss-3254-F2-O0039","swiss-3254-F2-O0039"]}]}</x:v>
      </x:c>
      <x:c r="O2131" s="6"/>
      <x:c r="P2131" s="6" t="str">
        <x:v>Preserve stated visit order. Do not optimize stop order.</x:v>
      </x:c>
      <x:c r="Q2131" s="15" t="n">
        <x:v>78.16</x:v>
      </x:c>
      <x:c r="R2131" s="6" t="str">
        <x:v>m</x:v>
      </x:c>
      <x:c r="S2131" s="16"/>
      <x:c r="T2131" s="15"/>
      <x:c r="U2131" s="6"/>
      <x:c r="V2131" s="6"/>
      <x:c r="W2131" s="6" t="str">
        <x:v>Existing find_route(via=[...]).</x:v>
      </x:c>
      <x:c r="X2131" s="6" t="str">
        <x:v>data/dev/swiss-3254/questions_basic.jsonl</x:v>
      </x:c>
      <x:c r="Y2131" s="14" t="n">
        <x:v>9</x:v>
      </x:c>
      <x:c r="Z2131" s="6" t="str">
        <x:v>https://github.com/hagenhaeussler/Industrial-Agents-Hackathon-2026/blob/f41616590b69f3ea0c1cbfb41d6c35edd9ce53df/data/dev/swiss-3254/questions_basic.jsonl#L9</x:v>
      </x:c>
      <x:c r="AA2131" s="6" t="str">
        <x:v>swiss_dwellings</x:v>
      </x:c>
      <x:c r="AB2131" s="6" t="str">
        <x:v>CC-BY-4.0</x:v>
      </x:c>
    </x:row>
    <x:row r="2132" ht="180" customHeight="1">
      <x:c r="A2132" s="14" t="n">
        <x:v>2127</x:v>
      </x:c>
      <x:c r="B2132" s="6" t="str">
        <x:v>tour</x:v>
      </x:c>
      <x:c r="C2132" s="6" t="str">
        <x:v>Starting at Bedroom 1.03 (apartment 2) (Floor 1), visit Kitchen 3.03 (apartment 9) (Floor 3), then Bedroom 0.05 (apartment 1) (Ground floor) in this order. What is the route?</x:v>
      </x:c>
      <x:c r="D2132" s="6" t="str">
        <x:v>78.97 m total
Stops: Bedroom 1.03 (apartment 2) → Kitchen 3.03 (apartment 9) → Bedroom 0.05 (apartment 1)
Leg lengths (m): 32.62, 46.35
Full paths are in Answer JSON.</x:v>
      </x:c>
      <x:c r="E2132" s="6" t="str">
        <x:v>Reference supplied</x:v>
      </x:c>
      <x:c r="F2132" s="6" t="str">
        <x:v>dev</x:v>
      </x:c>
      <x:c r="G2132" s="6" t="str">
        <x:v>swiss-450</x:v>
      </x:c>
      <x:c r="H2132" s="6" t="str">
        <x:v>swiss-450-Q10</x:v>
      </x:c>
      <x:c r="I2132" s="6" t="str">
        <x:v>Route planning</x:v>
      </x:c>
      <x:c r="J2132" s="6" t="str">
        <x:v>Warm-up</x:v>
      </x:c>
      <x:c r="K2132" s="6" t="str">
        <x:v>Ordered stops, path for each leg and total metres.</x:v>
      </x:c>
      <x:c r="L2132" s="6" t="str">
        <x:v>T02, T05, T13</x:v>
      </x:c>
      <x:c r="M2132" s="6" t="str">
        <x:v>Visit multiple rooms in the order specified.</x:v>
      </x:c>
      <x:c r="N2132" s="6" t="str">
        <x:v>{"stops":["swiss-450-F1-S003","swiss-450-F3-S003","swiss-450-F0-S005"],"optimal_length_m":78.97,"legs":[{"from_space_id":"swiss-450-F1-S003","to_space_id":"swiss-450-F3-S003","optimal_length_m":32.62,"space_path":["swiss-450-F1-S003","swiss-450-F1-S002","swiss-450-F1-S020","swiss-450-F2-S022","swiss-450-F3-S008","swiss-450-F3-S003"],"element_path":["swiss-450-F1-O0017","swiss-450-F1-O0017","swiss-450-F1-O0012","swiss-450-F1-O0012","swiss-450-V01","swiss-450-V02","swiss-450-F3-O0060","swiss-450-F3-O0060"]},{"from_space_id":"swiss-450-F3-S003","to_space_id":"swiss-450-F0-S005","optimal_length_m":46.35,"space_path":["swiss-450-F3-S003","swiss-450-F3-S008","swiss-450-F2-S022","swiss-450-F1-S020","swiss-450-F0-S010","swiss-450-F0-S009","swiss-450-F0-S007","swiss-450-F0-S005"],"element_path":["swiss-450-F3-O0060","swiss-450-F3-O0060","swiss-450-V02","swiss-450-V01","swiss-450-V01","swiss-450-F0-O0002","swiss-450-F0-O0002","swiss-450-F0-O0001","swiss-450-F0-O0001","swiss-450-F0-O0003","swiss-450-F0-O0003"]}]}</x:v>
      </x:c>
      <x:c r="O2132" s="6"/>
      <x:c r="P2132" s="6" t="str">
        <x:v>Preserve stated visit order. Do not optimize stop order.</x:v>
      </x:c>
      <x:c r="Q2132" s="15" t="n">
        <x:v>78.97</x:v>
      </x:c>
      <x:c r="R2132" s="6" t="str">
        <x:v>m</x:v>
      </x:c>
      <x:c r="S2132" s="16"/>
      <x:c r="T2132" s="15"/>
      <x:c r="U2132" s="6"/>
      <x:c r="V2132" s="6"/>
      <x:c r="W2132" s="6" t="str">
        <x:v>Existing find_route(via=[...]).</x:v>
      </x:c>
      <x:c r="X2132" s="6" t="str">
        <x:v>data/dev/swiss-450/questions_basic.jsonl</x:v>
      </x:c>
      <x:c r="Y2132" s="14" t="n">
        <x:v>10</x:v>
      </x:c>
      <x:c r="Z2132" s="6" t="str">
        <x:v>https://github.com/hagenhaeussler/Industrial-Agents-Hackathon-2026/blob/f41616590b69f3ea0c1cbfb41d6c35edd9ce53df/data/dev/swiss-450/questions_basic.jsonl#L10</x:v>
      </x:c>
      <x:c r="AA2132" s="6" t="str">
        <x:v>swiss_dwellings</x:v>
      </x:c>
      <x:c r="AB2132" s="6" t="str">
        <x:v>CC-BY-4.0</x:v>
      </x:c>
    </x:row>
    <x:row r="2133" ht="180" customHeight="1">
      <x:c r="A2133" s="14" t="n">
        <x:v>2128</x:v>
      </x:c>
      <x:c r="B2133" s="6" t="str">
        <x:v>tour</x:v>
      </x:c>
      <x:c r="C2133" s="6" t="str">
        <x:v>Starting at Bedroom 2.02 (apartment 5) (Floor 2), visit Bedroom 4.06 (apartment 9) (Floor 4), then Bedroom 2.09 (apartment 5) (Floor 2) in this order. What is the route?</x:v>
      </x:c>
      <x:c r="D2133" s="6" t="str">
        <x:v>93.42 m total
Stops: Bedroom 2.02 (apartment 5) → Bedroom 4.06 (apartment 9) → Bedroom 2.09 (apartment 5)
Leg lengths (m): 47.36, 46.06
Full paths are in Answer JSON.</x:v>
      </x:c>
      <x:c r="E2133" s="6" t="str">
        <x:v>Reference supplied</x:v>
      </x:c>
      <x:c r="F2133" s="6" t="str">
        <x:v>dev</x:v>
      </x:c>
      <x:c r="G2133" s="6" t="str">
        <x:v>swiss-460</x:v>
      </x:c>
      <x:c r="H2133" s="6" t="str">
        <x:v>swiss-460-Q10</x:v>
      </x:c>
      <x:c r="I2133" s="6" t="str">
        <x:v>Route planning</x:v>
      </x:c>
      <x:c r="J2133" s="6" t="str">
        <x:v>Warm-up</x:v>
      </x:c>
      <x:c r="K2133" s="6" t="str">
        <x:v>Ordered stops, path for each leg and total metres.</x:v>
      </x:c>
      <x:c r="L2133" s="6" t="str">
        <x:v>T02, T05, T13</x:v>
      </x:c>
      <x:c r="M2133" s="6" t="str">
        <x:v>Visit multiple rooms in the order specified.</x:v>
      </x:c>
      <x:c r="N2133" s="6" t="str">
        <x:v>{"stops":["swiss-460-F2-S002","swiss-460-F4-S006","swiss-460-F2-S009"],"optimal_length_m":93.42,"legs":[{"from_space_id":"swiss-460-F2-S002","to_space_id":"swiss-460-F4-S006","optimal_length_m":47.36,"space_path":["swiss-460-F2-S002","swiss-460-F2-S007","swiss-460-F2-S018","swiss-460-F3-S018","swiss-460-F4-S018","swiss-460-F4-S001","swiss-460-F4-S006"],"element_path":["swiss-460-F2-O0042","swiss-460-F2-O0042","swiss-460-F2-O0040","swiss-460-F2-O0040","swiss-460-V01","swiss-460-V01","swiss-460-F4-O0076","swiss-460-F4-O0076","swiss-460-F4-O0083","swiss-460-F4-O0083"]},{"from_space_id":"swiss-460-F4-S006","to_space_id":"swiss-460-F2-S009","optimal_length_m":46.06,"space_path":["swiss-460-F4-S006","swiss-460-F4-S001","swiss-460-F4-S018","swiss-460-F3-S018","swiss-460-F2-S018","swiss-460-F2-S007","swiss-460-F2-S009"],"element_path":["swiss-460-F4-O0083","swiss-460-F4-O0083","swiss-460-F4-O0076","swiss-460-F4-O0076","swiss-460-V01","swiss-460-V01","swiss-460-F2-O0040","swiss-460-F2-O0040","swiss-460-F2-O0038","swiss-460-F2-O0038"]}]}</x:v>
      </x:c>
      <x:c r="O2133" s="6"/>
      <x:c r="P2133" s="6" t="str">
        <x:v>Preserve stated visit order. Do not optimize stop order.</x:v>
      </x:c>
      <x:c r="Q2133" s="15" t="n">
        <x:v>93.42</x:v>
      </x:c>
      <x:c r="R2133" s="6" t="str">
        <x:v>m</x:v>
      </x:c>
      <x:c r="S2133" s="16"/>
      <x:c r="T2133" s="15"/>
      <x:c r="U2133" s="6"/>
      <x:c r="V2133" s="6"/>
      <x:c r="W2133" s="6" t="str">
        <x:v>Existing find_route(via=[...]).</x:v>
      </x:c>
      <x:c r="X2133" s="6" t="str">
        <x:v>data/dev/swiss-460/questions_basic.jsonl</x:v>
      </x:c>
      <x:c r="Y2133" s="14" t="n">
        <x:v>10</x:v>
      </x:c>
      <x:c r="Z2133" s="6" t="str">
        <x:v>https://github.com/hagenhaeussler/Industrial-Agents-Hackathon-2026/blob/f41616590b69f3ea0c1cbfb41d6c35edd9ce53df/data/dev/swiss-460/questions_basic.jsonl#L10</x:v>
      </x:c>
      <x:c r="AA2133" s="6" t="str">
        <x:v>swiss_dwellings</x:v>
      </x:c>
      <x:c r="AB2133" s="6" t="str">
        <x:v>CC-BY-4.0</x:v>
      </x:c>
    </x:row>
    <x:row r="2134" ht="208" customHeight="1">
      <x:c r="A2134" s="14" t="n">
        <x:v>2129</x:v>
      </x:c>
      <x:c r="B2134" s="6" t="str">
        <x:v>tour</x:v>
      </x:c>
      <x:c r="C2134" s="6" t="str">
        <x:v>Starting at Living room 0.32 (apartment 11) (Ground floor), visit Living room 0.62 (apartment 17) (Ground floor), then Bedroom 1.51 (apartment 26) (Floor 1) in this order. What is the route?</x:v>
      </x:c>
      <x:c r="D2134" s="6" t="str">
        <x:v>43.98 m total
Stops: Living room 0.32 (apartment 11) → Living room 0.62 (apartment 17) → Bedroom 1.51 (apartment 26)
Leg lengths (m): 16.1, 27.88
Full paths are in Answer JSON.</x:v>
      </x:c>
      <x:c r="E2134" s="6" t="str">
        <x:v>Reference supplied</x:v>
      </x:c>
      <x:c r="F2134" s="6" t="str">
        <x:v>dev</x:v>
      </x:c>
      <x:c r="G2134" s="6" t="str">
        <x:v>swiss-5097</x:v>
      </x:c>
      <x:c r="H2134" s="6" t="str">
        <x:v>swiss-5097-Q08</x:v>
      </x:c>
      <x:c r="I2134" s="6" t="str">
        <x:v>Route planning</x:v>
      </x:c>
      <x:c r="J2134" s="6" t="str">
        <x:v>Warm-up</x:v>
      </x:c>
      <x:c r="K2134" s="6" t="str">
        <x:v>Ordered stops, path for each leg and total metres.</x:v>
      </x:c>
      <x:c r="L2134" s="6" t="str">
        <x:v>T02, T05, T13</x:v>
      </x:c>
      <x:c r="M2134" s="6" t="str">
        <x:v>Visit multiple rooms in the order specified.</x:v>
      </x:c>
      <x:c r="N2134" s="6" t="str">
        <x:v>{"stops":["swiss-5097-F0-S032","swiss-5097-F0-S062","swiss-5097-F1-S051"],"optimal_length_m":43.98,"legs":[{"from_space_id":"swiss-5097-F0-S032","to_space_id":"swiss-5097-F0-S062","optimal_length_m":16.1,"space_path":["swiss-5097-F0-S032","swiss-5097-F0-S030","swiss-5097-F0-S034","swiss-5097-F0-S071","outside","swiss-5097-F0-S077","swiss-5097-F0-S062"],"element_path":["swiss-5097-F0-O0079","swiss-5097-F0-O0079","swiss-5097-F0-O0080","swiss-5097-F0-O0080","swiss-5097-F0-O0047","swiss-5097-F0-O0047","swiss-5097-F0-O0336","swiss-5097-F0-O0336","swiss-5097-F0-O0342","swiss-5097-F0-O0342","swiss-5097-F0-O0068","swiss-5097-F0-O0068"]},{"from_space_id":"swiss-5097-F0-S062","to_space_id":"swiss-5097-F1-S051","optimal_length_m":27.88,"space_path":["swiss-5097-F0-S062","swiss-5097-F0-S077","outside","swiss-5097-F0-S070","swiss-5097-F1-S123","swiss-5097-F1-S055","swiss-5097-F1-S058","swiss-5097-F1-S051"],"element_path":["swiss-5097-F0-O0068","swiss-5097-F0-O0068","swiss-5097-F0-O0342","swiss-5097-F0-O0342","swiss-5097-F0-O0335","swiss-5097-F0-O0335","swiss-5097-V15","swiss-5097-F1-O0135","swiss-5097-F1-O0135","swiss-5097-F1-O0195","swiss-5097-F1-O0195","swiss-5097-F1-O0133","swiss-5097-F1-O0133"]}]}</x:v>
      </x:c>
      <x:c r="O2134" s="6"/>
      <x:c r="P2134" s="6" t="str">
        <x:v>Preserve stated visit order. Do not optimize stop order.</x:v>
      </x:c>
      <x:c r="Q2134" s="15" t="n">
        <x:v>43.98</x:v>
      </x:c>
      <x:c r="R2134" s="6" t="str">
        <x:v>m</x:v>
      </x:c>
      <x:c r="S2134" s="16"/>
      <x:c r="T2134" s="15"/>
      <x:c r="U2134" s="6"/>
      <x:c r="V2134" s="6"/>
      <x:c r="W2134" s="6" t="str">
        <x:v>Existing find_route(via=[...]).</x:v>
      </x:c>
      <x:c r="X2134" s="6" t="str">
        <x:v>data/dev/swiss-5097/questions_basic.jsonl</x:v>
      </x:c>
      <x:c r="Y2134" s="14" t="n">
        <x:v>8</x:v>
      </x:c>
      <x:c r="Z2134" s="6" t="str">
        <x:v>https://github.com/hagenhaeussler/Industrial-Agents-Hackathon-2026/blob/f41616590b69f3ea0c1cbfb41d6c35edd9ce53df/data/dev/swiss-5097/questions_basic.jsonl#L8</x:v>
      </x:c>
      <x:c r="AA2134" s="6" t="str">
        <x:v>swiss_dwellings</x:v>
      </x:c>
      <x:c r="AB2134" s="6" t="str">
        <x:v>CC-BY-4.0</x:v>
      </x:c>
    </x:row>
    <x:row r="2135" ht="180" customHeight="1">
      <x:c r="A2135" s="14" t="n">
        <x:v>2130</x:v>
      </x:c>
      <x:c r="B2135" s="6" t="str">
        <x:v>tour</x:v>
      </x:c>
      <x:c r="C2135" s="6" t="str">
        <x:v>Starting at Bedroom 1.03 (apartment 2) (Floor 1), visit Living room 2.02 (apartment 3) (Floor 2), then Kitchen 0.01 (apartment 1) (Ground floor) in this order. What is the route?</x:v>
      </x:c>
      <x:c r="D2135" s="6" t="str">
        <x:v>65.97 m total
Stops: Bedroom 1.03 (apartment 2) → Living room 2.02 (apartment 3) → Kitchen 0.01 (apartment 1)
Leg lengths (m): 26.93, 39.04
Full paths are in Answer JSON.</x:v>
      </x:c>
      <x:c r="E2135" s="6" t="str">
        <x:v>Reference supplied</x:v>
      </x:c>
      <x:c r="F2135" s="6" t="str">
        <x:v>dev</x:v>
      </x:c>
      <x:c r="G2135" s="6" t="str">
        <x:v>swiss-5462</x:v>
      </x:c>
      <x:c r="H2135" s="6" t="str">
        <x:v>swiss-5462-Q10</x:v>
      </x:c>
      <x:c r="I2135" s="6" t="str">
        <x:v>Route planning</x:v>
      </x:c>
      <x:c r="J2135" s="6" t="str">
        <x:v>Warm-up</x:v>
      </x:c>
      <x:c r="K2135" s="6" t="str">
        <x:v>Ordered stops, path for each leg and total metres.</x:v>
      </x:c>
      <x:c r="L2135" s="6" t="str">
        <x:v>T02, T05, T13</x:v>
      </x:c>
      <x:c r="M2135" s="6" t="str">
        <x:v>Visit multiple rooms in the order specified.</x:v>
      </x:c>
      <x:c r="N2135" s="6" t="str">
        <x:v>{"stops":["swiss-5462-F1-S003","swiss-5462-F2-S002","swiss-5462-F0-S001"],"optimal_length_m":65.97,"legs":[{"from_space_id":"swiss-5462-F1-S003","to_space_id":"swiss-5462-F2-S002","optimal_length_m":26.93,"space_path":["swiss-5462-F1-S003","swiss-5462-F1-S005","swiss-5462-F1-S008","swiss-5462-F2-S007","swiss-5462-F2-S006","swiss-5462-F2-S002"],"element_path":["swiss-5462-F1-O0008","swiss-5462-F1-O0008","swiss-5462-F1-O0013","swiss-5462-F1-O0013","swiss-5462-V01","swiss-5462-F2-O0020","swiss-5462-F2-O0020","swiss-5462-F2-O0018","swiss-5462-F2-O0018"]},{"from_space_id":"swiss-5462-F2-S002","to_space_id":"swiss-5462-F0-S001","optimal_length_m":39.04,"space_path":["swiss-5462-F2-S002","swiss-5462-F2-S006","swiss-5462-F2-S007","swiss-5462-F1-S008","swiss-5462-F0-S007","swiss-5462-F0-S002","swiss-5462-F0-S001"],"element_path":["swiss-5462-F2-O0018","swiss-5462-F2-O0018","swiss-5462-F2-O0020","swiss-5462-F2-O0020","swiss-5462-V01","swiss-5462-V01","swiss-5462-F0-O0006","swiss-5462-F0-O0006","swiss-5462-F0-O0005","swiss-5462-F0-O0005"]}]}</x:v>
      </x:c>
      <x:c r="O2135" s="6"/>
      <x:c r="P2135" s="6" t="str">
        <x:v>Preserve stated visit order. Do not optimize stop order.</x:v>
      </x:c>
      <x:c r="Q2135" s="15" t="n">
        <x:v>65.97</x:v>
      </x:c>
      <x:c r="R2135" s="6" t="str">
        <x:v>m</x:v>
      </x:c>
      <x:c r="S2135" s="16"/>
      <x:c r="T2135" s="15"/>
      <x:c r="U2135" s="6"/>
      <x:c r="V2135" s="6"/>
      <x:c r="W2135" s="6" t="str">
        <x:v>Existing find_route(via=[...]).</x:v>
      </x:c>
      <x:c r="X2135" s="6" t="str">
        <x:v>data/dev/swiss-5462/questions_basic.jsonl</x:v>
      </x:c>
      <x:c r="Y2135" s="14" t="n">
        <x:v>10</x:v>
      </x:c>
      <x:c r="Z2135" s="6" t="str">
        <x:v>https://github.com/hagenhaeussler/Industrial-Agents-Hackathon-2026/blob/f41616590b69f3ea0c1cbfb41d6c35edd9ce53df/data/dev/swiss-5462/questions_basic.jsonl#L10</x:v>
      </x:c>
      <x:c r="AA2135" s="6" t="str">
        <x:v>swiss_dwellings</x:v>
      </x:c>
      <x:c r="AB2135" s="6" t="str">
        <x:v>CC-BY-4.0</x:v>
      </x:c>
    </x:row>
    <x:row r="2136" ht="72" customHeight="1">
      <x:c r="A2136" s="14" t="n">
        <x:v>2131</x:v>
      </x:c>
      <x:c r="B2136" s="6" t="str">
        <x:v>largest_room</x:v>
      </x:c>
      <x:c r="C2136" s="6" t="str">
        <x:v>Which is the largest generic room on the floor 1, and how big is it in m²? Finish with a line 'Answer: &lt;room name or number&gt;, &lt;area&gt; m²'.</x:v>
      </x:c>
      <x:c r="D2136" s="6" t="str">
        <x:v>1.05
Area: 557.68 m²
Space ID: osm-way13507441-F1-S005</x:v>
      </x:c>
      <x:c r="E2136" s="6" t="str">
        <x:v>Reference supplied</x:v>
      </x:c>
      <x:c r="F2136" s="6" t="str">
        <x:v>train</x:v>
      </x:c>
      <x:c r="G2136" s="6" t="str">
        <x:v>osm-way13507441</x:v>
      </x:c>
      <x:c r="H2136" s="6" t="str">
        <x:v>osm-way13507441-H01</x:v>
      </x:c>
      <x:c r="I2136" s="6" t="str">
        <x:v>Area and room selection</x:v>
      </x:c>
      <x:c r="J2136" s="6" t="str">
        <x:v>Benchmark</x:v>
      </x:c>
      <x:c r="K2136" s="6" t="str">
        <x:v>Answer: &lt;accepted room name or ref&gt;, &lt;area&gt; m²</x:v>
      </x:c>
      <x:c r="L2136" s="6" t="str">
        <x:v>T02, T04, T14</x:v>
      </x:c>
      <x:c r="M2136" s="6" t="str">
        <x:v>Choose the largest room of a specified type on a specified floor and give its area.</x:v>
      </x:c>
      <x:c r="N2136" s="6" t="str">
        <x:v>{"type":"space","space_id":"osm-way13507441-F1-S005","accept":["1.05","Festsaal"],"reject":["1.12","Loggia","1.07","Garderobe B","1.06","Garderobe A"],"area":{"type":"number","value":557.68,"unit":"m2","relative_tolerance":0.05,"absolute_tolerance":0}}</x:v>
      </x:c>
      <x:c r="O2136" s="6" t="str">
        <x:v>{"floor_id":"osm-way13507441-F1","room_type":"generic_room"}</x:v>
      </x:c>
      <x:c r="P2136" s="6" t="str">
        <x:v>Exact target floor and room_type. Polygon area in m².</x:v>
      </x:c>
      <x:c r="Q2136" s="15" t="n">
        <x:v>557.68</x:v>
      </x:c>
      <x:c r="R2136" s="6" t="str">
        <x:v>m2</x:v>
      </x:c>
      <x:c r="S2136" s="16" t="n">
        <x:v>0.05</x:v>
      </x:c>
      <x:c r="T2136" s="15" t="n">
        <x:v>0</x:v>
      </x:c>
      <x:c r="U2136" s="6" t="str">
        <x:v>Answer: 1.05, 557.68 m²</x:v>
      </x:c>
      <x:c r="V2136" s="6" t="str">
        <x:v>room geometry: area</x:v>
      </x:c>
      <x:c r="W2136" s="6" t="str">
        <x:v>Missing area/ranking tool. Search alone is insufficient.</x:v>
      </x:c>
      <x:c r="X2136" s="6" t="str">
        <x:v>data/train/osm-way13507441/questions.jsonl</x:v>
      </x:c>
      <x:c r="Y2136" s="14" t="n">
        <x:v>1</x:v>
      </x:c>
      <x:c r="Z2136" s="6" t="str">
        <x:v>https://github.com/hagenhaeussler/Industrial-Agents-Hackathon-2026/blob/f41616590b69f3ea0c1cbfb41d6c35edd9ce53df/data/train/osm-way13507441/questions.jsonl#L1</x:v>
      </x:c>
      <x:c r="AA2136" s="6" t="str">
        <x:v>osm_indoor</x:v>
      </x:c>
      <x:c r="AB2136" s="6" t="str">
        <x:v>ODbL-1.0</x:v>
      </x:c>
    </x:row>
    <x:row r="2137" ht="72" customHeight="1">
      <x:c r="A2137" s="14" t="n">
        <x:v>2132</x:v>
      </x:c>
      <x:c r="B2137" s="6" t="str">
        <x:v>largest_room</x:v>
      </x:c>
      <x:c r="C2137" s="6" t="str">
        <x:v>Which is the largest generic room on the floor 2, and how big is it in m²? Finish with a line 'Answer: &lt;room name or number&gt;, &lt;area&gt; m²'.</x:v>
      </x:c>
      <x:c r="D2137" s="6" t="str">
        <x:v>2408
Area: 106.01 m²
Space ID: osm-way50299720-F2-S003</x:v>
      </x:c>
      <x:c r="E2137" s="6" t="str">
        <x:v>Reference supplied</x:v>
      </x:c>
      <x:c r="F2137" s="6" t="str">
        <x:v>train</x:v>
      </x:c>
      <x:c r="G2137" s="6" t="str">
        <x:v>osm-way50299720</x:v>
      </x:c>
      <x:c r="H2137" s="6" t="str">
        <x:v>osm-way50299720-H01</x:v>
      </x:c>
      <x:c r="I2137" s="6" t="str">
        <x:v>Area and room selection</x:v>
      </x:c>
      <x:c r="J2137" s="6" t="str">
        <x:v>Benchmark</x:v>
      </x:c>
      <x:c r="K2137" s="6" t="str">
        <x:v>Answer: &lt;accepted room name or ref&gt;, &lt;area&gt; m²</x:v>
      </x:c>
      <x:c r="L2137" s="6" t="str">
        <x:v>T02, T04, T14</x:v>
      </x:c>
      <x:c r="M2137" s="6" t="str">
        <x:v>Choose the largest room of a specified type on a specified floor and give its area.</x:v>
      </x:c>
      <x:c r="N2137" s="6" t="str">
        <x:v>{"type":"space","space_id":"osm-way50299720-F2-S003","accept":["2408","Generic room 2408"],"reject":["2418","Generic room 2418","2403","Generic room 2403","2415","Generic room 2415"],"area":{"type":"number","value":106.01,"unit":"m2","relative_tolerance":0.05,"absolute_tolerance":0}}</x:v>
      </x:c>
      <x:c r="O2137" s="6" t="str">
        <x:v>{"floor_id":"osm-way50299720-F2","room_type":"generic_room"}</x:v>
      </x:c>
      <x:c r="P2137" s="6" t="str">
        <x:v>Exact target floor and room_type. Polygon area in m².</x:v>
      </x:c>
      <x:c r="Q2137" s="15" t="n">
        <x:v>106.01</x:v>
      </x:c>
      <x:c r="R2137" s="6" t="str">
        <x:v>m2</x:v>
      </x:c>
      <x:c r="S2137" s="16" t="n">
        <x:v>0.05</x:v>
      </x:c>
      <x:c r="T2137" s="15" t="n">
        <x:v>0</x:v>
      </x:c>
      <x:c r="U2137" s="6" t="str">
        <x:v>Answer: 2408, 106.01 m²</x:v>
      </x:c>
      <x:c r="V2137" s="6" t="str">
        <x:v>room geometry: area</x:v>
      </x:c>
      <x:c r="W2137" s="6" t="str">
        <x:v>Missing area/ranking tool. Search alone is insufficient.</x:v>
      </x:c>
      <x:c r="X2137" s="6" t="str">
        <x:v>data/train/osm-way50299720/questions.jsonl</x:v>
      </x:c>
      <x:c r="Y2137" s="14" t="n">
        <x:v>1</x:v>
      </x:c>
      <x:c r="Z2137" s="6" t="str">
        <x:v>https://github.com/hagenhaeussler/Industrial-Agents-Hackathon-2026/blob/f41616590b69f3ea0c1cbfb41d6c35edd9ce53df/data/train/osm-way50299720/questions.jsonl#L1</x:v>
      </x:c>
      <x:c r="AA2137" s="6" t="str">
        <x:v>osm_indoor</x:v>
      </x:c>
      <x:c r="AB2137" s="6" t="str">
        <x:v>ODbL-1.0</x:v>
      </x:c>
    </x:row>
    <x:row r="2138" ht="72" customHeight="1">
      <x:c r="A2138" s="14" t="n">
        <x:v>2133</x:v>
      </x:c>
      <x:c r="B2138" s="6" t="str">
        <x:v>largest_room</x:v>
      </x:c>
      <x:c r="C2138" s="6" t="str">
        <x:v>Which is the largest generic room on the floor 1, and how big is it in m²? Finish with a line 'Answer: &lt;room name or number&gt;, &lt;area&gt; m²'.</x:v>
      </x:c>
      <x:c r="D2138" s="6" t="str">
        <x:v>1.28
Area: 2524.1 m²
Space ID: osm-way52060470-F1-S028</x:v>
      </x:c>
      <x:c r="E2138" s="6" t="str">
        <x:v>Reference supplied</x:v>
      </x:c>
      <x:c r="F2138" s="6" t="str">
        <x:v>train</x:v>
      </x:c>
      <x:c r="G2138" s="6" t="str">
        <x:v>osm-way52060470</x:v>
      </x:c>
      <x:c r="H2138" s="6" t="str">
        <x:v>osm-way52060470-H01</x:v>
      </x:c>
      <x:c r="I2138" s="6" t="str">
        <x:v>Area and room selection</x:v>
      </x:c>
      <x:c r="J2138" s="6" t="str">
        <x:v>Benchmark</x:v>
      </x:c>
      <x:c r="K2138" s="6" t="str">
        <x:v>Answer: &lt;accepted room name or ref&gt;, &lt;area&gt; m²</x:v>
      </x:c>
      <x:c r="L2138" s="6" t="str">
        <x:v>T02, T04, T14</x:v>
      </x:c>
      <x:c r="M2138" s="6" t="str">
        <x:v>Choose the largest room of a specified type on a specified floor and give its area.</x:v>
      </x:c>
      <x:c r="N2138" s="6" t="str">
        <x:v>{"type":"space","space_id":"osm-way52060470-F1-S028","accept":["1.28","MediaMarkt"],"reject":["1.04","1.11","1.06"],"area":{"type":"number","value":2524.1,"unit":"m2","relative_tolerance":0.05,"absolute_tolerance":0}}</x:v>
      </x:c>
      <x:c r="O2138" s="6" t="str">
        <x:v>{"floor_id":"osm-way52060470-F1","room_type":"generic_room"}</x:v>
      </x:c>
      <x:c r="P2138" s="6" t="str">
        <x:v>Exact target floor and room_type. Polygon area in m².</x:v>
      </x:c>
      <x:c r="Q2138" s="15" t="n">
        <x:v>2524.1</x:v>
      </x:c>
      <x:c r="R2138" s="6" t="str">
        <x:v>m2</x:v>
      </x:c>
      <x:c r="S2138" s="16" t="n">
        <x:v>0.05</x:v>
      </x:c>
      <x:c r="T2138" s="15" t="n">
        <x:v>0</x:v>
      </x:c>
      <x:c r="U2138" s="6" t="str">
        <x:v>Answer: 1.28, 2524.1 m²</x:v>
      </x:c>
      <x:c r="V2138" s="6" t="str">
        <x:v>room geometry: area</x:v>
      </x:c>
      <x:c r="W2138" s="6" t="str">
        <x:v>Missing area/ranking tool. Search alone is insufficient.</x:v>
      </x:c>
      <x:c r="X2138" s="6" t="str">
        <x:v>data/train/osm-way52060470/questions.jsonl</x:v>
      </x:c>
      <x:c r="Y2138" s="14" t="n">
        <x:v>1</x:v>
      </x:c>
      <x:c r="Z2138" s="6" t="str">
        <x:v>https://github.com/hagenhaeussler/Industrial-Agents-Hackathon-2026/blob/f41616590b69f3ea0c1cbfb41d6c35edd9ce53df/data/train/osm-way52060470/questions.jsonl#L1</x:v>
      </x:c>
      <x:c r="AA2138" s="6" t="str">
        <x:v>osm_indoor</x:v>
      </x:c>
      <x:c r="AB2138" s="6" t="str">
        <x:v>ODbL-1.0</x:v>
      </x:c>
    </x:row>
    <x:row r="2139" ht="72" customHeight="1">
      <x:c r="A2139" s="14" t="n">
        <x:v>2134</x:v>
      </x:c>
      <x:c r="B2139" s="6" t="str">
        <x:v>largest_room</x:v>
      </x:c>
      <x:c r="C2139" s="6" t="str">
        <x:v>Which is the largest generic room on the ground floor, and how big is it in m²? Finish with a line 'Answer: &lt;room name or number&gt;, &lt;area&gt; m²'.</x:v>
      </x:c>
      <x:c r="D2139" s="6" t="str">
        <x:v>N0180
Area: 268.28 m²
Space ID: osm-way58216509-F0-S008</x:v>
      </x:c>
      <x:c r="E2139" s="6" t="str">
        <x:v>Reference supplied</x:v>
      </x:c>
      <x:c r="F2139" s="6" t="str">
        <x:v>train</x:v>
      </x:c>
      <x:c r="G2139" s="6" t="str">
        <x:v>osm-way58216509</x:v>
      </x:c>
      <x:c r="H2139" s="6" t="str">
        <x:v>osm-way58216509-H01</x:v>
      </x:c>
      <x:c r="I2139" s="6" t="str">
        <x:v>Area and room selection</x:v>
      </x:c>
      <x:c r="J2139" s="6" t="str">
        <x:v>Benchmark</x:v>
      </x:c>
      <x:c r="K2139" s="6" t="str">
        <x:v>Answer: &lt;accepted room name or ref&gt;, &lt;area&gt; m²</x:v>
      </x:c>
      <x:c r="L2139" s="6" t="str">
        <x:v>T02, T04, T14</x:v>
      </x:c>
      <x:c r="M2139" s="6" t="str">
        <x:v>Choose the largest room of a specified type on a specified floor and give its area.</x:v>
      </x:c>
      <x:c r="N2139" s="6" t="str">
        <x:v>{"type":"space","space_id":"osm-way58216509-F0-S008","accept":["N0180","Generic room N0180"],"reject":["N0160","Generic room N0160","N0189","Generic room N0189","N0199","Generic room N0199"],"area":{"type":"number","value":268.28,"unit":"m2","relative_tolerance":0.05,"absolute_tolerance":0}}</x:v>
      </x:c>
      <x:c r="O2139" s="6" t="str">
        <x:v>{"floor_id":"osm-way58216509-F0","room_type":"generic_room"}</x:v>
      </x:c>
      <x:c r="P2139" s="6" t="str">
        <x:v>Exact target floor and room_type. Polygon area in m².</x:v>
      </x:c>
      <x:c r="Q2139" s="15" t="n">
        <x:v>268.28</x:v>
      </x:c>
      <x:c r="R2139" s="6" t="str">
        <x:v>m2</x:v>
      </x:c>
      <x:c r="S2139" s="16" t="n">
        <x:v>0.05</x:v>
      </x:c>
      <x:c r="T2139" s="15" t="n">
        <x:v>0</x:v>
      </x:c>
      <x:c r="U2139" s="6" t="str">
        <x:v>Answer: N0180, 268.28 m²</x:v>
      </x:c>
      <x:c r="V2139" s="6" t="str">
        <x:v>room geometry: area</x:v>
      </x:c>
      <x:c r="W2139" s="6" t="str">
        <x:v>Missing area/ranking tool. Search alone is insufficient.</x:v>
      </x:c>
      <x:c r="X2139" s="6" t="str">
        <x:v>data/train/osm-way58216509/questions.jsonl</x:v>
      </x:c>
      <x:c r="Y2139" s="14" t="n">
        <x:v>1</x:v>
      </x:c>
      <x:c r="Z2139" s="6" t="str">
        <x:v>https://github.com/hagenhaeussler/Industrial-Agents-Hackathon-2026/blob/f41616590b69f3ea0c1cbfb41d6c35edd9ce53df/data/train/osm-way58216509/questions.jsonl#L1</x:v>
      </x:c>
      <x:c r="AA2139" s="6" t="str">
        <x:v>osm_indoor</x:v>
      </x:c>
      <x:c r="AB2139" s="6" t="str">
        <x:v>ODbL-1.0</x:v>
      </x:c>
    </x:row>
    <x:row r="2140" ht="72" customHeight="1">
      <x:c r="A2140" s="14" t="n">
        <x:v>2135</x:v>
      </x:c>
      <x:c r="B2140" s="6" t="str">
        <x:v>largest_room</x:v>
      </x:c>
      <x:c r="C2140" s="6" t="str">
        <x:v>Which is the largest generic room on the ground floor, and how big is it in m²? Finish with a line 'Answer: &lt;room name or number&gt;, &lt;area&gt; m²'.</x:v>
      </x:c>
      <x:c r="D2140" s="6" t="str">
        <x:v>0345
Area: 99.54 m²
Space ID: osm-way61408163-F0-S023</x:v>
      </x:c>
      <x:c r="E2140" s="6" t="str">
        <x:v>Reference supplied</x:v>
      </x:c>
      <x:c r="F2140" s="6" t="str">
        <x:v>train</x:v>
      </x:c>
      <x:c r="G2140" s="6" t="str">
        <x:v>osm-way61408163</x:v>
      </x:c>
      <x:c r="H2140" s="6" t="str">
        <x:v>osm-way61408163-H01</x:v>
      </x:c>
      <x:c r="I2140" s="6" t="str">
        <x:v>Area and room selection</x:v>
      </x:c>
      <x:c r="J2140" s="6" t="str">
        <x:v>Benchmark</x:v>
      </x:c>
      <x:c r="K2140" s="6" t="str">
        <x:v>Answer: &lt;accepted room name or ref&gt;, &lt;area&gt; m²</x:v>
      </x:c>
      <x:c r="L2140" s="6" t="str">
        <x:v>T02, T04, T14</x:v>
      </x:c>
      <x:c r="M2140" s="6" t="str">
        <x:v>Choose the largest room of a specified type on a specified floor and give its area.</x:v>
      </x:c>
      <x:c r="N2140" s="6" t="str">
        <x:v>{"type":"space","space_id":"osm-way61408163-F0-S023","accept":["0345","Generic room 0345"],"reject":["0321","Generic room 0321","0324","Generic room 0324","0350","Generic room 0350"],"area":{"type":"number","value":99.54,"unit":"m2","relative_tolerance":0.05,"absolute_tolerance":0}}</x:v>
      </x:c>
      <x:c r="O2140" s="6" t="str">
        <x:v>{"floor_id":"osm-way61408163-F0","room_type":"generic_room"}</x:v>
      </x:c>
      <x:c r="P2140" s="6" t="str">
        <x:v>Exact target floor and room_type. Polygon area in m².</x:v>
      </x:c>
      <x:c r="Q2140" s="15" t="n">
        <x:v>99.54</x:v>
      </x:c>
      <x:c r="R2140" s="6" t="str">
        <x:v>m2</x:v>
      </x:c>
      <x:c r="S2140" s="16" t="n">
        <x:v>0.05</x:v>
      </x:c>
      <x:c r="T2140" s="15" t="n">
        <x:v>0</x:v>
      </x:c>
      <x:c r="U2140" s="6" t="str">
        <x:v>Answer: 0345, 99.54 m²</x:v>
      </x:c>
      <x:c r="V2140" s="6" t="str">
        <x:v>room geometry: area</x:v>
      </x:c>
      <x:c r="W2140" s="6" t="str">
        <x:v>Missing area/ranking tool. Search alone is insufficient.</x:v>
      </x:c>
      <x:c r="X2140" s="6" t="str">
        <x:v>data/train/osm-way61408163/questions.jsonl</x:v>
      </x:c>
      <x:c r="Y2140" s="14" t="n">
        <x:v>1</x:v>
      </x:c>
      <x:c r="Z2140" s="6" t="str">
        <x:v>https://github.com/hagenhaeussler/Industrial-Agents-Hackathon-2026/blob/f41616590b69f3ea0c1cbfb41d6c35edd9ce53df/data/train/osm-way61408163/questions.jsonl#L1</x:v>
      </x:c>
      <x:c r="AA2140" s="6" t="str">
        <x:v>osm_indoor</x:v>
      </x:c>
      <x:c r="AB2140" s="6" t="str">
        <x:v>ODbL-1.0</x:v>
      </x:c>
    </x:row>
    <x:row r="2141" ht="72" customHeight="1">
      <x:c r="A2141" s="14" t="n">
        <x:v>2136</x:v>
      </x:c>
      <x:c r="B2141" s="6" t="str">
        <x:v>largest_room</x:v>
      </x:c>
      <x:c r="C2141" s="6" t="str">
        <x:v>Which is the largest meeting room on the floor 3, and how big is it in m²? Finish with a line 'Answer: &lt;room name or number&gt;, &lt;area&gt; m²'.</x:v>
      </x:c>
      <x:c r="D2141" s="6" t="str">
        <x:v>3.07
Area: 38.76 m²
Space ID: proc-campus-train-000-F3-S007</x:v>
      </x:c>
      <x:c r="E2141" s="6" t="str">
        <x:v>Reference supplied</x:v>
      </x:c>
      <x:c r="F2141" s="6" t="str">
        <x:v>train</x:v>
      </x:c>
      <x:c r="G2141" s="6" t="str">
        <x:v>proc-campus-train-000</x:v>
      </x:c>
      <x:c r="H2141" s="6" t="str">
        <x:v>proc-campus-train-000-H01</x:v>
      </x:c>
      <x:c r="I2141" s="6" t="str">
        <x:v>Area and room selection</x:v>
      </x:c>
      <x:c r="J2141" s="6" t="str">
        <x:v>Benchmark</x:v>
      </x:c>
      <x:c r="K2141" s="6" t="str">
        <x:v>Answer: &lt;accepted room name or ref&gt;, &lt;area&gt; m²</x:v>
      </x:c>
      <x:c r="L2141" s="6" t="str">
        <x:v>T02, T04, T14</x:v>
      </x:c>
      <x:c r="M2141" s="6" t="str">
        <x:v>Choose the largest room of a specified type on a specified floor and give its area.</x:v>
      </x:c>
      <x:c r="N2141" s="6" t="str">
        <x:v>{"type":"space","space_id":"proc-campus-train-000-F3-S007","accept":["3.07","Meeting room 3.07"],"reject":["3.12","Meeting room 3.12","3.18","Meeting room 3.18"],"area":{"type":"number","value":38.76,"unit":"m2","relative_tolerance":0.05,"absolute_tolerance":0}}</x:v>
      </x:c>
      <x:c r="O2141" s="6" t="str">
        <x:v>{"floor_id":"proc-campus-train-000-F3","room_type":"meeting_room"}</x:v>
      </x:c>
      <x:c r="P2141" s="6" t="str">
        <x:v>Exact target floor and room_type. Polygon area in m².</x:v>
      </x:c>
      <x:c r="Q2141" s="15" t="n">
        <x:v>38.76</x:v>
      </x:c>
      <x:c r="R2141" s="6" t="str">
        <x:v>m2</x:v>
      </x:c>
      <x:c r="S2141" s="16" t="n">
        <x:v>0.05</x:v>
      </x:c>
      <x:c r="T2141" s="15" t="n">
        <x:v>0</x:v>
      </x:c>
      <x:c r="U2141" s="6" t="str">
        <x:v>Answer: 3.07, 38.76 m²</x:v>
      </x:c>
      <x:c r="V2141" s="6" t="str">
        <x:v>room geometry: area</x:v>
      </x:c>
      <x:c r="W2141" s="6" t="str">
        <x:v>Missing area/ranking tool. Search alone is insufficient.</x:v>
      </x:c>
      <x:c r="X2141" s="6" t="str">
        <x:v>data/train/proc-campus-train-000/questions.jsonl</x:v>
      </x:c>
      <x:c r="Y2141" s="14" t="n">
        <x:v>1</x:v>
      </x:c>
      <x:c r="Z2141" s="6" t="str">
        <x:v>https://github.com/hagenhaeussler/Industrial-Agents-Hackathon-2026/blob/f41616590b69f3ea0c1cbfb41d6c35edd9ce53df/data/train/proc-campus-train-000/questions.jsonl#L1</x:v>
      </x:c>
      <x:c r="AA2141" s="6" t="str">
        <x:v>procedural</x:v>
      </x:c>
      <x:c r="AB2141" s="6" t="str">
        <x:v>CC0-1.0</x:v>
      </x:c>
    </x:row>
    <x:row r="2142" ht="72" customHeight="1">
      <x:c r="A2142" s="14" t="n">
        <x:v>2137</x:v>
      </x:c>
      <x:c r="B2142" s="6" t="str">
        <x:v>largest_room</x:v>
      </x:c>
      <x:c r="C2142" s="6" t="str">
        <x:v>Which is the largest storage on the floor 2, and how big is it in m²? Finish with a line 'Answer: &lt;room name or number&gt;, &lt;area&gt; m²'.</x:v>
      </x:c>
      <x:c r="D2142" s="6" t="str">
        <x:v>2.08
Area: 37.62 m²
Space ID: proc-campus-train-001-F2-S008</x:v>
      </x:c>
      <x:c r="E2142" s="6" t="str">
        <x:v>Reference supplied</x:v>
      </x:c>
      <x:c r="F2142" s="6" t="str">
        <x:v>train</x:v>
      </x:c>
      <x:c r="G2142" s="6" t="str">
        <x:v>proc-campus-train-001</x:v>
      </x:c>
      <x:c r="H2142" s="6" t="str">
        <x:v>proc-campus-train-001-H01</x:v>
      </x:c>
      <x:c r="I2142" s="6" t="str">
        <x:v>Area and room selection</x:v>
      </x:c>
      <x:c r="J2142" s="6" t="str">
        <x:v>Benchmark</x:v>
      </x:c>
      <x:c r="K2142" s="6" t="str">
        <x:v>Answer: &lt;accepted room name or ref&gt;, &lt;area&gt; m²</x:v>
      </x:c>
      <x:c r="L2142" s="6" t="str">
        <x:v>T02, T04, T14</x:v>
      </x:c>
      <x:c r="M2142" s="6" t="str">
        <x:v>Choose the largest room of a specified type on a specified floor and give its area.</x:v>
      </x:c>
      <x:c r="N2142" s="6" t="str">
        <x:v>{"type":"space","space_id":"proc-campus-train-001-F2-S008","accept":["2.08","Storage 2.08"],"reject":["2.11","Storage 2.11","2.21","Storage 2.21"],"area":{"type":"number","value":37.62,"unit":"m2","relative_tolerance":0.05,"absolute_tolerance":0}}</x:v>
      </x:c>
      <x:c r="O2142" s="6" t="str">
        <x:v>{"floor_id":"proc-campus-train-001-F2","room_type":"storage"}</x:v>
      </x:c>
      <x:c r="P2142" s="6" t="str">
        <x:v>Exact target floor and room_type. Polygon area in m².</x:v>
      </x:c>
      <x:c r="Q2142" s="15" t="n">
        <x:v>37.62</x:v>
      </x:c>
      <x:c r="R2142" s="6" t="str">
        <x:v>m2</x:v>
      </x:c>
      <x:c r="S2142" s="16" t="n">
        <x:v>0.05</x:v>
      </x:c>
      <x:c r="T2142" s="15" t="n">
        <x:v>0</x:v>
      </x:c>
      <x:c r="U2142" s="6" t="str">
        <x:v>Answer: 2.08, 37.62 m²</x:v>
      </x:c>
      <x:c r="V2142" s="6" t="str">
        <x:v>room geometry: area</x:v>
      </x:c>
      <x:c r="W2142" s="6" t="str">
        <x:v>Missing area/ranking tool. Search alone is insufficient.</x:v>
      </x:c>
      <x:c r="X2142" s="6" t="str">
        <x:v>data/train/proc-campus-train-001/questions.jsonl</x:v>
      </x:c>
      <x:c r="Y2142" s="14" t="n">
        <x:v>1</x:v>
      </x:c>
      <x:c r="Z2142" s="6" t="str">
        <x:v>https://github.com/hagenhaeussler/Industrial-Agents-Hackathon-2026/blob/f41616590b69f3ea0c1cbfb41d6c35edd9ce53df/data/train/proc-campus-train-001/questions.jsonl#L1</x:v>
      </x:c>
      <x:c r="AA2142" s="6" t="str">
        <x:v>procedural</x:v>
      </x:c>
      <x:c r="AB2142" s="6" t="str">
        <x:v>CC0-1.0</x:v>
      </x:c>
    </x:row>
    <x:row r="2143" ht="72" customHeight="1">
      <x:c r="A2143" s="14" t="n">
        <x:v>2138</x:v>
      </x:c>
      <x:c r="B2143" s="6" t="str">
        <x:v>largest_room</x:v>
      </x:c>
      <x:c r="C2143" s="6" t="str">
        <x:v>Which is the largest office on the floor 3, and how big is it in m²? Finish with a line 'Answer: &lt;room name or number&gt;, &lt;area&gt; m²'.</x:v>
      </x:c>
      <x:c r="D2143" s="6" t="str">
        <x:v>3.04
Area: 41.94 m²
Space ID: proc-campus-train-002-F3-S004</x:v>
      </x:c>
      <x:c r="E2143" s="6" t="str">
        <x:v>Reference supplied</x:v>
      </x:c>
      <x:c r="F2143" s="6" t="str">
        <x:v>train</x:v>
      </x:c>
      <x:c r="G2143" s="6" t="str">
        <x:v>proc-campus-train-002</x:v>
      </x:c>
      <x:c r="H2143" s="6" t="str">
        <x:v>proc-campus-train-002-H01</x:v>
      </x:c>
      <x:c r="I2143" s="6" t="str">
        <x:v>Area and room selection</x:v>
      </x:c>
      <x:c r="J2143" s="6" t="str">
        <x:v>Benchmark</x:v>
      </x:c>
      <x:c r="K2143" s="6" t="str">
        <x:v>Answer: &lt;accepted room name or ref&gt;, &lt;area&gt; m²</x:v>
      </x:c>
      <x:c r="L2143" s="6" t="str">
        <x:v>T02, T04, T14</x:v>
      </x:c>
      <x:c r="M2143" s="6" t="str">
        <x:v>Choose the largest room of a specified type on a specified floor and give its area.</x:v>
      </x:c>
      <x:c r="N2143" s="6" t="str">
        <x:v>{"type":"space","space_id":"proc-campus-train-002-F3-S004","accept":["3.04","Office 3.04"],"reject":["3.02","Office 3.02","3.16","Office 3.16","3.03","Office 3.03"],"area":{"type":"number","value":41.94,"unit":"m2","relative_tolerance":0.05,"absolute_tolerance":0}}</x:v>
      </x:c>
      <x:c r="O2143" s="6" t="str">
        <x:v>{"floor_id":"proc-campus-train-002-F3","room_type":"office"}</x:v>
      </x:c>
      <x:c r="P2143" s="6" t="str">
        <x:v>Exact target floor and room_type. Polygon area in m².</x:v>
      </x:c>
      <x:c r="Q2143" s="15" t="n">
        <x:v>41.94</x:v>
      </x:c>
      <x:c r="R2143" s="6" t="str">
        <x:v>m2</x:v>
      </x:c>
      <x:c r="S2143" s="16" t="n">
        <x:v>0.05</x:v>
      </x:c>
      <x:c r="T2143" s="15" t="n">
        <x:v>0</x:v>
      </x:c>
      <x:c r="U2143" s="6" t="str">
        <x:v>Answer: 3.04, 41.94 m²</x:v>
      </x:c>
      <x:c r="V2143" s="6" t="str">
        <x:v>room geometry: area</x:v>
      </x:c>
      <x:c r="W2143" s="6" t="str">
        <x:v>Missing area/ranking tool. Search alone is insufficient.</x:v>
      </x:c>
      <x:c r="X2143" s="6" t="str">
        <x:v>data/train/proc-campus-train-002/questions.jsonl</x:v>
      </x:c>
      <x:c r="Y2143" s="14" t="n">
        <x:v>1</x:v>
      </x:c>
      <x:c r="Z2143" s="6" t="str">
        <x:v>https://github.com/hagenhaeussler/Industrial-Agents-Hackathon-2026/blob/f41616590b69f3ea0c1cbfb41d6c35edd9ce53df/data/train/proc-campus-train-002/questions.jsonl#L1</x:v>
      </x:c>
      <x:c r="AA2143" s="6" t="str">
        <x:v>procedural</x:v>
      </x:c>
      <x:c r="AB2143" s="6" t="str">
        <x:v>CC0-1.0</x:v>
      </x:c>
    </x:row>
    <x:row r="2144" ht="72" customHeight="1">
      <x:c r="A2144" s="14" t="n">
        <x:v>2139</x:v>
      </x:c>
      <x:c r="B2144" s="6" t="str">
        <x:v>largest_room</x:v>
      </x:c>
      <x:c r="C2144" s="6" t="str">
        <x:v>Which is the largest lab on the ground floor, and how big is it in m²? Finish with a line 'Answer: &lt;room name or number&gt;, &lt;area&gt; m²'.</x:v>
      </x:c>
      <x:c r="D2144" s="6" t="str">
        <x:v>0.11
Area: 36.48 m²
Space ID: proc-campus-train-004-F0-S011</x:v>
      </x:c>
      <x:c r="E2144" s="6" t="str">
        <x:v>Reference supplied</x:v>
      </x:c>
      <x:c r="F2144" s="6" t="str">
        <x:v>train</x:v>
      </x:c>
      <x:c r="G2144" s="6" t="str">
        <x:v>proc-campus-train-004</x:v>
      </x:c>
      <x:c r="H2144" s="6" t="str">
        <x:v>proc-campus-train-004-H01</x:v>
      </x:c>
      <x:c r="I2144" s="6" t="str">
        <x:v>Area and room selection</x:v>
      </x:c>
      <x:c r="J2144" s="6" t="str">
        <x:v>Benchmark</x:v>
      </x:c>
      <x:c r="K2144" s="6" t="str">
        <x:v>Answer: &lt;accepted room name or ref&gt;, &lt;area&gt; m²</x:v>
      </x:c>
      <x:c r="L2144" s="6" t="str">
        <x:v>T02, T04, T14</x:v>
      </x:c>
      <x:c r="M2144" s="6" t="str">
        <x:v>Choose the largest room of a specified type on a specified floor and give its area.</x:v>
      </x:c>
      <x:c r="N2144" s="6" t="str">
        <x:v>{"type":"space","space_id":"proc-campus-train-004-F0-S011","accept":["0.11","Lab 0.11"],"reject":["0.19","Lab 0.19","0.02","Lab 0.02","0.04","Lab 0.04"],"area":{"type":"number","value":36.48,"unit":"m2","relative_tolerance":0.05,"absolute_tolerance":0}}</x:v>
      </x:c>
      <x:c r="O2144" s="6" t="str">
        <x:v>{"floor_id":"proc-campus-train-004-F0","room_type":"lab"}</x:v>
      </x:c>
      <x:c r="P2144" s="6" t="str">
        <x:v>Exact target floor and room_type. Polygon area in m².</x:v>
      </x:c>
      <x:c r="Q2144" s="15" t="n">
        <x:v>36.48</x:v>
      </x:c>
      <x:c r="R2144" s="6" t="str">
        <x:v>m2</x:v>
      </x:c>
      <x:c r="S2144" s="16" t="n">
        <x:v>0.05</x:v>
      </x:c>
      <x:c r="T2144" s="15" t="n">
        <x:v>0</x:v>
      </x:c>
      <x:c r="U2144" s="6" t="str">
        <x:v>Answer: 0.11, 36.48 m²</x:v>
      </x:c>
      <x:c r="V2144" s="6" t="str">
        <x:v>room geometry: area</x:v>
      </x:c>
      <x:c r="W2144" s="6" t="str">
        <x:v>Missing area/ranking tool. Search alone is insufficient.</x:v>
      </x:c>
      <x:c r="X2144" s="6" t="str">
        <x:v>data/train/proc-campus-train-004/questions.jsonl</x:v>
      </x:c>
      <x:c r="Y2144" s="14" t="n">
        <x:v>1</x:v>
      </x:c>
      <x:c r="Z2144" s="6" t="str">
        <x:v>https://github.com/hagenhaeussler/Industrial-Agents-Hackathon-2026/blob/f41616590b69f3ea0c1cbfb41d6c35edd9ce53df/data/train/proc-campus-train-004/questions.jsonl#L1</x:v>
      </x:c>
      <x:c r="AA2144" s="6" t="str">
        <x:v>procedural</x:v>
      </x:c>
      <x:c r="AB2144" s="6" t="str">
        <x:v>CC0-1.0</x:v>
      </x:c>
    </x:row>
    <x:row r="2145" ht="72" customHeight="1">
      <x:c r="A2145" s="14" t="n">
        <x:v>2140</x:v>
      </x:c>
      <x:c r="B2145" s="6" t="str">
        <x:v>largest_room</x:v>
      </x:c>
      <x:c r="C2145" s="6" t="str">
        <x:v>Which is the largest storage on the floor 2, and how big is it in m²? Finish with a line 'Answer: &lt;room name or number&gt;, &lt;area&gt; m²'.</x:v>
      </x:c>
      <x:c r="D2145" s="6" t="str">
        <x:v>2.11
Area: 24.96 m²
Space ID: proc-campus-train-011-F2-S011</x:v>
      </x:c>
      <x:c r="E2145" s="6" t="str">
        <x:v>Reference supplied</x:v>
      </x:c>
      <x:c r="F2145" s="6" t="str">
        <x:v>train</x:v>
      </x:c>
      <x:c r="G2145" s="6" t="str">
        <x:v>proc-campus-train-011</x:v>
      </x:c>
      <x:c r="H2145" s="6" t="str">
        <x:v>proc-campus-train-011-H01</x:v>
      </x:c>
      <x:c r="I2145" s="6" t="str">
        <x:v>Area and room selection</x:v>
      </x:c>
      <x:c r="J2145" s="6" t="str">
        <x:v>Benchmark</x:v>
      </x:c>
      <x:c r="K2145" s="6" t="str">
        <x:v>Answer: &lt;accepted room name or ref&gt;, &lt;area&gt; m²</x:v>
      </x:c>
      <x:c r="L2145" s="6" t="str">
        <x:v>T02, T04, T14</x:v>
      </x:c>
      <x:c r="M2145" s="6" t="str">
        <x:v>Choose the largest room of a specified type on a specified floor and give its area.</x:v>
      </x:c>
      <x:c r="N2145" s="6" t="str">
        <x:v>{"type":"space","space_id":"proc-campus-train-011-F2-S011","accept":["2.11","Storage 2.11"],"reject":["2.17","Storage 2.17","2.18","Storage 2.18"],"area":{"type":"number","value":24.96,"unit":"m2","relative_tolerance":0.05,"absolute_tolerance":0}}</x:v>
      </x:c>
      <x:c r="O2145" s="6" t="str">
        <x:v>{"floor_id":"proc-campus-train-011-F2","room_type":"storage"}</x:v>
      </x:c>
      <x:c r="P2145" s="6" t="str">
        <x:v>Exact target floor and room_type. Polygon area in m².</x:v>
      </x:c>
      <x:c r="Q2145" s="15" t="n">
        <x:v>24.96</x:v>
      </x:c>
      <x:c r="R2145" s="6" t="str">
        <x:v>m2</x:v>
      </x:c>
      <x:c r="S2145" s="16" t="n">
        <x:v>0.05</x:v>
      </x:c>
      <x:c r="T2145" s="15" t="n">
        <x:v>0</x:v>
      </x:c>
      <x:c r="U2145" s="6" t="str">
        <x:v>Answer: 2.11, 24.96 m²</x:v>
      </x:c>
      <x:c r="V2145" s="6" t="str">
        <x:v>room geometry: area</x:v>
      </x:c>
      <x:c r="W2145" s="6" t="str">
        <x:v>Missing area/ranking tool. Search alone is insufficient.</x:v>
      </x:c>
      <x:c r="X2145" s="6" t="str">
        <x:v>data/train/proc-campus-train-011/questions.jsonl</x:v>
      </x:c>
      <x:c r="Y2145" s="14" t="n">
        <x:v>1</x:v>
      </x:c>
      <x:c r="Z2145" s="6" t="str">
        <x:v>https://github.com/hagenhaeussler/Industrial-Agents-Hackathon-2026/blob/f41616590b69f3ea0c1cbfb41d6c35edd9ce53df/data/train/proc-campus-train-011/questions.jsonl#L1</x:v>
      </x:c>
      <x:c r="AA2145" s="6" t="str">
        <x:v>procedural</x:v>
      </x:c>
      <x:c r="AB2145" s="6" t="str">
        <x:v>CC0-1.0</x:v>
      </x:c>
    </x:row>
    <x:row r="2146" ht="72" customHeight="1">
      <x:c r="A2146" s="14" t="n">
        <x:v>2141</x:v>
      </x:c>
      <x:c r="B2146" s="6" t="str">
        <x:v>largest_room</x:v>
      </x:c>
      <x:c r="C2146" s="6" t="str">
        <x:v>Which is the largest lab on the floor 2, and how big is it in m²? Finish with a line 'Answer: &lt;room name or number&gt;, &lt;area&gt; m²'.</x:v>
      </x:c>
      <x:c r="D2146" s="6" t="str">
        <x:v>2.03
Area: 23.46 m²
Space ID: proc-campus-train-014-F2-S003</x:v>
      </x:c>
      <x:c r="E2146" s="6" t="str">
        <x:v>Reference supplied</x:v>
      </x:c>
      <x:c r="F2146" s="6" t="str">
        <x:v>train</x:v>
      </x:c>
      <x:c r="G2146" s="6" t="str">
        <x:v>proc-campus-train-014</x:v>
      </x:c>
      <x:c r="H2146" s="6" t="str">
        <x:v>proc-campus-train-014-H01</x:v>
      </x:c>
      <x:c r="I2146" s="6" t="str">
        <x:v>Area and room selection</x:v>
      </x:c>
      <x:c r="J2146" s="6" t="str">
        <x:v>Benchmark</x:v>
      </x:c>
      <x:c r="K2146" s="6" t="str">
        <x:v>Answer: &lt;accepted room name or ref&gt;, &lt;area&gt; m²</x:v>
      </x:c>
      <x:c r="L2146" s="6" t="str">
        <x:v>T02, T04, T14</x:v>
      </x:c>
      <x:c r="M2146" s="6" t="str">
        <x:v>Choose the largest room of a specified type on a specified floor and give its area.</x:v>
      </x:c>
      <x:c r="N2146" s="6" t="str">
        <x:v>{"type":"space","space_id":"proc-campus-train-014-F2-S003","accept":["2.03","Lab 2.03"],"reject":["2.11","Lab 2.11","2.12","Lab 2.12"],"area":{"type":"number","value":23.46,"unit":"m2","relative_tolerance":0.05,"absolute_tolerance":0}}</x:v>
      </x:c>
      <x:c r="O2146" s="6" t="str">
        <x:v>{"floor_id":"proc-campus-train-014-F2","room_type":"lab"}</x:v>
      </x:c>
      <x:c r="P2146" s="6" t="str">
        <x:v>Exact target floor and room_type. Polygon area in m².</x:v>
      </x:c>
      <x:c r="Q2146" s="15" t="n">
        <x:v>23.46</x:v>
      </x:c>
      <x:c r="R2146" s="6" t="str">
        <x:v>m2</x:v>
      </x:c>
      <x:c r="S2146" s="16" t="n">
        <x:v>0.05</x:v>
      </x:c>
      <x:c r="T2146" s="15" t="n">
        <x:v>0</x:v>
      </x:c>
      <x:c r="U2146" s="6" t="str">
        <x:v>Answer: 2.03, 23.46 m²</x:v>
      </x:c>
      <x:c r="V2146" s="6" t="str">
        <x:v>room geometry: area</x:v>
      </x:c>
      <x:c r="W2146" s="6" t="str">
        <x:v>Missing area/ranking tool. Search alone is insufficient.</x:v>
      </x:c>
      <x:c r="X2146" s="6" t="str">
        <x:v>data/train/proc-campus-train-014/questions.jsonl</x:v>
      </x:c>
      <x:c r="Y2146" s="14" t="n">
        <x:v>1</x:v>
      </x:c>
      <x:c r="Z2146" s="6" t="str">
        <x:v>https://github.com/hagenhaeussler/Industrial-Agents-Hackathon-2026/blob/f41616590b69f3ea0c1cbfb41d6c35edd9ce53df/data/train/proc-campus-train-014/questions.jsonl#L1</x:v>
      </x:c>
      <x:c r="AA2146" s="6" t="str">
        <x:v>procedural</x:v>
      </x:c>
      <x:c r="AB2146" s="6" t="str">
        <x:v>CC0-1.0</x:v>
      </x:c>
    </x:row>
    <x:row r="2147" ht="72" customHeight="1">
      <x:c r="A2147" s="14" t="n">
        <x:v>2142</x:v>
      </x:c>
      <x:c r="B2147" s="6" t="str">
        <x:v>largest_room</x:v>
      </x:c>
      <x:c r="C2147" s="6" t="str">
        <x:v>Which is the largest lab on the floor 2, and how big is it in m²? Finish with a line 'Answer: &lt;room name or number&gt;, &lt;area&gt; m²'.</x:v>
      </x:c>
      <x:c r="D2147" s="6" t="str">
        <x:v>2.19
Area: 40.74 m²
Space ID: proc-campus-train-019-F2-S019</x:v>
      </x:c>
      <x:c r="E2147" s="6" t="str">
        <x:v>Reference supplied</x:v>
      </x:c>
      <x:c r="F2147" s="6" t="str">
        <x:v>train</x:v>
      </x:c>
      <x:c r="G2147" s="6" t="str">
        <x:v>proc-campus-train-019</x:v>
      </x:c>
      <x:c r="H2147" s="6" t="str">
        <x:v>proc-campus-train-019-H01</x:v>
      </x:c>
      <x:c r="I2147" s="6" t="str">
        <x:v>Area and room selection</x:v>
      </x:c>
      <x:c r="J2147" s="6" t="str">
        <x:v>Benchmark</x:v>
      </x:c>
      <x:c r="K2147" s="6" t="str">
        <x:v>Answer: &lt;accepted room name or ref&gt;, &lt;area&gt; m²</x:v>
      </x:c>
      <x:c r="L2147" s="6" t="str">
        <x:v>T02, T04, T14</x:v>
      </x:c>
      <x:c r="M2147" s="6" t="str">
        <x:v>Choose the largest room of a specified type on a specified floor and give its area.</x:v>
      </x:c>
      <x:c r="N2147" s="6" t="str">
        <x:v>{"type":"space","space_id":"proc-campus-train-019-F2-S019","accept":["2.19","Lab 2.19"],"reject":["2.04","Lab 2.04","2.15","Lab 2.15","2.20","Lab 2.20"],"area":{"type":"number","value":40.74,"unit":"m2","relative_tolerance":0.05,"absolute_tolerance":0}}</x:v>
      </x:c>
      <x:c r="O2147" s="6" t="str">
        <x:v>{"floor_id":"proc-campus-train-019-F2","room_type":"lab"}</x:v>
      </x:c>
      <x:c r="P2147" s="6" t="str">
        <x:v>Exact target floor and room_type. Polygon area in m².</x:v>
      </x:c>
      <x:c r="Q2147" s="15" t="n">
        <x:v>40.74</x:v>
      </x:c>
      <x:c r="R2147" s="6" t="str">
        <x:v>m2</x:v>
      </x:c>
      <x:c r="S2147" s="16" t="n">
        <x:v>0.05</x:v>
      </x:c>
      <x:c r="T2147" s="15" t="n">
        <x:v>0</x:v>
      </x:c>
      <x:c r="U2147" s="6" t="str">
        <x:v>Answer: 2.19, 40.74 m²</x:v>
      </x:c>
      <x:c r="V2147" s="6" t="str">
        <x:v>room geometry: area</x:v>
      </x:c>
      <x:c r="W2147" s="6" t="str">
        <x:v>Missing area/ranking tool. Search alone is insufficient.</x:v>
      </x:c>
      <x:c r="X2147" s="6" t="str">
        <x:v>data/train/proc-campus-train-019/questions.jsonl</x:v>
      </x:c>
      <x:c r="Y2147" s="14" t="n">
        <x:v>1</x:v>
      </x:c>
      <x:c r="Z2147" s="6" t="str">
        <x:v>https://github.com/hagenhaeussler/Industrial-Agents-Hackathon-2026/blob/f41616590b69f3ea0c1cbfb41d6c35edd9ce53df/data/train/proc-campus-train-019/questions.jsonl#L1</x:v>
      </x:c>
      <x:c r="AA2147" s="6" t="str">
        <x:v>procedural</x:v>
      </x:c>
      <x:c r="AB2147" s="6" t="str">
        <x:v>CC0-1.0</x:v>
      </x:c>
    </x:row>
    <x:row r="2148" ht="72" customHeight="1">
      <x:c r="A2148" s="14" t="n">
        <x:v>2143</x:v>
      </x:c>
      <x:c r="B2148" s="6" t="str">
        <x:v>largest_room</x:v>
      </x:c>
      <x:c r="C2148" s="6" t="str">
        <x:v>Which is the largest kitchen on the floor 1, and how big is it in m²? Finish with a line 'Answer: &lt;room name or number&gt;, &lt;area&gt; m²'.</x:v>
      </x:c>
      <x:c r="D2148" s="6" t="str">
        <x:v>1.06
Area: 28.5 m²
Space ID: proc-factory-train-005-F1-S006</x:v>
      </x:c>
      <x:c r="E2148" s="6" t="str">
        <x:v>Reference supplied</x:v>
      </x:c>
      <x:c r="F2148" s="6" t="str">
        <x:v>train</x:v>
      </x:c>
      <x:c r="G2148" s="6" t="str">
        <x:v>proc-factory-train-005</x:v>
      </x:c>
      <x:c r="H2148" s="6" t="str">
        <x:v>proc-factory-train-005-H01</x:v>
      </x:c>
      <x:c r="I2148" s="6" t="str">
        <x:v>Area and room selection</x:v>
      </x:c>
      <x:c r="J2148" s="6" t="str">
        <x:v>Benchmark</x:v>
      </x:c>
      <x:c r="K2148" s="6" t="str">
        <x:v>Answer: &lt;accepted room name or ref&gt;, &lt;area&gt; m²</x:v>
      </x:c>
      <x:c r="L2148" s="6" t="str">
        <x:v>T02, T04, T14</x:v>
      </x:c>
      <x:c r="M2148" s="6" t="str">
        <x:v>Choose the largest room of a specified type on a specified floor and give its area.</x:v>
      </x:c>
      <x:c r="N2148" s="6" t="str">
        <x:v>{"type":"space","space_id":"proc-factory-train-005-F1-S006","accept":["1.06","Kitchen 1.06"],"reject":["1.11","Kitchen 1.11","1.09","Kitchen 1.09"],"area":{"type":"number","value":28.5,"unit":"m2","relative_tolerance":0.05,"absolute_tolerance":0}}</x:v>
      </x:c>
      <x:c r="O2148" s="6" t="str">
        <x:v>{"floor_id":"proc-factory-train-005-F1","room_type":"kitchen"}</x:v>
      </x:c>
      <x:c r="P2148" s="6" t="str">
        <x:v>Exact target floor and room_type. Polygon area in m².</x:v>
      </x:c>
      <x:c r="Q2148" s="15" t="n">
        <x:v>28.5</x:v>
      </x:c>
      <x:c r="R2148" s="6" t="str">
        <x:v>m2</x:v>
      </x:c>
      <x:c r="S2148" s="16" t="n">
        <x:v>0.05</x:v>
      </x:c>
      <x:c r="T2148" s="15" t="n">
        <x:v>0</x:v>
      </x:c>
      <x:c r="U2148" s="6" t="str">
        <x:v>Answer: 1.06, 28.5 m²</x:v>
      </x:c>
      <x:c r="V2148" s="6" t="str">
        <x:v>room geometry: area</x:v>
      </x:c>
      <x:c r="W2148" s="6" t="str">
        <x:v>Missing area/ranking tool. Search alone is insufficient.</x:v>
      </x:c>
      <x:c r="X2148" s="6" t="str">
        <x:v>data/train/proc-factory-train-005/questions.jsonl</x:v>
      </x:c>
      <x:c r="Y2148" s="14" t="n">
        <x:v>1</x:v>
      </x:c>
      <x:c r="Z2148" s="6" t="str">
        <x:v>https://github.com/hagenhaeussler/Industrial-Agents-Hackathon-2026/blob/f41616590b69f3ea0c1cbfb41d6c35edd9ce53df/data/train/proc-factory-train-005/questions.jsonl#L1</x:v>
      </x:c>
      <x:c r="AA2148" s="6" t="str">
        <x:v>procedural</x:v>
      </x:c>
      <x:c r="AB2148" s="6" t="str">
        <x:v>CC0-1.0</x:v>
      </x:c>
    </x:row>
    <x:row r="2149" ht="72" customHeight="1">
      <x:c r="A2149" s="14" t="n">
        <x:v>2144</x:v>
      </x:c>
      <x:c r="B2149" s="6" t="str">
        <x:v>largest_room</x:v>
      </x:c>
      <x:c r="C2149" s="6" t="str">
        <x:v>Which is the largest office on the ground floor, and how big is it in m²? Finish with a line 'Answer: &lt;room name or number&gt;, &lt;area&gt; m²'.</x:v>
      </x:c>
      <x:c r="D2149" s="6" t="str">
        <x:v>0.14
Area: 25.1 m²
Space ID: proc-factory-train-006-F0-S014</x:v>
      </x:c>
      <x:c r="E2149" s="6" t="str">
        <x:v>Reference supplied</x:v>
      </x:c>
      <x:c r="F2149" s="6" t="str">
        <x:v>train</x:v>
      </x:c>
      <x:c r="G2149" s="6" t="str">
        <x:v>proc-factory-train-006</x:v>
      </x:c>
      <x:c r="H2149" s="6" t="str">
        <x:v>proc-factory-train-006-H01</x:v>
      </x:c>
      <x:c r="I2149" s="6" t="str">
        <x:v>Area and room selection</x:v>
      </x:c>
      <x:c r="J2149" s="6" t="str">
        <x:v>Benchmark</x:v>
      </x:c>
      <x:c r="K2149" s="6" t="str">
        <x:v>Answer: &lt;accepted room name or ref&gt;, &lt;area&gt; m²</x:v>
      </x:c>
      <x:c r="L2149" s="6" t="str">
        <x:v>T02, T04, T14</x:v>
      </x:c>
      <x:c r="M2149" s="6" t="str">
        <x:v>Choose the largest room of a specified type on a specified floor and give its area.</x:v>
      </x:c>
      <x:c r="N2149" s="6" t="str">
        <x:v>{"type":"space","space_id":"proc-factory-train-006-F0-S014","accept":["0.14","Office 0.14"],"reject":["0.17","Office 0.17","0.22","Office 0.22"],"area":{"type":"number","value":25.1,"unit":"m2","relative_tolerance":0.05,"absolute_tolerance":0}}</x:v>
      </x:c>
      <x:c r="O2149" s="6" t="str">
        <x:v>{"floor_id":"proc-factory-train-006-F0","room_type":"office"}</x:v>
      </x:c>
      <x:c r="P2149" s="6" t="str">
        <x:v>Exact target floor and room_type. Polygon area in m².</x:v>
      </x:c>
      <x:c r="Q2149" s="15" t="n">
        <x:v>25.1</x:v>
      </x:c>
      <x:c r="R2149" s="6" t="str">
        <x:v>m2</x:v>
      </x:c>
      <x:c r="S2149" s="16" t="n">
        <x:v>0.05</x:v>
      </x:c>
      <x:c r="T2149" s="15" t="n">
        <x:v>0</x:v>
      </x:c>
      <x:c r="U2149" s="6" t="str">
        <x:v>Answer: 0.14, 25.1 m²</x:v>
      </x:c>
      <x:c r="V2149" s="6" t="str">
        <x:v>room geometry: area</x:v>
      </x:c>
      <x:c r="W2149" s="6" t="str">
        <x:v>Missing area/ranking tool. Search alone is insufficient.</x:v>
      </x:c>
      <x:c r="X2149" s="6" t="str">
        <x:v>data/train/proc-factory-train-006/questions.jsonl</x:v>
      </x:c>
      <x:c r="Y2149" s="14" t="n">
        <x:v>1</x:v>
      </x:c>
      <x:c r="Z2149" s="6" t="str">
        <x:v>https://github.com/hagenhaeussler/Industrial-Agents-Hackathon-2026/blob/f41616590b69f3ea0c1cbfb41d6c35edd9ce53df/data/train/proc-factory-train-006/questions.jsonl#L1</x:v>
      </x:c>
      <x:c r="AA2149" s="6" t="str">
        <x:v>procedural</x:v>
      </x:c>
      <x:c r="AB2149" s="6" t="str">
        <x:v>CC0-1.0</x:v>
      </x:c>
    </x:row>
    <x:row r="2150" ht="72" customHeight="1">
      <x:c r="A2150" s="14" t="n">
        <x:v>2145</x:v>
      </x:c>
      <x:c r="B2150" s="6" t="str">
        <x:v>largest_room</x:v>
      </x:c>
      <x:c r="C2150" s="6" t="str">
        <x:v>Which is the largest kitchen on the ground floor, and how big is it in m²? Finish with a line 'Answer: &lt;room name or number&gt;, &lt;area&gt; m²'.</x:v>
      </x:c>
      <x:c r="D2150" s="6" t="str">
        <x:v>0.20
Area: 25.1 m²
Space ID: proc-factory-train-007-F0-S020</x:v>
      </x:c>
      <x:c r="E2150" s="6" t="str">
        <x:v>Reference supplied</x:v>
      </x:c>
      <x:c r="F2150" s="6" t="str">
        <x:v>train</x:v>
      </x:c>
      <x:c r="G2150" s="6" t="str">
        <x:v>proc-factory-train-007</x:v>
      </x:c>
      <x:c r="H2150" s="6" t="str">
        <x:v>proc-factory-train-007-H01</x:v>
      </x:c>
      <x:c r="I2150" s="6" t="str">
        <x:v>Area and room selection</x:v>
      </x:c>
      <x:c r="J2150" s="6" t="str">
        <x:v>Benchmark</x:v>
      </x:c>
      <x:c r="K2150" s="6" t="str">
        <x:v>Answer: &lt;accepted room name or ref&gt;, &lt;area&gt; m²</x:v>
      </x:c>
      <x:c r="L2150" s="6" t="str">
        <x:v>T02, T04, T14</x:v>
      </x:c>
      <x:c r="M2150" s="6" t="str">
        <x:v>Choose the largest room of a specified type on a specified floor and give its area.</x:v>
      </x:c>
      <x:c r="N2150" s="6" t="str">
        <x:v>{"type":"space","space_id":"proc-factory-train-007-F0-S020","accept":["0.20","Kitchen 0.20"],"reject":["0.17","Kitchen 0.17","0.32","Kitchen 0.32"],"area":{"type":"number","value":25.1,"unit":"m2","relative_tolerance":0.05,"absolute_tolerance":0}}</x:v>
      </x:c>
      <x:c r="O2150" s="6" t="str">
        <x:v>{"floor_id":"proc-factory-train-007-F0","room_type":"kitchen"}</x:v>
      </x:c>
      <x:c r="P2150" s="6" t="str">
        <x:v>Exact target floor and room_type. Polygon area in m².</x:v>
      </x:c>
      <x:c r="Q2150" s="15" t="n">
        <x:v>25.1</x:v>
      </x:c>
      <x:c r="R2150" s="6" t="str">
        <x:v>m2</x:v>
      </x:c>
      <x:c r="S2150" s="16" t="n">
        <x:v>0.05</x:v>
      </x:c>
      <x:c r="T2150" s="15" t="n">
        <x:v>0</x:v>
      </x:c>
      <x:c r="U2150" s="6" t="str">
        <x:v>Answer: 0.20, 25.1 m²</x:v>
      </x:c>
      <x:c r="V2150" s="6" t="str">
        <x:v>room geometry: area</x:v>
      </x:c>
      <x:c r="W2150" s="6" t="str">
        <x:v>Missing area/ranking tool. Search alone is insufficient.</x:v>
      </x:c>
      <x:c r="X2150" s="6" t="str">
        <x:v>data/train/proc-factory-train-007/questions.jsonl</x:v>
      </x:c>
      <x:c r="Y2150" s="14" t="n">
        <x:v>1</x:v>
      </x:c>
      <x:c r="Z2150" s="6" t="str">
        <x:v>https://github.com/hagenhaeussler/Industrial-Agents-Hackathon-2026/blob/f41616590b69f3ea0c1cbfb41d6c35edd9ce53df/data/train/proc-factory-train-007/questions.jsonl#L1</x:v>
      </x:c>
      <x:c r="AA2150" s="6" t="str">
        <x:v>procedural</x:v>
      </x:c>
      <x:c r="AB2150" s="6" t="str">
        <x:v>CC0-1.0</x:v>
      </x:c>
    </x:row>
    <x:row r="2151" ht="72" customHeight="1">
      <x:c r="A2151" s="14" t="n">
        <x:v>2146</x:v>
      </x:c>
      <x:c r="B2151" s="6" t="str">
        <x:v>largest_room</x:v>
      </x:c>
      <x:c r="C2151" s="6" t="str">
        <x:v>Which is the largest kitchen on the floor 1, and how big is it in m²? Finish with a line 'Answer: &lt;room name or number&gt;, &lt;area&gt; m²'.</x:v>
      </x:c>
      <x:c r="D2151" s="6" t="str">
        <x:v>1.11
Area: 27.45 m²
Space ID: proc-factory-train-009-F1-S011</x:v>
      </x:c>
      <x:c r="E2151" s="6" t="str">
        <x:v>Reference supplied</x:v>
      </x:c>
      <x:c r="F2151" s="6" t="str">
        <x:v>train</x:v>
      </x:c>
      <x:c r="G2151" s="6" t="str">
        <x:v>proc-factory-train-009</x:v>
      </x:c>
      <x:c r="H2151" s="6" t="str">
        <x:v>proc-factory-train-009-H01</x:v>
      </x:c>
      <x:c r="I2151" s="6" t="str">
        <x:v>Area and room selection</x:v>
      </x:c>
      <x:c r="J2151" s="6" t="str">
        <x:v>Benchmark</x:v>
      </x:c>
      <x:c r="K2151" s="6" t="str">
        <x:v>Answer: &lt;accepted room name or ref&gt;, &lt;area&gt; m²</x:v>
      </x:c>
      <x:c r="L2151" s="6" t="str">
        <x:v>T02, T04, T14</x:v>
      </x:c>
      <x:c r="M2151" s="6" t="str">
        <x:v>Choose the largest room of a specified type on a specified floor and give its area.</x:v>
      </x:c>
      <x:c r="N2151" s="6" t="str">
        <x:v>{"type":"space","space_id":"proc-factory-train-009-F1-S011","accept":["1.11","Kitchen 1.11"],"reject":["1.08","Kitchen 1.08","1.13","Kitchen 1.13"],"area":{"type":"number","value":27.45,"unit":"m2","relative_tolerance":0.05,"absolute_tolerance":0}}</x:v>
      </x:c>
      <x:c r="O2151" s="6" t="str">
        <x:v>{"floor_id":"proc-factory-train-009-F1","room_type":"kitchen"}</x:v>
      </x:c>
      <x:c r="P2151" s="6" t="str">
        <x:v>Exact target floor and room_type. Polygon area in m².</x:v>
      </x:c>
      <x:c r="Q2151" s="15" t="n">
        <x:v>27.45</x:v>
      </x:c>
      <x:c r="R2151" s="6" t="str">
        <x:v>m2</x:v>
      </x:c>
      <x:c r="S2151" s="16" t="n">
        <x:v>0.05</x:v>
      </x:c>
      <x:c r="T2151" s="15" t="n">
        <x:v>0</x:v>
      </x:c>
      <x:c r="U2151" s="6" t="str">
        <x:v>Answer: 1.11, 27.45 m²</x:v>
      </x:c>
      <x:c r="V2151" s="6" t="str">
        <x:v>room geometry: area</x:v>
      </x:c>
      <x:c r="W2151" s="6" t="str">
        <x:v>Missing area/ranking tool. Search alone is insufficient.</x:v>
      </x:c>
      <x:c r="X2151" s="6" t="str">
        <x:v>data/train/proc-factory-train-009/questions.jsonl</x:v>
      </x:c>
      <x:c r="Y2151" s="14" t="n">
        <x:v>1</x:v>
      </x:c>
      <x:c r="Z2151" s="6" t="str">
        <x:v>https://github.com/hagenhaeussler/Industrial-Agents-Hackathon-2026/blob/f41616590b69f3ea0c1cbfb41d6c35edd9ce53df/data/train/proc-factory-train-009/questions.jsonl#L1</x:v>
      </x:c>
      <x:c r="AA2151" s="6" t="str">
        <x:v>procedural</x:v>
      </x:c>
      <x:c r="AB2151" s="6" t="str">
        <x:v>CC0-1.0</x:v>
      </x:c>
    </x:row>
    <x:row r="2152" ht="72" customHeight="1">
      <x:c r="A2152" s="14" t="n">
        <x:v>2147</x:v>
      </x:c>
      <x:c r="B2152" s="6" t="str">
        <x:v>largest_room</x:v>
      </x:c>
      <x:c r="C2152" s="6" t="str">
        <x:v>Which is the largest office on the ground floor, and how big is it in m²? Finish with a line 'Answer: &lt;room name or number&gt;, &lt;area&gt; m²'.</x:v>
      </x:c>
      <x:c r="D2152" s="6" t="str">
        <x:v>0.19
Area: 27.1 m²
Space ID: proc-factory-train-015-F0-S019</x:v>
      </x:c>
      <x:c r="E2152" s="6" t="str">
        <x:v>Reference supplied</x:v>
      </x:c>
      <x:c r="F2152" s="6" t="str">
        <x:v>train</x:v>
      </x:c>
      <x:c r="G2152" s="6" t="str">
        <x:v>proc-factory-train-015</x:v>
      </x:c>
      <x:c r="H2152" s="6" t="str">
        <x:v>proc-factory-train-015-H01</x:v>
      </x:c>
      <x:c r="I2152" s="6" t="str">
        <x:v>Area and room selection</x:v>
      </x:c>
      <x:c r="J2152" s="6" t="str">
        <x:v>Benchmark</x:v>
      </x:c>
      <x:c r="K2152" s="6" t="str">
        <x:v>Answer: &lt;accepted room name or ref&gt;, &lt;area&gt; m²</x:v>
      </x:c>
      <x:c r="L2152" s="6" t="str">
        <x:v>T02, T04, T14</x:v>
      </x:c>
      <x:c r="M2152" s="6" t="str">
        <x:v>Choose the largest room of a specified type on a specified floor and give its area.</x:v>
      </x:c>
      <x:c r="N2152" s="6" t="str">
        <x:v>{"type":"space","space_id":"proc-factory-train-015-F0-S019","accept":["0.19","Office 0.19"],"reject":["0.28","Office 0.28","0.17","Office 0.17","0.29","Office 0.29"],"area":{"type":"number","value":27.1,"unit":"m2","relative_tolerance":0.05,"absolute_tolerance":0}}</x:v>
      </x:c>
      <x:c r="O2152" s="6" t="str">
        <x:v>{"floor_id":"proc-factory-train-015-F0","room_type":"office"}</x:v>
      </x:c>
      <x:c r="P2152" s="6" t="str">
        <x:v>Exact target floor and room_type. Polygon area in m².</x:v>
      </x:c>
      <x:c r="Q2152" s="15" t="n">
        <x:v>27.1</x:v>
      </x:c>
      <x:c r="R2152" s="6" t="str">
        <x:v>m2</x:v>
      </x:c>
      <x:c r="S2152" s="16" t="n">
        <x:v>0.05</x:v>
      </x:c>
      <x:c r="T2152" s="15" t="n">
        <x:v>0</x:v>
      </x:c>
      <x:c r="U2152" s="6" t="str">
        <x:v>Answer: 0.19, 27.1 m²</x:v>
      </x:c>
      <x:c r="V2152" s="6" t="str">
        <x:v>room geometry: area</x:v>
      </x:c>
      <x:c r="W2152" s="6" t="str">
        <x:v>Missing area/ranking tool. Search alone is insufficient.</x:v>
      </x:c>
      <x:c r="X2152" s="6" t="str">
        <x:v>data/train/proc-factory-train-015/questions.jsonl</x:v>
      </x:c>
      <x:c r="Y2152" s="14" t="n">
        <x:v>1</x:v>
      </x:c>
      <x:c r="Z2152" s="6" t="str">
        <x:v>https://github.com/hagenhaeussler/Industrial-Agents-Hackathon-2026/blob/f41616590b69f3ea0c1cbfb41d6c35edd9ce53df/data/train/proc-factory-train-015/questions.jsonl#L1</x:v>
      </x:c>
      <x:c r="AA2152" s="6" t="str">
        <x:v>procedural</x:v>
      </x:c>
      <x:c r="AB2152" s="6" t="str">
        <x:v>CC0-1.0</x:v>
      </x:c>
    </x:row>
    <x:row r="2153" ht="72" customHeight="1">
      <x:c r="A2153" s="14" t="n">
        <x:v>2148</x:v>
      </x:c>
      <x:c r="B2153" s="6" t="str">
        <x:v>largest_room</x:v>
      </x:c>
      <x:c r="C2153" s="6" t="str">
        <x:v>Which is the largest bathroom on the ground floor, and how big is it in m²? Finish with a line 'Answer: &lt;room name or number&gt;, &lt;area&gt; m²'.</x:v>
      </x:c>
      <x:c r="D2153" s="6" t="str">
        <x:v>0.06
Area: 7.58 m²
Space ID: resplan-1095-F0-S006</x:v>
      </x:c>
      <x:c r="E2153" s="6" t="str">
        <x:v>Reference supplied</x:v>
      </x:c>
      <x:c r="F2153" s="6" t="str">
        <x:v>train</x:v>
      </x:c>
      <x:c r="G2153" s="6" t="str">
        <x:v>resplan-1095</x:v>
      </x:c>
      <x:c r="H2153" s="6" t="str">
        <x:v>resplan-1095-H01</x:v>
      </x:c>
      <x:c r="I2153" s="6" t="str">
        <x:v>Area and room selection</x:v>
      </x:c>
      <x:c r="J2153" s="6" t="str">
        <x:v>Benchmark</x:v>
      </x:c>
      <x:c r="K2153" s="6" t="str">
        <x:v>Answer: &lt;accepted room name or ref&gt;, &lt;area&gt; m²</x:v>
      </x:c>
      <x:c r="L2153" s="6" t="str">
        <x:v>T02, T04, T14</x:v>
      </x:c>
      <x:c r="M2153" s="6" t="str">
        <x:v>Choose the largest room of a specified type on a specified floor and give its area.</x:v>
      </x:c>
      <x:c r="N2153" s="6" t="str">
        <x:v>{"type":"space","space_id":"resplan-1095-F0-S006","accept":["0.06","Bathroom 0.06"],"reject":["0.07","Bathroom 0.07","0.05","Bathroom 0.05"],"area":{"type":"number","value":7.58,"unit":"m2","relative_tolerance":0.05,"absolute_tolerance":0}}</x:v>
      </x:c>
      <x:c r="O2153" s="6" t="str">
        <x:v>{"floor_id":"resplan-1095-F0","room_type":"bathroom"}</x:v>
      </x:c>
      <x:c r="P2153" s="6" t="str">
        <x:v>Exact target floor and room_type. Polygon area in m².</x:v>
      </x:c>
      <x:c r="Q2153" s="15" t="n">
        <x:v>7.58</x:v>
      </x:c>
      <x:c r="R2153" s="6" t="str">
        <x:v>m2</x:v>
      </x:c>
      <x:c r="S2153" s="16" t="n">
        <x:v>0.05</x:v>
      </x:c>
      <x:c r="T2153" s="15" t="n">
        <x:v>0</x:v>
      </x:c>
      <x:c r="U2153" s="6" t="str">
        <x:v>Answer: 0.06, 7.58 m²</x:v>
      </x:c>
      <x:c r="V2153" s="6" t="str">
        <x:v>room geometry: area</x:v>
      </x:c>
      <x:c r="W2153" s="6" t="str">
        <x:v>Missing area/ranking tool. Search alone is insufficient.</x:v>
      </x:c>
      <x:c r="X2153" s="6" t="str">
        <x:v>data/train/resplan-1095/questions.jsonl</x:v>
      </x:c>
      <x:c r="Y2153" s="14" t="n">
        <x:v>1</x:v>
      </x:c>
      <x:c r="Z2153" s="6" t="str">
        <x:v>https://github.com/hagenhaeussler/Industrial-Agents-Hackathon-2026/blob/f41616590b69f3ea0c1cbfb41d6c35edd9ce53df/data/train/resplan-1095/questions.jsonl#L1</x:v>
      </x:c>
      <x:c r="AA2153" s="6" t="str">
        <x:v>resplan</x:v>
      </x:c>
      <x:c r="AB2153" s="6" t="str">
        <x:v>CC-BY-4.0</x:v>
      </x:c>
    </x:row>
    <x:row r="2154" ht="72" customHeight="1">
      <x:c r="A2154" s="14" t="n">
        <x:v>2149</x:v>
      </x:c>
      <x:c r="B2154" s="6" t="str">
        <x:v>largest_room</x:v>
      </x:c>
      <x:c r="C2154" s="6" t="str">
        <x:v>Which is the largest bedroom on the ground floor, and how big is it in m²? Finish with a line 'Answer: &lt;room name or number&gt;, &lt;area&gt; m²'.</x:v>
      </x:c>
      <x:c r="D2154" s="6" t="str">
        <x:v>0.02
Area: 19.99 m²
Space ID: resplan-120-F0-S002</x:v>
      </x:c>
      <x:c r="E2154" s="6" t="str">
        <x:v>Reference supplied</x:v>
      </x:c>
      <x:c r="F2154" s="6" t="str">
        <x:v>train</x:v>
      </x:c>
      <x:c r="G2154" s="6" t="str">
        <x:v>resplan-120</x:v>
      </x:c>
      <x:c r="H2154" s="6" t="str">
        <x:v>resplan-120-H01</x:v>
      </x:c>
      <x:c r="I2154" s="6" t="str">
        <x:v>Area and room selection</x:v>
      </x:c>
      <x:c r="J2154" s="6" t="str">
        <x:v>Benchmark</x:v>
      </x:c>
      <x:c r="K2154" s="6" t="str">
        <x:v>Answer: &lt;accepted room name or ref&gt;, &lt;area&gt; m²</x:v>
      </x:c>
      <x:c r="L2154" s="6" t="str">
        <x:v>T02, T04, T14</x:v>
      </x:c>
      <x:c r="M2154" s="6" t="str">
        <x:v>Choose the largest room of a specified type on a specified floor and give its area.</x:v>
      </x:c>
      <x:c r="N2154" s="6" t="str">
        <x:v>{"type":"space","space_id":"resplan-120-F0-S002","accept":["0.02","Bedroom 0.02"],"reject":["0.04","Bedroom 0.04","0.03","Bedroom 0.03"],"area":{"type":"number","value":19.99,"unit":"m2","relative_tolerance":0.05,"absolute_tolerance":0}}</x:v>
      </x:c>
      <x:c r="O2154" s="6" t="str">
        <x:v>{"floor_id":"resplan-120-F0","room_type":"bedroom"}</x:v>
      </x:c>
      <x:c r="P2154" s="6" t="str">
        <x:v>Exact target floor and room_type. Polygon area in m².</x:v>
      </x:c>
      <x:c r="Q2154" s="15" t="n">
        <x:v>19.99</x:v>
      </x:c>
      <x:c r="R2154" s="6" t="str">
        <x:v>m2</x:v>
      </x:c>
      <x:c r="S2154" s="16" t="n">
        <x:v>0.05</x:v>
      </x:c>
      <x:c r="T2154" s="15" t="n">
        <x:v>0</x:v>
      </x:c>
      <x:c r="U2154" s="6" t="str">
        <x:v>Answer: 0.02, 19.99 m²</x:v>
      </x:c>
      <x:c r="V2154" s="6" t="str">
        <x:v>room geometry: area</x:v>
      </x:c>
      <x:c r="W2154" s="6" t="str">
        <x:v>Missing area/ranking tool. Search alone is insufficient.</x:v>
      </x:c>
      <x:c r="X2154" s="6" t="str">
        <x:v>data/train/resplan-120/questions.jsonl</x:v>
      </x:c>
      <x:c r="Y2154" s="14" t="n">
        <x:v>1</x:v>
      </x:c>
      <x:c r="Z2154" s="6" t="str">
        <x:v>https://github.com/hagenhaeussler/Industrial-Agents-Hackathon-2026/blob/f41616590b69f3ea0c1cbfb41d6c35edd9ce53df/data/train/resplan-120/questions.jsonl#L1</x:v>
      </x:c>
      <x:c r="AA2154" s="6" t="str">
        <x:v>resplan</x:v>
      </x:c>
      <x:c r="AB2154" s="6" t="str">
        <x:v>CC-BY-4.0</x:v>
      </x:c>
    </x:row>
    <x:row r="2155" ht="72" customHeight="1">
      <x:c r="A2155" s="14" t="n">
        <x:v>2150</x:v>
      </x:c>
      <x:c r="B2155" s="6" t="str">
        <x:v>largest_room</x:v>
      </x:c>
      <x:c r="C2155" s="6" t="str">
        <x:v>Which is the largest bathroom on the ground floor, and how big is it in m²? Finish with a line 'Answer: &lt;room name or number&gt;, &lt;area&gt; m²'.</x:v>
      </x:c>
      <x:c r="D2155" s="6" t="str">
        <x:v>0.06
Area: 10.9 m²
Space ID: resplan-12985-F0-S006</x:v>
      </x:c>
      <x:c r="E2155" s="6" t="str">
        <x:v>Reference supplied</x:v>
      </x:c>
      <x:c r="F2155" s="6" t="str">
        <x:v>train</x:v>
      </x:c>
      <x:c r="G2155" s="6" t="str">
        <x:v>resplan-12985</x:v>
      </x:c>
      <x:c r="H2155" s="6" t="str">
        <x:v>resplan-12985-H01</x:v>
      </x:c>
      <x:c r="I2155" s="6" t="str">
        <x:v>Area and room selection</x:v>
      </x:c>
      <x:c r="J2155" s="6" t="str">
        <x:v>Benchmark</x:v>
      </x:c>
      <x:c r="K2155" s="6" t="str">
        <x:v>Answer: &lt;accepted room name or ref&gt;, &lt;area&gt; m²</x:v>
      </x:c>
      <x:c r="L2155" s="6" t="str">
        <x:v>T02, T04, T14</x:v>
      </x:c>
      <x:c r="M2155" s="6" t="str">
        <x:v>Choose the largest room of a specified type on a specified floor and give its area.</x:v>
      </x:c>
      <x:c r="N2155" s="6" t="str">
        <x:v>{"type":"space","space_id":"resplan-12985-F0-S006","accept":["0.06","Bathroom 0.06"],"reject":["0.07","Bathroom 0.07","0.09","Bathroom 0.09","0.08","Bathroom 0.08"],"area":{"type":"number","value":10.9,"unit":"m2","relative_tolerance":0.05,"absolute_tolerance":0}}</x:v>
      </x:c>
      <x:c r="O2155" s="6" t="str">
        <x:v>{"floor_id":"resplan-12985-F0","room_type":"bathroom"}</x:v>
      </x:c>
      <x:c r="P2155" s="6" t="str">
        <x:v>Exact target floor and room_type. Polygon area in m².</x:v>
      </x:c>
      <x:c r="Q2155" s="15" t="n">
        <x:v>10.9</x:v>
      </x:c>
      <x:c r="R2155" s="6" t="str">
        <x:v>m2</x:v>
      </x:c>
      <x:c r="S2155" s="16" t="n">
        <x:v>0.05</x:v>
      </x:c>
      <x:c r="T2155" s="15" t="n">
        <x:v>0</x:v>
      </x:c>
      <x:c r="U2155" s="6" t="str">
        <x:v>Answer: 0.06, 10.9 m²</x:v>
      </x:c>
      <x:c r="V2155" s="6" t="str">
        <x:v>room geometry: area</x:v>
      </x:c>
      <x:c r="W2155" s="6" t="str">
        <x:v>Missing area/ranking tool. Search alone is insufficient.</x:v>
      </x:c>
      <x:c r="X2155" s="6" t="str">
        <x:v>data/train/resplan-12985/questions.jsonl</x:v>
      </x:c>
      <x:c r="Y2155" s="14" t="n">
        <x:v>1</x:v>
      </x:c>
      <x:c r="Z2155" s="6" t="str">
        <x:v>https://github.com/hagenhaeussler/Industrial-Agents-Hackathon-2026/blob/f41616590b69f3ea0c1cbfb41d6c35edd9ce53df/data/train/resplan-12985/questions.jsonl#L1</x:v>
      </x:c>
      <x:c r="AA2155" s="6" t="str">
        <x:v>resplan</x:v>
      </x:c>
      <x:c r="AB2155" s="6" t="str">
        <x:v>CC-BY-4.0</x:v>
      </x:c>
    </x:row>
    <x:row r="2156" ht="72" customHeight="1">
      <x:c r="A2156" s="14" t="n">
        <x:v>2151</x:v>
      </x:c>
      <x:c r="B2156" s="6" t="str">
        <x:v>largest_room</x:v>
      </x:c>
      <x:c r="C2156" s="6" t="str">
        <x:v>Which is the largest bedroom on the ground floor, and how big is it in m²? Finish with a line 'Answer: &lt;room name or number&gt;, &lt;area&gt; m²'.</x:v>
      </x:c>
      <x:c r="D2156" s="6" t="str">
        <x:v>0.02
Area: 18.26 m²
Space ID: resplan-13024-F0-S002</x:v>
      </x:c>
      <x:c r="E2156" s="6" t="str">
        <x:v>Reference supplied</x:v>
      </x:c>
      <x:c r="F2156" s="6" t="str">
        <x:v>train</x:v>
      </x:c>
      <x:c r="G2156" s="6" t="str">
        <x:v>resplan-13024</x:v>
      </x:c>
      <x:c r="H2156" s="6" t="str">
        <x:v>resplan-13024-H01</x:v>
      </x:c>
      <x:c r="I2156" s="6" t="str">
        <x:v>Area and room selection</x:v>
      </x:c>
      <x:c r="J2156" s="6" t="str">
        <x:v>Benchmark</x:v>
      </x:c>
      <x:c r="K2156" s="6" t="str">
        <x:v>Answer: &lt;accepted room name or ref&gt;, &lt;area&gt; m²</x:v>
      </x:c>
      <x:c r="L2156" s="6" t="str">
        <x:v>T02, T04, T14</x:v>
      </x:c>
      <x:c r="M2156" s="6" t="str">
        <x:v>Choose the largest room of a specified type on a specified floor and give its area.</x:v>
      </x:c>
      <x:c r="N2156" s="6" t="str">
        <x:v>{"type":"space","space_id":"resplan-13024-F0-S002","accept":["0.02","Bedroom 0.02"],"reject":["0.03","Bedroom 0.03","0.04","Bedroom 0.04"],"area":{"type":"number","value":18.26,"unit":"m2","relative_tolerance":0.05,"absolute_tolerance":0}}</x:v>
      </x:c>
      <x:c r="O2156" s="6" t="str">
        <x:v>{"floor_id":"resplan-13024-F0","room_type":"bedroom"}</x:v>
      </x:c>
      <x:c r="P2156" s="6" t="str">
        <x:v>Exact target floor and room_type. Polygon area in m².</x:v>
      </x:c>
      <x:c r="Q2156" s="15" t="n">
        <x:v>18.26</x:v>
      </x:c>
      <x:c r="R2156" s="6" t="str">
        <x:v>m2</x:v>
      </x:c>
      <x:c r="S2156" s="16" t="n">
        <x:v>0.05</x:v>
      </x:c>
      <x:c r="T2156" s="15" t="n">
        <x:v>0</x:v>
      </x:c>
      <x:c r="U2156" s="6" t="str">
        <x:v>Answer: 0.02, 18.26 m²</x:v>
      </x:c>
      <x:c r="V2156" s="6" t="str">
        <x:v>room geometry: area</x:v>
      </x:c>
      <x:c r="W2156" s="6" t="str">
        <x:v>Missing area/ranking tool. Search alone is insufficient.</x:v>
      </x:c>
      <x:c r="X2156" s="6" t="str">
        <x:v>data/train/resplan-13024/questions.jsonl</x:v>
      </x:c>
      <x:c r="Y2156" s="14" t="n">
        <x:v>1</x:v>
      </x:c>
      <x:c r="Z2156" s="6" t="str">
        <x:v>https://github.com/hagenhaeussler/Industrial-Agents-Hackathon-2026/blob/f41616590b69f3ea0c1cbfb41d6c35edd9ce53df/data/train/resplan-13024/questions.jsonl#L1</x:v>
      </x:c>
      <x:c r="AA2156" s="6" t="str">
        <x:v>resplan</x:v>
      </x:c>
      <x:c r="AB2156" s="6" t="str">
        <x:v>CC-BY-4.0</x:v>
      </x:c>
    </x:row>
    <x:row r="2157" ht="72" customHeight="1">
      <x:c r="A2157" s="14" t="n">
        <x:v>2152</x:v>
      </x:c>
      <x:c r="B2157" s="6" t="str">
        <x:v>largest_room</x:v>
      </x:c>
      <x:c r="C2157" s="6" t="str">
        <x:v>Which is the largest bedroom on the ground floor, and how big is it in m²? Finish with a line 'Answer: &lt;room name or number&gt;, &lt;area&gt; m²'.</x:v>
      </x:c>
      <x:c r="D2157" s="6" t="str">
        <x:v>0.02
Area: 26.15 m²
Space ID: resplan-14602-F0-S002</x:v>
      </x:c>
      <x:c r="E2157" s="6" t="str">
        <x:v>Reference supplied</x:v>
      </x:c>
      <x:c r="F2157" s="6" t="str">
        <x:v>train</x:v>
      </x:c>
      <x:c r="G2157" s="6" t="str">
        <x:v>resplan-14602</x:v>
      </x:c>
      <x:c r="H2157" s="6" t="str">
        <x:v>resplan-14602-H01</x:v>
      </x:c>
      <x:c r="I2157" s="6" t="str">
        <x:v>Area and room selection</x:v>
      </x:c>
      <x:c r="J2157" s="6" t="str">
        <x:v>Benchmark</x:v>
      </x:c>
      <x:c r="K2157" s="6" t="str">
        <x:v>Answer: &lt;accepted room name or ref&gt;, &lt;area&gt; m²</x:v>
      </x:c>
      <x:c r="L2157" s="6" t="str">
        <x:v>T02, T04, T14</x:v>
      </x:c>
      <x:c r="M2157" s="6" t="str">
        <x:v>Choose the largest room of a specified type on a specified floor and give its area.</x:v>
      </x:c>
      <x:c r="N2157" s="6" t="str">
        <x:v>{"type":"space","space_id":"resplan-14602-F0-S002","accept":["0.02","Bedroom 0.02"],"reject":["0.03","Bedroom 0.03","0.04","Bedroom 0.04"],"area":{"type":"number","value":26.15,"unit":"m2","relative_tolerance":0.05,"absolute_tolerance":0}}</x:v>
      </x:c>
      <x:c r="O2157" s="6" t="str">
        <x:v>{"floor_id":"resplan-14602-F0","room_type":"bedroom"}</x:v>
      </x:c>
      <x:c r="P2157" s="6" t="str">
        <x:v>Exact target floor and room_type. Polygon area in m².</x:v>
      </x:c>
      <x:c r="Q2157" s="15" t="n">
        <x:v>26.15</x:v>
      </x:c>
      <x:c r="R2157" s="6" t="str">
        <x:v>m2</x:v>
      </x:c>
      <x:c r="S2157" s="16" t="n">
        <x:v>0.05</x:v>
      </x:c>
      <x:c r="T2157" s="15" t="n">
        <x:v>0</x:v>
      </x:c>
      <x:c r="U2157" s="6" t="str">
        <x:v>Answer: 0.02, 26.15 m²</x:v>
      </x:c>
      <x:c r="V2157" s="6" t="str">
        <x:v>room geometry: area</x:v>
      </x:c>
      <x:c r="W2157" s="6" t="str">
        <x:v>Missing area/ranking tool. Search alone is insufficient.</x:v>
      </x:c>
      <x:c r="X2157" s="6" t="str">
        <x:v>data/train/resplan-14602/questions.jsonl</x:v>
      </x:c>
      <x:c r="Y2157" s="14" t="n">
        <x:v>1</x:v>
      </x:c>
      <x:c r="Z2157" s="6" t="str">
        <x:v>https://github.com/hagenhaeussler/Industrial-Agents-Hackathon-2026/blob/f41616590b69f3ea0c1cbfb41d6c35edd9ce53df/data/train/resplan-14602/questions.jsonl#L1</x:v>
      </x:c>
      <x:c r="AA2157" s="6" t="str">
        <x:v>resplan</x:v>
      </x:c>
      <x:c r="AB2157" s="6" t="str">
        <x:v>CC-BY-4.0</x:v>
      </x:c>
    </x:row>
    <x:row r="2158" ht="72" customHeight="1">
      <x:c r="A2158" s="14" t="n">
        <x:v>2153</x:v>
      </x:c>
      <x:c r="B2158" s="6" t="str">
        <x:v>largest_room</x:v>
      </x:c>
      <x:c r="C2158" s="6" t="str">
        <x:v>Which is the largest bathroom on the ground floor, and how big is it in m²? Finish with a line 'Answer: &lt;room name or number&gt;, &lt;area&gt; m²'.</x:v>
      </x:c>
      <x:c r="D2158" s="6" t="str">
        <x:v>0.05
Area: 6.26 m²
Space ID: resplan-16484-F0-S005</x:v>
      </x:c>
      <x:c r="E2158" s="6" t="str">
        <x:v>Reference supplied</x:v>
      </x:c>
      <x:c r="F2158" s="6" t="str">
        <x:v>train</x:v>
      </x:c>
      <x:c r="G2158" s="6" t="str">
        <x:v>resplan-16484</x:v>
      </x:c>
      <x:c r="H2158" s="6" t="str">
        <x:v>resplan-16484-H01</x:v>
      </x:c>
      <x:c r="I2158" s="6" t="str">
        <x:v>Area and room selection</x:v>
      </x:c>
      <x:c r="J2158" s="6" t="str">
        <x:v>Benchmark</x:v>
      </x:c>
      <x:c r="K2158" s="6" t="str">
        <x:v>Answer: &lt;accepted room name or ref&gt;, &lt;area&gt; m²</x:v>
      </x:c>
      <x:c r="L2158" s="6" t="str">
        <x:v>T02, T04, T14</x:v>
      </x:c>
      <x:c r="M2158" s="6" t="str">
        <x:v>Choose the largest room of a specified type on a specified floor and give its area.</x:v>
      </x:c>
      <x:c r="N2158" s="6" t="str">
        <x:v>{"type":"space","space_id":"resplan-16484-F0-S005","accept":["0.05","Bathroom 0.05"],"reject":["0.07","Bathroom 0.07","0.06","Bathroom 0.06"],"area":{"type":"number","value":6.26,"unit":"m2","relative_tolerance":0.05,"absolute_tolerance":0}}</x:v>
      </x:c>
      <x:c r="O2158" s="6" t="str">
        <x:v>{"floor_id":"resplan-16484-F0","room_type":"bathroom"}</x:v>
      </x:c>
      <x:c r="P2158" s="6" t="str">
        <x:v>Exact target floor and room_type. Polygon area in m².</x:v>
      </x:c>
      <x:c r="Q2158" s="15" t="n">
        <x:v>6.26</x:v>
      </x:c>
      <x:c r="R2158" s="6" t="str">
        <x:v>m2</x:v>
      </x:c>
      <x:c r="S2158" s="16" t="n">
        <x:v>0.05</x:v>
      </x:c>
      <x:c r="T2158" s="15" t="n">
        <x:v>0</x:v>
      </x:c>
      <x:c r="U2158" s="6" t="str">
        <x:v>Answer: 0.05, 6.26 m²</x:v>
      </x:c>
      <x:c r="V2158" s="6" t="str">
        <x:v>room geometry: area</x:v>
      </x:c>
      <x:c r="W2158" s="6" t="str">
        <x:v>Missing area/ranking tool. Search alone is insufficient.</x:v>
      </x:c>
      <x:c r="X2158" s="6" t="str">
        <x:v>data/train/resplan-16484/questions.jsonl</x:v>
      </x:c>
      <x:c r="Y2158" s="14" t="n">
        <x:v>1</x:v>
      </x:c>
      <x:c r="Z2158" s="6" t="str">
        <x:v>https://github.com/hagenhaeussler/Industrial-Agents-Hackathon-2026/blob/f41616590b69f3ea0c1cbfb41d6c35edd9ce53df/data/train/resplan-16484/questions.jsonl#L1</x:v>
      </x:c>
      <x:c r="AA2158" s="6" t="str">
        <x:v>resplan</x:v>
      </x:c>
      <x:c r="AB2158" s="6" t="str">
        <x:v>CC-BY-4.0</x:v>
      </x:c>
    </x:row>
    <x:row r="2159" ht="72" customHeight="1">
      <x:c r="A2159" s="14" t="n">
        <x:v>2154</x:v>
      </x:c>
      <x:c r="B2159" s="6" t="str">
        <x:v>largest_room</x:v>
      </x:c>
      <x:c r="C2159" s="6" t="str">
        <x:v>Which is the largest bedroom on the ground floor, and how big is it in m²? Finish with a line 'Answer: &lt;room name or number&gt;, &lt;area&gt; m²'.</x:v>
      </x:c>
      <x:c r="D2159" s="6" t="str">
        <x:v>0.03
Area: 18.56 m²
Space ID: resplan-16778-F0-S003</x:v>
      </x:c>
      <x:c r="E2159" s="6" t="str">
        <x:v>Reference supplied</x:v>
      </x:c>
      <x:c r="F2159" s="6" t="str">
        <x:v>train</x:v>
      </x:c>
      <x:c r="G2159" s="6" t="str">
        <x:v>resplan-16778</x:v>
      </x:c>
      <x:c r="H2159" s="6" t="str">
        <x:v>resplan-16778-H01</x:v>
      </x:c>
      <x:c r="I2159" s="6" t="str">
        <x:v>Area and room selection</x:v>
      </x:c>
      <x:c r="J2159" s="6" t="str">
        <x:v>Benchmark</x:v>
      </x:c>
      <x:c r="K2159" s="6" t="str">
        <x:v>Answer: &lt;accepted room name or ref&gt;, &lt;area&gt; m²</x:v>
      </x:c>
      <x:c r="L2159" s="6" t="str">
        <x:v>T02, T04, T14</x:v>
      </x:c>
      <x:c r="M2159" s="6" t="str">
        <x:v>Choose the largest room of a specified type on a specified floor and give its area.</x:v>
      </x:c>
      <x:c r="N2159" s="6" t="str">
        <x:v>{"type":"space","space_id":"resplan-16778-F0-S003","accept":["0.03","Bedroom 0.03"],"reject":["0.04","Bedroom 0.04","0.02","Bedroom 0.02"],"area":{"type":"number","value":18.56,"unit":"m2","relative_tolerance":0.05,"absolute_tolerance":0}}</x:v>
      </x:c>
      <x:c r="O2159" s="6" t="str">
        <x:v>{"floor_id":"resplan-16778-F0","room_type":"bedroom"}</x:v>
      </x:c>
      <x:c r="P2159" s="6" t="str">
        <x:v>Exact target floor and room_type. Polygon area in m².</x:v>
      </x:c>
      <x:c r="Q2159" s="15" t="n">
        <x:v>18.56</x:v>
      </x:c>
      <x:c r="R2159" s="6" t="str">
        <x:v>m2</x:v>
      </x:c>
      <x:c r="S2159" s="16" t="n">
        <x:v>0.05</x:v>
      </x:c>
      <x:c r="T2159" s="15" t="n">
        <x:v>0</x:v>
      </x:c>
      <x:c r="U2159" s="6" t="str">
        <x:v>Answer: 0.03, 18.56 m²</x:v>
      </x:c>
      <x:c r="V2159" s="6" t="str">
        <x:v>room geometry: area</x:v>
      </x:c>
      <x:c r="W2159" s="6" t="str">
        <x:v>Missing area/ranking tool. Search alone is insufficient.</x:v>
      </x:c>
      <x:c r="X2159" s="6" t="str">
        <x:v>data/train/resplan-16778/questions.jsonl</x:v>
      </x:c>
      <x:c r="Y2159" s="14" t="n">
        <x:v>1</x:v>
      </x:c>
      <x:c r="Z2159" s="6" t="str">
        <x:v>https://github.com/hagenhaeussler/Industrial-Agents-Hackathon-2026/blob/f41616590b69f3ea0c1cbfb41d6c35edd9ce53df/data/train/resplan-16778/questions.jsonl#L1</x:v>
      </x:c>
      <x:c r="AA2159" s="6" t="str">
        <x:v>resplan</x:v>
      </x:c>
      <x:c r="AB2159" s="6" t="str">
        <x:v>CC-BY-4.0</x:v>
      </x:c>
    </x:row>
    <x:row r="2160" ht="72" customHeight="1">
      <x:c r="A2160" s="14" t="n">
        <x:v>2155</x:v>
      </x:c>
      <x:c r="B2160" s="6" t="str">
        <x:v>largest_room</x:v>
      </x:c>
      <x:c r="C2160" s="6" t="str">
        <x:v>Which is the largest bathroom on the ground floor, and how big is it in m²? Finish with a line 'Answer: &lt;room name or number&gt;, &lt;area&gt; m²'.</x:v>
      </x:c>
      <x:c r="D2160" s="6" t="str">
        <x:v>0.04
Area: 5.79 m²
Space ID: resplan-2515-F0-S004</x:v>
      </x:c>
      <x:c r="E2160" s="6" t="str">
        <x:v>Reference supplied</x:v>
      </x:c>
      <x:c r="F2160" s="6" t="str">
        <x:v>train</x:v>
      </x:c>
      <x:c r="G2160" s="6" t="str">
        <x:v>resplan-2515</x:v>
      </x:c>
      <x:c r="H2160" s="6" t="str">
        <x:v>resplan-2515-H01</x:v>
      </x:c>
      <x:c r="I2160" s="6" t="str">
        <x:v>Area and room selection</x:v>
      </x:c>
      <x:c r="J2160" s="6" t="str">
        <x:v>Benchmark</x:v>
      </x:c>
      <x:c r="K2160" s="6" t="str">
        <x:v>Answer: &lt;accepted room name or ref&gt;, &lt;area&gt; m²</x:v>
      </x:c>
      <x:c r="L2160" s="6" t="str">
        <x:v>T02, T04, T14</x:v>
      </x:c>
      <x:c r="M2160" s="6" t="str">
        <x:v>Choose the largest room of a specified type on a specified floor and give its area.</x:v>
      </x:c>
      <x:c r="N2160" s="6" t="str">
        <x:v>{"type":"space","space_id":"resplan-2515-F0-S004","accept":["0.04","Bathroom 0.04"],"reject":["0.05","Bathroom 0.05","0.06","Bathroom 0.06"],"area":{"type":"number","value":5.79,"unit":"m2","relative_tolerance":0.05,"absolute_tolerance":0}}</x:v>
      </x:c>
      <x:c r="O2160" s="6" t="str">
        <x:v>{"floor_id":"resplan-2515-F0","room_type":"bathroom"}</x:v>
      </x:c>
      <x:c r="P2160" s="6" t="str">
        <x:v>Exact target floor and room_type. Polygon area in m².</x:v>
      </x:c>
      <x:c r="Q2160" s="15" t="n">
        <x:v>5.79</x:v>
      </x:c>
      <x:c r="R2160" s="6" t="str">
        <x:v>m2</x:v>
      </x:c>
      <x:c r="S2160" s="16" t="n">
        <x:v>0.05</x:v>
      </x:c>
      <x:c r="T2160" s="15" t="n">
        <x:v>0</x:v>
      </x:c>
      <x:c r="U2160" s="6" t="str">
        <x:v>Answer: 0.04, 5.79 m²</x:v>
      </x:c>
      <x:c r="V2160" s="6" t="str">
        <x:v>room geometry: area</x:v>
      </x:c>
      <x:c r="W2160" s="6" t="str">
        <x:v>Missing area/ranking tool. Search alone is insufficient.</x:v>
      </x:c>
      <x:c r="X2160" s="6" t="str">
        <x:v>data/train/resplan-2515/questions.jsonl</x:v>
      </x:c>
      <x:c r="Y2160" s="14" t="n">
        <x:v>1</x:v>
      </x:c>
      <x:c r="Z2160" s="6" t="str">
        <x:v>https://github.com/hagenhaeussler/Industrial-Agents-Hackathon-2026/blob/f41616590b69f3ea0c1cbfb41d6c35edd9ce53df/data/train/resplan-2515/questions.jsonl#L1</x:v>
      </x:c>
      <x:c r="AA2160" s="6" t="str">
        <x:v>resplan</x:v>
      </x:c>
      <x:c r="AB2160" s="6" t="str">
        <x:v>CC-BY-4.0</x:v>
      </x:c>
    </x:row>
    <x:row r="2161" ht="72" customHeight="1">
      <x:c r="A2161" s="14" t="n">
        <x:v>2156</x:v>
      </x:c>
      <x:c r="B2161" s="6" t="str">
        <x:v>largest_room</x:v>
      </x:c>
      <x:c r="C2161" s="6" t="str">
        <x:v>Which is the largest bathroom on the ground floor, and how big is it in m²? Finish with a line 'Answer: &lt;room name or number&gt;, &lt;area&gt; m²'.</x:v>
      </x:c>
      <x:c r="D2161" s="6" t="str">
        <x:v>0.07
Area: 4.43 m²
Space ID: resplan-3221-F0-S007</x:v>
      </x:c>
      <x:c r="E2161" s="6" t="str">
        <x:v>Reference supplied</x:v>
      </x:c>
      <x:c r="F2161" s="6" t="str">
        <x:v>train</x:v>
      </x:c>
      <x:c r="G2161" s="6" t="str">
        <x:v>resplan-3221</x:v>
      </x:c>
      <x:c r="H2161" s="6" t="str">
        <x:v>resplan-3221-H01</x:v>
      </x:c>
      <x:c r="I2161" s="6" t="str">
        <x:v>Area and room selection</x:v>
      </x:c>
      <x:c r="J2161" s="6" t="str">
        <x:v>Benchmark</x:v>
      </x:c>
      <x:c r="K2161" s="6" t="str">
        <x:v>Answer: &lt;accepted room name or ref&gt;, &lt;area&gt; m²</x:v>
      </x:c>
      <x:c r="L2161" s="6" t="str">
        <x:v>T02, T04, T14</x:v>
      </x:c>
      <x:c r="M2161" s="6" t="str">
        <x:v>Choose the largest room of a specified type on a specified floor and give its area.</x:v>
      </x:c>
      <x:c r="N2161" s="6" t="str">
        <x:v>{"type":"space","space_id":"resplan-3221-F0-S007","accept":["0.07","Bathroom 0.07"],"reject":["0.08","Bathroom 0.08","0.06","Bathroom 0.06"],"area":{"type":"number","value":4.43,"unit":"m2","relative_tolerance":0.05,"absolute_tolerance":0}}</x:v>
      </x:c>
      <x:c r="O2161" s="6" t="str">
        <x:v>{"floor_id":"resplan-3221-F0","room_type":"bathroom"}</x:v>
      </x:c>
      <x:c r="P2161" s="6" t="str">
        <x:v>Exact target floor and room_type. Polygon area in m².</x:v>
      </x:c>
      <x:c r="Q2161" s="15" t="n">
        <x:v>4.43</x:v>
      </x:c>
      <x:c r="R2161" s="6" t="str">
        <x:v>m2</x:v>
      </x:c>
      <x:c r="S2161" s="16" t="n">
        <x:v>0.05</x:v>
      </x:c>
      <x:c r="T2161" s="15" t="n">
        <x:v>0</x:v>
      </x:c>
      <x:c r="U2161" s="6" t="str">
        <x:v>Answer: 0.07, 4.43 m²</x:v>
      </x:c>
      <x:c r="V2161" s="6" t="str">
        <x:v>room geometry: area</x:v>
      </x:c>
      <x:c r="W2161" s="6" t="str">
        <x:v>Missing area/ranking tool. Search alone is insufficient.</x:v>
      </x:c>
      <x:c r="X2161" s="6" t="str">
        <x:v>data/train/resplan-3221/questions.jsonl</x:v>
      </x:c>
      <x:c r="Y2161" s="14" t="n">
        <x:v>1</x:v>
      </x:c>
      <x:c r="Z2161" s="6" t="str">
        <x:v>https://github.com/hagenhaeussler/Industrial-Agents-Hackathon-2026/blob/f41616590b69f3ea0c1cbfb41d6c35edd9ce53df/data/train/resplan-3221/questions.jsonl#L1</x:v>
      </x:c>
      <x:c r="AA2161" s="6" t="str">
        <x:v>resplan</x:v>
      </x:c>
      <x:c r="AB2161" s="6" t="str">
        <x:v>CC-BY-4.0</x:v>
      </x:c>
    </x:row>
    <x:row r="2162" ht="72" customHeight="1">
      <x:c r="A2162" s="14" t="n">
        <x:v>2157</x:v>
      </x:c>
      <x:c r="B2162" s="6" t="str">
        <x:v>largest_room</x:v>
      </x:c>
      <x:c r="C2162" s="6" t="str">
        <x:v>Which is the largest bedroom on the ground floor, and how big is it in m²? Finish with a line 'Answer: &lt;room name or number&gt;, &lt;area&gt; m²'.</x:v>
      </x:c>
      <x:c r="D2162" s="6" t="str">
        <x:v>0.02
Area: 16.06 m²
Space ID: resplan-4453-F0-S002</x:v>
      </x:c>
      <x:c r="E2162" s="6" t="str">
        <x:v>Reference supplied</x:v>
      </x:c>
      <x:c r="F2162" s="6" t="str">
        <x:v>train</x:v>
      </x:c>
      <x:c r="G2162" s="6" t="str">
        <x:v>resplan-4453</x:v>
      </x:c>
      <x:c r="H2162" s="6" t="str">
        <x:v>resplan-4453-H01</x:v>
      </x:c>
      <x:c r="I2162" s="6" t="str">
        <x:v>Area and room selection</x:v>
      </x:c>
      <x:c r="J2162" s="6" t="str">
        <x:v>Benchmark</x:v>
      </x:c>
      <x:c r="K2162" s="6" t="str">
        <x:v>Answer: &lt;accepted room name or ref&gt;, &lt;area&gt; m²</x:v>
      </x:c>
      <x:c r="L2162" s="6" t="str">
        <x:v>T02, T04, T14</x:v>
      </x:c>
      <x:c r="M2162" s="6" t="str">
        <x:v>Choose the largest room of a specified type on a specified floor and give its area.</x:v>
      </x:c>
      <x:c r="N2162" s="6" t="str">
        <x:v>{"type":"space","space_id":"resplan-4453-F0-S002","accept":["0.02","Bedroom 0.02"],"reject":["0.03","Bedroom 0.03","0.04","Bedroom 0.04"],"area":{"type":"number","value":16.06,"unit":"m2","relative_tolerance":0.05,"absolute_tolerance":0}}</x:v>
      </x:c>
      <x:c r="O2162" s="6" t="str">
        <x:v>{"floor_id":"resplan-4453-F0","room_type":"bedroom"}</x:v>
      </x:c>
      <x:c r="P2162" s="6" t="str">
        <x:v>Exact target floor and room_type. Polygon area in m².</x:v>
      </x:c>
      <x:c r="Q2162" s="15" t="n">
        <x:v>16.06</x:v>
      </x:c>
      <x:c r="R2162" s="6" t="str">
        <x:v>m2</x:v>
      </x:c>
      <x:c r="S2162" s="16" t="n">
        <x:v>0.05</x:v>
      </x:c>
      <x:c r="T2162" s="15" t="n">
        <x:v>0</x:v>
      </x:c>
      <x:c r="U2162" s="6" t="str">
        <x:v>Answer: 0.02, 16.06 m²</x:v>
      </x:c>
      <x:c r="V2162" s="6" t="str">
        <x:v>room geometry: area</x:v>
      </x:c>
      <x:c r="W2162" s="6" t="str">
        <x:v>Missing area/ranking tool. Search alone is insufficient.</x:v>
      </x:c>
      <x:c r="X2162" s="6" t="str">
        <x:v>data/train/resplan-4453/questions.jsonl</x:v>
      </x:c>
      <x:c r="Y2162" s="14" t="n">
        <x:v>1</x:v>
      </x:c>
      <x:c r="Z2162" s="6" t="str">
        <x:v>https://github.com/hagenhaeussler/Industrial-Agents-Hackathon-2026/blob/f41616590b69f3ea0c1cbfb41d6c35edd9ce53df/data/train/resplan-4453/questions.jsonl#L1</x:v>
      </x:c>
      <x:c r="AA2162" s="6" t="str">
        <x:v>resplan</x:v>
      </x:c>
      <x:c r="AB2162" s="6" t="str">
        <x:v>CC-BY-4.0</x:v>
      </x:c>
    </x:row>
    <x:row r="2163" ht="72" customHeight="1">
      <x:c r="A2163" s="14" t="n">
        <x:v>2158</x:v>
      </x:c>
      <x:c r="B2163" s="6" t="str">
        <x:v>largest_room</x:v>
      </x:c>
      <x:c r="C2163" s="6" t="str">
        <x:v>Which is the largest bedroom on the ground floor, and how big is it in m²? Finish with a line 'Answer: &lt;room name or number&gt;, &lt;area&gt; m²'.</x:v>
      </x:c>
      <x:c r="D2163" s="6" t="str">
        <x:v>0.03
Area: 28.82 m²
Space ID: resplan-47-F0-S003</x:v>
      </x:c>
      <x:c r="E2163" s="6" t="str">
        <x:v>Reference supplied</x:v>
      </x:c>
      <x:c r="F2163" s="6" t="str">
        <x:v>train</x:v>
      </x:c>
      <x:c r="G2163" s="6" t="str">
        <x:v>resplan-47</x:v>
      </x:c>
      <x:c r="H2163" s="6" t="str">
        <x:v>resplan-47-H01</x:v>
      </x:c>
      <x:c r="I2163" s="6" t="str">
        <x:v>Area and room selection</x:v>
      </x:c>
      <x:c r="J2163" s="6" t="str">
        <x:v>Benchmark</x:v>
      </x:c>
      <x:c r="K2163" s="6" t="str">
        <x:v>Answer: &lt;accepted room name or ref&gt;, &lt;area&gt; m²</x:v>
      </x:c>
      <x:c r="L2163" s="6" t="str">
        <x:v>T02, T04, T14</x:v>
      </x:c>
      <x:c r="M2163" s="6" t="str">
        <x:v>Choose the largest room of a specified type on a specified floor and give its area.</x:v>
      </x:c>
      <x:c r="N2163" s="6" t="str">
        <x:v>{"type":"space","space_id":"resplan-47-F0-S003","accept":["0.03","Bedroom 0.03"],"reject":["0.05","Bedroom 0.05","0.04","Bedroom 0.04"],"area":{"type":"number","value":28.82,"unit":"m2","relative_tolerance":0.05,"absolute_tolerance":0}}</x:v>
      </x:c>
      <x:c r="O2163" s="6" t="str">
        <x:v>{"floor_id":"resplan-47-F0","room_type":"bedroom"}</x:v>
      </x:c>
      <x:c r="P2163" s="6" t="str">
        <x:v>Exact target floor and room_type. Polygon area in m².</x:v>
      </x:c>
      <x:c r="Q2163" s="15" t="n">
        <x:v>28.82</x:v>
      </x:c>
      <x:c r="R2163" s="6" t="str">
        <x:v>m2</x:v>
      </x:c>
      <x:c r="S2163" s="16" t="n">
        <x:v>0.05</x:v>
      </x:c>
      <x:c r="T2163" s="15" t="n">
        <x:v>0</x:v>
      </x:c>
      <x:c r="U2163" s="6" t="str">
        <x:v>Answer: 0.03, 28.82 m²</x:v>
      </x:c>
      <x:c r="V2163" s="6" t="str">
        <x:v>room geometry: area</x:v>
      </x:c>
      <x:c r="W2163" s="6" t="str">
        <x:v>Missing area/ranking tool. Search alone is insufficient.</x:v>
      </x:c>
      <x:c r="X2163" s="6" t="str">
        <x:v>data/train/resplan-47/questions.jsonl</x:v>
      </x:c>
      <x:c r="Y2163" s="14" t="n">
        <x:v>1</x:v>
      </x:c>
      <x:c r="Z2163" s="6" t="str">
        <x:v>https://github.com/hagenhaeussler/Industrial-Agents-Hackathon-2026/blob/f41616590b69f3ea0c1cbfb41d6c35edd9ce53df/data/train/resplan-47/questions.jsonl#L1</x:v>
      </x:c>
      <x:c r="AA2163" s="6" t="str">
        <x:v>resplan</x:v>
      </x:c>
      <x:c r="AB2163" s="6" t="str">
        <x:v>CC-BY-4.0</x:v>
      </x:c>
    </x:row>
    <x:row r="2164" ht="72" customHeight="1">
      <x:c r="A2164" s="14" t="n">
        <x:v>2159</x:v>
      </x:c>
      <x:c r="B2164" s="6" t="str">
        <x:v>largest_room</x:v>
      </x:c>
      <x:c r="C2164" s="6" t="str">
        <x:v>Which is the largest bathroom on the ground floor, and how big is it in m²? Finish with a line 'Answer: &lt;room name or number&gt;, &lt;area&gt; m²'.</x:v>
      </x:c>
      <x:c r="D2164" s="6" t="str">
        <x:v>0.06
Area: 6.84 m²
Space ID: resplan-6994-F0-S006</x:v>
      </x:c>
      <x:c r="E2164" s="6" t="str">
        <x:v>Reference supplied</x:v>
      </x:c>
      <x:c r="F2164" s="6" t="str">
        <x:v>train</x:v>
      </x:c>
      <x:c r="G2164" s="6" t="str">
        <x:v>resplan-6994</x:v>
      </x:c>
      <x:c r="H2164" s="6" t="str">
        <x:v>resplan-6994-H01</x:v>
      </x:c>
      <x:c r="I2164" s="6" t="str">
        <x:v>Area and room selection</x:v>
      </x:c>
      <x:c r="J2164" s="6" t="str">
        <x:v>Benchmark</x:v>
      </x:c>
      <x:c r="K2164" s="6" t="str">
        <x:v>Answer: &lt;accepted room name or ref&gt;, &lt;area&gt; m²</x:v>
      </x:c>
      <x:c r="L2164" s="6" t="str">
        <x:v>T02, T04, T14</x:v>
      </x:c>
      <x:c r="M2164" s="6" t="str">
        <x:v>Choose the largest room of a specified type on a specified floor and give its area.</x:v>
      </x:c>
      <x:c r="N2164" s="6" t="str">
        <x:v>{"type":"space","space_id":"resplan-6994-F0-S006","accept":["0.06","Bathroom 0.06"],"reject":["0.05","Bathroom 0.05","0.07","Bathroom 0.07"],"area":{"type":"number","value":6.84,"unit":"m2","relative_tolerance":0.05,"absolute_tolerance":0}}</x:v>
      </x:c>
      <x:c r="O2164" s="6" t="str">
        <x:v>{"floor_id":"resplan-6994-F0","room_type":"bathroom"}</x:v>
      </x:c>
      <x:c r="P2164" s="6" t="str">
        <x:v>Exact target floor and room_type. Polygon area in m².</x:v>
      </x:c>
      <x:c r="Q2164" s="15" t="n">
        <x:v>6.84</x:v>
      </x:c>
      <x:c r="R2164" s="6" t="str">
        <x:v>m2</x:v>
      </x:c>
      <x:c r="S2164" s="16" t="n">
        <x:v>0.05</x:v>
      </x:c>
      <x:c r="T2164" s="15" t="n">
        <x:v>0</x:v>
      </x:c>
      <x:c r="U2164" s="6" t="str">
        <x:v>Answer: 0.06, 6.84 m²</x:v>
      </x:c>
      <x:c r="V2164" s="6" t="str">
        <x:v>room geometry: area</x:v>
      </x:c>
      <x:c r="W2164" s="6" t="str">
        <x:v>Missing area/ranking tool. Search alone is insufficient.</x:v>
      </x:c>
      <x:c r="X2164" s="6" t="str">
        <x:v>data/train/resplan-6994/questions.jsonl</x:v>
      </x:c>
      <x:c r="Y2164" s="14" t="n">
        <x:v>1</x:v>
      </x:c>
      <x:c r="Z2164" s="6" t="str">
        <x:v>https://github.com/hagenhaeussler/Industrial-Agents-Hackathon-2026/blob/f41616590b69f3ea0c1cbfb41d6c35edd9ce53df/data/train/resplan-6994/questions.jsonl#L1</x:v>
      </x:c>
      <x:c r="AA2164" s="6" t="str">
        <x:v>resplan</x:v>
      </x:c>
      <x:c r="AB2164" s="6" t="str">
        <x:v>CC-BY-4.0</x:v>
      </x:c>
    </x:row>
    <x:row r="2165" ht="72" customHeight="1">
      <x:c r="A2165" s="14" t="n">
        <x:v>2160</x:v>
      </x:c>
      <x:c r="B2165" s="6" t="str">
        <x:v>largest_room</x:v>
      </x:c>
      <x:c r="C2165" s="6" t="str">
        <x:v>Which is the largest bathroom on the ground floor, and how big is it in m²? Finish with a line 'Answer: &lt;room name or number&gt;, &lt;area&gt; m²'.</x:v>
      </x:c>
      <x:c r="D2165" s="6" t="str">
        <x:v>0.06
Area: 11.45 m²
Space ID: resplan-8174-F0-S006</x:v>
      </x:c>
      <x:c r="E2165" s="6" t="str">
        <x:v>Reference supplied</x:v>
      </x:c>
      <x:c r="F2165" s="6" t="str">
        <x:v>train</x:v>
      </x:c>
      <x:c r="G2165" s="6" t="str">
        <x:v>resplan-8174</x:v>
      </x:c>
      <x:c r="H2165" s="6" t="str">
        <x:v>resplan-8174-H01</x:v>
      </x:c>
      <x:c r="I2165" s="6" t="str">
        <x:v>Area and room selection</x:v>
      </x:c>
      <x:c r="J2165" s="6" t="str">
        <x:v>Benchmark</x:v>
      </x:c>
      <x:c r="K2165" s="6" t="str">
        <x:v>Answer: &lt;accepted room name or ref&gt;, &lt;area&gt; m²</x:v>
      </x:c>
      <x:c r="L2165" s="6" t="str">
        <x:v>T02, T04, T14</x:v>
      </x:c>
      <x:c r="M2165" s="6" t="str">
        <x:v>Choose the largest room of a specified type on a specified floor and give its area.</x:v>
      </x:c>
      <x:c r="N2165" s="6" t="str">
        <x:v>{"type":"space","space_id":"resplan-8174-F0-S006","accept":["0.06","Bathroom 0.06"],"reject":["0.07","Bathroom 0.07","0.05","Bathroom 0.05"],"area":{"type":"number","value":11.45,"unit":"m2","relative_tolerance":0.05,"absolute_tolerance":0}}</x:v>
      </x:c>
      <x:c r="O2165" s="6" t="str">
        <x:v>{"floor_id":"resplan-8174-F0","room_type":"bathroom"}</x:v>
      </x:c>
      <x:c r="P2165" s="6" t="str">
        <x:v>Exact target floor and room_type. Polygon area in m².</x:v>
      </x:c>
      <x:c r="Q2165" s="15" t="n">
        <x:v>11.45</x:v>
      </x:c>
      <x:c r="R2165" s="6" t="str">
        <x:v>m2</x:v>
      </x:c>
      <x:c r="S2165" s="16" t="n">
        <x:v>0.05</x:v>
      </x:c>
      <x:c r="T2165" s="15" t="n">
        <x:v>0</x:v>
      </x:c>
      <x:c r="U2165" s="6" t="str">
        <x:v>Answer: 0.06, 11.45 m²</x:v>
      </x:c>
      <x:c r="V2165" s="6" t="str">
        <x:v>room geometry: area</x:v>
      </x:c>
      <x:c r="W2165" s="6" t="str">
        <x:v>Missing area/ranking tool. Search alone is insufficient.</x:v>
      </x:c>
      <x:c r="X2165" s="6" t="str">
        <x:v>data/train/resplan-8174/questions.jsonl</x:v>
      </x:c>
      <x:c r="Y2165" s="14" t="n">
        <x:v>1</x:v>
      </x:c>
      <x:c r="Z2165" s="6" t="str">
        <x:v>https://github.com/hagenhaeussler/Industrial-Agents-Hackathon-2026/blob/f41616590b69f3ea0c1cbfb41d6c35edd9ce53df/data/train/resplan-8174/questions.jsonl#L1</x:v>
      </x:c>
      <x:c r="AA2165" s="6" t="str">
        <x:v>resplan</x:v>
      </x:c>
      <x:c r="AB2165" s="6" t="str">
        <x:v>CC-BY-4.0</x:v>
      </x:c>
    </x:row>
    <x:row r="2166" ht="72" customHeight="1">
      <x:c r="A2166" s="14" t="n">
        <x:v>2161</x:v>
      </x:c>
      <x:c r="B2166" s="6" t="str">
        <x:v>largest_room</x:v>
      </x:c>
      <x:c r="C2166" s="6" t="str">
        <x:v>Which is the largest bedroom on the ground floor, and how big is it in m²? Finish with a line 'Answer: &lt;room name or number&gt;, &lt;area&gt; m²'.</x:v>
      </x:c>
      <x:c r="D2166" s="6" t="str">
        <x:v>0.02
Area: 31.03 m²
Space ID: resplan-8565-F0-S002</x:v>
      </x:c>
      <x:c r="E2166" s="6" t="str">
        <x:v>Reference supplied</x:v>
      </x:c>
      <x:c r="F2166" s="6" t="str">
        <x:v>train</x:v>
      </x:c>
      <x:c r="G2166" s="6" t="str">
        <x:v>resplan-8565</x:v>
      </x:c>
      <x:c r="H2166" s="6" t="str">
        <x:v>resplan-8565-H01</x:v>
      </x:c>
      <x:c r="I2166" s="6" t="str">
        <x:v>Area and room selection</x:v>
      </x:c>
      <x:c r="J2166" s="6" t="str">
        <x:v>Benchmark</x:v>
      </x:c>
      <x:c r="K2166" s="6" t="str">
        <x:v>Answer: &lt;accepted room name or ref&gt;, &lt;area&gt; m²</x:v>
      </x:c>
      <x:c r="L2166" s="6" t="str">
        <x:v>T02, T04, T14</x:v>
      </x:c>
      <x:c r="M2166" s="6" t="str">
        <x:v>Choose the largest room of a specified type on a specified floor and give its area.</x:v>
      </x:c>
      <x:c r="N2166" s="6" t="str">
        <x:v>{"type":"space","space_id":"resplan-8565-F0-S002","accept":["0.02","Bedroom 0.02"],"reject":["0.04","Bedroom 0.04","0.03","Bedroom 0.03","0.05","Bedroom 0.05"],"area":{"type":"number","value":31.03,"unit":"m2","relative_tolerance":0.05,"absolute_tolerance":0}}</x:v>
      </x:c>
      <x:c r="O2166" s="6" t="str">
        <x:v>{"floor_id":"resplan-8565-F0","room_type":"bedroom"}</x:v>
      </x:c>
      <x:c r="P2166" s="6" t="str">
        <x:v>Exact target floor and room_type. Polygon area in m².</x:v>
      </x:c>
      <x:c r="Q2166" s="15" t="n">
        <x:v>31.03</x:v>
      </x:c>
      <x:c r="R2166" s="6" t="str">
        <x:v>m2</x:v>
      </x:c>
      <x:c r="S2166" s="16" t="n">
        <x:v>0.05</x:v>
      </x:c>
      <x:c r="T2166" s="15" t="n">
        <x:v>0</x:v>
      </x:c>
      <x:c r="U2166" s="6" t="str">
        <x:v>Answer: 0.02, 31.03 m²</x:v>
      </x:c>
      <x:c r="V2166" s="6" t="str">
        <x:v>room geometry: area</x:v>
      </x:c>
      <x:c r="W2166" s="6" t="str">
        <x:v>Missing area/ranking tool. Search alone is insufficient.</x:v>
      </x:c>
      <x:c r="X2166" s="6" t="str">
        <x:v>data/train/resplan-8565/questions.jsonl</x:v>
      </x:c>
      <x:c r="Y2166" s="14" t="n">
        <x:v>1</x:v>
      </x:c>
      <x:c r="Z2166" s="6" t="str">
        <x:v>https://github.com/hagenhaeussler/Industrial-Agents-Hackathon-2026/blob/f41616590b69f3ea0c1cbfb41d6c35edd9ce53df/data/train/resplan-8565/questions.jsonl#L1</x:v>
      </x:c>
      <x:c r="AA2166" s="6" t="str">
        <x:v>resplan</x:v>
      </x:c>
      <x:c r="AB2166" s="6" t="str">
        <x:v>CC-BY-4.0</x:v>
      </x:c>
    </x:row>
    <x:row r="2167" ht="72" customHeight="1">
      <x:c r="A2167" s="14" t="n">
        <x:v>2162</x:v>
      </x:c>
      <x:c r="B2167" s="6" t="str">
        <x:v>largest_room</x:v>
      </x:c>
      <x:c r="C2167" s="6" t="str">
        <x:v>Which is the largest bathroom on the ground floor, and how big is it in m²? Finish with a line 'Answer: &lt;room name or number&gt;, &lt;area&gt; m²'.</x:v>
      </x:c>
      <x:c r="D2167" s="6" t="str">
        <x:v>0.07
Area: 8.69 m²
Space ID: resplan-9082-F0-S007</x:v>
      </x:c>
      <x:c r="E2167" s="6" t="str">
        <x:v>Reference supplied</x:v>
      </x:c>
      <x:c r="F2167" s="6" t="str">
        <x:v>train</x:v>
      </x:c>
      <x:c r="G2167" s="6" t="str">
        <x:v>resplan-9082</x:v>
      </x:c>
      <x:c r="H2167" s="6" t="str">
        <x:v>resplan-9082-H01</x:v>
      </x:c>
      <x:c r="I2167" s="6" t="str">
        <x:v>Area and room selection</x:v>
      </x:c>
      <x:c r="J2167" s="6" t="str">
        <x:v>Benchmark</x:v>
      </x:c>
      <x:c r="K2167" s="6" t="str">
        <x:v>Answer: &lt;accepted room name or ref&gt;, &lt;area&gt; m²</x:v>
      </x:c>
      <x:c r="L2167" s="6" t="str">
        <x:v>T02, T04, T14</x:v>
      </x:c>
      <x:c r="M2167" s="6" t="str">
        <x:v>Choose the largest room of a specified type on a specified floor and give its area.</x:v>
      </x:c>
      <x:c r="N2167" s="6" t="str">
        <x:v>{"type":"space","space_id":"resplan-9082-F0-S007","accept":["0.07","Bathroom 0.07"],"reject":["0.06","Bathroom 0.06","0.08","Bathroom 0.08","0.05","Bathroom 0.05"],"area":{"type":"number","value":8.69,"unit":"m2","relative_tolerance":0.05,"absolute_tolerance":0}}</x:v>
      </x:c>
      <x:c r="O2167" s="6" t="str">
        <x:v>{"floor_id":"resplan-9082-F0","room_type":"bathroom"}</x:v>
      </x:c>
      <x:c r="P2167" s="6" t="str">
        <x:v>Exact target floor and room_type. Polygon area in m².</x:v>
      </x:c>
      <x:c r="Q2167" s="15" t="n">
        <x:v>8.69</x:v>
      </x:c>
      <x:c r="R2167" s="6" t="str">
        <x:v>m2</x:v>
      </x:c>
      <x:c r="S2167" s="16" t="n">
        <x:v>0.05</x:v>
      </x:c>
      <x:c r="T2167" s="15" t="n">
        <x:v>0</x:v>
      </x:c>
      <x:c r="U2167" s="6" t="str">
        <x:v>Answer: 0.07, 8.69 m²</x:v>
      </x:c>
      <x:c r="V2167" s="6" t="str">
        <x:v>room geometry: area</x:v>
      </x:c>
      <x:c r="W2167" s="6" t="str">
        <x:v>Missing area/ranking tool. Search alone is insufficient.</x:v>
      </x:c>
      <x:c r="X2167" s="6" t="str">
        <x:v>data/train/resplan-9082/questions.jsonl</x:v>
      </x:c>
      <x:c r="Y2167" s="14" t="n">
        <x:v>1</x:v>
      </x:c>
      <x:c r="Z2167" s="6" t="str">
        <x:v>https://github.com/hagenhaeussler/Industrial-Agents-Hackathon-2026/blob/f41616590b69f3ea0c1cbfb41d6c35edd9ce53df/data/train/resplan-9082/questions.jsonl#L1</x:v>
      </x:c>
      <x:c r="AA2167" s="6" t="str">
        <x:v>resplan</x:v>
      </x:c>
      <x:c r="AB2167" s="6" t="str">
        <x:v>CC-BY-4.0</x:v>
      </x:c>
    </x:row>
    <x:row r="2168" ht="72" customHeight="1">
      <x:c r="A2168" s="14" t="n">
        <x:v>2163</x:v>
      </x:c>
      <x:c r="B2168" s="6" t="str">
        <x:v>largest_room</x:v>
      </x:c>
      <x:c r="C2168" s="6" t="str">
        <x:v>Which is the largest bedroom on the ground floor, and how big is it in m²? Finish with a line 'Answer: &lt;room name or number&gt;, &lt;area&gt; m²'.</x:v>
      </x:c>
      <x:c r="D2168" s="6" t="str">
        <x:v>0.03
Area: 20.67 m²
Space ID: resplan-9809-F0-S003</x:v>
      </x:c>
      <x:c r="E2168" s="6" t="str">
        <x:v>Reference supplied</x:v>
      </x:c>
      <x:c r="F2168" s="6" t="str">
        <x:v>train</x:v>
      </x:c>
      <x:c r="G2168" s="6" t="str">
        <x:v>resplan-9809</x:v>
      </x:c>
      <x:c r="H2168" s="6" t="str">
        <x:v>resplan-9809-H01</x:v>
      </x:c>
      <x:c r="I2168" s="6" t="str">
        <x:v>Area and room selection</x:v>
      </x:c>
      <x:c r="J2168" s="6" t="str">
        <x:v>Benchmark</x:v>
      </x:c>
      <x:c r="K2168" s="6" t="str">
        <x:v>Answer: &lt;accepted room name or ref&gt;, &lt;area&gt; m²</x:v>
      </x:c>
      <x:c r="L2168" s="6" t="str">
        <x:v>T02, T04, T14</x:v>
      </x:c>
      <x:c r="M2168" s="6" t="str">
        <x:v>Choose the largest room of a specified type on a specified floor and give its area.</x:v>
      </x:c>
      <x:c r="N2168" s="6" t="str">
        <x:v>{"type":"space","space_id":"resplan-9809-F0-S003","accept":["0.03","Bedroom 0.03"],"reject":["0.04","Bedroom 0.04","0.02","Bedroom 0.02"],"area":{"type":"number","value":20.67,"unit":"m2","relative_tolerance":0.05,"absolute_tolerance":0}}</x:v>
      </x:c>
      <x:c r="O2168" s="6" t="str">
        <x:v>{"floor_id":"resplan-9809-F0","room_type":"bedroom"}</x:v>
      </x:c>
      <x:c r="P2168" s="6" t="str">
        <x:v>Exact target floor and room_type. Polygon area in m².</x:v>
      </x:c>
      <x:c r="Q2168" s="15" t="n">
        <x:v>20.67</x:v>
      </x:c>
      <x:c r="R2168" s="6" t="str">
        <x:v>m2</x:v>
      </x:c>
      <x:c r="S2168" s="16" t="n">
        <x:v>0.05</x:v>
      </x:c>
      <x:c r="T2168" s="15" t="n">
        <x:v>0</x:v>
      </x:c>
      <x:c r="U2168" s="6" t="str">
        <x:v>Answer: 0.03, 20.67 m²</x:v>
      </x:c>
      <x:c r="V2168" s="6" t="str">
        <x:v>room geometry: area</x:v>
      </x:c>
      <x:c r="W2168" s="6" t="str">
        <x:v>Missing area/ranking tool. Search alone is insufficient.</x:v>
      </x:c>
      <x:c r="X2168" s="6" t="str">
        <x:v>data/train/resplan-9809/questions.jsonl</x:v>
      </x:c>
      <x:c r="Y2168" s="14" t="n">
        <x:v>1</x:v>
      </x:c>
      <x:c r="Z2168" s="6" t="str">
        <x:v>https://github.com/hagenhaeussler/Industrial-Agents-Hackathon-2026/blob/f41616590b69f3ea0c1cbfb41d6c35edd9ce53df/data/train/resplan-9809/questions.jsonl#L1</x:v>
      </x:c>
      <x:c r="AA2168" s="6" t="str">
        <x:v>resplan</x:v>
      </x:c>
      <x:c r="AB2168" s="6" t="str">
        <x:v>CC-BY-4.0</x:v>
      </x:c>
    </x:row>
    <x:row r="2169" ht="72" customHeight="1">
      <x:c r="A2169" s="14" t="n">
        <x:v>2164</x:v>
      </x:c>
      <x:c r="B2169" s="6" t="str">
        <x:v>largest_room</x:v>
      </x:c>
      <x:c r="C2169" s="6" t="str">
        <x:v>Which is the largest bedroom on the floor 2, and how big is it in m²? Finish with a line 'Answer: &lt;room name or number&gt;, &lt;area&gt; m²'.</x:v>
      </x:c>
      <x:c r="D2169" s="6" t="str">
        <x:v>2.08
Area: 14.56 m²
Space ID: swiss-1075-F2-S008</x:v>
      </x:c>
      <x:c r="E2169" s="6" t="str">
        <x:v>Reference supplied</x:v>
      </x:c>
      <x:c r="F2169" s="6" t="str">
        <x:v>train</x:v>
      </x:c>
      <x:c r="G2169" s="6" t="str">
        <x:v>swiss-1075</x:v>
      </x:c>
      <x:c r="H2169" s="6" t="str">
        <x:v>swiss-1075-H01</x:v>
      </x:c>
      <x:c r="I2169" s="6" t="str">
        <x:v>Area and room selection</x:v>
      </x:c>
      <x:c r="J2169" s="6" t="str">
        <x:v>Benchmark</x:v>
      </x:c>
      <x:c r="K2169" s="6" t="str">
        <x:v>Answer: &lt;accepted room name or ref&gt;, &lt;area&gt; m²</x:v>
      </x:c>
      <x:c r="L2169" s="6" t="str">
        <x:v>T02, T04, T14</x:v>
      </x:c>
      <x:c r="M2169" s="6" t="str">
        <x:v>Choose the largest room of a specified type on a specified floor and give its area.</x:v>
      </x:c>
      <x:c r="N2169" s="6" t="str">
        <x:v>{"type":"space","space_id":"swiss-1075-F2-S008","accept":["2.08","Bedroom 2.08 (apartment 6)"],"reject":["2.12","Bedroom 2.12 (apartment 6)","2.05","Bedroom 2.05 (apartment 5)"],"area":{"type":"number","value":14.56,"unit":"m2","relative_tolerance":0.05,"absolute_tolerance":0}}</x:v>
      </x:c>
      <x:c r="O2169" s="6" t="str">
        <x:v>{"floor_id":"swiss-1075-F2","room_type":"bedroom"}</x:v>
      </x:c>
      <x:c r="P2169" s="6" t="str">
        <x:v>Exact target floor and room_type. Polygon area in m².</x:v>
      </x:c>
      <x:c r="Q2169" s="15" t="n">
        <x:v>14.56</x:v>
      </x:c>
      <x:c r="R2169" s="6" t="str">
        <x:v>m2</x:v>
      </x:c>
      <x:c r="S2169" s="16" t="n">
        <x:v>0.05</x:v>
      </x:c>
      <x:c r="T2169" s="15" t="n">
        <x:v>0</x:v>
      </x:c>
      <x:c r="U2169" s="6" t="str">
        <x:v>Answer: 2.08, 14.56 m²</x:v>
      </x:c>
      <x:c r="V2169" s="6" t="str">
        <x:v>room geometry: area</x:v>
      </x:c>
      <x:c r="W2169" s="6" t="str">
        <x:v>Missing area/ranking tool. Search alone is insufficient.</x:v>
      </x:c>
      <x:c r="X2169" s="6" t="str">
        <x:v>data/train/swiss-1075/questions.jsonl</x:v>
      </x:c>
      <x:c r="Y2169" s="14" t="n">
        <x:v>1</x:v>
      </x:c>
      <x:c r="Z2169" s="6" t="str">
        <x:v>https://github.com/hagenhaeussler/Industrial-Agents-Hackathon-2026/blob/f41616590b69f3ea0c1cbfb41d6c35edd9ce53df/data/train/swiss-1075/questions.jsonl#L1</x:v>
      </x:c>
      <x:c r="AA2169" s="6" t="str">
        <x:v>swiss_dwellings</x:v>
      </x:c>
      <x:c r="AB2169" s="6" t="str">
        <x:v>CC-BY-4.0</x:v>
      </x:c>
    </x:row>
    <x:row r="2170" ht="72" customHeight="1">
      <x:c r="A2170" s="14" t="n">
        <x:v>2165</x:v>
      </x:c>
      <x:c r="B2170" s="6" t="str">
        <x:v>largest_room</x:v>
      </x:c>
      <x:c r="C2170" s="6" t="str">
        <x:v>Which is the largest living room on the floor 4, and how big is it in m²? Finish with a line 'Answer: &lt;room name or number&gt;, &lt;area&gt; m²'.</x:v>
      </x:c>
      <x:c r="D2170" s="6" t="str">
        <x:v>4.05
Area: 27.77 m²
Space ID: swiss-1110-F4-S005</x:v>
      </x:c>
      <x:c r="E2170" s="6" t="str">
        <x:v>Reference supplied</x:v>
      </x:c>
      <x:c r="F2170" s="6" t="str">
        <x:v>train</x:v>
      </x:c>
      <x:c r="G2170" s="6" t="str">
        <x:v>swiss-1110</x:v>
      </x:c>
      <x:c r="H2170" s="6" t="str">
        <x:v>swiss-1110-H01</x:v>
      </x:c>
      <x:c r="I2170" s="6" t="str">
        <x:v>Area and room selection</x:v>
      </x:c>
      <x:c r="J2170" s="6" t="str">
        <x:v>Benchmark</x:v>
      </x:c>
      <x:c r="K2170" s="6" t="str">
        <x:v>Answer: &lt;accepted room name or ref&gt;, &lt;area&gt; m²</x:v>
      </x:c>
      <x:c r="L2170" s="6" t="str">
        <x:v>T02, T04, T14</x:v>
      </x:c>
      <x:c r="M2170" s="6" t="str">
        <x:v>Choose the largest room of a specified type on a specified floor and give its area.</x:v>
      </x:c>
      <x:c r="N2170" s="6" t="str">
        <x:v>{"type":"space","space_id":"swiss-1110-F4-S005","accept":["4.05","Living room 4.05 (apartment 21)"],"reject":["4.25","Living room 4.25 (apartment 24)","4.07","Living room 4.07 (apartment 22)","4.13","Living room 4.13 (apartment 23)"],"area":{"type":"number","value":27.77,"unit":"m2","relative_tolerance":0.05,"absolute_tolerance":0}}</x:v>
      </x:c>
      <x:c r="O2170" s="6" t="str">
        <x:v>{"floor_id":"swiss-1110-F4","room_type":"living_room"}</x:v>
      </x:c>
      <x:c r="P2170" s="6" t="str">
        <x:v>Exact target floor and room_type. Polygon area in m².</x:v>
      </x:c>
      <x:c r="Q2170" s="15" t="n">
        <x:v>27.77</x:v>
      </x:c>
      <x:c r="R2170" s="6" t="str">
        <x:v>m2</x:v>
      </x:c>
      <x:c r="S2170" s="16" t="n">
        <x:v>0.05</x:v>
      </x:c>
      <x:c r="T2170" s="15" t="n">
        <x:v>0</x:v>
      </x:c>
      <x:c r="U2170" s="6" t="str">
        <x:v>Answer: 4.05, 27.77 m²</x:v>
      </x:c>
      <x:c r="V2170" s="6" t="str">
        <x:v>room geometry: area</x:v>
      </x:c>
      <x:c r="W2170" s="6" t="str">
        <x:v>Missing area/ranking tool. Search alone is insufficient.</x:v>
      </x:c>
      <x:c r="X2170" s="6" t="str">
        <x:v>data/train/swiss-1110/questions.jsonl</x:v>
      </x:c>
      <x:c r="Y2170" s="14" t="n">
        <x:v>1</x:v>
      </x:c>
      <x:c r="Z2170" s="6" t="str">
        <x:v>https://github.com/hagenhaeussler/Industrial-Agents-Hackathon-2026/blob/f41616590b69f3ea0c1cbfb41d6c35edd9ce53df/data/train/swiss-1110/questions.jsonl#L1</x:v>
      </x:c>
      <x:c r="AA2170" s="6" t="str">
        <x:v>swiss_dwellings</x:v>
      </x:c>
      <x:c r="AB2170" s="6" t="str">
        <x:v>CC-BY-4.0</x:v>
      </x:c>
    </x:row>
    <x:row r="2171" ht="72" customHeight="1">
      <x:c r="A2171" s="14" t="n">
        <x:v>2166</x:v>
      </x:c>
      <x:c r="B2171" s="6" t="str">
        <x:v>largest_room</x:v>
      </x:c>
      <x:c r="C2171" s="6" t="str">
        <x:v>Which is the largest bathroom on the ground floor, and how big is it in m²? Finish with a line 'Answer: &lt;room name or number&gt;, &lt;area&gt; m²'.</x:v>
      </x:c>
      <x:c r="D2171" s="6" t="str">
        <x:v>0.10
Area: 4.71 m²
Space ID: swiss-116-F0-S010</x:v>
      </x:c>
      <x:c r="E2171" s="6" t="str">
        <x:v>Reference supplied</x:v>
      </x:c>
      <x:c r="F2171" s="6" t="str">
        <x:v>train</x:v>
      </x:c>
      <x:c r="G2171" s="6" t="str">
        <x:v>swiss-116</x:v>
      </x:c>
      <x:c r="H2171" s="6" t="str">
        <x:v>swiss-116-H01</x:v>
      </x:c>
      <x:c r="I2171" s="6" t="str">
        <x:v>Area and room selection</x:v>
      </x:c>
      <x:c r="J2171" s="6" t="str">
        <x:v>Benchmark</x:v>
      </x:c>
      <x:c r="K2171" s="6" t="str">
        <x:v>Answer: &lt;accepted room name or ref&gt;, &lt;area&gt; m²</x:v>
      </x:c>
      <x:c r="L2171" s="6" t="str">
        <x:v>T02, T04, T14</x:v>
      </x:c>
      <x:c r="M2171" s="6" t="str">
        <x:v>Choose the largest room of a specified type on a specified floor and give its area.</x:v>
      </x:c>
      <x:c r="N2171" s="6" t="str">
        <x:v>{"type":"space","space_id":"swiss-116-F0-S010","accept":["0.10","Bathroom 0.10 (apartment 2)"],"reject":["0.34","Bathroom 0.34 (apartment 5)","0.17","Bathroom 0.17 (apartment 3)","0.32","Bathroom 0.32 (apartment 4)"],"area":{"type":"number","value":4.71,"unit":"m2","relative_tolerance":0.05,"absolute_tolerance":0}}</x:v>
      </x:c>
      <x:c r="O2171" s="6" t="str">
        <x:v>{"floor_id":"swiss-116-F0","room_type":"bathroom"}</x:v>
      </x:c>
      <x:c r="P2171" s="6" t="str">
        <x:v>Exact target floor and room_type. Polygon area in m².</x:v>
      </x:c>
      <x:c r="Q2171" s="15" t="n">
        <x:v>4.71</x:v>
      </x:c>
      <x:c r="R2171" s="6" t="str">
        <x:v>m2</x:v>
      </x:c>
      <x:c r="S2171" s="16" t="n">
        <x:v>0.05</x:v>
      </x:c>
      <x:c r="T2171" s="15" t="n">
        <x:v>0</x:v>
      </x:c>
      <x:c r="U2171" s="6" t="str">
        <x:v>Answer: 0.10, 4.71 m²</x:v>
      </x:c>
      <x:c r="V2171" s="6" t="str">
        <x:v>room geometry: area</x:v>
      </x:c>
      <x:c r="W2171" s="6" t="str">
        <x:v>Missing area/ranking tool. Search alone is insufficient.</x:v>
      </x:c>
      <x:c r="X2171" s="6" t="str">
        <x:v>data/train/swiss-116/questions.jsonl</x:v>
      </x:c>
      <x:c r="Y2171" s="14" t="n">
        <x:v>1</x:v>
      </x:c>
      <x:c r="Z2171" s="6" t="str">
        <x:v>https://github.com/hagenhaeussler/Industrial-Agents-Hackathon-2026/blob/f41616590b69f3ea0c1cbfb41d6c35edd9ce53df/data/train/swiss-116/questions.jsonl#L1</x:v>
      </x:c>
      <x:c r="AA2171" s="6" t="str">
        <x:v>swiss_dwellings</x:v>
      </x:c>
      <x:c r="AB2171" s="6" t="str">
        <x:v>CC-BY-4.0</x:v>
      </x:c>
    </x:row>
    <x:row r="2172" ht="72" customHeight="1">
      <x:c r="A2172" s="14" t="n">
        <x:v>2167</x:v>
      </x:c>
      <x:c r="B2172" s="6" t="str">
        <x:v>largest_room</x:v>
      </x:c>
      <x:c r="C2172" s="6" t="str">
        <x:v>Which is the largest bathroom on the ground floor, and how big is it in m²? Finish with a line 'Answer: &lt;room name or number&gt;, &lt;area&gt; m²'.</x:v>
      </x:c>
      <x:c r="D2172" s="6" t="str">
        <x:v>0.23
Area: 5.1 m²
Space ID: swiss-120-F0-S023</x:v>
      </x:c>
      <x:c r="E2172" s="6" t="str">
        <x:v>Reference supplied</x:v>
      </x:c>
      <x:c r="F2172" s="6" t="str">
        <x:v>train</x:v>
      </x:c>
      <x:c r="G2172" s="6" t="str">
        <x:v>swiss-120</x:v>
      </x:c>
      <x:c r="H2172" s="6" t="str">
        <x:v>swiss-120-H01</x:v>
      </x:c>
      <x:c r="I2172" s="6" t="str">
        <x:v>Area and room selection</x:v>
      </x:c>
      <x:c r="J2172" s="6" t="str">
        <x:v>Benchmark</x:v>
      </x:c>
      <x:c r="K2172" s="6" t="str">
        <x:v>Answer: &lt;accepted room name or ref&gt;, &lt;area&gt; m²</x:v>
      </x:c>
      <x:c r="L2172" s="6" t="str">
        <x:v>T02, T04, T14</x:v>
      </x:c>
      <x:c r="M2172" s="6" t="str">
        <x:v>Choose the largest room of a specified type on a specified floor and give its area.</x:v>
      </x:c>
      <x:c r="N2172" s="6" t="str">
        <x:v>{"type":"space","space_id":"swiss-120-F0-S023","accept":["0.23","Bathroom 0.23 (apartment 3)"],"reject":["0.02","Bathroom 0.02 (apartment 1)","0.27","Bathroom 0.27 (apartment 4)","0.11","Bathroom 0.11 (apartment 2)"],"area":{"type":"number","value":5.1,"unit":"m2","relative_tolerance":0.05,"absolute_tolerance":0}}</x:v>
      </x:c>
      <x:c r="O2172" s="6" t="str">
        <x:v>{"floor_id":"swiss-120-F0","room_type":"bathroom"}</x:v>
      </x:c>
      <x:c r="P2172" s="6" t="str">
        <x:v>Exact target floor and room_type. Polygon area in m².</x:v>
      </x:c>
      <x:c r="Q2172" s="15" t="n">
        <x:v>5.1</x:v>
      </x:c>
      <x:c r="R2172" s="6" t="str">
        <x:v>m2</x:v>
      </x:c>
      <x:c r="S2172" s="16" t="n">
        <x:v>0.05</x:v>
      </x:c>
      <x:c r="T2172" s="15" t="n">
        <x:v>0</x:v>
      </x:c>
      <x:c r="U2172" s="6" t="str">
        <x:v>Answer: 0.23, 5.1 m²</x:v>
      </x:c>
      <x:c r="V2172" s="6" t="str">
        <x:v>room geometry: area</x:v>
      </x:c>
      <x:c r="W2172" s="6" t="str">
        <x:v>Missing area/ranking tool. Search alone is insufficient.</x:v>
      </x:c>
      <x:c r="X2172" s="6" t="str">
        <x:v>data/train/swiss-120/questions.jsonl</x:v>
      </x:c>
      <x:c r="Y2172" s="14" t="n">
        <x:v>1</x:v>
      </x:c>
      <x:c r="Z2172" s="6" t="str">
        <x:v>https://github.com/hagenhaeussler/Industrial-Agents-Hackathon-2026/blob/f41616590b69f3ea0c1cbfb41d6c35edd9ce53df/data/train/swiss-120/questions.jsonl#L1</x:v>
      </x:c>
      <x:c r="AA2172" s="6" t="str">
        <x:v>swiss_dwellings</x:v>
      </x:c>
      <x:c r="AB2172" s="6" t="str">
        <x:v>CC-BY-4.0</x:v>
      </x:c>
    </x:row>
    <x:row r="2173" ht="72" customHeight="1">
      <x:c r="A2173" s="14" t="n">
        <x:v>2168</x:v>
      </x:c>
      <x:c r="B2173" s="6" t="str">
        <x:v>largest_room</x:v>
      </x:c>
      <x:c r="C2173" s="6" t="str">
        <x:v>Which is the largest bedroom on the floor 2, and how big is it in m²? Finish with a line 'Answer: &lt;room name or number&gt;, &lt;area&gt; m²'.</x:v>
      </x:c>
      <x:c r="D2173" s="6" t="str">
        <x:v>2.03
Area: 20.21 m²
Space ID: swiss-1283-F2-S003</x:v>
      </x:c>
      <x:c r="E2173" s="6" t="str">
        <x:v>Reference supplied</x:v>
      </x:c>
      <x:c r="F2173" s="6" t="str">
        <x:v>train</x:v>
      </x:c>
      <x:c r="G2173" s="6" t="str">
        <x:v>swiss-1283</x:v>
      </x:c>
      <x:c r="H2173" s="6" t="str">
        <x:v>swiss-1283-H01</x:v>
      </x:c>
      <x:c r="I2173" s="6" t="str">
        <x:v>Area and room selection</x:v>
      </x:c>
      <x:c r="J2173" s="6" t="str">
        <x:v>Benchmark</x:v>
      </x:c>
      <x:c r="K2173" s="6" t="str">
        <x:v>Answer: &lt;accepted room name or ref&gt;, &lt;area&gt; m²</x:v>
      </x:c>
      <x:c r="L2173" s="6" t="str">
        <x:v>T02, T04, T14</x:v>
      </x:c>
      <x:c r="M2173" s="6" t="str">
        <x:v>Choose the largest room of a specified type on a specified floor and give its area.</x:v>
      </x:c>
      <x:c r="N2173" s="6" t="str">
        <x:v>{"type":"space","space_id":"swiss-1283-F2-S003","accept":["2.03","Bedroom 2.03 (apartment 5)"],"reject":["2.08","Bedroom 2.08 (apartment 6)","2.15","Bedroom 2.15 (apartment 7)","2.09","Bedroom 2.09 (apartment 6)"],"area":{"type":"number","value":20.21,"unit":"m2","relative_tolerance":0.05,"absolute_tolerance":0}}</x:v>
      </x:c>
      <x:c r="O2173" s="6" t="str">
        <x:v>{"floor_id":"swiss-1283-F2","room_type":"bedroom"}</x:v>
      </x:c>
      <x:c r="P2173" s="6" t="str">
        <x:v>Exact target floor and room_type. Polygon area in m².</x:v>
      </x:c>
      <x:c r="Q2173" s="15" t="n">
        <x:v>20.21</x:v>
      </x:c>
      <x:c r="R2173" s="6" t="str">
        <x:v>m2</x:v>
      </x:c>
      <x:c r="S2173" s="16" t="n">
        <x:v>0.05</x:v>
      </x:c>
      <x:c r="T2173" s="15" t="n">
        <x:v>0</x:v>
      </x:c>
      <x:c r="U2173" s="6" t="str">
        <x:v>Answer: 2.03, 20.21 m²</x:v>
      </x:c>
      <x:c r="V2173" s="6" t="str">
        <x:v>room geometry: area</x:v>
      </x:c>
      <x:c r="W2173" s="6" t="str">
        <x:v>Missing area/ranking tool. Search alone is insufficient.</x:v>
      </x:c>
      <x:c r="X2173" s="6" t="str">
        <x:v>data/train/swiss-1283/questions.jsonl</x:v>
      </x:c>
      <x:c r="Y2173" s="14" t="n">
        <x:v>1</x:v>
      </x:c>
      <x:c r="Z2173" s="6" t="str">
        <x:v>https://github.com/hagenhaeussler/Industrial-Agents-Hackathon-2026/blob/f41616590b69f3ea0c1cbfb41d6c35edd9ce53df/data/train/swiss-1283/questions.jsonl#L1</x:v>
      </x:c>
      <x:c r="AA2173" s="6" t="str">
        <x:v>swiss_dwellings</x:v>
      </x:c>
      <x:c r="AB2173" s="6" t="str">
        <x:v>CC-BY-4.0</x:v>
      </x:c>
    </x:row>
    <x:row r="2174" ht="72" customHeight="1">
      <x:c r="A2174" s="14" t="n">
        <x:v>2169</x:v>
      </x:c>
      <x:c r="B2174" s="6" t="str">
        <x:v>largest_room</x:v>
      </x:c>
      <x:c r="C2174" s="6" t="str">
        <x:v>Which is the largest living room on the floor 3, and how big is it in m²? Finish with a line 'Answer: &lt;room name or number&gt;, &lt;area&gt; m²'.</x:v>
      </x:c>
      <x:c r="D2174" s="6" t="str">
        <x:v>3.12
Area: 10.56 m²
Space ID: swiss-1390-F3-S012</x:v>
      </x:c>
      <x:c r="E2174" s="6" t="str">
        <x:v>Reference supplied</x:v>
      </x:c>
      <x:c r="F2174" s="6" t="str">
        <x:v>train</x:v>
      </x:c>
      <x:c r="G2174" s="6" t="str">
        <x:v>swiss-1390</x:v>
      </x:c>
      <x:c r="H2174" s="6" t="str">
        <x:v>swiss-1390-H01</x:v>
      </x:c>
      <x:c r="I2174" s="6" t="str">
        <x:v>Area and room selection</x:v>
      </x:c>
      <x:c r="J2174" s="6" t="str">
        <x:v>Benchmark</x:v>
      </x:c>
      <x:c r="K2174" s="6" t="str">
        <x:v>Answer: &lt;accepted room name or ref&gt;, &lt;area&gt; m²</x:v>
      </x:c>
      <x:c r="L2174" s="6" t="str">
        <x:v>T02, T04, T14</x:v>
      </x:c>
      <x:c r="M2174" s="6" t="str">
        <x:v>Choose the largest room of a specified type on a specified floor and give its area.</x:v>
      </x:c>
      <x:c r="N2174" s="6" t="str">
        <x:v>{"type":"space","space_id":"swiss-1390-F3-S012","accept":["3.12","Living room 3.12 (apartment 14)"],"reject":["3.32","Living room 3.32 (apartment 16)","3.23","Living room 3.23 (apartment 15)","3.03","Living room 3.03 (apartment 13)"],"area":{"type":"number","value":10.56,"unit":"m2","relative_tolerance":0.05,"absolute_tolerance":0}}</x:v>
      </x:c>
      <x:c r="O2174" s="6" t="str">
        <x:v>{"floor_id":"swiss-1390-F3","room_type":"living_room"}</x:v>
      </x:c>
      <x:c r="P2174" s="6" t="str">
        <x:v>Exact target floor and room_type. Polygon area in m².</x:v>
      </x:c>
      <x:c r="Q2174" s="15" t="n">
        <x:v>10.56</x:v>
      </x:c>
      <x:c r="R2174" s="6" t="str">
        <x:v>m2</x:v>
      </x:c>
      <x:c r="S2174" s="16" t="n">
        <x:v>0.05</x:v>
      </x:c>
      <x:c r="T2174" s="15" t="n">
        <x:v>0</x:v>
      </x:c>
      <x:c r="U2174" s="6" t="str">
        <x:v>Answer: 3.12, 10.56 m²</x:v>
      </x:c>
      <x:c r="V2174" s="6" t="str">
        <x:v>room geometry: area</x:v>
      </x:c>
      <x:c r="W2174" s="6" t="str">
        <x:v>Missing area/ranking tool. Search alone is insufficient.</x:v>
      </x:c>
      <x:c r="X2174" s="6" t="str">
        <x:v>data/train/swiss-1390/questions.jsonl</x:v>
      </x:c>
      <x:c r="Y2174" s="14" t="n">
        <x:v>1</x:v>
      </x:c>
      <x:c r="Z2174" s="6" t="str">
        <x:v>https://github.com/hagenhaeussler/Industrial-Agents-Hackathon-2026/blob/f41616590b69f3ea0c1cbfb41d6c35edd9ce53df/data/train/swiss-1390/questions.jsonl#L1</x:v>
      </x:c>
      <x:c r="AA2174" s="6" t="str">
        <x:v>swiss_dwellings</x:v>
      </x:c>
      <x:c r="AB2174" s="6" t="str">
        <x:v>CC-BY-4.0</x:v>
      </x:c>
    </x:row>
    <x:row r="2175" ht="72" customHeight="1">
      <x:c r="A2175" s="14" t="n">
        <x:v>2170</x:v>
      </x:c>
      <x:c r="B2175" s="6" t="str">
        <x:v>largest_room</x:v>
      </x:c>
      <x:c r="C2175" s="6" t="str">
        <x:v>Which is the largest bathroom on the floor 3, and how big is it in m²? Finish with a line 'Answer: &lt;room name or number&gt;, &lt;area&gt; m²'.</x:v>
      </x:c>
      <x:c r="D2175" s="6" t="str">
        <x:v>3.05
Area: 4.22 m²
Space ID: swiss-1457-F3-S005</x:v>
      </x:c>
      <x:c r="E2175" s="6" t="str">
        <x:v>Reference supplied</x:v>
      </x:c>
      <x:c r="F2175" s="6" t="str">
        <x:v>train</x:v>
      </x:c>
      <x:c r="G2175" s="6" t="str">
        <x:v>swiss-1457</x:v>
      </x:c>
      <x:c r="H2175" s="6" t="str">
        <x:v>swiss-1457-H01</x:v>
      </x:c>
      <x:c r="I2175" s="6" t="str">
        <x:v>Area and room selection</x:v>
      </x:c>
      <x:c r="J2175" s="6" t="str">
        <x:v>Benchmark</x:v>
      </x:c>
      <x:c r="K2175" s="6" t="str">
        <x:v>Answer: &lt;accepted room name or ref&gt;, &lt;area&gt; m²</x:v>
      </x:c>
      <x:c r="L2175" s="6" t="str">
        <x:v>T02, T04, T14</x:v>
      </x:c>
      <x:c r="M2175" s="6" t="str">
        <x:v>Choose the largest room of a specified type on a specified floor and give its area.</x:v>
      </x:c>
      <x:c r="N2175" s="6" t="str">
        <x:v>{"type":"space","space_id":"swiss-1457-F3-S005","accept":["3.05","Bathroom 3.05 (apartment 7)"],"reject":["3.10","Bathroom 3.10 (apartment 8)","3.13","Bathroom 3.13 (apartment 8)"],"area":{"type":"number","value":4.22,"unit":"m2","relative_tolerance":0.05,"absolute_tolerance":0}}</x:v>
      </x:c>
      <x:c r="O2175" s="6" t="str">
        <x:v>{"floor_id":"swiss-1457-F3","room_type":"bathroom"}</x:v>
      </x:c>
      <x:c r="P2175" s="6" t="str">
        <x:v>Exact target floor and room_type. Polygon area in m².</x:v>
      </x:c>
      <x:c r="Q2175" s="15" t="n">
        <x:v>4.22</x:v>
      </x:c>
      <x:c r="R2175" s="6" t="str">
        <x:v>m2</x:v>
      </x:c>
      <x:c r="S2175" s="16" t="n">
        <x:v>0.05</x:v>
      </x:c>
      <x:c r="T2175" s="15" t="n">
        <x:v>0</x:v>
      </x:c>
      <x:c r="U2175" s="6" t="str">
        <x:v>Answer: 3.05, 4.22 m²</x:v>
      </x:c>
      <x:c r="V2175" s="6" t="str">
        <x:v>room geometry: area</x:v>
      </x:c>
      <x:c r="W2175" s="6" t="str">
        <x:v>Missing area/ranking tool. Search alone is insufficient.</x:v>
      </x:c>
      <x:c r="X2175" s="6" t="str">
        <x:v>data/train/swiss-1457/questions.jsonl</x:v>
      </x:c>
      <x:c r="Y2175" s="14" t="n">
        <x:v>1</x:v>
      </x:c>
      <x:c r="Z2175" s="6" t="str">
        <x:v>https://github.com/hagenhaeussler/Industrial-Agents-Hackathon-2026/blob/f41616590b69f3ea0c1cbfb41d6c35edd9ce53df/data/train/swiss-1457/questions.jsonl#L1</x:v>
      </x:c>
      <x:c r="AA2175" s="6" t="str">
        <x:v>swiss_dwellings</x:v>
      </x:c>
      <x:c r="AB2175" s="6" t="str">
        <x:v>CC-BY-4.0</x:v>
      </x:c>
    </x:row>
    <x:row r="2176" ht="72" customHeight="1">
      <x:c r="A2176" s="14" t="n">
        <x:v>2171</x:v>
      </x:c>
      <x:c r="B2176" s="6" t="str">
        <x:v>largest_room</x:v>
      </x:c>
      <x:c r="C2176" s="6" t="str">
        <x:v>Which is the largest bathroom on the ground floor, and how big is it in m²? Finish with a line 'Answer: &lt;room name or number&gt;, &lt;area&gt; m²'.</x:v>
      </x:c>
      <x:c r="D2176" s="6" t="str">
        <x:v>0.01
Area: 6.63 m²
Space ID: swiss-1470-F0-S001</x:v>
      </x:c>
      <x:c r="E2176" s="6" t="str">
        <x:v>Reference supplied</x:v>
      </x:c>
      <x:c r="F2176" s="6" t="str">
        <x:v>train</x:v>
      </x:c>
      <x:c r="G2176" s="6" t="str">
        <x:v>swiss-1470</x:v>
      </x:c>
      <x:c r="H2176" s="6" t="str">
        <x:v>swiss-1470-H01</x:v>
      </x:c>
      <x:c r="I2176" s="6" t="str">
        <x:v>Area and room selection</x:v>
      </x:c>
      <x:c r="J2176" s="6" t="str">
        <x:v>Benchmark</x:v>
      </x:c>
      <x:c r="K2176" s="6" t="str">
        <x:v>Answer: &lt;accepted room name or ref&gt;, &lt;area&gt; m²</x:v>
      </x:c>
      <x:c r="L2176" s="6" t="str">
        <x:v>T02, T04, T14</x:v>
      </x:c>
      <x:c r="M2176" s="6" t="str">
        <x:v>Choose the largest room of a specified type on a specified floor and give its area.</x:v>
      </x:c>
      <x:c r="N2176" s="6" t="str">
        <x:v>{"type":"space","space_id":"swiss-1470-F0-S001","accept":["0.01","Bathroom 0.01 (apartment 1)"],"reject":["0.21","Bathroom 0.21 (apartment 2)","0.14","Bathroom 0.14 (apartment 2)"],"area":{"type":"number","value":6.63,"unit":"m2","relative_tolerance":0.05,"absolute_tolerance":0}}</x:v>
      </x:c>
      <x:c r="O2176" s="6" t="str">
        <x:v>{"floor_id":"swiss-1470-F0","room_type":"bathroom"}</x:v>
      </x:c>
      <x:c r="P2176" s="6" t="str">
        <x:v>Exact target floor and room_type. Polygon area in m².</x:v>
      </x:c>
      <x:c r="Q2176" s="15" t="n">
        <x:v>6.63</x:v>
      </x:c>
      <x:c r="R2176" s="6" t="str">
        <x:v>m2</x:v>
      </x:c>
      <x:c r="S2176" s="16" t="n">
        <x:v>0.05</x:v>
      </x:c>
      <x:c r="T2176" s="15" t="n">
        <x:v>0</x:v>
      </x:c>
      <x:c r="U2176" s="6" t="str">
        <x:v>Answer: 0.01, 6.63 m²</x:v>
      </x:c>
      <x:c r="V2176" s="6" t="str">
        <x:v>room geometry: area</x:v>
      </x:c>
      <x:c r="W2176" s="6" t="str">
        <x:v>Missing area/ranking tool. Search alone is insufficient.</x:v>
      </x:c>
      <x:c r="X2176" s="6" t="str">
        <x:v>data/train/swiss-1470/questions.jsonl</x:v>
      </x:c>
      <x:c r="Y2176" s="14" t="n">
        <x:v>1</x:v>
      </x:c>
      <x:c r="Z2176" s="6" t="str">
        <x:v>https://github.com/hagenhaeussler/Industrial-Agents-Hackathon-2026/blob/f41616590b69f3ea0c1cbfb41d6c35edd9ce53df/data/train/swiss-1470/questions.jsonl#L1</x:v>
      </x:c>
      <x:c r="AA2176" s="6" t="str">
        <x:v>swiss_dwellings</x:v>
      </x:c>
      <x:c r="AB2176" s="6" t="str">
        <x:v>CC-BY-4.0</x:v>
      </x:c>
    </x:row>
    <x:row r="2177" ht="72" customHeight="1">
      <x:c r="A2177" s="14" t="n">
        <x:v>2172</x:v>
      </x:c>
      <x:c r="B2177" s="6" t="str">
        <x:v>largest_room</x:v>
      </x:c>
      <x:c r="C2177" s="6" t="str">
        <x:v>Which is the largest bathroom on the floor 1, and how big is it in m²? Finish with a line 'Answer: &lt;room name or number&gt;, &lt;area&gt; m²'.</x:v>
      </x:c>
      <x:c r="D2177" s="6" t="str">
        <x:v>1.11
Area: 5.53 m²
Space ID: swiss-148-F1-S011</x:v>
      </x:c>
      <x:c r="E2177" s="6" t="str">
        <x:v>Reference supplied</x:v>
      </x:c>
      <x:c r="F2177" s="6" t="str">
        <x:v>train</x:v>
      </x:c>
      <x:c r="G2177" s="6" t="str">
        <x:v>swiss-148</x:v>
      </x:c>
      <x:c r="H2177" s="6" t="str">
        <x:v>swiss-148-H01</x:v>
      </x:c>
      <x:c r="I2177" s="6" t="str">
        <x:v>Area and room selection</x:v>
      </x:c>
      <x:c r="J2177" s="6" t="str">
        <x:v>Benchmark</x:v>
      </x:c>
      <x:c r="K2177" s="6" t="str">
        <x:v>Answer: &lt;accepted room name or ref&gt;, &lt;area&gt; m²</x:v>
      </x:c>
      <x:c r="L2177" s="6" t="str">
        <x:v>T02, T04, T14</x:v>
      </x:c>
      <x:c r="M2177" s="6" t="str">
        <x:v>Choose the largest room of a specified type on a specified floor and give its area.</x:v>
      </x:c>
      <x:c r="N2177" s="6" t="str">
        <x:v>{"type":"space","space_id":"swiss-148-F1-S011","accept":["1.11","Bathroom 1.11 (apartment 3)"],"reject":["1.20","Bathroom 1.20 (apartment 4)","1.08","Bathroom 1.08 (apartment 3)","1.07","Bathroom 1.07 (apartment 3)"],"area":{"type":"number","value":5.53,"unit":"m2","relative_tolerance":0.05,"absolute_tolerance":0}}</x:v>
      </x:c>
      <x:c r="O2177" s="6" t="str">
        <x:v>{"floor_id":"swiss-148-F1","room_type":"bathroom"}</x:v>
      </x:c>
      <x:c r="P2177" s="6" t="str">
        <x:v>Exact target floor and room_type. Polygon area in m².</x:v>
      </x:c>
      <x:c r="Q2177" s="15" t="n">
        <x:v>5.53</x:v>
      </x:c>
      <x:c r="R2177" s="6" t="str">
        <x:v>m2</x:v>
      </x:c>
      <x:c r="S2177" s="16" t="n">
        <x:v>0.05</x:v>
      </x:c>
      <x:c r="T2177" s="15" t="n">
        <x:v>0</x:v>
      </x:c>
      <x:c r="U2177" s="6" t="str">
        <x:v>Answer: 1.11, 5.53 m²</x:v>
      </x:c>
      <x:c r="V2177" s="6" t="str">
        <x:v>room geometry: area</x:v>
      </x:c>
      <x:c r="W2177" s="6" t="str">
        <x:v>Missing area/ranking tool. Search alone is insufficient.</x:v>
      </x:c>
      <x:c r="X2177" s="6" t="str">
        <x:v>data/train/swiss-148/questions.jsonl</x:v>
      </x:c>
      <x:c r="Y2177" s="14" t="n">
        <x:v>1</x:v>
      </x:c>
      <x:c r="Z2177" s="6" t="str">
        <x:v>https://github.com/hagenhaeussler/Industrial-Agents-Hackathon-2026/blob/f41616590b69f3ea0c1cbfb41d6c35edd9ce53df/data/train/swiss-148/questions.jsonl#L1</x:v>
      </x:c>
      <x:c r="AA2177" s="6" t="str">
        <x:v>swiss_dwellings</x:v>
      </x:c>
      <x:c r="AB2177" s="6" t="str">
        <x:v>CC-BY-4.0</x:v>
      </x:c>
    </x:row>
    <x:row r="2178" ht="72" customHeight="1">
      <x:c r="A2178" s="14" t="n">
        <x:v>2173</x:v>
      </x:c>
      <x:c r="B2178" s="6" t="str">
        <x:v>largest_room</x:v>
      </x:c>
      <x:c r="C2178" s="6" t="str">
        <x:v>Which is the largest bedroom on the floor 3, and how big is it in m²? Finish with a line 'Answer: &lt;room name or number&gt;, &lt;area&gt; m²'.</x:v>
      </x:c>
      <x:c r="D2178" s="6" t="str">
        <x:v>3.15
Area: 25.14 m²
Space ID: swiss-1650-F3-S015</x:v>
      </x:c>
      <x:c r="E2178" s="6" t="str">
        <x:v>Reference supplied</x:v>
      </x:c>
      <x:c r="F2178" s="6" t="str">
        <x:v>train</x:v>
      </x:c>
      <x:c r="G2178" s="6" t="str">
        <x:v>swiss-1650</x:v>
      </x:c>
      <x:c r="H2178" s="6" t="str">
        <x:v>swiss-1650-H01</x:v>
      </x:c>
      <x:c r="I2178" s="6" t="str">
        <x:v>Area and room selection</x:v>
      </x:c>
      <x:c r="J2178" s="6" t="str">
        <x:v>Benchmark</x:v>
      </x:c>
      <x:c r="K2178" s="6" t="str">
        <x:v>Answer: &lt;accepted room name or ref&gt;, &lt;area&gt; m²</x:v>
      </x:c>
      <x:c r="L2178" s="6" t="str">
        <x:v>T02, T04, T14</x:v>
      </x:c>
      <x:c r="M2178" s="6" t="str">
        <x:v>Choose the largest room of a specified type on a specified floor and give its area.</x:v>
      </x:c>
      <x:c r="N2178" s="6" t="str">
        <x:v>{"type":"space","space_id":"swiss-1650-F3-S015","accept":["3.15","Bedroom 3.15 (apartment 7)"],"reject":["3.13","Bedroom 3.13 (apartment 7)","3.17","Bedroom 3.17 (apartment 7)","3.11","Bedroom 3.11 (apartment 6)"],"area":{"type":"number","value":25.14,"unit":"m2","relative_tolerance":0.05,"absolute_tolerance":0}}</x:v>
      </x:c>
      <x:c r="O2178" s="6" t="str">
        <x:v>{"floor_id":"swiss-1650-F3","room_type":"bedroom"}</x:v>
      </x:c>
      <x:c r="P2178" s="6" t="str">
        <x:v>Exact target floor and room_type. Polygon area in m².</x:v>
      </x:c>
      <x:c r="Q2178" s="15" t="n">
        <x:v>25.14</x:v>
      </x:c>
      <x:c r="R2178" s="6" t="str">
        <x:v>m2</x:v>
      </x:c>
      <x:c r="S2178" s="16" t="n">
        <x:v>0.05</x:v>
      </x:c>
      <x:c r="T2178" s="15" t="n">
        <x:v>0</x:v>
      </x:c>
      <x:c r="U2178" s="6" t="str">
        <x:v>Answer: 3.15, 25.14 m²</x:v>
      </x:c>
      <x:c r="V2178" s="6" t="str">
        <x:v>room geometry: area</x:v>
      </x:c>
      <x:c r="W2178" s="6" t="str">
        <x:v>Missing area/ranking tool. Search alone is insufficient.</x:v>
      </x:c>
      <x:c r="X2178" s="6" t="str">
        <x:v>data/train/swiss-1650/questions.jsonl</x:v>
      </x:c>
      <x:c r="Y2178" s="14" t="n">
        <x:v>1</x:v>
      </x:c>
      <x:c r="Z2178" s="6" t="str">
        <x:v>https://github.com/hagenhaeussler/Industrial-Agents-Hackathon-2026/blob/f41616590b69f3ea0c1cbfb41d6c35edd9ce53df/data/train/swiss-1650/questions.jsonl#L1</x:v>
      </x:c>
      <x:c r="AA2178" s="6" t="str">
        <x:v>swiss_dwellings</x:v>
      </x:c>
      <x:c r="AB2178" s="6" t="str">
        <x:v>CC-BY-4.0</x:v>
      </x:c>
    </x:row>
    <x:row r="2179" ht="72" customHeight="1">
      <x:c r="A2179" s="14" t="n">
        <x:v>2174</x:v>
      </x:c>
      <x:c r="B2179" s="6" t="str">
        <x:v>largest_room</x:v>
      </x:c>
      <x:c r="C2179" s="6" t="str">
        <x:v>Which is the largest bedroom on the ground floor, and how big is it in m²? Finish with a line 'Answer: &lt;room name or number&gt;, &lt;area&gt; m²'.</x:v>
      </x:c>
      <x:c r="D2179" s="6" t="str">
        <x:v>0.01
Area: 16.8 m²
Space ID: swiss-18196-F0-S001</x:v>
      </x:c>
      <x:c r="E2179" s="6" t="str">
        <x:v>Reference supplied</x:v>
      </x:c>
      <x:c r="F2179" s="6" t="str">
        <x:v>train</x:v>
      </x:c>
      <x:c r="G2179" s="6" t="str">
        <x:v>swiss-18196</x:v>
      </x:c>
      <x:c r="H2179" s="6" t="str">
        <x:v>swiss-18196-H01</x:v>
      </x:c>
      <x:c r="I2179" s="6" t="str">
        <x:v>Area and room selection</x:v>
      </x:c>
      <x:c r="J2179" s="6" t="str">
        <x:v>Benchmark</x:v>
      </x:c>
      <x:c r="K2179" s="6" t="str">
        <x:v>Answer: &lt;accepted room name or ref&gt;, &lt;area&gt; m²</x:v>
      </x:c>
      <x:c r="L2179" s="6" t="str">
        <x:v>T02, T04, T14</x:v>
      </x:c>
      <x:c r="M2179" s="6" t="str">
        <x:v>Choose the largest room of a specified type on a specified floor and give its area.</x:v>
      </x:c>
      <x:c r="N2179" s="6" t="str">
        <x:v>{"type":"space","space_id":"swiss-18196-F0-S001","accept":["0.01","Bedroom 0.01 (apartment 1)"],"reject":["0.05","Bedroom 0.05 (apartment 1)","0.02","Bedroom 0.02 (apartment 1)"],"area":{"type":"number","value":16.8,"unit":"m2","relative_tolerance":0.05,"absolute_tolerance":0}}</x:v>
      </x:c>
      <x:c r="O2179" s="6" t="str">
        <x:v>{"floor_id":"swiss-18196-F0","room_type":"bedroom"}</x:v>
      </x:c>
      <x:c r="P2179" s="6" t="str">
        <x:v>Exact target floor and room_type. Polygon area in m².</x:v>
      </x:c>
      <x:c r="Q2179" s="15" t="n">
        <x:v>16.8</x:v>
      </x:c>
      <x:c r="R2179" s="6" t="str">
        <x:v>m2</x:v>
      </x:c>
      <x:c r="S2179" s="16" t="n">
        <x:v>0.05</x:v>
      </x:c>
      <x:c r="T2179" s="15" t="n">
        <x:v>0</x:v>
      </x:c>
      <x:c r="U2179" s="6" t="str">
        <x:v>Answer: 0.01, 16.8 m²</x:v>
      </x:c>
      <x:c r="V2179" s="6" t="str">
        <x:v>room geometry: area</x:v>
      </x:c>
      <x:c r="W2179" s="6" t="str">
        <x:v>Missing area/ranking tool. Search alone is insufficient.</x:v>
      </x:c>
      <x:c r="X2179" s="6" t="str">
        <x:v>data/train/swiss-18196/questions.jsonl</x:v>
      </x:c>
      <x:c r="Y2179" s="14" t="n">
        <x:v>1</x:v>
      </x:c>
      <x:c r="Z2179" s="6" t="str">
        <x:v>https://github.com/hagenhaeussler/Industrial-Agents-Hackathon-2026/blob/f41616590b69f3ea0c1cbfb41d6c35edd9ce53df/data/train/swiss-18196/questions.jsonl#L1</x:v>
      </x:c>
      <x:c r="AA2179" s="6" t="str">
        <x:v>swiss_dwellings</x:v>
      </x:c>
      <x:c r="AB2179" s="6" t="str">
        <x:v>CC-BY-4.0</x:v>
      </x:c>
    </x:row>
    <x:row r="2180" ht="72" customHeight="1">
      <x:c r="A2180" s="14" t="n">
        <x:v>2175</x:v>
      </x:c>
      <x:c r="B2180" s="6" t="str">
        <x:v>largest_room</x:v>
      </x:c>
      <x:c r="C2180" s="6" t="str">
        <x:v>Which is the largest living room on the floor 1, and how big is it in m²? Finish with a line 'Answer: &lt;room name or number&gt;, &lt;area&gt; m²'.</x:v>
      </x:c>
      <x:c r="D2180" s="6" t="str">
        <x:v>1.21
Area: 29.37 m²
Space ID: swiss-18256-F1-S021</x:v>
      </x:c>
      <x:c r="E2180" s="6" t="str">
        <x:v>Reference supplied</x:v>
      </x:c>
      <x:c r="F2180" s="6" t="str">
        <x:v>train</x:v>
      </x:c>
      <x:c r="G2180" s="6" t="str">
        <x:v>swiss-18256</x:v>
      </x:c>
      <x:c r="H2180" s="6" t="str">
        <x:v>swiss-18256-H01</x:v>
      </x:c>
      <x:c r="I2180" s="6" t="str">
        <x:v>Area and room selection</x:v>
      </x:c>
      <x:c r="J2180" s="6" t="str">
        <x:v>Benchmark</x:v>
      </x:c>
      <x:c r="K2180" s="6" t="str">
        <x:v>Answer: &lt;accepted room name or ref&gt;, &lt;area&gt; m²</x:v>
      </x:c>
      <x:c r="L2180" s="6" t="str">
        <x:v>T02, T04, T14</x:v>
      </x:c>
      <x:c r="M2180" s="6" t="str">
        <x:v>Choose the largest room of a specified type on a specified floor and give its area.</x:v>
      </x:c>
      <x:c r="N2180" s="6" t="str">
        <x:v>{"type":"space","space_id":"swiss-18256-F1-S021","accept":["1.21","Living room 1.21 (apartment 6)"],"reject":["1.09","Living room 1.09 (apartment 5)","1.02","Living room 1.02 (apartment 4)"],"area":{"type":"number","value":29.37,"unit":"m2","relative_tolerance":0.05,"absolute_tolerance":0}}</x:v>
      </x:c>
      <x:c r="O2180" s="6" t="str">
        <x:v>{"floor_id":"swiss-18256-F1","room_type":"living_room"}</x:v>
      </x:c>
      <x:c r="P2180" s="6" t="str">
        <x:v>Exact target floor and room_type. Polygon area in m².</x:v>
      </x:c>
      <x:c r="Q2180" s="15" t="n">
        <x:v>29.37</x:v>
      </x:c>
      <x:c r="R2180" s="6" t="str">
        <x:v>m2</x:v>
      </x:c>
      <x:c r="S2180" s="16" t="n">
        <x:v>0.05</x:v>
      </x:c>
      <x:c r="T2180" s="15" t="n">
        <x:v>0</x:v>
      </x:c>
      <x:c r="U2180" s="6" t="str">
        <x:v>Answer: 1.21, 29.37 m²</x:v>
      </x:c>
      <x:c r="V2180" s="6" t="str">
        <x:v>room geometry: area</x:v>
      </x:c>
      <x:c r="W2180" s="6" t="str">
        <x:v>Missing area/ranking tool. Search alone is insufficient.</x:v>
      </x:c>
      <x:c r="X2180" s="6" t="str">
        <x:v>data/train/swiss-18256/questions.jsonl</x:v>
      </x:c>
      <x:c r="Y2180" s="14" t="n">
        <x:v>1</x:v>
      </x:c>
      <x:c r="Z2180" s="6" t="str">
        <x:v>https://github.com/hagenhaeussler/Industrial-Agents-Hackathon-2026/blob/f41616590b69f3ea0c1cbfb41d6c35edd9ce53df/data/train/swiss-18256/questions.jsonl#L1</x:v>
      </x:c>
      <x:c r="AA2180" s="6" t="str">
        <x:v>swiss_dwellings</x:v>
      </x:c>
      <x:c r="AB2180" s="6" t="str">
        <x:v>CC-BY-4.0</x:v>
      </x:c>
    </x:row>
    <x:row r="2181" ht="72" customHeight="1">
      <x:c r="A2181" s="14" t="n">
        <x:v>2176</x:v>
      </x:c>
      <x:c r="B2181" s="6" t="str">
        <x:v>largest_room</x:v>
      </x:c>
      <x:c r="C2181" s="6" t="str">
        <x:v>Which is the largest bedroom on the ground floor, and how big is it in m²? Finish with a line 'Answer: &lt;room name or number&gt;, &lt;area&gt; m²'.</x:v>
      </x:c>
      <x:c r="D2181" s="6" t="str">
        <x:v>0.01
Area: 17.73 m²
Space ID: swiss-1828-F0-S001</x:v>
      </x:c>
      <x:c r="E2181" s="6" t="str">
        <x:v>Reference supplied</x:v>
      </x:c>
      <x:c r="F2181" s="6" t="str">
        <x:v>train</x:v>
      </x:c>
      <x:c r="G2181" s="6" t="str">
        <x:v>swiss-1828</x:v>
      </x:c>
      <x:c r="H2181" s="6" t="str">
        <x:v>swiss-1828-H01</x:v>
      </x:c>
      <x:c r="I2181" s="6" t="str">
        <x:v>Area and room selection</x:v>
      </x:c>
      <x:c r="J2181" s="6" t="str">
        <x:v>Benchmark</x:v>
      </x:c>
      <x:c r="K2181" s="6" t="str">
        <x:v>Answer: &lt;accepted room name or ref&gt;, &lt;area&gt; m²</x:v>
      </x:c>
      <x:c r="L2181" s="6" t="str">
        <x:v>T02, T04, T14</x:v>
      </x:c>
      <x:c r="M2181" s="6" t="str">
        <x:v>Choose the largest room of a specified type on a specified floor and give its area.</x:v>
      </x:c>
      <x:c r="N2181" s="6" t="str">
        <x:v>{"type":"space","space_id":"swiss-1828-F0-S001","accept":["0.01","Bedroom 0.01 (apartment 1)"],"reject":["0.12","Bedroom 0.12 (apartment 2)","0.06","Bedroom 0.06 (apartment 1)","0.08","Bedroom 0.08 (apartment 2)"],"area":{"type":"number","value":17.73,"unit":"m2","relative_tolerance":0.05,"absolute_tolerance":0}}</x:v>
      </x:c>
      <x:c r="O2181" s="6" t="str">
        <x:v>{"floor_id":"swiss-1828-F0","room_type":"bedroom"}</x:v>
      </x:c>
      <x:c r="P2181" s="6" t="str">
        <x:v>Exact target floor and room_type. Polygon area in m².</x:v>
      </x:c>
      <x:c r="Q2181" s="15" t="n">
        <x:v>17.73</x:v>
      </x:c>
      <x:c r="R2181" s="6" t="str">
        <x:v>m2</x:v>
      </x:c>
      <x:c r="S2181" s="16" t="n">
        <x:v>0.05</x:v>
      </x:c>
      <x:c r="T2181" s="15" t="n">
        <x:v>0</x:v>
      </x:c>
      <x:c r="U2181" s="6" t="str">
        <x:v>Answer: 0.01, 17.73 m²</x:v>
      </x:c>
      <x:c r="V2181" s="6" t="str">
        <x:v>room geometry: area</x:v>
      </x:c>
      <x:c r="W2181" s="6" t="str">
        <x:v>Missing area/ranking tool. Search alone is insufficient.</x:v>
      </x:c>
      <x:c r="X2181" s="6" t="str">
        <x:v>data/train/swiss-1828/questions.jsonl</x:v>
      </x:c>
      <x:c r="Y2181" s="14" t="n">
        <x:v>1</x:v>
      </x:c>
      <x:c r="Z2181" s="6" t="str">
        <x:v>https://github.com/hagenhaeussler/Industrial-Agents-Hackathon-2026/blob/f41616590b69f3ea0c1cbfb41d6c35edd9ce53df/data/train/swiss-1828/questions.jsonl#L1</x:v>
      </x:c>
      <x:c r="AA2181" s="6" t="str">
        <x:v>swiss_dwellings</x:v>
      </x:c>
      <x:c r="AB2181" s="6" t="str">
        <x:v>CC-BY-4.0</x:v>
      </x:c>
    </x:row>
    <x:row r="2182" ht="72" customHeight="1">
      <x:c r="A2182" s="14" t="n">
        <x:v>2177</x:v>
      </x:c>
      <x:c r="B2182" s="6" t="str">
        <x:v>largest_room</x:v>
      </x:c>
      <x:c r="C2182" s="6" t="str">
        <x:v>Which is the largest bedroom on the ground floor, and how big is it in m²? Finish with a line 'Answer: &lt;room name or number&gt;, &lt;area&gt; m²'.</x:v>
      </x:c>
      <x:c r="D2182" s="6" t="str">
        <x:v>0.12
Area: 18.64 m²
Space ID: swiss-1829-F0-S012</x:v>
      </x:c>
      <x:c r="E2182" s="6" t="str">
        <x:v>Reference supplied</x:v>
      </x:c>
      <x:c r="F2182" s="6" t="str">
        <x:v>train</x:v>
      </x:c>
      <x:c r="G2182" s="6" t="str">
        <x:v>swiss-1829</x:v>
      </x:c>
      <x:c r="H2182" s="6" t="str">
        <x:v>swiss-1829-H01</x:v>
      </x:c>
      <x:c r="I2182" s="6" t="str">
        <x:v>Area and room selection</x:v>
      </x:c>
      <x:c r="J2182" s="6" t="str">
        <x:v>Benchmark</x:v>
      </x:c>
      <x:c r="K2182" s="6" t="str">
        <x:v>Answer: &lt;accepted room name or ref&gt;, &lt;area&gt; m²</x:v>
      </x:c>
      <x:c r="L2182" s="6" t="str">
        <x:v>T02, T04, T14</x:v>
      </x:c>
      <x:c r="M2182" s="6" t="str">
        <x:v>Choose the largest room of a specified type on a specified floor and give its area.</x:v>
      </x:c>
      <x:c r="N2182" s="6" t="str">
        <x:v>{"type":"space","space_id":"swiss-1829-F0-S012","accept":["0.12","Bedroom 0.12 (apartment 2)"],"reject":["0.19","Bedroom 0.19 (apartment 2)","0.07","Bedroom 0.07 (apartment 1)","0.05","Bedroom 0.05 (apartment 1)"],"area":{"type":"number","value":18.64,"unit":"m2","relative_tolerance":0.05,"absolute_tolerance":0}}</x:v>
      </x:c>
      <x:c r="O2182" s="6" t="str">
        <x:v>{"floor_id":"swiss-1829-F0","room_type":"bedroom"}</x:v>
      </x:c>
      <x:c r="P2182" s="6" t="str">
        <x:v>Exact target floor and room_type. Polygon area in m².</x:v>
      </x:c>
      <x:c r="Q2182" s="15" t="n">
        <x:v>18.64</x:v>
      </x:c>
      <x:c r="R2182" s="6" t="str">
        <x:v>m2</x:v>
      </x:c>
      <x:c r="S2182" s="16" t="n">
        <x:v>0.05</x:v>
      </x:c>
      <x:c r="T2182" s="15" t="n">
        <x:v>0</x:v>
      </x:c>
      <x:c r="U2182" s="6" t="str">
        <x:v>Answer: 0.12, 18.64 m²</x:v>
      </x:c>
      <x:c r="V2182" s="6" t="str">
        <x:v>room geometry: area</x:v>
      </x:c>
      <x:c r="W2182" s="6" t="str">
        <x:v>Missing area/ranking tool. Search alone is insufficient.</x:v>
      </x:c>
      <x:c r="X2182" s="6" t="str">
        <x:v>data/train/swiss-1829/questions.jsonl</x:v>
      </x:c>
      <x:c r="Y2182" s="14" t="n">
        <x:v>1</x:v>
      </x:c>
      <x:c r="Z2182" s="6" t="str">
        <x:v>https://github.com/hagenhaeussler/Industrial-Agents-Hackathon-2026/blob/f41616590b69f3ea0c1cbfb41d6c35edd9ce53df/data/train/swiss-1829/questions.jsonl#L1</x:v>
      </x:c>
      <x:c r="AA2182" s="6" t="str">
        <x:v>swiss_dwellings</x:v>
      </x:c>
      <x:c r="AB2182" s="6" t="str">
        <x:v>CC-BY-4.0</x:v>
      </x:c>
    </x:row>
    <x:row r="2183" ht="72" customHeight="1">
      <x:c r="A2183" s="14" t="n">
        <x:v>2178</x:v>
      </x:c>
      <x:c r="B2183" s="6" t="str">
        <x:v>largest_room</x:v>
      </x:c>
      <x:c r="C2183" s="6" t="str">
        <x:v>Which is the largest bathroom on the ground floor, and how big is it in m²? Finish with a line 'Answer: &lt;room name or number&gt;, &lt;area&gt; m²'.</x:v>
      </x:c>
      <x:c r="D2183" s="6" t="str">
        <x:v>0.19
Area: 5.32 m²
Space ID: swiss-1883-F0-S019</x:v>
      </x:c>
      <x:c r="E2183" s="6" t="str">
        <x:v>Reference supplied</x:v>
      </x:c>
      <x:c r="F2183" s="6" t="str">
        <x:v>train</x:v>
      </x:c>
      <x:c r="G2183" s="6" t="str">
        <x:v>swiss-1883</x:v>
      </x:c>
      <x:c r="H2183" s="6" t="str">
        <x:v>swiss-1883-H01</x:v>
      </x:c>
      <x:c r="I2183" s="6" t="str">
        <x:v>Area and room selection</x:v>
      </x:c>
      <x:c r="J2183" s="6" t="str">
        <x:v>Benchmark</x:v>
      </x:c>
      <x:c r="K2183" s="6" t="str">
        <x:v>Answer: &lt;accepted room name or ref&gt;, &lt;area&gt; m²</x:v>
      </x:c>
      <x:c r="L2183" s="6" t="str">
        <x:v>T02, T04, T14</x:v>
      </x:c>
      <x:c r="M2183" s="6" t="str">
        <x:v>Choose the largest room of a specified type on a specified floor and give its area.</x:v>
      </x:c>
      <x:c r="N2183" s="6" t="str">
        <x:v>{"type":"space","space_id":"swiss-1883-F0-S019","accept":["0.19","Bathroom 0.19 (apartment 3)"],"reject":["0.08","Bathroom 0.08 (apartment 1)","0.10","Bathroom 0.10 (apartment 2)","0.30","Bathroom 0.30 (apartment 4)"],"area":{"type":"number","value":5.32,"unit":"m2","relative_tolerance":0.05,"absolute_tolerance":0}}</x:v>
      </x:c>
      <x:c r="O2183" s="6" t="str">
        <x:v>{"floor_id":"swiss-1883-F0","room_type":"bathroom"}</x:v>
      </x:c>
      <x:c r="P2183" s="6" t="str">
        <x:v>Exact target floor and room_type. Polygon area in m².</x:v>
      </x:c>
      <x:c r="Q2183" s="15" t="n">
        <x:v>5.32</x:v>
      </x:c>
      <x:c r="R2183" s="6" t="str">
        <x:v>m2</x:v>
      </x:c>
      <x:c r="S2183" s="16" t="n">
        <x:v>0.05</x:v>
      </x:c>
      <x:c r="T2183" s="15" t="n">
        <x:v>0</x:v>
      </x:c>
      <x:c r="U2183" s="6" t="str">
        <x:v>Answer: 0.19, 5.32 m²</x:v>
      </x:c>
      <x:c r="V2183" s="6" t="str">
        <x:v>room geometry: area</x:v>
      </x:c>
      <x:c r="W2183" s="6" t="str">
        <x:v>Missing area/ranking tool. Search alone is insufficient.</x:v>
      </x:c>
      <x:c r="X2183" s="6" t="str">
        <x:v>data/train/swiss-1883/questions.jsonl</x:v>
      </x:c>
      <x:c r="Y2183" s="14" t="n">
        <x:v>1</x:v>
      </x:c>
      <x:c r="Z2183" s="6" t="str">
        <x:v>https://github.com/hagenhaeussler/Industrial-Agents-Hackathon-2026/blob/f41616590b69f3ea0c1cbfb41d6c35edd9ce53df/data/train/swiss-1883/questions.jsonl#L1</x:v>
      </x:c>
      <x:c r="AA2183" s="6" t="str">
        <x:v>swiss_dwellings</x:v>
      </x:c>
      <x:c r="AB2183" s="6" t="str">
        <x:v>CC-BY-4.0</x:v>
      </x:c>
    </x:row>
    <x:row r="2184" ht="72" customHeight="1">
      <x:c r="A2184" s="14" t="n">
        <x:v>2179</x:v>
      </x:c>
      <x:c r="B2184" s="6" t="str">
        <x:v>largest_room</x:v>
      </x:c>
      <x:c r="C2184" s="6" t="str">
        <x:v>Which is the largest living room on the floor 2, and how big is it in m²? Finish with a line 'Answer: &lt;room name or number&gt;, &lt;area&gt; m²'.</x:v>
      </x:c>
      <x:c r="D2184" s="6" t="str">
        <x:v>2.51
Area: 30.77 m²
Space ID: swiss-1922-F2-S051</x:v>
      </x:c>
      <x:c r="E2184" s="6" t="str">
        <x:v>Reference supplied</x:v>
      </x:c>
      <x:c r="F2184" s="6" t="str">
        <x:v>train</x:v>
      </x:c>
      <x:c r="G2184" s="6" t="str">
        <x:v>swiss-1922</x:v>
      </x:c>
      <x:c r="H2184" s="6" t="str">
        <x:v>swiss-1922-H01</x:v>
      </x:c>
      <x:c r="I2184" s="6" t="str">
        <x:v>Area and room selection</x:v>
      </x:c>
      <x:c r="J2184" s="6" t="str">
        <x:v>Benchmark</x:v>
      </x:c>
      <x:c r="K2184" s="6" t="str">
        <x:v>Answer: &lt;accepted room name or ref&gt;, &lt;area&gt; m²</x:v>
      </x:c>
      <x:c r="L2184" s="6" t="str">
        <x:v>T02, T04, T14</x:v>
      </x:c>
      <x:c r="M2184" s="6" t="str">
        <x:v>Choose the largest room of a specified type on a specified floor and give its area.</x:v>
      </x:c>
      <x:c r="N2184" s="6" t="str">
        <x:v>{"type":"space","space_id":"swiss-1922-F2-S051","accept":["2.51","Living room 2.51 (apartment 25)"],"reject":["2.16","Living room 2.16 (apartment 19)","2.05","Living room 2.05 (apartment 17)","2.25","Living room 2.25 (apartment 21)"],"area":{"type":"number","value":30.77,"unit":"m2","relative_tolerance":0.05,"absolute_tolerance":0}}</x:v>
      </x:c>
      <x:c r="O2184" s="6" t="str">
        <x:v>{"floor_id":"swiss-1922-F2","room_type":"living_room"}</x:v>
      </x:c>
      <x:c r="P2184" s="6" t="str">
        <x:v>Exact target floor and room_type. Polygon area in m².</x:v>
      </x:c>
      <x:c r="Q2184" s="15" t="n">
        <x:v>30.77</x:v>
      </x:c>
      <x:c r="R2184" s="6" t="str">
        <x:v>m2</x:v>
      </x:c>
      <x:c r="S2184" s="16" t="n">
        <x:v>0.05</x:v>
      </x:c>
      <x:c r="T2184" s="15" t="n">
        <x:v>0</x:v>
      </x:c>
      <x:c r="U2184" s="6" t="str">
        <x:v>Answer: 2.51, 30.77 m²</x:v>
      </x:c>
      <x:c r="V2184" s="6" t="str">
        <x:v>room geometry: area</x:v>
      </x:c>
      <x:c r="W2184" s="6" t="str">
        <x:v>Missing area/ranking tool. Search alone is insufficient.</x:v>
      </x:c>
      <x:c r="X2184" s="6" t="str">
        <x:v>data/train/swiss-1922/questions.jsonl</x:v>
      </x:c>
      <x:c r="Y2184" s="14" t="n">
        <x:v>1</x:v>
      </x:c>
      <x:c r="Z2184" s="6" t="str">
        <x:v>https://github.com/hagenhaeussler/Industrial-Agents-Hackathon-2026/blob/f41616590b69f3ea0c1cbfb41d6c35edd9ce53df/data/train/swiss-1922/questions.jsonl#L1</x:v>
      </x:c>
      <x:c r="AA2184" s="6" t="str">
        <x:v>swiss_dwellings</x:v>
      </x:c>
      <x:c r="AB2184" s="6" t="str">
        <x:v>CC-BY-4.0</x:v>
      </x:c>
    </x:row>
    <x:row r="2185" ht="72" customHeight="1">
      <x:c r="A2185" s="14" t="n">
        <x:v>2180</x:v>
      </x:c>
      <x:c r="B2185" s="6" t="str">
        <x:v>largest_room</x:v>
      </x:c>
      <x:c r="C2185" s="6" t="str">
        <x:v>Which is the largest bedroom on the floor 3, and how big is it in m²? Finish with a line 'Answer: &lt;room name or number&gt;, &lt;area&gt; m²'.</x:v>
      </x:c>
      <x:c r="D2185" s="6" t="str">
        <x:v>3.02
Area: 19.48 m²
Space ID: swiss-1936-F3-S002</x:v>
      </x:c>
      <x:c r="E2185" s="6" t="str">
        <x:v>Reference supplied</x:v>
      </x:c>
      <x:c r="F2185" s="6" t="str">
        <x:v>train</x:v>
      </x:c>
      <x:c r="G2185" s="6" t="str">
        <x:v>swiss-1936</x:v>
      </x:c>
      <x:c r="H2185" s="6" t="str">
        <x:v>swiss-1936-H01</x:v>
      </x:c>
      <x:c r="I2185" s="6" t="str">
        <x:v>Area and room selection</x:v>
      </x:c>
      <x:c r="J2185" s="6" t="str">
        <x:v>Benchmark</x:v>
      </x:c>
      <x:c r="K2185" s="6" t="str">
        <x:v>Answer: &lt;accepted room name or ref&gt;, &lt;area&gt; m²</x:v>
      </x:c>
      <x:c r="L2185" s="6" t="str">
        <x:v>T02, T04, T14</x:v>
      </x:c>
      <x:c r="M2185" s="6" t="str">
        <x:v>Choose the largest room of a specified type on a specified floor and give its area.</x:v>
      </x:c>
      <x:c r="N2185" s="6" t="str">
        <x:v>{"type":"space","space_id":"swiss-1936-F3-S002","accept":["3.02","Bedroom 3.02 (apartment 7)"],"reject":["3.13","Bedroom 3.13 (apartment 8)","3.19","Bedroom 3.19 (apartment 8)"],"area":{"type":"number","value":19.48,"unit":"m2","relative_tolerance":0.05,"absolute_tolerance":0}}</x:v>
      </x:c>
      <x:c r="O2185" s="6" t="str">
        <x:v>{"floor_id":"swiss-1936-F3","room_type":"bedroom"}</x:v>
      </x:c>
      <x:c r="P2185" s="6" t="str">
        <x:v>Exact target floor and room_type. Polygon area in m².</x:v>
      </x:c>
      <x:c r="Q2185" s="15" t="n">
        <x:v>19.48</x:v>
      </x:c>
      <x:c r="R2185" s="6" t="str">
        <x:v>m2</x:v>
      </x:c>
      <x:c r="S2185" s="16" t="n">
        <x:v>0.05</x:v>
      </x:c>
      <x:c r="T2185" s="15" t="n">
        <x:v>0</x:v>
      </x:c>
      <x:c r="U2185" s="6" t="str">
        <x:v>Answer: 3.02, 19.48 m²</x:v>
      </x:c>
      <x:c r="V2185" s="6" t="str">
        <x:v>room geometry: area</x:v>
      </x:c>
      <x:c r="W2185" s="6" t="str">
        <x:v>Missing area/ranking tool. Search alone is insufficient.</x:v>
      </x:c>
      <x:c r="X2185" s="6" t="str">
        <x:v>data/train/swiss-1936/questions.jsonl</x:v>
      </x:c>
      <x:c r="Y2185" s="14" t="n">
        <x:v>1</x:v>
      </x:c>
      <x:c r="Z2185" s="6" t="str">
        <x:v>https://github.com/hagenhaeussler/Industrial-Agents-Hackathon-2026/blob/f41616590b69f3ea0c1cbfb41d6c35edd9ce53df/data/train/swiss-1936/questions.jsonl#L1</x:v>
      </x:c>
      <x:c r="AA2185" s="6" t="str">
        <x:v>swiss_dwellings</x:v>
      </x:c>
      <x:c r="AB2185" s="6" t="str">
        <x:v>CC-BY-4.0</x:v>
      </x:c>
    </x:row>
    <x:row r="2186" ht="72" customHeight="1">
      <x:c r="A2186" s="14" t="n">
        <x:v>2181</x:v>
      </x:c>
      <x:c r="B2186" s="6" t="str">
        <x:v>largest_room</x:v>
      </x:c>
      <x:c r="C2186" s="6" t="str">
        <x:v>Which is the largest bathroom on the floor 5, and how big is it in m²? Finish with a line 'Answer: &lt;room name or number&gt;, &lt;area&gt; m²'.</x:v>
      </x:c>
      <x:c r="D2186" s="6" t="str">
        <x:v>5.02
Area: 8.12 m²
Space ID: swiss-2084-F5-S002</x:v>
      </x:c>
      <x:c r="E2186" s="6" t="str">
        <x:v>Reference supplied</x:v>
      </x:c>
      <x:c r="F2186" s="6" t="str">
        <x:v>train</x:v>
      </x:c>
      <x:c r="G2186" s="6" t="str">
        <x:v>swiss-2084</x:v>
      </x:c>
      <x:c r="H2186" s="6" t="str">
        <x:v>swiss-2084-H01</x:v>
      </x:c>
      <x:c r="I2186" s="6" t="str">
        <x:v>Area and room selection</x:v>
      </x:c>
      <x:c r="J2186" s="6" t="str">
        <x:v>Benchmark</x:v>
      </x:c>
      <x:c r="K2186" s="6" t="str">
        <x:v>Answer: &lt;accepted room name or ref&gt;, &lt;area&gt; m²</x:v>
      </x:c>
      <x:c r="L2186" s="6" t="str">
        <x:v>T02, T04, T14</x:v>
      </x:c>
      <x:c r="M2186" s="6" t="str">
        <x:v>Choose the largest room of a specified type on a specified floor and give its area.</x:v>
      </x:c>
      <x:c r="N2186" s="6" t="str">
        <x:v>{"type":"space","space_id":"swiss-2084-F5-S002","accept":["5.02","Bathroom 5.02 (apartment 11)"],"reject":["5.17","Bathroom 5.17 (apartment 13)","5.07","Bathroom 5.07 (apartment 11)","5.15","Bathroom 5.15 (apartment 12)"],"area":{"type":"number","value":8.12,"unit":"m2","relative_tolerance":0.05,"absolute_tolerance":0}}</x:v>
      </x:c>
      <x:c r="O2186" s="6" t="str">
        <x:v>{"floor_id":"swiss-2084-F5","room_type":"bathroom"}</x:v>
      </x:c>
      <x:c r="P2186" s="6" t="str">
        <x:v>Exact target floor and room_type. Polygon area in m².</x:v>
      </x:c>
      <x:c r="Q2186" s="15" t="n">
        <x:v>8.12</x:v>
      </x:c>
      <x:c r="R2186" s="6" t="str">
        <x:v>m2</x:v>
      </x:c>
      <x:c r="S2186" s="16" t="n">
        <x:v>0.05</x:v>
      </x:c>
      <x:c r="T2186" s="15" t="n">
        <x:v>0</x:v>
      </x:c>
      <x:c r="U2186" s="6" t="str">
        <x:v>Answer: 5.02, 8.12 m²</x:v>
      </x:c>
      <x:c r="V2186" s="6" t="str">
        <x:v>room geometry: area</x:v>
      </x:c>
      <x:c r="W2186" s="6" t="str">
        <x:v>Missing area/ranking tool. Search alone is insufficient.</x:v>
      </x:c>
      <x:c r="X2186" s="6" t="str">
        <x:v>data/train/swiss-2084/questions.jsonl</x:v>
      </x:c>
      <x:c r="Y2186" s="14" t="n">
        <x:v>1</x:v>
      </x:c>
      <x:c r="Z2186" s="6" t="str">
        <x:v>https://github.com/hagenhaeussler/Industrial-Agents-Hackathon-2026/blob/f41616590b69f3ea0c1cbfb41d6c35edd9ce53df/data/train/swiss-2084/questions.jsonl#L1</x:v>
      </x:c>
      <x:c r="AA2186" s="6" t="str">
        <x:v>swiss_dwellings</x:v>
      </x:c>
      <x:c r="AB2186" s="6" t="str">
        <x:v>CC-BY-4.0</x:v>
      </x:c>
    </x:row>
    <x:row r="2187" ht="72" customHeight="1">
      <x:c r="A2187" s="14" t="n">
        <x:v>2182</x:v>
      </x:c>
      <x:c r="B2187" s="6" t="str">
        <x:v>largest_room</x:v>
      </x:c>
      <x:c r="C2187" s="6" t="str">
        <x:v>Which is the largest storage on the floor 3, and how big is it in m²? Finish with a line 'Answer: &lt;room name or number&gt;, &lt;area&gt; m²'.</x:v>
      </x:c>
      <x:c r="D2187" s="6" t="str">
        <x:v>3.17
Area: 2.16 m²
Space ID: swiss-210-F3-S017</x:v>
      </x:c>
      <x:c r="E2187" s="6" t="str">
        <x:v>Reference supplied</x:v>
      </x:c>
      <x:c r="F2187" s="6" t="str">
        <x:v>train</x:v>
      </x:c>
      <x:c r="G2187" s="6" t="str">
        <x:v>swiss-210</x:v>
      </x:c>
      <x:c r="H2187" s="6" t="str">
        <x:v>swiss-210-H01</x:v>
      </x:c>
      <x:c r="I2187" s="6" t="str">
        <x:v>Area and room selection</x:v>
      </x:c>
      <x:c r="J2187" s="6" t="str">
        <x:v>Benchmark</x:v>
      </x:c>
      <x:c r="K2187" s="6" t="str">
        <x:v>Answer: &lt;accepted room name or ref&gt;, &lt;area&gt; m²</x:v>
      </x:c>
      <x:c r="L2187" s="6" t="str">
        <x:v>T02, T04, T14</x:v>
      </x:c>
      <x:c r="M2187" s="6" t="str">
        <x:v>Choose the largest room of a specified type on a specified floor and give its area.</x:v>
      </x:c>
      <x:c r="N2187" s="6" t="str">
        <x:v>{"type":"space","space_id":"swiss-210-F3-S017","accept":["3.17","Storage 3.17 (apartment 20)"],"reject":["3.53","Storage 3.53 (apartment 24)","3.37","Storage 3.37 (apartment 22)","3.26","Storage 3.26 (apartment 21)"],"area":{"type":"number","value":2.16,"unit":"m2","relative_tolerance":0.05,"absolute_tolerance":0}}</x:v>
      </x:c>
      <x:c r="O2187" s="6" t="str">
        <x:v>{"floor_id":"swiss-210-F3","room_type":"storage"}</x:v>
      </x:c>
      <x:c r="P2187" s="6" t="str">
        <x:v>Exact target floor and room_type. Polygon area in m².</x:v>
      </x:c>
      <x:c r="Q2187" s="15" t="n">
        <x:v>2.16</x:v>
      </x:c>
      <x:c r="R2187" s="6" t="str">
        <x:v>m2</x:v>
      </x:c>
      <x:c r="S2187" s="16" t="n">
        <x:v>0.05</x:v>
      </x:c>
      <x:c r="T2187" s="15" t="n">
        <x:v>0</x:v>
      </x:c>
      <x:c r="U2187" s="6" t="str">
        <x:v>Answer: 3.17, 2.16 m²</x:v>
      </x:c>
      <x:c r="V2187" s="6" t="str">
        <x:v>room geometry: area</x:v>
      </x:c>
      <x:c r="W2187" s="6" t="str">
        <x:v>Missing area/ranking tool. Search alone is insufficient.</x:v>
      </x:c>
      <x:c r="X2187" s="6" t="str">
        <x:v>data/train/swiss-210/questions.jsonl</x:v>
      </x:c>
      <x:c r="Y2187" s="14" t="n">
        <x:v>1</x:v>
      </x:c>
      <x:c r="Z2187" s="6" t="str">
        <x:v>https://github.com/hagenhaeussler/Industrial-Agents-Hackathon-2026/blob/f41616590b69f3ea0c1cbfb41d6c35edd9ce53df/data/train/swiss-210/questions.jsonl#L1</x:v>
      </x:c>
      <x:c r="AA2187" s="6" t="str">
        <x:v>swiss_dwellings</x:v>
      </x:c>
      <x:c r="AB2187" s="6" t="str">
        <x:v>CC-BY-4.0</x:v>
      </x:c>
    </x:row>
    <x:row r="2188" ht="72" customHeight="1">
      <x:c r="A2188" s="14" t="n">
        <x:v>2183</x:v>
      </x:c>
      <x:c r="B2188" s="6" t="str">
        <x:v>largest_room</x:v>
      </x:c>
      <x:c r="C2188" s="6" t="str">
        <x:v>Which is the largest bedroom on the floor 3, and how big is it in m²? Finish with a line 'Answer: &lt;room name or number&gt;, &lt;area&gt; m²'.</x:v>
      </x:c>
      <x:c r="D2188" s="6" t="str">
        <x:v>3.02
Area: 17.34 m²
Space ID: swiss-2214-F3-S002</x:v>
      </x:c>
      <x:c r="E2188" s="6" t="str">
        <x:v>Reference supplied</x:v>
      </x:c>
      <x:c r="F2188" s="6" t="str">
        <x:v>train</x:v>
      </x:c>
      <x:c r="G2188" s="6" t="str">
        <x:v>swiss-2214</x:v>
      </x:c>
      <x:c r="H2188" s="6" t="str">
        <x:v>swiss-2214-H01</x:v>
      </x:c>
      <x:c r="I2188" s="6" t="str">
        <x:v>Area and room selection</x:v>
      </x:c>
      <x:c r="J2188" s="6" t="str">
        <x:v>Benchmark</x:v>
      </x:c>
      <x:c r="K2188" s="6" t="str">
        <x:v>Answer: &lt;accepted room name or ref&gt;, &lt;area&gt; m²</x:v>
      </x:c>
      <x:c r="L2188" s="6" t="str">
        <x:v>T02, T04, T14</x:v>
      </x:c>
      <x:c r="M2188" s="6" t="str">
        <x:v>Choose the largest room of a specified type on a specified floor and give its area.</x:v>
      </x:c>
      <x:c r="N2188" s="6" t="str">
        <x:v>{"type":"space","space_id":"swiss-2214-F3-S002","accept":["3.02","Bedroom 3.02 (apartment 21)"],"reject":["3.14","Bedroom 3.14 (apartment 22)","3.50","Bedroom 3.50 (apartment 26)","3.31","Bedroom 3.31 (apartment 24)"],"area":{"type":"number","value":17.34,"unit":"m2","relative_tolerance":0.05,"absolute_tolerance":0}}</x:v>
      </x:c>
      <x:c r="O2188" s="6" t="str">
        <x:v>{"floor_id":"swiss-2214-F3","room_type":"bedroom"}</x:v>
      </x:c>
      <x:c r="P2188" s="6" t="str">
        <x:v>Exact target floor and room_type. Polygon area in m².</x:v>
      </x:c>
      <x:c r="Q2188" s="15" t="n">
        <x:v>17.34</x:v>
      </x:c>
      <x:c r="R2188" s="6" t="str">
        <x:v>m2</x:v>
      </x:c>
      <x:c r="S2188" s="16" t="n">
        <x:v>0.05</x:v>
      </x:c>
      <x:c r="T2188" s="15" t="n">
        <x:v>0</x:v>
      </x:c>
      <x:c r="U2188" s="6" t="str">
        <x:v>Answer: 3.02, 17.34 m²</x:v>
      </x:c>
      <x:c r="V2188" s="6" t="str">
        <x:v>room geometry: area</x:v>
      </x:c>
      <x:c r="W2188" s="6" t="str">
        <x:v>Missing area/ranking tool. Search alone is insufficient.</x:v>
      </x:c>
      <x:c r="X2188" s="6" t="str">
        <x:v>data/train/swiss-2214/questions.jsonl</x:v>
      </x:c>
      <x:c r="Y2188" s="14" t="n">
        <x:v>1</x:v>
      </x:c>
      <x:c r="Z2188" s="6" t="str">
        <x:v>https://github.com/hagenhaeussler/Industrial-Agents-Hackathon-2026/blob/f41616590b69f3ea0c1cbfb41d6c35edd9ce53df/data/train/swiss-2214/questions.jsonl#L1</x:v>
      </x:c>
      <x:c r="AA2188" s="6" t="str">
        <x:v>swiss_dwellings</x:v>
      </x:c>
      <x:c r="AB2188" s="6" t="str">
        <x:v>CC-BY-4.0</x:v>
      </x:c>
    </x:row>
    <x:row r="2189" ht="72" customHeight="1">
      <x:c r="A2189" s="14" t="n">
        <x:v>2184</x:v>
      </x:c>
      <x:c r="B2189" s="6" t="str">
        <x:v>largest_room</x:v>
      </x:c>
      <x:c r="C2189" s="6" t="str">
        <x:v>Which is the largest bedroom on the ground floor, and how big is it in m²? Finish with a line 'Answer: &lt;room name or number&gt;, &lt;area&gt; m²'.</x:v>
      </x:c>
      <x:c r="D2189" s="6" t="str">
        <x:v>0.10
Area: 19.8 m²
Space ID: swiss-2216-F0-S010</x:v>
      </x:c>
      <x:c r="E2189" s="6" t="str">
        <x:v>Reference supplied</x:v>
      </x:c>
      <x:c r="F2189" s="6" t="str">
        <x:v>train</x:v>
      </x:c>
      <x:c r="G2189" s="6" t="str">
        <x:v>swiss-2216</x:v>
      </x:c>
      <x:c r="H2189" s="6" t="str">
        <x:v>swiss-2216-H01</x:v>
      </x:c>
      <x:c r="I2189" s="6" t="str">
        <x:v>Area and room selection</x:v>
      </x:c>
      <x:c r="J2189" s="6" t="str">
        <x:v>Benchmark</x:v>
      </x:c>
      <x:c r="K2189" s="6" t="str">
        <x:v>Answer: &lt;accepted room name or ref&gt;, &lt;area&gt; m²</x:v>
      </x:c>
      <x:c r="L2189" s="6" t="str">
        <x:v>T02, T04, T14</x:v>
      </x:c>
      <x:c r="M2189" s="6" t="str">
        <x:v>Choose the largest room of a specified type on a specified floor and give its area.</x:v>
      </x:c>
      <x:c r="N2189" s="6" t="str">
        <x:v>{"type":"space","space_id":"swiss-2216-F0-S010","accept":["0.10","Bedroom 0.10 (apartment 2)"],"reject":["0.30","Bedroom 0.30 (apartment 4)","0.01","Bedroom 0.01 (apartment 1)","0.13","Bedroom 0.13 (apartment 2)"],"area":{"type":"number","value":19.8,"unit":"m2","relative_tolerance":0.05,"absolute_tolerance":0}}</x:v>
      </x:c>
      <x:c r="O2189" s="6" t="str">
        <x:v>{"floor_id":"swiss-2216-F0","room_type":"bedroom"}</x:v>
      </x:c>
      <x:c r="P2189" s="6" t="str">
        <x:v>Exact target floor and room_type. Polygon area in m².</x:v>
      </x:c>
      <x:c r="Q2189" s="15" t="n">
        <x:v>19.8</x:v>
      </x:c>
      <x:c r="R2189" s="6" t="str">
        <x:v>m2</x:v>
      </x:c>
      <x:c r="S2189" s="16" t="n">
        <x:v>0.05</x:v>
      </x:c>
      <x:c r="T2189" s="15" t="n">
        <x:v>0</x:v>
      </x:c>
      <x:c r="U2189" s="6" t="str">
        <x:v>Answer: 0.10, 19.8 m²</x:v>
      </x:c>
      <x:c r="V2189" s="6" t="str">
        <x:v>room geometry: area</x:v>
      </x:c>
      <x:c r="W2189" s="6" t="str">
        <x:v>Missing area/ranking tool. Search alone is insufficient.</x:v>
      </x:c>
      <x:c r="X2189" s="6" t="str">
        <x:v>data/train/swiss-2216/questions.jsonl</x:v>
      </x:c>
      <x:c r="Y2189" s="14" t="n">
        <x:v>1</x:v>
      </x:c>
      <x:c r="Z2189" s="6" t="str">
        <x:v>https://github.com/hagenhaeussler/Industrial-Agents-Hackathon-2026/blob/f41616590b69f3ea0c1cbfb41d6c35edd9ce53df/data/train/swiss-2216/questions.jsonl#L1</x:v>
      </x:c>
      <x:c r="AA2189" s="6" t="str">
        <x:v>swiss_dwellings</x:v>
      </x:c>
      <x:c r="AB2189" s="6" t="str">
        <x:v>CC-BY-4.0</x:v>
      </x:c>
    </x:row>
    <x:row r="2190" ht="72" customHeight="1">
      <x:c r="A2190" s="14" t="n">
        <x:v>2185</x:v>
      </x:c>
      <x:c r="B2190" s="6" t="str">
        <x:v>largest_room</x:v>
      </x:c>
      <x:c r="C2190" s="6" t="str">
        <x:v>Which is the largest bathroom on the floor 2, and how big is it in m²? Finish with a line 'Answer: &lt;room name or number&gt;, &lt;area&gt; m²'.</x:v>
      </x:c>
      <x:c r="D2190" s="6" t="str">
        <x:v>2.07
Area: 4.81 m²
Space ID: swiss-2221-F2-S007</x:v>
      </x:c>
      <x:c r="E2190" s="6" t="str">
        <x:v>Reference supplied</x:v>
      </x:c>
      <x:c r="F2190" s="6" t="str">
        <x:v>train</x:v>
      </x:c>
      <x:c r="G2190" s="6" t="str">
        <x:v>swiss-2221</x:v>
      </x:c>
      <x:c r="H2190" s="6" t="str">
        <x:v>swiss-2221-H01</x:v>
      </x:c>
      <x:c r="I2190" s="6" t="str">
        <x:v>Area and room selection</x:v>
      </x:c>
      <x:c r="J2190" s="6" t="str">
        <x:v>Benchmark</x:v>
      </x:c>
      <x:c r="K2190" s="6" t="str">
        <x:v>Answer: &lt;accepted room name or ref&gt;, &lt;area&gt; m²</x:v>
      </x:c>
      <x:c r="L2190" s="6" t="str">
        <x:v>T02, T04, T14</x:v>
      </x:c>
      <x:c r="M2190" s="6" t="str">
        <x:v>Choose the largest room of a specified type on a specified floor and give its area.</x:v>
      </x:c>
      <x:c r="N2190" s="6" t="str">
        <x:v>{"type":"space","space_id":"swiss-2221-F2-S007","accept":["2.07","Bathroom 2.07 (apartment 5)"],"reject":["2.14","Bathroom 2.14 (apartment 6)","2.04","Bathroom 2.04 (apartment 5)"],"area":{"type":"number","value":4.81,"unit":"m2","relative_tolerance":0.05,"absolute_tolerance":0}}</x:v>
      </x:c>
      <x:c r="O2190" s="6" t="str">
        <x:v>{"floor_id":"swiss-2221-F2","room_type":"bathroom"}</x:v>
      </x:c>
      <x:c r="P2190" s="6" t="str">
        <x:v>Exact target floor and room_type. Polygon area in m².</x:v>
      </x:c>
      <x:c r="Q2190" s="15" t="n">
        <x:v>4.81</x:v>
      </x:c>
      <x:c r="R2190" s="6" t="str">
        <x:v>m2</x:v>
      </x:c>
      <x:c r="S2190" s="16" t="n">
        <x:v>0.05</x:v>
      </x:c>
      <x:c r="T2190" s="15" t="n">
        <x:v>0</x:v>
      </x:c>
      <x:c r="U2190" s="6" t="str">
        <x:v>Answer: 2.07, 4.81 m²</x:v>
      </x:c>
      <x:c r="V2190" s="6" t="str">
        <x:v>room geometry: area</x:v>
      </x:c>
      <x:c r="W2190" s="6" t="str">
        <x:v>Missing area/ranking tool. Search alone is insufficient.</x:v>
      </x:c>
      <x:c r="X2190" s="6" t="str">
        <x:v>data/train/swiss-2221/questions.jsonl</x:v>
      </x:c>
      <x:c r="Y2190" s="14" t="n">
        <x:v>1</x:v>
      </x:c>
      <x:c r="Z2190" s="6" t="str">
        <x:v>https://github.com/hagenhaeussler/Industrial-Agents-Hackathon-2026/blob/f41616590b69f3ea0c1cbfb41d6c35edd9ce53df/data/train/swiss-2221/questions.jsonl#L1</x:v>
      </x:c>
      <x:c r="AA2190" s="6" t="str">
        <x:v>swiss_dwellings</x:v>
      </x:c>
      <x:c r="AB2190" s="6" t="str">
        <x:v>CC-BY-4.0</x:v>
      </x:c>
    </x:row>
    <x:row r="2191" ht="72" customHeight="1">
      <x:c r="A2191" s="14" t="n">
        <x:v>2186</x:v>
      </x:c>
      <x:c r="B2191" s="6" t="str">
        <x:v>largest_room</x:v>
      </x:c>
      <x:c r="C2191" s="6" t="str">
        <x:v>Which is the largest bedroom on the ground floor, and how big is it in m²? Finish with a line 'Answer: &lt;room name or number&gt;, &lt;area&gt; m²'.</x:v>
      </x:c>
      <x:c r="D2191" s="6" t="str">
        <x:v>0.07
Area: 21.52 m²
Space ID: swiss-2274-F0-S007</x:v>
      </x:c>
      <x:c r="E2191" s="6" t="str">
        <x:v>Reference supplied</x:v>
      </x:c>
      <x:c r="F2191" s="6" t="str">
        <x:v>train</x:v>
      </x:c>
      <x:c r="G2191" s="6" t="str">
        <x:v>swiss-2274</x:v>
      </x:c>
      <x:c r="H2191" s="6" t="str">
        <x:v>swiss-2274-H01</x:v>
      </x:c>
      <x:c r="I2191" s="6" t="str">
        <x:v>Area and room selection</x:v>
      </x:c>
      <x:c r="J2191" s="6" t="str">
        <x:v>Benchmark</x:v>
      </x:c>
      <x:c r="K2191" s="6" t="str">
        <x:v>Answer: &lt;accepted room name or ref&gt;, &lt;area&gt; m²</x:v>
      </x:c>
      <x:c r="L2191" s="6" t="str">
        <x:v>T02, T04, T14</x:v>
      </x:c>
      <x:c r="M2191" s="6" t="str">
        <x:v>Choose the largest room of a specified type on a specified floor and give its area.</x:v>
      </x:c>
      <x:c r="N2191" s="6" t="str">
        <x:v>{"type":"space","space_id":"swiss-2274-F0-S007","accept":["0.07","Bedroom 0.07 (apartment 2)"],"reject":["0.43","Bedroom 0.43 (apartment 6)","0.20","Bedroom 0.20 (apartment 3)","0.31","Bedroom 0.31 (apartment 4)"],"area":{"type":"number","value":21.52,"unit":"m2","relative_tolerance":0.05,"absolute_tolerance":0}}</x:v>
      </x:c>
      <x:c r="O2191" s="6" t="str">
        <x:v>{"floor_id":"swiss-2274-F0","room_type":"bedroom"}</x:v>
      </x:c>
      <x:c r="P2191" s="6" t="str">
        <x:v>Exact target floor and room_type. Polygon area in m².</x:v>
      </x:c>
      <x:c r="Q2191" s="15" t="n">
        <x:v>21.52</x:v>
      </x:c>
      <x:c r="R2191" s="6" t="str">
        <x:v>m2</x:v>
      </x:c>
      <x:c r="S2191" s="16" t="n">
        <x:v>0.05</x:v>
      </x:c>
      <x:c r="T2191" s="15" t="n">
        <x:v>0</x:v>
      </x:c>
      <x:c r="U2191" s="6" t="str">
        <x:v>Answer: 0.07, 21.52 m²</x:v>
      </x:c>
      <x:c r="V2191" s="6" t="str">
        <x:v>room geometry: area</x:v>
      </x:c>
      <x:c r="W2191" s="6" t="str">
        <x:v>Missing area/ranking tool. Search alone is insufficient.</x:v>
      </x:c>
      <x:c r="X2191" s="6" t="str">
        <x:v>data/train/swiss-2274/questions.jsonl</x:v>
      </x:c>
      <x:c r="Y2191" s="14" t="n">
        <x:v>1</x:v>
      </x:c>
      <x:c r="Z2191" s="6" t="str">
        <x:v>https://github.com/hagenhaeussler/Industrial-Agents-Hackathon-2026/blob/f41616590b69f3ea0c1cbfb41d6c35edd9ce53df/data/train/swiss-2274/questions.jsonl#L1</x:v>
      </x:c>
      <x:c r="AA2191" s="6" t="str">
        <x:v>swiss_dwellings</x:v>
      </x:c>
      <x:c r="AB2191" s="6" t="str">
        <x:v>CC-BY-4.0</x:v>
      </x:c>
    </x:row>
    <x:row r="2192" ht="72" customHeight="1">
      <x:c r="A2192" s="14" t="n">
        <x:v>2187</x:v>
      </x:c>
      <x:c r="B2192" s="6" t="str">
        <x:v>largest_room</x:v>
      </x:c>
      <x:c r="C2192" s="6" t="str">
        <x:v>Which is the largest bathroom on the ground floor, and how big is it in m²? Finish with a line 'Answer: &lt;room name or number&gt;, &lt;area&gt; m²'.</x:v>
      </x:c>
      <x:c r="D2192" s="6" t="str">
        <x:v>0.02
Area: 5.55 m²
Space ID: swiss-2314-F0-S002</x:v>
      </x:c>
      <x:c r="E2192" s="6" t="str">
        <x:v>Reference supplied</x:v>
      </x:c>
      <x:c r="F2192" s="6" t="str">
        <x:v>train</x:v>
      </x:c>
      <x:c r="G2192" s="6" t="str">
        <x:v>swiss-2314</x:v>
      </x:c>
      <x:c r="H2192" s="6" t="str">
        <x:v>swiss-2314-H01</x:v>
      </x:c>
      <x:c r="I2192" s="6" t="str">
        <x:v>Area and room selection</x:v>
      </x:c>
      <x:c r="J2192" s="6" t="str">
        <x:v>Benchmark</x:v>
      </x:c>
      <x:c r="K2192" s="6" t="str">
        <x:v>Answer: &lt;accepted room name or ref&gt;, &lt;area&gt; m²</x:v>
      </x:c>
      <x:c r="L2192" s="6" t="str">
        <x:v>T02, T04, T14</x:v>
      </x:c>
      <x:c r="M2192" s="6" t="str">
        <x:v>Choose the largest room of a specified type on a specified floor and give its area.</x:v>
      </x:c>
      <x:c r="N2192" s="6" t="str">
        <x:v>{"type":"space","space_id":"swiss-2314-F0-S002","accept":["0.02","Bathroom 0.02 (apartment 1)"],"reject":["0.23","Bathroom 0.23 (apartment 4)","0.31","Bathroom 0.31 (apartment 5)","0.17","Bathroom 0.17 (apartment 3)"],"area":{"type":"number","value":5.55,"unit":"m2","relative_tolerance":0.05,"absolute_tolerance":0}}</x:v>
      </x:c>
      <x:c r="O2192" s="6" t="str">
        <x:v>{"floor_id":"swiss-2314-F0","room_type":"bathroom"}</x:v>
      </x:c>
      <x:c r="P2192" s="6" t="str">
        <x:v>Exact target floor and room_type. Polygon area in m².</x:v>
      </x:c>
      <x:c r="Q2192" s="15" t="n">
        <x:v>5.55</x:v>
      </x:c>
      <x:c r="R2192" s="6" t="str">
        <x:v>m2</x:v>
      </x:c>
      <x:c r="S2192" s="16" t="n">
        <x:v>0.05</x:v>
      </x:c>
      <x:c r="T2192" s="15" t="n">
        <x:v>0</x:v>
      </x:c>
      <x:c r="U2192" s="6" t="str">
        <x:v>Answer: 0.02, 5.55 m²</x:v>
      </x:c>
      <x:c r="V2192" s="6" t="str">
        <x:v>room geometry: area</x:v>
      </x:c>
      <x:c r="W2192" s="6" t="str">
        <x:v>Missing area/ranking tool. Search alone is insufficient.</x:v>
      </x:c>
      <x:c r="X2192" s="6" t="str">
        <x:v>data/train/swiss-2314/questions.jsonl</x:v>
      </x:c>
      <x:c r="Y2192" s="14" t="n">
        <x:v>1</x:v>
      </x:c>
      <x:c r="Z2192" s="6" t="str">
        <x:v>https://github.com/hagenhaeussler/Industrial-Agents-Hackathon-2026/blob/f41616590b69f3ea0c1cbfb41d6c35edd9ce53df/data/train/swiss-2314/questions.jsonl#L1</x:v>
      </x:c>
      <x:c r="AA2192" s="6" t="str">
        <x:v>swiss_dwellings</x:v>
      </x:c>
      <x:c r="AB2192" s="6" t="str">
        <x:v>CC-BY-4.0</x:v>
      </x:c>
    </x:row>
    <x:row r="2193" ht="72" customHeight="1">
      <x:c r="A2193" s="14" t="n">
        <x:v>2188</x:v>
      </x:c>
      <x:c r="B2193" s="6" t="str">
        <x:v>largest_room</x:v>
      </x:c>
      <x:c r="C2193" s="6" t="str">
        <x:v>Which is the largest bedroom on the floor 2, and how big is it in m²? Finish with a line 'Answer: &lt;room name or number&gt;, &lt;area&gt; m²'.</x:v>
      </x:c>
      <x:c r="D2193" s="6" t="str">
        <x:v>2.01
Area: 20.48 m²
Space ID: swiss-2482-F2-S001</x:v>
      </x:c>
      <x:c r="E2193" s="6" t="str">
        <x:v>Reference supplied</x:v>
      </x:c>
      <x:c r="F2193" s="6" t="str">
        <x:v>train</x:v>
      </x:c>
      <x:c r="G2193" s="6" t="str">
        <x:v>swiss-2482</x:v>
      </x:c>
      <x:c r="H2193" s="6" t="str">
        <x:v>swiss-2482-H01</x:v>
      </x:c>
      <x:c r="I2193" s="6" t="str">
        <x:v>Area and room selection</x:v>
      </x:c>
      <x:c r="J2193" s="6" t="str">
        <x:v>Benchmark</x:v>
      </x:c>
      <x:c r="K2193" s="6" t="str">
        <x:v>Answer: &lt;accepted room name or ref&gt;, &lt;area&gt; m²</x:v>
      </x:c>
      <x:c r="L2193" s="6" t="str">
        <x:v>T02, T04, T14</x:v>
      </x:c>
      <x:c r="M2193" s="6" t="str">
        <x:v>Choose the largest room of a specified type on a specified floor and give its area.</x:v>
      </x:c>
      <x:c r="N2193" s="6" t="str">
        <x:v>{"type":"space","space_id":"swiss-2482-F2-S001","accept":["2.01","Bedroom 2.01 (apartment 7)"],"reject":["2.04","Bedroom 2.04 (apartment 7)","2.11","Bedroom 2.11 (apartment 8)","2.16","Bedroom 2.16 (apartment 9)"],"area":{"type":"number","value":20.48,"unit":"m2","relative_tolerance":0.05,"absolute_tolerance":0}}</x:v>
      </x:c>
      <x:c r="O2193" s="6" t="str">
        <x:v>{"floor_id":"swiss-2482-F2","room_type":"bedroom"}</x:v>
      </x:c>
      <x:c r="P2193" s="6" t="str">
        <x:v>Exact target floor and room_type. Polygon area in m².</x:v>
      </x:c>
      <x:c r="Q2193" s="15" t="n">
        <x:v>20.48</x:v>
      </x:c>
      <x:c r="R2193" s="6" t="str">
        <x:v>m2</x:v>
      </x:c>
      <x:c r="S2193" s="16" t="n">
        <x:v>0.05</x:v>
      </x:c>
      <x:c r="T2193" s="15" t="n">
        <x:v>0</x:v>
      </x:c>
      <x:c r="U2193" s="6" t="str">
        <x:v>Answer: 2.01, 20.48 m²</x:v>
      </x:c>
      <x:c r="V2193" s="6" t="str">
        <x:v>room geometry: area</x:v>
      </x:c>
      <x:c r="W2193" s="6" t="str">
        <x:v>Missing area/ranking tool. Search alone is insufficient.</x:v>
      </x:c>
      <x:c r="X2193" s="6" t="str">
        <x:v>data/train/swiss-2482/questions.jsonl</x:v>
      </x:c>
      <x:c r="Y2193" s="14" t="n">
        <x:v>1</x:v>
      </x:c>
      <x:c r="Z2193" s="6" t="str">
        <x:v>https://github.com/hagenhaeussler/Industrial-Agents-Hackathon-2026/blob/f41616590b69f3ea0c1cbfb41d6c35edd9ce53df/data/train/swiss-2482/questions.jsonl#L1</x:v>
      </x:c>
      <x:c r="AA2193" s="6" t="str">
        <x:v>swiss_dwellings</x:v>
      </x:c>
      <x:c r="AB2193" s="6" t="str">
        <x:v>CC-BY-4.0</x:v>
      </x:c>
    </x:row>
    <x:row r="2194" ht="72" customHeight="1">
      <x:c r="A2194" s="14" t="n">
        <x:v>2189</x:v>
      </x:c>
      <x:c r="B2194" s="6" t="str">
        <x:v>largest_room</x:v>
      </x:c>
      <x:c r="C2194" s="6" t="str">
        <x:v>Which is the largest bedroom on the floor 4, and how big is it in m²? Finish with a line 'Answer: &lt;room name or number&gt;, &lt;area&gt; m²'.</x:v>
      </x:c>
      <x:c r="D2194" s="6" t="str">
        <x:v>4.01
Area: 23.92 m²
Space ID: swiss-28-F4-S001</x:v>
      </x:c>
      <x:c r="E2194" s="6" t="str">
        <x:v>Reference supplied</x:v>
      </x:c>
      <x:c r="F2194" s="6" t="str">
        <x:v>train</x:v>
      </x:c>
      <x:c r="G2194" s="6" t="str">
        <x:v>swiss-28</x:v>
      </x:c>
      <x:c r="H2194" s="6" t="str">
        <x:v>swiss-28-H01</x:v>
      </x:c>
      <x:c r="I2194" s="6" t="str">
        <x:v>Area and room selection</x:v>
      </x:c>
      <x:c r="J2194" s="6" t="str">
        <x:v>Benchmark</x:v>
      </x:c>
      <x:c r="K2194" s="6" t="str">
        <x:v>Answer: &lt;accepted room name or ref&gt;, &lt;area&gt; m²</x:v>
      </x:c>
      <x:c r="L2194" s="6" t="str">
        <x:v>T02, T04, T14</x:v>
      </x:c>
      <x:c r="M2194" s="6" t="str">
        <x:v>Choose the largest room of a specified type on a specified floor and give its area.</x:v>
      </x:c>
      <x:c r="N2194" s="6" t="str">
        <x:v>{"type":"space","space_id":"swiss-28-F4-S001","accept":["4.01","Bedroom 4.01 (apartment 9)"],"reject":["4.08","Bedroom 4.08 (apartment 9)","4.11","Bedroom 4.11 (apartment 9)"],"area":{"type":"number","value":23.92,"unit":"m2","relative_tolerance":0.05,"absolute_tolerance":0}}</x:v>
      </x:c>
      <x:c r="O2194" s="6" t="str">
        <x:v>{"floor_id":"swiss-28-F4","room_type":"bedroom"}</x:v>
      </x:c>
      <x:c r="P2194" s="6" t="str">
        <x:v>Exact target floor and room_type. Polygon area in m².</x:v>
      </x:c>
      <x:c r="Q2194" s="15" t="n">
        <x:v>23.92</x:v>
      </x:c>
      <x:c r="R2194" s="6" t="str">
        <x:v>m2</x:v>
      </x:c>
      <x:c r="S2194" s="16" t="n">
        <x:v>0.05</x:v>
      </x:c>
      <x:c r="T2194" s="15" t="n">
        <x:v>0</x:v>
      </x:c>
      <x:c r="U2194" s="6" t="str">
        <x:v>Answer: 4.01, 23.92 m²</x:v>
      </x:c>
      <x:c r="V2194" s="6" t="str">
        <x:v>room geometry: area</x:v>
      </x:c>
      <x:c r="W2194" s="6" t="str">
        <x:v>Missing area/ranking tool. Search alone is insufficient.</x:v>
      </x:c>
      <x:c r="X2194" s="6" t="str">
        <x:v>data/train/swiss-28/questions.jsonl</x:v>
      </x:c>
      <x:c r="Y2194" s="14" t="n">
        <x:v>1</x:v>
      </x:c>
      <x:c r="Z2194" s="6" t="str">
        <x:v>https://github.com/hagenhaeussler/Industrial-Agents-Hackathon-2026/blob/f41616590b69f3ea0c1cbfb41d6c35edd9ce53df/data/train/swiss-28/questions.jsonl#L1</x:v>
      </x:c>
      <x:c r="AA2194" s="6" t="str">
        <x:v>swiss_dwellings</x:v>
      </x:c>
      <x:c r="AB2194" s="6" t="str">
        <x:v>CC-BY-4.0</x:v>
      </x:c>
    </x:row>
    <x:row r="2195" ht="72" customHeight="1">
      <x:c r="A2195" s="14" t="n">
        <x:v>2190</x:v>
      </x:c>
      <x:c r="B2195" s="6" t="str">
        <x:v>largest_room</x:v>
      </x:c>
      <x:c r="C2195" s="6" t="str">
        <x:v>Which is the largest bedroom on the floor 4, and how big is it in m²? Finish with a line 'Answer: &lt;room name or number&gt;, &lt;area&gt; m²'.</x:v>
      </x:c>
      <x:c r="D2195" s="6" t="str">
        <x:v>4.19
Area: 15.79 m²
Space ID: swiss-2974-F4-S019</x:v>
      </x:c>
      <x:c r="E2195" s="6" t="str">
        <x:v>Reference supplied</x:v>
      </x:c>
      <x:c r="F2195" s="6" t="str">
        <x:v>train</x:v>
      </x:c>
      <x:c r="G2195" s="6" t="str">
        <x:v>swiss-2974</x:v>
      </x:c>
      <x:c r="H2195" s="6" t="str">
        <x:v>swiss-2974-H01</x:v>
      </x:c>
      <x:c r="I2195" s="6" t="str">
        <x:v>Area and room selection</x:v>
      </x:c>
      <x:c r="J2195" s="6" t="str">
        <x:v>Benchmark</x:v>
      </x:c>
      <x:c r="K2195" s="6" t="str">
        <x:v>Answer: &lt;accepted room name or ref&gt;, &lt;area&gt; m²</x:v>
      </x:c>
      <x:c r="L2195" s="6" t="str">
        <x:v>T02, T04, T14</x:v>
      </x:c>
      <x:c r="M2195" s="6" t="str">
        <x:v>Choose the largest room of a specified type on a specified floor and give its area.</x:v>
      </x:c>
      <x:c r="N2195" s="6" t="str">
        <x:v>{"type":"space","space_id":"swiss-2974-F4-S019","accept":["4.19","Bedroom 4.19 (apartment 20)"],"reject":["4.05","Bedroom 4.05 (apartment 17)","4.08","Bedroom 4.08 (apartment 18)","4.22","Bedroom 4.22 (apartment 20)"],"area":{"type":"number","value":15.79,"unit":"m2","relative_tolerance":0.05,"absolute_tolerance":0}}</x:v>
      </x:c>
      <x:c r="O2195" s="6" t="str">
        <x:v>{"floor_id":"swiss-2974-F4","room_type":"bedroom"}</x:v>
      </x:c>
      <x:c r="P2195" s="6" t="str">
        <x:v>Exact target floor and room_type. Polygon area in m².</x:v>
      </x:c>
      <x:c r="Q2195" s="15" t="n">
        <x:v>15.79</x:v>
      </x:c>
      <x:c r="R2195" s="6" t="str">
        <x:v>m2</x:v>
      </x:c>
      <x:c r="S2195" s="16" t="n">
        <x:v>0.05</x:v>
      </x:c>
      <x:c r="T2195" s="15" t="n">
        <x:v>0</x:v>
      </x:c>
      <x:c r="U2195" s="6" t="str">
        <x:v>Answer: 4.19, 15.79 m²</x:v>
      </x:c>
      <x:c r="V2195" s="6" t="str">
        <x:v>room geometry: area</x:v>
      </x:c>
      <x:c r="W2195" s="6" t="str">
        <x:v>Missing area/ranking tool. Search alone is insufficient.</x:v>
      </x:c>
      <x:c r="X2195" s="6" t="str">
        <x:v>data/train/swiss-2974/questions.jsonl</x:v>
      </x:c>
      <x:c r="Y2195" s="14" t="n">
        <x:v>1</x:v>
      </x:c>
      <x:c r="Z2195" s="6" t="str">
        <x:v>https://github.com/hagenhaeussler/Industrial-Agents-Hackathon-2026/blob/f41616590b69f3ea0c1cbfb41d6c35edd9ce53df/data/train/swiss-2974/questions.jsonl#L1</x:v>
      </x:c>
      <x:c r="AA2195" s="6" t="str">
        <x:v>swiss_dwellings</x:v>
      </x:c>
      <x:c r="AB2195" s="6" t="str">
        <x:v>CC-BY-4.0</x:v>
      </x:c>
    </x:row>
    <x:row r="2196" ht="72" customHeight="1">
      <x:c r="A2196" s="14" t="n">
        <x:v>2191</x:v>
      </x:c>
      <x:c r="B2196" s="6" t="str">
        <x:v>largest_room</x:v>
      </x:c>
      <x:c r="C2196" s="6" t="str">
        <x:v>Which is the largest living room on the floor 3, and how big is it in m²? Finish with a line 'Answer: &lt;room name or number&gt;, &lt;area&gt; m²'.</x:v>
      </x:c>
      <x:c r="D2196" s="6" t="str">
        <x:v>3.08
Area: 31.1 m²
Space ID: swiss-2975-F3-S008</x:v>
      </x:c>
      <x:c r="E2196" s="6" t="str">
        <x:v>Reference supplied</x:v>
      </x:c>
      <x:c r="F2196" s="6" t="str">
        <x:v>train</x:v>
      </x:c>
      <x:c r="G2196" s="6" t="str">
        <x:v>swiss-2975</x:v>
      </x:c>
      <x:c r="H2196" s="6" t="str">
        <x:v>swiss-2975-H01</x:v>
      </x:c>
      <x:c r="I2196" s="6" t="str">
        <x:v>Area and room selection</x:v>
      </x:c>
      <x:c r="J2196" s="6" t="str">
        <x:v>Benchmark</x:v>
      </x:c>
      <x:c r="K2196" s="6" t="str">
        <x:v>Answer: &lt;accepted room name or ref&gt;, &lt;area&gt; m²</x:v>
      </x:c>
      <x:c r="L2196" s="6" t="str">
        <x:v>T02, T04, T14</x:v>
      </x:c>
      <x:c r="M2196" s="6" t="str">
        <x:v>Choose the largest room of a specified type on a specified floor and give its area.</x:v>
      </x:c>
      <x:c r="N2196" s="6" t="str">
        <x:v>{"type":"space","space_id":"swiss-2975-F3-S008","accept":["3.08","Living room 3.08 (apartment 19)"],"reject":["3.17","Living room 3.17 (apartment 20)","3.35","Living room 3.35 (apartment 22)","3.42","Living room 3.42 (apartment 23)"],"area":{"type":"number","value":31.1,"unit":"m2","relative_tolerance":0.05,"absolute_tolerance":0}}</x:v>
      </x:c>
      <x:c r="O2196" s="6" t="str">
        <x:v>{"floor_id":"swiss-2975-F3","room_type":"living_room"}</x:v>
      </x:c>
      <x:c r="P2196" s="6" t="str">
        <x:v>Exact target floor and room_type. Polygon area in m².</x:v>
      </x:c>
      <x:c r="Q2196" s="15" t="n">
        <x:v>31.1</x:v>
      </x:c>
      <x:c r="R2196" s="6" t="str">
        <x:v>m2</x:v>
      </x:c>
      <x:c r="S2196" s="16" t="n">
        <x:v>0.05</x:v>
      </x:c>
      <x:c r="T2196" s="15" t="n">
        <x:v>0</x:v>
      </x:c>
      <x:c r="U2196" s="6" t="str">
        <x:v>Answer: 3.08, 31.1 m²</x:v>
      </x:c>
      <x:c r="V2196" s="6" t="str">
        <x:v>room geometry: area</x:v>
      </x:c>
      <x:c r="W2196" s="6" t="str">
        <x:v>Missing area/ranking tool. Search alone is insufficient.</x:v>
      </x:c>
      <x:c r="X2196" s="6" t="str">
        <x:v>data/train/swiss-2975/questions.jsonl</x:v>
      </x:c>
      <x:c r="Y2196" s="14" t="n">
        <x:v>1</x:v>
      </x:c>
      <x:c r="Z2196" s="6" t="str">
        <x:v>https://github.com/hagenhaeussler/Industrial-Agents-Hackathon-2026/blob/f41616590b69f3ea0c1cbfb41d6c35edd9ce53df/data/train/swiss-2975/questions.jsonl#L1</x:v>
      </x:c>
      <x:c r="AA2196" s="6" t="str">
        <x:v>swiss_dwellings</x:v>
      </x:c>
      <x:c r="AB2196" s="6" t="str">
        <x:v>CC-BY-4.0</x:v>
      </x:c>
    </x:row>
    <x:row r="2197" ht="72" customHeight="1">
      <x:c r="A2197" s="14" t="n">
        <x:v>2192</x:v>
      </x:c>
      <x:c r="B2197" s="6" t="str">
        <x:v>largest_room</x:v>
      </x:c>
      <x:c r="C2197" s="6" t="str">
        <x:v>Which is the largest bedroom on the floor 2, and how big is it in m²? Finish with a line 'Answer: &lt;room name or number&gt;, &lt;area&gt; m²'.</x:v>
      </x:c>
      <x:c r="D2197" s="6" t="str">
        <x:v>2.22
Area: 16.32 m²
Space ID: swiss-3092-F2-S022</x:v>
      </x:c>
      <x:c r="E2197" s="6" t="str">
        <x:v>Reference supplied</x:v>
      </x:c>
      <x:c r="F2197" s="6" t="str">
        <x:v>train</x:v>
      </x:c>
      <x:c r="G2197" s="6" t="str">
        <x:v>swiss-3092</x:v>
      </x:c>
      <x:c r="H2197" s="6" t="str">
        <x:v>swiss-3092-H01</x:v>
      </x:c>
      <x:c r="I2197" s="6" t="str">
        <x:v>Area and room selection</x:v>
      </x:c>
      <x:c r="J2197" s="6" t="str">
        <x:v>Benchmark</x:v>
      </x:c>
      <x:c r="K2197" s="6" t="str">
        <x:v>Answer: &lt;accepted room name or ref&gt;, &lt;area&gt; m²</x:v>
      </x:c>
      <x:c r="L2197" s="6" t="str">
        <x:v>T02, T04, T14</x:v>
      </x:c>
      <x:c r="M2197" s="6" t="str">
        <x:v>Choose the largest room of a specified type on a specified floor and give its area.</x:v>
      </x:c>
      <x:c r="N2197" s="6" t="str">
        <x:v>{"type":"space","space_id":"swiss-3092-F2-S022","accept":["2.22","Bedroom 2.22 (apartment 13)"],"reject":["2.10","Bedroom 2.10 (apartment 12)","2.29","Bedroom 2.29 (apartment 14)","2.08","Bedroom 2.08 (apartment 11)"],"area":{"type":"number","value":16.32,"unit":"m2","relative_tolerance":0.05,"absolute_tolerance":0}}</x:v>
      </x:c>
      <x:c r="O2197" s="6" t="str">
        <x:v>{"floor_id":"swiss-3092-F2","room_type":"bedroom"}</x:v>
      </x:c>
      <x:c r="P2197" s="6" t="str">
        <x:v>Exact target floor and room_type. Polygon area in m².</x:v>
      </x:c>
      <x:c r="Q2197" s="15" t="n">
        <x:v>16.32</x:v>
      </x:c>
      <x:c r="R2197" s="6" t="str">
        <x:v>m2</x:v>
      </x:c>
      <x:c r="S2197" s="16" t="n">
        <x:v>0.05</x:v>
      </x:c>
      <x:c r="T2197" s="15" t="n">
        <x:v>0</x:v>
      </x:c>
      <x:c r="U2197" s="6" t="str">
        <x:v>Answer: 2.22, 16.32 m²</x:v>
      </x:c>
      <x:c r="V2197" s="6" t="str">
        <x:v>room geometry: area</x:v>
      </x:c>
      <x:c r="W2197" s="6" t="str">
        <x:v>Missing area/ranking tool. Search alone is insufficient.</x:v>
      </x:c>
      <x:c r="X2197" s="6" t="str">
        <x:v>data/train/swiss-3092/questions.jsonl</x:v>
      </x:c>
      <x:c r="Y2197" s="14" t="n">
        <x:v>1</x:v>
      </x:c>
      <x:c r="Z2197" s="6" t="str">
        <x:v>https://github.com/hagenhaeussler/Industrial-Agents-Hackathon-2026/blob/f41616590b69f3ea0c1cbfb41d6c35edd9ce53df/data/train/swiss-3092/questions.jsonl#L1</x:v>
      </x:c>
      <x:c r="AA2197" s="6" t="str">
        <x:v>swiss_dwellings</x:v>
      </x:c>
      <x:c r="AB2197" s="6" t="str">
        <x:v>CC-BY-4.0</x:v>
      </x:c>
    </x:row>
    <x:row r="2198" ht="72" customHeight="1">
      <x:c r="A2198" s="14" t="n">
        <x:v>2193</x:v>
      </x:c>
      <x:c r="B2198" s="6" t="str">
        <x:v>largest_room</x:v>
      </x:c>
      <x:c r="C2198" s="6" t="str">
        <x:v>Which is the largest living room on the floor 3, and how big is it in m²? Finish with a line 'Answer: &lt;room name or number&gt;, &lt;area&gt; m²'.</x:v>
      </x:c>
      <x:c r="D2198" s="6" t="str">
        <x:v>3.10
Area: 21.41 m²
Space ID: swiss-3096-F3-S010</x:v>
      </x:c>
      <x:c r="E2198" s="6" t="str">
        <x:v>Reference supplied</x:v>
      </x:c>
      <x:c r="F2198" s="6" t="str">
        <x:v>train</x:v>
      </x:c>
      <x:c r="G2198" s="6" t="str">
        <x:v>swiss-3096</x:v>
      </x:c>
      <x:c r="H2198" s="6" t="str">
        <x:v>swiss-3096-H01</x:v>
      </x:c>
      <x:c r="I2198" s="6" t="str">
        <x:v>Area and room selection</x:v>
      </x:c>
      <x:c r="J2198" s="6" t="str">
        <x:v>Benchmark</x:v>
      </x:c>
      <x:c r="K2198" s="6" t="str">
        <x:v>Answer: &lt;accepted room name or ref&gt;, &lt;area&gt; m²</x:v>
      </x:c>
      <x:c r="L2198" s="6" t="str">
        <x:v>T02, T04, T14</x:v>
      </x:c>
      <x:c r="M2198" s="6" t="str">
        <x:v>Choose the largest room of a specified type on a specified floor and give its area.</x:v>
      </x:c>
      <x:c r="N2198" s="6" t="str">
        <x:v>{"type":"space","space_id":"swiss-3096-F3-S010","accept":["3.10","Living room 3.10 (apartment 8)"],"reject":["3.01","Living room 3.01 (apartment 7)","3.11","Living room 3.11 (apartment 8)","3.08","Living room 3.08 (apartment 7)"],"area":{"type":"number","value":21.41,"unit":"m2","relative_tolerance":0.05,"absolute_tolerance":0}}</x:v>
      </x:c>
      <x:c r="O2198" s="6" t="str">
        <x:v>{"floor_id":"swiss-3096-F3","room_type":"living_room"}</x:v>
      </x:c>
      <x:c r="P2198" s="6" t="str">
        <x:v>Exact target floor and room_type. Polygon area in m².</x:v>
      </x:c>
      <x:c r="Q2198" s="15" t="n">
        <x:v>21.41</x:v>
      </x:c>
      <x:c r="R2198" s="6" t="str">
        <x:v>m2</x:v>
      </x:c>
      <x:c r="S2198" s="16" t="n">
        <x:v>0.05</x:v>
      </x:c>
      <x:c r="T2198" s="15" t="n">
        <x:v>0</x:v>
      </x:c>
      <x:c r="U2198" s="6" t="str">
        <x:v>Answer: 3.10, 21.41 m²</x:v>
      </x:c>
      <x:c r="V2198" s="6" t="str">
        <x:v>room geometry: area</x:v>
      </x:c>
      <x:c r="W2198" s="6" t="str">
        <x:v>Missing area/ranking tool. Search alone is insufficient.</x:v>
      </x:c>
      <x:c r="X2198" s="6" t="str">
        <x:v>data/train/swiss-3096/questions.jsonl</x:v>
      </x:c>
      <x:c r="Y2198" s="14" t="n">
        <x:v>1</x:v>
      </x:c>
      <x:c r="Z2198" s="6" t="str">
        <x:v>https://github.com/hagenhaeussler/Industrial-Agents-Hackathon-2026/blob/f41616590b69f3ea0c1cbfb41d6c35edd9ce53df/data/train/swiss-3096/questions.jsonl#L1</x:v>
      </x:c>
      <x:c r="AA2198" s="6" t="str">
        <x:v>swiss_dwellings</x:v>
      </x:c>
      <x:c r="AB2198" s="6" t="str">
        <x:v>CC-BY-4.0</x:v>
      </x:c>
    </x:row>
    <x:row r="2199" ht="72" customHeight="1">
      <x:c r="A2199" s="14" t="n">
        <x:v>2194</x:v>
      </x:c>
      <x:c r="B2199" s="6" t="str">
        <x:v>largest_room</x:v>
      </x:c>
      <x:c r="C2199" s="6" t="str">
        <x:v>Which is the largest living room on the floor 2, and how big is it in m²? Finish with a line 'Answer: &lt;room name or number&gt;, &lt;area&gt; m²'.</x:v>
      </x:c>
      <x:c r="D2199" s="6" t="str">
        <x:v>2.13
Area: 28.93 m²
Space ID: swiss-325-F2-S013</x:v>
      </x:c>
      <x:c r="E2199" s="6" t="str">
        <x:v>Reference supplied</x:v>
      </x:c>
      <x:c r="F2199" s="6" t="str">
        <x:v>train</x:v>
      </x:c>
      <x:c r="G2199" s="6" t="str">
        <x:v>swiss-325</x:v>
      </x:c>
      <x:c r="H2199" s="6" t="str">
        <x:v>swiss-325-H01</x:v>
      </x:c>
      <x:c r="I2199" s="6" t="str">
        <x:v>Area and room selection</x:v>
      </x:c>
      <x:c r="J2199" s="6" t="str">
        <x:v>Benchmark</x:v>
      </x:c>
      <x:c r="K2199" s="6" t="str">
        <x:v>Answer: &lt;accepted room name or ref&gt;, &lt;area&gt; m²</x:v>
      </x:c>
      <x:c r="L2199" s="6" t="str">
        <x:v>T02, T04, T14</x:v>
      </x:c>
      <x:c r="M2199" s="6" t="str">
        <x:v>Choose the largest room of a specified type on a specified floor and give its area.</x:v>
      </x:c>
      <x:c r="N2199" s="6" t="str">
        <x:v>{"type":"space","space_id":"swiss-325-F2-S013","accept":["2.13","Living room 2.13 (apartment 7)"],"reject":["2.06","Living room 2.06 (apartment 6)","2.07","Living room 2.07 (apartment 6)"],"area":{"type":"number","value":28.93,"unit":"m2","relative_tolerance":0.05,"absolute_tolerance":0}}</x:v>
      </x:c>
      <x:c r="O2199" s="6" t="str">
        <x:v>{"floor_id":"swiss-325-F2","room_type":"living_room"}</x:v>
      </x:c>
      <x:c r="P2199" s="6" t="str">
        <x:v>Exact target floor and room_type. Polygon area in m².</x:v>
      </x:c>
      <x:c r="Q2199" s="15" t="n">
        <x:v>28.93</x:v>
      </x:c>
      <x:c r="R2199" s="6" t="str">
        <x:v>m2</x:v>
      </x:c>
      <x:c r="S2199" s="16" t="n">
        <x:v>0.05</x:v>
      </x:c>
      <x:c r="T2199" s="15" t="n">
        <x:v>0</x:v>
      </x:c>
      <x:c r="U2199" s="6" t="str">
        <x:v>Answer: 2.13, 28.93 m²</x:v>
      </x:c>
      <x:c r="V2199" s="6" t="str">
        <x:v>room geometry: area</x:v>
      </x:c>
      <x:c r="W2199" s="6" t="str">
        <x:v>Missing area/ranking tool. Search alone is insufficient.</x:v>
      </x:c>
      <x:c r="X2199" s="6" t="str">
        <x:v>data/train/swiss-325/questions.jsonl</x:v>
      </x:c>
      <x:c r="Y2199" s="14" t="n">
        <x:v>1</x:v>
      </x:c>
      <x:c r="Z2199" s="6" t="str">
        <x:v>https://github.com/hagenhaeussler/Industrial-Agents-Hackathon-2026/blob/f41616590b69f3ea0c1cbfb41d6c35edd9ce53df/data/train/swiss-325/questions.jsonl#L1</x:v>
      </x:c>
      <x:c r="AA2199" s="6" t="str">
        <x:v>swiss_dwellings</x:v>
      </x:c>
      <x:c r="AB2199" s="6" t="str">
        <x:v>CC-BY-4.0</x:v>
      </x:c>
    </x:row>
    <x:row r="2200" ht="72" customHeight="1">
      <x:c r="A2200" s="14" t="n">
        <x:v>2195</x:v>
      </x:c>
      <x:c r="B2200" s="6" t="str">
        <x:v>largest_room</x:v>
      </x:c>
      <x:c r="C2200" s="6" t="str">
        <x:v>Which is the largest bedroom on the floor 2, and how big is it in m²? Finish with a line 'Answer: &lt;room name or number&gt;, &lt;area&gt; m²'.</x:v>
      </x:c>
      <x:c r="D2200" s="6" t="str">
        <x:v>2.08
Area: 19.43 m²
Space ID: swiss-3338-F2-S008</x:v>
      </x:c>
      <x:c r="E2200" s="6" t="str">
        <x:v>Reference supplied</x:v>
      </x:c>
      <x:c r="F2200" s="6" t="str">
        <x:v>train</x:v>
      </x:c>
      <x:c r="G2200" s="6" t="str">
        <x:v>swiss-3338</x:v>
      </x:c>
      <x:c r="H2200" s="6" t="str">
        <x:v>swiss-3338-H01</x:v>
      </x:c>
      <x:c r="I2200" s="6" t="str">
        <x:v>Area and room selection</x:v>
      </x:c>
      <x:c r="J2200" s="6" t="str">
        <x:v>Benchmark</x:v>
      </x:c>
      <x:c r="K2200" s="6" t="str">
        <x:v>Answer: &lt;accepted room name or ref&gt;, &lt;area&gt; m²</x:v>
      </x:c>
      <x:c r="L2200" s="6" t="str">
        <x:v>T02, T04, T14</x:v>
      </x:c>
      <x:c r="M2200" s="6" t="str">
        <x:v>Choose the largest room of a specified type on a specified floor and give its area.</x:v>
      </x:c>
      <x:c r="N2200" s="6" t="str">
        <x:v>{"type":"space","space_id":"swiss-3338-F2-S008","accept":["2.08","Bedroom 2.08 (apartment 9)"],"reject":["2.15","Bedroom 2.15 (apartment 10)","2.06","Bedroom 2.06 (apartment 9)","2.10","Bedroom 2.10 (apartment 10)"],"area":{"type":"number","value":19.43,"unit":"m2","relative_tolerance":0.05,"absolute_tolerance":0}}</x:v>
      </x:c>
      <x:c r="O2200" s="6" t="str">
        <x:v>{"floor_id":"swiss-3338-F2","room_type":"bedroom"}</x:v>
      </x:c>
      <x:c r="P2200" s="6" t="str">
        <x:v>Exact target floor and room_type. Polygon area in m².</x:v>
      </x:c>
      <x:c r="Q2200" s="15" t="n">
        <x:v>19.43</x:v>
      </x:c>
      <x:c r="R2200" s="6" t="str">
        <x:v>m2</x:v>
      </x:c>
      <x:c r="S2200" s="16" t="n">
        <x:v>0.05</x:v>
      </x:c>
      <x:c r="T2200" s="15" t="n">
        <x:v>0</x:v>
      </x:c>
      <x:c r="U2200" s="6" t="str">
        <x:v>Answer: 2.08, 19.43 m²</x:v>
      </x:c>
      <x:c r="V2200" s="6" t="str">
        <x:v>room geometry: area</x:v>
      </x:c>
      <x:c r="W2200" s="6" t="str">
        <x:v>Missing area/ranking tool. Search alone is insufficient.</x:v>
      </x:c>
      <x:c r="X2200" s="6" t="str">
        <x:v>data/train/swiss-3338/questions.jsonl</x:v>
      </x:c>
      <x:c r="Y2200" s="14" t="n">
        <x:v>1</x:v>
      </x:c>
      <x:c r="Z2200" s="6" t="str">
        <x:v>https://github.com/hagenhaeussler/Industrial-Agents-Hackathon-2026/blob/f41616590b69f3ea0c1cbfb41d6c35edd9ce53df/data/train/swiss-3338/questions.jsonl#L1</x:v>
      </x:c>
      <x:c r="AA2200" s="6" t="str">
        <x:v>swiss_dwellings</x:v>
      </x:c>
      <x:c r="AB2200" s="6" t="str">
        <x:v>CC-BY-4.0</x:v>
      </x:c>
    </x:row>
    <x:row r="2201" ht="72" customHeight="1">
      <x:c r="A2201" s="14" t="n">
        <x:v>2196</x:v>
      </x:c>
      <x:c r="B2201" s="6" t="str">
        <x:v>largest_room</x:v>
      </x:c>
      <x:c r="C2201" s="6" t="str">
        <x:v>Which is the largest bedroom on the floor 1, and how big is it in m²? Finish with a line 'Answer: &lt;room name or number&gt;, &lt;area&gt; m²'.</x:v>
      </x:c>
      <x:c r="D2201" s="6" t="str">
        <x:v>1.02
Area: 25.5 m²
Space ID: swiss-3355-F1-S002</x:v>
      </x:c>
      <x:c r="E2201" s="6" t="str">
        <x:v>Reference supplied</x:v>
      </x:c>
      <x:c r="F2201" s="6" t="str">
        <x:v>train</x:v>
      </x:c>
      <x:c r="G2201" s="6" t="str">
        <x:v>swiss-3355</x:v>
      </x:c>
      <x:c r="H2201" s="6" t="str">
        <x:v>swiss-3355-H01</x:v>
      </x:c>
      <x:c r="I2201" s="6" t="str">
        <x:v>Area and room selection</x:v>
      </x:c>
      <x:c r="J2201" s="6" t="str">
        <x:v>Benchmark</x:v>
      </x:c>
      <x:c r="K2201" s="6" t="str">
        <x:v>Answer: &lt;accepted room name or ref&gt;, &lt;area&gt; m²</x:v>
      </x:c>
      <x:c r="L2201" s="6" t="str">
        <x:v>T02, T04, T14</x:v>
      </x:c>
      <x:c r="M2201" s="6" t="str">
        <x:v>Choose the largest room of a specified type on a specified floor and give its area.</x:v>
      </x:c>
      <x:c r="N2201" s="6" t="str">
        <x:v>{"type":"space","space_id":"swiss-3355-F1-S002","accept":["1.02","Bedroom 1.02 (apartment 5)"],"reject":["1.15","Bedroom 1.15 (apartment 6)","1.22","Bedroom 1.22 (apartment 7)","1.13","Bedroom 1.13 (apartment 6)"],"area":{"type":"number","value":25.5,"unit":"m2","relative_tolerance":0.05,"absolute_tolerance":0}}</x:v>
      </x:c>
      <x:c r="O2201" s="6" t="str">
        <x:v>{"floor_id":"swiss-3355-F1","room_type":"bedroom"}</x:v>
      </x:c>
      <x:c r="P2201" s="6" t="str">
        <x:v>Exact target floor and room_type. Polygon area in m².</x:v>
      </x:c>
      <x:c r="Q2201" s="15" t="n">
        <x:v>25.5</x:v>
      </x:c>
      <x:c r="R2201" s="6" t="str">
        <x:v>m2</x:v>
      </x:c>
      <x:c r="S2201" s="16" t="n">
        <x:v>0.05</x:v>
      </x:c>
      <x:c r="T2201" s="15" t="n">
        <x:v>0</x:v>
      </x:c>
      <x:c r="U2201" s="6" t="str">
        <x:v>Answer: 1.02, 25.5 m²</x:v>
      </x:c>
      <x:c r="V2201" s="6" t="str">
        <x:v>room geometry: area</x:v>
      </x:c>
      <x:c r="W2201" s="6" t="str">
        <x:v>Missing area/ranking tool. Search alone is insufficient.</x:v>
      </x:c>
      <x:c r="X2201" s="6" t="str">
        <x:v>data/train/swiss-3355/questions.jsonl</x:v>
      </x:c>
      <x:c r="Y2201" s="14" t="n">
        <x:v>1</x:v>
      </x:c>
      <x:c r="Z2201" s="6" t="str">
        <x:v>https://github.com/hagenhaeussler/Industrial-Agents-Hackathon-2026/blob/f41616590b69f3ea0c1cbfb41d6c35edd9ce53df/data/train/swiss-3355/questions.jsonl#L1</x:v>
      </x:c>
      <x:c r="AA2201" s="6" t="str">
        <x:v>swiss_dwellings</x:v>
      </x:c>
      <x:c r="AB2201" s="6" t="str">
        <x:v>CC-BY-4.0</x:v>
      </x:c>
    </x:row>
    <x:row r="2202" ht="72" customHeight="1">
      <x:c r="A2202" s="14" t="n">
        <x:v>2197</x:v>
      </x:c>
      <x:c r="B2202" s="6" t="str">
        <x:v>largest_room</x:v>
      </x:c>
      <x:c r="C2202" s="6" t="str">
        <x:v>Which is the largest bedroom on the floor 3, and how big is it in m²? Finish with a line 'Answer: &lt;room name or number&gt;, &lt;area&gt; m²'.</x:v>
      </x:c>
      <x:c r="D2202" s="6" t="str">
        <x:v>3.01
Area: 24.38 m²
Space ID: swiss-373-F3-S001</x:v>
      </x:c>
      <x:c r="E2202" s="6" t="str">
        <x:v>Reference supplied</x:v>
      </x:c>
      <x:c r="F2202" s="6" t="str">
        <x:v>train</x:v>
      </x:c>
      <x:c r="G2202" s="6" t="str">
        <x:v>swiss-373</x:v>
      </x:c>
      <x:c r="H2202" s="6" t="str">
        <x:v>swiss-373-H01</x:v>
      </x:c>
      <x:c r="I2202" s="6" t="str">
        <x:v>Area and room selection</x:v>
      </x:c>
      <x:c r="J2202" s="6" t="str">
        <x:v>Benchmark</x:v>
      </x:c>
      <x:c r="K2202" s="6" t="str">
        <x:v>Answer: &lt;accepted room name or ref&gt;, &lt;area&gt; m²</x:v>
      </x:c>
      <x:c r="L2202" s="6" t="str">
        <x:v>T02, T04, T14</x:v>
      </x:c>
      <x:c r="M2202" s="6" t="str">
        <x:v>Choose the largest room of a specified type on a specified floor and give its area.</x:v>
      </x:c>
      <x:c r="N2202" s="6" t="str">
        <x:v>{"type":"space","space_id":"swiss-373-F3-S001","accept":["3.01","Bedroom 3.01 (apartment 4)"],"reject":["3.03","Bedroom 3.03 (apartment 4)","3.02","Bedroom 3.02 (apartment 4)"],"area":{"type":"number","value":24.38,"unit":"m2","relative_tolerance":0.05,"absolute_tolerance":0}}</x:v>
      </x:c>
      <x:c r="O2202" s="6" t="str">
        <x:v>{"floor_id":"swiss-373-F3","room_type":"bedroom"}</x:v>
      </x:c>
      <x:c r="P2202" s="6" t="str">
        <x:v>Exact target floor and room_type. Polygon area in m².</x:v>
      </x:c>
      <x:c r="Q2202" s="15" t="n">
        <x:v>24.38</x:v>
      </x:c>
      <x:c r="R2202" s="6" t="str">
        <x:v>m2</x:v>
      </x:c>
      <x:c r="S2202" s="16" t="n">
        <x:v>0.05</x:v>
      </x:c>
      <x:c r="T2202" s="15" t="n">
        <x:v>0</x:v>
      </x:c>
      <x:c r="U2202" s="6" t="str">
        <x:v>Answer: 3.01, 24.38 m²</x:v>
      </x:c>
      <x:c r="V2202" s="6" t="str">
        <x:v>room geometry: area</x:v>
      </x:c>
      <x:c r="W2202" s="6" t="str">
        <x:v>Missing area/ranking tool. Search alone is insufficient.</x:v>
      </x:c>
      <x:c r="X2202" s="6" t="str">
        <x:v>data/train/swiss-373/questions.jsonl</x:v>
      </x:c>
      <x:c r="Y2202" s="14" t="n">
        <x:v>1</x:v>
      </x:c>
      <x:c r="Z2202" s="6" t="str">
        <x:v>https://github.com/hagenhaeussler/Industrial-Agents-Hackathon-2026/blob/f41616590b69f3ea0c1cbfb41d6c35edd9ce53df/data/train/swiss-373/questions.jsonl#L1</x:v>
      </x:c>
      <x:c r="AA2202" s="6" t="str">
        <x:v>swiss_dwellings</x:v>
      </x:c>
      <x:c r="AB2202" s="6" t="str">
        <x:v>CC-BY-4.0</x:v>
      </x:c>
    </x:row>
    <x:row r="2203" ht="72" customHeight="1">
      <x:c r="A2203" s="14" t="n">
        <x:v>2198</x:v>
      </x:c>
      <x:c r="B2203" s="6" t="str">
        <x:v>largest_room</x:v>
      </x:c>
      <x:c r="C2203" s="6" t="str">
        <x:v>Which is the largest bedroom on the ground floor, and how big is it in m²? Finish with a line 'Answer: &lt;room name or number&gt;, &lt;area&gt; m²'.</x:v>
      </x:c>
      <x:c r="D2203" s="6" t="str">
        <x:v>0.02
Area: 17.81 m²
Space ID: swiss-390-F0-S002</x:v>
      </x:c>
      <x:c r="E2203" s="6" t="str">
        <x:v>Reference supplied</x:v>
      </x:c>
      <x:c r="F2203" s="6" t="str">
        <x:v>train</x:v>
      </x:c>
      <x:c r="G2203" s="6" t="str">
        <x:v>swiss-390</x:v>
      </x:c>
      <x:c r="H2203" s="6" t="str">
        <x:v>swiss-390-H01</x:v>
      </x:c>
      <x:c r="I2203" s="6" t="str">
        <x:v>Area and room selection</x:v>
      </x:c>
      <x:c r="J2203" s="6" t="str">
        <x:v>Benchmark</x:v>
      </x:c>
      <x:c r="K2203" s="6" t="str">
        <x:v>Answer: &lt;accepted room name or ref&gt;, &lt;area&gt; m²</x:v>
      </x:c>
      <x:c r="L2203" s="6" t="str">
        <x:v>T02, T04, T14</x:v>
      </x:c>
      <x:c r="M2203" s="6" t="str">
        <x:v>Choose the largest room of a specified type on a specified floor and give its area.</x:v>
      </x:c>
      <x:c r="N2203" s="6" t="str">
        <x:v>{"type":"space","space_id":"swiss-390-F0-S002","accept":["0.02","Bedroom 0.02 (apartment 1)"],"reject":["0.04","Bedroom 0.04 (apartment 1)","0.01","Bedroom 0.01 (apartment 1)","0.08","Bedroom 0.08 (apartment 1)"],"area":{"type":"number","value":17.81,"unit":"m2","relative_tolerance":0.05,"absolute_tolerance":0}}</x:v>
      </x:c>
      <x:c r="O2203" s="6" t="str">
        <x:v>{"floor_id":"swiss-390-F0","room_type":"bedroom"}</x:v>
      </x:c>
      <x:c r="P2203" s="6" t="str">
        <x:v>Exact target floor and room_type. Polygon area in m².</x:v>
      </x:c>
      <x:c r="Q2203" s="15" t="n">
        <x:v>17.81</x:v>
      </x:c>
      <x:c r="R2203" s="6" t="str">
        <x:v>m2</x:v>
      </x:c>
      <x:c r="S2203" s="16" t="n">
        <x:v>0.05</x:v>
      </x:c>
      <x:c r="T2203" s="15" t="n">
        <x:v>0</x:v>
      </x:c>
      <x:c r="U2203" s="6" t="str">
        <x:v>Answer: 0.02, 17.81 m²</x:v>
      </x:c>
      <x:c r="V2203" s="6" t="str">
        <x:v>room geometry: area</x:v>
      </x:c>
      <x:c r="W2203" s="6" t="str">
        <x:v>Missing area/ranking tool. Search alone is insufficient.</x:v>
      </x:c>
      <x:c r="X2203" s="6" t="str">
        <x:v>data/train/swiss-390/questions.jsonl</x:v>
      </x:c>
      <x:c r="Y2203" s="14" t="n">
        <x:v>1</x:v>
      </x:c>
      <x:c r="Z2203" s="6" t="str">
        <x:v>https://github.com/hagenhaeussler/Industrial-Agents-Hackathon-2026/blob/f41616590b69f3ea0c1cbfb41d6c35edd9ce53df/data/train/swiss-390/questions.jsonl#L1</x:v>
      </x:c>
      <x:c r="AA2203" s="6" t="str">
        <x:v>swiss_dwellings</x:v>
      </x:c>
      <x:c r="AB2203" s="6" t="str">
        <x:v>CC-BY-4.0</x:v>
      </x:c>
    </x:row>
    <x:row r="2204" ht="72" customHeight="1">
      <x:c r="A2204" s="14" t="n">
        <x:v>2199</x:v>
      </x:c>
      <x:c r="B2204" s="6" t="str">
        <x:v>largest_room</x:v>
      </x:c>
      <x:c r="C2204" s="6" t="str">
        <x:v>Which is the largest bathroom on the floor 6, and how big is it in m²? Finish with a line 'Answer: &lt;room name or number&gt;, &lt;area&gt; m²'.</x:v>
      </x:c>
      <x:c r="D2204" s="6" t="str">
        <x:v>6.14
Area: 4.14 m²
Space ID: swiss-433-F6-S014</x:v>
      </x:c>
      <x:c r="E2204" s="6" t="str">
        <x:v>Reference supplied</x:v>
      </x:c>
      <x:c r="F2204" s="6" t="str">
        <x:v>train</x:v>
      </x:c>
      <x:c r="G2204" s="6" t="str">
        <x:v>swiss-433</x:v>
      </x:c>
      <x:c r="H2204" s="6" t="str">
        <x:v>swiss-433-H01</x:v>
      </x:c>
      <x:c r="I2204" s="6" t="str">
        <x:v>Area and room selection</x:v>
      </x:c>
      <x:c r="J2204" s="6" t="str">
        <x:v>Benchmark</x:v>
      </x:c>
      <x:c r="K2204" s="6" t="str">
        <x:v>Answer: &lt;accepted room name or ref&gt;, &lt;area&gt; m²</x:v>
      </x:c>
      <x:c r="L2204" s="6" t="str">
        <x:v>T02, T04, T14</x:v>
      </x:c>
      <x:c r="M2204" s="6" t="str">
        <x:v>Choose the largest room of a specified type on a specified floor and give its area.</x:v>
      </x:c>
      <x:c r="N2204" s="6" t="str">
        <x:v>{"type":"space","space_id":"swiss-433-F6-S014","accept":["6.14","Bathroom 6.14 (apartment 20)"],"reject":["6.08","Bathroom 6.08 (apartment 19)","6.19","Bathroom 6.19 (apartment 21)"],"area":{"type":"number","value":4.14,"unit":"m2","relative_tolerance":0.05,"absolute_tolerance":0}}</x:v>
      </x:c>
      <x:c r="O2204" s="6" t="str">
        <x:v>{"floor_id":"swiss-433-F6","room_type":"bathroom"}</x:v>
      </x:c>
      <x:c r="P2204" s="6" t="str">
        <x:v>Exact target floor and room_type. Polygon area in m².</x:v>
      </x:c>
      <x:c r="Q2204" s="15" t="n">
        <x:v>4.14</x:v>
      </x:c>
      <x:c r="R2204" s="6" t="str">
        <x:v>m2</x:v>
      </x:c>
      <x:c r="S2204" s="16" t="n">
        <x:v>0.05</x:v>
      </x:c>
      <x:c r="T2204" s="15" t="n">
        <x:v>0</x:v>
      </x:c>
      <x:c r="U2204" s="6" t="str">
        <x:v>Answer: 6.14, 4.14 m²</x:v>
      </x:c>
      <x:c r="V2204" s="6" t="str">
        <x:v>room geometry: area</x:v>
      </x:c>
      <x:c r="W2204" s="6" t="str">
        <x:v>Missing area/ranking tool. Search alone is insufficient.</x:v>
      </x:c>
      <x:c r="X2204" s="6" t="str">
        <x:v>data/train/swiss-433/questions.jsonl</x:v>
      </x:c>
      <x:c r="Y2204" s="14" t="n">
        <x:v>1</x:v>
      </x:c>
      <x:c r="Z2204" s="6" t="str">
        <x:v>https://github.com/hagenhaeussler/Industrial-Agents-Hackathon-2026/blob/f41616590b69f3ea0c1cbfb41d6c35edd9ce53df/data/train/swiss-433/questions.jsonl#L1</x:v>
      </x:c>
      <x:c r="AA2204" s="6" t="str">
        <x:v>swiss_dwellings</x:v>
      </x:c>
      <x:c r="AB2204" s="6" t="str">
        <x:v>CC-BY-4.0</x:v>
      </x:c>
    </x:row>
    <x:row r="2205" ht="72" customHeight="1">
      <x:c r="A2205" s="14" t="n">
        <x:v>2200</x:v>
      </x:c>
      <x:c r="B2205" s="6" t="str">
        <x:v>largest_room</x:v>
      </x:c>
      <x:c r="C2205" s="6" t="str">
        <x:v>Which is the largest kitchen on the ground floor, and how big is it in m²? Finish with a line 'Answer: &lt;room name or number&gt;, &lt;area&gt; m²'.</x:v>
      </x:c>
      <x:c r="D2205" s="6" t="str">
        <x:v>0.19
Area: 7.1 m²
Space ID: swiss-442-F0-S019</x:v>
      </x:c>
      <x:c r="E2205" s="6" t="str">
        <x:v>Reference supplied</x:v>
      </x:c>
      <x:c r="F2205" s="6" t="str">
        <x:v>train</x:v>
      </x:c>
      <x:c r="G2205" s="6" t="str">
        <x:v>swiss-442</x:v>
      </x:c>
      <x:c r="H2205" s="6" t="str">
        <x:v>swiss-442-H01</x:v>
      </x:c>
      <x:c r="I2205" s="6" t="str">
        <x:v>Area and room selection</x:v>
      </x:c>
      <x:c r="J2205" s="6" t="str">
        <x:v>Benchmark</x:v>
      </x:c>
      <x:c r="K2205" s="6" t="str">
        <x:v>Answer: &lt;accepted room name or ref&gt;, &lt;area&gt; m²</x:v>
      </x:c>
      <x:c r="L2205" s="6" t="str">
        <x:v>T02, T04, T14</x:v>
      </x:c>
      <x:c r="M2205" s="6" t="str">
        <x:v>Choose the largest room of a specified type on a specified floor and give its area.</x:v>
      </x:c>
      <x:c r="N2205" s="6" t="str">
        <x:v>{"type":"space","space_id":"swiss-442-F0-S019","accept":["0.19","Kitchen 0.19 (apartment 6)"],"reject":["0.30","Kitchen 0.30 (apartment 7)","0.09","Kitchen 0.09 (apartment 4)","0.13","Kitchen 0.13 (apartment 5)"],"area":{"type":"number","value":7.1,"unit":"m2","relative_tolerance":0.05,"absolute_tolerance":0}}</x:v>
      </x:c>
      <x:c r="O2205" s="6" t="str">
        <x:v>{"floor_id":"swiss-442-F0","room_type":"kitchen"}</x:v>
      </x:c>
      <x:c r="P2205" s="6" t="str">
        <x:v>Exact target floor and room_type. Polygon area in m².</x:v>
      </x:c>
      <x:c r="Q2205" s="15" t="n">
        <x:v>7.1</x:v>
      </x:c>
      <x:c r="R2205" s="6" t="str">
        <x:v>m2</x:v>
      </x:c>
      <x:c r="S2205" s="16" t="n">
        <x:v>0.05</x:v>
      </x:c>
      <x:c r="T2205" s="15" t="n">
        <x:v>0</x:v>
      </x:c>
      <x:c r="U2205" s="6" t="str">
        <x:v>Answer: 0.19, 7.1 m²</x:v>
      </x:c>
      <x:c r="V2205" s="6" t="str">
        <x:v>room geometry: area</x:v>
      </x:c>
      <x:c r="W2205" s="6" t="str">
        <x:v>Missing area/ranking tool. Search alone is insufficient.</x:v>
      </x:c>
      <x:c r="X2205" s="6" t="str">
        <x:v>data/train/swiss-442/questions.jsonl</x:v>
      </x:c>
      <x:c r="Y2205" s="14" t="n">
        <x:v>1</x:v>
      </x:c>
      <x:c r="Z2205" s="6" t="str">
        <x:v>https://github.com/hagenhaeussler/Industrial-Agents-Hackathon-2026/blob/f41616590b69f3ea0c1cbfb41d6c35edd9ce53df/data/train/swiss-442/questions.jsonl#L1</x:v>
      </x:c>
      <x:c r="AA2205" s="6" t="str">
        <x:v>swiss_dwellings</x:v>
      </x:c>
      <x:c r="AB2205" s="6" t="str">
        <x:v>CC-BY-4.0</x:v>
      </x:c>
    </x:row>
    <x:row r="2206" ht="72" customHeight="1">
      <x:c r="A2206" s="14" t="n">
        <x:v>2201</x:v>
      </x:c>
      <x:c r="B2206" s="6" t="str">
        <x:v>largest_room</x:v>
      </x:c>
      <x:c r="C2206" s="6" t="str">
        <x:v>Which is the largest living room on the floor 3, and how big is it in m²? Finish with a line 'Answer: &lt;room name or number&gt;, &lt;area&gt; m²'.</x:v>
      </x:c>
      <x:c r="D2206" s="6" t="str">
        <x:v>3.16
Area: 31.6 m²
Space ID: swiss-5690-F3-S016</x:v>
      </x:c>
      <x:c r="E2206" s="6" t="str">
        <x:v>Reference supplied</x:v>
      </x:c>
      <x:c r="F2206" s="6" t="str">
        <x:v>train</x:v>
      </x:c>
      <x:c r="G2206" s="6" t="str">
        <x:v>swiss-5690</x:v>
      </x:c>
      <x:c r="H2206" s="6" t="str">
        <x:v>swiss-5690-H01</x:v>
      </x:c>
      <x:c r="I2206" s="6" t="str">
        <x:v>Area and room selection</x:v>
      </x:c>
      <x:c r="J2206" s="6" t="str">
        <x:v>Benchmark</x:v>
      </x:c>
      <x:c r="K2206" s="6" t="str">
        <x:v>Answer: &lt;accepted room name or ref&gt;, &lt;area&gt; m²</x:v>
      </x:c>
      <x:c r="L2206" s="6" t="str">
        <x:v>T02, T04, T14</x:v>
      </x:c>
      <x:c r="M2206" s="6" t="str">
        <x:v>Choose the largest room of a specified type on a specified floor and give its area.</x:v>
      </x:c>
      <x:c r="N2206" s="6" t="str">
        <x:v>{"type":"space","space_id":"swiss-5690-F3-S016","accept":["3.16","Living room 3.16 (apartment 8)"],"reject":["3.05","Living room 3.05 (apartment 7)","3.09","Living room 3.09 (apartment 8)","3.01","Living room 3.01 (apartment 7)"],"area":{"type":"number","value":31.6,"unit":"m2","relative_tolerance":0.05,"absolute_tolerance":0}}</x:v>
      </x:c>
      <x:c r="O2206" s="6" t="str">
        <x:v>{"floor_id":"swiss-5690-F3","room_type":"living_room"}</x:v>
      </x:c>
      <x:c r="P2206" s="6" t="str">
        <x:v>Exact target floor and room_type. Polygon area in m².</x:v>
      </x:c>
      <x:c r="Q2206" s="15" t="n">
        <x:v>31.6</x:v>
      </x:c>
      <x:c r="R2206" s="6" t="str">
        <x:v>m2</x:v>
      </x:c>
      <x:c r="S2206" s="16" t="n">
        <x:v>0.05</x:v>
      </x:c>
      <x:c r="T2206" s="15" t="n">
        <x:v>0</x:v>
      </x:c>
      <x:c r="U2206" s="6" t="str">
        <x:v>Answer: 3.16, 31.6 m²</x:v>
      </x:c>
      <x:c r="V2206" s="6" t="str">
        <x:v>room geometry: area</x:v>
      </x:c>
      <x:c r="W2206" s="6" t="str">
        <x:v>Missing area/ranking tool. Search alone is insufficient.</x:v>
      </x:c>
      <x:c r="X2206" s="6" t="str">
        <x:v>data/train/swiss-5690/questions.jsonl</x:v>
      </x:c>
      <x:c r="Y2206" s="14" t="n">
        <x:v>1</x:v>
      </x:c>
      <x:c r="Z2206" s="6" t="str">
        <x:v>https://github.com/hagenhaeussler/Industrial-Agents-Hackathon-2026/blob/f41616590b69f3ea0c1cbfb41d6c35edd9ce53df/data/train/swiss-5690/questions.jsonl#L1</x:v>
      </x:c>
      <x:c r="AA2206" s="6" t="str">
        <x:v>swiss_dwellings</x:v>
      </x:c>
      <x:c r="AB2206" s="6" t="str">
        <x:v>CC-BY-4.0</x:v>
      </x:c>
    </x:row>
    <x:row r="2207" ht="72" customHeight="1">
      <x:c r="A2207" s="14" t="n">
        <x:v>2202</x:v>
      </x:c>
      <x:c r="B2207" s="6" t="str">
        <x:v>largest_room</x:v>
      </x:c>
      <x:c r="C2207" s="6" t="str">
        <x:v>Which is the largest kitchen on the floor 1, and how big is it in m²? Finish with a line 'Answer: &lt;room name or number&gt;, &lt;area&gt; m²'.</x:v>
      </x:c>
      <x:c r="D2207" s="6" t="str">
        <x:v>1.07
Area: 35.68 m²
Space ID: swiss-6148-F1-S007</x:v>
      </x:c>
      <x:c r="E2207" s="6" t="str">
        <x:v>Reference supplied</x:v>
      </x:c>
      <x:c r="F2207" s="6" t="str">
        <x:v>train</x:v>
      </x:c>
      <x:c r="G2207" s="6" t="str">
        <x:v>swiss-6148</x:v>
      </x:c>
      <x:c r="H2207" s="6" t="str">
        <x:v>swiss-6148-H01</x:v>
      </x:c>
      <x:c r="I2207" s="6" t="str">
        <x:v>Area and room selection</x:v>
      </x:c>
      <x:c r="J2207" s="6" t="str">
        <x:v>Benchmark</x:v>
      </x:c>
      <x:c r="K2207" s="6" t="str">
        <x:v>Answer: &lt;accepted room name or ref&gt;, &lt;area&gt; m²</x:v>
      </x:c>
      <x:c r="L2207" s="6" t="str">
        <x:v>T02, T04, T14</x:v>
      </x:c>
      <x:c r="M2207" s="6" t="str">
        <x:v>Choose the largest room of a specified type on a specified floor and give its area.</x:v>
      </x:c>
      <x:c r="N2207" s="6" t="str">
        <x:v>{"type":"space","space_id":"swiss-6148-F1-S007","accept":["1.07","Kitchen 1.07 (apartment 4)"],"reject":["1.10","Kitchen 1.10 (apartment 4)","1.02","Kitchen 1.02 (apartment 3)"],"area":{"type":"number","value":35.68,"unit":"m2","relative_tolerance":0.05,"absolute_tolerance":0}}</x:v>
      </x:c>
      <x:c r="O2207" s="6" t="str">
        <x:v>{"floor_id":"swiss-6148-F1","room_type":"kitchen"}</x:v>
      </x:c>
      <x:c r="P2207" s="6" t="str">
        <x:v>Exact target floor and room_type. Polygon area in m².</x:v>
      </x:c>
      <x:c r="Q2207" s="15" t="n">
        <x:v>35.68</x:v>
      </x:c>
      <x:c r="R2207" s="6" t="str">
        <x:v>m2</x:v>
      </x:c>
      <x:c r="S2207" s="16" t="n">
        <x:v>0.05</x:v>
      </x:c>
      <x:c r="T2207" s="15" t="n">
        <x:v>0</x:v>
      </x:c>
      <x:c r="U2207" s="6" t="str">
        <x:v>Answer: 1.07, 35.68 m²</x:v>
      </x:c>
      <x:c r="V2207" s="6" t="str">
        <x:v>room geometry: area</x:v>
      </x:c>
      <x:c r="W2207" s="6" t="str">
        <x:v>Missing area/ranking tool. Search alone is insufficient.</x:v>
      </x:c>
      <x:c r="X2207" s="6" t="str">
        <x:v>data/train/swiss-6148/questions.jsonl</x:v>
      </x:c>
      <x:c r="Y2207" s="14" t="n">
        <x:v>1</x:v>
      </x:c>
      <x:c r="Z2207" s="6" t="str">
        <x:v>https://github.com/hagenhaeussler/Industrial-Agents-Hackathon-2026/blob/f41616590b69f3ea0c1cbfb41d6c35edd9ce53df/data/train/swiss-6148/questions.jsonl#L1</x:v>
      </x:c>
      <x:c r="AA2207" s="6" t="str">
        <x:v>swiss_dwellings</x:v>
      </x:c>
      <x:c r="AB2207" s="6" t="str">
        <x:v>CC-BY-4.0</x:v>
      </x:c>
    </x:row>
    <x:row r="2208" ht="72" customHeight="1">
      <x:c r="A2208" s="14" t="n">
        <x:v>2203</x:v>
      </x:c>
      <x:c r="B2208" s="6" t="str">
        <x:v>largest_room</x:v>
      </x:c>
      <x:c r="C2208" s="6" t="str">
        <x:v>Which is the largest bedroom on the floor 3, and how big is it in m²? Finish with a line 'Answer: &lt;room name or number&gt;, &lt;area&gt; m²'.</x:v>
      </x:c>
      <x:c r="D2208" s="6" t="str">
        <x:v>3.11
Area: 23.14 m²
Space ID: swiss-624-F3-S011</x:v>
      </x:c>
      <x:c r="E2208" s="6" t="str">
        <x:v>Reference supplied</x:v>
      </x:c>
      <x:c r="F2208" s="6" t="str">
        <x:v>train</x:v>
      </x:c>
      <x:c r="G2208" s="6" t="str">
        <x:v>swiss-624</x:v>
      </x:c>
      <x:c r="H2208" s="6" t="str">
        <x:v>swiss-624-H01</x:v>
      </x:c>
      <x:c r="I2208" s="6" t="str">
        <x:v>Area and room selection</x:v>
      </x:c>
      <x:c r="J2208" s="6" t="str">
        <x:v>Benchmark</x:v>
      </x:c>
      <x:c r="K2208" s="6" t="str">
        <x:v>Answer: &lt;accepted room name or ref&gt;, &lt;area&gt; m²</x:v>
      </x:c>
      <x:c r="L2208" s="6" t="str">
        <x:v>T02, T04, T14</x:v>
      </x:c>
      <x:c r="M2208" s="6" t="str">
        <x:v>Choose the largest room of a specified type on a specified floor and give its area.</x:v>
      </x:c>
      <x:c r="N2208" s="6" t="str">
        <x:v>{"type":"space","space_id":"swiss-624-F3-S011","accept":["3.11","Bedroom 3.11 (apartment 8)"],"reject":["3.08","Bedroom 3.08 (apartment 7)","3.04","Bedroom 3.04 (apartment 7)","3.12","Bedroom 3.12 (apartment 8)"],"area":{"type":"number","value":23.14,"unit":"m2","relative_tolerance":0.05,"absolute_tolerance":0}}</x:v>
      </x:c>
      <x:c r="O2208" s="6" t="str">
        <x:v>{"floor_id":"swiss-624-F3","room_type":"bedroom"}</x:v>
      </x:c>
      <x:c r="P2208" s="6" t="str">
        <x:v>Exact target floor and room_type. Polygon area in m².</x:v>
      </x:c>
      <x:c r="Q2208" s="15" t="n">
        <x:v>23.14</x:v>
      </x:c>
      <x:c r="R2208" s="6" t="str">
        <x:v>m2</x:v>
      </x:c>
      <x:c r="S2208" s="16" t="n">
        <x:v>0.05</x:v>
      </x:c>
      <x:c r="T2208" s="15" t="n">
        <x:v>0</x:v>
      </x:c>
      <x:c r="U2208" s="6" t="str">
        <x:v>Answer: 3.11, 23.14 m²</x:v>
      </x:c>
      <x:c r="V2208" s="6" t="str">
        <x:v>room geometry: area</x:v>
      </x:c>
      <x:c r="W2208" s="6" t="str">
        <x:v>Missing area/ranking tool. Search alone is insufficient.</x:v>
      </x:c>
      <x:c r="X2208" s="6" t="str">
        <x:v>data/train/swiss-624/questions.jsonl</x:v>
      </x:c>
      <x:c r="Y2208" s="14" t="n">
        <x:v>1</x:v>
      </x:c>
      <x:c r="Z2208" s="6" t="str">
        <x:v>https://github.com/hagenhaeussler/Industrial-Agents-Hackathon-2026/blob/f41616590b69f3ea0c1cbfb41d6c35edd9ce53df/data/train/swiss-624/questions.jsonl#L1</x:v>
      </x:c>
      <x:c r="AA2208" s="6" t="str">
        <x:v>swiss_dwellings</x:v>
      </x:c>
      <x:c r="AB2208" s="6" t="str">
        <x:v>CC-BY-4.0</x:v>
      </x:c>
    </x:row>
    <x:row r="2209" ht="72" customHeight="1">
      <x:c r="A2209" s="14" t="n">
        <x:v>2204</x:v>
      </x:c>
      <x:c r="B2209" s="6" t="str">
        <x:v>largest_room</x:v>
      </x:c>
      <x:c r="C2209" s="6" t="str">
        <x:v>Which is the largest bathroom on the floor 3, and how big is it in m²? Finish with a line 'Answer: &lt;room name or number&gt;, &lt;area&gt; m²'.</x:v>
      </x:c>
      <x:c r="D2209" s="6" t="str">
        <x:v>3.05
Area: 5.08 m²
Space ID: swiss-668-F3-S005</x:v>
      </x:c>
      <x:c r="E2209" s="6" t="str">
        <x:v>Reference supplied</x:v>
      </x:c>
      <x:c r="F2209" s="6" t="str">
        <x:v>train</x:v>
      </x:c>
      <x:c r="G2209" s="6" t="str">
        <x:v>swiss-668</x:v>
      </x:c>
      <x:c r="H2209" s="6" t="str">
        <x:v>swiss-668-H01</x:v>
      </x:c>
      <x:c r="I2209" s="6" t="str">
        <x:v>Area and room selection</x:v>
      </x:c>
      <x:c r="J2209" s="6" t="str">
        <x:v>Benchmark</x:v>
      </x:c>
      <x:c r="K2209" s="6" t="str">
        <x:v>Answer: &lt;accepted room name or ref&gt;, &lt;area&gt; m²</x:v>
      </x:c>
      <x:c r="L2209" s="6" t="str">
        <x:v>T02, T04, T14</x:v>
      </x:c>
      <x:c r="M2209" s="6" t="str">
        <x:v>Choose the largest room of a specified type on a specified floor and give its area.</x:v>
      </x:c>
      <x:c r="N2209" s="6" t="str">
        <x:v>{"type":"space","space_id":"swiss-668-F3-S005","accept":["3.05","Bathroom 3.05 (apartment 10)"],"reject":["3.15","Bathroom 3.15 (apartment 12)","3.10","Bathroom 3.10 (apartment 11)","3.07","Bathroom 3.07 (apartment 11)"],"area":{"type":"number","value":5.08,"unit":"m2","relative_tolerance":0.05,"absolute_tolerance":0}}</x:v>
      </x:c>
      <x:c r="O2209" s="6" t="str">
        <x:v>{"floor_id":"swiss-668-F3","room_type":"bathroom"}</x:v>
      </x:c>
      <x:c r="P2209" s="6" t="str">
        <x:v>Exact target floor and room_type. Polygon area in m².</x:v>
      </x:c>
      <x:c r="Q2209" s="15" t="n">
        <x:v>5.08</x:v>
      </x:c>
      <x:c r="R2209" s="6" t="str">
        <x:v>m2</x:v>
      </x:c>
      <x:c r="S2209" s="16" t="n">
        <x:v>0.05</x:v>
      </x:c>
      <x:c r="T2209" s="15" t="n">
        <x:v>0</x:v>
      </x:c>
      <x:c r="U2209" s="6" t="str">
        <x:v>Answer: 3.05, 5.08 m²</x:v>
      </x:c>
      <x:c r="V2209" s="6" t="str">
        <x:v>room geometry: area</x:v>
      </x:c>
      <x:c r="W2209" s="6" t="str">
        <x:v>Missing area/ranking tool. Search alone is insufficient.</x:v>
      </x:c>
      <x:c r="X2209" s="6" t="str">
        <x:v>data/train/swiss-668/questions.jsonl</x:v>
      </x:c>
      <x:c r="Y2209" s="14" t="n">
        <x:v>1</x:v>
      </x:c>
      <x:c r="Z2209" s="6" t="str">
        <x:v>https://github.com/hagenhaeussler/Industrial-Agents-Hackathon-2026/blob/f41616590b69f3ea0c1cbfb41d6c35edd9ce53df/data/train/swiss-668/questions.jsonl#L1</x:v>
      </x:c>
      <x:c r="AA2209" s="6" t="str">
        <x:v>swiss_dwellings</x:v>
      </x:c>
      <x:c r="AB2209" s="6" t="str">
        <x:v>CC-BY-4.0</x:v>
      </x:c>
    </x:row>
    <x:row r="2210" ht="72" customHeight="1">
      <x:c r="A2210" s="14" t="n">
        <x:v>2205</x:v>
      </x:c>
      <x:c r="B2210" s="6" t="str">
        <x:v>largest_room</x:v>
      </x:c>
      <x:c r="C2210" s="6" t="str">
        <x:v>Which is the largest bedroom on the floor 4, and how big is it in m²? Finish with a line 'Answer: &lt;room name or number&gt;, &lt;area&gt; m²'.</x:v>
      </x:c>
      <x:c r="D2210" s="6" t="str">
        <x:v>4.21
Area: 24.04 m²
Space ID: swiss-692-F4-S021</x:v>
      </x:c>
      <x:c r="E2210" s="6" t="str">
        <x:v>Reference supplied</x:v>
      </x:c>
      <x:c r="F2210" s="6" t="str">
        <x:v>train</x:v>
      </x:c>
      <x:c r="G2210" s="6" t="str">
        <x:v>swiss-692</x:v>
      </x:c>
      <x:c r="H2210" s="6" t="str">
        <x:v>swiss-692-H01</x:v>
      </x:c>
      <x:c r="I2210" s="6" t="str">
        <x:v>Area and room selection</x:v>
      </x:c>
      <x:c r="J2210" s="6" t="str">
        <x:v>Benchmark</x:v>
      </x:c>
      <x:c r="K2210" s="6" t="str">
        <x:v>Answer: &lt;accepted room name or ref&gt;, &lt;area&gt; m²</x:v>
      </x:c>
      <x:c r="L2210" s="6" t="str">
        <x:v>T02, T04, T14</x:v>
      </x:c>
      <x:c r="M2210" s="6" t="str">
        <x:v>Choose the largest room of a specified type on a specified floor and give its area.</x:v>
      </x:c>
      <x:c r="N2210" s="6" t="str">
        <x:v>{"type":"space","space_id":"swiss-692-F4-S021","accept":["4.21","Bedroom 4.21 (apartment 36)"],"reject":["4.17","Bedroom 4.17 (apartment 35)","4.35","Bedroom 4.35 (apartment 38)","4.03","Bedroom 4.03 (apartment 33)"],"area":{"type":"number","value":24.04,"unit":"m2","relative_tolerance":0.05,"absolute_tolerance":0}}</x:v>
      </x:c>
      <x:c r="O2210" s="6" t="str">
        <x:v>{"floor_id":"swiss-692-F4","room_type":"bedroom"}</x:v>
      </x:c>
      <x:c r="P2210" s="6" t="str">
        <x:v>Exact target floor and room_type. Polygon area in m².</x:v>
      </x:c>
      <x:c r="Q2210" s="15" t="n">
        <x:v>24.04</x:v>
      </x:c>
      <x:c r="R2210" s="6" t="str">
        <x:v>m2</x:v>
      </x:c>
      <x:c r="S2210" s="16" t="n">
        <x:v>0.05</x:v>
      </x:c>
      <x:c r="T2210" s="15" t="n">
        <x:v>0</x:v>
      </x:c>
      <x:c r="U2210" s="6" t="str">
        <x:v>Answer: 4.21, 24.04 m²</x:v>
      </x:c>
      <x:c r="V2210" s="6" t="str">
        <x:v>room geometry: area</x:v>
      </x:c>
      <x:c r="W2210" s="6" t="str">
        <x:v>Missing area/ranking tool. Search alone is insufficient.</x:v>
      </x:c>
      <x:c r="X2210" s="6" t="str">
        <x:v>data/train/swiss-692/questions.jsonl</x:v>
      </x:c>
      <x:c r="Y2210" s="14" t="n">
        <x:v>1</x:v>
      </x:c>
      <x:c r="Z2210" s="6" t="str">
        <x:v>https://github.com/hagenhaeussler/Industrial-Agents-Hackathon-2026/blob/f41616590b69f3ea0c1cbfb41d6c35edd9ce53df/data/train/swiss-692/questions.jsonl#L1</x:v>
      </x:c>
      <x:c r="AA2210" s="6" t="str">
        <x:v>swiss_dwellings</x:v>
      </x:c>
      <x:c r="AB2210" s="6" t="str">
        <x:v>CC-BY-4.0</x:v>
      </x:c>
    </x:row>
    <x:row r="2211" ht="72" customHeight="1">
      <x:c r="A2211" s="14" t="n">
        <x:v>2206</x:v>
      </x:c>
      <x:c r="B2211" s="6" t="str">
        <x:v>largest_room</x:v>
      </x:c>
      <x:c r="C2211" s="6" t="str">
        <x:v>Which is the largest bedroom on the floor 6, and how big is it in m²? Finish with a line 'Answer: &lt;room name or number&gt;, &lt;area&gt; m²'.</x:v>
      </x:c>
      <x:c r="D2211" s="6" t="str">
        <x:v>6.35
Area: 18.57 m²
Space ID: swiss-921-F6-S035</x:v>
      </x:c>
      <x:c r="E2211" s="6" t="str">
        <x:v>Reference supplied</x:v>
      </x:c>
      <x:c r="F2211" s="6" t="str">
        <x:v>train</x:v>
      </x:c>
      <x:c r="G2211" s="6" t="str">
        <x:v>swiss-921</x:v>
      </x:c>
      <x:c r="H2211" s="6" t="str">
        <x:v>swiss-921-H01</x:v>
      </x:c>
      <x:c r="I2211" s="6" t="str">
        <x:v>Area and room selection</x:v>
      </x:c>
      <x:c r="J2211" s="6" t="str">
        <x:v>Benchmark</x:v>
      </x:c>
      <x:c r="K2211" s="6" t="str">
        <x:v>Answer: &lt;accepted room name or ref&gt;, &lt;area&gt; m²</x:v>
      </x:c>
      <x:c r="L2211" s="6" t="str">
        <x:v>T02, T04, T14</x:v>
      </x:c>
      <x:c r="M2211" s="6" t="str">
        <x:v>Choose the largest room of a specified type on a specified floor and give its area.</x:v>
      </x:c>
      <x:c r="N2211" s="6" t="str">
        <x:v>{"type":"space","space_id":"swiss-921-F6-S035","accept":["6.35","Bedroom 6.35 (apartment 28)"],"reject":["6.28","Bedroom 6.28 (apartment 27)","6.07","Bedroom 6.07 (apartment 25)","6.19","Bedroom 6.19 (apartment 26)"],"area":{"type":"number","value":18.57,"unit":"m2","relative_tolerance":0.05,"absolute_tolerance":0}}</x:v>
      </x:c>
      <x:c r="O2211" s="6" t="str">
        <x:v>{"floor_id":"swiss-921-F6","room_type":"bedroom"}</x:v>
      </x:c>
      <x:c r="P2211" s="6" t="str">
        <x:v>Exact target floor and room_type. Polygon area in m².</x:v>
      </x:c>
      <x:c r="Q2211" s="15" t="n">
        <x:v>18.57</x:v>
      </x:c>
      <x:c r="R2211" s="6" t="str">
        <x:v>m2</x:v>
      </x:c>
      <x:c r="S2211" s="16" t="n">
        <x:v>0.05</x:v>
      </x:c>
      <x:c r="T2211" s="15" t="n">
        <x:v>0</x:v>
      </x:c>
      <x:c r="U2211" s="6" t="str">
        <x:v>Answer: 6.35, 18.57 m²</x:v>
      </x:c>
      <x:c r="V2211" s="6" t="str">
        <x:v>room geometry: area</x:v>
      </x:c>
      <x:c r="W2211" s="6" t="str">
        <x:v>Missing area/ranking tool. Search alone is insufficient.</x:v>
      </x:c>
      <x:c r="X2211" s="6" t="str">
        <x:v>data/train/swiss-921/questions.jsonl</x:v>
      </x:c>
      <x:c r="Y2211" s="14" t="n">
        <x:v>1</x:v>
      </x:c>
      <x:c r="Z2211" s="6" t="str">
        <x:v>https://github.com/hagenhaeussler/Industrial-Agents-Hackathon-2026/blob/f41616590b69f3ea0c1cbfb41d6c35edd9ce53df/data/train/swiss-921/questions.jsonl#L1</x:v>
      </x:c>
      <x:c r="AA2211" s="6" t="str">
        <x:v>swiss_dwellings</x:v>
      </x:c>
      <x:c r="AB2211" s="6" t="str">
        <x:v>CC-BY-4.0</x:v>
      </x:c>
    </x:row>
    <x:row r="2212" ht="72" customHeight="1">
      <x:c r="A2212" s="14" t="n">
        <x:v>2207</x:v>
      </x:c>
      <x:c r="B2212" s="6" t="str">
        <x:v>largest_room</x:v>
      </x:c>
      <x:c r="C2212" s="6" t="str">
        <x:v>Which is the largest generic room on the floor 5, and how big is it in m²? Finish with a line 'Answer: &lt;room name or number&gt;, &lt;area&gt; m²'.</x:v>
      </x:c>
      <x:c r="D2212" s="6" t="str">
        <x:v>N5325
Area: 79.48 m²
Space ID: osm-way22744230-F5-S008</x:v>
      </x:c>
      <x:c r="E2212" s="6" t="str">
        <x:v>Reference supplied</x:v>
      </x:c>
      <x:c r="F2212" s="6" t="str">
        <x:v>dev</x:v>
      </x:c>
      <x:c r="G2212" s="6" t="str">
        <x:v>osm-way22744230</x:v>
      </x:c>
      <x:c r="H2212" s="6" t="str">
        <x:v>osm-way22744230-H01</x:v>
      </x:c>
      <x:c r="I2212" s="6" t="str">
        <x:v>Area and room selection</x:v>
      </x:c>
      <x:c r="J2212" s="6" t="str">
        <x:v>Benchmark</x:v>
      </x:c>
      <x:c r="K2212" s="6" t="str">
        <x:v>Answer: &lt;accepted room name or ref&gt;, &lt;area&gt; m²</x:v>
      </x:c>
      <x:c r="L2212" s="6" t="str">
        <x:v>T02, T04, T14</x:v>
      </x:c>
      <x:c r="M2212" s="6" t="str">
        <x:v>Choose the largest room of a specified type on a specified floor and give its area.</x:v>
      </x:c>
      <x:c r="N2212" s="6" t="str">
        <x:v>{"type":"space","space_id":"osm-way22744230-F5-S008","accept":["N5325","Generic room N5325"],"reject":["N5311","Generic room N5311","N5315","Generic room N5315","N5307","Generic room N5307"],"area":{"type":"number","value":79.48,"unit":"m2","relative_tolerance":0.05,"absolute_tolerance":0}}</x:v>
      </x:c>
      <x:c r="O2212" s="6" t="str">
        <x:v>{"floor_id":"osm-way22744230-F5","room_type":"generic_room"}</x:v>
      </x:c>
      <x:c r="P2212" s="6" t="str">
        <x:v>Exact target floor and room_type. Polygon area in m².</x:v>
      </x:c>
      <x:c r="Q2212" s="15" t="n">
        <x:v>79.48</x:v>
      </x:c>
      <x:c r="R2212" s="6" t="str">
        <x:v>m2</x:v>
      </x:c>
      <x:c r="S2212" s="16" t="n">
        <x:v>0.05</x:v>
      </x:c>
      <x:c r="T2212" s="15" t="n">
        <x:v>0</x:v>
      </x:c>
      <x:c r="U2212" s="6" t="str">
        <x:v>Answer: N5325, 79.48 m²</x:v>
      </x:c>
      <x:c r="V2212" s="6" t="str">
        <x:v>room geometry: area</x:v>
      </x:c>
      <x:c r="W2212" s="6" t="str">
        <x:v>Missing area/ranking tool. Search alone is insufficient.</x:v>
      </x:c>
      <x:c r="X2212" s="6" t="str">
        <x:v>data/dev/osm-way22744230/questions.jsonl</x:v>
      </x:c>
      <x:c r="Y2212" s="14" t="n">
        <x:v>1</x:v>
      </x:c>
      <x:c r="Z2212" s="6" t="str">
        <x:v>https://github.com/hagenhaeussler/Industrial-Agents-Hackathon-2026/blob/f41616590b69f3ea0c1cbfb41d6c35edd9ce53df/data/dev/osm-way22744230/questions.jsonl#L1</x:v>
      </x:c>
      <x:c r="AA2212" s="6" t="str">
        <x:v>osm_indoor</x:v>
      </x:c>
      <x:c r="AB2212" s="6" t="str">
        <x:v>ODbL-1.0</x:v>
      </x:c>
    </x:row>
    <x:row r="2213" ht="72" customHeight="1">
      <x:c r="A2213" s="14" t="n">
        <x:v>2208</x:v>
      </x:c>
      <x:c r="B2213" s="6" t="str">
        <x:v>largest_room</x:v>
      </x:c>
      <x:c r="C2213" s="6" t="str">
        <x:v>Which is the largest generic room on the ground floor, and how big is it in m²? Finish with a line 'Answer: &lt;room name or number&gt;, &lt;area&gt; m²'.</x:v>
      </x:c>
      <x:c r="D2213" s="6" t="str">
        <x:v>E06A
Area: 41.18 m²
Space ID: osm-way27326387-F0-S014</x:v>
      </x:c>
      <x:c r="E2213" s="6" t="str">
        <x:v>Reference supplied</x:v>
      </x:c>
      <x:c r="F2213" s="6" t="str">
        <x:v>dev</x:v>
      </x:c>
      <x:c r="G2213" s="6" t="str">
        <x:v>osm-way27326387</x:v>
      </x:c>
      <x:c r="H2213" s="6" t="str">
        <x:v>osm-way27326387-H01</x:v>
      </x:c>
      <x:c r="I2213" s="6" t="str">
        <x:v>Area and room selection</x:v>
      </x:c>
      <x:c r="J2213" s="6" t="str">
        <x:v>Benchmark</x:v>
      </x:c>
      <x:c r="K2213" s="6" t="str">
        <x:v>Answer: &lt;accepted room name or ref&gt;, &lt;area&gt; m²</x:v>
      </x:c>
      <x:c r="L2213" s="6" t="str">
        <x:v>T02, T04, T14</x:v>
      </x:c>
      <x:c r="M2213" s="6" t="str">
        <x:v>Choose the largest room of a specified type on a specified floor and give its area.</x:v>
      </x:c>
      <x:c r="N2213" s="6" t="str">
        <x:v>{"type":"space","space_id":"osm-way27326387-F0-S014","accept":["E06A","Generic room E06A"],"reject":["E05","Generic room E05","E07","Generic room E07","E01","Generic room E01"],"area":{"type":"number","value":41.18,"unit":"m2","relative_tolerance":0.05,"absolute_tolerance":0}}</x:v>
      </x:c>
      <x:c r="O2213" s="6" t="str">
        <x:v>{"floor_id":"osm-way27326387-F0","room_type":"generic_room"}</x:v>
      </x:c>
      <x:c r="P2213" s="6" t="str">
        <x:v>Exact target floor and room_type. Polygon area in m².</x:v>
      </x:c>
      <x:c r="Q2213" s="15" t="n">
        <x:v>41.18</x:v>
      </x:c>
      <x:c r="R2213" s="6" t="str">
        <x:v>m2</x:v>
      </x:c>
      <x:c r="S2213" s="16" t="n">
        <x:v>0.05</x:v>
      </x:c>
      <x:c r="T2213" s="15" t="n">
        <x:v>0</x:v>
      </x:c>
      <x:c r="U2213" s="6" t="str">
        <x:v>Answer: E06A, 41.18 m²</x:v>
      </x:c>
      <x:c r="V2213" s="6" t="str">
        <x:v>room geometry: area</x:v>
      </x:c>
      <x:c r="W2213" s="6" t="str">
        <x:v>Missing area/ranking tool. Search alone is insufficient.</x:v>
      </x:c>
      <x:c r="X2213" s="6" t="str">
        <x:v>data/dev/osm-way27326387/questions.jsonl</x:v>
      </x:c>
      <x:c r="Y2213" s="14" t="n">
        <x:v>1</x:v>
      </x:c>
      <x:c r="Z2213" s="6" t="str">
        <x:v>https://github.com/hagenhaeussler/Industrial-Agents-Hackathon-2026/blob/f41616590b69f3ea0c1cbfb41d6c35edd9ce53df/data/dev/osm-way27326387/questions.jsonl#L1</x:v>
      </x:c>
      <x:c r="AA2213" s="6" t="str">
        <x:v>osm_indoor</x:v>
      </x:c>
      <x:c r="AB2213" s="6" t="str">
        <x:v>ODbL-1.0</x:v>
      </x:c>
    </x:row>
    <x:row r="2214" ht="72" customHeight="1">
      <x:c r="A2214" s="14" t="n">
        <x:v>2209</x:v>
      </x:c>
      <x:c r="B2214" s="6" t="str">
        <x:v>largest_room</x:v>
      </x:c>
      <x:c r="C2214" s="6" t="str">
        <x:v>Which is the largest lobby on the ground floor, and how big is it in m²? Finish with a line 'Answer: &lt;room name or number&gt;, &lt;area&gt; m²'.</x:v>
      </x:c>
      <x:c r="D2214" s="6" t="str">
        <x:v>00.05.011
Area: 298.1 m²
Space ID: osm-way27917482-F0-S041</x:v>
      </x:c>
      <x:c r="E2214" s="6" t="str">
        <x:v>Reference supplied</x:v>
      </x:c>
      <x:c r="F2214" s="6" t="str">
        <x:v>dev</x:v>
      </x:c>
      <x:c r="G2214" s="6" t="str">
        <x:v>osm-way27917482</x:v>
      </x:c>
      <x:c r="H2214" s="6" t="str">
        <x:v>osm-way27917482-H01</x:v>
      </x:c>
      <x:c r="I2214" s="6" t="str">
        <x:v>Area and room selection</x:v>
      </x:c>
      <x:c r="J2214" s="6" t="str">
        <x:v>Benchmark</x:v>
      </x:c>
      <x:c r="K2214" s="6" t="str">
        <x:v>Answer: &lt;accepted room name or ref&gt;, &lt;area&gt; m²</x:v>
      </x:c>
      <x:c r="L2214" s="6" t="str">
        <x:v>T02, T04, T14</x:v>
      </x:c>
      <x:c r="M2214" s="6" t="str">
        <x:v>Choose the largest room of a specified type on a specified floor and give its area.</x:v>
      </x:c>
      <x:c r="N2214" s="6" t="str">
        <x:v>{"type":"space","space_id":"osm-way27917482-F0-S041","accept":["00.05.011","Rechnerhalle"],"reject":["00.07.023","kleine Rechnerhalle","0.22","Lobby 0.22","0.35","Eingang Nord"],"area":{"type":"number","value":298.1,"unit":"m2","relative_tolerance":0.05,"absolute_tolerance":0}}</x:v>
      </x:c>
      <x:c r="O2214" s="6" t="str">
        <x:v>{"floor_id":"osm-way27917482-F0","room_type":"lobby"}</x:v>
      </x:c>
      <x:c r="P2214" s="6" t="str">
        <x:v>Exact target floor and room_type. Polygon area in m².</x:v>
      </x:c>
      <x:c r="Q2214" s="15" t="n">
        <x:v>298.1</x:v>
      </x:c>
      <x:c r="R2214" s="6" t="str">
        <x:v>m2</x:v>
      </x:c>
      <x:c r="S2214" s="16" t="n">
        <x:v>0.05</x:v>
      </x:c>
      <x:c r="T2214" s="15" t="n">
        <x:v>0</x:v>
      </x:c>
      <x:c r="U2214" s="6" t="str">
        <x:v>Answer: 00.05.011, 298.1 m²</x:v>
      </x:c>
      <x:c r="V2214" s="6" t="str">
        <x:v>room geometry: area</x:v>
      </x:c>
      <x:c r="W2214" s="6" t="str">
        <x:v>Missing area/ranking tool. Search alone is insufficient.</x:v>
      </x:c>
      <x:c r="X2214" s="6" t="str">
        <x:v>data/dev/osm-way27917482/questions.jsonl</x:v>
      </x:c>
      <x:c r="Y2214" s="14" t="n">
        <x:v>1</x:v>
      </x:c>
      <x:c r="Z2214" s="6" t="str">
        <x:v>https://github.com/hagenhaeussler/Industrial-Agents-Hackathon-2026/blob/f41616590b69f3ea0c1cbfb41d6c35edd9ce53df/data/dev/osm-way27917482/questions.jsonl#L1</x:v>
      </x:c>
      <x:c r="AA2214" s="6" t="str">
        <x:v>osm_indoor</x:v>
      </x:c>
      <x:c r="AB2214" s="6" t="str">
        <x:v>ODbL-1.0</x:v>
      </x:c>
    </x:row>
    <x:row r="2215" ht="72" customHeight="1">
      <x:c r="A2215" s="14" t="n">
        <x:v>2210</x:v>
      </x:c>
      <x:c r="B2215" s="6" t="str">
        <x:v>largest_room</x:v>
      </x:c>
      <x:c r="C2215" s="6" t="str">
        <x:v>Which is the largest generic room on the ground floor, and how big is it in m²? Finish with a line 'Answer: &lt;room name or number&gt;, &lt;area&gt; m²'.</x:v>
      </x:c>
      <x:c r="D2215" s="6" t="str">
        <x:v>0.14
Area: 129.93 m²
Space ID: osm-way360544293-F0-S014</x:v>
      </x:c>
      <x:c r="E2215" s="6" t="str">
        <x:v>Reference supplied</x:v>
      </x:c>
      <x:c r="F2215" s="6" t="str">
        <x:v>dev</x:v>
      </x:c>
      <x:c r="G2215" s="6" t="str">
        <x:v>osm-way360544293</x:v>
      </x:c>
      <x:c r="H2215" s="6" t="str">
        <x:v>osm-way360544293-H01</x:v>
      </x:c>
      <x:c r="I2215" s="6" t="str">
        <x:v>Area and room selection</x:v>
      </x:c>
      <x:c r="J2215" s="6" t="str">
        <x:v>Benchmark</x:v>
      </x:c>
      <x:c r="K2215" s="6" t="str">
        <x:v>Answer: &lt;accepted room name or ref&gt;, &lt;area&gt; m²</x:v>
      </x:c>
      <x:c r="L2215" s="6" t="str">
        <x:v>T02, T04, T14</x:v>
      </x:c>
      <x:c r="M2215" s="6" t="str">
        <x:v>Choose the largest room of a specified type on a specified floor and give its area.</x:v>
      </x:c>
      <x:c r="N2215" s="6" t="str">
        <x:v>{"type":"space","space_id":"osm-way360544293-F0-S014","accept":["0.14","Edeka"],"reject":["0.04","Generic room 0.04","0.05","Generic room 0.05","0.11","Generic room 0.11"],"area":{"type":"number","value":129.93,"unit":"m2","relative_tolerance":0.05,"absolute_tolerance":0}}</x:v>
      </x:c>
      <x:c r="O2215" s="6" t="str">
        <x:v>{"floor_id":"osm-way360544293-F0","room_type":"generic_room"}</x:v>
      </x:c>
      <x:c r="P2215" s="6" t="str">
        <x:v>Exact target floor and room_type. Polygon area in m².</x:v>
      </x:c>
      <x:c r="Q2215" s="15" t="n">
        <x:v>129.93</x:v>
      </x:c>
      <x:c r="R2215" s="6" t="str">
        <x:v>m2</x:v>
      </x:c>
      <x:c r="S2215" s="16" t="n">
        <x:v>0.05</x:v>
      </x:c>
      <x:c r="T2215" s="15" t="n">
        <x:v>0</x:v>
      </x:c>
      <x:c r="U2215" s="6" t="str">
        <x:v>Answer: 0.14, 129.93 m²</x:v>
      </x:c>
      <x:c r="V2215" s="6" t="str">
        <x:v>room geometry: area</x:v>
      </x:c>
      <x:c r="W2215" s="6" t="str">
        <x:v>Missing area/ranking tool. Search alone is insufficient.</x:v>
      </x:c>
      <x:c r="X2215" s="6" t="str">
        <x:v>data/dev/osm-way360544293/questions.jsonl</x:v>
      </x:c>
      <x:c r="Y2215" s="14" t="n">
        <x:v>1</x:v>
      </x:c>
      <x:c r="Z2215" s="6" t="str">
        <x:v>https://github.com/hagenhaeussler/Industrial-Agents-Hackathon-2026/blob/f41616590b69f3ea0c1cbfb41d6c35edd9ce53df/data/dev/osm-way360544293/questions.jsonl#L1</x:v>
      </x:c>
      <x:c r="AA2215" s="6" t="str">
        <x:v>osm_indoor</x:v>
      </x:c>
      <x:c r="AB2215" s="6" t="str">
        <x:v>ODbL-1.0</x:v>
      </x:c>
    </x:row>
    <x:row r="2216" ht="72" customHeight="1">
      <x:c r="A2216" s="14" t="n">
        <x:v>2211</x:v>
      </x:c>
      <x:c r="B2216" s="6" t="str">
        <x:v>largest_room</x:v>
      </x:c>
      <x:c r="C2216" s="6" t="str">
        <x:v>Which is the largest office on the floor 3, and how big is it in m²? Finish with a line 'Answer: &lt;room name or number&gt;, &lt;area&gt; m²'.</x:v>
      </x:c>
      <x:c r="D2216" s="6" t="str">
        <x:v>3.07
Area: 41.28 m²
Space ID: proc-campus-dev-000-F3-S007</x:v>
      </x:c>
      <x:c r="E2216" s="6" t="str">
        <x:v>Reference supplied</x:v>
      </x:c>
      <x:c r="F2216" s="6" t="str">
        <x:v>dev</x:v>
      </x:c>
      <x:c r="G2216" s="6" t="str">
        <x:v>proc-campus-dev-000</x:v>
      </x:c>
      <x:c r="H2216" s="6" t="str">
        <x:v>proc-campus-dev-000-H01</x:v>
      </x:c>
      <x:c r="I2216" s="6" t="str">
        <x:v>Area and room selection</x:v>
      </x:c>
      <x:c r="J2216" s="6" t="str">
        <x:v>Benchmark</x:v>
      </x:c>
      <x:c r="K2216" s="6" t="str">
        <x:v>Answer: &lt;accepted room name or ref&gt;, &lt;area&gt; m²</x:v>
      </x:c>
      <x:c r="L2216" s="6" t="str">
        <x:v>T02, T04, T14</x:v>
      </x:c>
      <x:c r="M2216" s="6" t="str">
        <x:v>Choose the largest room of a specified type on a specified floor and give its area.</x:v>
      </x:c>
      <x:c r="N2216" s="6" t="str">
        <x:v>{"type":"space","space_id":"proc-campus-dev-000-F3-S007","accept":["3.07","Office 3.07"],"reject":["3.08","Office 3.08","3.31","Office 3.31","3.30","Office 3.30"],"area":{"type":"number","value":41.28,"unit":"m2","relative_tolerance":0.05,"absolute_tolerance":0}}</x:v>
      </x:c>
      <x:c r="O2216" s="6" t="str">
        <x:v>{"floor_id":"proc-campus-dev-000-F3","room_type":"office"}</x:v>
      </x:c>
      <x:c r="P2216" s="6" t="str">
        <x:v>Exact target floor and room_type. Polygon area in m².</x:v>
      </x:c>
      <x:c r="Q2216" s="15" t="n">
        <x:v>41.28</x:v>
      </x:c>
      <x:c r="R2216" s="6" t="str">
        <x:v>m2</x:v>
      </x:c>
      <x:c r="S2216" s="16" t="n">
        <x:v>0.05</x:v>
      </x:c>
      <x:c r="T2216" s="15" t="n">
        <x:v>0</x:v>
      </x:c>
      <x:c r="U2216" s="6" t="str">
        <x:v>Answer: 3.07, 41.28 m²</x:v>
      </x:c>
      <x:c r="V2216" s="6" t="str">
        <x:v>room geometry: area</x:v>
      </x:c>
      <x:c r="W2216" s="6" t="str">
        <x:v>Missing area/ranking tool. Search alone is insufficient.</x:v>
      </x:c>
      <x:c r="X2216" s="6" t="str">
        <x:v>data/dev/proc-campus-dev-000/questions.jsonl</x:v>
      </x:c>
      <x:c r="Y2216" s="14" t="n">
        <x:v>1</x:v>
      </x:c>
      <x:c r="Z2216" s="6" t="str">
        <x:v>https://github.com/hagenhaeussler/Industrial-Agents-Hackathon-2026/blob/f41616590b69f3ea0c1cbfb41d6c35edd9ce53df/data/dev/proc-campus-dev-000/questions.jsonl#L1</x:v>
      </x:c>
      <x:c r="AA2216" s="6" t="str">
        <x:v>procedural</x:v>
      </x:c>
      <x:c r="AB2216" s="6" t="str">
        <x:v>CC0-1.0</x:v>
      </x:c>
    </x:row>
    <x:row r="2217" ht="72" customHeight="1">
      <x:c r="A2217" s="14" t="n">
        <x:v>2212</x:v>
      </x:c>
      <x:c r="B2217" s="6" t="str">
        <x:v>largest_room</x:v>
      </x:c>
      <x:c r="C2217" s="6" t="str">
        <x:v>Which is the largest storage on the floor 2, and how big is it in m²? Finish with a line 'Answer: &lt;room name or number&gt;, &lt;area&gt; m²'.</x:v>
      </x:c>
      <x:c r="D2217" s="6" t="str">
        <x:v>2.06
Area: 33.96 m²
Space ID: proc-campus-dev-001-F2-S006</x:v>
      </x:c>
      <x:c r="E2217" s="6" t="str">
        <x:v>Reference supplied</x:v>
      </x:c>
      <x:c r="F2217" s="6" t="str">
        <x:v>dev</x:v>
      </x:c>
      <x:c r="G2217" s="6" t="str">
        <x:v>proc-campus-dev-001</x:v>
      </x:c>
      <x:c r="H2217" s="6" t="str">
        <x:v>proc-campus-dev-001-H01</x:v>
      </x:c>
      <x:c r="I2217" s="6" t="str">
        <x:v>Area and room selection</x:v>
      </x:c>
      <x:c r="J2217" s="6" t="str">
        <x:v>Benchmark</x:v>
      </x:c>
      <x:c r="K2217" s="6" t="str">
        <x:v>Answer: &lt;accepted room name or ref&gt;, &lt;area&gt; m²</x:v>
      </x:c>
      <x:c r="L2217" s="6" t="str">
        <x:v>T02, T04, T14</x:v>
      </x:c>
      <x:c r="M2217" s="6" t="str">
        <x:v>Choose the largest room of a specified type on a specified floor and give its area.</x:v>
      </x:c>
      <x:c r="N2217" s="6" t="str">
        <x:v>{"type":"space","space_id":"proc-campus-dev-001-F2-S006","accept":["2.06","Storage 2.06"],"reject":["2.09","Storage 2.09","2.18","Storage 2.18","2.19","Storage 2.19"],"area":{"type":"number","value":33.96,"unit":"m2","relative_tolerance":0.05,"absolute_tolerance":0}}</x:v>
      </x:c>
      <x:c r="O2217" s="6" t="str">
        <x:v>{"floor_id":"proc-campus-dev-001-F2","room_type":"storage"}</x:v>
      </x:c>
      <x:c r="P2217" s="6" t="str">
        <x:v>Exact target floor and room_type. Polygon area in m².</x:v>
      </x:c>
      <x:c r="Q2217" s="15" t="n">
        <x:v>33.96</x:v>
      </x:c>
      <x:c r="R2217" s="6" t="str">
        <x:v>m2</x:v>
      </x:c>
      <x:c r="S2217" s="16" t="n">
        <x:v>0.05</x:v>
      </x:c>
      <x:c r="T2217" s="15" t="n">
        <x:v>0</x:v>
      </x:c>
      <x:c r="U2217" s="6" t="str">
        <x:v>Answer: 2.06, 33.96 m²</x:v>
      </x:c>
      <x:c r="V2217" s="6" t="str">
        <x:v>room geometry: area</x:v>
      </x:c>
      <x:c r="W2217" s="6" t="str">
        <x:v>Missing area/ranking tool. Search alone is insufficient.</x:v>
      </x:c>
      <x:c r="X2217" s="6" t="str">
        <x:v>data/dev/proc-campus-dev-001/questions.jsonl</x:v>
      </x:c>
      <x:c r="Y2217" s="14" t="n">
        <x:v>1</x:v>
      </x:c>
      <x:c r="Z2217" s="6" t="str">
        <x:v>https://github.com/hagenhaeussler/Industrial-Agents-Hackathon-2026/blob/f41616590b69f3ea0c1cbfb41d6c35edd9ce53df/data/dev/proc-campus-dev-001/questions.jsonl#L1</x:v>
      </x:c>
      <x:c r="AA2217" s="6" t="str">
        <x:v>procedural</x:v>
      </x:c>
      <x:c r="AB2217" s="6" t="str">
        <x:v>CC0-1.0</x:v>
      </x:c>
    </x:row>
    <x:row r="2218" ht="72" customHeight="1">
      <x:c r="A2218" s="14" t="n">
        <x:v>2213</x:v>
      </x:c>
      <x:c r="B2218" s="6" t="str">
        <x:v>largest_room</x:v>
      </x:c>
      <x:c r="C2218" s="6" t="str">
        <x:v>Which is the largest toilet on the floor 5, and how big is it in m²? Finish with a line 'Answer: &lt;room name or number&gt;, &lt;area&gt; m²'.</x:v>
      </x:c>
      <x:c r="D2218" s="6" t="str">
        <x:v>5.26
Area: 29.94 m²
Space ID: proc-campus-dev-009-F5-S026</x:v>
      </x:c>
      <x:c r="E2218" s="6" t="str">
        <x:v>Reference supplied</x:v>
      </x:c>
      <x:c r="F2218" s="6" t="str">
        <x:v>dev</x:v>
      </x:c>
      <x:c r="G2218" s="6" t="str">
        <x:v>proc-campus-dev-009</x:v>
      </x:c>
      <x:c r="H2218" s="6" t="str">
        <x:v>proc-campus-dev-009-H01</x:v>
      </x:c>
      <x:c r="I2218" s="6" t="str">
        <x:v>Area and room selection</x:v>
      </x:c>
      <x:c r="J2218" s="6" t="str">
        <x:v>Benchmark</x:v>
      </x:c>
      <x:c r="K2218" s="6" t="str">
        <x:v>Answer: &lt;accepted room name or ref&gt;, &lt;area&gt; m²</x:v>
      </x:c>
      <x:c r="L2218" s="6" t="str">
        <x:v>T02, T04, T14</x:v>
      </x:c>
      <x:c r="M2218" s="6" t="str">
        <x:v>Choose the largest room of a specified type on a specified floor and give its area.</x:v>
      </x:c>
      <x:c r="N2218" s="6" t="str">
        <x:v>{"type":"space","space_id":"proc-campus-dev-009-F5-S026","accept":["5.26","Toilet 5.26"],"reject":["5.32","Toilet 5.32","5.22","Toilet 5.22"],"area":{"type":"number","value":29.94,"unit":"m2","relative_tolerance":0.05,"absolute_tolerance":0}}</x:v>
      </x:c>
      <x:c r="O2218" s="6" t="str">
        <x:v>{"floor_id":"proc-campus-dev-009-F5","room_type":"toilet"}</x:v>
      </x:c>
      <x:c r="P2218" s="6" t="str">
        <x:v>Exact target floor and room_type. Polygon area in m².</x:v>
      </x:c>
      <x:c r="Q2218" s="15" t="n">
        <x:v>29.94</x:v>
      </x:c>
      <x:c r="R2218" s="6" t="str">
        <x:v>m2</x:v>
      </x:c>
      <x:c r="S2218" s="16" t="n">
        <x:v>0.05</x:v>
      </x:c>
      <x:c r="T2218" s="15" t="n">
        <x:v>0</x:v>
      </x:c>
      <x:c r="U2218" s="6" t="str">
        <x:v>Answer: 5.26, 29.94 m²</x:v>
      </x:c>
      <x:c r="V2218" s="6" t="str">
        <x:v>room geometry: area</x:v>
      </x:c>
      <x:c r="W2218" s="6" t="str">
        <x:v>Missing area/ranking tool. Search alone is insufficient.</x:v>
      </x:c>
      <x:c r="X2218" s="6" t="str">
        <x:v>data/dev/proc-campus-dev-009/questions.jsonl</x:v>
      </x:c>
      <x:c r="Y2218" s="14" t="n">
        <x:v>1</x:v>
      </x:c>
      <x:c r="Z2218" s="6" t="str">
        <x:v>https://github.com/hagenhaeussler/Industrial-Agents-Hackathon-2026/blob/f41616590b69f3ea0c1cbfb41d6c35edd9ce53df/data/dev/proc-campus-dev-009/questions.jsonl#L1</x:v>
      </x:c>
      <x:c r="AA2218" s="6" t="str">
        <x:v>procedural</x:v>
      </x:c>
      <x:c r="AB2218" s="6" t="str">
        <x:v>CC0-1.0</x:v>
      </x:c>
    </x:row>
    <x:row r="2219" ht="72" customHeight="1">
      <x:c r="A2219" s="14" t="n">
        <x:v>2214</x:v>
      </x:c>
      <x:c r="B2219" s="6" t="str">
        <x:v>largest_room</x:v>
      </x:c>
      <x:c r="C2219" s="6" t="str">
        <x:v>Which is the largest kitchen on the floor 1, and how big is it in m²? Finish with a line 'Answer: &lt;room name or number&gt;, &lt;area&gt; m²'.</x:v>
      </x:c>
      <x:c r="D2219" s="6" t="str">
        <x:v>1.14
Area: 28 m²
Space ID: proc-factory-dev-003-F1-S014</x:v>
      </x:c>
      <x:c r="E2219" s="6" t="str">
        <x:v>Reference supplied</x:v>
      </x:c>
      <x:c r="F2219" s="6" t="str">
        <x:v>dev</x:v>
      </x:c>
      <x:c r="G2219" s="6" t="str">
        <x:v>proc-factory-dev-003</x:v>
      </x:c>
      <x:c r="H2219" s="6" t="str">
        <x:v>proc-factory-dev-003-H01</x:v>
      </x:c>
      <x:c r="I2219" s="6" t="str">
        <x:v>Area and room selection</x:v>
      </x:c>
      <x:c r="J2219" s="6" t="str">
        <x:v>Benchmark</x:v>
      </x:c>
      <x:c r="K2219" s="6" t="str">
        <x:v>Answer: &lt;accepted room name or ref&gt;, &lt;area&gt; m²</x:v>
      </x:c>
      <x:c r="L2219" s="6" t="str">
        <x:v>T02, T04, T14</x:v>
      </x:c>
      <x:c r="M2219" s="6" t="str">
        <x:v>Choose the largest room of a specified type on a specified floor and give its area.</x:v>
      </x:c>
      <x:c r="N2219" s="6" t="str">
        <x:v>{"type":"space","space_id":"proc-factory-dev-003-F1-S014","accept":["1.14","Kitchen 1.14"],"reject":["1.28","Kitchen 1.28","1.07","Kitchen 1.07","1.27","Kitchen 1.27"],"area":{"type":"number","value":28,"unit":"m2","relative_tolerance":0.05,"absolute_tolerance":0}}</x:v>
      </x:c>
      <x:c r="O2219" s="6" t="str">
        <x:v>{"floor_id":"proc-factory-dev-003-F1","room_type":"kitchen"}</x:v>
      </x:c>
      <x:c r="P2219" s="6" t="str">
        <x:v>Exact target floor and room_type. Polygon area in m².</x:v>
      </x:c>
      <x:c r="Q2219" s="15" t="n">
        <x:v>28</x:v>
      </x:c>
      <x:c r="R2219" s="6" t="str">
        <x:v>m2</x:v>
      </x:c>
      <x:c r="S2219" s="16" t="n">
        <x:v>0.05</x:v>
      </x:c>
      <x:c r="T2219" s="15" t="n">
        <x:v>0</x:v>
      </x:c>
      <x:c r="U2219" s="6" t="str">
        <x:v>Answer: 1.14, 28 m²</x:v>
      </x:c>
      <x:c r="V2219" s="6" t="str">
        <x:v>room geometry: area</x:v>
      </x:c>
      <x:c r="W2219" s="6" t="str">
        <x:v>Missing area/ranking tool. Search alone is insufficient.</x:v>
      </x:c>
      <x:c r="X2219" s="6" t="str">
        <x:v>data/dev/proc-factory-dev-003/questions.jsonl</x:v>
      </x:c>
      <x:c r="Y2219" s="14" t="n">
        <x:v>1</x:v>
      </x:c>
      <x:c r="Z2219" s="6" t="str">
        <x:v>https://github.com/hagenhaeussler/Industrial-Agents-Hackathon-2026/blob/f41616590b69f3ea0c1cbfb41d6c35edd9ce53df/data/dev/proc-factory-dev-003/questions.jsonl#L1</x:v>
      </x:c>
      <x:c r="AA2219" s="6" t="str">
        <x:v>procedural</x:v>
      </x:c>
      <x:c r="AB2219" s="6" t="str">
        <x:v>CC0-1.0</x:v>
      </x:c>
    </x:row>
    <x:row r="2220" ht="72" customHeight="1">
      <x:c r="A2220" s="14" t="n">
        <x:v>2215</x:v>
      </x:c>
      <x:c r="B2220" s="6" t="str">
        <x:v>largest_room</x:v>
      </x:c>
      <x:c r="C2220" s="6" t="str">
        <x:v>Which is the largest meeting room on the ground floor, and how big is it in m²? Finish with a line 'Answer: &lt;room name or number&gt;, &lt;area&gt; m²'.</x:v>
      </x:c>
      <x:c r="D2220" s="6" t="str">
        <x:v>0.26
Area: 29.7 m²
Space ID: proc-factory-dev-005-F0-S026</x:v>
      </x:c>
      <x:c r="E2220" s="6" t="str">
        <x:v>Reference supplied</x:v>
      </x:c>
      <x:c r="F2220" s="6" t="str">
        <x:v>dev</x:v>
      </x:c>
      <x:c r="G2220" s="6" t="str">
        <x:v>proc-factory-dev-005</x:v>
      </x:c>
      <x:c r="H2220" s="6" t="str">
        <x:v>proc-factory-dev-005-H01</x:v>
      </x:c>
      <x:c r="I2220" s="6" t="str">
        <x:v>Area and room selection</x:v>
      </x:c>
      <x:c r="J2220" s="6" t="str">
        <x:v>Benchmark</x:v>
      </x:c>
      <x:c r="K2220" s="6" t="str">
        <x:v>Answer: &lt;accepted room name or ref&gt;, &lt;area&gt; m²</x:v>
      </x:c>
      <x:c r="L2220" s="6" t="str">
        <x:v>T02, T04, T14</x:v>
      </x:c>
      <x:c r="M2220" s="6" t="str">
        <x:v>Choose the largest room of a specified type on a specified floor and give its area.</x:v>
      </x:c>
      <x:c r="N2220" s="6" t="str">
        <x:v>{"type":"space","space_id":"proc-factory-dev-005-F0-S026","accept":["0.26","Meeting room 0.26"],"reject":["0.28","Meeting room 0.28","0.45","Meeting room 0.45","0.56","Meeting room 0.56"],"area":{"type":"number","value":29.7,"unit":"m2","relative_tolerance":0.05,"absolute_tolerance":0}}</x:v>
      </x:c>
      <x:c r="O2220" s="6" t="str">
        <x:v>{"floor_id":"proc-factory-dev-005-F0","room_type":"meeting_room"}</x:v>
      </x:c>
      <x:c r="P2220" s="6" t="str">
        <x:v>Exact target floor and room_type. Polygon area in m².</x:v>
      </x:c>
      <x:c r="Q2220" s="15" t="n">
        <x:v>29.7</x:v>
      </x:c>
      <x:c r="R2220" s="6" t="str">
        <x:v>m2</x:v>
      </x:c>
      <x:c r="S2220" s="16" t="n">
        <x:v>0.05</x:v>
      </x:c>
      <x:c r="T2220" s="15" t="n">
        <x:v>0</x:v>
      </x:c>
      <x:c r="U2220" s="6" t="str">
        <x:v>Answer: 0.26, 29.7 m²</x:v>
      </x:c>
      <x:c r="V2220" s="6" t="str">
        <x:v>room geometry: area</x:v>
      </x:c>
      <x:c r="W2220" s="6" t="str">
        <x:v>Missing area/ranking tool. Search alone is insufficient.</x:v>
      </x:c>
      <x:c r="X2220" s="6" t="str">
        <x:v>data/dev/proc-factory-dev-005/questions.jsonl</x:v>
      </x:c>
      <x:c r="Y2220" s="14" t="n">
        <x:v>1</x:v>
      </x:c>
      <x:c r="Z2220" s="6" t="str">
        <x:v>https://github.com/hagenhaeussler/Industrial-Agents-Hackathon-2026/blob/f41616590b69f3ea0c1cbfb41d6c35edd9ce53df/data/dev/proc-factory-dev-005/questions.jsonl#L1</x:v>
      </x:c>
      <x:c r="AA2220" s="6" t="str">
        <x:v>procedural</x:v>
      </x:c>
      <x:c r="AB2220" s="6" t="str">
        <x:v>CC0-1.0</x:v>
      </x:c>
    </x:row>
    <x:row r="2221" ht="72" customHeight="1">
      <x:c r="A2221" s="14" t="n">
        <x:v>2216</x:v>
      </x:c>
      <x:c r="B2221" s="6" t="str">
        <x:v>largest_room</x:v>
      </x:c>
      <x:c r="C2221" s="6" t="str">
        <x:v>Which is the largest server room on the ground floor, and how big is it in m²? Finish with a line 'Answer: &lt;room name or number&gt;, &lt;area&gt; m²'.</x:v>
      </x:c>
      <x:c r="D2221" s="6" t="str">
        <x:v>0.15
Area: 28.9 m²
Space ID: proc-factory-dev-007-F0-S015</x:v>
      </x:c>
      <x:c r="E2221" s="6" t="str">
        <x:v>Reference supplied</x:v>
      </x:c>
      <x:c r="F2221" s="6" t="str">
        <x:v>dev</x:v>
      </x:c>
      <x:c r="G2221" s="6" t="str">
        <x:v>proc-factory-dev-007</x:v>
      </x:c>
      <x:c r="H2221" s="6" t="str">
        <x:v>proc-factory-dev-007-H01</x:v>
      </x:c>
      <x:c r="I2221" s="6" t="str">
        <x:v>Area and room selection</x:v>
      </x:c>
      <x:c r="J2221" s="6" t="str">
        <x:v>Benchmark</x:v>
      </x:c>
      <x:c r="K2221" s="6" t="str">
        <x:v>Answer: &lt;accepted room name or ref&gt;, &lt;area&gt; m²</x:v>
      </x:c>
      <x:c r="L2221" s="6" t="str">
        <x:v>T02, T04, T14</x:v>
      </x:c>
      <x:c r="M2221" s="6" t="str">
        <x:v>Choose the largest room of a specified type on a specified floor and give its area.</x:v>
      </x:c>
      <x:c r="N2221" s="6" t="str">
        <x:v>{"type":"space","space_id":"proc-factory-dev-007-F0-S015","accept":["0.15","Server room 0.15"],"reject":["0.18","Server room 0.18","0.27","Server room 0.27","0.14","Server room 0.14"],"area":{"type":"number","value":28.9,"unit":"m2","relative_tolerance":0.05,"absolute_tolerance":0}}</x:v>
      </x:c>
      <x:c r="O2221" s="6" t="str">
        <x:v>{"floor_id":"proc-factory-dev-007-F0","room_type":"server_room"}</x:v>
      </x:c>
      <x:c r="P2221" s="6" t="str">
        <x:v>Exact target floor and room_type. Polygon area in m².</x:v>
      </x:c>
      <x:c r="Q2221" s="15" t="n">
        <x:v>28.9</x:v>
      </x:c>
      <x:c r="R2221" s="6" t="str">
        <x:v>m2</x:v>
      </x:c>
      <x:c r="S2221" s="16" t="n">
        <x:v>0.05</x:v>
      </x:c>
      <x:c r="T2221" s="15" t="n">
        <x:v>0</x:v>
      </x:c>
      <x:c r="U2221" s="6" t="str">
        <x:v>Answer: 0.15, 28.9 m²</x:v>
      </x:c>
      <x:c r="V2221" s="6" t="str">
        <x:v>room geometry: area</x:v>
      </x:c>
      <x:c r="W2221" s="6" t="str">
        <x:v>Missing area/ranking tool. Search alone is insufficient.</x:v>
      </x:c>
      <x:c r="X2221" s="6" t="str">
        <x:v>data/dev/proc-factory-dev-007/questions.jsonl</x:v>
      </x:c>
      <x:c r="Y2221" s="14" t="n">
        <x:v>1</x:v>
      </x:c>
      <x:c r="Z2221" s="6" t="str">
        <x:v>https://github.com/hagenhaeussler/Industrial-Agents-Hackathon-2026/blob/f41616590b69f3ea0c1cbfb41d6c35edd9ce53df/data/dev/proc-factory-dev-007/questions.jsonl#L1</x:v>
      </x:c>
      <x:c r="AA2221" s="6" t="str">
        <x:v>procedural</x:v>
      </x:c>
      <x:c r="AB2221" s="6" t="str">
        <x:v>CC0-1.0</x:v>
      </x:c>
    </x:row>
    <x:row r="2222" ht="72" customHeight="1">
      <x:c r="A2222" s="14" t="n">
        <x:v>2217</x:v>
      </x:c>
      <x:c r="B2222" s="6" t="str">
        <x:v>largest_room</x:v>
      </x:c>
      <x:c r="C2222" s="6" t="str">
        <x:v>Which is the largest kitchen on the floor 1, and how big is it in m²? Finish with a line 'Answer: &lt;room name or number&gt;, &lt;area&gt; m²'.</x:v>
      </x:c>
      <x:c r="D2222" s="6" t="str">
        <x:v>1.10
Area: 22.4 m²
Space ID: proc-factory-dev-008-F1-S010</x:v>
      </x:c>
      <x:c r="E2222" s="6" t="str">
        <x:v>Reference supplied</x:v>
      </x:c>
      <x:c r="F2222" s="6" t="str">
        <x:v>dev</x:v>
      </x:c>
      <x:c r="G2222" s="6" t="str">
        <x:v>proc-factory-dev-008</x:v>
      </x:c>
      <x:c r="H2222" s="6" t="str">
        <x:v>proc-factory-dev-008-H01</x:v>
      </x:c>
      <x:c r="I2222" s="6" t="str">
        <x:v>Area and room selection</x:v>
      </x:c>
      <x:c r="J2222" s="6" t="str">
        <x:v>Benchmark</x:v>
      </x:c>
      <x:c r="K2222" s="6" t="str">
        <x:v>Answer: &lt;accepted room name or ref&gt;, &lt;area&gt; m²</x:v>
      </x:c>
      <x:c r="L2222" s="6" t="str">
        <x:v>T02, T04, T14</x:v>
      </x:c>
      <x:c r="M2222" s="6" t="str">
        <x:v>Choose the largest room of a specified type on a specified floor and give its area.</x:v>
      </x:c>
      <x:c r="N2222" s="6" t="str">
        <x:v>{"type":"space","space_id":"proc-factory-dev-008-F1-S010","accept":["1.10","Kitchen 1.10"],"reject":["1.22","Kitchen 1.22","1.26","Kitchen 1.26"],"area":{"type":"number","value":22.4,"unit":"m2","relative_tolerance":0.05,"absolute_tolerance":0}}</x:v>
      </x:c>
      <x:c r="O2222" s="6" t="str">
        <x:v>{"floor_id":"proc-factory-dev-008-F1","room_type":"kitchen"}</x:v>
      </x:c>
      <x:c r="P2222" s="6" t="str">
        <x:v>Exact target floor and room_type. Polygon area in m².</x:v>
      </x:c>
      <x:c r="Q2222" s="15" t="n">
        <x:v>22.4</x:v>
      </x:c>
      <x:c r="R2222" s="6" t="str">
        <x:v>m2</x:v>
      </x:c>
      <x:c r="S2222" s="16" t="n">
        <x:v>0.05</x:v>
      </x:c>
      <x:c r="T2222" s="15" t="n">
        <x:v>0</x:v>
      </x:c>
      <x:c r="U2222" s="6" t="str">
        <x:v>Answer: 1.10, 22.4 m²</x:v>
      </x:c>
      <x:c r="V2222" s="6" t="str">
        <x:v>room geometry: area</x:v>
      </x:c>
      <x:c r="W2222" s="6" t="str">
        <x:v>Missing area/ranking tool. Search alone is insufficient.</x:v>
      </x:c>
      <x:c r="X2222" s="6" t="str">
        <x:v>data/dev/proc-factory-dev-008/questions.jsonl</x:v>
      </x:c>
      <x:c r="Y2222" s="14" t="n">
        <x:v>1</x:v>
      </x:c>
      <x:c r="Z2222" s="6" t="str">
        <x:v>https://github.com/hagenhaeussler/Industrial-Agents-Hackathon-2026/blob/f41616590b69f3ea0c1cbfb41d6c35edd9ce53df/data/dev/proc-factory-dev-008/questions.jsonl#L1</x:v>
      </x:c>
      <x:c r="AA2222" s="6" t="str">
        <x:v>procedural</x:v>
      </x:c>
      <x:c r="AB2222" s="6" t="str">
        <x:v>CC0-1.0</x:v>
      </x:c>
    </x:row>
    <x:row r="2223" ht="72" customHeight="1">
      <x:c r="A2223" s="14" t="n">
        <x:v>2218</x:v>
      </x:c>
      <x:c r="B2223" s="6" t="str">
        <x:v>largest_room</x:v>
      </x:c>
      <x:c r="C2223" s="6" t="str">
        <x:v>Which is the largest office on the floor 1, and how big is it in m²? Finish with a line 'Answer: &lt;room name or number&gt;, &lt;area&gt; m²'.</x:v>
      </x:c>
      <x:c r="D2223" s="6" t="str">
        <x:v>1.08
Area: 28.95 m²
Space ID: proc-factory-dev-010-F1-S008</x:v>
      </x:c>
      <x:c r="E2223" s="6" t="str">
        <x:v>Reference supplied</x:v>
      </x:c>
      <x:c r="F2223" s="6" t="str">
        <x:v>dev</x:v>
      </x:c>
      <x:c r="G2223" s="6" t="str">
        <x:v>proc-factory-dev-010</x:v>
      </x:c>
      <x:c r="H2223" s="6" t="str">
        <x:v>proc-factory-dev-010-H01</x:v>
      </x:c>
      <x:c r="I2223" s="6" t="str">
        <x:v>Area and room selection</x:v>
      </x:c>
      <x:c r="J2223" s="6" t="str">
        <x:v>Benchmark</x:v>
      </x:c>
      <x:c r="K2223" s="6" t="str">
        <x:v>Answer: &lt;accepted room name or ref&gt;, &lt;area&gt; m²</x:v>
      </x:c>
      <x:c r="L2223" s="6" t="str">
        <x:v>T02, T04, T14</x:v>
      </x:c>
      <x:c r="M2223" s="6" t="str">
        <x:v>Choose the largest room of a specified type on a specified floor and give its area.</x:v>
      </x:c>
      <x:c r="N2223" s="6" t="str">
        <x:v>{"type":"space","space_id":"proc-factory-dev-010-F1-S008","accept":["1.08","Office 1.08"],"reject":["1.10","Office 1.10","1.05","Office 1.05","1.18","Office 1.18"],"area":{"type":"number","value":28.95,"unit":"m2","relative_tolerance":0.05,"absolute_tolerance":0}}</x:v>
      </x:c>
      <x:c r="O2223" s="6" t="str">
        <x:v>{"floor_id":"proc-factory-dev-010-F1","room_type":"office"}</x:v>
      </x:c>
      <x:c r="P2223" s="6" t="str">
        <x:v>Exact target floor and room_type. Polygon area in m².</x:v>
      </x:c>
      <x:c r="Q2223" s="15" t="n">
        <x:v>28.95</x:v>
      </x:c>
      <x:c r="R2223" s="6" t="str">
        <x:v>m2</x:v>
      </x:c>
      <x:c r="S2223" s="16" t="n">
        <x:v>0.05</x:v>
      </x:c>
      <x:c r="T2223" s="15" t="n">
        <x:v>0</x:v>
      </x:c>
      <x:c r="U2223" s="6" t="str">
        <x:v>Answer: 1.08, 28.95 m²</x:v>
      </x:c>
      <x:c r="V2223" s="6" t="str">
        <x:v>room geometry: area</x:v>
      </x:c>
      <x:c r="W2223" s="6" t="str">
        <x:v>Missing area/ranking tool. Search alone is insufficient.</x:v>
      </x:c>
      <x:c r="X2223" s="6" t="str">
        <x:v>data/dev/proc-factory-dev-010/questions.jsonl</x:v>
      </x:c>
      <x:c r="Y2223" s="14" t="n">
        <x:v>1</x:v>
      </x:c>
      <x:c r="Z2223" s="6" t="str">
        <x:v>https://github.com/hagenhaeussler/Industrial-Agents-Hackathon-2026/blob/f41616590b69f3ea0c1cbfb41d6c35edd9ce53df/data/dev/proc-factory-dev-010/questions.jsonl#L1</x:v>
      </x:c>
      <x:c r="AA2223" s="6" t="str">
        <x:v>procedural</x:v>
      </x:c>
      <x:c r="AB2223" s="6" t="str">
        <x:v>CC0-1.0</x:v>
      </x:c>
    </x:row>
    <x:row r="2224" ht="72" customHeight="1">
      <x:c r="A2224" s="14" t="n">
        <x:v>2219</x:v>
      </x:c>
      <x:c r="B2224" s="6" t="str">
        <x:v>largest_room</x:v>
      </x:c>
      <x:c r="C2224" s="6" t="str">
        <x:v>Which is the largest kitchen on the floor 2, and how big is it in m²? Finish with a line 'Answer: &lt;room name or number&gt;, &lt;area&gt; m²'.</x:v>
      </x:c>
      <x:c r="D2224" s="6" t="str">
        <x:v>2.13
Area: 29.7 m²
Space ID: proc-factory-dev-011-F2-S013</x:v>
      </x:c>
      <x:c r="E2224" s="6" t="str">
        <x:v>Reference supplied</x:v>
      </x:c>
      <x:c r="F2224" s="6" t="str">
        <x:v>dev</x:v>
      </x:c>
      <x:c r="G2224" s="6" t="str">
        <x:v>proc-factory-dev-011</x:v>
      </x:c>
      <x:c r="H2224" s="6" t="str">
        <x:v>proc-factory-dev-011-H01</x:v>
      </x:c>
      <x:c r="I2224" s="6" t="str">
        <x:v>Area and room selection</x:v>
      </x:c>
      <x:c r="J2224" s="6" t="str">
        <x:v>Benchmark</x:v>
      </x:c>
      <x:c r="K2224" s="6" t="str">
        <x:v>Answer: &lt;accepted room name or ref&gt;, &lt;area&gt; m²</x:v>
      </x:c>
      <x:c r="L2224" s="6" t="str">
        <x:v>T02, T04, T14</x:v>
      </x:c>
      <x:c r="M2224" s="6" t="str">
        <x:v>Choose the largest room of a specified type on a specified floor and give its area.</x:v>
      </x:c>
      <x:c r="N2224" s="6" t="str">
        <x:v>{"type":"space","space_id":"proc-factory-dev-011-F2-S013","accept":["2.13","Kitchen 2.13"],"reject":["2.37","Kitchen 2.37","2.06","Kitchen 2.06","2.26","Kitchen 2.26"],"area":{"type":"number","value":29.7,"unit":"m2","relative_tolerance":0.05,"absolute_tolerance":0}}</x:v>
      </x:c>
      <x:c r="O2224" s="6" t="str">
        <x:v>{"floor_id":"proc-factory-dev-011-F2","room_type":"kitchen"}</x:v>
      </x:c>
      <x:c r="P2224" s="6" t="str">
        <x:v>Exact target floor and room_type. Polygon area in m².</x:v>
      </x:c>
      <x:c r="Q2224" s="15" t="n">
        <x:v>29.7</x:v>
      </x:c>
      <x:c r="R2224" s="6" t="str">
        <x:v>m2</x:v>
      </x:c>
      <x:c r="S2224" s="16" t="n">
        <x:v>0.05</x:v>
      </x:c>
      <x:c r="T2224" s="15" t="n">
        <x:v>0</x:v>
      </x:c>
      <x:c r="U2224" s="6" t="str">
        <x:v>Answer: 2.13, 29.7 m²</x:v>
      </x:c>
      <x:c r="V2224" s="6" t="str">
        <x:v>room geometry: area</x:v>
      </x:c>
      <x:c r="W2224" s="6" t="str">
        <x:v>Missing area/ranking tool. Search alone is insufficient.</x:v>
      </x:c>
      <x:c r="X2224" s="6" t="str">
        <x:v>data/dev/proc-factory-dev-011/questions.jsonl</x:v>
      </x:c>
      <x:c r="Y2224" s="14" t="n">
        <x:v>1</x:v>
      </x:c>
      <x:c r="Z2224" s="6" t="str">
        <x:v>https://github.com/hagenhaeussler/Industrial-Agents-Hackathon-2026/blob/f41616590b69f3ea0c1cbfb41d6c35edd9ce53df/data/dev/proc-factory-dev-011/questions.jsonl#L1</x:v>
      </x:c>
      <x:c r="AA2224" s="6" t="str">
        <x:v>procedural</x:v>
      </x:c>
      <x:c r="AB2224" s="6" t="str">
        <x:v>CC0-1.0</x:v>
      </x:c>
    </x:row>
    <x:row r="2225" ht="72" customHeight="1">
      <x:c r="A2225" s="14" t="n">
        <x:v>2220</x:v>
      </x:c>
      <x:c r="B2225" s="6" t="str">
        <x:v>largest_room</x:v>
      </x:c>
      <x:c r="C2225" s="6" t="str">
        <x:v>Which is the largest kitchen on the ground floor, and how big is it in m²? Finish with a line 'Answer: &lt;room name or number&gt;, &lt;area&gt; m²'.</x:v>
      </x:c>
      <x:c r="D2225" s="6" t="str">
        <x:v>0.30
Area: 28.2 m²
Space ID: proc-factory-dev-012-F0-S030</x:v>
      </x:c>
      <x:c r="E2225" s="6" t="str">
        <x:v>Reference supplied</x:v>
      </x:c>
      <x:c r="F2225" s="6" t="str">
        <x:v>dev</x:v>
      </x:c>
      <x:c r="G2225" s="6" t="str">
        <x:v>proc-factory-dev-012</x:v>
      </x:c>
      <x:c r="H2225" s="6" t="str">
        <x:v>proc-factory-dev-012-H01</x:v>
      </x:c>
      <x:c r="I2225" s="6" t="str">
        <x:v>Area and room selection</x:v>
      </x:c>
      <x:c r="J2225" s="6" t="str">
        <x:v>Benchmark</x:v>
      </x:c>
      <x:c r="K2225" s="6" t="str">
        <x:v>Answer: &lt;accepted room name or ref&gt;, &lt;area&gt; m²</x:v>
      </x:c>
      <x:c r="L2225" s="6" t="str">
        <x:v>T02, T04, T14</x:v>
      </x:c>
      <x:c r="M2225" s="6" t="str">
        <x:v>Choose the largest room of a specified type on a specified floor and give its area.</x:v>
      </x:c>
      <x:c r="N2225" s="6" t="str">
        <x:v>{"type":"space","space_id":"proc-factory-dev-012-F0-S030","accept":["0.30","Kitchen 0.30"],"reject":["0.54","Kitchen 0.54","0.52","Kitchen 0.52"],"area":{"type":"number","value":28.2,"unit":"m2","relative_tolerance":0.05,"absolute_tolerance":0}}</x:v>
      </x:c>
      <x:c r="O2225" s="6" t="str">
        <x:v>{"floor_id":"proc-factory-dev-012-F0","room_type":"kitchen"}</x:v>
      </x:c>
      <x:c r="P2225" s="6" t="str">
        <x:v>Exact target floor and room_type. Polygon area in m².</x:v>
      </x:c>
      <x:c r="Q2225" s="15" t="n">
        <x:v>28.2</x:v>
      </x:c>
      <x:c r="R2225" s="6" t="str">
        <x:v>m2</x:v>
      </x:c>
      <x:c r="S2225" s="16" t="n">
        <x:v>0.05</x:v>
      </x:c>
      <x:c r="T2225" s="15" t="n">
        <x:v>0</x:v>
      </x:c>
      <x:c r="U2225" s="6" t="str">
        <x:v>Answer: 0.30, 28.2 m²</x:v>
      </x:c>
      <x:c r="V2225" s="6" t="str">
        <x:v>room geometry: area</x:v>
      </x:c>
      <x:c r="W2225" s="6" t="str">
        <x:v>Missing area/ranking tool. Search alone is insufficient.</x:v>
      </x:c>
      <x:c r="X2225" s="6" t="str">
        <x:v>data/dev/proc-factory-dev-012/questions.jsonl</x:v>
      </x:c>
      <x:c r="Y2225" s="14" t="n">
        <x:v>1</x:v>
      </x:c>
      <x:c r="Z2225" s="6" t="str">
        <x:v>https://github.com/hagenhaeussler/Industrial-Agents-Hackathon-2026/blob/f41616590b69f3ea0c1cbfb41d6c35edd9ce53df/data/dev/proc-factory-dev-012/questions.jsonl#L1</x:v>
      </x:c>
      <x:c r="AA2225" s="6" t="str">
        <x:v>procedural</x:v>
      </x:c>
      <x:c r="AB2225" s="6" t="str">
        <x:v>CC0-1.0</x:v>
      </x:c>
    </x:row>
    <x:row r="2226" ht="72" customHeight="1">
      <x:c r="A2226" s="14" t="n">
        <x:v>2221</x:v>
      </x:c>
      <x:c r="B2226" s="6" t="str">
        <x:v>largest_room</x:v>
      </x:c>
      <x:c r="C2226" s="6" t="str">
        <x:v>Which is the largest bedroom on the ground floor, and how big is it in m²? Finish with a line 'Answer: &lt;room name or number&gt;, &lt;area&gt; m²'.</x:v>
      </x:c>
      <x:c r="D2226" s="6" t="str">
        <x:v>0.03
Area: 24.94 m²
Space ID: resplan-1677-F0-S003</x:v>
      </x:c>
      <x:c r="E2226" s="6" t="str">
        <x:v>Reference supplied</x:v>
      </x:c>
      <x:c r="F2226" s="6" t="str">
        <x:v>dev</x:v>
      </x:c>
      <x:c r="G2226" s="6" t="str">
        <x:v>resplan-1677</x:v>
      </x:c>
      <x:c r="H2226" s="6" t="str">
        <x:v>resplan-1677-H01</x:v>
      </x:c>
      <x:c r="I2226" s="6" t="str">
        <x:v>Area and room selection</x:v>
      </x:c>
      <x:c r="J2226" s="6" t="str">
        <x:v>Benchmark</x:v>
      </x:c>
      <x:c r="K2226" s="6" t="str">
        <x:v>Answer: &lt;accepted room name or ref&gt;, &lt;area&gt; m²</x:v>
      </x:c>
      <x:c r="L2226" s="6" t="str">
        <x:v>T02, T04, T14</x:v>
      </x:c>
      <x:c r="M2226" s="6" t="str">
        <x:v>Choose the largest room of a specified type on a specified floor and give its area.</x:v>
      </x:c>
      <x:c r="N2226" s="6" t="str">
        <x:v>{"type":"space","space_id":"resplan-1677-F0-S003","accept":["0.03","Bedroom 0.03"],"reject":["0.04","Bedroom 0.04","0.02","Bedroom 0.02"],"area":{"type":"number","value":24.94,"unit":"m2","relative_tolerance":0.05,"absolute_tolerance":0}}</x:v>
      </x:c>
      <x:c r="O2226" s="6" t="str">
        <x:v>{"floor_id":"resplan-1677-F0","room_type":"bedroom"}</x:v>
      </x:c>
      <x:c r="P2226" s="6" t="str">
        <x:v>Exact target floor and room_type. Polygon area in m².</x:v>
      </x:c>
      <x:c r="Q2226" s="15" t="n">
        <x:v>24.94</x:v>
      </x:c>
      <x:c r="R2226" s="6" t="str">
        <x:v>m2</x:v>
      </x:c>
      <x:c r="S2226" s="16" t="n">
        <x:v>0.05</x:v>
      </x:c>
      <x:c r="T2226" s="15" t="n">
        <x:v>0</x:v>
      </x:c>
      <x:c r="U2226" s="6" t="str">
        <x:v>Answer: 0.03, 24.94 m²</x:v>
      </x:c>
      <x:c r="V2226" s="6" t="str">
        <x:v>room geometry: area</x:v>
      </x:c>
      <x:c r="W2226" s="6" t="str">
        <x:v>Missing area/ranking tool. Search alone is insufficient.</x:v>
      </x:c>
      <x:c r="X2226" s="6" t="str">
        <x:v>data/dev/resplan-1677/questions.jsonl</x:v>
      </x:c>
      <x:c r="Y2226" s="14" t="n">
        <x:v>1</x:v>
      </x:c>
      <x:c r="Z2226" s="6" t="str">
        <x:v>https://github.com/hagenhaeussler/Industrial-Agents-Hackathon-2026/blob/f41616590b69f3ea0c1cbfb41d6c35edd9ce53df/data/dev/resplan-1677/questions.jsonl#L1</x:v>
      </x:c>
      <x:c r="AA2226" s="6" t="str">
        <x:v>resplan</x:v>
      </x:c>
      <x:c r="AB2226" s="6" t="str">
        <x:v>CC-BY-4.0</x:v>
      </x:c>
    </x:row>
    <x:row r="2227" ht="72" customHeight="1">
      <x:c r="A2227" s="14" t="n">
        <x:v>2222</x:v>
      </x:c>
      <x:c r="B2227" s="6" t="str">
        <x:v>largest_room</x:v>
      </x:c>
      <x:c r="C2227" s="6" t="str">
        <x:v>Which is the largest bathroom on the ground floor, and how big is it in m²? Finish with a line 'Answer: &lt;room name or number&gt;, &lt;area&gt; m²'.</x:v>
      </x:c>
      <x:c r="D2227" s="6" t="str">
        <x:v>0.16
Area: 6.11 m²
Space ID: swiss-1785-F0-S016</x:v>
      </x:c>
      <x:c r="E2227" s="6" t="str">
        <x:v>Reference supplied</x:v>
      </x:c>
      <x:c r="F2227" s="6" t="str">
        <x:v>dev</x:v>
      </x:c>
      <x:c r="G2227" s="6" t="str">
        <x:v>swiss-1785</x:v>
      </x:c>
      <x:c r="H2227" s="6" t="str">
        <x:v>swiss-1785-H01</x:v>
      </x:c>
      <x:c r="I2227" s="6" t="str">
        <x:v>Area and room selection</x:v>
      </x:c>
      <x:c r="J2227" s="6" t="str">
        <x:v>Benchmark</x:v>
      </x:c>
      <x:c r="K2227" s="6" t="str">
        <x:v>Answer: &lt;accepted room name or ref&gt;, &lt;area&gt; m²</x:v>
      </x:c>
      <x:c r="L2227" s="6" t="str">
        <x:v>T02, T04, T14</x:v>
      </x:c>
      <x:c r="M2227" s="6" t="str">
        <x:v>Choose the largest room of a specified type on a specified floor and give its area.</x:v>
      </x:c>
      <x:c r="N2227" s="6" t="str">
        <x:v>{"type":"space","space_id":"swiss-1785-F0-S016","accept":["0.16","Bathroom 0.16 (apartment 2)"],"reject":["0.04","Bathroom 0.04 (apartment 1)","0.33","Bathroom 0.33 (apartment 4)","0.19","Bathroom 0.19 (apartment 3)"],"area":{"type":"number","value":6.11,"unit":"m2","relative_tolerance":0.05,"absolute_tolerance":0}}</x:v>
      </x:c>
      <x:c r="O2227" s="6" t="str">
        <x:v>{"floor_id":"swiss-1785-F0","room_type":"bathroom"}</x:v>
      </x:c>
      <x:c r="P2227" s="6" t="str">
        <x:v>Exact target floor and room_type. Polygon area in m².</x:v>
      </x:c>
      <x:c r="Q2227" s="15" t="n">
        <x:v>6.11</x:v>
      </x:c>
      <x:c r="R2227" s="6" t="str">
        <x:v>m2</x:v>
      </x:c>
      <x:c r="S2227" s="16" t="n">
        <x:v>0.05</x:v>
      </x:c>
      <x:c r="T2227" s="15" t="n">
        <x:v>0</x:v>
      </x:c>
      <x:c r="U2227" s="6" t="str">
        <x:v>Answer: 0.16, 6.11 m²</x:v>
      </x:c>
      <x:c r="V2227" s="6" t="str">
        <x:v>room geometry: area</x:v>
      </x:c>
      <x:c r="W2227" s="6" t="str">
        <x:v>Missing area/ranking tool. Search alone is insufficient.</x:v>
      </x:c>
      <x:c r="X2227" s="6" t="str">
        <x:v>data/dev/swiss-1785/questions.jsonl</x:v>
      </x:c>
      <x:c r="Y2227" s="14" t="n">
        <x:v>1</x:v>
      </x:c>
      <x:c r="Z2227" s="6" t="str">
        <x:v>https://github.com/hagenhaeussler/Industrial-Agents-Hackathon-2026/blob/f41616590b69f3ea0c1cbfb41d6c35edd9ce53df/data/dev/swiss-1785/questions.jsonl#L1</x:v>
      </x:c>
      <x:c r="AA2227" s="6" t="str">
        <x:v>swiss_dwellings</x:v>
      </x:c>
      <x:c r="AB2227" s="6" t="str">
        <x:v>CC-BY-4.0</x:v>
      </x:c>
    </x:row>
    <x:row r="2228" ht="72" customHeight="1">
      <x:c r="A2228" s="14" t="n">
        <x:v>2223</x:v>
      </x:c>
      <x:c r="B2228" s="6" t="str">
        <x:v>largest_room</x:v>
      </x:c>
      <x:c r="C2228" s="6" t="str">
        <x:v>Which is the largest bathroom on the floor 4, and how big is it in m²? Finish with a line 'Answer: &lt;room name or number&gt;, &lt;area&gt; m²'.</x:v>
      </x:c>
      <x:c r="D2228" s="6" t="str">
        <x:v>4.02
Area: 6.23 m²
Space ID: swiss-2211-F4-S002</x:v>
      </x:c>
      <x:c r="E2228" s="6" t="str">
        <x:v>Reference supplied</x:v>
      </x:c>
      <x:c r="F2228" s="6" t="str">
        <x:v>dev</x:v>
      </x:c>
      <x:c r="G2228" s="6" t="str">
        <x:v>swiss-2211</x:v>
      </x:c>
      <x:c r="H2228" s="6" t="str">
        <x:v>swiss-2211-H01</x:v>
      </x:c>
      <x:c r="I2228" s="6" t="str">
        <x:v>Area and room selection</x:v>
      </x:c>
      <x:c r="J2228" s="6" t="str">
        <x:v>Benchmark</x:v>
      </x:c>
      <x:c r="K2228" s="6" t="str">
        <x:v>Answer: &lt;accepted room name or ref&gt;, &lt;area&gt; m²</x:v>
      </x:c>
      <x:c r="L2228" s="6" t="str">
        <x:v>T02, T04, T14</x:v>
      </x:c>
      <x:c r="M2228" s="6" t="str">
        <x:v>Choose the largest room of a specified type on a specified floor and give its area.</x:v>
      </x:c>
      <x:c r="N2228" s="6" t="str">
        <x:v>{"type":"space","space_id":"swiss-2211-F4-S002","accept":["4.02","Bathroom 4.02 (apartment 17)"],"reject":["4.21","Bathroom 4.21 (apartment 19)","4.09","Bathroom 4.09 (apartment 18)","4.31","Bathroom 4.31 (apartment 21)"],"area":{"type":"number","value":6.23,"unit":"m2","relative_tolerance":0.05,"absolute_tolerance":0}}</x:v>
      </x:c>
      <x:c r="O2228" s="6" t="str">
        <x:v>{"floor_id":"swiss-2211-F4","room_type":"bathroom"}</x:v>
      </x:c>
      <x:c r="P2228" s="6" t="str">
        <x:v>Exact target floor and room_type. Polygon area in m².</x:v>
      </x:c>
      <x:c r="Q2228" s="15" t="n">
        <x:v>6.23</x:v>
      </x:c>
      <x:c r="R2228" s="6" t="str">
        <x:v>m2</x:v>
      </x:c>
      <x:c r="S2228" s="16" t="n">
        <x:v>0.05</x:v>
      </x:c>
      <x:c r="T2228" s="15" t="n">
        <x:v>0</x:v>
      </x:c>
      <x:c r="U2228" s="6" t="str">
        <x:v>Answer: 4.02, 6.23 m²</x:v>
      </x:c>
      <x:c r="V2228" s="6" t="str">
        <x:v>room geometry: area</x:v>
      </x:c>
      <x:c r="W2228" s="6" t="str">
        <x:v>Missing area/ranking tool. Search alone is insufficient.</x:v>
      </x:c>
      <x:c r="X2228" s="6" t="str">
        <x:v>data/dev/swiss-2211/questions.jsonl</x:v>
      </x:c>
      <x:c r="Y2228" s="14" t="n">
        <x:v>1</x:v>
      </x:c>
      <x:c r="Z2228" s="6" t="str">
        <x:v>https://github.com/hagenhaeussler/Industrial-Agents-Hackathon-2026/blob/f41616590b69f3ea0c1cbfb41d6c35edd9ce53df/data/dev/swiss-2211/questions.jsonl#L1</x:v>
      </x:c>
      <x:c r="AA2228" s="6" t="str">
        <x:v>swiss_dwellings</x:v>
      </x:c>
      <x:c r="AB2228" s="6" t="str">
        <x:v>CC-BY-4.0</x:v>
      </x:c>
    </x:row>
    <x:row r="2229" ht="72" customHeight="1">
      <x:c r="A2229" s="14" t="n">
        <x:v>2224</x:v>
      </x:c>
      <x:c r="B2229" s="6" t="str">
        <x:v>largest_room</x:v>
      </x:c>
      <x:c r="C2229" s="6" t="str">
        <x:v>Which is the largest bedroom on the floor 1, and how big is it in m²? Finish with a line 'Answer: &lt;room name or number&gt;, &lt;area&gt; m²'.</x:v>
      </x:c>
      <x:c r="D2229" s="6" t="str">
        <x:v>1.16
Area: 19.86 m²
Space ID: swiss-450-F1-S016</x:v>
      </x:c>
      <x:c r="E2229" s="6" t="str">
        <x:v>Reference supplied</x:v>
      </x:c>
      <x:c r="F2229" s="6" t="str">
        <x:v>dev</x:v>
      </x:c>
      <x:c r="G2229" s="6" t="str">
        <x:v>swiss-450</x:v>
      </x:c>
      <x:c r="H2229" s="6" t="str">
        <x:v>swiss-450-H01</x:v>
      </x:c>
      <x:c r="I2229" s="6" t="str">
        <x:v>Area and room selection</x:v>
      </x:c>
      <x:c r="J2229" s="6" t="str">
        <x:v>Benchmark</x:v>
      </x:c>
      <x:c r="K2229" s="6" t="str">
        <x:v>Answer: &lt;accepted room name or ref&gt;, &lt;area&gt; m²</x:v>
      </x:c>
      <x:c r="L2229" s="6" t="str">
        <x:v>T02, T04, T14</x:v>
      </x:c>
      <x:c r="M2229" s="6" t="str">
        <x:v>Choose the largest room of a specified type on a specified floor and give its area.</x:v>
      </x:c>
      <x:c r="N2229" s="6" t="str">
        <x:v>{"type":"space","space_id":"swiss-450-F1-S016","accept":["1.16","Bedroom 1.16 (apartment 4)"],"reject":["1.03","Bedroom 1.03 (apartment 2)","1.12","Bedroom 1.12 (apartment 3)","1.10","Bedroom 1.10 (apartment 3)"],"area":{"type":"number","value":19.86,"unit":"m2","relative_tolerance":0.05,"absolute_tolerance":0}}</x:v>
      </x:c>
      <x:c r="O2229" s="6" t="str">
        <x:v>{"floor_id":"swiss-450-F1","room_type":"bedroom"}</x:v>
      </x:c>
      <x:c r="P2229" s="6" t="str">
        <x:v>Exact target floor and room_type. Polygon area in m².</x:v>
      </x:c>
      <x:c r="Q2229" s="15" t="n">
        <x:v>19.86</x:v>
      </x:c>
      <x:c r="R2229" s="6" t="str">
        <x:v>m2</x:v>
      </x:c>
      <x:c r="S2229" s="16" t="n">
        <x:v>0.05</x:v>
      </x:c>
      <x:c r="T2229" s="15" t="n">
        <x:v>0</x:v>
      </x:c>
      <x:c r="U2229" s="6" t="str">
        <x:v>Answer: 1.16, 19.86 m²</x:v>
      </x:c>
      <x:c r="V2229" s="6" t="str">
        <x:v>room geometry: area</x:v>
      </x:c>
      <x:c r="W2229" s="6" t="str">
        <x:v>Missing area/ranking tool. Search alone is insufficient.</x:v>
      </x:c>
      <x:c r="X2229" s="6" t="str">
        <x:v>data/dev/swiss-450/questions.jsonl</x:v>
      </x:c>
      <x:c r="Y2229" s="14" t="n">
        <x:v>1</x:v>
      </x:c>
      <x:c r="Z2229" s="6" t="str">
        <x:v>https://github.com/hagenhaeussler/Industrial-Agents-Hackathon-2026/blob/f41616590b69f3ea0c1cbfb41d6c35edd9ce53df/data/dev/swiss-450/questions.jsonl#L1</x:v>
      </x:c>
      <x:c r="AA2229" s="6" t="str">
        <x:v>swiss_dwellings</x:v>
      </x:c>
      <x:c r="AB2229" s="6" t="str">
        <x:v>CC-BY-4.0</x:v>
      </x:c>
    </x:row>
    <x:row r="2230" ht="72" customHeight="1">
      <x:c r="A2230" s="14" t="n">
        <x:v>2225</x:v>
      </x:c>
      <x:c r="B2230" s="6" t="str">
        <x:v>largest_room</x:v>
      </x:c>
      <x:c r="C2230" s="6" t="str">
        <x:v>Which is the largest bedroom on the floor 3, and how big is it in m²? Finish with a line 'Answer: &lt;room name or number&gt;, &lt;area&gt; m²'.</x:v>
      </x:c>
      <x:c r="D2230" s="6" t="str">
        <x:v>3.13
Area: 20.42 m²
Space ID: swiss-460-F3-S013</x:v>
      </x:c>
      <x:c r="E2230" s="6" t="str">
        <x:v>Reference supplied</x:v>
      </x:c>
      <x:c r="F2230" s="6" t="str">
        <x:v>dev</x:v>
      </x:c>
      <x:c r="G2230" s="6" t="str">
        <x:v>swiss-460</x:v>
      </x:c>
      <x:c r="H2230" s="6" t="str">
        <x:v>swiss-460-H01</x:v>
      </x:c>
      <x:c r="I2230" s="6" t="str">
        <x:v>Area and room selection</x:v>
      </x:c>
      <x:c r="J2230" s="6" t="str">
        <x:v>Benchmark</x:v>
      </x:c>
      <x:c r="K2230" s="6" t="str">
        <x:v>Answer: &lt;accepted room name or ref&gt;, &lt;area&gt; m²</x:v>
      </x:c>
      <x:c r="L2230" s="6" t="str">
        <x:v>T02, T04, T14</x:v>
      </x:c>
      <x:c r="M2230" s="6" t="str">
        <x:v>Choose the largest room of a specified type on a specified floor and give its area.</x:v>
      </x:c>
      <x:c r="N2230" s="6" t="str">
        <x:v>{"type":"space","space_id":"swiss-460-F3-S013","accept":["3.13","Bedroom 3.13 (apartment 8)"],"reject":["3.07","Bedroom 3.07 (apartment 7)","3.01","Bedroom 3.01 (apartment 7)","3.03","Bedroom 3.03 (apartment 7)"],"area":{"type":"number","value":20.42,"unit":"m2","relative_tolerance":0.05,"absolute_tolerance":0}}</x:v>
      </x:c>
      <x:c r="O2230" s="6" t="str">
        <x:v>{"floor_id":"swiss-460-F3","room_type":"bedroom"}</x:v>
      </x:c>
      <x:c r="P2230" s="6" t="str">
        <x:v>Exact target floor and room_type. Polygon area in m².</x:v>
      </x:c>
      <x:c r="Q2230" s="15" t="n">
        <x:v>20.42</x:v>
      </x:c>
      <x:c r="R2230" s="6" t="str">
        <x:v>m2</x:v>
      </x:c>
      <x:c r="S2230" s="16" t="n">
        <x:v>0.05</x:v>
      </x:c>
      <x:c r="T2230" s="15" t="n">
        <x:v>0</x:v>
      </x:c>
      <x:c r="U2230" s="6" t="str">
        <x:v>Answer: 3.13, 20.42 m²</x:v>
      </x:c>
      <x:c r="V2230" s="6" t="str">
        <x:v>room geometry: area</x:v>
      </x:c>
      <x:c r="W2230" s="6" t="str">
        <x:v>Missing area/ranking tool. Search alone is insufficient.</x:v>
      </x:c>
      <x:c r="X2230" s="6" t="str">
        <x:v>data/dev/swiss-460/questions.jsonl</x:v>
      </x:c>
      <x:c r="Y2230" s="14" t="n">
        <x:v>1</x:v>
      </x:c>
      <x:c r="Z2230" s="6" t="str">
        <x:v>https://github.com/hagenhaeussler/Industrial-Agents-Hackathon-2026/blob/f41616590b69f3ea0c1cbfb41d6c35edd9ce53df/data/dev/swiss-460/questions.jsonl#L1</x:v>
      </x:c>
      <x:c r="AA2230" s="6" t="str">
        <x:v>swiss_dwellings</x:v>
      </x:c>
      <x:c r="AB2230" s="6" t="str">
        <x:v>CC-BY-4.0</x:v>
      </x:c>
    </x:row>
    <x:row r="2231" ht="72" customHeight="1">
      <x:c r="A2231" s="14" t="n">
        <x:v>2226</x:v>
      </x:c>
      <x:c r="B2231" s="6" t="str">
        <x:v>largest_room</x:v>
      </x:c>
      <x:c r="C2231" s="6" t="str">
        <x:v>Which is the largest living room on the ground floor, and how big is it in m²? Finish with a line 'Answer: &lt;room name or number&gt;, &lt;area&gt; m²'.</x:v>
      </x:c>
      <x:c r="D2231" s="6" t="str">
        <x:v>0.07
Area: 38.08 m²
Space ID: swiss-5097-F0-S007</x:v>
      </x:c>
      <x:c r="E2231" s="6" t="str">
        <x:v>Reference supplied</x:v>
      </x:c>
      <x:c r="F2231" s="6" t="str">
        <x:v>dev</x:v>
      </x:c>
      <x:c r="G2231" s="6" t="str">
        <x:v>swiss-5097</x:v>
      </x:c>
      <x:c r="H2231" s="6" t="str">
        <x:v>swiss-5097-H01</x:v>
      </x:c>
      <x:c r="I2231" s="6" t="str">
        <x:v>Area and room selection</x:v>
      </x:c>
      <x:c r="J2231" s="6" t="str">
        <x:v>Benchmark</x:v>
      </x:c>
      <x:c r="K2231" s="6" t="str">
        <x:v>Answer: &lt;accepted room name or ref&gt;, &lt;area&gt; m²</x:v>
      </x:c>
      <x:c r="L2231" s="6" t="str">
        <x:v>T02, T04, T14</x:v>
      </x:c>
      <x:c r="M2231" s="6" t="str">
        <x:v>Choose the largest room of a specified type on a specified floor and give its area.</x:v>
      </x:c>
      <x:c r="N2231" s="6" t="str">
        <x:v>{"type":"space","space_id":"swiss-5097-F0-S007","accept":["0.07","Living room 0.07 (apartment 6)"],"reject":["0.53","Living room 0.53 (apartment 15)","0.59","Living room 0.59 (apartment 16)","0.62","Living room 0.62 (apartment 17)"],"area":{"type":"number","value":38.08,"unit":"m2","relative_tolerance":0.05,"absolute_tolerance":0}}</x:v>
      </x:c>
      <x:c r="O2231" s="6" t="str">
        <x:v>{"floor_id":"swiss-5097-F0","room_type":"living_room"}</x:v>
      </x:c>
      <x:c r="P2231" s="6" t="str">
        <x:v>Exact target floor and room_type. Polygon area in m².</x:v>
      </x:c>
      <x:c r="Q2231" s="15" t="n">
        <x:v>38.08</x:v>
      </x:c>
      <x:c r="R2231" s="6" t="str">
        <x:v>m2</x:v>
      </x:c>
      <x:c r="S2231" s="16" t="n">
        <x:v>0.05</x:v>
      </x:c>
      <x:c r="T2231" s="15" t="n">
        <x:v>0</x:v>
      </x:c>
      <x:c r="U2231" s="6" t="str">
        <x:v>Answer: 0.07, 38.08 m²</x:v>
      </x:c>
      <x:c r="V2231" s="6" t="str">
        <x:v>room geometry: area</x:v>
      </x:c>
      <x:c r="W2231" s="6" t="str">
        <x:v>Missing area/ranking tool. Search alone is insufficient.</x:v>
      </x:c>
      <x:c r="X2231" s="6" t="str">
        <x:v>data/dev/swiss-5097/questions.jsonl</x:v>
      </x:c>
      <x:c r="Y2231" s="14" t="n">
        <x:v>1</x:v>
      </x:c>
      <x:c r="Z2231" s="6" t="str">
        <x:v>https://github.com/hagenhaeussler/Industrial-Agents-Hackathon-2026/blob/f41616590b69f3ea0c1cbfb41d6c35edd9ce53df/data/dev/swiss-5097/questions.jsonl#L1</x:v>
      </x:c>
      <x:c r="AA2231" s="6" t="str">
        <x:v>swiss_dwellings</x:v>
      </x:c>
      <x:c r="AB2231" s="6" t="str">
        <x:v>CC-BY-4.0</x:v>
      </x:c>
    </x:row>
    <x:row r="2232" ht="72" customHeight="1">
      <x:c r="A2232" s="14" t="n">
        <x:v>2227</x:v>
      </x:c>
      <x:c r="B2232" s="6" t="str">
        <x:v>largest_room</x:v>
      </x:c>
      <x:c r="C2232" s="6" t="str">
        <x:v>Which is the largest generic room on the floor 1, and how big is it in m²? Finish with a line 'Answer: &lt;room name or number&gt;, &lt;area&gt; m²'.</x:v>
      </x:c>
      <x:c r="D2232" s="6" t="str">
        <x:v>Withheld in public test data. No reference answer supplied.</x:v>
      </x:c>
      <x:c r="E2232" s="6" t="str">
        <x:v>Withheld</x:v>
      </x:c>
      <x:c r="F2232" s="6" t="str">
        <x:v>test</x:v>
      </x:c>
      <x:c r="G2232" s="6" t="str">
        <x:v>osm-way363805324</x:v>
      </x:c>
      <x:c r="H2232" s="6" t="str">
        <x:v>osm-way363805324-H01</x:v>
      </x:c>
      <x:c r="I2232" s="6" t="str">
        <x:v>Area and room selection</x:v>
      </x:c>
      <x:c r="J2232" s="6" t="str">
        <x:v>Benchmark</x:v>
      </x:c>
      <x:c r="K2232" s="6" t="str">
        <x:v>Answer: &lt;accepted room name or ref&gt;, &lt;area&gt; m²</x:v>
      </x:c>
      <x:c r="L2232" s="6" t="str">
        <x:v>T02, T04, T14</x:v>
      </x:c>
      <x:c r="M2232" s="6" t="str">
        <x:v>Choose the largest room of a specified type on a specified floor and give its area.</x:v>
      </x:c>
      <x:c r="N2232" s="6"/>
      <x:c r="O2232" s="6"/>
      <x:c r="P2232" s="6" t="str">
        <x:v>Exact target floor and room_type. Polygon area in m².</x:v>
      </x:c>
      <x:c r="Q2232" s="15"/>
      <x:c r="R2232" s="6"/>
      <x:c r="S2232" s="16"/>
      <x:c r="T2232" s="15"/>
      <x:c r="U2232" s="6"/>
      <x:c r="V2232" s="6"/>
      <x:c r="W2232" s="6" t="str">
        <x:v>Missing area/ranking tool. Search alone is insufficient.</x:v>
      </x:c>
      <x:c r="X2232" s="6" t="str">
        <x:v>data/test/osm-way363805324/questions.jsonl</x:v>
      </x:c>
      <x:c r="Y2232" s="14" t="n">
        <x:v>1</x:v>
      </x:c>
      <x:c r="Z2232" s="6" t="str">
        <x:v>https://github.com/hagenhaeussler/Industrial-Agents-Hackathon-2026/blob/f41616590b69f3ea0c1cbfb41d6c35edd9ce53df/data/test/osm-way363805324/questions.jsonl#L1</x:v>
      </x:c>
      <x:c r="AA2232" s="6" t="str">
        <x:v>osm_indoor</x:v>
      </x:c>
      <x:c r="AB2232" s="6" t="str">
        <x:v>ODbL-1.0</x:v>
      </x:c>
    </x:row>
    <x:row r="2233" ht="72" customHeight="1">
      <x:c r="A2233" s="14" t="n">
        <x:v>2228</x:v>
      </x:c>
      <x:c r="B2233" s="6" t="str">
        <x:v>largest_room</x:v>
      </x:c>
      <x:c r="C2233" s="6" t="str">
        <x:v>Which is the largest generic room on the floor 3, and how big is it in m²? Finish with a line 'Answer: &lt;room name or number&gt;, &lt;area&gt; m²'.</x:v>
      </x:c>
      <x:c r="D2233" s="6" t="str">
        <x:v>Withheld in public test data. No reference answer supplied.</x:v>
      </x:c>
      <x:c r="E2233" s="6" t="str">
        <x:v>Withheld</x:v>
      </x:c>
      <x:c r="F2233" s="6" t="str">
        <x:v>test</x:v>
      </x:c>
      <x:c r="G2233" s="6" t="str">
        <x:v>osm-way43035346</x:v>
      </x:c>
      <x:c r="H2233" s="6" t="str">
        <x:v>osm-way43035346-H01</x:v>
      </x:c>
      <x:c r="I2233" s="6" t="str">
        <x:v>Area and room selection</x:v>
      </x:c>
      <x:c r="J2233" s="6" t="str">
        <x:v>Benchmark</x:v>
      </x:c>
      <x:c r="K2233" s="6" t="str">
        <x:v>Answer: &lt;accepted room name or ref&gt;, &lt;area&gt; m²</x:v>
      </x:c>
      <x:c r="L2233" s="6" t="str">
        <x:v>T02, T04, T14</x:v>
      </x:c>
      <x:c r="M2233" s="6" t="str">
        <x:v>Choose the largest room of a specified type on a specified floor and give its area.</x:v>
      </x:c>
      <x:c r="N2233" s="6"/>
      <x:c r="O2233" s="6"/>
      <x:c r="P2233" s="6" t="str">
        <x:v>Exact target floor and room_type. Polygon area in m².</x:v>
      </x:c>
      <x:c r="Q2233" s="15"/>
      <x:c r="R2233" s="6"/>
      <x:c r="S2233" s="16"/>
      <x:c r="T2233" s="15"/>
      <x:c r="U2233" s="6"/>
      <x:c r="V2233" s="6"/>
      <x:c r="W2233" s="6" t="str">
        <x:v>Missing area/ranking tool. Search alone is insufficient.</x:v>
      </x:c>
      <x:c r="X2233" s="6" t="str">
        <x:v>data/test/osm-way43035346/questions.jsonl</x:v>
      </x:c>
      <x:c r="Y2233" s="14" t="n">
        <x:v>1</x:v>
      </x:c>
      <x:c r="Z2233" s="6" t="str">
        <x:v>https://github.com/hagenhaeussler/Industrial-Agents-Hackathon-2026/blob/f41616590b69f3ea0c1cbfb41d6c35edd9ce53df/data/test/osm-way43035346/questions.jsonl#L1</x:v>
      </x:c>
      <x:c r="AA2233" s="6" t="str">
        <x:v>osm_indoor</x:v>
      </x:c>
      <x:c r="AB2233" s="6" t="str">
        <x:v>ODbL-1.0</x:v>
      </x:c>
    </x:row>
    <x:row r="2234" ht="72" customHeight="1">
      <x:c r="A2234" s="14" t="n">
        <x:v>2229</x:v>
      </x:c>
      <x:c r="B2234" s="6" t="str">
        <x:v>largest_room</x:v>
      </x:c>
      <x:c r="C2234" s="6" t="str">
        <x:v>Which is the largest generic room on the ground floor, and how big is it in m²? Finish with a line 'Answer: &lt;room name or number&gt;, &lt;area&gt; m²'.</x:v>
      </x:c>
      <x:c r="D2234" s="6" t="str">
        <x:v>Withheld in public test data. No reference answer supplied.</x:v>
      </x:c>
      <x:c r="E2234" s="6" t="str">
        <x:v>Withheld</x:v>
      </x:c>
      <x:c r="F2234" s="6" t="str">
        <x:v>test</x:v>
      </x:c>
      <x:c r="G2234" s="6" t="str">
        <x:v>osm-way50299584</x:v>
      </x:c>
      <x:c r="H2234" s="6" t="str">
        <x:v>osm-way50299584-H01</x:v>
      </x:c>
      <x:c r="I2234" s="6" t="str">
        <x:v>Area and room selection</x:v>
      </x:c>
      <x:c r="J2234" s="6" t="str">
        <x:v>Benchmark</x:v>
      </x:c>
      <x:c r="K2234" s="6" t="str">
        <x:v>Answer: &lt;accepted room name or ref&gt;, &lt;area&gt; m²</x:v>
      </x:c>
      <x:c r="L2234" s="6" t="str">
        <x:v>T02, T04, T14</x:v>
      </x:c>
      <x:c r="M2234" s="6" t="str">
        <x:v>Choose the largest room of a specified type on a specified floor and give its area.</x:v>
      </x:c>
      <x:c r="N2234" s="6"/>
      <x:c r="O2234" s="6"/>
      <x:c r="P2234" s="6" t="str">
        <x:v>Exact target floor and room_type. Polygon area in m².</x:v>
      </x:c>
      <x:c r="Q2234" s="15"/>
      <x:c r="R2234" s="6"/>
      <x:c r="S2234" s="16"/>
      <x:c r="T2234" s="15"/>
      <x:c r="U2234" s="6"/>
      <x:c r="V2234" s="6"/>
      <x:c r="W2234" s="6" t="str">
        <x:v>Missing area/ranking tool. Search alone is insufficient.</x:v>
      </x:c>
      <x:c r="X2234" s="6" t="str">
        <x:v>data/test/osm-way50299584/questions.jsonl</x:v>
      </x:c>
      <x:c r="Y2234" s="14" t="n">
        <x:v>1</x:v>
      </x:c>
      <x:c r="Z2234" s="6" t="str">
        <x:v>https://github.com/hagenhaeussler/Industrial-Agents-Hackathon-2026/blob/f41616590b69f3ea0c1cbfb41d6c35edd9ce53df/data/test/osm-way50299584/questions.jsonl#L1</x:v>
      </x:c>
      <x:c r="AA2234" s="6" t="str">
        <x:v>osm_indoor</x:v>
      </x:c>
      <x:c r="AB2234" s="6" t="str">
        <x:v>ODbL-1.0</x:v>
      </x:c>
    </x:row>
    <x:row r="2235" ht="72" customHeight="1">
      <x:c r="A2235" s="14" t="n">
        <x:v>2230</x:v>
      </x:c>
      <x:c r="B2235" s="6" t="str">
        <x:v>largest_room</x:v>
      </x:c>
      <x:c r="C2235" s="6" t="str">
        <x:v>Which is the largest generic room on the ground floor, and how big is it in m²? Finish with a line 'Answer: &lt;room name or number&gt;, &lt;area&gt; m²'.</x:v>
      </x:c>
      <x:c r="D2235" s="6" t="str">
        <x:v>Withheld in public test data. No reference answer supplied.</x:v>
      </x:c>
      <x:c r="E2235" s="6" t="str">
        <x:v>Withheld</x:v>
      </x:c>
      <x:c r="F2235" s="6" t="str">
        <x:v>test</x:v>
      </x:c>
      <x:c r="G2235" s="6" t="str">
        <x:v>osm-way50300147</x:v>
      </x:c>
      <x:c r="H2235" s="6" t="str">
        <x:v>osm-way50300147-H01</x:v>
      </x:c>
      <x:c r="I2235" s="6" t="str">
        <x:v>Area and room selection</x:v>
      </x:c>
      <x:c r="J2235" s="6" t="str">
        <x:v>Benchmark</x:v>
      </x:c>
      <x:c r="K2235" s="6" t="str">
        <x:v>Answer: &lt;accepted room name or ref&gt;, &lt;area&gt; m²</x:v>
      </x:c>
      <x:c r="L2235" s="6" t="str">
        <x:v>T02, T04, T14</x:v>
      </x:c>
      <x:c r="M2235" s="6" t="str">
        <x:v>Choose the largest room of a specified type on a specified floor and give its area.</x:v>
      </x:c>
      <x:c r="N2235" s="6"/>
      <x:c r="O2235" s="6"/>
      <x:c r="P2235" s="6" t="str">
        <x:v>Exact target floor and room_type. Polygon area in m².</x:v>
      </x:c>
      <x:c r="Q2235" s="15"/>
      <x:c r="R2235" s="6"/>
      <x:c r="S2235" s="16"/>
      <x:c r="T2235" s="15"/>
      <x:c r="U2235" s="6"/>
      <x:c r="V2235" s="6"/>
      <x:c r="W2235" s="6" t="str">
        <x:v>Missing area/ranking tool. Search alone is insufficient.</x:v>
      </x:c>
      <x:c r="X2235" s="6" t="str">
        <x:v>data/test/osm-way50300147/questions.jsonl</x:v>
      </x:c>
      <x:c r="Y2235" s="14" t="n">
        <x:v>1</x:v>
      </x:c>
      <x:c r="Z2235" s="6" t="str">
        <x:v>https://github.com/hagenhaeussler/Industrial-Agents-Hackathon-2026/blob/f41616590b69f3ea0c1cbfb41d6c35edd9ce53df/data/test/osm-way50300147/questions.jsonl#L1</x:v>
      </x:c>
      <x:c r="AA2235" s="6" t="str">
        <x:v>osm_indoor</x:v>
      </x:c>
      <x:c r="AB2235" s="6" t="str">
        <x:v>ODbL-1.0</x:v>
      </x:c>
    </x:row>
    <x:row r="2236" ht="72" customHeight="1">
      <x:c r="A2236" s="14" t="n">
        <x:v>2231</x:v>
      </x:c>
      <x:c r="B2236" s="6" t="str">
        <x:v>largest_room</x:v>
      </x:c>
      <x:c r="C2236" s="6" t="str">
        <x:v>Which is the largest toilet on the floor 1, and how big is it in m²? Finish with a line 'Answer: &lt;room name or number&gt;, &lt;area&gt; m²'.</x:v>
      </x:c>
      <x:c r="D2236" s="6" t="str">
        <x:v>Withheld in public test data. No reference answer supplied.</x:v>
      </x:c>
      <x:c r="E2236" s="6" t="str">
        <x:v>Withheld</x:v>
      </x:c>
      <x:c r="F2236" s="6" t="str">
        <x:v>test</x:v>
      </x:c>
      <x:c r="G2236" s="6" t="str">
        <x:v>proc-campus-test-000</x:v>
      </x:c>
      <x:c r="H2236" s="6" t="str">
        <x:v>proc-campus-test-000-H01</x:v>
      </x:c>
      <x:c r="I2236" s="6" t="str">
        <x:v>Area and room selection</x:v>
      </x:c>
      <x:c r="J2236" s="6" t="str">
        <x:v>Benchmark</x:v>
      </x:c>
      <x:c r="K2236" s="6" t="str">
        <x:v>Answer: &lt;accepted room name or ref&gt;, &lt;area&gt; m²</x:v>
      </x:c>
      <x:c r="L2236" s="6" t="str">
        <x:v>T02, T04, T14</x:v>
      </x:c>
      <x:c r="M2236" s="6" t="str">
        <x:v>Choose the largest room of a specified type on a specified floor and give its area.</x:v>
      </x:c>
      <x:c r="N2236" s="6"/>
      <x:c r="O2236" s="6"/>
      <x:c r="P2236" s="6" t="str">
        <x:v>Exact target floor and room_type. Polygon area in m².</x:v>
      </x:c>
      <x:c r="Q2236" s="15"/>
      <x:c r="R2236" s="6"/>
      <x:c r="S2236" s="16"/>
      <x:c r="T2236" s="15"/>
      <x:c r="U2236" s="6"/>
      <x:c r="V2236" s="6"/>
      <x:c r="W2236" s="6" t="str">
        <x:v>Missing area/ranking tool. Search alone is insufficient.</x:v>
      </x:c>
      <x:c r="X2236" s="6" t="str">
        <x:v>data/test/proc-campus-test-000/questions.jsonl</x:v>
      </x:c>
      <x:c r="Y2236" s="14" t="n">
        <x:v>1</x:v>
      </x:c>
      <x:c r="Z2236" s="6" t="str">
        <x:v>https://github.com/hagenhaeussler/Industrial-Agents-Hackathon-2026/blob/f41616590b69f3ea0c1cbfb41d6c35edd9ce53df/data/test/proc-campus-test-000/questions.jsonl#L1</x:v>
      </x:c>
      <x:c r="AA2236" s="6" t="str">
        <x:v>procedural</x:v>
      </x:c>
      <x:c r="AB2236" s="6" t="str">
        <x:v>CC0-1.0</x:v>
      </x:c>
    </x:row>
    <x:row r="2237" ht="72" customHeight="1">
      <x:c r="A2237" s="14" t="n">
        <x:v>2232</x:v>
      </x:c>
      <x:c r="B2237" s="6" t="str">
        <x:v>largest_room</x:v>
      </x:c>
      <x:c r="C2237" s="6" t="str">
        <x:v>Which is the largest meeting room on the ground floor, and how big is it in m²? Finish with a line 'Answer: &lt;room name or number&gt;, &lt;area&gt; m²'.</x:v>
      </x:c>
      <x:c r="D2237" s="6" t="str">
        <x:v>Withheld in public test data. No reference answer supplied.</x:v>
      </x:c>
      <x:c r="E2237" s="6" t="str">
        <x:v>Withheld</x:v>
      </x:c>
      <x:c r="F2237" s="6" t="str">
        <x:v>test</x:v>
      </x:c>
      <x:c r="G2237" s="6" t="str">
        <x:v>proc-campus-test-004</x:v>
      </x:c>
      <x:c r="H2237" s="6" t="str">
        <x:v>proc-campus-test-004-H01</x:v>
      </x:c>
      <x:c r="I2237" s="6" t="str">
        <x:v>Area and room selection</x:v>
      </x:c>
      <x:c r="J2237" s="6" t="str">
        <x:v>Benchmark</x:v>
      </x:c>
      <x:c r="K2237" s="6" t="str">
        <x:v>Answer: &lt;accepted room name or ref&gt;, &lt;area&gt; m²</x:v>
      </x:c>
      <x:c r="L2237" s="6" t="str">
        <x:v>T02, T04, T14</x:v>
      </x:c>
      <x:c r="M2237" s="6" t="str">
        <x:v>Choose the largest room of a specified type on a specified floor and give its area.</x:v>
      </x:c>
      <x:c r="N2237" s="6"/>
      <x:c r="O2237" s="6"/>
      <x:c r="P2237" s="6" t="str">
        <x:v>Exact target floor and room_type. Polygon area in m².</x:v>
      </x:c>
      <x:c r="Q2237" s="15"/>
      <x:c r="R2237" s="6"/>
      <x:c r="S2237" s="16"/>
      <x:c r="T2237" s="15"/>
      <x:c r="U2237" s="6"/>
      <x:c r="V2237" s="6"/>
      <x:c r="W2237" s="6" t="str">
        <x:v>Missing area/ranking tool. Search alone is insufficient.</x:v>
      </x:c>
      <x:c r="X2237" s="6" t="str">
        <x:v>data/test/proc-campus-test-004/questions.jsonl</x:v>
      </x:c>
      <x:c r="Y2237" s="14" t="n">
        <x:v>1</x:v>
      </x:c>
      <x:c r="Z2237" s="6" t="str">
        <x:v>https://github.com/hagenhaeussler/Industrial-Agents-Hackathon-2026/blob/f41616590b69f3ea0c1cbfb41d6c35edd9ce53df/data/test/proc-campus-test-004/questions.jsonl#L1</x:v>
      </x:c>
      <x:c r="AA2237" s="6" t="str">
        <x:v>procedural</x:v>
      </x:c>
      <x:c r="AB2237" s="6" t="str">
        <x:v>CC0-1.0</x:v>
      </x:c>
    </x:row>
    <x:row r="2238" ht="72" customHeight="1">
      <x:c r="A2238" s="14" t="n">
        <x:v>2233</x:v>
      </x:c>
      <x:c r="B2238" s="6" t="str">
        <x:v>largest_room</x:v>
      </x:c>
      <x:c r="C2238" s="6" t="str">
        <x:v>Which is the largest meeting room on the floor 1, and how big is it in m²? Finish with a line 'Answer: &lt;room name or number&gt;, &lt;area&gt; m²'.</x:v>
      </x:c>
      <x:c r="D2238" s="6" t="str">
        <x:v>Withheld in public test data. No reference answer supplied.</x:v>
      </x:c>
      <x:c r="E2238" s="6" t="str">
        <x:v>Withheld</x:v>
      </x:c>
      <x:c r="F2238" s="6" t="str">
        <x:v>test</x:v>
      </x:c>
      <x:c r="G2238" s="6" t="str">
        <x:v>proc-campus-test-005</x:v>
      </x:c>
      <x:c r="H2238" s="6" t="str">
        <x:v>proc-campus-test-005-H01</x:v>
      </x:c>
      <x:c r="I2238" s="6" t="str">
        <x:v>Area and room selection</x:v>
      </x:c>
      <x:c r="J2238" s="6" t="str">
        <x:v>Benchmark</x:v>
      </x:c>
      <x:c r="K2238" s="6" t="str">
        <x:v>Answer: &lt;accepted room name or ref&gt;, &lt;area&gt; m²</x:v>
      </x:c>
      <x:c r="L2238" s="6" t="str">
        <x:v>T02, T04, T14</x:v>
      </x:c>
      <x:c r="M2238" s="6" t="str">
        <x:v>Choose the largest room of a specified type on a specified floor and give its area.</x:v>
      </x:c>
      <x:c r="N2238" s="6"/>
      <x:c r="O2238" s="6"/>
      <x:c r="P2238" s="6" t="str">
        <x:v>Exact target floor and room_type. Polygon area in m².</x:v>
      </x:c>
      <x:c r="Q2238" s="15"/>
      <x:c r="R2238" s="6"/>
      <x:c r="S2238" s="16"/>
      <x:c r="T2238" s="15"/>
      <x:c r="U2238" s="6"/>
      <x:c r="V2238" s="6"/>
      <x:c r="W2238" s="6" t="str">
        <x:v>Missing area/ranking tool. Search alone is insufficient.</x:v>
      </x:c>
      <x:c r="X2238" s="6" t="str">
        <x:v>data/test/proc-campus-test-005/questions.jsonl</x:v>
      </x:c>
      <x:c r="Y2238" s="14" t="n">
        <x:v>1</x:v>
      </x:c>
      <x:c r="Z2238" s="6" t="str">
        <x:v>https://github.com/hagenhaeussler/Industrial-Agents-Hackathon-2026/blob/f41616590b69f3ea0c1cbfb41d6c35edd9ce53df/data/test/proc-campus-test-005/questions.jsonl#L1</x:v>
      </x:c>
      <x:c r="AA2238" s="6" t="str">
        <x:v>procedural</x:v>
      </x:c>
      <x:c r="AB2238" s="6" t="str">
        <x:v>CC0-1.0</x:v>
      </x:c>
    </x:row>
    <x:row r="2239" ht="72" customHeight="1">
      <x:c r="A2239" s="14" t="n">
        <x:v>2234</x:v>
      </x:c>
      <x:c r="B2239" s="6" t="str">
        <x:v>largest_room</x:v>
      </x:c>
      <x:c r="C2239" s="6" t="str">
        <x:v>Which is the largest office on the floor 2, and how big is it in m²? Finish with a line 'Answer: &lt;room name or number&gt;, &lt;area&gt; m²'.</x:v>
      </x:c>
      <x:c r="D2239" s="6" t="str">
        <x:v>Withheld in public test data. No reference answer supplied.</x:v>
      </x:c>
      <x:c r="E2239" s="6" t="str">
        <x:v>Withheld</x:v>
      </x:c>
      <x:c r="F2239" s="6" t="str">
        <x:v>test</x:v>
      </x:c>
      <x:c r="G2239" s="6" t="str">
        <x:v>proc-campus-test-008</x:v>
      </x:c>
      <x:c r="H2239" s="6" t="str">
        <x:v>proc-campus-test-008-H01</x:v>
      </x:c>
      <x:c r="I2239" s="6" t="str">
        <x:v>Area and room selection</x:v>
      </x:c>
      <x:c r="J2239" s="6" t="str">
        <x:v>Benchmark</x:v>
      </x:c>
      <x:c r="K2239" s="6" t="str">
        <x:v>Answer: &lt;accepted room name or ref&gt;, &lt;area&gt; m²</x:v>
      </x:c>
      <x:c r="L2239" s="6" t="str">
        <x:v>T02, T04, T14</x:v>
      </x:c>
      <x:c r="M2239" s="6" t="str">
        <x:v>Choose the largest room of a specified type on a specified floor and give its area.</x:v>
      </x:c>
      <x:c r="N2239" s="6"/>
      <x:c r="O2239" s="6"/>
      <x:c r="P2239" s="6" t="str">
        <x:v>Exact target floor and room_type. Polygon area in m².</x:v>
      </x:c>
      <x:c r="Q2239" s="15"/>
      <x:c r="R2239" s="6"/>
      <x:c r="S2239" s="16"/>
      <x:c r="T2239" s="15"/>
      <x:c r="U2239" s="6"/>
      <x:c r="V2239" s="6"/>
      <x:c r="W2239" s="6" t="str">
        <x:v>Missing area/ranking tool. Search alone is insufficient.</x:v>
      </x:c>
      <x:c r="X2239" s="6" t="str">
        <x:v>data/test/proc-campus-test-008/questions.jsonl</x:v>
      </x:c>
      <x:c r="Y2239" s="14" t="n">
        <x:v>1</x:v>
      </x:c>
      <x:c r="Z2239" s="6" t="str">
        <x:v>https://github.com/hagenhaeussler/Industrial-Agents-Hackathon-2026/blob/f41616590b69f3ea0c1cbfb41d6c35edd9ce53df/data/test/proc-campus-test-008/questions.jsonl#L1</x:v>
      </x:c>
      <x:c r="AA2239" s="6" t="str">
        <x:v>procedural</x:v>
      </x:c>
      <x:c r="AB2239" s="6" t="str">
        <x:v>CC0-1.0</x:v>
      </x:c>
    </x:row>
    <x:row r="2240" ht="72" customHeight="1">
      <x:c r="A2240" s="14" t="n">
        <x:v>2235</x:v>
      </x:c>
      <x:c r="B2240" s="6" t="str">
        <x:v>largest_room</x:v>
      </x:c>
      <x:c r="C2240" s="6" t="str">
        <x:v>Which is the largest office on the floor 1, and how big is it in m²? Finish with a line 'Answer: &lt;room name or number&gt;, &lt;area&gt; m²'.</x:v>
      </x:c>
      <x:c r="D2240" s="6" t="str">
        <x:v>Withheld in public test data. No reference answer supplied.</x:v>
      </x:c>
      <x:c r="E2240" s="6" t="str">
        <x:v>Withheld</x:v>
      </x:c>
      <x:c r="F2240" s="6" t="str">
        <x:v>test</x:v>
      </x:c>
      <x:c r="G2240" s="6" t="str">
        <x:v>proc-campus-test-012</x:v>
      </x:c>
      <x:c r="H2240" s="6" t="str">
        <x:v>proc-campus-test-012-H01</x:v>
      </x:c>
      <x:c r="I2240" s="6" t="str">
        <x:v>Area and room selection</x:v>
      </x:c>
      <x:c r="J2240" s="6" t="str">
        <x:v>Benchmark</x:v>
      </x:c>
      <x:c r="K2240" s="6" t="str">
        <x:v>Answer: &lt;accepted room name or ref&gt;, &lt;area&gt; m²</x:v>
      </x:c>
      <x:c r="L2240" s="6" t="str">
        <x:v>T02, T04, T14</x:v>
      </x:c>
      <x:c r="M2240" s="6" t="str">
        <x:v>Choose the largest room of a specified type on a specified floor and give its area.</x:v>
      </x:c>
      <x:c r="N2240" s="6"/>
      <x:c r="O2240" s="6"/>
      <x:c r="P2240" s="6" t="str">
        <x:v>Exact target floor and room_type. Polygon area in m².</x:v>
      </x:c>
      <x:c r="Q2240" s="15"/>
      <x:c r="R2240" s="6"/>
      <x:c r="S2240" s="16"/>
      <x:c r="T2240" s="15"/>
      <x:c r="U2240" s="6"/>
      <x:c r="V2240" s="6"/>
      <x:c r="W2240" s="6" t="str">
        <x:v>Missing area/ranking tool. Search alone is insufficient.</x:v>
      </x:c>
      <x:c r="X2240" s="6" t="str">
        <x:v>data/test/proc-campus-test-012/questions.jsonl</x:v>
      </x:c>
      <x:c r="Y2240" s="14" t="n">
        <x:v>1</x:v>
      </x:c>
      <x:c r="Z2240" s="6" t="str">
        <x:v>https://github.com/hagenhaeussler/Industrial-Agents-Hackathon-2026/blob/f41616590b69f3ea0c1cbfb41d6c35edd9ce53df/data/test/proc-campus-test-012/questions.jsonl#L1</x:v>
      </x:c>
      <x:c r="AA2240" s="6" t="str">
        <x:v>procedural</x:v>
      </x:c>
      <x:c r="AB2240" s="6" t="str">
        <x:v>CC0-1.0</x:v>
      </x:c>
    </x:row>
    <x:row r="2241" ht="72" customHeight="1">
      <x:c r="A2241" s="14" t="n">
        <x:v>2236</x:v>
      </x:c>
      <x:c r="B2241" s="6" t="str">
        <x:v>largest_room</x:v>
      </x:c>
      <x:c r="C2241" s="6" t="str">
        <x:v>Which is the largest storage on the floor 5, and how big is it in m²? Finish with a line 'Answer: &lt;room name or number&gt;, &lt;area&gt; m²'.</x:v>
      </x:c>
      <x:c r="D2241" s="6" t="str">
        <x:v>Withheld in public test data. No reference answer supplied.</x:v>
      </x:c>
      <x:c r="E2241" s="6" t="str">
        <x:v>Withheld</x:v>
      </x:c>
      <x:c r="F2241" s="6" t="str">
        <x:v>test</x:v>
      </x:c>
      <x:c r="G2241" s="6" t="str">
        <x:v>proc-campus-test-013</x:v>
      </x:c>
      <x:c r="H2241" s="6" t="str">
        <x:v>proc-campus-test-013-H01</x:v>
      </x:c>
      <x:c r="I2241" s="6" t="str">
        <x:v>Area and room selection</x:v>
      </x:c>
      <x:c r="J2241" s="6" t="str">
        <x:v>Benchmark</x:v>
      </x:c>
      <x:c r="K2241" s="6" t="str">
        <x:v>Answer: &lt;accepted room name or ref&gt;, &lt;area&gt; m²</x:v>
      </x:c>
      <x:c r="L2241" s="6" t="str">
        <x:v>T02, T04, T14</x:v>
      </x:c>
      <x:c r="M2241" s="6" t="str">
        <x:v>Choose the largest room of a specified type on a specified floor and give its area.</x:v>
      </x:c>
      <x:c r="N2241" s="6"/>
      <x:c r="O2241" s="6"/>
      <x:c r="P2241" s="6" t="str">
        <x:v>Exact target floor and room_type. Polygon area in m².</x:v>
      </x:c>
      <x:c r="Q2241" s="15"/>
      <x:c r="R2241" s="6"/>
      <x:c r="S2241" s="16"/>
      <x:c r="T2241" s="15"/>
      <x:c r="U2241" s="6"/>
      <x:c r="V2241" s="6"/>
      <x:c r="W2241" s="6" t="str">
        <x:v>Missing area/ranking tool. Search alone is insufficient.</x:v>
      </x:c>
      <x:c r="X2241" s="6" t="str">
        <x:v>data/test/proc-campus-test-013/questions.jsonl</x:v>
      </x:c>
      <x:c r="Y2241" s="14" t="n">
        <x:v>1</x:v>
      </x:c>
      <x:c r="Z2241" s="6" t="str">
        <x:v>https://github.com/hagenhaeussler/Industrial-Agents-Hackathon-2026/blob/f41616590b69f3ea0c1cbfb41d6c35edd9ce53df/data/test/proc-campus-test-013/questions.jsonl#L1</x:v>
      </x:c>
      <x:c r="AA2241" s="6" t="str">
        <x:v>procedural</x:v>
      </x:c>
      <x:c r="AB2241" s="6" t="str">
        <x:v>CC0-1.0</x:v>
      </x:c>
    </x:row>
    <x:row r="2242" ht="72" customHeight="1">
      <x:c r="A2242" s="14" t="n">
        <x:v>2237</x:v>
      </x:c>
      <x:c r="B2242" s="6" t="str">
        <x:v>largest_room</x:v>
      </x:c>
      <x:c r="C2242" s="6" t="str">
        <x:v>Which is the largest meeting room on the floor 1, and how big is it in m²? Finish with a line 'Answer: &lt;room name or number&gt;, &lt;area&gt; m²'.</x:v>
      </x:c>
      <x:c r="D2242" s="6" t="str">
        <x:v>Withheld in public test data. No reference answer supplied.</x:v>
      </x:c>
      <x:c r="E2242" s="6" t="str">
        <x:v>Withheld</x:v>
      </x:c>
      <x:c r="F2242" s="6" t="str">
        <x:v>test</x:v>
      </x:c>
      <x:c r="G2242" s="6" t="str">
        <x:v>proc-factory-test-003</x:v>
      </x:c>
      <x:c r="H2242" s="6" t="str">
        <x:v>proc-factory-test-003-H01</x:v>
      </x:c>
      <x:c r="I2242" s="6" t="str">
        <x:v>Area and room selection</x:v>
      </x:c>
      <x:c r="J2242" s="6" t="str">
        <x:v>Benchmark</x:v>
      </x:c>
      <x:c r="K2242" s="6" t="str">
        <x:v>Answer: &lt;accepted room name or ref&gt;, &lt;area&gt; m²</x:v>
      </x:c>
      <x:c r="L2242" s="6" t="str">
        <x:v>T02, T04, T14</x:v>
      </x:c>
      <x:c r="M2242" s="6" t="str">
        <x:v>Choose the largest room of a specified type on a specified floor and give its area.</x:v>
      </x:c>
      <x:c r="N2242" s="6"/>
      <x:c r="O2242" s="6"/>
      <x:c r="P2242" s="6" t="str">
        <x:v>Exact target floor and room_type. Polygon area in m².</x:v>
      </x:c>
      <x:c r="Q2242" s="15"/>
      <x:c r="R2242" s="6"/>
      <x:c r="S2242" s="16"/>
      <x:c r="T2242" s="15"/>
      <x:c r="U2242" s="6"/>
      <x:c r="V2242" s="6"/>
      <x:c r="W2242" s="6" t="str">
        <x:v>Missing area/ranking tool. Search alone is insufficient.</x:v>
      </x:c>
      <x:c r="X2242" s="6" t="str">
        <x:v>data/test/proc-factory-test-003/questions.jsonl</x:v>
      </x:c>
      <x:c r="Y2242" s="14" t="n">
        <x:v>1</x:v>
      </x:c>
      <x:c r="Z2242" s="6" t="str">
        <x:v>https://github.com/hagenhaeussler/Industrial-Agents-Hackathon-2026/blob/f41616590b69f3ea0c1cbfb41d6c35edd9ce53df/data/test/proc-factory-test-003/questions.jsonl#L1</x:v>
      </x:c>
      <x:c r="AA2242" s="6" t="str">
        <x:v>procedural</x:v>
      </x:c>
      <x:c r="AB2242" s="6" t="str">
        <x:v>CC0-1.0</x:v>
      </x:c>
    </x:row>
    <x:row r="2243" ht="72" customHeight="1">
      <x:c r="A2243" s="14" t="n">
        <x:v>2238</x:v>
      </x:c>
      <x:c r="B2243" s="6" t="str">
        <x:v>largest_room</x:v>
      </x:c>
      <x:c r="C2243" s="6" t="str">
        <x:v>Which is the largest kitchen on the floor 1, and how big is it in m²? Finish with a line 'Answer: &lt;room name or number&gt;, &lt;area&gt; m²'.</x:v>
      </x:c>
      <x:c r="D2243" s="6" t="str">
        <x:v>Withheld in public test data. No reference answer supplied.</x:v>
      </x:c>
      <x:c r="E2243" s="6" t="str">
        <x:v>Withheld</x:v>
      </x:c>
      <x:c r="F2243" s="6" t="str">
        <x:v>test</x:v>
      </x:c>
      <x:c r="G2243" s="6" t="str">
        <x:v>proc-factory-test-007</x:v>
      </x:c>
      <x:c r="H2243" s="6" t="str">
        <x:v>proc-factory-test-007-H01</x:v>
      </x:c>
      <x:c r="I2243" s="6" t="str">
        <x:v>Area and room selection</x:v>
      </x:c>
      <x:c r="J2243" s="6" t="str">
        <x:v>Benchmark</x:v>
      </x:c>
      <x:c r="K2243" s="6" t="str">
        <x:v>Answer: &lt;accepted room name or ref&gt;, &lt;area&gt; m²</x:v>
      </x:c>
      <x:c r="L2243" s="6" t="str">
        <x:v>T02, T04, T14</x:v>
      </x:c>
      <x:c r="M2243" s="6" t="str">
        <x:v>Choose the largest room of a specified type on a specified floor and give its area.</x:v>
      </x:c>
      <x:c r="N2243" s="6"/>
      <x:c r="O2243" s="6"/>
      <x:c r="P2243" s="6" t="str">
        <x:v>Exact target floor and room_type. Polygon area in m².</x:v>
      </x:c>
      <x:c r="Q2243" s="15"/>
      <x:c r="R2243" s="6"/>
      <x:c r="S2243" s="16"/>
      <x:c r="T2243" s="15"/>
      <x:c r="U2243" s="6"/>
      <x:c r="V2243" s="6"/>
      <x:c r="W2243" s="6" t="str">
        <x:v>Missing area/ranking tool. Search alone is insufficient.</x:v>
      </x:c>
      <x:c r="X2243" s="6" t="str">
        <x:v>data/test/proc-factory-test-007/questions.jsonl</x:v>
      </x:c>
      <x:c r="Y2243" s="14" t="n">
        <x:v>1</x:v>
      </x:c>
      <x:c r="Z2243" s="6" t="str">
        <x:v>https://github.com/hagenhaeussler/Industrial-Agents-Hackathon-2026/blob/f41616590b69f3ea0c1cbfb41d6c35edd9ce53df/data/test/proc-factory-test-007/questions.jsonl#L1</x:v>
      </x:c>
      <x:c r="AA2243" s="6" t="str">
        <x:v>procedural</x:v>
      </x:c>
      <x:c r="AB2243" s="6" t="str">
        <x:v>CC0-1.0</x:v>
      </x:c>
    </x:row>
    <x:row r="2244" ht="72" customHeight="1">
      <x:c r="A2244" s="14" t="n">
        <x:v>2239</x:v>
      </x:c>
      <x:c r="B2244" s="6" t="str">
        <x:v>largest_room</x:v>
      </x:c>
      <x:c r="C2244" s="6" t="str">
        <x:v>Which is the largest meeting room on the ground floor, and how big is it in m²? Finish with a line 'Answer: &lt;room name or number&gt;, &lt;area&gt; m²'.</x:v>
      </x:c>
      <x:c r="D2244" s="6" t="str">
        <x:v>Withheld in public test data. No reference answer supplied.</x:v>
      </x:c>
      <x:c r="E2244" s="6" t="str">
        <x:v>Withheld</x:v>
      </x:c>
      <x:c r="F2244" s="6" t="str">
        <x:v>test</x:v>
      </x:c>
      <x:c r="G2244" s="6" t="str">
        <x:v>proc-factory-test-010</x:v>
      </x:c>
      <x:c r="H2244" s="6" t="str">
        <x:v>proc-factory-test-010-H01</x:v>
      </x:c>
      <x:c r="I2244" s="6" t="str">
        <x:v>Area and room selection</x:v>
      </x:c>
      <x:c r="J2244" s="6" t="str">
        <x:v>Benchmark</x:v>
      </x:c>
      <x:c r="K2244" s="6" t="str">
        <x:v>Answer: &lt;accepted room name or ref&gt;, &lt;area&gt; m²</x:v>
      </x:c>
      <x:c r="L2244" s="6" t="str">
        <x:v>T02, T04, T14</x:v>
      </x:c>
      <x:c r="M2244" s="6" t="str">
        <x:v>Choose the largest room of a specified type on a specified floor and give its area.</x:v>
      </x:c>
      <x:c r="N2244" s="6"/>
      <x:c r="O2244" s="6"/>
      <x:c r="P2244" s="6" t="str">
        <x:v>Exact target floor and room_type. Polygon area in m².</x:v>
      </x:c>
      <x:c r="Q2244" s="15"/>
      <x:c r="R2244" s="6"/>
      <x:c r="S2244" s="16"/>
      <x:c r="T2244" s="15"/>
      <x:c r="U2244" s="6"/>
      <x:c r="V2244" s="6"/>
      <x:c r="W2244" s="6" t="str">
        <x:v>Missing area/ranking tool. Search alone is insufficient.</x:v>
      </x:c>
      <x:c r="X2244" s="6" t="str">
        <x:v>data/test/proc-factory-test-010/questions.jsonl</x:v>
      </x:c>
      <x:c r="Y2244" s="14" t="n">
        <x:v>1</x:v>
      </x:c>
      <x:c r="Z2244" s="6" t="str">
        <x:v>https://github.com/hagenhaeussler/Industrial-Agents-Hackathon-2026/blob/f41616590b69f3ea0c1cbfb41d6c35edd9ce53df/data/test/proc-factory-test-010/questions.jsonl#L1</x:v>
      </x:c>
      <x:c r="AA2244" s="6" t="str">
        <x:v>procedural</x:v>
      </x:c>
      <x:c r="AB2244" s="6" t="str">
        <x:v>CC0-1.0</x:v>
      </x:c>
    </x:row>
    <x:row r="2245" ht="72" customHeight="1">
      <x:c r="A2245" s="14" t="n">
        <x:v>2240</x:v>
      </x:c>
      <x:c r="B2245" s="6" t="str">
        <x:v>largest_room</x:v>
      </x:c>
      <x:c r="C2245" s="6" t="str">
        <x:v>Which is the largest bathroom on the ground floor, and how big is it in m²? Finish with a line 'Answer: &lt;room name or number&gt;, &lt;area&gt; m²'.</x:v>
      </x:c>
      <x:c r="D2245" s="6" t="str">
        <x:v>Withheld in public test data. No reference answer supplied.</x:v>
      </x:c>
      <x:c r="E2245" s="6" t="str">
        <x:v>Withheld</x:v>
      </x:c>
      <x:c r="F2245" s="6" t="str">
        <x:v>test</x:v>
      </x:c>
      <x:c r="G2245" s="6" t="str">
        <x:v>resplan-3573</x:v>
      </x:c>
      <x:c r="H2245" s="6" t="str">
        <x:v>resplan-3573-H01</x:v>
      </x:c>
      <x:c r="I2245" s="6" t="str">
        <x:v>Area and room selection</x:v>
      </x:c>
      <x:c r="J2245" s="6" t="str">
        <x:v>Benchmark</x:v>
      </x:c>
      <x:c r="K2245" s="6" t="str">
        <x:v>Answer: &lt;accepted room name or ref&gt;, &lt;area&gt; m²</x:v>
      </x:c>
      <x:c r="L2245" s="6" t="str">
        <x:v>T02, T04, T14</x:v>
      </x:c>
      <x:c r="M2245" s="6" t="str">
        <x:v>Choose the largest room of a specified type on a specified floor and give its area.</x:v>
      </x:c>
      <x:c r="N2245" s="6"/>
      <x:c r="O2245" s="6"/>
      <x:c r="P2245" s="6" t="str">
        <x:v>Exact target floor and room_type. Polygon area in m².</x:v>
      </x:c>
      <x:c r="Q2245" s="15"/>
      <x:c r="R2245" s="6"/>
      <x:c r="S2245" s="16"/>
      <x:c r="T2245" s="15"/>
      <x:c r="U2245" s="6"/>
      <x:c r="V2245" s="6"/>
      <x:c r="W2245" s="6" t="str">
        <x:v>Missing area/ranking tool. Search alone is insufficient.</x:v>
      </x:c>
      <x:c r="X2245" s="6" t="str">
        <x:v>data/test/resplan-3573/questions.jsonl</x:v>
      </x:c>
      <x:c r="Y2245" s="14" t="n">
        <x:v>1</x:v>
      </x:c>
      <x:c r="Z2245" s="6" t="str">
        <x:v>https://github.com/hagenhaeussler/Industrial-Agents-Hackathon-2026/blob/f41616590b69f3ea0c1cbfb41d6c35edd9ce53df/data/test/resplan-3573/questions.jsonl#L1</x:v>
      </x:c>
      <x:c r="AA2245" s="6" t="str">
        <x:v>resplan</x:v>
      </x:c>
      <x:c r="AB2245" s="6" t="str">
        <x:v>CC-BY-4.0</x:v>
      </x:c>
    </x:row>
    <x:row r="2246" ht="72" customHeight="1">
      <x:c r="A2246" s="14" t="n">
        <x:v>2241</x:v>
      </x:c>
      <x:c r="B2246" s="6" t="str">
        <x:v>largest_room</x:v>
      </x:c>
      <x:c r="C2246" s="6" t="str">
        <x:v>Which is the largest living room on the floor 1, and how big is it in m²? Finish with a line 'Answer: &lt;room name or number&gt;, &lt;area&gt; m²'.</x:v>
      </x:c>
      <x:c r="D2246" s="6" t="str">
        <x:v>Withheld in public test data. No reference answer supplied.</x:v>
      </x:c>
      <x:c r="E2246" s="6" t="str">
        <x:v>Withheld</x:v>
      </x:c>
      <x:c r="F2246" s="6" t="str">
        <x:v>test</x:v>
      </x:c>
      <x:c r="G2246" s="6" t="str">
        <x:v>swiss-100</x:v>
      </x:c>
      <x:c r="H2246" s="6" t="str">
        <x:v>swiss-100-H01</x:v>
      </x:c>
      <x:c r="I2246" s="6" t="str">
        <x:v>Area and room selection</x:v>
      </x:c>
      <x:c r="J2246" s="6" t="str">
        <x:v>Benchmark</x:v>
      </x:c>
      <x:c r="K2246" s="6" t="str">
        <x:v>Answer: &lt;accepted room name or ref&gt;, &lt;area&gt; m²</x:v>
      </x:c>
      <x:c r="L2246" s="6" t="str">
        <x:v>T02, T04, T14</x:v>
      </x:c>
      <x:c r="M2246" s="6" t="str">
        <x:v>Choose the largest room of a specified type on a specified floor and give its area.</x:v>
      </x:c>
      <x:c r="N2246" s="6"/>
      <x:c r="O2246" s="6"/>
      <x:c r="P2246" s="6" t="str">
        <x:v>Exact target floor and room_type. Polygon area in m².</x:v>
      </x:c>
      <x:c r="Q2246" s="15"/>
      <x:c r="R2246" s="6"/>
      <x:c r="S2246" s="16"/>
      <x:c r="T2246" s="15"/>
      <x:c r="U2246" s="6"/>
      <x:c r="V2246" s="6"/>
      <x:c r="W2246" s="6" t="str">
        <x:v>Missing area/ranking tool. Search alone is insufficient.</x:v>
      </x:c>
      <x:c r="X2246" s="6" t="str">
        <x:v>data/test/swiss-100/questions.jsonl</x:v>
      </x:c>
      <x:c r="Y2246" s="14" t="n">
        <x:v>1</x:v>
      </x:c>
      <x:c r="Z2246" s="6" t="str">
        <x:v>https://github.com/hagenhaeussler/Industrial-Agents-Hackathon-2026/blob/f41616590b69f3ea0c1cbfb41d6c35edd9ce53df/data/test/swiss-100/questions.jsonl#L1</x:v>
      </x:c>
      <x:c r="AA2246" s="6" t="str">
        <x:v>swiss_dwellings</x:v>
      </x:c>
      <x:c r="AB2246" s="6" t="str">
        <x:v>CC-BY-4.0</x:v>
      </x:c>
    </x:row>
    <x:row r="2247" ht="72" customHeight="1">
      <x:c r="A2247" s="14" t="n">
        <x:v>2242</x:v>
      </x:c>
      <x:c r="B2247" s="6" t="str">
        <x:v>largest_room</x:v>
      </x:c>
      <x:c r="C2247" s="6" t="str">
        <x:v>Which is the largest bedroom on the ground floor, and how big is it in m²? Finish with a line 'Answer: &lt;room name or number&gt;, &lt;area&gt; m²'.</x:v>
      </x:c>
      <x:c r="D2247" s="6" t="str">
        <x:v>Withheld in public test data. No reference answer supplied.</x:v>
      </x:c>
      <x:c r="E2247" s="6" t="str">
        <x:v>Withheld</x:v>
      </x:c>
      <x:c r="F2247" s="6" t="str">
        <x:v>test</x:v>
      </x:c>
      <x:c r="G2247" s="6" t="str">
        <x:v>swiss-1671</x:v>
      </x:c>
      <x:c r="H2247" s="6" t="str">
        <x:v>swiss-1671-H01</x:v>
      </x:c>
      <x:c r="I2247" s="6" t="str">
        <x:v>Area and room selection</x:v>
      </x:c>
      <x:c r="J2247" s="6" t="str">
        <x:v>Benchmark</x:v>
      </x:c>
      <x:c r="K2247" s="6" t="str">
        <x:v>Answer: &lt;accepted room name or ref&gt;, &lt;area&gt; m²</x:v>
      </x:c>
      <x:c r="L2247" s="6" t="str">
        <x:v>T02, T04, T14</x:v>
      </x:c>
      <x:c r="M2247" s="6" t="str">
        <x:v>Choose the largest room of a specified type on a specified floor and give its area.</x:v>
      </x:c>
      <x:c r="N2247" s="6"/>
      <x:c r="O2247" s="6"/>
      <x:c r="P2247" s="6" t="str">
        <x:v>Exact target floor and room_type. Polygon area in m².</x:v>
      </x:c>
      <x:c r="Q2247" s="15"/>
      <x:c r="R2247" s="6"/>
      <x:c r="S2247" s="16"/>
      <x:c r="T2247" s="15"/>
      <x:c r="U2247" s="6"/>
      <x:c r="V2247" s="6"/>
      <x:c r="W2247" s="6" t="str">
        <x:v>Missing area/ranking tool. Search alone is insufficient.</x:v>
      </x:c>
      <x:c r="X2247" s="6" t="str">
        <x:v>data/test/swiss-1671/questions.jsonl</x:v>
      </x:c>
      <x:c r="Y2247" s="14" t="n">
        <x:v>1</x:v>
      </x:c>
      <x:c r="Z2247" s="6" t="str">
        <x:v>https://github.com/hagenhaeussler/Industrial-Agents-Hackathon-2026/blob/f41616590b69f3ea0c1cbfb41d6c35edd9ce53df/data/test/swiss-1671/questions.jsonl#L1</x:v>
      </x:c>
      <x:c r="AA2247" s="6" t="str">
        <x:v>swiss_dwellings</x:v>
      </x:c>
      <x:c r="AB2247" s="6" t="str">
        <x:v>CC-BY-4.0</x:v>
      </x:c>
    </x:row>
    <x:row r="2248" ht="72" customHeight="1">
      <x:c r="A2248" s="14" t="n">
        <x:v>2243</x:v>
      </x:c>
      <x:c r="B2248" s="6" t="str">
        <x:v>largest_room</x:v>
      </x:c>
      <x:c r="C2248" s="6" t="str">
        <x:v>Which is the largest kitchen on the ground floor, and how big is it in m²? Finish with a line 'Answer: &lt;room name or number&gt;, &lt;area&gt; m²'.</x:v>
      </x:c>
      <x:c r="D2248" s="6" t="str">
        <x:v>Withheld in public test data. No reference answer supplied.</x:v>
      </x:c>
      <x:c r="E2248" s="6" t="str">
        <x:v>Withheld</x:v>
      </x:c>
      <x:c r="F2248" s="6" t="str">
        <x:v>test</x:v>
      </x:c>
      <x:c r="G2248" s="6" t="str">
        <x:v>swiss-1760</x:v>
      </x:c>
      <x:c r="H2248" s="6" t="str">
        <x:v>swiss-1760-H01</x:v>
      </x:c>
      <x:c r="I2248" s="6" t="str">
        <x:v>Area and room selection</x:v>
      </x:c>
      <x:c r="J2248" s="6" t="str">
        <x:v>Benchmark</x:v>
      </x:c>
      <x:c r="K2248" s="6" t="str">
        <x:v>Answer: &lt;accepted room name or ref&gt;, &lt;area&gt; m²</x:v>
      </x:c>
      <x:c r="L2248" s="6" t="str">
        <x:v>T02, T04, T14</x:v>
      </x:c>
      <x:c r="M2248" s="6" t="str">
        <x:v>Choose the largest room of a specified type on a specified floor and give its area.</x:v>
      </x:c>
      <x:c r="N2248" s="6"/>
      <x:c r="O2248" s="6"/>
      <x:c r="P2248" s="6" t="str">
        <x:v>Exact target floor and room_type. Polygon area in m².</x:v>
      </x:c>
      <x:c r="Q2248" s="15"/>
      <x:c r="R2248" s="6"/>
      <x:c r="S2248" s="16"/>
      <x:c r="T2248" s="15"/>
      <x:c r="U2248" s="6"/>
      <x:c r="V2248" s="6"/>
      <x:c r="W2248" s="6" t="str">
        <x:v>Missing area/ranking tool. Search alone is insufficient.</x:v>
      </x:c>
      <x:c r="X2248" s="6" t="str">
        <x:v>data/test/swiss-1760/questions.jsonl</x:v>
      </x:c>
      <x:c r="Y2248" s="14" t="n">
        <x:v>1</x:v>
      </x:c>
      <x:c r="Z2248" s="6" t="str">
        <x:v>https://github.com/hagenhaeussler/Industrial-Agents-Hackathon-2026/blob/f41616590b69f3ea0c1cbfb41d6c35edd9ce53df/data/test/swiss-1760/questions.jsonl#L1</x:v>
      </x:c>
      <x:c r="AA2248" s="6" t="str">
        <x:v>swiss_dwellings</x:v>
      </x:c>
      <x:c r="AB2248" s="6" t="str">
        <x:v>CC-BY-4.0</x:v>
      </x:c>
    </x:row>
    <x:row r="2249" ht="72" customHeight="1">
      <x:c r="A2249" s="14" t="n">
        <x:v>2244</x:v>
      </x:c>
      <x:c r="B2249" s="6" t="str">
        <x:v>largest_room</x:v>
      </x:c>
      <x:c r="C2249" s="6" t="str">
        <x:v>Which is the largest bedroom on the floor 3, and how big is it in m²? Finish with a line 'Answer: &lt;room name or number&gt;, &lt;area&gt; m²'.</x:v>
      </x:c>
      <x:c r="D2249" s="6" t="str">
        <x:v>Withheld in public test data. No reference answer supplied.</x:v>
      </x:c>
      <x:c r="E2249" s="6" t="str">
        <x:v>Withheld</x:v>
      </x:c>
      <x:c r="F2249" s="6" t="str">
        <x:v>test</x:v>
      </x:c>
      <x:c r="G2249" s="6" t="str">
        <x:v>swiss-17736</x:v>
      </x:c>
      <x:c r="H2249" s="6" t="str">
        <x:v>swiss-17736-H01</x:v>
      </x:c>
      <x:c r="I2249" s="6" t="str">
        <x:v>Area and room selection</x:v>
      </x:c>
      <x:c r="J2249" s="6" t="str">
        <x:v>Benchmark</x:v>
      </x:c>
      <x:c r="K2249" s="6" t="str">
        <x:v>Answer: &lt;accepted room name or ref&gt;, &lt;area&gt; m²</x:v>
      </x:c>
      <x:c r="L2249" s="6" t="str">
        <x:v>T02, T04, T14</x:v>
      </x:c>
      <x:c r="M2249" s="6" t="str">
        <x:v>Choose the largest room of a specified type on a specified floor and give its area.</x:v>
      </x:c>
      <x:c r="N2249" s="6"/>
      <x:c r="O2249" s="6"/>
      <x:c r="P2249" s="6" t="str">
        <x:v>Exact target floor and room_type. Polygon area in m².</x:v>
      </x:c>
      <x:c r="Q2249" s="15"/>
      <x:c r="R2249" s="6"/>
      <x:c r="S2249" s="16"/>
      <x:c r="T2249" s="15"/>
      <x:c r="U2249" s="6"/>
      <x:c r="V2249" s="6"/>
      <x:c r="W2249" s="6" t="str">
        <x:v>Missing area/ranking tool. Search alone is insufficient.</x:v>
      </x:c>
      <x:c r="X2249" s="6" t="str">
        <x:v>data/test/swiss-17736/questions.jsonl</x:v>
      </x:c>
      <x:c r="Y2249" s="14" t="n">
        <x:v>1</x:v>
      </x:c>
      <x:c r="Z2249" s="6" t="str">
        <x:v>https://github.com/hagenhaeussler/Industrial-Agents-Hackathon-2026/blob/f41616590b69f3ea0c1cbfb41d6c35edd9ce53df/data/test/swiss-17736/questions.jsonl#L1</x:v>
      </x:c>
      <x:c r="AA2249" s="6" t="str">
        <x:v>swiss_dwellings</x:v>
      </x:c>
      <x:c r="AB2249" s="6" t="str">
        <x:v>CC-BY-4.0</x:v>
      </x:c>
    </x:row>
    <x:row r="2250" ht="72" customHeight="1">
      <x:c r="A2250" s="14" t="n">
        <x:v>2245</x:v>
      </x:c>
      <x:c r="B2250" s="6" t="str">
        <x:v>largest_room</x:v>
      </x:c>
      <x:c r="C2250" s="6" t="str">
        <x:v>Which is the largest bathroom on the floor 2, and how big is it in m²? Finish with a line 'Answer: &lt;room name or number&gt;, &lt;area&gt; m²'.</x:v>
      </x:c>
      <x:c r="D2250" s="6" t="str">
        <x:v>Withheld in public test data. No reference answer supplied.</x:v>
      </x:c>
      <x:c r="E2250" s="6" t="str">
        <x:v>Withheld</x:v>
      </x:c>
      <x:c r="F2250" s="6" t="str">
        <x:v>test</x:v>
      </x:c>
      <x:c r="G2250" s="6" t="str">
        <x:v>swiss-2080</x:v>
      </x:c>
      <x:c r="H2250" s="6" t="str">
        <x:v>swiss-2080-H01</x:v>
      </x:c>
      <x:c r="I2250" s="6" t="str">
        <x:v>Area and room selection</x:v>
      </x:c>
      <x:c r="J2250" s="6" t="str">
        <x:v>Benchmark</x:v>
      </x:c>
      <x:c r="K2250" s="6" t="str">
        <x:v>Answer: &lt;accepted room name or ref&gt;, &lt;area&gt; m²</x:v>
      </x:c>
      <x:c r="L2250" s="6" t="str">
        <x:v>T02, T04, T14</x:v>
      </x:c>
      <x:c r="M2250" s="6" t="str">
        <x:v>Choose the largest room of a specified type on a specified floor and give its area.</x:v>
      </x:c>
      <x:c r="N2250" s="6"/>
      <x:c r="O2250" s="6"/>
      <x:c r="P2250" s="6" t="str">
        <x:v>Exact target floor and room_type. Polygon area in m².</x:v>
      </x:c>
      <x:c r="Q2250" s="15"/>
      <x:c r="R2250" s="6"/>
      <x:c r="S2250" s="16"/>
      <x:c r="T2250" s="15"/>
      <x:c r="U2250" s="6"/>
      <x:c r="V2250" s="6"/>
      <x:c r="W2250" s="6" t="str">
        <x:v>Missing area/ranking tool. Search alone is insufficient.</x:v>
      </x:c>
      <x:c r="X2250" s="6" t="str">
        <x:v>data/test/swiss-2080/questions.jsonl</x:v>
      </x:c>
      <x:c r="Y2250" s="14" t="n">
        <x:v>1</x:v>
      </x:c>
      <x:c r="Z2250" s="6" t="str">
        <x:v>https://github.com/hagenhaeussler/Industrial-Agents-Hackathon-2026/blob/f41616590b69f3ea0c1cbfb41d6c35edd9ce53df/data/test/swiss-2080/questions.jsonl#L1</x:v>
      </x:c>
      <x:c r="AA2250" s="6" t="str">
        <x:v>swiss_dwellings</x:v>
      </x:c>
      <x:c r="AB2250" s="6" t="str">
        <x:v>CC-BY-4.0</x:v>
      </x:c>
    </x:row>
    <x:row r="2251" ht="72" customHeight="1">
      <x:c r="A2251" s="14" t="n">
        <x:v>2246</x:v>
      </x:c>
      <x:c r="B2251" s="6" t="str">
        <x:v>largest_room</x:v>
      </x:c>
      <x:c r="C2251" s="6" t="str">
        <x:v>Which is the largest storage on the floor 2, and how big is it in m²? Finish with a line 'Answer: &lt;room name or number&gt;, &lt;area&gt; m²'.</x:v>
      </x:c>
      <x:c r="D2251" s="6" t="str">
        <x:v>Withheld in public test data. No reference answer supplied.</x:v>
      </x:c>
      <x:c r="E2251" s="6" t="str">
        <x:v>Withheld</x:v>
      </x:c>
      <x:c r="F2251" s="6" t="str">
        <x:v>test</x:v>
      </x:c>
      <x:c r="G2251" s="6" t="str">
        <x:v>swiss-2873</x:v>
      </x:c>
      <x:c r="H2251" s="6" t="str">
        <x:v>swiss-2873-H01</x:v>
      </x:c>
      <x:c r="I2251" s="6" t="str">
        <x:v>Area and room selection</x:v>
      </x:c>
      <x:c r="J2251" s="6" t="str">
        <x:v>Benchmark</x:v>
      </x:c>
      <x:c r="K2251" s="6" t="str">
        <x:v>Answer: &lt;accepted room name or ref&gt;, &lt;area&gt; m²</x:v>
      </x:c>
      <x:c r="L2251" s="6" t="str">
        <x:v>T02, T04, T14</x:v>
      </x:c>
      <x:c r="M2251" s="6" t="str">
        <x:v>Choose the largest room of a specified type on a specified floor and give its area.</x:v>
      </x:c>
      <x:c r="N2251" s="6"/>
      <x:c r="O2251" s="6"/>
      <x:c r="P2251" s="6" t="str">
        <x:v>Exact target floor and room_type. Polygon area in m².</x:v>
      </x:c>
      <x:c r="Q2251" s="15"/>
      <x:c r="R2251" s="6"/>
      <x:c r="S2251" s="16"/>
      <x:c r="T2251" s="15"/>
      <x:c r="U2251" s="6"/>
      <x:c r="V2251" s="6"/>
      <x:c r="W2251" s="6" t="str">
        <x:v>Missing area/ranking tool. Search alone is insufficient.</x:v>
      </x:c>
      <x:c r="X2251" s="6" t="str">
        <x:v>data/test/swiss-2873/questions.jsonl</x:v>
      </x:c>
      <x:c r="Y2251" s="14" t="n">
        <x:v>1</x:v>
      </x:c>
      <x:c r="Z2251" s="6" t="str">
        <x:v>https://github.com/hagenhaeussler/Industrial-Agents-Hackathon-2026/blob/f41616590b69f3ea0c1cbfb41d6c35edd9ce53df/data/test/swiss-2873/questions.jsonl#L1</x:v>
      </x:c>
      <x:c r="AA2251" s="6" t="str">
        <x:v>swiss_dwellings</x:v>
      </x:c>
      <x:c r="AB2251" s="6" t="str">
        <x:v>CC-BY-4.0</x:v>
      </x:c>
    </x:row>
    <x:row r="2252" ht="72" customHeight="1">
      <x:c r="A2252" s="14" t="n">
        <x:v>2247</x:v>
      </x:c>
      <x:c r="B2252" s="6" t="str">
        <x:v>largest_room</x:v>
      </x:c>
      <x:c r="C2252" s="6" t="str">
        <x:v>Which is the largest storage on the floor 4, and how big is it in m²? Finish with a line 'Answer: &lt;room name or number&gt;, &lt;area&gt; m²'.</x:v>
      </x:c>
      <x:c r="D2252" s="6" t="str">
        <x:v>Withheld in public test data. No reference answer supplied.</x:v>
      </x:c>
      <x:c r="E2252" s="6" t="str">
        <x:v>Withheld</x:v>
      </x:c>
      <x:c r="F2252" s="6" t="str">
        <x:v>test</x:v>
      </x:c>
      <x:c r="G2252" s="6" t="str">
        <x:v>swiss-482</x:v>
      </x:c>
      <x:c r="H2252" s="6" t="str">
        <x:v>swiss-482-H01</x:v>
      </x:c>
      <x:c r="I2252" s="6" t="str">
        <x:v>Area and room selection</x:v>
      </x:c>
      <x:c r="J2252" s="6" t="str">
        <x:v>Benchmark</x:v>
      </x:c>
      <x:c r="K2252" s="6" t="str">
        <x:v>Answer: &lt;accepted room name or ref&gt;, &lt;area&gt; m²</x:v>
      </x:c>
      <x:c r="L2252" s="6" t="str">
        <x:v>T02, T04, T14</x:v>
      </x:c>
      <x:c r="M2252" s="6" t="str">
        <x:v>Choose the largest room of a specified type on a specified floor and give its area.</x:v>
      </x:c>
      <x:c r="N2252" s="6"/>
      <x:c r="O2252" s="6"/>
      <x:c r="P2252" s="6" t="str">
        <x:v>Exact target floor and room_type. Polygon area in m².</x:v>
      </x:c>
      <x:c r="Q2252" s="15"/>
      <x:c r="R2252" s="6"/>
      <x:c r="S2252" s="16"/>
      <x:c r="T2252" s="15"/>
      <x:c r="U2252" s="6"/>
      <x:c r="V2252" s="6"/>
      <x:c r="W2252" s="6" t="str">
        <x:v>Missing area/ranking tool. Search alone is insufficient.</x:v>
      </x:c>
      <x:c r="X2252" s="6" t="str">
        <x:v>data/test/swiss-482/questions.jsonl</x:v>
      </x:c>
      <x:c r="Y2252" s="14" t="n">
        <x:v>1</x:v>
      </x:c>
      <x:c r="Z2252" s="6" t="str">
        <x:v>https://github.com/hagenhaeussler/Industrial-Agents-Hackathon-2026/blob/f41616590b69f3ea0c1cbfb41d6c35edd9ce53df/data/test/swiss-482/questions.jsonl#L1</x:v>
      </x:c>
      <x:c r="AA2252" s="6" t="str">
        <x:v>swiss_dwellings</x:v>
      </x:c>
      <x:c r="AB2252" s="6" t="str">
        <x:v>CC-BY-4.0</x:v>
      </x:c>
    </x:row>
    <x:row r="2253" ht="72" customHeight="1">
      <x:c r="A2253" s="14" t="n">
        <x:v>2248</x:v>
      </x:c>
      <x:c r="B2253" s="6" t="str">
        <x:v>floor_area_total</x:v>
      </x:c>
      <x:c r="C2253" s="6" t="str">
        <x:v>Facilities want the total floor area of every generic room on the ground floor added together. How many square metres is that? Finish with a line 'Answer: &lt;number&gt;'.</x:v>
      </x:c>
      <x:c r="D2253" s="6" t="str">
        <x:v>3112.34 m2</x:v>
      </x:c>
      <x:c r="E2253" s="6" t="str">
        <x:v>Reference supplied</x:v>
      </x:c>
      <x:c r="F2253" s="6" t="str">
        <x:v>train</x:v>
      </x:c>
      <x:c r="G2253" s="6" t="str">
        <x:v>osm-way10053349</x:v>
      </x:c>
      <x:c r="H2253" s="6" t="str">
        <x:v>osm-way10053349-H01</x:v>
      </x:c>
      <x:c r="I2253" s="6" t="str">
        <x:v>Area and room selection</x:v>
      </x:c>
      <x:c r="J2253" s="6" t="str">
        <x:v>Benchmark</x:v>
      </x:c>
      <x:c r="K2253" s="6" t="str">
        <x:v>Answer: &lt;one number&gt;</x:v>
      </x:c>
      <x:c r="L2253" s="6" t="str">
        <x:v>T02, T04, T14</x:v>
      </x:c>
      <x:c r="M2253" s="6" t="str">
        <x:v>Sum the floor area of every matching room on one floor.</x:v>
      </x:c>
      <x:c r="N2253" s="6" t="str">
        <x:v>{"type":"number","value":3112.34,"unit":"m2","relative_tolerance":0.05,"absolute_tolerance":0}</x:v>
      </x:c>
      <x:c r="O2253" s="6" t="str">
        <x:v>{"floor_id":"osm-way10053349-F0","room_type":"generic_room"}</x:v>
      </x:c>
      <x:c r="P2253" s="6" t="str">
        <x:v>Exact target floor and room_type. Polygon area in m².</x:v>
      </x:c>
      <x:c r="Q2253" s="15" t="n">
        <x:v>3112.34</x:v>
      </x:c>
      <x:c r="R2253" s="6" t="str">
        <x:v>m2</x:v>
      </x:c>
      <x:c r="S2253" s="16" t="n">
        <x:v>0.05</x:v>
      </x:c>
      <x:c r="T2253" s="15" t="n">
        <x:v>0</x:v>
      </x:c>
      <x:c r="U2253" s="6" t="str">
        <x:v>Answer: 3112.34</x:v>
      </x:c>
      <x:c r="V2253" s="6" t="str">
        <x:v>room geometry: summed area</x:v>
      </x:c>
      <x:c r="W2253" s="6" t="str">
        <x:v>Missing polygon-area aggregation tool.</x:v>
      </x:c>
      <x:c r="X2253" s="6" t="str">
        <x:v>data/train/osm-way10053349/questions.jsonl</x:v>
      </x:c>
      <x:c r="Y2253" s="14" t="n">
        <x:v>1</x:v>
      </x:c>
      <x:c r="Z2253" s="6" t="str">
        <x:v>https://github.com/hagenhaeussler/Industrial-Agents-Hackathon-2026/blob/f41616590b69f3ea0c1cbfb41d6c35edd9ce53df/data/train/osm-way10053349/questions.jsonl#L1</x:v>
      </x:c>
      <x:c r="AA2253" s="6" t="str">
        <x:v>osm_indoor</x:v>
      </x:c>
      <x:c r="AB2253" s="6" t="str">
        <x:v>ODbL-1.0</x:v>
      </x:c>
    </x:row>
    <x:row r="2254" ht="72" customHeight="1">
      <x:c r="A2254" s="14" t="n">
        <x:v>2249</x:v>
      </x:c>
      <x:c r="B2254" s="6" t="str">
        <x:v>floor_area_total</x:v>
      </x:c>
      <x:c r="C2254" s="6" t="str">
        <x:v>Facilities want the total floor area of every generic room on the floor 1 added together. How many square metres is that? Finish with a line 'Answer: &lt;number&gt;'.</x:v>
      </x:c>
      <x:c r="D2254" s="6" t="str">
        <x:v>601.31 m2</x:v>
      </x:c>
      <x:c r="E2254" s="6" t="str">
        <x:v>Reference supplied</x:v>
      </x:c>
      <x:c r="F2254" s="6" t="str">
        <x:v>train</x:v>
      </x:c>
      <x:c r="G2254" s="6" t="str">
        <x:v>osm-way13507441</x:v>
      </x:c>
      <x:c r="H2254" s="6" t="str">
        <x:v>osm-way13507441-H02</x:v>
      </x:c>
      <x:c r="I2254" s="6" t="str">
        <x:v>Area and room selection</x:v>
      </x:c>
      <x:c r="J2254" s="6" t="str">
        <x:v>Benchmark</x:v>
      </x:c>
      <x:c r="K2254" s="6" t="str">
        <x:v>Answer: &lt;one number&gt;</x:v>
      </x:c>
      <x:c r="L2254" s="6" t="str">
        <x:v>T02, T04, T14</x:v>
      </x:c>
      <x:c r="M2254" s="6" t="str">
        <x:v>Sum the floor area of every matching room on one floor.</x:v>
      </x:c>
      <x:c r="N2254" s="6" t="str">
        <x:v>{"type":"number","value":601.31,"unit":"m2","relative_tolerance":0.05,"absolute_tolerance":0}</x:v>
      </x:c>
      <x:c r="O2254" s="6" t="str">
        <x:v>{"floor_id":"osm-way13507441-F1","room_type":"generic_room"}</x:v>
      </x:c>
      <x:c r="P2254" s="6" t="str">
        <x:v>Exact target floor and room_type. Polygon area in m².</x:v>
      </x:c>
      <x:c r="Q2254" s="15" t="n">
        <x:v>601.31</x:v>
      </x:c>
      <x:c r="R2254" s="6" t="str">
        <x:v>m2</x:v>
      </x:c>
      <x:c r="S2254" s="16" t="n">
        <x:v>0.05</x:v>
      </x:c>
      <x:c r="T2254" s="15" t="n">
        <x:v>0</x:v>
      </x:c>
      <x:c r="U2254" s="6" t="str">
        <x:v>Answer: 601.31</x:v>
      </x:c>
      <x:c r="V2254" s="6" t="str">
        <x:v>room geometry: summed area</x:v>
      </x:c>
      <x:c r="W2254" s="6" t="str">
        <x:v>Missing polygon-area aggregation tool.</x:v>
      </x:c>
      <x:c r="X2254" s="6" t="str">
        <x:v>data/train/osm-way13507441/questions.jsonl</x:v>
      </x:c>
      <x:c r="Y2254" s="14" t="n">
        <x:v>2</x:v>
      </x:c>
      <x:c r="Z2254" s="6" t="str">
        <x:v>https://github.com/hagenhaeussler/Industrial-Agents-Hackathon-2026/blob/f41616590b69f3ea0c1cbfb41d6c35edd9ce53df/data/train/osm-way13507441/questions.jsonl#L2</x:v>
      </x:c>
      <x:c r="AA2254" s="6" t="str">
        <x:v>osm_indoor</x:v>
      </x:c>
      <x:c r="AB2254" s="6" t="str">
        <x:v>ODbL-1.0</x:v>
      </x:c>
    </x:row>
    <x:row r="2255" ht="72" customHeight="1">
      <x:c r="A2255" s="14" t="n">
        <x:v>2250</x:v>
      </x:c>
      <x:c r="B2255" s="6" t="str">
        <x:v>floor_area_total</x:v>
      </x:c>
      <x:c r="C2255" s="6" t="str">
        <x:v>Facilities want the total floor area of every generic room on the ground floor added together. How many square metres is that? Finish with a line 'Answer: &lt;number&gt;'.</x:v>
      </x:c>
      <x:c r="D2255" s="6" t="str">
        <x:v>781.78 m2</x:v>
      </x:c>
      <x:c r="E2255" s="6" t="str">
        <x:v>Reference supplied</x:v>
      </x:c>
      <x:c r="F2255" s="6" t="str">
        <x:v>train</x:v>
      </x:c>
      <x:c r="G2255" s="6" t="str">
        <x:v>osm-way19183732</x:v>
      </x:c>
      <x:c r="H2255" s="6" t="str">
        <x:v>osm-way19183732-H01</x:v>
      </x:c>
      <x:c r="I2255" s="6" t="str">
        <x:v>Area and room selection</x:v>
      </x:c>
      <x:c r="J2255" s="6" t="str">
        <x:v>Benchmark</x:v>
      </x:c>
      <x:c r="K2255" s="6" t="str">
        <x:v>Answer: &lt;one number&gt;</x:v>
      </x:c>
      <x:c r="L2255" s="6" t="str">
        <x:v>T02, T04, T14</x:v>
      </x:c>
      <x:c r="M2255" s="6" t="str">
        <x:v>Sum the floor area of every matching room on one floor.</x:v>
      </x:c>
      <x:c r="N2255" s="6" t="str">
        <x:v>{"type":"number","value":781.78,"unit":"m2","relative_tolerance":0.05,"absolute_tolerance":0}</x:v>
      </x:c>
      <x:c r="O2255" s="6" t="str">
        <x:v>{"floor_id":"osm-way19183732-F0","room_type":"generic_room"}</x:v>
      </x:c>
      <x:c r="P2255" s="6" t="str">
        <x:v>Exact target floor and room_type. Polygon area in m².</x:v>
      </x:c>
      <x:c r="Q2255" s="15" t="n">
        <x:v>781.78</x:v>
      </x:c>
      <x:c r="R2255" s="6" t="str">
        <x:v>m2</x:v>
      </x:c>
      <x:c r="S2255" s="16" t="n">
        <x:v>0.05</x:v>
      </x:c>
      <x:c r="T2255" s="15" t="n">
        <x:v>0</x:v>
      </x:c>
      <x:c r="U2255" s="6" t="str">
        <x:v>Answer: 781.78</x:v>
      </x:c>
      <x:c r="V2255" s="6" t="str">
        <x:v>room geometry: summed area</x:v>
      </x:c>
      <x:c r="W2255" s="6" t="str">
        <x:v>Missing polygon-area aggregation tool.</x:v>
      </x:c>
      <x:c r="X2255" s="6" t="str">
        <x:v>data/train/osm-way19183732/questions.jsonl</x:v>
      </x:c>
      <x:c r="Y2255" s="14" t="n">
        <x:v>1</x:v>
      </x:c>
      <x:c r="Z2255" s="6" t="str">
        <x:v>https://github.com/hagenhaeussler/Industrial-Agents-Hackathon-2026/blob/f41616590b69f3ea0c1cbfb41d6c35edd9ce53df/data/train/osm-way19183732/questions.jsonl#L1</x:v>
      </x:c>
      <x:c r="AA2255" s="6" t="str">
        <x:v>osm_indoor</x:v>
      </x:c>
      <x:c r="AB2255" s="6" t="str">
        <x:v>ODbL-1.0</x:v>
      </x:c>
    </x:row>
    <x:row r="2256" ht="72" customHeight="1">
      <x:c r="A2256" s="14" t="n">
        <x:v>2251</x:v>
      </x:c>
      <x:c r="B2256" s="6" t="str">
        <x:v>floor_area_total</x:v>
      </x:c>
      <x:c r="C2256" s="6" t="str">
        <x:v>Facilities want the total floor area of every office on the ground floor added together. How many square metres is that? Finish with a line 'Answer: &lt;number&gt;'.</x:v>
      </x:c>
      <x:c r="D2256" s="6" t="str">
        <x:v>71.22 m2</x:v>
      </x:c>
      <x:c r="E2256" s="6" t="str">
        <x:v>Reference supplied</x:v>
      </x:c>
      <x:c r="F2256" s="6" t="str">
        <x:v>train</x:v>
      </x:c>
      <x:c r="G2256" s="6" t="str">
        <x:v>osm-way37850565</x:v>
      </x:c>
      <x:c r="H2256" s="6" t="str">
        <x:v>osm-way37850565-H01</x:v>
      </x:c>
      <x:c r="I2256" s="6" t="str">
        <x:v>Area and room selection</x:v>
      </x:c>
      <x:c r="J2256" s="6" t="str">
        <x:v>Benchmark</x:v>
      </x:c>
      <x:c r="K2256" s="6" t="str">
        <x:v>Answer: &lt;one number&gt;</x:v>
      </x:c>
      <x:c r="L2256" s="6" t="str">
        <x:v>T02, T04, T14</x:v>
      </x:c>
      <x:c r="M2256" s="6" t="str">
        <x:v>Sum the floor area of every matching room on one floor.</x:v>
      </x:c>
      <x:c r="N2256" s="6" t="str">
        <x:v>{"type":"number","value":71.22,"unit":"m2","relative_tolerance":0.05,"absolute_tolerance":0}</x:v>
      </x:c>
      <x:c r="O2256" s="6" t="str">
        <x:v>{"floor_id":"osm-way37850565-F0","room_type":"office"}</x:v>
      </x:c>
      <x:c r="P2256" s="6" t="str">
        <x:v>Exact target floor and room_type. Polygon area in m².</x:v>
      </x:c>
      <x:c r="Q2256" s="15" t="n">
        <x:v>71.22</x:v>
      </x:c>
      <x:c r="R2256" s="6" t="str">
        <x:v>m2</x:v>
      </x:c>
      <x:c r="S2256" s="16" t="n">
        <x:v>0.05</x:v>
      </x:c>
      <x:c r="T2256" s="15" t="n">
        <x:v>0</x:v>
      </x:c>
      <x:c r="U2256" s="6" t="str">
        <x:v>Answer: 71.22</x:v>
      </x:c>
      <x:c r="V2256" s="6" t="str">
        <x:v>room geometry: summed area</x:v>
      </x:c>
      <x:c r="W2256" s="6" t="str">
        <x:v>Missing polygon-area aggregation tool.</x:v>
      </x:c>
      <x:c r="X2256" s="6" t="str">
        <x:v>data/train/osm-way37850565/questions.jsonl</x:v>
      </x:c>
      <x:c r="Y2256" s="14" t="n">
        <x:v>1</x:v>
      </x:c>
      <x:c r="Z2256" s="6" t="str">
        <x:v>https://github.com/hagenhaeussler/Industrial-Agents-Hackathon-2026/blob/f41616590b69f3ea0c1cbfb41d6c35edd9ce53df/data/train/osm-way37850565/questions.jsonl#L1</x:v>
      </x:c>
      <x:c r="AA2256" s="6" t="str">
        <x:v>osm_indoor</x:v>
      </x:c>
      <x:c r="AB2256" s="6" t="str">
        <x:v>ODbL-1.0</x:v>
      </x:c>
    </x:row>
    <x:row r="2257" ht="72" customHeight="1">
      <x:c r="A2257" s="14" t="n">
        <x:v>2252</x:v>
      </x:c>
      <x:c r="B2257" s="6" t="str">
        <x:v>floor_area_total</x:v>
      </x:c>
      <x:c r="C2257" s="6" t="str">
        <x:v>Facilities want the total floor area of every library on the ground floor added together. How many square metres is that? Finish with a line 'Answer: &lt;number&gt;'.</x:v>
      </x:c>
      <x:c r="D2257" s="6" t="str">
        <x:v>388.83 m2</x:v>
      </x:c>
      <x:c r="E2257" s="6" t="str">
        <x:v>Reference supplied</x:v>
      </x:c>
      <x:c r="F2257" s="6" t="str">
        <x:v>train</x:v>
      </x:c>
      <x:c r="G2257" s="6" t="str">
        <x:v>osm-way476929995</x:v>
      </x:c>
      <x:c r="H2257" s="6" t="str">
        <x:v>osm-way476929995-H01</x:v>
      </x:c>
      <x:c r="I2257" s="6" t="str">
        <x:v>Area and room selection</x:v>
      </x:c>
      <x:c r="J2257" s="6" t="str">
        <x:v>Benchmark</x:v>
      </x:c>
      <x:c r="K2257" s="6" t="str">
        <x:v>Answer: &lt;one number&gt;</x:v>
      </x:c>
      <x:c r="L2257" s="6" t="str">
        <x:v>T02, T04, T14</x:v>
      </x:c>
      <x:c r="M2257" s="6" t="str">
        <x:v>Sum the floor area of every matching room on one floor.</x:v>
      </x:c>
      <x:c r="N2257" s="6" t="str">
        <x:v>{"type":"number","value":388.83,"unit":"m2","relative_tolerance":0.05,"absolute_tolerance":0}</x:v>
      </x:c>
      <x:c r="O2257" s="6" t="str">
        <x:v>{"floor_id":"osm-way476929995-F0","room_type":"library"}</x:v>
      </x:c>
      <x:c r="P2257" s="6" t="str">
        <x:v>Exact target floor and room_type. Polygon area in m².</x:v>
      </x:c>
      <x:c r="Q2257" s="15" t="n">
        <x:v>388.83</x:v>
      </x:c>
      <x:c r="R2257" s="6" t="str">
        <x:v>m2</x:v>
      </x:c>
      <x:c r="S2257" s="16" t="n">
        <x:v>0.05</x:v>
      </x:c>
      <x:c r="T2257" s="15" t="n">
        <x:v>0</x:v>
      </x:c>
      <x:c r="U2257" s="6" t="str">
        <x:v>Answer: 388.83</x:v>
      </x:c>
      <x:c r="V2257" s="6" t="str">
        <x:v>room geometry: summed area</x:v>
      </x:c>
      <x:c r="W2257" s="6" t="str">
        <x:v>Missing polygon-area aggregation tool.</x:v>
      </x:c>
      <x:c r="X2257" s="6" t="str">
        <x:v>data/train/osm-way476929995/questions.jsonl</x:v>
      </x:c>
      <x:c r="Y2257" s="14" t="n">
        <x:v>1</x:v>
      </x:c>
      <x:c r="Z2257" s="6" t="str">
        <x:v>https://github.com/hagenhaeussler/Industrial-Agents-Hackathon-2026/blob/f41616590b69f3ea0c1cbfb41d6c35edd9ce53df/data/train/osm-way476929995/questions.jsonl#L1</x:v>
      </x:c>
      <x:c r="AA2257" s="6" t="str">
        <x:v>osm_indoor</x:v>
      </x:c>
      <x:c r="AB2257" s="6" t="str">
        <x:v>ODbL-1.0</x:v>
      </x:c>
    </x:row>
    <x:row r="2258" ht="72" customHeight="1">
      <x:c r="A2258" s="14" t="n">
        <x:v>2253</x:v>
      </x:c>
      <x:c r="B2258" s="6" t="str">
        <x:v>floor_area_total</x:v>
      </x:c>
      <x:c r="C2258" s="6" t="str">
        <x:v>Facilities want the total floor area of every generic room on the floor 2 added together. How many square metres is that? Finish with a line 'Answer: &lt;number&gt;'.</x:v>
      </x:c>
      <x:c r="D2258" s="6" t="str">
        <x:v>741.69 m2</x:v>
      </x:c>
      <x:c r="E2258" s="6" t="str">
        <x:v>Reference supplied</x:v>
      </x:c>
      <x:c r="F2258" s="6" t="str">
        <x:v>train</x:v>
      </x:c>
      <x:c r="G2258" s="6" t="str">
        <x:v>osm-way50299720</x:v>
      </x:c>
      <x:c r="H2258" s="6" t="str">
        <x:v>osm-way50299720-H02</x:v>
      </x:c>
      <x:c r="I2258" s="6" t="str">
        <x:v>Area and room selection</x:v>
      </x:c>
      <x:c r="J2258" s="6" t="str">
        <x:v>Benchmark</x:v>
      </x:c>
      <x:c r="K2258" s="6" t="str">
        <x:v>Answer: &lt;one number&gt;</x:v>
      </x:c>
      <x:c r="L2258" s="6" t="str">
        <x:v>T02, T04, T14</x:v>
      </x:c>
      <x:c r="M2258" s="6" t="str">
        <x:v>Sum the floor area of every matching room on one floor.</x:v>
      </x:c>
      <x:c r="N2258" s="6" t="str">
        <x:v>{"type":"number","value":741.69,"unit":"m2","relative_tolerance":0.05,"absolute_tolerance":0}</x:v>
      </x:c>
      <x:c r="O2258" s="6" t="str">
        <x:v>{"floor_id":"osm-way50299720-F2","room_type":"generic_room"}</x:v>
      </x:c>
      <x:c r="P2258" s="6" t="str">
        <x:v>Exact target floor and room_type. Polygon area in m².</x:v>
      </x:c>
      <x:c r="Q2258" s="15" t="n">
        <x:v>741.69</x:v>
      </x:c>
      <x:c r="R2258" s="6" t="str">
        <x:v>m2</x:v>
      </x:c>
      <x:c r="S2258" s="16" t="n">
        <x:v>0.05</x:v>
      </x:c>
      <x:c r="T2258" s="15" t="n">
        <x:v>0</x:v>
      </x:c>
      <x:c r="U2258" s="6" t="str">
        <x:v>Answer: 741.69</x:v>
      </x:c>
      <x:c r="V2258" s="6" t="str">
        <x:v>room geometry: summed area</x:v>
      </x:c>
      <x:c r="W2258" s="6" t="str">
        <x:v>Missing polygon-area aggregation tool.</x:v>
      </x:c>
      <x:c r="X2258" s="6" t="str">
        <x:v>data/train/osm-way50299720/questions.jsonl</x:v>
      </x:c>
      <x:c r="Y2258" s="14" t="n">
        <x:v>2</x:v>
      </x:c>
      <x:c r="Z2258" s="6" t="str">
        <x:v>https://github.com/hagenhaeussler/Industrial-Agents-Hackathon-2026/blob/f41616590b69f3ea0c1cbfb41d6c35edd9ce53df/data/train/osm-way50299720/questions.jsonl#L2</x:v>
      </x:c>
      <x:c r="AA2258" s="6" t="str">
        <x:v>osm_indoor</x:v>
      </x:c>
      <x:c r="AB2258" s="6" t="str">
        <x:v>ODbL-1.0</x:v>
      </x:c>
    </x:row>
    <x:row r="2259" ht="72" customHeight="1">
      <x:c r="A2259" s="14" t="n">
        <x:v>2254</x:v>
      </x:c>
      <x:c r="B2259" s="6" t="str">
        <x:v>floor_area_total</x:v>
      </x:c>
      <x:c r="C2259" s="6" t="str">
        <x:v>Facilities want the total floor area of every generic room on the basement 1 added together. How many square metres is that? Finish with a line 'Answer: &lt;number&gt;'.</x:v>
      </x:c>
      <x:c r="D2259" s="6" t="str">
        <x:v>10876.47 m2</x:v>
      </x:c>
      <x:c r="E2259" s="6" t="str">
        <x:v>Reference supplied</x:v>
      </x:c>
      <x:c r="F2259" s="6" t="str">
        <x:v>train</x:v>
      </x:c>
      <x:c r="G2259" s="6" t="str">
        <x:v>osm-way52060470</x:v>
      </x:c>
      <x:c r="H2259" s="6" t="str">
        <x:v>osm-way52060470-H02</x:v>
      </x:c>
      <x:c r="I2259" s="6" t="str">
        <x:v>Area and room selection</x:v>
      </x:c>
      <x:c r="J2259" s="6" t="str">
        <x:v>Benchmark</x:v>
      </x:c>
      <x:c r="K2259" s="6" t="str">
        <x:v>Answer: &lt;one number&gt;</x:v>
      </x:c>
      <x:c r="L2259" s="6" t="str">
        <x:v>T02, T04, T14</x:v>
      </x:c>
      <x:c r="M2259" s="6" t="str">
        <x:v>Sum the floor area of every matching room on one floor.</x:v>
      </x:c>
      <x:c r="N2259" s="6" t="str">
        <x:v>{"type":"number","value":10876.47,"unit":"m2","relative_tolerance":0.05,"absolute_tolerance":0}</x:v>
      </x:c>
      <x:c r="O2259" s="6" t="str">
        <x:v>{"floor_id":"osm-way52060470-F-1","room_type":"generic_room"}</x:v>
      </x:c>
      <x:c r="P2259" s="6" t="str">
        <x:v>Exact target floor and room_type. Polygon area in m².</x:v>
      </x:c>
      <x:c r="Q2259" s="15" t="n">
        <x:v>10876.47</x:v>
      </x:c>
      <x:c r="R2259" s="6" t="str">
        <x:v>m2</x:v>
      </x:c>
      <x:c r="S2259" s="16" t="n">
        <x:v>0.05</x:v>
      </x:c>
      <x:c r="T2259" s="15" t="n">
        <x:v>0</x:v>
      </x:c>
      <x:c r="U2259" s="6" t="str">
        <x:v>Answer: 10876.47</x:v>
      </x:c>
      <x:c r="V2259" s="6" t="str">
        <x:v>room geometry: summed area</x:v>
      </x:c>
      <x:c r="W2259" s="6" t="str">
        <x:v>Missing polygon-area aggregation tool.</x:v>
      </x:c>
      <x:c r="X2259" s="6" t="str">
        <x:v>data/train/osm-way52060470/questions.jsonl</x:v>
      </x:c>
      <x:c r="Y2259" s="14" t="n">
        <x:v>2</x:v>
      </x:c>
      <x:c r="Z2259" s="6" t="str">
        <x:v>https://github.com/hagenhaeussler/Industrial-Agents-Hackathon-2026/blob/f41616590b69f3ea0c1cbfb41d6c35edd9ce53df/data/train/osm-way52060470/questions.jsonl#L2</x:v>
      </x:c>
      <x:c r="AA2259" s="6" t="str">
        <x:v>osm_indoor</x:v>
      </x:c>
      <x:c r="AB2259" s="6" t="str">
        <x:v>ODbL-1.0</x:v>
      </x:c>
    </x:row>
    <x:row r="2260" ht="72" customHeight="1">
      <x:c r="A2260" s="14" t="n">
        <x:v>2255</x:v>
      </x:c>
      <x:c r="B2260" s="6" t="str">
        <x:v>floor_area_total</x:v>
      </x:c>
      <x:c r="C2260" s="6" t="str">
        <x:v>Facilities want the total floor area of every generic room on the floor 2 added together. How many square metres is that? Finish with a line 'Answer: &lt;number&gt;'.</x:v>
      </x:c>
      <x:c r="D2260" s="6" t="str">
        <x:v>5749.72 m2</x:v>
      </x:c>
      <x:c r="E2260" s="6" t="str">
        <x:v>Reference supplied</x:v>
      </x:c>
      <x:c r="F2260" s="6" t="str">
        <x:v>train</x:v>
      </x:c>
      <x:c r="G2260" s="6" t="str">
        <x:v>osm-way58216509</x:v>
      </x:c>
      <x:c r="H2260" s="6" t="str">
        <x:v>osm-way58216509-H02</x:v>
      </x:c>
      <x:c r="I2260" s="6" t="str">
        <x:v>Area and room selection</x:v>
      </x:c>
      <x:c r="J2260" s="6" t="str">
        <x:v>Benchmark</x:v>
      </x:c>
      <x:c r="K2260" s="6" t="str">
        <x:v>Answer: &lt;one number&gt;</x:v>
      </x:c>
      <x:c r="L2260" s="6" t="str">
        <x:v>T02, T04, T14</x:v>
      </x:c>
      <x:c r="M2260" s="6" t="str">
        <x:v>Sum the floor area of every matching room on one floor.</x:v>
      </x:c>
      <x:c r="N2260" s="6" t="str">
        <x:v>{"type":"number","value":5749.72,"unit":"m2","relative_tolerance":0.05,"absolute_tolerance":0}</x:v>
      </x:c>
      <x:c r="O2260" s="6" t="str">
        <x:v>{"floor_id":"osm-way58216509-F2","room_type":"generic_room"}</x:v>
      </x:c>
      <x:c r="P2260" s="6" t="str">
        <x:v>Exact target floor and room_type. Polygon area in m².</x:v>
      </x:c>
      <x:c r="Q2260" s="15" t="n">
        <x:v>5749.72</x:v>
      </x:c>
      <x:c r="R2260" s="6" t="str">
        <x:v>m2</x:v>
      </x:c>
      <x:c r="S2260" s="16" t="n">
        <x:v>0.05</x:v>
      </x:c>
      <x:c r="T2260" s="15" t="n">
        <x:v>0</x:v>
      </x:c>
      <x:c r="U2260" s="6" t="str">
        <x:v>Answer: 5749.72</x:v>
      </x:c>
      <x:c r="V2260" s="6" t="str">
        <x:v>room geometry: summed area</x:v>
      </x:c>
      <x:c r="W2260" s="6" t="str">
        <x:v>Missing polygon-area aggregation tool.</x:v>
      </x:c>
      <x:c r="X2260" s="6" t="str">
        <x:v>data/train/osm-way58216509/questions.jsonl</x:v>
      </x:c>
      <x:c r="Y2260" s="14" t="n">
        <x:v>2</x:v>
      </x:c>
      <x:c r="Z2260" s="6" t="str">
        <x:v>https://github.com/hagenhaeussler/Industrial-Agents-Hackathon-2026/blob/f41616590b69f3ea0c1cbfb41d6c35edd9ce53df/data/train/osm-way58216509/questions.jsonl#L2</x:v>
      </x:c>
      <x:c r="AA2260" s="6" t="str">
        <x:v>osm_indoor</x:v>
      </x:c>
      <x:c r="AB2260" s="6" t="str">
        <x:v>ODbL-1.0</x:v>
      </x:c>
    </x:row>
    <x:row r="2261" ht="72" customHeight="1">
      <x:c r="A2261" s="14" t="n">
        <x:v>2256</x:v>
      </x:c>
      <x:c r="B2261" s="6" t="str">
        <x:v>floor_area_total</x:v>
      </x:c>
      <x:c r="C2261" s="6" t="str">
        <x:v>Facilities want the total floor area of every toilet on the floor 1 added together. How many square metres is that? Finish with a line 'Answer: &lt;number&gt;'.</x:v>
      </x:c>
      <x:c r="D2261" s="6" t="str">
        <x:v>43.86 m2</x:v>
      </x:c>
      <x:c r="E2261" s="6" t="str">
        <x:v>Reference supplied</x:v>
      </x:c>
      <x:c r="F2261" s="6" t="str">
        <x:v>train</x:v>
      </x:c>
      <x:c r="G2261" s="6" t="str">
        <x:v>osm-way61408163</x:v>
      </x:c>
      <x:c r="H2261" s="6" t="str">
        <x:v>osm-way61408163-H02</x:v>
      </x:c>
      <x:c r="I2261" s="6" t="str">
        <x:v>Area and room selection</x:v>
      </x:c>
      <x:c r="J2261" s="6" t="str">
        <x:v>Benchmark</x:v>
      </x:c>
      <x:c r="K2261" s="6" t="str">
        <x:v>Answer: &lt;one number&gt;</x:v>
      </x:c>
      <x:c r="L2261" s="6" t="str">
        <x:v>T02, T04, T14</x:v>
      </x:c>
      <x:c r="M2261" s="6" t="str">
        <x:v>Sum the floor area of every matching room on one floor.</x:v>
      </x:c>
      <x:c r="N2261" s="6" t="str">
        <x:v>{"type":"number","value":43.86,"unit":"m2","relative_tolerance":0.05,"absolute_tolerance":0}</x:v>
      </x:c>
      <x:c r="O2261" s="6" t="str">
        <x:v>{"floor_id":"osm-way61408163-F1","room_type":"toilet"}</x:v>
      </x:c>
      <x:c r="P2261" s="6" t="str">
        <x:v>Exact target floor and room_type. Polygon area in m².</x:v>
      </x:c>
      <x:c r="Q2261" s="15" t="n">
        <x:v>43.86</x:v>
      </x:c>
      <x:c r="R2261" s="6" t="str">
        <x:v>m2</x:v>
      </x:c>
      <x:c r="S2261" s="16" t="n">
        <x:v>0.05</x:v>
      </x:c>
      <x:c r="T2261" s="15" t="n">
        <x:v>0</x:v>
      </x:c>
      <x:c r="U2261" s="6" t="str">
        <x:v>Answer: 43.86</x:v>
      </x:c>
      <x:c r="V2261" s="6" t="str">
        <x:v>room geometry: summed area</x:v>
      </x:c>
      <x:c r="W2261" s="6" t="str">
        <x:v>Missing polygon-area aggregation tool.</x:v>
      </x:c>
      <x:c r="X2261" s="6" t="str">
        <x:v>data/train/osm-way61408163/questions.jsonl</x:v>
      </x:c>
      <x:c r="Y2261" s="14" t="n">
        <x:v>2</x:v>
      </x:c>
      <x:c r="Z2261" s="6" t="str">
        <x:v>https://github.com/hagenhaeussler/Industrial-Agents-Hackathon-2026/blob/f41616590b69f3ea0c1cbfb41d6c35edd9ce53df/data/train/osm-way61408163/questions.jsonl#L2</x:v>
      </x:c>
      <x:c r="AA2261" s="6" t="str">
        <x:v>osm_indoor</x:v>
      </x:c>
      <x:c r="AB2261" s="6" t="str">
        <x:v>ODbL-1.0</x:v>
      </x:c>
    </x:row>
    <x:row r="2262" ht="72" customHeight="1">
      <x:c r="A2262" s="14" t="n">
        <x:v>2257</x:v>
      </x:c>
      <x:c r="B2262" s="6" t="str">
        <x:v>floor_area_total</x:v>
      </x:c>
      <x:c r="C2262" s="6" t="str">
        <x:v>Facilities want the total floor area of every office on the floor 2 added together. How many square metres is that? Finish with a line 'Answer: &lt;number&gt;'.</x:v>
      </x:c>
      <x:c r="D2262" s="6" t="str">
        <x:v>190.62 m2</x:v>
      </x:c>
      <x:c r="E2262" s="6" t="str">
        <x:v>Reference supplied</x:v>
      </x:c>
      <x:c r="F2262" s="6" t="str">
        <x:v>train</x:v>
      </x:c>
      <x:c r="G2262" s="6" t="str">
        <x:v>proc-campus-train-000</x:v>
      </x:c>
      <x:c r="H2262" s="6" t="str">
        <x:v>proc-campus-train-000-H02</x:v>
      </x:c>
      <x:c r="I2262" s="6" t="str">
        <x:v>Area and room selection</x:v>
      </x:c>
      <x:c r="J2262" s="6" t="str">
        <x:v>Benchmark</x:v>
      </x:c>
      <x:c r="K2262" s="6" t="str">
        <x:v>Answer: &lt;one number&gt;</x:v>
      </x:c>
      <x:c r="L2262" s="6" t="str">
        <x:v>T02, T04, T14</x:v>
      </x:c>
      <x:c r="M2262" s="6" t="str">
        <x:v>Sum the floor area of every matching room on one floor.</x:v>
      </x:c>
      <x:c r="N2262" s="6" t="str">
        <x:v>{"type":"number","value":190.62,"unit":"m2","relative_tolerance":0.05,"absolute_tolerance":0}</x:v>
      </x:c>
      <x:c r="O2262" s="6" t="str">
        <x:v>{"floor_id":"proc-campus-train-000-F2","room_type":"office"}</x:v>
      </x:c>
      <x:c r="P2262" s="6" t="str">
        <x:v>Exact target floor and room_type. Polygon area in m².</x:v>
      </x:c>
      <x:c r="Q2262" s="15" t="n">
        <x:v>190.62</x:v>
      </x:c>
      <x:c r="R2262" s="6" t="str">
        <x:v>m2</x:v>
      </x:c>
      <x:c r="S2262" s="16" t="n">
        <x:v>0.05</x:v>
      </x:c>
      <x:c r="T2262" s="15" t="n">
        <x:v>0</x:v>
      </x:c>
      <x:c r="U2262" s="6" t="str">
        <x:v>Answer: 190.62</x:v>
      </x:c>
      <x:c r="V2262" s="6" t="str">
        <x:v>room geometry: summed area</x:v>
      </x:c>
      <x:c r="W2262" s="6" t="str">
        <x:v>Missing polygon-area aggregation tool.</x:v>
      </x:c>
      <x:c r="X2262" s="6" t="str">
        <x:v>data/train/proc-campus-train-000/questions.jsonl</x:v>
      </x:c>
      <x:c r="Y2262" s="14" t="n">
        <x:v>2</x:v>
      </x:c>
      <x:c r="Z2262" s="6" t="str">
        <x:v>https://github.com/hagenhaeussler/Industrial-Agents-Hackathon-2026/blob/f41616590b69f3ea0c1cbfb41d6c35edd9ce53df/data/train/proc-campus-train-000/questions.jsonl#L2</x:v>
      </x:c>
      <x:c r="AA2262" s="6" t="str">
        <x:v>procedural</x:v>
      </x:c>
      <x:c r="AB2262" s="6" t="str">
        <x:v>CC0-1.0</x:v>
      </x:c>
    </x:row>
    <x:row r="2263" ht="72" customHeight="1">
      <x:c r="A2263" s="14" t="n">
        <x:v>2258</x:v>
      </x:c>
      <x:c r="B2263" s="6" t="str">
        <x:v>floor_area_total</x:v>
      </x:c>
      <x:c r="C2263" s="6" t="str">
        <x:v>Facilities want the total floor area of every office on the floor 2 added together. How many square metres is that? Finish with a line 'Answer: &lt;number&gt;'.</x:v>
      </x:c>
      <x:c r="D2263" s="6" t="str">
        <x:v>92.94 m2</x:v>
      </x:c>
      <x:c r="E2263" s="6" t="str">
        <x:v>Reference supplied</x:v>
      </x:c>
      <x:c r="F2263" s="6" t="str">
        <x:v>train</x:v>
      </x:c>
      <x:c r="G2263" s="6" t="str">
        <x:v>proc-campus-train-001</x:v>
      </x:c>
      <x:c r="H2263" s="6" t="str">
        <x:v>proc-campus-train-001-H02</x:v>
      </x:c>
      <x:c r="I2263" s="6" t="str">
        <x:v>Area and room selection</x:v>
      </x:c>
      <x:c r="J2263" s="6" t="str">
        <x:v>Benchmark</x:v>
      </x:c>
      <x:c r="K2263" s="6" t="str">
        <x:v>Answer: &lt;one number&gt;</x:v>
      </x:c>
      <x:c r="L2263" s="6" t="str">
        <x:v>T02, T04, T14</x:v>
      </x:c>
      <x:c r="M2263" s="6" t="str">
        <x:v>Sum the floor area of every matching room on one floor.</x:v>
      </x:c>
      <x:c r="N2263" s="6" t="str">
        <x:v>{"type":"number","value":92.94,"unit":"m2","relative_tolerance":0.05,"absolute_tolerance":0}</x:v>
      </x:c>
      <x:c r="O2263" s="6" t="str">
        <x:v>{"floor_id":"proc-campus-train-001-F2","room_type":"office"}</x:v>
      </x:c>
      <x:c r="P2263" s="6" t="str">
        <x:v>Exact target floor and room_type. Polygon area in m².</x:v>
      </x:c>
      <x:c r="Q2263" s="15" t="n">
        <x:v>92.94</x:v>
      </x:c>
      <x:c r="R2263" s="6" t="str">
        <x:v>m2</x:v>
      </x:c>
      <x:c r="S2263" s="16" t="n">
        <x:v>0.05</x:v>
      </x:c>
      <x:c r="T2263" s="15" t="n">
        <x:v>0</x:v>
      </x:c>
      <x:c r="U2263" s="6" t="str">
        <x:v>Answer: 92.94</x:v>
      </x:c>
      <x:c r="V2263" s="6" t="str">
        <x:v>room geometry: summed area</x:v>
      </x:c>
      <x:c r="W2263" s="6" t="str">
        <x:v>Missing polygon-area aggregation tool.</x:v>
      </x:c>
      <x:c r="X2263" s="6" t="str">
        <x:v>data/train/proc-campus-train-001/questions.jsonl</x:v>
      </x:c>
      <x:c r="Y2263" s="14" t="n">
        <x:v>2</x:v>
      </x:c>
      <x:c r="Z2263" s="6" t="str">
        <x:v>https://github.com/hagenhaeussler/Industrial-Agents-Hackathon-2026/blob/f41616590b69f3ea0c1cbfb41d6c35edd9ce53df/data/train/proc-campus-train-001/questions.jsonl#L2</x:v>
      </x:c>
      <x:c r="AA2263" s="6" t="str">
        <x:v>procedural</x:v>
      </x:c>
      <x:c r="AB2263" s="6" t="str">
        <x:v>CC0-1.0</x:v>
      </x:c>
    </x:row>
    <x:row r="2264" ht="72" customHeight="1">
      <x:c r="A2264" s="14" t="n">
        <x:v>2259</x:v>
      </x:c>
      <x:c r="B2264" s="6" t="str">
        <x:v>floor_area_total</x:v>
      </x:c>
      <x:c r="C2264" s="6" t="str">
        <x:v>Facilities want the total floor area of every office on the floor 2 added together. How many square metres is that? Finish with a line 'Answer: &lt;number&gt;'.</x:v>
      </x:c>
      <x:c r="D2264" s="6" t="str">
        <x:v>252.42 m2</x:v>
      </x:c>
      <x:c r="E2264" s="6" t="str">
        <x:v>Reference supplied</x:v>
      </x:c>
      <x:c r="F2264" s="6" t="str">
        <x:v>train</x:v>
      </x:c>
      <x:c r="G2264" s="6" t="str">
        <x:v>proc-campus-train-002</x:v>
      </x:c>
      <x:c r="H2264" s="6" t="str">
        <x:v>proc-campus-train-002-H02</x:v>
      </x:c>
      <x:c r="I2264" s="6" t="str">
        <x:v>Area and room selection</x:v>
      </x:c>
      <x:c r="J2264" s="6" t="str">
        <x:v>Benchmark</x:v>
      </x:c>
      <x:c r="K2264" s="6" t="str">
        <x:v>Answer: &lt;one number&gt;</x:v>
      </x:c>
      <x:c r="L2264" s="6" t="str">
        <x:v>T02, T04, T14</x:v>
      </x:c>
      <x:c r="M2264" s="6" t="str">
        <x:v>Sum the floor area of every matching room on one floor.</x:v>
      </x:c>
      <x:c r="N2264" s="6" t="str">
        <x:v>{"type":"number","value":252.42,"unit":"m2","relative_tolerance":0.05,"absolute_tolerance":0}</x:v>
      </x:c>
      <x:c r="O2264" s="6" t="str">
        <x:v>{"floor_id":"proc-campus-train-002-F2","room_type":"office"}</x:v>
      </x:c>
      <x:c r="P2264" s="6" t="str">
        <x:v>Exact target floor and room_type. Polygon area in m².</x:v>
      </x:c>
      <x:c r="Q2264" s="15" t="n">
        <x:v>252.42</x:v>
      </x:c>
      <x:c r="R2264" s="6" t="str">
        <x:v>m2</x:v>
      </x:c>
      <x:c r="S2264" s="16" t="n">
        <x:v>0.05</x:v>
      </x:c>
      <x:c r="T2264" s="15" t="n">
        <x:v>0</x:v>
      </x:c>
      <x:c r="U2264" s="6" t="str">
        <x:v>Answer: 252.42</x:v>
      </x:c>
      <x:c r="V2264" s="6" t="str">
        <x:v>room geometry: summed area</x:v>
      </x:c>
      <x:c r="W2264" s="6" t="str">
        <x:v>Missing polygon-area aggregation tool.</x:v>
      </x:c>
      <x:c r="X2264" s="6" t="str">
        <x:v>data/train/proc-campus-train-002/questions.jsonl</x:v>
      </x:c>
      <x:c r="Y2264" s="14" t="n">
        <x:v>2</x:v>
      </x:c>
      <x:c r="Z2264" s="6" t="str">
        <x:v>https://github.com/hagenhaeussler/Industrial-Agents-Hackathon-2026/blob/f41616590b69f3ea0c1cbfb41d6c35edd9ce53df/data/train/proc-campus-train-002/questions.jsonl#L2</x:v>
      </x:c>
      <x:c r="AA2264" s="6" t="str">
        <x:v>procedural</x:v>
      </x:c>
      <x:c r="AB2264" s="6" t="str">
        <x:v>CC0-1.0</x:v>
      </x:c>
    </x:row>
    <x:row r="2265" ht="72" customHeight="1">
      <x:c r="A2265" s="14" t="n">
        <x:v>2260</x:v>
      </x:c>
      <x:c r="B2265" s="6" t="str">
        <x:v>floor_area_total</x:v>
      </x:c>
      <x:c r="C2265" s="6" t="str">
        <x:v>Facilities want the total floor area of every seminar room on the floor 2 added together. How many square metres is that? Finish with a line 'Answer: &lt;number&gt;'.</x:v>
      </x:c>
      <x:c r="D2265" s="6" t="str">
        <x:v>124.2 m2</x:v>
      </x:c>
      <x:c r="E2265" s="6" t="str">
        <x:v>Reference supplied</x:v>
      </x:c>
      <x:c r="F2265" s="6" t="str">
        <x:v>train</x:v>
      </x:c>
      <x:c r="G2265" s="6" t="str">
        <x:v>proc-campus-train-003</x:v>
      </x:c>
      <x:c r="H2265" s="6" t="str">
        <x:v>proc-campus-train-003-H01</x:v>
      </x:c>
      <x:c r="I2265" s="6" t="str">
        <x:v>Area and room selection</x:v>
      </x:c>
      <x:c r="J2265" s="6" t="str">
        <x:v>Benchmark</x:v>
      </x:c>
      <x:c r="K2265" s="6" t="str">
        <x:v>Answer: &lt;one number&gt;</x:v>
      </x:c>
      <x:c r="L2265" s="6" t="str">
        <x:v>T02, T04, T14</x:v>
      </x:c>
      <x:c r="M2265" s="6" t="str">
        <x:v>Sum the floor area of every matching room on one floor.</x:v>
      </x:c>
      <x:c r="N2265" s="6" t="str">
        <x:v>{"type":"number","value":124.2,"unit":"m2","relative_tolerance":0.05,"absolute_tolerance":0}</x:v>
      </x:c>
      <x:c r="O2265" s="6" t="str">
        <x:v>{"floor_id":"proc-campus-train-003-F2","room_type":"seminar_room"}</x:v>
      </x:c>
      <x:c r="P2265" s="6" t="str">
        <x:v>Exact target floor and room_type. Polygon area in m².</x:v>
      </x:c>
      <x:c r="Q2265" s="15" t="n">
        <x:v>124.2</x:v>
      </x:c>
      <x:c r="R2265" s="6" t="str">
        <x:v>m2</x:v>
      </x:c>
      <x:c r="S2265" s="16" t="n">
        <x:v>0.05</x:v>
      </x:c>
      <x:c r="T2265" s="15" t="n">
        <x:v>0</x:v>
      </x:c>
      <x:c r="U2265" s="6" t="str">
        <x:v>Answer: 124.2</x:v>
      </x:c>
      <x:c r="V2265" s="6" t="str">
        <x:v>room geometry: summed area</x:v>
      </x:c>
      <x:c r="W2265" s="6" t="str">
        <x:v>Missing polygon-area aggregation tool.</x:v>
      </x:c>
      <x:c r="X2265" s="6" t="str">
        <x:v>data/train/proc-campus-train-003/questions.jsonl</x:v>
      </x:c>
      <x:c r="Y2265" s="14" t="n">
        <x:v>1</x:v>
      </x:c>
      <x:c r="Z2265" s="6" t="str">
        <x:v>https://github.com/hagenhaeussler/Industrial-Agents-Hackathon-2026/blob/f41616590b69f3ea0c1cbfb41d6c35edd9ce53df/data/train/proc-campus-train-003/questions.jsonl#L1</x:v>
      </x:c>
      <x:c r="AA2265" s="6" t="str">
        <x:v>procedural</x:v>
      </x:c>
      <x:c r="AB2265" s="6" t="str">
        <x:v>CC0-1.0</x:v>
      </x:c>
    </x:row>
    <x:row r="2266" ht="72" customHeight="1">
      <x:c r="A2266" s="14" t="n">
        <x:v>2261</x:v>
      </x:c>
      <x:c r="B2266" s="6" t="str">
        <x:v>floor_area_total</x:v>
      </x:c>
      <x:c r="C2266" s="6" t="str">
        <x:v>Facilities want the total floor area of every seminar room on the floor 1 added together. How many square metres is that? Finish with a line 'Answer: &lt;number&gt;'.</x:v>
      </x:c>
      <x:c r="D2266" s="6" t="str">
        <x:v>103.62 m2</x:v>
      </x:c>
      <x:c r="E2266" s="6" t="str">
        <x:v>Reference supplied</x:v>
      </x:c>
      <x:c r="F2266" s="6" t="str">
        <x:v>train</x:v>
      </x:c>
      <x:c r="G2266" s="6" t="str">
        <x:v>proc-campus-train-004</x:v>
      </x:c>
      <x:c r="H2266" s="6" t="str">
        <x:v>proc-campus-train-004-H02</x:v>
      </x:c>
      <x:c r="I2266" s="6" t="str">
        <x:v>Area and room selection</x:v>
      </x:c>
      <x:c r="J2266" s="6" t="str">
        <x:v>Benchmark</x:v>
      </x:c>
      <x:c r="K2266" s="6" t="str">
        <x:v>Answer: &lt;one number&gt;</x:v>
      </x:c>
      <x:c r="L2266" s="6" t="str">
        <x:v>T02, T04, T14</x:v>
      </x:c>
      <x:c r="M2266" s="6" t="str">
        <x:v>Sum the floor area of every matching room on one floor.</x:v>
      </x:c>
      <x:c r="N2266" s="6" t="str">
        <x:v>{"type":"number","value":103.62,"unit":"m2","relative_tolerance":0.05,"absolute_tolerance":0}</x:v>
      </x:c>
      <x:c r="O2266" s="6" t="str">
        <x:v>{"floor_id":"proc-campus-train-004-F1","room_type":"seminar_room"}</x:v>
      </x:c>
      <x:c r="P2266" s="6" t="str">
        <x:v>Exact target floor and room_type. Polygon area in m².</x:v>
      </x:c>
      <x:c r="Q2266" s="15" t="n">
        <x:v>103.62</x:v>
      </x:c>
      <x:c r="R2266" s="6" t="str">
        <x:v>m2</x:v>
      </x:c>
      <x:c r="S2266" s="16" t="n">
        <x:v>0.05</x:v>
      </x:c>
      <x:c r="T2266" s="15" t="n">
        <x:v>0</x:v>
      </x:c>
      <x:c r="U2266" s="6" t="str">
        <x:v>Answer: 103.62</x:v>
      </x:c>
      <x:c r="V2266" s="6" t="str">
        <x:v>room geometry: summed area</x:v>
      </x:c>
      <x:c r="W2266" s="6" t="str">
        <x:v>Missing polygon-area aggregation tool.</x:v>
      </x:c>
      <x:c r="X2266" s="6" t="str">
        <x:v>data/train/proc-campus-train-004/questions.jsonl</x:v>
      </x:c>
      <x:c r="Y2266" s="14" t="n">
        <x:v>2</x:v>
      </x:c>
      <x:c r="Z2266" s="6" t="str">
        <x:v>https://github.com/hagenhaeussler/Industrial-Agents-Hackathon-2026/blob/f41616590b69f3ea0c1cbfb41d6c35edd9ce53df/data/train/proc-campus-train-004/questions.jsonl#L2</x:v>
      </x:c>
      <x:c r="AA2266" s="6" t="str">
        <x:v>procedural</x:v>
      </x:c>
      <x:c r="AB2266" s="6" t="str">
        <x:v>CC0-1.0</x:v>
      </x:c>
    </x:row>
    <x:row r="2267" ht="72" customHeight="1">
      <x:c r="A2267" s="14" t="n">
        <x:v>2262</x:v>
      </x:c>
      <x:c r="B2267" s="6" t="str">
        <x:v>floor_area_total</x:v>
      </x:c>
      <x:c r="C2267" s="6" t="str">
        <x:v>Facilities want the total floor area of every lab on the floor 1 added together. How many square metres is that? Finish with a line 'Answer: &lt;number&gt;'.</x:v>
      </x:c>
      <x:c r="D2267" s="6" t="str">
        <x:v>68.22 m2</x:v>
      </x:c>
      <x:c r="E2267" s="6" t="str">
        <x:v>Reference supplied</x:v>
      </x:c>
      <x:c r="F2267" s="6" t="str">
        <x:v>train</x:v>
      </x:c>
      <x:c r="G2267" s="6" t="str">
        <x:v>proc-campus-train-011</x:v>
      </x:c>
      <x:c r="H2267" s="6" t="str">
        <x:v>proc-campus-train-011-H02</x:v>
      </x:c>
      <x:c r="I2267" s="6" t="str">
        <x:v>Area and room selection</x:v>
      </x:c>
      <x:c r="J2267" s="6" t="str">
        <x:v>Benchmark</x:v>
      </x:c>
      <x:c r="K2267" s="6" t="str">
        <x:v>Answer: &lt;one number&gt;</x:v>
      </x:c>
      <x:c r="L2267" s="6" t="str">
        <x:v>T02, T04, T14</x:v>
      </x:c>
      <x:c r="M2267" s="6" t="str">
        <x:v>Sum the floor area of every matching room on one floor.</x:v>
      </x:c>
      <x:c r="N2267" s="6" t="str">
        <x:v>{"type":"number","value":68.22,"unit":"m2","relative_tolerance":0.05,"absolute_tolerance":0}</x:v>
      </x:c>
      <x:c r="O2267" s="6" t="str">
        <x:v>{"floor_id":"proc-campus-train-011-F1","room_type":"lab"}</x:v>
      </x:c>
      <x:c r="P2267" s="6" t="str">
        <x:v>Exact target floor and room_type. Polygon area in m².</x:v>
      </x:c>
      <x:c r="Q2267" s="15" t="n">
        <x:v>68.22</x:v>
      </x:c>
      <x:c r="R2267" s="6" t="str">
        <x:v>m2</x:v>
      </x:c>
      <x:c r="S2267" s="16" t="n">
        <x:v>0.05</x:v>
      </x:c>
      <x:c r="T2267" s="15" t="n">
        <x:v>0</x:v>
      </x:c>
      <x:c r="U2267" s="6" t="str">
        <x:v>Answer: 68.22</x:v>
      </x:c>
      <x:c r="V2267" s="6" t="str">
        <x:v>room geometry: summed area</x:v>
      </x:c>
      <x:c r="W2267" s="6" t="str">
        <x:v>Missing polygon-area aggregation tool.</x:v>
      </x:c>
      <x:c r="X2267" s="6" t="str">
        <x:v>data/train/proc-campus-train-011/questions.jsonl</x:v>
      </x:c>
      <x:c r="Y2267" s="14" t="n">
        <x:v>2</x:v>
      </x:c>
      <x:c r="Z2267" s="6" t="str">
        <x:v>https://github.com/hagenhaeussler/Industrial-Agents-Hackathon-2026/blob/f41616590b69f3ea0c1cbfb41d6c35edd9ce53df/data/train/proc-campus-train-011/questions.jsonl#L2</x:v>
      </x:c>
      <x:c r="AA2267" s="6" t="str">
        <x:v>procedural</x:v>
      </x:c>
      <x:c r="AB2267" s="6" t="str">
        <x:v>CC0-1.0</x:v>
      </x:c>
    </x:row>
    <x:row r="2268" ht="72" customHeight="1">
      <x:c r="A2268" s="14" t="n">
        <x:v>2263</x:v>
      </x:c>
      <x:c r="B2268" s="6" t="str">
        <x:v>floor_area_total</x:v>
      </x:c>
      <x:c r="C2268" s="6" t="str">
        <x:v>Facilities want the total floor area of every lab on the floor 1 added together. How many square metres is that? Finish with a line 'Answer: &lt;number&gt;'.</x:v>
      </x:c>
      <x:c r="D2268" s="6" t="str">
        <x:v>112.2 m2</x:v>
      </x:c>
      <x:c r="E2268" s="6" t="str">
        <x:v>Reference supplied</x:v>
      </x:c>
      <x:c r="F2268" s="6" t="str">
        <x:v>train</x:v>
      </x:c>
      <x:c r="G2268" s="6" t="str">
        <x:v>proc-campus-train-012</x:v>
      </x:c>
      <x:c r="H2268" s="6" t="str">
        <x:v>proc-campus-train-012-H01</x:v>
      </x:c>
      <x:c r="I2268" s="6" t="str">
        <x:v>Area and room selection</x:v>
      </x:c>
      <x:c r="J2268" s="6" t="str">
        <x:v>Benchmark</x:v>
      </x:c>
      <x:c r="K2268" s="6" t="str">
        <x:v>Answer: &lt;one number&gt;</x:v>
      </x:c>
      <x:c r="L2268" s="6" t="str">
        <x:v>T02, T04, T14</x:v>
      </x:c>
      <x:c r="M2268" s="6" t="str">
        <x:v>Sum the floor area of every matching room on one floor.</x:v>
      </x:c>
      <x:c r="N2268" s="6" t="str">
        <x:v>{"type":"number","value":112.2,"unit":"m2","relative_tolerance":0.05,"absolute_tolerance":0}</x:v>
      </x:c>
      <x:c r="O2268" s="6" t="str">
        <x:v>{"floor_id":"proc-campus-train-012-F1","room_type":"lab"}</x:v>
      </x:c>
      <x:c r="P2268" s="6" t="str">
        <x:v>Exact target floor and room_type. Polygon area in m².</x:v>
      </x:c>
      <x:c r="Q2268" s="15" t="n">
        <x:v>112.2</x:v>
      </x:c>
      <x:c r="R2268" s="6" t="str">
        <x:v>m2</x:v>
      </x:c>
      <x:c r="S2268" s="16" t="n">
        <x:v>0.05</x:v>
      </x:c>
      <x:c r="T2268" s="15" t="n">
        <x:v>0</x:v>
      </x:c>
      <x:c r="U2268" s="6" t="str">
        <x:v>Answer: 112.2</x:v>
      </x:c>
      <x:c r="V2268" s="6" t="str">
        <x:v>room geometry: summed area</x:v>
      </x:c>
      <x:c r="W2268" s="6" t="str">
        <x:v>Missing polygon-area aggregation tool.</x:v>
      </x:c>
      <x:c r="X2268" s="6" t="str">
        <x:v>data/train/proc-campus-train-012/questions.jsonl</x:v>
      </x:c>
      <x:c r="Y2268" s="14" t="n">
        <x:v>1</x:v>
      </x:c>
      <x:c r="Z2268" s="6" t="str">
        <x:v>https://github.com/hagenhaeussler/Industrial-Agents-Hackathon-2026/blob/f41616590b69f3ea0c1cbfb41d6c35edd9ce53df/data/train/proc-campus-train-012/questions.jsonl#L1</x:v>
      </x:c>
      <x:c r="AA2268" s="6" t="str">
        <x:v>procedural</x:v>
      </x:c>
      <x:c r="AB2268" s="6" t="str">
        <x:v>CC0-1.0</x:v>
      </x:c>
    </x:row>
    <x:row r="2269" ht="72" customHeight="1">
      <x:c r="A2269" s="14" t="n">
        <x:v>2264</x:v>
      </x:c>
      <x:c r="B2269" s="6" t="str">
        <x:v>floor_area_total</x:v>
      </x:c>
      <x:c r="C2269" s="6" t="str">
        <x:v>Facilities want the total floor area of every lab on the ground floor added together. How many square metres is that? Finish with a line 'Answer: &lt;number&gt;'.</x:v>
      </x:c>
      <x:c r="D2269" s="6" t="str">
        <x:v>68.76 m2</x:v>
      </x:c>
      <x:c r="E2269" s="6" t="str">
        <x:v>Reference supplied</x:v>
      </x:c>
      <x:c r="F2269" s="6" t="str">
        <x:v>train</x:v>
      </x:c>
      <x:c r="G2269" s="6" t="str">
        <x:v>proc-campus-train-013</x:v>
      </x:c>
      <x:c r="H2269" s="6" t="str">
        <x:v>proc-campus-train-013-H01</x:v>
      </x:c>
      <x:c r="I2269" s="6" t="str">
        <x:v>Area and room selection</x:v>
      </x:c>
      <x:c r="J2269" s="6" t="str">
        <x:v>Benchmark</x:v>
      </x:c>
      <x:c r="K2269" s="6" t="str">
        <x:v>Answer: &lt;one number&gt;</x:v>
      </x:c>
      <x:c r="L2269" s="6" t="str">
        <x:v>T02, T04, T14</x:v>
      </x:c>
      <x:c r="M2269" s="6" t="str">
        <x:v>Sum the floor area of every matching room on one floor.</x:v>
      </x:c>
      <x:c r="N2269" s="6" t="str">
        <x:v>{"type":"number","value":68.76,"unit":"m2","relative_tolerance":0.05,"absolute_tolerance":0}</x:v>
      </x:c>
      <x:c r="O2269" s="6" t="str">
        <x:v>{"floor_id":"proc-campus-train-013-F0","room_type":"lab"}</x:v>
      </x:c>
      <x:c r="P2269" s="6" t="str">
        <x:v>Exact target floor and room_type. Polygon area in m².</x:v>
      </x:c>
      <x:c r="Q2269" s="15" t="n">
        <x:v>68.76</x:v>
      </x:c>
      <x:c r="R2269" s="6" t="str">
        <x:v>m2</x:v>
      </x:c>
      <x:c r="S2269" s="16" t="n">
        <x:v>0.05</x:v>
      </x:c>
      <x:c r="T2269" s="15" t="n">
        <x:v>0</x:v>
      </x:c>
      <x:c r="U2269" s="6" t="str">
        <x:v>Answer: 68.76</x:v>
      </x:c>
      <x:c r="V2269" s="6" t="str">
        <x:v>room geometry: summed area</x:v>
      </x:c>
      <x:c r="W2269" s="6" t="str">
        <x:v>Missing polygon-area aggregation tool.</x:v>
      </x:c>
      <x:c r="X2269" s="6" t="str">
        <x:v>data/train/proc-campus-train-013/questions.jsonl</x:v>
      </x:c>
      <x:c r="Y2269" s="14" t="n">
        <x:v>1</x:v>
      </x:c>
      <x:c r="Z2269" s="6" t="str">
        <x:v>https://github.com/hagenhaeussler/Industrial-Agents-Hackathon-2026/blob/f41616590b69f3ea0c1cbfb41d6c35edd9ce53df/data/train/proc-campus-train-013/questions.jsonl#L1</x:v>
      </x:c>
      <x:c r="AA2269" s="6" t="str">
        <x:v>procedural</x:v>
      </x:c>
      <x:c r="AB2269" s="6" t="str">
        <x:v>CC0-1.0</x:v>
      </x:c>
    </x:row>
    <x:row r="2270" ht="72" customHeight="1">
      <x:c r="A2270" s="14" t="n">
        <x:v>2265</x:v>
      </x:c>
      <x:c r="B2270" s="6" t="str">
        <x:v>floor_area_total</x:v>
      </x:c>
      <x:c r="C2270" s="6" t="str">
        <x:v>Facilities want the total floor area of every lab on the floor 2 added together. How many square metres is that? Finish with a line 'Answer: &lt;number&gt;'.</x:v>
      </x:c>
      <x:c r="D2270" s="6" t="str">
        <x:v>63.78 m2</x:v>
      </x:c>
      <x:c r="E2270" s="6" t="str">
        <x:v>Reference supplied</x:v>
      </x:c>
      <x:c r="F2270" s="6" t="str">
        <x:v>train</x:v>
      </x:c>
      <x:c r="G2270" s="6" t="str">
        <x:v>proc-campus-train-014</x:v>
      </x:c>
      <x:c r="H2270" s="6" t="str">
        <x:v>proc-campus-train-014-H02</x:v>
      </x:c>
      <x:c r="I2270" s="6" t="str">
        <x:v>Area and room selection</x:v>
      </x:c>
      <x:c r="J2270" s="6" t="str">
        <x:v>Benchmark</x:v>
      </x:c>
      <x:c r="K2270" s="6" t="str">
        <x:v>Answer: &lt;one number&gt;</x:v>
      </x:c>
      <x:c r="L2270" s="6" t="str">
        <x:v>T02, T04, T14</x:v>
      </x:c>
      <x:c r="M2270" s="6" t="str">
        <x:v>Sum the floor area of every matching room on one floor.</x:v>
      </x:c>
      <x:c r="N2270" s="6" t="str">
        <x:v>{"type":"number","value":63.78,"unit":"m2","relative_tolerance":0.05,"absolute_tolerance":0}</x:v>
      </x:c>
      <x:c r="O2270" s="6" t="str">
        <x:v>{"floor_id":"proc-campus-train-014-F2","room_type":"lab"}</x:v>
      </x:c>
      <x:c r="P2270" s="6" t="str">
        <x:v>Exact target floor and room_type. Polygon area in m².</x:v>
      </x:c>
      <x:c r="Q2270" s="15" t="n">
        <x:v>63.78</x:v>
      </x:c>
      <x:c r="R2270" s="6" t="str">
        <x:v>m2</x:v>
      </x:c>
      <x:c r="S2270" s="16" t="n">
        <x:v>0.05</x:v>
      </x:c>
      <x:c r="T2270" s="15" t="n">
        <x:v>0</x:v>
      </x:c>
      <x:c r="U2270" s="6" t="str">
        <x:v>Answer: 63.78</x:v>
      </x:c>
      <x:c r="V2270" s="6" t="str">
        <x:v>room geometry: summed area</x:v>
      </x:c>
      <x:c r="W2270" s="6" t="str">
        <x:v>Missing polygon-area aggregation tool.</x:v>
      </x:c>
      <x:c r="X2270" s="6" t="str">
        <x:v>data/train/proc-campus-train-014/questions.jsonl</x:v>
      </x:c>
      <x:c r="Y2270" s="14" t="n">
        <x:v>2</x:v>
      </x:c>
      <x:c r="Z2270" s="6" t="str">
        <x:v>https://github.com/hagenhaeussler/Industrial-Agents-Hackathon-2026/blob/f41616590b69f3ea0c1cbfb41d6c35edd9ce53df/data/train/proc-campus-train-014/questions.jsonl#L2</x:v>
      </x:c>
      <x:c r="AA2270" s="6" t="str">
        <x:v>procedural</x:v>
      </x:c>
      <x:c r="AB2270" s="6" t="str">
        <x:v>CC0-1.0</x:v>
      </x:c>
    </x:row>
    <x:row r="2271" ht="72" customHeight="1">
      <x:c r="A2271" s="14" t="n">
        <x:v>2266</x:v>
      </x:c>
      <x:c r="B2271" s="6" t="str">
        <x:v>floor_area_total</x:v>
      </x:c>
      <x:c r="C2271" s="6" t="str">
        <x:v>Facilities want the total floor area of every office on the ground floor added together. How many square metres is that? Finish with a line 'Answer: &lt;number&gt;'.</x:v>
      </x:c>
      <x:c r="D2271" s="6" t="str">
        <x:v>115.32 m2</x:v>
      </x:c>
      <x:c r="E2271" s="6" t="str">
        <x:v>Reference supplied</x:v>
      </x:c>
      <x:c r="F2271" s="6" t="str">
        <x:v>train</x:v>
      </x:c>
      <x:c r="G2271" s="6" t="str">
        <x:v>proc-campus-train-016</x:v>
      </x:c>
      <x:c r="H2271" s="6" t="str">
        <x:v>proc-campus-train-016-H01</x:v>
      </x:c>
      <x:c r="I2271" s="6" t="str">
        <x:v>Area and room selection</x:v>
      </x:c>
      <x:c r="J2271" s="6" t="str">
        <x:v>Benchmark</x:v>
      </x:c>
      <x:c r="K2271" s="6" t="str">
        <x:v>Answer: &lt;one number&gt;</x:v>
      </x:c>
      <x:c r="L2271" s="6" t="str">
        <x:v>T02, T04, T14</x:v>
      </x:c>
      <x:c r="M2271" s="6" t="str">
        <x:v>Sum the floor area of every matching room on one floor.</x:v>
      </x:c>
      <x:c r="N2271" s="6" t="str">
        <x:v>{"type":"number","value":115.32,"unit":"m2","relative_tolerance":0.05,"absolute_tolerance":0}</x:v>
      </x:c>
      <x:c r="O2271" s="6" t="str">
        <x:v>{"floor_id":"proc-campus-train-016-F0","room_type":"office"}</x:v>
      </x:c>
      <x:c r="P2271" s="6" t="str">
        <x:v>Exact target floor and room_type. Polygon area in m².</x:v>
      </x:c>
      <x:c r="Q2271" s="15" t="n">
        <x:v>115.32</x:v>
      </x:c>
      <x:c r="R2271" s="6" t="str">
        <x:v>m2</x:v>
      </x:c>
      <x:c r="S2271" s="16" t="n">
        <x:v>0.05</x:v>
      </x:c>
      <x:c r="T2271" s="15" t="n">
        <x:v>0</x:v>
      </x:c>
      <x:c r="U2271" s="6" t="str">
        <x:v>Answer: 115.32</x:v>
      </x:c>
      <x:c r="V2271" s="6" t="str">
        <x:v>room geometry: summed area</x:v>
      </x:c>
      <x:c r="W2271" s="6" t="str">
        <x:v>Missing polygon-area aggregation tool.</x:v>
      </x:c>
      <x:c r="X2271" s="6" t="str">
        <x:v>data/train/proc-campus-train-016/questions.jsonl</x:v>
      </x:c>
      <x:c r="Y2271" s="14" t="n">
        <x:v>1</x:v>
      </x:c>
      <x:c r="Z2271" s="6" t="str">
        <x:v>https://github.com/hagenhaeussler/Industrial-Agents-Hackathon-2026/blob/f41616590b69f3ea0c1cbfb41d6c35edd9ce53df/data/train/proc-campus-train-016/questions.jsonl#L1</x:v>
      </x:c>
      <x:c r="AA2271" s="6" t="str">
        <x:v>procedural</x:v>
      </x:c>
      <x:c r="AB2271" s="6" t="str">
        <x:v>CC0-1.0</x:v>
      </x:c>
    </x:row>
    <x:row r="2272" ht="72" customHeight="1">
      <x:c r="A2272" s="14" t="n">
        <x:v>2267</x:v>
      </x:c>
      <x:c r="B2272" s="6" t="str">
        <x:v>floor_area_total</x:v>
      </x:c>
      <x:c r="C2272" s="6" t="str">
        <x:v>Facilities want the total floor area of every office on the floor 1 added together. How many square metres is that? Finish with a line 'Answer: &lt;number&gt;'.</x:v>
      </x:c>
      <x:c r="D2272" s="6" t="str">
        <x:v>202.14 m2</x:v>
      </x:c>
      <x:c r="E2272" s="6" t="str">
        <x:v>Reference supplied</x:v>
      </x:c>
      <x:c r="F2272" s="6" t="str">
        <x:v>train</x:v>
      </x:c>
      <x:c r="G2272" s="6" t="str">
        <x:v>proc-campus-train-019</x:v>
      </x:c>
      <x:c r="H2272" s="6" t="str">
        <x:v>proc-campus-train-019-H02</x:v>
      </x:c>
      <x:c r="I2272" s="6" t="str">
        <x:v>Area and room selection</x:v>
      </x:c>
      <x:c r="J2272" s="6" t="str">
        <x:v>Benchmark</x:v>
      </x:c>
      <x:c r="K2272" s="6" t="str">
        <x:v>Answer: &lt;one number&gt;</x:v>
      </x:c>
      <x:c r="L2272" s="6" t="str">
        <x:v>T02, T04, T14</x:v>
      </x:c>
      <x:c r="M2272" s="6" t="str">
        <x:v>Sum the floor area of every matching room on one floor.</x:v>
      </x:c>
      <x:c r="N2272" s="6" t="str">
        <x:v>{"type":"number","value":202.14,"unit":"m2","relative_tolerance":0.05,"absolute_tolerance":0}</x:v>
      </x:c>
      <x:c r="O2272" s="6" t="str">
        <x:v>{"floor_id":"proc-campus-train-019-F1","room_type":"office"}</x:v>
      </x:c>
      <x:c r="P2272" s="6" t="str">
        <x:v>Exact target floor and room_type. Polygon area in m².</x:v>
      </x:c>
      <x:c r="Q2272" s="15" t="n">
        <x:v>202.14</x:v>
      </x:c>
      <x:c r="R2272" s="6" t="str">
        <x:v>m2</x:v>
      </x:c>
      <x:c r="S2272" s="16" t="n">
        <x:v>0.05</x:v>
      </x:c>
      <x:c r="T2272" s="15" t="n">
        <x:v>0</x:v>
      </x:c>
      <x:c r="U2272" s="6" t="str">
        <x:v>Answer: 202.14</x:v>
      </x:c>
      <x:c r="V2272" s="6" t="str">
        <x:v>room geometry: summed area</x:v>
      </x:c>
      <x:c r="W2272" s="6" t="str">
        <x:v>Missing polygon-area aggregation tool.</x:v>
      </x:c>
      <x:c r="X2272" s="6" t="str">
        <x:v>data/train/proc-campus-train-019/questions.jsonl</x:v>
      </x:c>
      <x:c r="Y2272" s="14" t="n">
        <x:v>2</x:v>
      </x:c>
      <x:c r="Z2272" s="6" t="str">
        <x:v>https://github.com/hagenhaeussler/Industrial-Agents-Hackathon-2026/blob/f41616590b69f3ea0c1cbfb41d6c35edd9ce53df/data/train/proc-campus-train-019/questions.jsonl#L2</x:v>
      </x:c>
      <x:c r="AA2272" s="6" t="str">
        <x:v>procedural</x:v>
      </x:c>
      <x:c r="AB2272" s="6" t="str">
        <x:v>CC0-1.0</x:v>
      </x:c>
    </x:row>
    <x:row r="2273" ht="72" customHeight="1">
      <x:c r="A2273" s="14" t="n">
        <x:v>2268</x:v>
      </x:c>
      <x:c r="B2273" s="6" t="str">
        <x:v>floor_area_total</x:v>
      </x:c>
      <x:c r="C2273" s="6" t="str">
        <x:v>Facilities want the total floor area of every warehouse zone on the ground floor added together. How many square metres is that? Finish with a line 'Answer: &lt;number&gt;'.</x:v>
      </x:c>
      <x:c r="D2273" s="6" t="str">
        <x:v>978.2 m2</x:v>
      </x:c>
      <x:c r="E2273" s="6" t="str">
        <x:v>Reference supplied</x:v>
      </x:c>
      <x:c r="F2273" s="6" t="str">
        <x:v>train</x:v>
      </x:c>
      <x:c r="G2273" s="6" t="str">
        <x:v>proc-factory-train-005</x:v>
      </x:c>
      <x:c r="H2273" s="6" t="str">
        <x:v>proc-factory-train-005-H02</x:v>
      </x:c>
      <x:c r="I2273" s="6" t="str">
        <x:v>Area and room selection</x:v>
      </x:c>
      <x:c r="J2273" s="6" t="str">
        <x:v>Benchmark</x:v>
      </x:c>
      <x:c r="K2273" s="6" t="str">
        <x:v>Answer: &lt;one number&gt;</x:v>
      </x:c>
      <x:c r="L2273" s="6" t="str">
        <x:v>T02, T04, T14</x:v>
      </x:c>
      <x:c r="M2273" s="6" t="str">
        <x:v>Sum the floor area of every matching room on one floor.</x:v>
      </x:c>
      <x:c r="N2273" s="6" t="str">
        <x:v>{"type":"number","value":978.2,"unit":"m2","relative_tolerance":0.05,"absolute_tolerance":0}</x:v>
      </x:c>
      <x:c r="O2273" s="6" t="str">
        <x:v>{"floor_id":"proc-factory-train-005-F0","room_type":"warehouse_zone"}</x:v>
      </x:c>
      <x:c r="P2273" s="6" t="str">
        <x:v>Exact target floor and room_type. Polygon area in m².</x:v>
      </x:c>
      <x:c r="Q2273" s="15" t="n">
        <x:v>978.2</x:v>
      </x:c>
      <x:c r="R2273" s="6" t="str">
        <x:v>m2</x:v>
      </x:c>
      <x:c r="S2273" s="16" t="n">
        <x:v>0.05</x:v>
      </x:c>
      <x:c r="T2273" s="15" t="n">
        <x:v>0</x:v>
      </x:c>
      <x:c r="U2273" s="6" t="str">
        <x:v>Answer: 978.2</x:v>
      </x:c>
      <x:c r="V2273" s="6" t="str">
        <x:v>room geometry: summed area</x:v>
      </x:c>
      <x:c r="W2273" s="6" t="str">
        <x:v>Missing polygon-area aggregation tool.</x:v>
      </x:c>
      <x:c r="X2273" s="6" t="str">
        <x:v>data/train/proc-factory-train-005/questions.jsonl</x:v>
      </x:c>
      <x:c r="Y2273" s="14" t="n">
        <x:v>2</x:v>
      </x:c>
      <x:c r="Z2273" s="6" t="str">
        <x:v>https://github.com/hagenhaeussler/Industrial-Agents-Hackathon-2026/blob/f41616590b69f3ea0c1cbfb41d6c35edd9ce53df/data/train/proc-factory-train-005/questions.jsonl#L2</x:v>
      </x:c>
      <x:c r="AA2273" s="6" t="str">
        <x:v>procedural</x:v>
      </x:c>
      <x:c r="AB2273" s="6" t="str">
        <x:v>CC0-1.0</x:v>
      </x:c>
    </x:row>
    <x:row r="2274" ht="72" customHeight="1">
      <x:c r="A2274" s="14" t="n">
        <x:v>2269</x:v>
      </x:c>
      <x:c r="B2274" s="6" t="str">
        <x:v>floor_area_total</x:v>
      </x:c>
      <x:c r="C2274" s="6" t="str">
        <x:v>Facilities want the total floor area of every office on the ground floor added together. How many square metres is that? Finish with a line 'Answer: &lt;number&gt;'.</x:v>
      </x:c>
      <x:c r="D2274" s="6" t="str">
        <x:v>67.25 m2</x:v>
      </x:c>
      <x:c r="E2274" s="6" t="str">
        <x:v>Reference supplied</x:v>
      </x:c>
      <x:c r="F2274" s="6" t="str">
        <x:v>train</x:v>
      </x:c>
      <x:c r="G2274" s="6" t="str">
        <x:v>proc-factory-train-006</x:v>
      </x:c>
      <x:c r="H2274" s="6" t="str">
        <x:v>proc-factory-train-006-H02</x:v>
      </x:c>
      <x:c r="I2274" s="6" t="str">
        <x:v>Area and room selection</x:v>
      </x:c>
      <x:c r="J2274" s="6" t="str">
        <x:v>Benchmark</x:v>
      </x:c>
      <x:c r="K2274" s="6" t="str">
        <x:v>Answer: &lt;one number&gt;</x:v>
      </x:c>
      <x:c r="L2274" s="6" t="str">
        <x:v>T02, T04, T14</x:v>
      </x:c>
      <x:c r="M2274" s="6" t="str">
        <x:v>Sum the floor area of every matching room on one floor.</x:v>
      </x:c>
      <x:c r="N2274" s="6" t="str">
        <x:v>{"type":"number","value":67.25,"unit":"m2","relative_tolerance":0.05,"absolute_tolerance":0}</x:v>
      </x:c>
      <x:c r="O2274" s="6" t="str">
        <x:v>{"floor_id":"proc-factory-train-006-F0","room_type":"office"}</x:v>
      </x:c>
      <x:c r="P2274" s="6" t="str">
        <x:v>Exact target floor and room_type. Polygon area in m².</x:v>
      </x:c>
      <x:c r="Q2274" s="15" t="n">
        <x:v>67.25</x:v>
      </x:c>
      <x:c r="R2274" s="6" t="str">
        <x:v>m2</x:v>
      </x:c>
      <x:c r="S2274" s="16" t="n">
        <x:v>0.05</x:v>
      </x:c>
      <x:c r="T2274" s="15" t="n">
        <x:v>0</x:v>
      </x:c>
      <x:c r="U2274" s="6" t="str">
        <x:v>Answer: 67.25</x:v>
      </x:c>
      <x:c r="V2274" s="6" t="str">
        <x:v>room geometry: summed area</x:v>
      </x:c>
      <x:c r="W2274" s="6" t="str">
        <x:v>Missing polygon-area aggregation tool.</x:v>
      </x:c>
      <x:c r="X2274" s="6" t="str">
        <x:v>data/train/proc-factory-train-006/questions.jsonl</x:v>
      </x:c>
      <x:c r="Y2274" s="14" t="n">
        <x:v>2</x:v>
      </x:c>
      <x:c r="Z2274" s="6" t="str">
        <x:v>https://github.com/hagenhaeussler/Industrial-Agents-Hackathon-2026/blob/f41616590b69f3ea0c1cbfb41d6c35edd9ce53df/data/train/proc-factory-train-006/questions.jsonl#L2</x:v>
      </x:c>
      <x:c r="AA2274" s="6" t="str">
        <x:v>procedural</x:v>
      </x:c>
      <x:c r="AB2274" s="6" t="str">
        <x:v>CC0-1.0</x:v>
      </x:c>
    </x:row>
    <x:row r="2275" ht="72" customHeight="1">
      <x:c r="A2275" s="14" t="n">
        <x:v>2270</x:v>
      </x:c>
      <x:c r="B2275" s="6" t="str">
        <x:v>floor_area_total</x:v>
      </x:c>
      <x:c r="C2275" s="6" t="str">
        <x:v>Facilities want the total floor area of every office on the ground floor added together. How many square metres is that? Finish with a line 'Answer: &lt;number&gt;'.</x:v>
      </x:c>
      <x:c r="D2275" s="6" t="str">
        <x:v>140.65 m2</x:v>
      </x:c>
      <x:c r="E2275" s="6" t="str">
        <x:v>Reference supplied</x:v>
      </x:c>
      <x:c r="F2275" s="6" t="str">
        <x:v>train</x:v>
      </x:c>
      <x:c r="G2275" s="6" t="str">
        <x:v>proc-factory-train-007</x:v>
      </x:c>
      <x:c r="H2275" s="6" t="str">
        <x:v>proc-factory-train-007-H02</x:v>
      </x:c>
      <x:c r="I2275" s="6" t="str">
        <x:v>Area and room selection</x:v>
      </x:c>
      <x:c r="J2275" s="6" t="str">
        <x:v>Benchmark</x:v>
      </x:c>
      <x:c r="K2275" s="6" t="str">
        <x:v>Answer: &lt;one number&gt;</x:v>
      </x:c>
      <x:c r="L2275" s="6" t="str">
        <x:v>T02, T04, T14</x:v>
      </x:c>
      <x:c r="M2275" s="6" t="str">
        <x:v>Sum the floor area of every matching room on one floor.</x:v>
      </x:c>
      <x:c r="N2275" s="6" t="str">
        <x:v>{"type":"number","value":140.65,"unit":"m2","relative_tolerance":0.05,"absolute_tolerance":0}</x:v>
      </x:c>
      <x:c r="O2275" s="6" t="str">
        <x:v>{"floor_id":"proc-factory-train-007-F0","room_type":"office"}</x:v>
      </x:c>
      <x:c r="P2275" s="6" t="str">
        <x:v>Exact target floor and room_type. Polygon area in m².</x:v>
      </x:c>
      <x:c r="Q2275" s="15" t="n">
        <x:v>140.65</x:v>
      </x:c>
      <x:c r="R2275" s="6" t="str">
        <x:v>m2</x:v>
      </x:c>
      <x:c r="S2275" s="16" t="n">
        <x:v>0.05</x:v>
      </x:c>
      <x:c r="T2275" s="15" t="n">
        <x:v>0</x:v>
      </x:c>
      <x:c r="U2275" s="6" t="str">
        <x:v>Answer: 140.65</x:v>
      </x:c>
      <x:c r="V2275" s="6" t="str">
        <x:v>room geometry: summed area</x:v>
      </x:c>
      <x:c r="W2275" s="6" t="str">
        <x:v>Missing polygon-area aggregation tool.</x:v>
      </x:c>
      <x:c r="X2275" s="6" t="str">
        <x:v>data/train/proc-factory-train-007/questions.jsonl</x:v>
      </x:c>
      <x:c r="Y2275" s="14" t="n">
        <x:v>2</x:v>
      </x:c>
      <x:c r="Z2275" s="6" t="str">
        <x:v>https://github.com/hagenhaeussler/Industrial-Agents-Hackathon-2026/blob/f41616590b69f3ea0c1cbfb41d6c35edd9ce53df/data/train/proc-factory-train-007/questions.jsonl#L2</x:v>
      </x:c>
      <x:c r="AA2275" s="6" t="str">
        <x:v>procedural</x:v>
      </x:c>
      <x:c r="AB2275" s="6" t="str">
        <x:v>CC0-1.0</x:v>
      </x:c>
    </x:row>
    <x:row r="2276" ht="72" customHeight="1">
      <x:c r="A2276" s="14" t="n">
        <x:v>2271</x:v>
      </x:c>
      <x:c r="B2276" s="6" t="str">
        <x:v>floor_area_total</x:v>
      </x:c>
      <x:c r="C2276" s="6" t="str">
        <x:v>Facilities want the total floor area of every office on the ground floor added together. How many square metres is that? Finish with a line 'Answer: &lt;number&gt;'.</x:v>
      </x:c>
      <x:c r="D2276" s="6" t="str">
        <x:v>113.75 m2</x:v>
      </x:c>
      <x:c r="E2276" s="6" t="str">
        <x:v>Reference supplied</x:v>
      </x:c>
      <x:c r="F2276" s="6" t="str">
        <x:v>train</x:v>
      </x:c>
      <x:c r="G2276" s="6" t="str">
        <x:v>proc-factory-train-008</x:v>
      </x:c>
      <x:c r="H2276" s="6" t="str">
        <x:v>proc-factory-train-008-H01</x:v>
      </x:c>
      <x:c r="I2276" s="6" t="str">
        <x:v>Area and room selection</x:v>
      </x:c>
      <x:c r="J2276" s="6" t="str">
        <x:v>Benchmark</x:v>
      </x:c>
      <x:c r="K2276" s="6" t="str">
        <x:v>Answer: &lt;one number&gt;</x:v>
      </x:c>
      <x:c r="L2276" s="6" t="str">
        <x:v>T02, T04, T14</x:v>
      </x:c>
      <x:c r="M2276" s="6" t="str">
        <x:v>Sum the floor area of every matching room on one floor.</x:v>
      </x:c>
      <x:c r="N2276" s="6" t="str">
        <x:v>{"type":"number","value":113.75,"unit":"m2","relative_tolerance":0.05,"absolute_tolerance":0}</x:v>
      </x:c>
      <x:c r="O2276" s="6" t="str">
        <x:v>{"floor_id":"proc-factory-train-008-F0","room_type":"office"}</x:v>
      </x:c>
      <x:c r="P2276" s="6" t="str">
        <x:v>Exact target floor and room_type. Polygon area in m².</x:v>
      </x:c>
      <x:c r="Q2276" s="15" t="n">
        <x:v>113.75</x:v>
      </x:c>
      <x:c r="R2276" s="6" t="str">
        <x:v>m2</x:v>
      </x:c>
      <x:c r="S2276" s="16" t="n">
        <x:v>0.05</x:v>
      </x:c>
      <x:c r="T2276" s="15" t="n">
        <x:v>0</x:v>
      </x:c>
      <x:c r="U2276" s="6" t="str">
        <x:v>Answer: 113.75</x:v>
      </x:c>
      <x:c r="V2276" s="6" t="str">
        <x:v>room geometry: summed area</x:v>
      </x:c>
      <x:c r="W2276" s="6" t="str">
        <x:v>Missing polygon-area aggregation tool.</x:v>
      </x:c>
      <x:c r="X2276" s="6" t="str">
        <x:v>data/train/proc-factory-train-008/questions.jsonl</x:v>
      </x:c>
      <x:c r="Y2276" s="14" t="n">
        <x:v>1</x:v>
      </x:c>
      <x:c r="Z2276" s="6" t="str">
        <x:v>https://github.com/hagenhaeussler/Industrial-Agents-Hackathon-2026/blob/f41616590b69f3ea0c1cbfb41d6c35edd9ce53df/data/train/proc-factory-train-008/questions.jsonl#L1</x:v>
      </x:c>
      <x:c r="AA2276" s="6" t="str">
        <x:v>procedural</x:v>
      </x:c>
      <x:c r="AB2276" s="6" t="str">
        <x:v>CC0-1.0</x:v>
      </x:c>
    </x:row>
    <x:row r="2277" ht="72" customHeight="1">
      <x:c r="A2277" s="14" t="n">
        <x:v>2272</x:v>
      </x:c>
      <x:c r="B2277" s="6" t="str">
        <x:v>floor_area_total</x:v>
      </x:c>
      <x:c r="C2277" s="6" t="str">
        <x:v>Facilities want the total floor area of every office on the floor 1 added together. How many square metres is that? Finish with a line 'Answer: &lt;number&gt;'.</x:v>
      </x:c>
      <x:c r="D2277" s="6" t="str">
        <x:v>267.3 m2</x:v>
      </x:c>
      <x:c r="E2277" s="6" t="str">
        <x:v>Reference supplied</x:v>
      </x:c>
      <x:c r="F2277" s="6" t="str">
        <x:v>train</x:v>
      </x:c>
      <x:c r="G2277" s="6" t="str">
        <x:v>proc-factory-train-009</x:v>
      </x:c>
      <x:c r="H2277" s="6" t="str">
        <x:v>proc-factory-train-009-H02</x:v>
      </x:c>
      <x:c r="I2277" s="6" t="str">
        <x:v>Area and room selection</x:v>
      </x:c>
      <x:c r="J2277" s="6" t="str">
        <x:v>Benchmark</x:v>
      </x:c>
      <x:c r="K2277" s="6" t="str">
        <x:v>Answer: &lt;one number&gt;</x:v>
      </x:c>
      <x:c r="L2277" s="6" t="str">
        <x:v>T02, T04, T14</x:v>
      </x:c>
      <x:c r="M2277" s="6" t="str">
        <x:v>Sum the floor area of every matching room on one floor.</x:v>
      </x:c>
      <x:c r="N2277" s="6" t="str">
        <x:v>{"type":"number","value":267.3,"unit":"m2","relative_tolerance":0.05,"absolute_tolerance":0}</x:v>
      </x:c>
      <x:c r="O2277" s="6" t="str">
        <x:v>{"floor_id":"proc-factory-train-009-F1","room_type":"office"}</x:v>
      </x:c>
      <x:c r="P2277" s="6" t="str">
        <x:v>Exact target floor and room_type. Polygon area in m².</x:v>
      </x:c>
      <x:c r="Q2277" s="15" t="n">
        <x:v>267.3</x:v>
      </x:c>
      <x:c r="R2277" s="6" t="str">
        <x:v>m2</x:v>
      </x:c>
      <x:c r="S2277" s="16" t="n">
        <x:v>0.05</x:v>
      </x:c>
      <x:c r="T2277" s="15" t="n">
        <x:v>0</x:v>
      </x:c>
      <x:c r="U2277" s="6" t="str">
        <x:v>Answer: 267.3</x:v>
      </x:c>
      <x:c r="V2277" s="6" t="str">
        <x:v>room geometry: summed area</x:v>
      </x:c>
      <x:c r="W2277" s="6" t="str">
        <x:v>Missing polygon-area aggregation tool.</x:v>
      </x:c>
      <x:c r="X2277" s="6" t="str">
        <x:v>data/train/proc-factory-train-009/questions.jsonl</x:v>
      </x:c>
      <x:c r="Y2277" s="14" t="n">
        <x:v>2</x:v>
      </x:c>
      <x:c r="Z2277" s="6" t="str">
        <x:v>https://github.com/hagenhaeussler/Industrial-Agents-Hackathon-2026/blob/f41616590b69f3ea0c1cbfb41d6c35edd9ce53df/data/train/proc-factory-train-009/questions.jsonl#L2</x:v>
      </x:c>
      <x:c r="AA2277" s="6" t="str">
        <x:v>procedural</x:v>
      </x:c>
      <x:c r="AB2277" s="6" t="str">
        <x:v>CC0-1.0</x:v>
      </x:c>
    </x:row>
    <x:row r="2278" ht="72" customHeight="1">
      <x:c r="A2278" s="14" t="n">
        <x:v>2273</x:v>
      </x:c>
      <x:c r="B2278" s="6" t="str">
        <x:v>floor_area_total</x:v>
      </x:c>
      <x:c r="C2278" s="6" t="str">
        <x:v>Facilities want the total floor area of every office on the floor 1 added together. How many square metres is that? Finish with a line 'Answer: &lt;number&gt;'.</x:v>
      </x:c>
      <x:c r="D2278" s="6" t="str">
        <x:v>150.3 m2</x:v>
      </x:c>
      <x:c r="E2278" s="6" t="str">
        <x:v>Reference supplied</x:v>
      </x:c>
      <x:c r="F2278" s="6" t="str">
        <x:v>train</x:v>
      </x:c>
      <x:c r="G2278" s="6" t="str">
        <x:v>proc-factory-train-010</x:v>
      </x:c>
      <x:c r="H2278" s="6" t="str">
        <x:v>proc-factory-train-010-H01</x:v>
      </x:c>
      <x:c r="I2278" s="6" t="str">
        <x:v>Area and room selection</x:v>
      </x:c>
      <x:c r="J2278" s="6" t="str">
        <x:v>Benchmark</x:v>
      </x:c>
      <x:c r="K2278" s="6" t="str">
        <x:v>Answer: &lt;one number&gt;</x:v>
      </x:c>
      <x:c r="L2278" s="6" t="str">
        <x:v>T02, T04, T14</x:v>
      </x:c>
      <x:c r="M2278" s="6" t="str">
        <x:v>Sum the floor area of every matching room on one floor.</x:v>
      </x:c>
      <x:c r="N2278" s="6" t="str">
        <x:v>{"type":"number","value":150.3,"unit":"m2","relative_tolerance":0.05,"absolute_tolerance":0}</x:v>
      </x:c>
      <x:c r="O2278" s="6" t="str">
        <x:v>{"floor_id":"proc-factory-train-010-F1","room_type":"office"}</x:v>
      </x:c>
      <x:c r="P2278" s="6" t="str">
        <x:v>Exact target floor and room_type. Polygon area in m².</x:v>
      </x:c>
      <x:c r="Q2278" s="15" t="n">
        <x:v>150.3</x:v>
      </x:c>
      <x:c r="R2278" s="6" t="str">
        <x:v>m2</x:v>
      </x:c>
      <x:c r="S2278" s="16" t="n">
        <x:v>0.05</x:v>
      </x:c>
      <x:c r="T2278" s="15" t="n">
        <x:v>0</x:v>
      </x:c>
      <x:c r="U2278" s="6" t="str">
        <x:v>Answer: 150.3</x:v>
      </x:c>
      <x:c r="V2278" s="6" t="str">
        <x:v>room geometry: summed area</x:v>
      </x:c>
      <x:c r="W2278" s="6" t="str">
        <x:v>Missing polygon-area aggregation tool.</x:v>
      </x:c>
      <x:c r="X2278" s="6" t="str">
        <x:v>data/train/proc-factory-train-010/questions.jsonl</x:v>
      </x:c>
      <x:c r="Y2278" s="14" t="n">
        <x:v>1</x:v>
      </x:c>
      <x:c r="Z2278" s="6" t="str">
        <x:v>https://github.com/hagenhaeussler/Industrial-Agents-Hackathon-2026/blob/f41616590b69f3ea0c1cbfb41d6c35edd9ce53df/data/train/proc-factory-train-010/questions.jsonl#L1</x:v>
      </x:c>
      <x:c r="AA2278" s="6" t="str">
        <x:v>procedural</x:v>
      </x:c>
      <x:c r="AB2278" s="6" t="str">
        <x:v>CC0-1.0</x:v>
      </x:c>
    </x:row>
    <x:row r="2279" ht="72" customHeight="1">
      <x:c r="A2279" s="14" t="n">
        <x:v>2274</x:v>
      </x:c>
      <x:c r="B2279" s="6" t="str">
        <x:v>floor_area_total</x:v>
      </x:c>
      <x:c r="C2279" s="6" t="str">
        <x:v>Facilities want the total floor area of every office on the ground floor added together. How many square metres is that? Finish with a line 'Answer: &lt;number&gt;'.</x:v>
      </x:c>
      <x:c r="D2279" s="6" t="str">
        <x:v>125.45 m2</x:v>
      </x:c>
      <x:c r="E2279" s="6" t="str">
        <x:v>Reference supplied</x:v>
      </x:c>
      <x:c r="F2279" s="6" t="str">
        <x:v>train</x:v>
      </x:c>
      <x:c r="G2279" s="6" t="str">
        <x:v>proc-factory-train-015</x:v>
      </x:c>
      <x:c r="H2279" s="6" t="str">
        <x:v>proc-factory-train-015-H02</x:v>
      </x:c>
      <x:c r="I2279" s="6" t="str">
        <x:v>Area and room selection</x:v>
      </x:c>
      <x:c r="J2279" s="6" t="str">
        <x:v>Benchmark</x:v>
      </x:c>
      <x:c r="K2279" s="6" t="str">
        <x:v>Answer: &lt;one number&gt;</x:v>
      </x:c>
      <x:c r="L2279" s="6" t="str">
        <x:v>T02, T04, T14</x:v>
      </x:c>
      <x:c r="M2279" s="6" t="str">
        <x:v>Sum the floor area of every matching room on one floor.</x:v>
      </x:c>
      <x:c r="N2279" s="6" t="str">
        <x:v>{"type":"number","value":125.45,"unit":"m2","relative_tolerance":0.05,"absolute_tolerance":0}</x:v>
      </x:c>
      <x:c r="O2279" s="6" t="str">
        <x:v>{"floor_id":"proc-factory-train-015-F0","room_type":"office"}</x:v>
      </x:c>
      <x:c r="P2279" s="6" t="str">
        <x:v>Exact target floor and room_type. Polygon area in m².</x:v>
      </x:c>
      <x:c r="Q2279" s="15" t="n">
        <x:v>125.45</x:v>
      </x:c>
      <x:c r="R2279" s="6" t="str">
        <x:v>m2</x:v>
      </x:c>
      <x:c r="S2279" s="16" t="n">
        <x:v>0.05</x:v>
      </x:c>
      <x:c r="T2279" s="15" t="n">
        <x:v>0</x:v>
      </x:c>
      <x:c r="U2279" s="6" t="str">
        <x:v>Answer: 125.45</x:v>
      </x:c>
      <x:c r="V2279" s="6" t="str">
        <x:v>room geometry: summed area</x:v>
      </x:c>
      <x:c r="W2279" s="6" t="str">
        <x:v>Missing polygon-area aggregation tool.</x:v>
      </x:c>
      <x:c r="X2279" s="6" t="str">
        <x:v>data/train/proc-factory-train-015/questions.jsonl</x:v>
      </x:c>
      <x:c r="Y2279" s="14" t="n">
        <x:v>2</x:v>
      </x:c>
      <x:c r="Z2279" s="6" t="str">
        <x:v>https://github.com/hagenhaeussler/Industrial-Agents-Hackathon-2026/blob/f41616590b69f3ea0c1cbfb41d6c35edd9ce53df/data/train/proc-factory-train-015/questions.jsonl#L2</x:v>
      </x:c>
      <x:c r="AA2279" s="6" t="str">
        <x:v>procedural</x:v>
      </x:c>
      <x:c r="AB2279" s="6" t="str">
        <x:v>CC0-1.0</x:v>
      </x:c>
    </x:row>
    <x:row r="2280" ht="72" customHeight="1">
      <x:c r="A2280" s="14" t="n">
        <x:v>2275</x:v>
      </x:c>
      <x:c r="B2280" s="6" t="str">
        <x:v>floor_area_total</x:v>
      </x:c>
      <x:c r="C2280" s="6" t="str">
        <x:v>Facilities want the total floor area of every office on the ground floor added together. How many square metres is that? Finish with a line 'Answer: &lt;number&gt;'.</x:v>
      </x:c>
      <x:c r="D2280" s="6" t="str">
        <x:v>83.65 m2</x:v>
      </x:c>
      <x:c r="E2280" s="6" t="str">
        <x:v>Reference supplied</x:v>
      </x:c>
      <x:c r="F2280" s="6" t="str">
        <x:v>train</x:v>
      </x:c>
      <x:c r="G2280" s="6" t="str">
        <x:v>proc-factory-train-017</x:v>
      </x:c>
      <x:c r="H2280" s="6" t="str">
        <x:v>proc-factory-train-017-H01</x:v>
      </x:c>
      <x:c r="I2280" s="6" t="str">
        <x:v>Area and room selection</x:v>
      </x:c>
      <x:c r="J2280" s="6" t="str">
        <x:v>Benchmark</x:v>
      </x:c>
      <x:c r="K2280" s="6" t="str">
        <x:v>Answer: &lt;one number&gt;</x:v>
      </x:c>
      <x:c r="L2280" s="6" t="str">
        <x:v>T02, T04, T14</x:v>
      </x:c>
      <x:c r="M2280" s="6" t="str">
        <x:v>Sum the floor area of every matching room on one floor.</x:v>
      </x:c>
      <x:c r="N2280" s="6" t="str">
        <x:v>{"type":"number","value":83.65,"unit":"m2","relative_tolerance":0.05,"absolute_tolerance":0}</x:v>
      </x:c>
      <x:c r="O2280" s="6" t="str">
        <x:v>{"floor_id":"proc-factory-train-017-F0","room_type":"office"}</x:v>
      </x:c>
      <x:c r="P2280" s="6" t="str">
        <x:v>Exact target floor and room_type. Polygon area in m².</x:v>
      </x:c>
      <x:c r="Q2280" s="15" t="n">
        <x:v>83.65</x:v>
      </x:c>
      <x:c r="R2280" s="6" t="str">
        <x:v>m2</x:v>
      </x:c>
      <x:c r="S2280" s="16" t="n">
        <x:v>0.05</x:v>
      </x:c>
      <x:c r="T2280" s="15" t="n">
        <x:v>0</x:v>
      </x:c>
      <x:c r="U2280" s="6" t="str">
        <x:v>Answer: 83.65</x:v>
      </x:c>
      <x:c r="V2280" s="6" t="str">
        <x:v>room geometry: summed area</x:v>
      </x:c>
      <x:c r="W2280" s="6" t="str">
        <x:v>Missing polygon-area aggregation tool.</x:v>
      </x:c>
      <x:c r="X2280" s="6" t="str">
        <x:v>data/train/proc-factory-train-017/questions.jsonl</x:v>
      </x:c>
      <x:c r="Y2280" s="14" t="n">
        <x:v>1</x:v>
      </x:c>
      <x:c r="Z2280" s="6" t="str">
        <x:v>https://github.com/hagenhaeussler/Industrial-Agents-Hackathon-2026/blob/f41616590b69f3ea0c1cbfb41d6c35edd9ce53df/data/train/proc-factory-train-017/questions.jsonl#L1</x:v>
      </x:c>
      <x:c r="AA2280" s="6" t="str">
        <x:v>procedural</x:v>
      </x:c>
      <x:c r="AB2280" s="6" t="str">
        <x:v>CC0-1.0</x:v>
      </x:c>
    </x:row>
    <x:row r="2281" ht="72" customHeight="1">
      <x:c r="A2281" s="14" t="n">
        <x:v>2276</x:v>
      </x:c>
      <x:c r="B2281" s="6" t="str">
        <x:v>floor_area_total</x:v>
      </x:c>
      <x:c r="C2281" s="6" t="str">
        <x:v>Facilities want the total floor area of every server room on the ground floor added together. How many square metres is that? Finish with a line 'Answer: &lt;number&gt;'.</x:v>
      </x:c>
      <x:c r="D2281" s="6" t="str">
        <x:v>63.4 m2</x:v>
      </x:c>
      <x:c r="E2281" s="6" t="str">
        <x:v>Reference supplied</x:v>
      </x:c>
      <x:c r="F2281" s="6" t="str">
        <x:v>train</x:v>
      </x:c>
      <x:c r="G2281" s="6" t="str">
        <x:v>proc-factory-train-018</x:v>
      </x:c>
      <x:c r="H2281" s="6" t="str">
        <x:v>proc-factory-train-018-H01</x:v>
      </x:c>
      <x:c r="I2281" s="6" t="str">
        <x:v>Area and room selection</x:v>
      </x:c>
      <x:c r="J2281" s="6" t="str">
        <x:v>Benchmark</x:v>
      </x:c>
      <x:c r="K2281" s="6" t="str">
        <x:v>Answer: &lt;one number&gt;</x:v>
      </x:c>
      <x:c r="L2281" s="6" t="str">
        <x:v>T02, T04, T14</x:v>
      </x:c>
      <x:c r="M2281" s="6" t="str">
        <x:v>Sum the floor area of every matching room on one floor.</x:v>
      </x:c>
      <x:c r="N2281" s="6" t="str">
        <x:v>{"type":"number","value":63.4,"unit":"m2","relative_tolerance":0.05,"absolute_tolerance":0}</x:v>
      </x:c>
      <x:c r="O2281" s="6" t="str">
        <x:v>{"floor_id":"proc-factory-train-018-F0","room_type":"server_room"}</x:v>
      </x:c>
      <x:c r="P2281" s="6" t="str">
        <x:v>Exact target floor and room_type. Polygon area in m².</x:v>
      </x:c>
      <x:c r="Q2281" s="15" t="n">
        <x:v>63.4</x:v>
      </x:c>
      <x:c r="R2281" s="6" t="str">
        <x:v>m2</x:v>
      </x:c>
      <x:c r="S2281" s="16" t="n">
        <x:v>0.05</x:v>
      </x:c>
      <x:c r="T2281" s="15" t="n">
        <x:v>0</x:v>
      </x:c>
      <x:c r="U2281" s="6" t="str">
        <x:v>Answer: 63.4</x:v>
      </x:c>
      <x:c r="V2281" s="6" t="str">
        <x:v>room geometry: summed area</x:v>
      </x:c>
      <x:c r="W2281" s="6" t="str">
        <x:v>Missing polygon-area aggregation tool.</x:v>
      </x:c>
      <x:c r="X2281" s="6" t="str">
        <x:v>data/train/proc-factory-train-018/questions.jsonl</x:v>
      </x:c>
      <x:c r="Y2281" s="14" t="n">
        <x:v>1</x:v>
      </x:c>
      <x:c r="Z2281" s="6" t="str">
        <x:v>https://github.com/hagenhaeussler/Industrial-Agents-Hackathon-2026/blob/f41616590b69f3ea0c1cbfb41d6c35edd9ce53df/data/train/proc-factory-train-018/questions.jsonl#L1</x:v>
      </x:c>
      <x:c r="AA2281" s="6" t="str">
        <x:v>procedural</x:v>
      </x:c>
      <x:c r="AB2281" s="6" t="str">
        <x:v>CC0-1.0</x:v>
      </x:c>
    </x:row>
    <x:row r="2282" ht="72" customHeight="1">
      <x:c r="A2282" s="14" t="n">
        <x:v>2277</x:v>
      </x:c>
      <x:c r="B2282" s="6" t="str">
        <x:v>floor_area_total</x:v>
      </x:c>
      <x:c r="C2282" s="6" t="str">
        <x:v>Facilities want the total floor area of every meeting room on the floor 1 added together. How many square metres is that? Finish with a line 'Answer: &lt;number&gt;'.</x:v>
      </x:c>
      <x:c r="D2282" s="6" t="str">
        <x:v>82.9 m2</x:v>
      </x:c>
      <x:c r="E2282" s="6" t="str">
        <x:v>Reference supplied</x:v>
      </x:c>
      <x:c r="F2282" s="6" t="str">
        <x:v>train</x:v>
      </x:c>
      <x:c r="G2282" s="6" t="str">
        <x:v>proc-factory-train-020</x:v>
      </x:c>
      <x:c r="H2282" s="6" t="str">
        <x:v>proc-factory-train-020-H01</x:v>
      </x:c>
      <x:c r="I2282" s="6" t="str">
        <x:v>Area and room selection</x:v>
      </x:c>
      <x:c r="J2282" s="6" t="str">
        <x:v>Benchmark</x:v>
      </x:c>
      <x:c r="K2282" s="6" t="str">
        <x:v>Answer: &lt;one number&gt;</x:v>
      </x:c>
      <x:c r="L2282" s="6" t="str">
        <x:v>T02, T04, T14</x:v>
      </x:c>
      <x:c r="M2282" s="6" t="str">
        <x:v>Sum the floor area of every matching room on one floor.</x:v>
      </x:c>
      <x:c r="N2282" s="6" t="str">
        <x:v>{"type":"number","value":82.9,"unit":"m2","relative_tolerance":0.05,"absolute_tolerance":0}</x:v>
      </x:c>
      <x:c r="O2282" s="6" t="str">
        <x:v>{"floor_id":"proc-factory-train-020-F1","room_type":"meeting_room"}</x:v>
      </x:c>
      <x:c r="P2282" s="6" t="str">
        <x:v>Exact target floor and room_type. Polygon area in m².</x:v>
      </x:c>
      <x:c r="Q2282" s="15" t="n">
        <x:v>82.9</x:v>
      </x:c>
      <x:c r="R2282" s="6" t="str">
        <x:v>m2</x:v>
      </x:c>
      <x:c r="S2282" s="16" t="n">
        <x:v>0.05</x:v>
      </x:c>
      <x:c r="T2282" s="15" t="n">
        <x:v>0</x:v>
      </x:c>
      <x:c r="U2282" s="6" t="str">
        <x:v>Answer: 82.9</x:v>
      </x:c>
      <x:c r="V2282" s="6" t="str">
        <x:v>room geometry: summed area</x:v>
      </x:c>
      <x:c r="W2282" s="6" t="str">
        <x:v>Missing polygon-area aggregation tool.</x:v>
      </x:c>
      <x:c r="X2282" s="6" t="str">
        <x:v>data/train/proc-factory-train-020/questions.jsonl</x:v>
      </x:c>
      <x:c r="Y2282" s="14" t="n">
        <x:v>1</x:v>
      </x:c>
      <x:c r="Z2282" s="6" t="str">
        <x:v>https://github.com/hagenhaeussler/Industrial-Agents-Hackathon-2026/blob/f41616590b69f3ea0c1cbfb41d6c35edd9ce53df/data/train/proc-factory-train-020/questions.jsonl#L1</x:v>
      </x:c>
      <x:c r="AA2282" s="6" t="str">
        <x:v>procedural</x:v>
      </x:c>
      <x:c r="AB2282" s="6" t="str">
        <x:v>CC0-1.0</x:v>
      </x:c>
    </x:row>
    <x:row r="2283" ht="72" customHeight="1">
      <x:c r="A2283" s="14" t="n">
        <x:v>2278</x:v>
      </x:c>
      <x:c r="B2283" s="6" t="str">
        <x:v>floor_area_total</x:v>
      </x:c>
      <x:c r="C2283" s="6" t="str">
        <x:v>Facilities want the total floor area of every bedroom on the ground floor added together. How many square metres is that? Finish with a line 'Answer: &lt;number&gt;'.</x:v>
      </x:c>
      <x:c r="D2283" s="6" t="str">
        <x:v>51.86 m2</x:v>
      </x:c>
      <x:c r="E2283" s="6" t="str">
        <x:v>Reference supplied</x:v>
      </x:c>
      <x:c r="F2283" s="6" t="str">
        <x:v>train</x:v>
      </x:c>
      <x:c r="G2283" s="6" t="str">
        <x:v>resplan-10504</x:v>
      </x:c>
      <x:c r="H2283" s="6" t="str">
        <x:v>resplan-10504-H01</x:v>
      </x:c>
      <x:c r="I2283" s="6" t="str">
        <x:v>Area and room selection</x:v>
      </x:c>
      <x:c r="J2283" s="6" t="str">
        <x:v>Benchmark</x:v>
      </x:c>
      <x:c r="K2283" s="6" t="str">
        <x:v>Answer: &lt;one number&gt;</x:v>
      </x:c>
      <x:c r="L2283" s="6" t="str">
        <x:v>T02, T04, T14</x:v>
      </x:c>
      <x:c r="M2283" s="6" t="str">
        <x:v>Sum the floor area of every matching room on one floor.</x:v>
      </x:c>
      <x:c r="N2283" s="6" t="str">
        <x:v>{"type":"number","value":51.86,"unit":"m2","relative_tolerance":0.05,"absolute_tolerance":0}</x:v>
      </x:c>
      <x:c r="O2283" s="6" t="str">
        <x:v>{"floor_id":"resplan-10504-F0","room_type":"bedroom"}</x:v>
      </x:c>
      <x:c r="P2283" s="6" t="str">
        <x:v>Exact target floor and room_type. Polygon area in m².</x:v>
      </x:c>
      <x:c r="Q2283" s="15" t="n">
        <x:v>51.86</x:v>
      </x:c>
      <x:c r="R2283" s="6" t="str">
        <x:v>m2</x:v>
      </x:c>
      <x:c r="S2283" s="16" t="n">
        <x:v>0.05</x:v>
      </x:c>
      <x:c r="T2283" s="15" t="n">
        <x:v>0</x:v>
      </x:c>
      <x:c r="U2283" s="6" t="str">
        <x:v>Answer: 51.86</x:v>
      </x:c>
      <x:c r="V2283" s="6" t="str">
        <x:v>room geometry: summed area</x:v>
      </x:c>
      <x:c r="W2283" s="6" t="str">
        <x:v>Missing polygon-area aggregation tool.</x:v>
      </x:c>
      <x:c r="X2283" s="6" t="str">
        <x:v>data/train/resplan-10504/questions.jsonl</x:v>
      </x:c>
      <x:c r="Y2283" s="14" t="n">
        <x:v>1</x:v>
      </x:c>
      <x:c r="Z2283" s="6" t="str">
        <x:v>https://github.com/hagenhaeussler/Industrial-Agents-Hackathon-2026/blob/f41616590b69f3ea0c1cbfb41d6c35edd9ce53df/data/train/resplan-10504/questions.jsonl#L1</x:v>
      </x:c>
      <x:c r="AA2283" s="6" t="str">
        <x:v>resplan</x:v>
      </x:c>
      <x:c r="AB2283" s="6" t="str">
        <x:v>CC-BY-4.0</x:v>
      </x:c>
    </x:row>
    <x:row r="2284" ht="72" customHeight="1">
      <x:c r="A2284" s="14" t="n">
        <x:v>2279</x:v>
      </x:c>
      <x:c r="B2284" s="6" t="str">
        <x:v>floor_area_total</x:v>
      </x:c>
      <x:c r="C2284" s="6" t="str">
        <x:v>Facilities want the total floor area of every bedroom on the ground floor added together. How many square metres is that? Finish with a line 'Answer: &lt;number&gt;'.</x:v>
      </x:c>
      <x:c r="D2284" s="6" t="str">
        <x:v>43.12 m2</x:v>
      </x:c>
      <x:c r="E2284" s="6" t="str">
        <x:v>Reference supplied</x:v>
      </x:c>
      <x:c r="F2284" s="6" t="str">
        <x:v>train</x:v>
      </x:c>
      <x:c r="G2284" s="6" t="str">
        <x:v>resplan-10882</x:v>
      </x:c>
      <x:c r="H2284" s="6" t="str">
        <x:v>resplan-10882-H01</x:v>
      </x:c>
      <x:c r="I2284" s="6" t="str">
        <x:v>Area and room selection</x:v>
      </x:c>
      <x:c r="J2284" s="6" t="str">
        <x:v>Benchmark</x:v>
      </x:c>
      <x:c r="K2284" s="6" t="str">
        <x:v>Answer: &lt;one number&gt;</x:v>
      </x:c>
      <x:c r="L2284" s="6" t="str">
        <x:v>T02, T04, T14</x:v>
      </x:c>
      <x:c r="M2284" s="6" t="str">
        <x:v>Sum the floor area of every matching room on one floor.</x:v>
      </x:c>
      <x:c r="N2284" s="6" t="str">
        <x:v>{"type":"number","value":43.12,"unit":"m2","relative_tolerance":0.05,"absolute_tolerance":0}</x:v>
      </x:c>
      <x:c r="O2284" s="6" t="str">
        <x:v>{"floor_id":"resplan-10882-F0","room_type":"bedroom"}</x:v>
      </x:c>
      <x:c r="P2284" s="6" t="str">
        <x:v>Exact target floor and room_type. Polygon area in m².</x:v>
      </x:c>
      <x:c r="Q2284" s="15" t="n">
        <x:v>43.12</x:v>
      </x:c>
      <x:c r="R2284" s="6" t="str">
        <x:v>m2</x:v>
      </x:c>
      <x:c r="S2284" s="16" t="n">
        <x:v>0.05</x:v>
      </x:c>
      <x:c r="T2284" s="15" t="n">
        <x:v>0</x:v>
      </x:c>
      <x:c r="U2284" s="6" t="str">
        <x:v>Answer: 43.12</x:v>
      </x:c>
      <x:c r="V2284" s="6" t="str">
        <x:v>room geometry: summed area</x:v>
      </x:c>
      <x:c r="W2284" s="6" t="str">
        <x:v>Missing polygon-area aggregation tool.</x:v>
      </x:c>
      <x:c r="X2284" s="6" t="str">
        <x:v>data/train/resplan-10882/questions.jsonl</x:v>
      </x:c>
      <x:c r="Y2284" s="14" t="n">
        <x:v>1</x:v>
      </x:c>
      <x:c r="Z2284" s="6" t="str">
        <x:v>https://github.com/hagenhaeussler/Industrial-Agents-Hackathon-2026/blob/f41616590b69f3ea0c1cbfb41d6c35edd9ce53df/data/train/resplan-10882/questions.jsonl#L1</x:v>
      </x:c>
      <x:c r="AA2284" s="6" t="str">
        <x:v>resplan</x:v>
      </x:c>
      <x:c r="AB2284" s="6" t="str">
        <x:v>CC-BY-4.0</x:v>
      </x:c>
    </x:row>
    <x:row r="2285" ht="72" customHeight="1">
      <x:c r="A2285" s="14" t="n">
        <x:v>2280</x:v>
      </x:c>
      <x:c r="B2285" s="6" t="str">
        <x:v>floor_area_total</x:v>
      </x:c>
      <x:c r="C2285" s="6" t="str">
        <x:v>Facilities want the total floor area of every bathroom on the ground floor added together. How many square metres is that? Finish with a line 'Answer: &lt;number&gt;'.</x:v>
      </x:c>
      <x:c r="D2285" s="6" t="str">
        <x:v>18.21 m2</x:v>
      </x:c>
      <x:c r="E2285" s="6" t="str">
        <x:v>Reference supplied</x:v>
      </x:c>
      <x:c r="F2285" s="6" t="str">
        <x:v>train</x:v>
      </x:c>
      <x:c r="G2285" s="6" t="str">
        <x:v>resplan-1095</x:v>
      </x:c>
      <x:c r="H2285" s="6" t="str">
        <x:v>resplan-1095-H02</x:v>
      </x:c>
      <x:c r="I2285" s="6" t="str">
        <x:v>Area and room selection</x:v>
      </x:c>
      <x:c r="J2285" s="6" t="str">
        <x:v>Benchmark</x:v>
      </x:c>
      <x:c r="K2285" s="6" t="str">
        <x:v>Answer: &lt;one number&gt;</x:v>
      </x:c>
      <x:c r="L2285" s="6" t="str">
        <x:v>T02, T04, T14</x:v>
      </x:c>
      <x:c r="M2285" s="6" t="str">
        <x:v>Sum the floor area of every matching room on one floor.</x:v>
      </x:c>
      <x:c r="N2285" s="6" t="str">
        <x:v>{"type":"number","value":18.21,"unit":"m2","relative_tolerance":0.05,"absolute_tolerance":0}</x:v>
      </x:c>
      <x:c r="O2285" s="6" t="str">
        <x:v>{"floor_id":"resplan-1095-F0","room_type":"bathroom"}</x:v>
      </x:c>
      <x:c r="P2285" s="6" t="str">
        <x:v>Exact target floor and room_type. Polygon area in m².</x:v>
      </x:c>
      <x:c r="Q2285" s="15" t="n">
        <x:v>18.21</x:v>
      </x:c>
      <x:c r="R2285" s="6" t="str">
        <x:v>m2</x:v>
      </x:c>
      <x:c r="S2285" s="16" t="n">
        <x:v>0.05</x:v>
      </x:c>
      <x:c r="T2285" s="15" t="n">
        <x:v>0</x:v>
      </x:c>
      <x:c r="U2285" s="6" t="str">
        <x:v>Answer: 18.21</x:v>
      </x:c>
      <x:c r="V2285" s="6" t="str">
        <x:v>room geometry: summed area</x:v>
      </x:c>
      <x:c r="W2285" s="6" t="str">
        <x:v>Missing polygon-area aggregation tool.</x:v>
      </x:c>
      <x:c r="X2285" s="6" t="str">
        <x:v>data/train/resplan-1095/questions.jsonl</x:v>
      </x:c>
      <x:c r="Y2285" s="14" t="n">
        <x:v>2</x:v>
      </x:c>
      <x:c r="Z2285" s="6" t="str">
        <x:v>https://github.com/hagenhaeussler/Industrial-Agents-Hackathon-2026/blob/f41616590b69f3ea0c1cbfb41d6c35edd9ce53df/data/train/resplan-1095/questions.jsonl#L2</x:v>
      </x:c>
      <x:c r="AA2285" s="6" t="str">
        <x:v>resplan</x:v>
      </x:c>
      <x:c r="AB2285" s="6" t="str">
        <x:v>CC-BY-4.0</x:v>
      </x:c>
    </x:row>
    <x:row r="2286" ht="72" customHeight="1">
      <x:c r="A2286" s="14" t="n">
        <x:v>2281</x:v>
      </x:c>
      <x:c r="B2286" s="6" t="str">
        <x:v>floor_area_total</x:v>
      </x:c>
      <x:c r="C2286" s="6" t="str">
        <x:v>Facilities want the total floor area of every bedroom on the ground floor added together. How many square metres is that? Finish with a line 'Answer: &lt;number&gt;'.</x:v>
      </x:c>
      <x:c r="D2286" s="6" t="str">
        <x:v>50.4 m2</x:v>
      </x:c>
      <x:c r="E2286" s="6" t="str">
        <x:v>Reference supplied</x:v>
      </x:c>
      <x:c r="F2286" s="6" t="str">
        <x:v>train</x:v>
      </x:c>
      <x:c r="G2286" s="6" t="str">
        <x:v>resplan-120</x:v>
      </x:c>
      <x:c r="H2286" s="6" t="str">
        <x:v>resplan-120-H02</x:v>
      </x:c>
      <x:c r="I2286" s="6" t="str">
        <x:v>Area and room selection</x:v>
      </x:c>
      <x:c r="J2286" s="6" t="str">
        <x:v>Benchmark</x:v>
      </x:c>
      <x:c r="K2286" s="6" t="str">
        <x:v>Answer: &lt;one number&gt;</x:v>
      </x:c>
      <x:c r="L2286" s="6" t="str">
        <x:v>T02, T04, T14</x:v>
      </x:c>
      <x:c r="M2286" s="6" t="str">
        <x:v>Sum the floor area of every matching room on one floor.</x:v>
      </x:c>
      <x:c r="N2286" s="6" t="str">
        <x:v>{"type":"number","value":50.4,"unit":"m2","relative_tolerance":0.05,"absolute_tolerance":0}</x:v>
      </x:c>
      <x:c r="O2286" s="6" t="str">
        <x:v>{"floor_id":"resplan-120-F0","room_type":"bedroom"}</x:v>
      </x:c>
      <x:c r="P2286" s="6" t="str">
        <x:v>Exact target floor and room_type. Polygon area in m².</x:v>
      </x:c>
      <x:c r="Q2286" s="15" t="n">
        <x:v>50.4</x:v>
      </x:c>
      <x:c r="R2286" s="6" t="str">
        <x:v>m2</x:v>
      </x:c>
      <x:c r="S2286" s="16" t="n">
        <x:v>0.05</x:v>
      </x:c>
      <x:c r="T2286" s="15" t="n">
        <x:v>0</x:v>
      </x:c>
      <x:c r="U2286" s="6" t="str">
        <x:v>Answer: 50.4</x:v>
      </x:c>
      <x:c r="V2286" s="6" t="str">
        <x:v>room geometry: summed area</x:v>
      </x:c>
      <x:c r="W2286" s="6" t="str">
        <x:v>Missing polygon-area aggregation tool.</x:v>
      </x:c>
      <x:c r="X2286" s="6" t="str">
        <x:v>data/train/resplan-120/questions.jsonl</x:v>
      </x:c>
      <x:c r="Y2286" s="14" t="n">
        <x:v>2</x:v>
      </x:c>
      <x:c r="Z2286" s="6" t="str">
        <x:v>https://github.com/hagenhaeussler/Industrial-Agents-Hackathon-2026/blob/f41616590b69f3ea0c1cbfb41d6c35edd9ce53df/data/train/resplan-120/questions.jsonl#L2</x:v>
      </x:c>
      <x:c r="AA2286" s="6" t="str">
        <x:v>resplan</x:v>
      </x:c>
      <x:c r="AB2286" s="6" t="str">
        <x:v>CC-BY-4.0</x:v>
      </x:c>
    </x:row>
    <x:row r="2287" ht="72" customHeight="1">
      <x:c r="A2287" s="14" t="n">
        <x:v>2282</x:v>
      </x:c>
      <x:c r="B2287" s="6" t="str">
        <x:v>floor_area_total</x:v>
      </x:c>
      <x:c r="C2287" s="6" t="str">
        <x:v>Facilities want the total floor area of every bathroom on the ground floor added together. How many square metres is that? Finish with a line 'Answer: &lt;number&gt;'.</x:v>
      </x:c>
      <x:c r="D2287" s="6" t="str">
        <x:v>24.47 m2</x:v>
      </x:c>
      <x:c r="E2287" s="6" t="str">
        <x:v>Reference supplied</x:v>
      </x:c>
      <x:c r="F2287" s="6" t="str">
        <x:v>train</x:v>
      </x:c>
      <x:c r="G2287" s="6" t="str">
        <x:v>resplan-12462</x:v>
      </x:c>
      <x:c r="H2287" s="6" t="str">
        <x:v>resplan-12462-H01</x:v>
      </x:c>
      <x:c r="I2287" s="6" t="str">
        <x:v>Area and room selection</x:v>
      </x:c>
      <x:c r="J2287" s="6" t="str">
        <x:v>Benchmark</x:v>
      </x:c>
      <x:c r="K2287" s="6" t="str">
        <x:v>Answer: &lt;one number&gt;</x:v>
      </x:c>
      <x:c r="L2287" s="6" t="str">
        <x:v>T02, T04, T14</x:v>
      </x:c>
      <x:c r="M2287" s="6" t="str">
        <x:v>Sum the floor area of every matching room on one floor.</x:v>
      </x:c>
      <x:c r="N2287" s="6" t="str">
        <x:v>{"type":"number","value":24.47,"unit":"m2","relative_tolerance":0.05,"absolute_tolerance":0}</x:v>
      </x:c>
      <x:c r="O2287" s="6" t="str">
        <x:v>{"floor_id":"resplan-12462-F0","room_type":"bathroom"}</x:v>
      </x:c>
      <x:c r="P2287" s="6" t="str">
        <x:v>Exact target floor and room_type. Polygon area in m².</x:v>
      </x:c>
      <x:c r="Q2287" s="15" t="n">
        <x:v>24.47</x:v>
      </x:c>
      <x:c r="R2287" s="6" t="str">
        <x:v>m2</x:v>
      </x:c>
      <x:c r="S2287" s="16" t="n">
        <x:v>0.05</x:v>
      </x:c>
      <x:c r="T2287" s="15" t="n">
        <x:v>0</x:v>
      </x:c>
      <x:c r="U2287" s="6" t="str">
        <x:v>Answer: 24.47</x:v>
      </x:c>
      <x:c r="V2287" s="6" t="str">
        <x:v>room geometry: summed area</x:v>
      </x:c>
      <x:c r="W2287" s="6" t="str">
        <x:v>Missing polygon-area aggregation tool.</x:v>
      </x:c>
      <x:c r="X2287" s="6" t="str">
        <x:v>data/train/resplan-12462/questions.jsonl</x:v>
      </x:c>
      <x:c r="Y2287" s="14" t="n">
        <x:v>1</x:v>
      </x:c>
      <x:c r="Z2287" s="6" t="str">
        <x:v>https://github.com/hagenhaeussler/Industrial-Agents-Hackathon-2026/blob/f41616590b69f3ea0c1cbfb41d6c35edd9ce53df/data/train/resplan-12462/questions.jsonl#L1</x:v>
      </x:c>
      <x:c r="AA2287" s="6" t="str">
        <x:v>resplan</x:v>
      </x:c>
      <x:c r="AB2287" s="6" t="str">
        <x:v>CC-BY-4.0</x:v>
      </x:c>
    </x:row>
    <x:row r="2288" ht="72" customHeight="1">
      <x:c r="A2288" s="14" t="n">
        <x:v>2283</x:v>
      </x:c>
      <x:c r="B2288" s="6" t="str">
        <x:v>floor_area_total</x:v>
      </x:c>
      <x:c r="C2288" s="6" t="str">
        <x:v>Facilities want the total floor area of every bedroom on the ground floor added together. How many square metres is that? Finish with a line 'Answer: &lt;number&gt;'.</x:v>
      </x:c>
      <x:c r="D2288" s="6" t="str">
        <x:v>50.19 m2</x:v>
      </x:c>
      <x:c r="E2288" s="6" t="str">
        <x:v>Reference supplied</x:v>
      </x:c>
      <x:c r="F2288" s="6" t="str">
        <x:v>train</x:v>
      </x:c>
      <x:c r="G2288" s="6" t="str">
        <x:v>resplan-12844</x:v>
      </x:c>
      <x:c r="H2288" s="6" t="str">
        <x:v>resplan-12844-H01</x:v>
      </x:c>
      <x:c r="I2288" s="6" t="str">
        <x:v>Area and room selection</x:v>
      </x:c>
      <x:c r="J2288" s="6" t="str">
        <x:v>Benchmark</x:v>
      </x:c>
      <x:c r="K2288" s="6" t="str">
        <x:v>Answer: &lt;one number&gt;</x:v>
      </x:c>
      <x:c r="L2288" s="6" t="str">
        <x:v>T02, T04, T14</x:v>
      </x:c>
      <x:c r="M2288" s="6" t="str">
        <x:v>Sum the floor area of every matching room on one floor.</x:v>
      </x:c>
      <x:c r="N2288" s="6" t="str">
        <x:v>{"type":"number","value":50.19,"unit":"m2","relative_tolerance":0.05,"absolute_tolerance":0}</x:v>
      </x:c>
      <x:c r="O2288" s="6" t="str">
        <x:v>{"floor_id":"resplan-12844-F0","room_type":"bedroom"}</x:v>
      </x:c>
      <x:c r="P2288" s="6" t="str">
        <x:v>Exact target floor and room_type. Polygon area in m².</x:v>
      </x:c>
      <x:c r="Q2288" s="15" t="n">
        <x:v>50.19</x:v>
      </x:c>
      <x:c r="R2288" s="6" t="str">
        <x:v>m2</x:v>
      </x:c>
      <x:c r="S2288" s="16" t="n">
        <x:v>0.05</x:v>
      </x:c>
      <x:c r="T2288" s="15" t="n">
        <x:v>0</x:v>
      </x:c>
      <x:c r="U2288" s="6" t="str">
        <x:v>Answer: 50.19</x:v>
      </x:c>
      <x:c r="V2288" s="6" t="str">
        <x:v>room geometry: summed area</x:v>
      </x:c>
      <x:c r="W2288" s="6" t="str">
        <x:v>Missing polygon-area aggregation tool.</x:v>
      </x:c>
      <x:c r="X2288" s="6" t="str">
        <x:v>data/train/resplan-12844/questions.jsonl</x:v>
      </x:c>
      <x:c r="Y2288" s="14" t="n">
        <x:v>1</x:v>
      </x:c>
      <x:c r="Z2288" s="6" t="str">
        <x:v>https://github.com/hagenhaeussler/Industrial-Agents-Hackathon-2026/blob/f41616590b69f3ea0c1cbfb41d6c35edd9ce53df/data/train/resplan-12844/questions.jsonl#L1</x:v>
      </x:c>
      <x:c r="AA2288" s="6" t="str">
        <x:v>resplan</x:v>
      </x:c>
      <x:c r="AB2288" s="6" t="str">
        <x:v>CC-BY-4.0</x:v>
      </x:c>
    </x:row>
    <x:row r="2289" ht="72" customHeight="1">
      <x:c r="A2289" s="14" t="n">
        <x:v>2284</x:v>
      </x:c>
      <x:c r="B2289" s="6" t="str">
        <x:v>floor_area_total</x:v>
      </x:c>
      <x:c r="C2289" s="6" t="str">
        <x:v>Facilities want the total floor area of every bedroom on the ground floor added together. How many square metres is that? Finish with a line 'Answer: &lt;number&gt;'.</x:v>
      </x:c>
      <x:c r="D2289" s="6" t="str">
        <x:v>79.09 m2</x:v>
      </x:c>
      <x:c r="E2289" s="6" t="str">
        <x:v>Reference supplied</x:v>
      </x:c>
      <x:c r="F2289" s="6" t="str">
        <x:v>train</x:v>
      </x:c>
      <x:c r="G2289" s="6" t="str">
        <x:v>resplan-12867</x:v>
      </x:c>
      <x:c r="H2289" s="6" t="str">
        <x:v>resplan-12867-H01</x:v>
      </x:c>
      <x:c r="I2289" s="6" t="str">
        <x:v>Area and room selection</x:v>
      </x:c>
      <x:c r="J2289" s="6" t="str">
        <x:v>Benchmark</x:v>
      </x:c>
      <x:c r="K2289" s="6" t="str">
        <x:v>Answer: &lt;one number&gt;</x:v>
      </x:c>
      <x:c r="L2289" s="6" t="str">
        <x:v>T02, T04, T14</x:v>
      </x:c>
      <x:c r="M2289" s="6" t="str">
        <x:v>Sum the floor area of every matching room on one floor.</x:v>
      </x:c>
      <x:c r="N2289" s="6" t="str">
        <x:v>{"type":"number","value":79.09,"unit":"m2","relative_tolerance":0.05,"absolute_tolerance":0}</x:v>
      </x:c>
      <x:c r="O2289" s="6" t="str">
        <x:v>{"floor_id":"resplan-12867-F0","room_type":"bedroom"}</x:v>
      </x:c>
      <x:c r="P2289" s="6" t="str">
        <x:v>Exact target floor and room_type. Polygon area in m².</x:v>
      </x:c>
      <x:c r="Q2289" s="15" t="n">
        <x:v>79.09</x:v>
      </x:c>
      <x:c r="R2289" s="6" t="str">
        <x:v>m2</x:v>
      </x:c>
      <x:c r="S2289" s="16" t="n">
        <x:v>0.05</x:v>
      </x:c>
      <x:c r="T2289" s="15" t="n">
        <x:v>0</x:v>
      </x:c>
      <x:c r="U2289" s="6" t="str">
        <x:v>Answer: 79.09</x:v>
      </x:c>
      <x:c r="V2289" s="6" t="str">
        <x:v>room geometry: summed area</x:v>
      </x:c>
      <x:c r="W2289" s="6" t="str">
        <x:v>Missing polygon-area aggregation tool.</x:v>
      </x:c>
      <x:c r="X2289" s="6" t="str">
        <x:v>data/train/resplan-12867/questions.jsonl</x:v>
      </x:c>
      <x:c r="Y2289" s="14" t="n">
        <x:v>1</x:v>
      </x:c>
      <x:c r="Z2289" s="6" t="str">
        <x:v>https://github.com/hagenhaeussler/Industrial-Agents-Hackathon-2026/blob/f41616590b69f3ea0c1cbfb41d6c35edd9ce53df/data/train/resplan-12867/questions.jsonl#L1</x:v>
      </x:c>
      <x:c r="AA2289" s="6" t="str">
        <x:v>resplan</x:v>
      </x:c>
      <x:c r="AB2289" s="6" t="str">
        <x:v>CC-BY-4.0</x:v>
      </x:c>
    </x:row>
    <x:row r="2290" ht="72" customHeight="1">
      <x:c r="A2290" s="14" t="n">
        <x:v>2285</x:v>
      </x:c>
      <x:c r="B2290" s="6" t="str">
        <x:v>floor_area_total</x:v>
      </x:c>
      <x:c r="C2290" s="6" t="str">
        <x:v>Facilities want the total floor area of every bathroom on the ground floor added together. How many square metres is that? Finish with a line 'Answer: &lt;number&gt;'.</x:v>
      </x:c>
      <x:c r="D2290" s="6" t="str">
        <x:v>28.34 m2</x:v>
      </x:c>
      <x:c r="E2290" s="6" t="str">
        <x:v>Reference supplied</x:v>
      </x:c>
      <x:c r="F2290" s="6" t="str">
        <x:v>train</x:v>
      </x:c>
      <x:c r="G2290" s="6" t="str">
        <x:v>resplan-12985</x:v>
      </x:c>
      <x:c r="H2290" s="6" t="str">
        <x:v>resplan-12985-H02</x:v>
      </x:c>
      <x:c r="I2290" s="6" t="str">
        <x:v>Area and room selection</x:v>
      </x:c>
      <x:c r="J2290" s="6" t="str">
        <x:v>Benchmark</x:v>
      </x:c>
      <x:c r="K2290" s="6" t="str">
        <x:v>Answer: &lt;one number&gt;</x:v>
      </x:c>
      <x:c r="L2290" s="6" t="str">
        <x:v>T02, T04, T14</x:v>
      </x:c>
      <x:c r="M2290" s="6" t="str">
        <x:v>Sum the floor area of every matching room on one floor.</x:v>
      </x:c>
      <x:c r="N2290" s="6" t="str">
        <x:v>{"type":"number","value":28.34,"unit":"m2","relative_tolerance":0.05,"absolute_tolerance":0}</x:v>
      </x:c>
      <x:c r="O2290" s="6" t="str">
        <x:v>{"floor_id":"resplan-12985-F0","room_type":"bathroom"}</x:v>
      </x:c>
      <x:c r="P2290" s="6" t="str">
        <x:v>Exact target floor and room_type. Polygon area in m².</x:v>
      </x:c>
      <x:c r="Q2290" s="15" t="n">
        <x:v>28.34</x:v>
      </x:c>
      <x:c r="R2290" s="6" t="str">
        <x:v>m2</x:v>
      </x:c>
      <x:c r="S2290" s="16" t="n">
        <x:v>0.05</x:v>
      </x:c>
      <x:c r="T2290" s="15" t="n">
        <x:v>0</x:v>
      </x:c>
      <x:c r="U2290" s="6" t="str">
        <x:v>Answer: 28.34</x:v>
      </x:c>
      <x:c r="V2290" s="6" t="str">
        <x:v>room geometry: summed area</x:v>
      </x:c>
      <x:c r="W2290" s="6" t="str">
        <x:v>Missing polygon-area aggregation tool.</x:v>
      </x:c>
      <x:c r="X2290" s="6" t="str">
        <x:v>data/train/resplan-12985/questions.jsonl</x:v>
      </x:c>
      <x:c r="Y2290" s="14" t="n">
        <x:v>2</x:v>
      </x:c>
      <x:c r="Z2290" s="6" t="str">
        <x:v>https://github.com/hagenhaeussler/Industrial-Agents-Hackathon-2026/blob/f41616590b69f3ea0c1cbfb41d6c35edd9ce53df/data/train/resplan-12985/questions.jsonl#L2</x:v>
      </x:c>
      <x:c r="AA2290" s="6" t="str">
        <x:v>resplan</x:v>
      </x:c>
      <x:c r="AB2290" s="6" t="str">
        <x:v>CC-BY-4.0</x:v>
      </x:c>
    </x:row>
    <x:row r="2291" ht="72" customHeight="1">
      <x:c r="A2291" s="14" t="n">
        <x:v>2286</x:v>
      </x:c>
      <x:c r="B2291" s="6" t="str">
        <x:v>floor_area_total</x:v>
      </x:c>
      <x:c r="C2291" s="6" t="str">
        <x:v>Facilities want the total floor area of every bedroom on the ground floor added together. How many square metres is that? Finish with a line 'Answer: &lt;number&gt;'.</x:v>
      </x:c>
      <x:c r="D2291" s="6" t="str">
        <x:v>49.2 m2</x:v>
      </x:c>
      <x:c r="E2291" s="6" t="str">
        <x:v>Reference supplied</x:v>
      </x:c>
      <x:c r="F2291" s="6" t="str">
        <x:v>train</x:v>
      </x:c>
      <x:c r="G2291" s="6" t="str">
        <x:v>resplan-13024</x:v>
      </x:c>
      <x:c r="H2291" s="6" t="str">
        <x:v>resplan-13024-H02</x:v>
      </x:c>
      <x:c r="I2291" s="6" t="str">
        <x:v>Area and room selection</x:v>
      </x:c>
      <x:c r="J2291" s="6" t="str">
        <x:v>Benchmark</x:v>
      </x:c>
      <x:c r="K2291" s="6" t="str">
        <x:v>Answer: &lt;one number&gt;</x:v>
      </x:c>
      <x:c r="L2291" s="6" t="str">
        <x:v>T02, T04, T14</x:v>
      </x:c>
      <x:c r="M2291" s="6" t="str">
        <x:v>Sum the floor area of every matching room on one floor.</x:v>
      </x:c>
      <x:c r="N2291" s="6" t="str">
        <x:v>{"type":"number","value":49.2,"unit":"m2","relative_tolerance":0.05,"absolute_tolerance":0}</x:v>
      </x:c>
      <x:c r="O2291" s="6" t="str">
        <x:v>{"floor_id":"resplan-13024-F0","room_type":"bedroom"}</x:v>
      </x:c>
      <x:c r="P2291" s="6" t="str">
        <x:v>Exact target floor and room_type. Polygon area in m².</x:v>
      </x:c>
      <x:c r="Q2291" s="15" t="n">
        <x:v>49.2</x:v>
      </x:c>
      <x:c r="R2291" s="6" t="str">
        <x:v>m2</x:v>
      </x:c>
      <x:c r="S2291" s="16" t="n">
        <x:v>0.05</x:v>
      </x:c>
      <x:c r="T2291" s="15" t="n">
        <x:v>0</x:v>
      </x:c>
      <x:c r="U2291" s="6" t="str">
        <x:v>Answer: 49.2</x:v>
      </x:c>
      <x:c r="V2291" s="6" t="str">
        <x:v>room geometry: summed area</x:v>
      </x:c>
      <x:c r="W2291" s="6" t="str">
        <x:v>Missing polygon-area aggregation tool.</x:v>
      </x:c>
      <x:c r="X2291" s="6" t="str">
        <x:v>data/train/resplan-13024/questions.jsonl</x:v>
      </x:c>
      <x:c r="Y2291" s="14" t="n">
        <x:v>2</x:v>
      </x:c>
      <x:c r="Z2291" s="6" t="str">
        <x:v>https://github.com/hagenhaeussler/Industrial-Agents-Hackathon-2026/blob/f41616590b69f3ea0c1cbfb41d6c35edd9ce53df/data/train/resplan-13024/questions.jsonl#L2</x:v>
      </x:c>
      <x:c r="AA2291" s="6" t="str">
        <x:v>resplan</x:v>
      </x:c>
      <x:c r="AB2291" s="6" t="str">
        <x:v>CC-BY-4.0</x:v>
      </x:c>
    </x:row>
    <x:row r="2292" ht="72" customHeight="1">
      <x:c r="A2292" s="14" t="n">
        <x:v>2287</x:v>
      </x:c>
      <x:c r="B2292" s="6" t="str">
        <x:v>floor_area_total</x:v>
      </x:c>
      <x:c r="C2292" s="6" t="str">
        <x:v>Facilities want the total floor area of every bedroom on the ground floor added together. How many square metres is that? Finish with a line 'Answer: &lt;number&gt;'.</x:v>
      </x:c>
      <x:c r="D2292" s="6" t="str">
        <x:v>46.92 m2</x:v>
      </x:c>
      <x:c r="E2292" s="6" t="str">
        <x:v>Reference supplied</x:v>
      </x:c>
      <x:c r="F2292" s="6" t="str">
        <x:v>train</x:v>
      </x:c>
      <x:c r="G2292" s="6" t="str">
        <x:v>resplan-13846</x:v>
      </x:c>
      <x:c r="H2292" s="6" t="str">
        <x:v>resplan-13846-H01</x:v>
      </x:c>
      <x:c r="I2292" s="6" t="str">
        <x:v>Area and room selection</x:v>
      </x:c>
      <x:c r="J2292" s="6" t="str">
        <x:v>Benchmark</x:v>
      </x:c>
      <x:c r="K2292" s="6" t="str">
        <x:v>Answer: &lt;one number&gt;</x:v>
      </x:c>
      <x:c r="L2292" s="6" t="str">
        <x:v>T02, T04, T14</x:v>
      </x:c>
      <x:c r="M2292" s="6" t="str">
        <x:v>Sum the floor area of every matching room on one floor.</x:v>
      </x:c>
      <x:c r="N2292" s="6" t="str">
        <x:v>{"type":"number","value":46.92,"unit":"m2","relative_tolerance":0.05,"absolute_tolerance":0}</x:v>
      </x:c>
      <x:c r="O2292" s="6" t="str">
        <x:v>{"floor_id":"resplan-13846-F0","room_type":"bedroom"}</x:v>
      </x:c>
      <x:c r="P2292" s="6" t="str">
        <x:v>Exact target floor and room_type. Polygon area in m².</x:v>
      </x:c>
      <x:c r="Q2292" s="15" t="n">
        <x:v>46.92</x:v>
      </x:c>
      <x:c r="R2292" s="6" t="str">
        <x:v>m2</x:v>
      </x:c>
      <x:c r="S2292" s="16" t="n">
        <x:v>0.05</x:v>
      </x:c>
      <x:c r="T2292" s="15" t="n">
        <x:v>0</x:v>
      </x:c>
      <x:c r="U2292" s="6" t="str">
        <x:v>Answer: 46.92</x:v>
      </x:c>
      <x:c r="V2292" s="6" t="str">
        <x:v>room geometry: summed area</x:v>
      </x:c>
      <x:c r="W2292" s="6" t="str">
        <x:v>Missing polygon-area aggregation tool.</x:v>
      </x:c>
      <x:c r="X2292" s="6" t="str">
        <x:v>data/train/resplan-13846/questions.jsonl</x:v>
      </x:c>
      <x:c r="Y2292" s="14" t="n">
        <x:v>1</x:v>
      </x:c>
      <x:c r="Z2292" s="6" t="str">
        <x:v>https://github.com/hagenhaeussler/Industrial-Agents-Hackathon-2026/blob/f41616590b69f3ea0c1cbfb41d6c35edd9ce53df/data/train/resplan-13846/questions.jsonl#L1</x:v>
      </x:c>
      <x:c r="AA2292" s="6" t="str">
        <x:v>resplan</x:v>
      </x:c>
      <x:c r="AB2292" s="6" t="str">
        <x:v>CC-BY-4.0</x:v>
      </x:c>
    </x:row>
    <x:row r="2293" ht="72" customHeight="1">
      <x:c r="A2293" s="14" t="n">
        <x:v>2288</x:v>
      </x:c>
      <x:c r="B2293" s="6" t="str">
        <x:v>floor_area_total</x:v>
      </x:c>
      <x:c r="C2293" s="6" t="str">
        <x:v>Facilities want the total floor area of every bathroom on the ground floor added together. How many square metres is that? Finish with a line 'Answer: &lt;number&gt;'.</x:v>
      </x:c>
      <x:c r="D2293" s="6" t="str">
        <x:v>19.6 m2</x:v>
      </x:c>
      <x:c r="E2293" s="6" t="str">
        <x:v>Reference supplied</x:v>
      </x:c>
      <x:c r="F2293" s="6" t="str">
        <x:v>train</x:v>
      </x:c>
      <x:c r="G2293" s="6" t="str">
        <x:v>resplan-14407</x:v>
      </x:c>
      <x:c r="H2293" s="6" t="str">
        <x:v>resplan-14407-H01</x:v>
      </x:c>
      <x:c r="I2293" s="6" t="str">
        <x:v>Area and room selection</x:v>
      </x:c>
      <x:c r="J2293" s="6" t="str">
        <x:v>Benchmark</x:v>
      </x:c>
      <x:c r="K2293" s="6" t="str">
        <x:v>Answer: &lt;one number&gt;</x:v>
      </x:c>
      <x:c r="L2293" s="6" t="str">
        <x:v>T02, T04, T14</x:v>
      </x:c>
      <x:c r="M2293" s="6" t="str">
        <x:v>Sum the floor area of every matching room on one floor.</x:v>
      </x:c>
      <x:c r="N2293" s="6" t="str">
        <x:v>{"type":"number","value":19.6,"unit":"m2","relative_tolerance":0.05,"absolute_tolerance":0}</x:v>
      </x:c>
      <x:c r="O2293" s="6" t="str">
        <x:v>{"floor_id":"resplan-14407-F0","room_type":"bathroom"}</x:v>
      </x:c>
      <x:c r="P2293" s="6" t="str">
        <x:v>Exact target floor and room_type. Polygon area in m².</x:v>
      </x:c>
      <x:c r="Q2293" s="15" t="n">
        <x:v>19.6</x:v>
      </x:c>
      <x:c r="R2293" s="6" t="str">
        <x:v>m2</x:v>
      </x:c>
      <x:c r="S2293" s="16" t="n">
        <x:v>0.05</x:v>
      </x:c>
      <x:c r="T2293" s="15" t="n">
        <x:v>0</x:v>
      </x:c>
      <x:c r="U2293" s="6" t="str">
        <x:v>Answer: 19.6</x:v>
      </x:c>
      <x:c r="V2293" s="6" t="str">
        <x:v>room geometry: summed area</x:v>
      </x:c>
      <x:c r="W2293" s="6" t="str">
        <x:v>Missing polygon-area aggregation tool.</x:v>
      </x:c>
      <x:c r="X2293" s="6" t="str">
        <x:v>data/train/resplan-14407/questions.jsonl</x:v>
      </x:c>
      <x:c r="Y2293" s="14" t="n">
        <x:v>1</x:v>
      </x:c>
      <x:c r="Z2293" s="6" t="str">
        <x:v>https://github.com/hagenhaeussler/Industrial-Agents-Hackathon-2026/blob/f41616590b69f3ea0c1cbfb41d6c35edd9ce53df/data/train/resplan-14407/questions.jsonl#L1</x:v>
      </x:c>
      <x:c r="AA2293" s="6" t="str">
        <x:v>resplan</x:v>
      </x:c>
      <x:c r="AB2293" s="6" t="str">
        <x:v>CC-BY-4.0</x:v>
      </x:c>
    </x:row>
    <x:row r="2294" ht="72" customHeight="1">
      <x:c r="A2294" s="14" t="n">
        <x:v>2289</x:v>
      </x:c>
      <x:c r="B2294" s="6" t="str">
        <x:v>floor_area_total</x:v>
      </x:c>
      <x:c r="C2294" s="6" t="str">
        <x:v>Facilities want the total floor area of every bedroom on the ground floor added together. How many square metres is that? Finish with a line 'Answer: &lt;number&gt;'.</x:v>
      </x:c>
      <x:c r="D2294" s="6" t="str">
        <x:v>71.41 m2</x:v>
      </x:c>
      <x:c r="E2294" s="6" t="str">
        <x:v>Reference supplied</x:v>
      </x:c>
      <x:c r="F2294" s="6" t="str">
        <x:v>train</x:v>
      </x:c>
      <x:c r="G2294" s="6" t="str">
        <x:v>resplan-14602</x:v>
      </x:c>
      <x:c r="H2294" s="6" t="str">
        <x:v>resplan-14602-H02</x:v>
      </x:c>
      <x:c r="I2294" s="6" t="str">
        <x:v>Area and room selection</x:v>
      </x:c>
      <x:c r="J2294" s="6" t="str">
        <x:v>Benchmark</x:v>
      </x:c>
      <x:c r="K2294" s="6" t="str">
        <x:v>Answer: &lt;one number&gt;</x:v>
      </x:c>
      <x:c r="L2294" s="6" t="str">
        <x:v>T02, T04, T14</x:v>
      </x:c>
      <x:c r="M2294" s="6" t="str">
        <x:v>Sum the floor area of every matching room on one floor.</x:v>
      </x:c>
      <x:c r="N2294" s="6" t="str">
        <x:v>{"type":"number","value":71.41,"unit":"m2","relative_tolerance":0.05,"absolute_tolerance":0}</x:v>
      </x:c>
      <x:c r="O2294" s="6" t="str">
        <x:v>{"floor_id":"resplan-14602-F0","room_type":"bedroom"}</x:v>
      </x:c>
      <x:c r="P2294" s="6" t="str">
        <x:v>Exact target floor and room_type. Polygon area in m².</x:v>
      </x:c>
      <x:c r="Q2294" s="15" t="n">
        <x:v>71.41</x:v>
      </x:c>
      <x:c r="R2294" s="6" t="str">
        <x:v>m2</x:v>
      </x:c>
      <x:c r="S2294" s="16" t="n">
        <x:v>0.05</x:v>
      </x:c>
      <x:c r="T2294" s="15" t="n">
        <x:v>0</x:v>
      </x:c>
      <x:c r="U2294" s="6" t="str">
        <x:v>Answer: 71.41</x:v>
      </x:c>
      <x:c r="V2294" s="6" t="str">
        <x:v>room geometry: summed area</x:v>
      </x:c>
      <x:c r="W2294" s="6" t="str">
        <x:v>Missing polygon-area aggregation tool.</x:v>
      </x:c>
      <x:c r="X2294" s="6" t="str">
        <x:v>data/train/resplan-14602/questions.jsonl</x:v>
      </x:c>
      <x:c r="Y2294" s="14" t="n">
        <x:v>2</x:v>
      </x:c>
      <x:c r="Z2294" s="6" t="str">
        <x:v>https://github.com/hagenhaeussler/Industrial-Agents-Hackathon-2026/blob/f41616590b69f3ea0c1cbfb41d6c35edd9ce53df/data/train/resplan-14602/questions.jsonl#L2</x:v>
      </x:c>
      <x:c r="AA2294" s="6" t="str">
        <x:v>resplan</x:v>
      </x:c>
      <x:c r="AB2294" s="6" t="str">
        <x:v>CC-BY-4.0</x:v>
      </x:c>
    </x:row>
    <x:row r="2295" ht="72" customHeight="1">
      <x:c r="A2295" s="14" t="n">
        <x:v>2290</x:v>
      </x:c>
      <x:c r="B2295" s="6" t="str">
        <x:v>floor_area_total</x:v>
      </x:c>
      <x:c r="C2295" s="6" t="str">
        <x:v>Facilities want the total floor area of every bedroom on the ground floor added together. How many square metres is that? Finish with a line 'Answer: &lt;number&gt;'.</x:v>
      </x:c>
      <x:c r="D2295" s="6" t="str">
        <x:v>50.39 m2</x:v>
      </x:c>
      <x:c r="E2295" s="6" t="str">
        <x:v>Reference supplied</x:v>
      </x:c>
      <x:c r="F2295" s="6" t="str">
        <x:v>train</x:v>
      </x:c>
      <x:c r="G2295" s="6" t="str">
        <x:v>resplan-15074</x:v>
      </x:c>
      <x:c r="H2295" s="6" t="str">
        <x:v>resplan-15074-H01</x:v>
      </x:c>
      <x:c r="I2295" s="6" t="str">
        <x:v>Area and room selection</x:v>
      </x:c>
      <x:c r="J2295" s="6" t="str">
        <x:v>Benchmark</x:v>
      </x:c>
      <x:c r="K2295" s="6" t="str">
        <x:v>Answer: &lt;one number&gt;</x:v>
      </x:c>
      <x:c r="L2295" s="6" t="str">
        <x:v>T02, T04, T14</x:v>
      </x:c>
      <x:c r="M2295" s="6" t="str">
        <x:v>Sum the floor area of every matching room on one floor.</x:v>
      </x:c>
      <x:c r="N2295" s="6" t="str">
        <x:v>{"type":"number","value":50.39,"unit":"m2","relative_tolerance":0.05,"absolute_tolerance":0}</x:v>
      </x:c>
      <x:c r="O2295" s="6" t="str">
        <x:v>{"floor_id":"resplan-15074-F0","room_type":"bedroom"}</x:v>
      </x:c>
      <x:c r="P2295" s="6" t="str">
        <x:v>Exact target floor and room_type. Polygon area in m².</x:v>
      </x:c>
      <x:c r="Q2295" s="15" t="n">
        <x:v>50.39</x:v>
      </x:c>
      <x:c r="R2295" s="6" t="str">
        <x:v>m2</x:v>
      </x:c>
      <x:c r="S2295" s="16" t="n">
        <x:v>0.05</x:v>
      </x:c>
      <x:c r="T2295" s="15" t="n">
        <x:v>0</x:v>
      </x:c>
      <x:c r="U2295" s="6" t="str">
        <x:v>Answer: 50.39</x:v>
      </x:c>
      <x:c r="V2295" s="6" t="str">
        <x:v>room geometry: summed area</x:v>
      </x:c>
      <x:c r="W2295" s="6" t="str">
        <x:v>Missing polygon-area aggregation tool.</x:v>
      </x:c>
      <x:c r="X2295" s="6" t="str">
        <x:v>data/train/resplan-15074/questions.jsonl</x:v>
      </x:c>
      <x:c r="Y2295" s="14" t="n">
        <x:v>1</x:v>
      </x:c>
      <x:c r="Z2295" s="6" t="str">
        <x:v>https://github.com/hagenhaeussler/Industrial-Agents-Hackathon-2026/blob/f41616590b69f3ea0c1cbfb41d6c35edd9ce53df/data/train/resplan-15074/questions.jsonl#L1</x:v>
      </x:c>
      <x:c r="AA2295" s="6" t="str">
        <x:v>resplan</x:v>
      </x:c>
      <x:c r="AB2295" s="6" t="str">
        <x:v>CC-BY-4.0</x:v>
      </x:c>
    </x:row>
    <x:row r="2296" ht="72" customHeight="1">
      <x:c r="A2296" s="14" t="n">
        <x:v>2291</x:v>
      </x:c>
      <x:c r="B2296" s="6" t="str">
        <x:v>floor_area_total</x:v>
      </x:c>
      <x:c r="C2296" s="6" t="str">
        <x:v>Facilities want the total floor area of every bathroom on the ground floor added together. How many square metres is that? Finish with a line 'Answer: &lt;number&gt;'.</x:v>
      </x:c>
      <x:c r="D2296" s="6" t="str">
        <x:v>51.46 m2</x:v>
      </x:c>
      <x:c r="E2296" s="6" t="str">
        <x:v>Reference supplied</x:v>
      </x:c>
      <x:c r="F2296" s="6" t="str">
        <x:v>train</x:v>
      </x:c>
      <x:c r="G2296" s="6" t="str">
        <x:v>resplan-16188</x:v>
      </x:c>
      <x:c r="H2296" s="6" t="str">
        <x:v>resplan-16188-H01</x:v>
      </x:c>
      <x:c r="I2296" s="6" t="str">
        <x:v>Area and room selection</x:v>
      </x:c>
      <x:c r="J2296" s="6" t="str">
        <x:v>Benchmark</x:v>
      </x:c>
      <x:c r="K2296" s="6" t="str">
        <x:v>Answer: &lt;one number&gt;</x:v>
      </x:c>
      <x:c r="L2296" s="6" t="str">
        <x:v>T02, T04, T14</x:v>
      </x:c>
      <x:c r="M2296" s="6" t="str">
        <x:v>Sum the floor area of every matching room on one floor.</x:v>
      </x:c>
      <x:c r="N2296" s="6" t="str">
        <x:v>{"type":"number","value":51.46,"unit":"m2","relative_tolerance":0.05,"absolute_tolerance":0}</x:v>
      </x:c>
      <x:c r="O2296" s="6" t="str">
        <x:v>{"floor_id":"resplan-16188-F0","room_type":"bathroom"}</x:v>
      </x:c>
      <x:c r="P2296" s="6" t="str">
        <x:v>Exact target floor and room_type. Polygon area in m².</x:v>
      </x:c>
      <x:c r="Q2296" s="15" t="n">
        <x:v>51.46</x:v>
      </x:c>
      <x:c r="R2296" s="6" t="str">
        <x:v>m2</x:v>
      </x:c>
      <x:c r="S2296" s="16" t="n">
        <x:v>0.05</x:v>
      </x:c>
      <x:c r="T2296" s="15" t="n">
        <x:v>0</x:v>
      </x:c>
      <x:c r="U2296" s="6" t="str">
        <x:v>Answer: 51.46</x:v>
      </x:c>
      <x:c r="V2296" s="6" t="str">
        <x:v>room geometry: summed area</x:v>
      </x:c>
      <x:c r="W2296" s="6" t="str">
        <x:v>Missing polygon-area aggregation tool.</x:v>
      </x:c>
      <x:c r="X2296" s="6" t="str">
        <x:v>data/train/resplan-16188/questions.jsonl</x:v>
      </x:c>
      <x:c r="Y2296" s="14" t="n">
        <x:v>1</x:v>
      </x:c>
      <x:c r="Z2296" s="6" t="str">
        <x:v>https://github.com/hagenhaeussler/Industrial-Agents-Hackathon-2026/blob/f41616590b69f3ea0c1cbfb41d6c35edd9ce53df/data/train/resplan-16188/questions.jsonl#L1</x:v>
      </x:c>
      <x:c r="AA2296" s="6" t="str">
        <x:v>resplan</x:v>
      </x:c>
      <x:c r="AB2296" s="6" t="str">
        <x:v>CC-BY-4.0</x:v>
      </x:c>
    </x:row>
    <x:row r="2297" ht="72" customHeight="1">
      <x:c r="A2297" s="14" t="n">
        <x:v>2292</x:v>
      </x:c>
      <x:c r="B2297" s="6" t="str">
        <x:v>floor_area_total</x:v>
      </x:c>
      <x:c r="C2297" s="6" t="str">
        <x:v>Facilities want the total floor area of every bedroom on the ground floor added together. How many square metres is that? Finish with a line 'Answer: &lt;number&gt;'.</x:v>
      </x:c>
      <x:c r="D2297" s="6" t="str">
        <x:v>48.06 m2</x:v>
      </x:c>
      <x:c r="E2297" s="6" t="str">
        <x:v>Reference supplied</x:v>
      </x:c>
      <x:c r="F2297" s="6" t="str">
        <x:v>train</x:v>
      </x:c>
      <x:c r="G2297" s="6" t="str">
        <x:v>resplan-16407</x:v>
      </x:c>
      <x:c r="H2297" s="6" t="str">
        <x:v>resplan-16407-H01</x:v>
      </x:c>
      <x:c r="I2297" s="6" t="str">
        <x:v>Area and room selection</x:v>
      </x:c>
      <x:c r="J2297" s="6" t="str">
        <x:v>Benchmark</x:v>
      </x:c>
      <x:c r="K2297" s="6" t="str">
        <x:v>Answer: &lt;one number&gt;</x:v>
      </x:c>
      <x:c r="L2297" s="6" t="str">
        <x:v>T02, T04, T14</x:v>
      </x:c>
      <x:c r="M2297" s="6" t="str">
        <x:v>Sum the floor area of every matching room on one floor.</x:v>
      </x:c>
      <x:c r="N2297" s="6" t="str">
        <x:v>{"type":"number","value":48.06,"unit":"m2","relative_tolerance":0.05,"absolute_tolerance":0}</x:v>
      </x:c>
      <x:c r="O2297" s="6" t="str">
        <x:v>{"floor_id":"resplan-16407-F0","room_type":"bedroom"}</x:v>
      </x:c>
      <x:c r="P2297" s="6" t="str">
        <x:v>Exact target floor and room_type. Polygon area in m².</x:v>
      </x:c>
      <x:c r="Q2297" s="15" t="n">
        <x:v>48.06</x:v>
      </x:c>
      <x:c r="R2297" s="6" t="str">
        <x:v>m2</x:v>
      </x:c>
      <x:c r="S2297" s="16" t="n">
        <x:v>0.05</x:v>
      </x:c>
      <x:c r="T2297" s="15" t="n">
        <x:v>0</x:v>
      </x:c>
      <x:c r="U2297" s="6" t="str">
        <x:v>Answer: 48.06</x:v>
      </x:c>
      <x:c r="V2297" s="6" t="str">
        <x:v>room geometry: summed area</x:v>
      </x:c>
      <x:c r="W2297" s="6" t="str">
        <x:v>Missing polygon-area aggregation tool.</x:v>
      </x:c>
      <x:c r="X2297" s="6" t="str">
        <x:v>data/train/resplan-16407/questions.jsonl</x:v>
      </x:c>
      <x:c r="Y2297" s="14" t="n">
        <x:v>1</x:v>
      </x:c>
      <x:c r="Z2297" s="6" t="str">
        <x:v>https://github.com/hagenhaeussler/Industrial-Agents-Hackathon-2026/blob/f41616590b69f3ea0c1cbfb41d6c35edd9ce53df/data/train/resplan-16407/questions.jsonl#L1</x:v>
      </x:c>
      <x:c r="AA2297" s="6" t="str">
        <x:v>resplan</x:v>
      </x:c>
      <x:c r="AB2297" s="6" t="str">
        <x:v>CC-BY-4.0</x:v>
      </x:c>
    </x:row>
    <x:row r="2298" ht="72" customHeight="1">
      <x:c r="A2298" s="14" t="n">
        <x:v>2293</x:v>
      </x:c>
      <x:c r="B2298" s="6" t="str">
        <x:v>floor_area_total</x:v>
      </x:c>
      <x:c r="C2298" s="6" t="str">
        <x:v>Facilities want the total floor area of every bathroom on the ground floor added together. How many square metres is that? Finish with a line 'Answer: &lt;number&gt;'.</x:v>
      </x:c>
      <x:c r="D2298" s="6" t="str">
        <x:v>12.72 m2</x:v>
      </x:c>
      <x:c r="E2298" s="6" t="str">
        <x:v>Reference supplied</x:v>
      </x:c>
      <x:c r="F2298" s="6" t="str">
        <x:v>train</x:v>
      </x:c>
      <x:c r="G2298" s="6" t="str">
        <x:v>resplan-16484</x:v>
      </x:c>
      <x:c r="H2298" s="6" t="str">
        <x:v>resplan-16484-H02</x:v>
      </x:c>
      <x:c r="I2298" s="6" t="str">
        <x:v>Area and room selection</x:v>
      </x:c>
      <x:c r="J2298" s="6" t="str">
        <x:v>Benchmark</x:v>
      </x:c>
      <x:c r="K2298" s="6" t="str">
        <x:v>Answer: &lt;one number&gt;</x:v>
      </x:c>
      <x:c r="L2298" s="6" t="str">
        <x:v>T02, T04, T14</x:v>
      </x:c>
      <x:c r="M2298" s="6" t="str">
        <x:v>Sum the floor area of every matching room on one floor.</x:v>
      </x:c>
      <x:c r="N2298" s="6" t="str">
        <x:v>{"type":"number","value":12.72,"unit":"m2","relative_tolerance":0.05,"absolute_tolerance":0}</x:v>
      </x:c>
      <x:c r="O2298" s="6" t="str">
        <x:v>{"floor_id":"resplan-16484-F0","room_type":"bathroom"}</x:v>
      </x:c>
      <x:c r="P2298" s="6" t="str">
        <x:v>Exact target floor and room_type. Polygon area in m².</x:v>
      </x:c>
      <x:c r="Q2298" s="15" t="n">
        <x:v>12.72</x:v>
      </x:c>
      <x:c r="R2298" s="6" t="str">
        <x:v>m2</x:v>
      </x:c>
      <x:c r="S2298" s="16" t="n">
        <x:v>0.05</x:v>
      </x:c>
      <x:c r="T2298" s="15" t="n">
        <x:v>0</x:v>
      </x:c>
      <x:c r="U2298" s="6" t="str">
        <x:v>Answer: 12.72</x:v>
      </x:c>
      <x:c r="V2298" s="6" t="str">
        <x:v>room geometry: summed area</x:v>
      </x:c>
      <x:c r="W2298" s="6" t="str">
        <x:v>Missing polygon-area aggregation tool.</x:v>
      </x:c>
      <x:c r="X2298" s="6" t="str">
        <x:v>data/train/resplan-16484/questions.jsonl</x:v>
      </x:c>
      <x:c r="Y2298" s="14" t="n">
        <x:v>2</x:v>
      </x:c>
      <x:c r="Z2298" s="6" t="str">
        <x:v>https://github.com/hagenhaeussler/Industrial-Agents-Hackathon-2026/blob/f41616590b69f3ea0c1cbfb41d6c35edd9ce53df/data/train/resplan-16484/questions.jsonl#L2</x:v>
      </x:c>
      <x:c r="AA2298" s="6" t="str">
        <x:v>resplan</x:v>
      </x:c>
      <x:c r="AB2298" s="6" t="str">
        <x:v>CC-BY-4.0</x:v>
      </x:c>
    </x:row>
    <x:row r="2299" ht="72" customHeight="1">
      <x:c r="A2299" s="14" t="n">
        <x:v>2294</x:v>
      </x:c>
      <x:c r="B2299" s="6" t="str">
        <x:v>floor_area_total</x:v>
      </x:c>
      <x:c r="C2299" s="6" t="str">
        <x:v>Facilities want the total floor area of every bedroom on the ground floor added together. How many square metres is that? Finish with a line 'Answer: &lt;number&gt;'.</x:v>
      </x:c>
      <x:c r="D2299" s="6" t="str">
        <x:v>48.2 m2</x:v>
      </x:c>
      <x:c r="E2299" s="6" t="str">
        <x:v>Reference supplied</x:v>
      </x:c>
      <x:c r="F2299" s="6" t="str">
        <x:v>train</x:v>
      </x:c>
      <x:c r="G2299" s="6" t="str">
        <x:v>resplan-16778</x:v>
      </x:c>
      <x:c r="H2299" s="6" t="str">
        <x:v>resplan-16778-H02</x:v>
      </x:c>
      <x:c r="I2299" s="6" t="str">
        <x:v>Area and room selection</x:v>
      </x:c>
      <x:c r="J2299" s="6" t="str">
        <x:v>Benchmark</x:v>
      </x:c>
      <x:c r="K2299" s="6" t="str">
        <x:v>Answer: &lt;one number&gt;</x:v>
      </x:c>
      <x:c r="L2299" s="6" t="str">
        <x:v>T02, T04, T14</x:v>
      </x:c>
      <x:c r="M2299" s="6" t="str">
        <x:v>Sum the floor area of every matching room on one floor.</x:v>
      </x:c>
      <x:c r="N2299" s="6" t="str">
        <x:v>{"type":"number","value":48.2,"unit":"m2","relative_tolerance":0.05,"absolute_tolerance":0}</x:v>
      </x:c>
      <x:c r="O2299" s="6" t="str">
        <x:v>{"floor_id":"resplan-16778-F0","room_type":"bedroom"}</x:v>
      </x:c>
      <x:c r="P2299" s="6" t="str">
        <x:v>Exact target floor and room_type. Polygon area in m².</x:v>
      </x:c>
      <x:c r="Q2299" s="15" t="n">
        <x:v>48.2</x:v>
      </x:c>
      <x:c r="R2299" s="6" t="str">
        <x:v>m2</x:v>
      </x:c>
      <x:c r="S2299" s="16" t="n">
        <x:v>0.05</x:v>
      </x:c>
      <x:c r="T2299" s="15" t="n">
        <x:v>0</x:v>
      </x:c>
      <x:c r="U2299" s="6" t="str">
        <x:v>Answer: 48.2</x:v>
      </x:c>
      <x:c r="V2299" s="6" t="str">
        <x:v>room geometry: summed area</x:v>
      </x:c>
      <x:c r="W2299" s="6" t="str">
        <x:v>Missing polygon-area aggregation tool.</x:v>
      </x:c>
      <x:c r="X2299" s="6" t="str">
        <x:v>data/train/resplan-16778/questions.jsonl</x:v>
      </x:c>
      <x:c r="Y2299" s="14" t="n">
        <x:v>2</x:v>
      </x:c>
      <x:c r="Z2299" s="6" t="str">
        <x:v>https://github.com/hagenhaeussler/Industrial-Agents-Hackathon-2026/blob/f41616590b69f3ea0c1cbfb41d6c35edd9ce53df/data/train/resplan-16778/questions.jsonl#L2</x:v>
      </x:c>
      <x:c r="AA2299" s="6" t="str">
        <x:v>resplan</x:v>
      </x:c>
      <x:c r="AB2299" s="6" t="str">
        <x:v>CC-BY-4.0</x:v>
      </x:c>
    </x:row>
    <x:row r="2300" ht="72" customHeight="1">
      <x:c r="A2300" s="14" t="n">
        <x:v>2295</x:v>
      </x:c>
      <x:c r="B2300" s="6" t="str">
        <x:v>floor_area_total</x:v>
      </x:c>
      <x:c r="C2300" s="6" t="str">
        <x:v>Facilities want the total floor area of every bathroom on the ground floor added together. How many square metres is that? Finish with a line 'Answer: &lt;number&gt;'.</x:v>
      </x:c>
      <x:c r="D2300" s="6" t="str">
        <x:v>12.21 m2</x:v>
      </x:c>
      <x:c r="E2300" s="6" t="str">
        <x:v>Reference supplied</x:v>
      </x:c>
      <x:c r="F2300" s="6" t="str">
        <x:v>train</x:v>
      </x:c>
      <x:c r="G2300" s="6" t="str">
        <x:v>resplan-2100</x:v>
      </x:c>
      <x:c r="H2300" s="6" t="str">
        <x:v>resplan-2100-H01</x:v>
      </x:c>
      <x:c r="I2300" s="6" t="str">
        <x:v>Area and room selection</x:v>
      </x:c>
      <x:c r="J2300" s="6" t="str">
        <x:v>Benchmark</x:v>
      </x:c>
      <x:c r="K2300" s="6" t="str">
        <x:v>Answer: &lt;one number&gt;</x:v>
      </x:c>
      <x:c r="L2300" s="6" t="str">
        <x:v>T02, T04, T14</x:v>
      </x:c>
      <x:c r="M2300" s="6" t="str">
        <x:v>Sum the floor area of every matching room on one floor.</x:v>
      </x:c>
      <x:c r="N2300" s="6" t="str">
        <x:v>{"type":"number","value":12.21,"unit":"m2","relative_tolerance":0.05,"absolute_tolerance":0}</x:v>
      </x:c>
      <x:c r="O2300" s="6" t="str">
        <x:v>{"floor_id":"resplan-2100-F0","room_type":"bathroom"}</x:v>
      </x:c>
      <x:c r="P2300" s="6" t="str">
        <x:v>Exact target floor and room_type. Polygon area in m².</x:v>
      </x:c>
      <x:c r="Q2300" s="15" t="n">
        <x:v>12.21</x:v>
      </x:c>
      <x:c r="R2300" s="6" t="str">
        <x:v>m2</x:v>
      </x:c>
      <x:c r="S2300" s="16" t="n">
        <x:v>0.05</x:v>
      </x:c>
      <x:c r="T2300" s="15" t="n">
        <x:v>0</x:v>
      </x:c>
      <x:c r="U2300" s="6" t="str">
        <x:v>Answer: 12.21</x:v>
      </x:c>
      <x:c r="V2300" s="6" t="str">
        <x:v>room geometry: summed area</x:v>
      </x:c>
      <x:c r="W2300" s="6" t="str">
        <x:v>Missing polygon-area aggregation tool.</x:v>
      </x:c>
      <x:c r="X2300" s="6" t="str">
        <x:v>data/train/resplan-2100/questions.jsonl</x:v>
      </x:c>
      <x:c r="Y2300" s="14" t="n">
        <x:v>1</x:v>
      </x:c>
      <x:c r="Z2300" s="6" t="str">
        <x:v>https://github.com/hagenhaeussler/Industrial-Agents-Hackathon-2026/blob/f41616590b69f3ea0c1cbfb41d6c35edd9ce53df/data/train/resplan-2100/questions.jsonl#L1</x:v>
      </x:c>
      <x:c r="AA2300" s="6" t="str">
        <x:v>resplan</x:v>
      </x:c>
      <x:c r="AB2300" s="6" t="str">
        <x:v>CC-BY-4.0</x:v>
      </x:c>
    </x:row>
    <x:row r="2301" ht="72" customHeight="1">
      <x:c r="A2301" s="14" t="n">
        <x:v>2296</x:v>
      </x:c>
      <x:c r="B2301" s="6" t="str">
        <x:v>floor_area_total</x:v>
      </x:c>
      <x:c r="C2301" s="6" t="str">
        <x:v>Facilities want the total floor area of every bedroom on the ground floor added together. How many square metres is that? Finish with a line 'Answer: &lt;number&gt;'.</x:v>
      </x:c>
      <x:c r="D2301" s="6" t="str">
        <x:v>68.06 m2</x:v>
      </x:c>
      <x:c r="E2301" s="6" t="str">
        <x:v>Reference supplied</x:v>
      </x:c>
      <x:c r="F2301" s="6" t="str">
        <x:v>train</x:v>
      </x:c>
      <x:c r="G2301" s="6" t="str">
        <x:v>resplan-2478</x:v>
      </x:c>
      <x:c r="H2301" s="6" t="str">
        <x:v>resplan-2478-H01</x:v>
      </x:c>
      <x:c r="I2301" s="6" t="str">
        <x:v>Area and room selection</x:v>
      </x:c>
      <x:c r="J2301" s="6" t="str">
        <x:v>Benchmark</x:v>
      </x:c>
      <x:c r="K2301" s="6" t="str">
        <x:v>Answer: &lt;one number&gt;</x:v>
      </x:c>
      <x:c r="L2301" s="6" t="str">
        <x:v>T02, T04, T14</x:v>
      </x:c>
      <x:c r="M2301" s="6" t="str">
        <x:v>Sum the floor area of every matching room on one floor.</x:v>
      </x:c>
      <x:c r="N2301" s="6" t="str">
        <x:v>{"type":"number","value":68.06,"unit":"m2","relative_tolerance":0.05,"absolute_tolerance":0}</x:v>
      </x:c>
      <x:c r="O2301" s="6" t="str">
        <x:v>{"floor_id":"resplan-2478-F0","room_type":"bedroom"}</x:v>
      </x:c>
      <x:c r="P2301" s="6" t="str">
        <x:v>Exact target floor and room_type. Polygon area in m².</x:v>
      </x:c>
      <x:c r="Q2301" s="15" t="n">
        <x:v>68.06</x:v>
      </x:c>
      <x:c r="R2301" s="6" t="str">
        <x:v>m2</x:v>
      </x:c>
      <x:c r="S2301" s="16" t="n">
        <x:v>0.05</x:v>
      </x:c>
      <x:c r="T2301" s="15" t="n">
        <x:v>0</x:v>
      </x:c>
      <x:c r="U2301" s="6" t="str">
        <x:v>Answer: 68.06</x:v>
      </x:c>
      <x:c r="V2301" s="6" t="str">
        <x:v>room geometry: summed area</x:v>
      </x:c>
      <x:c r="W2301" s="6" t="str">
        <x:v>Missing polygon-area aggregation tool.</x:v>
      </x:c>
      <x:c r="X2301" s="6" t="str">
        <x:v>data/train/resplan-2478/questions.jsonl</x:v>
      </x:c>
      <x:c r="Y2301" s="14" t="n">
        <x:v>1</x:v>
      </x:c>
      <x:c r="Z2301" s="6" t="str">
        <x:v>https://github.com/hagenhaeussler/Industrial-Agents-Hackathon-2026/blob/f41616590b69f3ea0c1cbfb41d6c35edd9ce53df/data/train/resplan-2478/questions.jsonl#L1</x:v>
      </x:c>
      <x:c r="AA2301" s="6" t="str">
        <x:v>resplan</x:v>
      </x:c>
      <x:c r="AB2301" s="6" t="str">
        <x:v>CC-BY-4.0</x:v>
      </x:c>
    </x:row>
    <x:row r="2302" ht="72" customHeight="1">
      <x:c r="A2302" s="14" t="n">
        <x:v>2297</x:v>
      </x:c>
      <x:c r="B2302" s="6" t="str">
        <x:v>floor_area_total</x:v>
      </x:c>
      <x:c r="C2302" s="6" t="str">
        <x:v>Facilities want the total floor area of every bathroom on the ground floor added together. How many square metres is that? Finish with a line 'Answer: &lt;number&gt;'.</x:v>
      </x:c>
      <x:c r="D2302" s="6" t="str">
        <x:v>11.07 m2</x:v>
      </x:c>
      <x:c r="E2302" s="6" t="str">
        <x:v>Reference supplied</x:v>
      </x:c>
      <x:c r="F2302" s="6" t="str">
        <x:v>train</x:v>
      </x:c>
      <x:c r="G2302" s="6" t="str">
        <x:v>resplan-2515</x:v>
      </x:c>
      <x:c r="H2302" s="6" t="str">
        <x:v>resplan-2515-H02</x:v>
      </x:c>
      <x:c r="I2302" s="6" t="str">
        <x:v>Area and room selection</x:v>
      </x:c>
      <x:c r="J2302" s="6" t="str">
        <x:v>Benchmark</x:v>
      </x:c>
      <x:c r="K2302" s="6" t="str">
        <x:v>Answer: &lt;one number&gt;</x:v>
      </x:c>
      <x:c r="L2302" s="6" t="str">
        <x:v>T02, T04, T14</x:v>
      </x:c>
      <x:c r="M2302" s="6" t="str">
        <x:v>Sum the floor area of every matching room on one floor.</x:v>
      </x:c>
      <x:c r="N2302" s="6" t="str">
        <x:v>{"type":"number","value":11.07,"unit":"m2","relative_tolerance":0.05,"absolute_tolerance":0}</x:v>
      </x:c>
      <x:c r="O2302" s="6" t="str">
        <x:v>{"floor_id":"resplan-2515-F0","room_type":"bathroom"}</x:v>
      </x:c>
      <x:c r="P2302" s="6" t="str">
        <x:v>Exact target floor and room_type. Polygon area in m².</x:v>
      </x:c>
      <x:c r="Q2302" s="15" t="n">
        <x:v>11.07</x:v>
      </x:c>
      <x:c r="R2302" s="6" t="str">
        <x:v>m2</x:v>
      </x:c>
      <x:c r="S2302" s="16" t="n">
        <x:v>0.05</x:v>
      </x:c>
      <x:c r="T2302" s="15" t="n">
        <x:v>0</x:v>
      </x:c>
      <x:c r="U2302" s="6" t="str">
        <x:v>Answer: 11.07</x:v>
      </x:c>
      <x:c r="V2302" s="6" t="str">
        <x:v>room geometry: summed area</x:v>
      </x:c>
      <x:c r="W2302" s="6" t="str">
        <x:v>Missing polygon-area aggregation tool.</x:v>
      </x:c>
      <x:c r="X2302" s="6" t="str">
        <x:v>data/train/resplan-2515/questions.jsonl</x:v>
      </x:c>
      <x:c r="Y2302" s="14" t="n">
        <x:v>2</x:v>
      </x:c>
      <x:c r="Z2302" s="6" t="str">
        <x:v>https://github.com/hagenhaeussler/Industrial-Agents-Hackathon-2026/blob/f41616590b69f3ea0c1cbfb41d6c35edd9ce53df/data/train/resplan-2515/questions.jsonl#L2</x:v>
      </x:c>
      <x:c r="AA2302" s="6" t="str">
        <x:v>resplan</x:v>
      </x:c>
      <x:c r="AB2302" s="6" t="str">
        <x:v>CC-BY-4.0</x:v>
      </x:c>
    </x:row>
    <x:row r="2303" ht="72" customHeight="1">
      <x:c r="A2303" s="14" t="n">
        <x:v>2298</x:v>
      </x:c>
      <x:c r="B2303" s="6" t="str">
        <x:v>floor_area_total</x:v>
      </x:c>
      <x:c r="C2303" s="6" t="str">
        <x:v>Facilities want the total floor area of every bedroom on the ground floor added together. How many square metres is that? Finish with a line 'Answer: &lt;number&gt;'.</x:v>
      </x:c>
      <x:c r="D2303" s="6" t="str">
        <x:v>80.42 m2</x:v>
      </x:c>
      <x:c r="E2303" s="6" t="str">
        <x:v>Reference supplied</x:v>
      </x:c>
      <x:c r="F2303" s="6" t="str">
        <x:v>train</x:v>
      </x:c>
      <x:c r="G2303" s="6" t="str">
        <x:v>resplan-3207</x:v>
      </x:c>
      <x:c r="H2303" s="6" t="str">
        <x:v>resplan-3207-H01</x:v>
      </x:c>
      <x:c r="I2303" s="6" t="str">
        <x:v>Area and room selection</x:v>
      </x:c>
      <x:c r="J2303" s="6" t="str">
        <x:v>Benchmark</x:v>
      </x:c>
      <x:c r="K2303" s="6" t="str">
        <x:v>Answer: &lt;one number&gt;</x:v>
      </x:c>
      <x:c r="L2303" s="6" t="str">
        <x:v>T02, T04, T14</x:v>
      </x:c>
      <x:c r="M2303" s="6" t="str">
        <x:v>Sum the floor area of every matching room on one floor.</x:v>
      </x:c>
      <x:c r="N2303" s="6" t="str">
        <x:v>{"type":"number","value":80.42,"unit":"m2","relative_tolerance":0.05,"absolute_tolerance":0}</x:v>
      </x:c>
      <x:c r="O2303" s="6" t="str">
        <x:v>{"floor_id":"resplan-3207-F0","room_type":"bedroom"}</x:v>
      </x:c>
      <x:c r="P2303" s="6" t="str">
        <x:v>Exact target floor and room_type. Polygon area in m².</x:v>
      </x:c>
      <x:c r="Q2303" s="15" t="n">
        <x:v>80.42</x:v>
      </x:c>
      <x:c r="R2303" s="6" t="str">
        <x:v>m2</x:v>
      </x:c>
      <x:c r="S2303" s="16" t="n">
        <x:v>0.05</x:v>
      </x:c>
      <x:c r="T2303" s="15" t="n">
        <x:v>0</x:v>
      </x:c>
      <x:c r="U2303" s="6" t="str">
        <x:v>Answer: 80.42</x:v>
      </x:c>
      <x:c r="V2303" s="6" t="str">
        <x:v>room geometry: summed area</x:v>
      </x:c>
      <x:c r="W2303" s="6" t="str">
        <x:v>Missing polygon-area aggregation tool.</x:v>
      </x:c>
      <x:c r="X2303" s="6" t="str">
        <x:v>data/train/resplan-3207/questions.jsonl</x:v>
      </x:c>
      <x:c r="Y2303" s="14" t="n">
        <x:v>1</x:v>
      </x:c>
      <x:c r="Z2303" s="6" t="str">
        <x:v>https://github.com/hagenhaeussler/Industrial-Agents-Hackathon-2026/blob/f41616590b69f3ea0c1cbfb41d6c35edd9ce53df/data/train/resplan-3207/questions.jsonl#L1</x:v>
      </x:c>
      <x:c r="AA2303" s="6" t="str">
        <x:v>resplan</x:v>
      </x:c>
      <x:c r="AB2303" s="6" t="str">
        <x:v>CC-BY-4.0</x:v>
      </x:c>
    </x:row>
    <x:row r="2304" ht="72" customHeight="1">
      <x:c r="A2304" s="14" t="n">
        <x:v>2299</x:v>
      </x:c>
      <x:c r="B2304" s="6" t="str">
        <x:v>floor_area_total</x:v>
      </x:c>
      <x:c r="C2304" s="6" t="str">
        <x:v>Facilities want the total floor area of every bedroom on the ground floor added together. How many square metres is that? Finish with a line 'Answer: &lt;number&gt;'.</x:v>
      </x:c>
      <x:c r="D2304" s="6" t="str">
        <x:v>80.4 m2</x:v>
      </x:c>
      <x:c r="E2304" s="6" t="str">
        <x:v>Reference supplied</x:v>
      </x:c>
      <x:c r="F2304" s="6" t="str">
        <x:v>train</x:v>
      </x:c>
      <x:c r="G2304" s="6" t="str">
        <x:v>resplan-3221</x:v>
      </x:c>
      <x:c r="H2304" s="6" t="str">
        <x:v>resplan-3221-H02</x:v>
      </x:c>
      <x:c r="I2304" s="6" t="str">
        <x:v>Area and room selection</x:v>
      </x:c>
      <x:c r="J2304" s="6" t="str">
        <x:v>Benchmark</x:v>
      </x:c>
      <x:c r="K2304" s="6" t="str">
        <x:v>Answer: &lt;one number&gt;</x:v>
      </x:c>
      <x:c r="L2304" s="6" t="str">
        <x:v>T02, T04, T14</x:v>
      </x:c>
      <x:c r="M2304" s="6" t="str">
        <x:v>Sum the floor area of every matching room on one floor.</x:v>
      </x:c>
      <x:c r="N2304" s="6" t="str">
        <x:v>{"type":"number","value":80.4,"unit":"m2","relative_tolerance":0.05,"absolute_tolerance":0}</x:v>
      </x:c>
      <x:c r="O2304" s="6" t="str">
        <x:v>{"floor_id":"resplan-3221-F0","room_type":"bedroom"}</x:v>
      </x:c>
      <x:c r="P2304" s="6" t="str">
        <x:v>Exact target floor and room_type. Polygon area in m².</x:v>
      </x:c>
      <x:c r="Q2304" s="15" t="n">
        <x:v>80.4</x:v>
      </x:c>
      <x:c r="R2304" s="6" t="str">
        <x:v>m2</x:v>
      </x:c>
      <x:c r="S2304" s="16" t="n">
        <x:v>0.05</x:v>
      </x:c>
      <x:c r="T2304" s="15" t="n">
        <x:v>0</x:v>
      </x:c>
      <x:c r="U2304" s="6" t="str">
        <x:v>Answer: 80.4</x:v>
      </x:c>
      <x:c r="V2304" s="6" t="str">
        <x:v>room geometry: summed area</x:v>
      </x:c>
      <x:c r="W2304" s="6" t="str">
        <x:v>Missing polygon-area aggregation tool.</x:v>
      </x:c>
      <x:c r="X2304" s="6" t="str">
        <x:v>data/train/resplan-3221/questions.jsonl</x:v>
      </x:c>
      <x:c r="Y2304" s="14" t="n">
        <x:v>2</x:v>
      </x:c>
      <x:c r="Z2304" s="6" t="str">
        <x:v>https://github.com/hagenhaeussler/Industrial-Agents-Hackathon-2026/blob/f41616590b69f3ea0c1cbfb41d6c35edd9ce53df/data/train/resplan-3221/questions.jsonl#L2</x:v>
      </x:c>
      <x:c r="AA2304" s="6" t="str">
        <x:v>resplan</x:v>
      </x:c>
      <x:c r="AB2304" s="6" t="str">
        <x:v>CC-BY-4.0</x:v>
      </x:c>
    </x:row>
    <x:row r="2305" ht="72" customHeight="1">
      <x:c r="A2305" s="14" t="n">
        <x:v>2300</x:v>
      </x:c>
      <x:c r="B2305" s="6" t="str">
        <x:v>floor_area_total</x:v>
      </x:c>
      <x:c r="C2305" s="6" t="str">
        <x:v>Facilities want the total floor area of every bathroom on the ground floor added together. How many square metres is that? Finish with a line 'Answer: &lt;number&gt;'.</x:v>
      </x:c>
      <x:c r="D2305" s="6" t="str">
        <x:v>14.21 m2</x:v>
      </x:c>
      <x:c r="E2305" s="6" t="str">
        <x:v>Reference supplied</x:v>
      </x:c>
      <x:c r="F2305" s="6" t="str">
        <x:v>train</x:v>
      </x:c>
      <x:c r="G2305" s="6" t="str">
        <x:v>resplan-3562</x:v>
      </x:c>
      <x:c r="H2305" s="6" t="str">
        <x:v>resplan-3562-H01</x:v>
      </x:c>
      <x:c r="I2305" s="6" t="str">
        <x:v>Area and room selection</x:v>
      </x:c>
      <x:c r="J2305" s="6" t="str">
        <x:v>Benchmark</x:v>
      </x:c>
      <x:c r="K2305" s="6" t="str">
        <x:v>Answer: &lt;one number&gt;</x:v>
      </x:c>
      <x:c r="L2305" s="6" t="str">
        <x:v>T02, T04, T14</x:v>
      </x:c>
      <x:c r="M2305" s="6" t="str">
        <x:v>Sum the floor area of every matching room on one floor.</x:v>
      </x:c>
      <x:c r="N2305" s="6" t="str">
        <x:v>{"type":"number","value":14.21,"unit":"m2","relative_tolerance":0.05,"absolute_tolerance":0}</x:v>
      </x:c>
      <x:c r="O2305" s="6" t="str">
        <x:v>{"floor_id":"resplan-3562-F0","room_type":"bathroom"}</x:v>
      </x:c>
      <x:c r="P2305" s="6" t="str">
        <x:v>Exact target floor and room_type. Polygon area in m².</x:v>
      </x:c>
      <x:c r="Q2305" s="15" t="n">
        <x:v>14.21</x:v>
      </x:c>
      <x:c r="R2305" s="6" t="str">
        <x:v>m2</x:v>
      </x:c>
      <x:c r="S2305" s="16" t="n">
        <x:v>0.05</x:v>
      </x:c>
      <x:c r="T2305" s="15" t="n">
        <x:v>0</x:v>
      </x:c>
      <x:c r="U2305" s="6" t="str">
        <x:v>Answer: 14.21</x:v>
      </x:c>
      <x:c r="V2305" s="6" t="str">
        <x:v>room geometry: summed area</x:v>
      </x:c>
      <x:c r="W2305" s="6" t="str">
        <x:v>Missing polygon-area aggregation tool.</x:v>
      </x:c>
      <x:c r="X2305" s="6" t="str">
        <x:v>data/train/resplan-3562/questions.jsonl</x:v>
      </x:c>
      <x:c r="Y2305" s="14" t="n">
        <x:v>1</x:v>
      </x:c>
      <x:c r="Z2305" s="6" t="str">
        <x:v>https://github.com/hagenhaeussler/Industrial-Agents-Hackathon-2026/blob/f41616590b69f3ea0c1cbfb41d6c35edd9ce53df/data/train/resplan-3562/questions.jsonl#L1</x:v>
      </x:c>
      <x:c r="AA2305" s="6" t="str">
        <x:v>resplan</x:v>
      </x:c>
      <x:c r="AB2305" s="6" t="str">
        <x:v>CC-BY-4.0</x:v>
      </x:c>
    </x:row>
    <x:row r="2306" ht="72" customHeight="1">
      <x:c r="A2306" s="14" t="n">
        <x:v>2301</x:v>
      </x:c>
      <x:c r="B2306" s="6" t="str">
        <x:v>floor_area_total</x:v>
      </x:c>
      <x:c r="C2306" s="6" t="str">
        <x:v>Facilities want the total floor area of every bedroom on the ground floor added together. How many square metres is that? Finish with a line 'Answer: &lt;number&gt;'.</x:v>
      </x:c>
      <x:c r="D2306" s="6" t="str">
        <x:v>81.05 m2</x:v>
      </x:c>
      <x:c r="E2306" s="6" t="str">
        <x:v>Reference supplied</x:v>
      </x:c>
      <x:c r="F2306" s="6" t="str">
        <x:v>train</x:v>
      </x:c>
      <x:c r="G2306" s="6" t="str">
        <x:v>resplan-3806</x:v>
      </x:c>
      <x:c r="H2306" s="6" t="str">
        <x:v>resplan-3806-H01</x:v>
      </x:c>
      <x:c r="I2306" s="6" t="str">
        <x:v>Area and room selection</x:v>
      </x:c>
      <x:c r="J2306" s="6" t="str">
        <x:v>Benchmark</x:v>
      </x:c>
      <x:c r="K2306" s="6" t="str">
        <x:v>Answer: &lt;one number&gt;</x:v>
      </x:c>
      <x:c r="L2306" s="6" t="str">
        <x:v>T02, T04, T14</x:v>
      </x:c>
      <x:c r="M2306" s="6" t="str">
        <x:v>Sum the floor area of every matching room on one floor.</x:v>
      </x:c>
      <x:c r="N2306" s="6" t="str">
        <x:v>{"type":"number","value":81.05,"unit":"m2","relative_tolerance":0.05,"absolute_tolerance":0}</x:v>
      </x:c>
      <x:c r="O2306" s="6" t="str">
        <x:v>{"floor_id":"resplan-3806-F0","room_type":"bedroom"}</x:v>
      </x:c>
      <x:c r="P2306" s="6" t="str">
        <x:v>Exact target floor and room_type. Polygon area in m².</x:v>
      </x:c>
      <x:c r="Q2306" s="15" t="n">
        <x:v>81.05</x:v>
      </x:c>
      <x:c r="R2306" s="6" t="str">
        <x:v>m2</x:v>
      </x:c>
      <x:c r="S2306" s="16" t="n">
        <x:v>0.05</x:v>
      </x:c>
      <x:c r="T2306" s="15" t="n">
        <x:v>0</x:v>
      </x:c>
      <x:c r="U2306" s="6" t="str">
        <x:v>Answer: 81.05</x:v>
      </x:c>
      <x:c r="V2306" s="6" t="str">
        <x:v>room geometry: summed area</x:v>
      </x:c>
      <x:c r="W2306" s="6" t="str">
        <x:v>Missing polygon-area aggregation tool.</x:v>
      </x:c>
      <x:c r="X2306" s="6" t="str">
        <x:v>data/train/resplan-3806/questions.jsonl</x:v>
      </x:c>
      <x:c r="Y2306" s="14" t="n">
        <x:v>1</x:v>
      </x:c>
      <x:c r="Z2306" s="6" t="str">
        <x:v>https://github.com/hagenhaeussler/Industrial-Agents-Hackathon-2026/blob/f41616590b69f3ea0c1cbfb41d6c35edd9ce53df/data/train/resplan-3806/questions.jsonl#L1</x:v>
      </x:c>
      <x:c r="AA2306" s="6" t="str">
        <x:v>resplan</x:v>
      </x:c>
      <x:c r="AB2306" s="6" t="str">
        <x:v>CC-BY-4.0</x:v>
      </x:c>
    </x:row>
    <x:row r="2307" ht="72" customHeight="1">
      <x:c r="A2307" s="14" t="n">
        <x:v>2302</x:v>
      </x:c>
      <x:c r="B2307" s="6" t="str">
        <x:v>floor_area_total</x:v>
      </x:c>
      <x:c r="C2307" s="6" t="str">
        <x:v>Facilities want the total floor area of every bedroom on the ground floor added together. How many square metres is that? Finish with a line 'Answer: &lt;number&gt;'.</x:v>
      </x:c>
      <x:c r="D2307" s="6" t="str">
        <x:v>44.39 m2</x:v>
      </x:c>
      <x:c r="E2307" s="6" t="str">
        <x:v>Reference supplied</x:v>
      </x:c>
      <x:c r="F2307" s="6" t="str">
        <x:v>train</x:v>
      </x:c>
      <x:c r="G2307" s="6" t="str">
        <x:v>resplan-4453</x:v>
      </x:c>
      <x:c r="H2307" s="6" t="str">
        <x:v>resplan-4453-H02</x:v>
      </x:c>
      <x:c r="I2307" s="6" t="str">
        <x:v>Area and room selection</x:v>
      </x:c>
      <x:c r="J2307" s="6" t="str">
        <x:v>Benchmark</x:v>
      </x:c>
      <x:c r="K2307" s="6" t="str">
        <x:v>Answer: &lt;one number&gt;</x:v>
      </x:c>
      <x:c r="L2307" s="6" t="str">
        <x:v>T02, T04, T14</x:v>
      </x:c>
      <x:c r="M2307" s="6" t="str">
        <x:v>Sum the floor area of every matching room on one floor.</x:v>
      </x:c>
      <x:c r="N2307" s="6" t="str">
        <x:v>{"type":"number","value":44.39,"unit":"m2","relative_tolerance":0.05,"absolute_tolerance":0}</x:v>
      </x:c>
      <x:c r="O2307" s="6" t="str">
        <x:v>{"floor_id":"resplan-4453-F0","room_type":"bedroom"}</x:v>
      </x:c>
      <x:c r="P2307" s="6" t="str">
        <x:v>Exact target floor and room_type. Polygon area in m².</x:v>
      </x:c>
      <x:c r="Q2307" s="15" t="n">
        <x:v>44.39</x:v>
      </x:c>
      <x:c r="R2307" s="6" t="str">
        <x:v>m2</x:v>
      </x:c>
      <x:c r="S2307" s="16" t="n">
        <x:v>0.05</x:v>
      </x:c>
      <x:c r="T2307" s="15" t="n">
        <x:v>0</x:v>
      </x:c>
      <x:c r="U2307" s="6" t="str">
        <x:v>Answer: 44.39</x:v>
      </x:c>
      <x:c r="V2307" s="6" t="str">
        <x:v>room geometry: summed area</x:v>
      </x:c>
      <x:c r="W2307" s="6" t="str">
        <x:v>Missing polygon-area aggregation tool.</x:v>
      </x:c>
      <x:c r="X2307" s="6" t="str">
        <x:v>data/train/resplan-4453/questions.jsonl</x:v>
      </x:c>
      <x:c r="Y2307" s="14" t="n">
        <x:v>2</x:v>
      </x:c>
      <x:c r="Z2307" s="6" t="str">
        <x:v>https://github.com/hagenhaeussler/Industrial-Agents-Hackathon-2026/blob/f41616590b69f3ea0c1cbfb41d6c35edd9ce53df/data/train/resplan-4453/questions.jsonl#L2</x:v>
      </x:c>
      <x:c r="AA2307" s="6" t="str">
        <x:v>resplan</x:v>
      </x:c>
      <x:c r="AB2307" s="6" t="str">
        <x:v>CC-BY-4.0</x:v>
      </x:c>
    </x:row>
    <x:row r="2308" ht="72" customHeight="1">
      <x:c r="A2308" s="14" t="n">
        <x:v>2303</x:v>
      </x:c>
      <x:c r="B2308" s="6" t="str">
        <x:v>floor_area_total</x:v>
      </x:c>
      <x:c r="C2308" s="6" t="str">
        <x:v>Facilities want the total floor area of every bathroom on the ground floor added together. How many square metres is that? Finish with a line 'Answer: &lt;number&gt;'.</x:v>
      </x:c>
      <x:c r="D2308" s="6" t="str">
        <x:v>15.71 m2</x:v>
      </x:c>
      <x:c r="E2308" s="6" t="str">
        <x:v>Reference supplied</x:v>
      </x:c>
      <x:c r="F2308" s="6" t="str">
        <x:v>train</x:v>
      </x:c>
      <x:c r="G2308" s="6" t="str">
        <x:v>resplan-47</x:v>
      </x:c>
      <x:c r="H2308" s="6" t="str">
        <x:v>resplan-47-H02</x:v>
      </x:c>
      <x:c r="I2308" s="6" t="str">
        <x:v>Area and room selection</x:v>
      </x:c>
      <x:c r="J2308" s="6" t="str">
        <x:v>Benchmark</x:v>
      </x:c>
      <x:c r="K2308" s="6" t="str">
        <x:v>Answer: &lt;one number&gt;</x:v>
      </x:c>
      <x:c r="L2308" s="6" t="str">
        <x:v>T02, T04, T14</x:v>
      </x:c>
      <x:c r="M2308" s="6" t="str">
        <x:v>Sum the floor area of every matching room on one floor.</x:v>
      </x:c>
      <x:c r="N2308" s="6" t="str">
        <x:v>{"type":"number","value":15.71,"unit":"m2","relative_tolerance":0.05,"absolute_tolerance":0}</x:v>
      </x:c>
      <x:c r="O2308" s="6" t="str">
        <x:v>{"floor_id":"resplan-47-F0","room_type":"bathroom"}</x:v>
      </x:c>
      <x:c r="P2308" s="6" t="str">
        <x:v>Exact target floor and room_type. Polygon area in m².</x:v>
      </x:c>
      <x:c r="Q2308" s="15" t="n">
        <x:v>15.71</x:v>
      </x:c>
      <x:c r="R2308" s="6" t="str">
        <x:v>m2</x:v>
      </x:c>
      <x:c r="S2308" s="16" t="n">
        <x:v>0.05</x:v>
      </x:c>
      <x:c r="T2308" s="15" t="n">
        <x:v>0</x:v>
      </x:c>
      <x:c r="U2308" s="6" t="str">
        <x:v>Answer: 15.71</x:v>
      </x:c>
      <x:c r="V2308" s="6" t="str">
        <x:v>room geometry: summed area</x:v>
      </x:c>
      <x:c r="W2308" s="6" t="str">
        <x:v>Missing polygon-area aggregation tool.</x:v>
      </x:c>
      <x:c r="X2308" s="6" t="str">
        <x:v>data/train/resplan-47/questions.jsonl</x:v>
      </x:c>
      <x:c r="Y2308" s="14" t="n">
        <x:v>2</x:v>
      </x:c>
      <x:c r="Z2308" s="6" t="str">
        <x:v>https://github.com/hagenhaeussler/Industrial-Agents-Hackathon-2026/blob/f41616590b69f3ea0c1cbfb41d6c35edd9ce53df/data/train/resplan-47/questions.jsonl#L2</x:v>
      </x:c>
      <x:c r="AA2308" s="6" t="str">
        <x:v>resplan</x:v>
      </x:c>
      <x:c r="AB2308" s="6" t="str">
        <x:v>CC-BY-4.0</x:v>
      </x:c>
    </x:row>
    <x:row r="2309" ht="72" customHeight="1">
      <x:c r="A2309" s="14" t="n">
        <x:v>2304</x:v>
      </x:c>
      <x:c r="B2309" s="6" t="str">
        <x:v>floor_area_total</x:v>
      </x:c>
      <x:c r="C2309" s="6" t="str">
        <x:v>Facilities want the total floor area of every bedroom on the ground floor added together. How many square metres is that? Finish with a line 'Answer: &lt;number&gt;'.</x:v>
      </x:c>
      <x:c r="D2309" s="6" t="str">
        <x:v>39.96 m2</x:v>
      </x:c>
      <x:c r="E2309" s="6" t="str">
        <x:v>Reference supplied</x:v>
      </x:c>
      <x:c r="F2309" s="6" t="str">
        <x:v>train</x:v>
      </x:c>
      <x:c r="G2309" s="6" t="str">
        <x:v>resplan-5871</x:v>
      </x:c>
      <x:c r="H2309" s="6" t="str">
        <x:v>resplan-5871-H01</x:v>
      </x:c>
      <x:c r="I2309" s="6" t="str">
        <x:v>Area and room selection</x:v>
      </x:c>
      <x:c r="J2309" s="6" t="str">
        <x:v>Benchmark</x:v>
      </x:c>
      <x:c r="K2309" s="6" t="str">
        <x:v>Answer: &lt;one number&gt;</x:v>
      </x:c>
      <x:c r="L2309" s="6" t="str">
        <x:v>T02, T04, T14</x:v>
      </x:c>
      <x:c r="M2309" s="6" t="str">
        <x:v>Sum the floor area of every matching room on one floor.</x:v>
      </x:c>
      <x:c r="N2309" s="6" t="str">
        <x:v>{"type":"number","value":39.96,"unit":"m2","relative_tolerance":0.05,"absolute_tolerance":0}</x:v>
      </x:c>
      <x:c r="O2309" s="6" t="str">
        <x:v>{"floor_id":"resplan-5871-F0","room_type":"bedroom"}</x:v>
      </x:c>
      <x:c r="P2309" s="6" t="str">
        <x:v>Exact target floor and room_type. Polygon area in m².</x:v>
      </x:c>
      <x:c r="Q2309" s="15" t="n">
        <x:v>39.96</x:v>
      </x:c>
      <x:c r="R2309" s="6" t="str">
        <x:v>m2</x:v>
      </x:c>
      <x:c r="S2309" s="16" t="n">
        <x:v>0.05</x:v>
      </x:c>
      <x:c r="T2309" s="15" t="n">
        <x:v>0</x:v>
      </x:c>
      <x:c r="U2309" s="6" t="str">
        <x:v>Answer: 39.96</x:v>
      </x:c>
      <x:c r="V2309" s="6" t="str">
        <x:v>room geometry: summed area</x:v>
      </x:c>
      <x:c r="W2309" s="6" t="str">
        <x:v>Missing polygon-area aggregation tool.</x:v>
      </x:c>
      <x:c r="X2309" s="6" t="str">
        <x:v>data/train/resplan-5871/questions.jsonl</x:v>
      </x:c>
      <x:c r="Y2309" s="14" t="n">
        <x:v>1</x:v>
      </x:c>
      <x:c r="Z2309" s="6" t="str">
        <x:v>https://github.com/hagenhaeussler/Industrial-Agents-Hackathon-2026/blob/f41616590b69f3ea0c1cbfb41d6c35edd9ce53df/data/train/resplan-5871/questions.jsonl#L1</x:v>
      </x:c>
      <x:c r="AA2309" s="6" t="str">
        <x:v>resplan</x:v>
      </x:c>
      <x:c r="AB2309" s="6" t="str">
        <x:v>CC-BY-4.0</x:v>
      </x:c>
    </x:row>
    <x:row r="2310" ht="72" customHeight="1">
      <x:c r="A2310" s="14" t="n">
        <x:v>2305</x:v>
      </x:c>
      <x:c r="B2310" s="6" t="str">
        <x:v>floor_area_total</x:v>
      </x:c>
      <x:c r="C2310" s="6" t="str">
        <x:v>Facilities want the total floor area of every bedroom on the ground floor added together. How many square metres is that? Finish with a line 'Answer: &lt;number&gt;'.</x:v>
      </x:c>
      <x:c r="D2310" s="6" t="str">
        <x:v>77.19 m2</x:v>
      </x:c>
      <x:c r="E2310" s="6" t="str">
        <x:v>Reference supplied</x:v>
      </x:c>
      <x:c r="F2310" s="6" t="str">
        <x:v>train</x:v>
      </x:c>
      <x:c r="G2310" s="6" t="str">
        <x:v>resplan-6242</x:v>
      </x:c>
      <x:c r="H2310" s="6" t="str">
        <x:v>resplan-6242-H01</x:v>
      </x:c>
      <x:c r="I2310" s="6" t="str">
        <x:v>Area and room selection</x:v>
      </x:c>
      <x:c r="J2310" s="6" t="str">
        <x:v>Benchmark</x:v>
      </x:c>
      <x:c r="K2310" s="6" t="str">
        <x:v>Answer: &lt;one number&gt;</x:v>
      </x:c>
      <x:c r="L2310" s="6" t="str">
        <x:v>T02, T04, T14</x:v>
      </x:c>
      <x:c r="M2310" s="6" t="str">
        <x:v>Sum the floor area of every matching room on one floor.</x:v>
      </x:c>
      <x:c r="N2310" s="6" t="str">
        <x:v>{"type":"number","value":77.19,"unit":"m2","relative_tolerance":0.05,"absolute_tolerance":0}</x:v>
      </x:c>
      <x:c r="O2310" s="6" t="str">
        <x:v>{"floor_id":"resplan-6242-F0","room_type":"bedroom"}</x:v>
      </x:c>
      <x:c r="P2310" s="6" t="str">
        <x:v>Exact target floor and room_type. Polygon area in m².</x:v>
      </x:c>
      <x:c r="Q2310" s="15" t="n">
        <x:v>77.19</x:v>
      </x:c>
      <x:c r="R2310" s="6" t="str">
        <x:v>m2</x:v>
      </x:c>
      <x:c r="S2310" s="16" t="n">
        <x:v>0.05</x:v>
      </x:c>
      <x:c r="T2310" s="15" t="n">
        <x:v>0</x:v>
      </x:c>
      <x:c r="U2310" s="6" t="str">
        <x:v>Answer: 77.19</x:v>
      </x:c>
      <x:c r="V2310" s="6" t="str">
        <x:v>room geometry: summed area</x:v>
      </x:c>
      <x:c r="W2310" s="6" t="str">
        <x:v>Missing polygon-area aggregation tool.</x:v>
      </x:c>
      <x:c r="X2310" s="6" t="str">
        <x:v>data/train/resplan-6242/questions.jsonl</x:v>
      </x:c>
      <x:c r="Y2310" s="14" t="n">
        <x:v>1</x:v>
      </x:c>
      <x:c r="Z2310" s="6" t="str">
        <x:v>https://github.com/hagenhaeussler/Industrial-Agents-Hackathon-2026/blob/f41616590b69f3ea0c1cbfb41d6c35edd9ce53df/data/train/resplan-6242/questions.jsonl#L1</x:v>
      </x:c>
      <x:c r="AA2310" s="6" t="str">
        <x:v>resplan</x:v>
      </x:c>
      <x:c r="AB2310" s="6" t="str">
        <x:v>CC-BY-4.0</x:v>
      </x:c>
    </x:row>
    <x:row r="2311" ht="72" customHeight="1">
      <x:c r="A2311" s="14" t="n">
        <x:v>2306</x:v>
      </x:c>
      <x:c r="B2311" s="6" t="str">
        <x:v>floor_area_total</x:v>
      </x:c>
      <x:c r="C2311" s="6" t="str">
        <x:v>Facilities want the total floor area of every bathroom on the ground floor added together. How many square metres is that? Finish with a line 'Answer: &lt;number&gt;'.</x:v>
      </x:c>
      <x:c r="D2311" s="6" t="str">
        <x:v>16.75 m2</x:v>
      </x:c>
      <x:c r="E2311" s="6" t="str">
        <x:v>Reference supplied</x:v>
      </x:c>
      <x:c r="F2311" s="6" t="str">
        <x:v>train</x:v>
      </x:c>
      <x:c r="G2311" s="6" t="str">
        <x:v>resplan-666</x:v>
      </x:c>
      <x:c r="H2311" s="6" t="str">
        <x:v>resplan-666-H01</x:v>
      </x:c>
      <x:c r="I2311" s="6" t="str">
        <x:v>Area and room selection</x:v>
      </x:c>
      <x:c r="J2311" s="6" t="str">
        <x:v>Benchmark</x:v>
      </x:c>
      <x:c r="K2311" s="6" t="str">
        <x:v>Answer: &lt;one number&gt;</x:v>
      </x:c>
      <x:c r="L2311" s="6" t="str">
        <x:v>T02, T04, T14</x:v>
      </x:c>
      <x:c r="M2311" s="6" t="str">
        <x:v>Sum the floor area of every matching room on one floor.</x:v>
      </x:c>
      <x:c r="N2311" s="6" t="str">
        <x:v>{"type":"number","value":16.75,"unit":"m2","relative_tolerance":0.05,"absolute_tolerance":0}</x:v>
      </x:c>
      <x:c r="O2311" s="6" t="str">
        <x:v>{"floor_id":"resplan-666-F0","room_type":"bathroom"}</x:v>
      </x:c>
      <x:c r="P2311" s="6" t="str">
        <x:v>Exact target floor and room_type. Polygon area in m².</x:v>
      </x:c>
      <x:c r="Q2311" s="15" t="n">
        <x:v>16.75</x:v>
      </x:c>
      <x:c r="R2311" s="6" t="str">
        <x:v>m2</x:v>
      </x:c>
      <x:c r="S2311" s="16" t="n">
        <x:v>0.05</x:v>
      </x:c>
      <x:c r="T2311" s="15" t="n">
        <x:v>0</x:v>
      </x:c>
      <x:c r="U2311" s="6" t="str">
        <x:v>Answer: 16.75</x:v>
      </x:c>
      <x:c r="V2311" s="6" t="str">
        <x:v>room geometry: summed area</x:v>
      </x:c>
      <x:c r="W2311" s="6" t="str">
        <x:v>Missing polygon-area aggregation tool.</x:v>
      </x:c>
      <x:c r="X2311" s="6" t="str">
        <x:v>data/train/resplan-666/questions.jsonl</x:v>
      </x:c>
      <x:c r="Y2311" s="14" t="n">
        <x:v>1</x:v>
      </x:c>
      <x:c r="Z2311" s="6" t="str">
        <x:v>https://github.com/hagenhaeussler/Industrial-Agents-Hackathon-2026/blob/f41616590b69f3ea0c1cbfb41d6c35edd9ce53df/data/train/resplan-666/questions.jsonl#L1</x:v>
      </x:c>
      <x:c r="AA2311" s="6" t="str">
        <x:v>resplan</x:v>
      </x:c>
      <x:c r="AB2311" s="6" t="str">
        <x:v>CC-BY-4.0</x:v>
      </x:c>
    </x:row>
    <x:row r="2312" ht="72" customHeight="1">
      <x:c r="A2312" s="14" t="n">
        <x:v>2307</x:v>
      </x:c>
      <x:c r="B2312" s="6" t="str">
        <x:v>floor_area_total</x:v>
      </x:c>
      <x:c r="C2312" s="6" t="str">
        <x:v>Facilities want the total floor area of every bedroom on the ground floor added together. How many square metres is that? Finish with a line 'Answer: &lt;number&gt;'.</x:v>
      </x:c>
      <x:c r="D2312" s="6" t="str">
        <x:v>65.01 m2</x:v>
      </x:c>
      <x:c r="E2312" s="6" t="str">
        <x:v>Reference supplied</x:v>
      </x:c>
      <x:c r="F2312" s="6" t="str">
        <x:v>train</x:v>
      </x:c>
      <x:c r="G2312" s="6" t="str">
        <x:v>resplan-6994</x:v>
      </x:c>
      <x:c r="H2312" s="6" t="str">
        <x:v>resplan-6994-H02</x:v>
      </x:c>
      <x:c r="I2312" s="6" t="str">
        <x:v>Area and room selection</x:v>
      </x:c>
      <x:c r="J2312" s="6" t="str">
        <x:v>Benchmark</x:v>
      </x:c>
      <x:c r="K2312" s="6" t="str">
        <x:v>Answer: &lt;one number&gt;</x:v>
      </x:c>
      <x:c r="L2312" s="6" t="str">
        <x:v>T02, T04, T14</x:v>
      </x:c>
      <x:c r="M2312" s="6" t="str">
        <x:v>Sum the floor area of every matching room on one floor.</x:v>
      </x:c>
      <x:c r="N2312" s="6" t="str">
        <x:v>{"type":"number","value":65.01,"unit":"m2","relative_tolerance":0.05,"absolute_tolerance":0}</x:v>
      </x:c>
      <x:c r="O2312" s="6" t="str">
        <x:v>{"floor_id":"resplan-6994-F0","room_type":"bedroom"}</x:v>
      </x:c>
      <x:c r="P2312" s="6" t="str">
        <x:v>Exact target floor and room_type. Polygon area in m².</x:v>
      </x:c>
      <x:c r="Q2312" s="15" t="n">
        <x:v>65.01</x:v>
      </x:c>
      <x:c r="R2312" s="6" t="str">
        <x:v>m2</x:v>
      </x:c>
      <x:c r="S2312" s="16" t="n">
        <x:v>0.05</x:v>
      </x:c>
      <x:c r="T2312" s="15" t="n">
        <x:v>0</x:v>
      </x:c>
      <x:c r="U2312" s="6" t="str">
        <x:v>Answer: 65.01</x:v>
      </x:c>
      <x:c r="V2312" s="6" t="str">
        <x:v>room geometry: summed area</x:v>
      </x:c>
      <x:c r="W2312" s="6" t="str">
        <x:v>Missing polygon-area aggregation tool.</x:v>
      </x:c>
      <x:c r="X2312" s="6" t="str">
        <x:v>data/train/resplan-6994/questions.jsonl</x:v>
      </x:c>
      <x:c r="Y2312" s="14" t="n">
        <x:v>2</x:v>
      </x:c>
      <x:c r="Z2312" s="6" t="str">
        <x:v>https://github.com/hagenhaeussler/Industrial-Agents-Hackathon-2026/blob/f41616590b69f3ea0c1cbfb41d6c35edd9ce53df/data/train/resplan-6994/questions.jsonl#L2</x:v>
      </x:c>
      <x:c r="AA2312" s="6" t="str">
        <x:v>resplan</x:v>
      </x:c>
      <x:c r="AB2312" s="6" t="str">
        <x:v>CC-BY-4.0</x:v>
      </x:c>
    </x:row>
    <x:row r="2313" ht="72" customHeight="1">
      <x:c r="A2313" s="14" t="n">
        <x:v>2308</x:v>
      </x:c>
      <x:c r="B2313" s="6" t="str">
        <x:v>floor_area_total</x:v>
      </x:c>
      <x:c r="C2313" s="6" t="str">
        <x:v>Facilities want the total floor area of every bathroom on the ground floor added together. How many square metres is that? Finish with a line 'Answer: &lt;number&gt;'.</x:v>
      </x:c>
      <x:c r="D2313" s="6" t="str">
        <x:v>22.19 m2</x:v>
      </x:c>
      <x:c r="E2313" s="6" t="str">
        <x:v>Reference supplied</x:v>
      </x:c>
      <x:c r="F2313" s="6" t="str">
        <x:v>train</x:v>
      </x:c>
      <x:c r="G2313" s="6" t="str">
        <x:v>resplan-8174</x:v>
      </x:c>
      <x:c r="H2313" s="6" t="str">
        <x:v>resplan-8174-H02</x:v>
      </x:c>
      <x:c r="I2313" s="6" t="str">
        <x:v>Area and room selection</x:v>
      </x:c>
      <x:c r="J2313" s="6" t="str">
        <x:v>Benchmark</x:v>
      </x:c>
      <x:c r="K2313" s="6" t="str">
        <x:v>Answer: &lt;one number&gt;</x:v>
      </x:c>
      <x:c r="L2313" s="6" t="str">
        <x:v>T02, T04, T14</x:v>
      </x:c>
      <x:c r="M2313" s="6" t="str">
        <x:v>Sum the floor area of every matching room on one floor.</x:v>
      </x:c>
      <x:c r="N2313" s="6" t="str">
        <x:v>{"type":"number","value":22.19,"unit":"m2","relative_tolerance":0.05,"absolute_tolerance":0}</x:v>
      </x:c>
      <x:c r="O2313" s="6" t="str">
        <x:v>{"floor_id":"resplan-8174-F0","room_type":"bathroom"}</x:v>
      </x:c>
      <x:c r="P2313" s="6" t="str">
        <x:v>Exact target floor and room_type. Polygon area in m².</x:v>
      </x:c>
      <x:c r="Q2313" s="15" t="n">
        <x:v>22.19</x:v>
      </x:c>
      <x:c r="R2313" s="6" t="str">
        <x:v>m2</x:v>
      </x:c>
      <x:c r="S2313" s="16" t="n">
        <x:v>0.05</x:v>
      </x:c>
      <x:c r="T2313" s="15" t="n">
        <x:v>0</x:v>
      </x:c>
      <x:c r="U2313" s="6" t="str">
        <x:v>Answer: 22.19</x:v>
      </x:c>
      <x:c r="V2313" s="6" t="str">
        <x:v>room geometry: summed area</x:v>
      </x:c>
      <x:c r="W2313" s="6" t="str">
        <x:v>Missing polygon-area aggregation tool.</x:v>
      </x:c>
      <x:c r="X2313" s="6" t="str">
        <x:v>data/train/resplan-8174/questions.jsonl</x:v>
      </x:c>
      <x:c r="Y2313" s="14" t="n">
        <x:v>2</x:v>
      </x:c>
      <x:c r="Z2313" s="6" t="str">
        <x:v>https://github.com/hagenhaeussler/Industrial-Agents-Hackathon-2026/blob/f41616590b69f3ea0c1cbfb41d6c35edd9ce53df/data/train/resplan-8174/questions.jsonl#L2</x:v>
      </x:c>
      <x:c r="AA2313" s="6" t="str">
        <x:v>resplan</x:v>
      </x:c>
      <x:c r="AB2313" s="6" t="str">
        <x:v>CC-BY-4.0</x:v>
      </x:c>
    </x:row>
    <x:row r="2314" ht="72" customHeight="1">
      <x:c r="A2314" s="14" t="n">
        <x:v>2309</x:v>
      </x:c>
      <x:c r="B2314" s="6" t="str">
        <x:v>floor_area_total</x:v>
      </x:c>
      <x:c r="C2314" s="6" t="str">
        <x:v>Facilities want the total floor area of every bathroom on the ground floor added together. How many square metres is that? Finish with a line 'Answer: &lt;number&gt;'.</x:v>
      </x:c>
      <x:c r="D2314" s="6" t="str">
        <x:v>19.6 m2</x:v>
      </x:c>
      <x:c r="E2314" s="6" t="str">
        <x:v>Reference supplied</x:v>
      </x:c>
      <x:c r="F2314" s="6" t="str">
        <x:v>train</x:v>
      </x:c>
      <x:c r="G2314" s="6" t="str">
        <x:v>resplan-8565</x:v>
      </x:c>
      <x:c r="H2314" s="6" t="str">
        <x:v>resplan-8565-H02</x:v>
      </x:c>
      <x:c r="I2314" s="6" t="str">
        <x:v>Area and room selection</x:v>
      </x:c>
      <x:c r="J2314" s="6" t="str">
        <x:v>Benchmark</x:v>
      </x:c>
      <x:c r="K2314" s="6" t="str">
        <x:v>Answer: &lt;one number&gt;</x:v>
      </x:c>
      <x:c r="L2314" s="6" t="str">
        <x:v>T02, T04, T14</x:v>
      </x:c>
      <x:c r="M2314" s="6" t="str">
        <x:v>Sum the floor area of every matching room on one floor.</x:v>
      </x:c>
      <x:c r="N2314" s="6" t="str">
        <x:v>{"type":"number","value":19.6,"unit":"m2","relative_tolerance":0.05,"absolute_tolerance":0}</x:v>
      </x:c>
      <x:c r="O2314" s="6" t="str">
        <x:v>{"floor_id":"resplan-8565-F0","room_type":"bathroom"}</x:v>
      </x:c>
      <x:c r="P2314" s="6" t="str">
        <x:v>Exact target floor and room_type. Polygon area in m².</x:v>
      </x:c>
      <x:c r="Q2314" s="15" t="n">
        <x:v>19.6</x:v>
      </x:c>
      <x:c r="R2314" s="6" t="str">
        <x:v>m2</x:v>
      </x:c>
      <x:c r="S2314" s="16" t="n">
        <x:v>0.05</x:v>
      </x:c>
      <x:c r="T2314" s="15" t="n">
        <x:v>0</x:v>
      </x:c>
      <x:c r="U2314" s="6" t="str">
        <x:v>Answer: 19.6</x:v>
      </x:c>
      <x:c r="V2314" s="6" t="str">
        <x:v>room geometry: summed area</x:v>
      </x:c>
      <x:c r="W2314" s="6" t="str">
        <x:v>Missing polygon-area aggregation tool.</x:v>
      </x:c>
      <x:c r="X2314" s="6" t="str">
        <x:v>data/train/resplan-8565/questions.jsonl</x:v>
      </x:c>
      <x:c r="Y2314" s="14" t="n">
        <x:v>2</x:v>
      </x:c>
      <x:c r="Z2314" s="6" t="str">
        <x:v>https://github.com/hagenhaeussler/Industrial-Agents-Hackathon-2026/blob/f41616590b69f3ea0c1cbfb41d6c35edd9ce53df/data/train/resplan-8565/questions.jsonl#L2</x:v>
      </x:c>
      <x:c r="AA2314" s="6" t="str">
        <x:v>resplan</x:v>
      </x:c>
      <x:c r="AB2314" s="6" t="str">
        <x:v>CC-BY-4.0</x:v>
      </x:c>
    </x:row>
    <x:row r="2315" ht="72" customHeight="1">
      <x:c r="A2315" s="14" t="n">
        <x:v>2310</x:v>
      </x:c>
      <x:c r="B2315" s="6" t="str">
        <x:v>floor_area_total</x:v>
      </x:c>
      <x:c r="C2315" s="6" t="str">
        <x:v>Facilities want the total floor area of every bathroom on the ground floor added together. How many square metres is that? Finish with a line 'Answer: &lt;number&gt;'.</x:v>
      </x:c>
      <x:c r="D2315" s="6" t="str">
        <x:v>20.54 m2</x:v>
      </x:c>
      <x:c r="E2315" s="6" t="str">
        <x:v>Reference supplied</x:v>
      </x:c>
      <x:c r="F2315" s="6" t="str">
        <x:v>train</x:v>
      </x:c>
      <x:c r="G2315" s="6" t="str">
        <x:v>resplan-9082</x:v>
      </x:c>
      <x:c r="H2315" s="6" t="str">
        <x:v>resplan-9082-H02</x:v>
      </x:c>
      <x:c r="I2315" s="6" t="str">
        <x:v>Area and room selection</x:v>
      </x:c>
      <x:c r="J2315" s="6" t="str">
        <x:v>Benchmark</x:v>
      </x:c>
      <x:c r="K2315" s="6" t="str">
        <x:v>Answer: &lt;one number&gt;</x:v>
      </x:c>
      <x:c r="L2315" s="6" t="str">
        <x:v>T02, T04, T14</x:v>
      </x:c>
      <x:c r="M2315" s="6" t="str">
        <x:v>Sum the floor area of every matching room on one floor.</x:v>
      </x:c>
      <x:c r="N2315" s="6" t="str">
        <x:v>{"type":"number","value":20.54,"unit":"m2","relative_tolerance":0.05,"absolute_tolerance":0}</x:v>
      </x:c>
      <x:c r="O2315" s="6" t="str">
        <x:v>{"floor_id":"resplan-9082-F0","room_type":"bathroom"}</x:v>
      </x:c>
      <x:c r="P2315" s="6" t="str">
        <x:v>Exact target floor and room_type. Polygon area in m².</x:v>
      </x:c>
      <x:c r="Q2315" s="15" t="n">
        <x:v>20.54</x:v>
      </x:c>
      <x:c r="R2315" s="6" t="str">
        <x:v>m2</x:v>
      </x:c>
      <x:c r="S2315" s="16" t="n">
        <x:v>0.05</x:v>
      </x:c>
      <x:c r="T2315" s="15" t="n">
        <x:v>0</x:v>
      </x:c>
      <x:c r="U2315" s="6" t="str">
        <x:v>Answer: 20.54</x:v>
      </x:c>
      <x:c r="V2315" s="6" t="str">
        <x:v>room geometry: summed area</x:v>
      </x:c>
      <x:c r="W2315" s="6" t="str">
        <x:v>Missing polygon-area aggregation tool.</x:v>
      </x:c>
      <x:c r="X2315" s="6" t="str">
        <x:v>data/train/resplan-9082/questions.jsonl</x:v>
      </x:c>
      <x:c r="Y2315" s="14" t="n">
        <x:v>2</x:v>
      </x:c>
      <x:c r="Z2315" s="6" t="str">
        <x:v>https://github.com/hagenhaeussler/Industrial-Agents-Hackathon-2026/blob/f41616590b69f3ea0c1cbfb41d6c35edd9ce53df/data/train/resplan-9082/questions.jsonl#L2</x:v>
      </x:c>
      <x:c r="AA2315" s="6" t="str">
        <x:v>resplan</x:v>
      </x:c>
      <x:c r="AB2315" s="6" t="str">
        <x:v>CC-BY-4.0</x:v>
      </x:c>
    </x:row>
    <x:row r="2316" ht="72" customHeight="1">
      <x:c r="A2316" s="14" t="n">
        <x:v>2311</x:v>
      </x:c>
      <x:c r="B2316" s="6" t="str">
        <x:v>floor_area_total</x:v>
      </x:c>
      <x:c r="C2316" s="6" t="str">
        <x:v>Facilities want the total floor area of every bedroom on the ground floor added together. How many square metres is that? Finish with a line 'Answer: &lt;number&gt;'.</x:v>
      </x:c>
      <x:c r="D2316" s="6" t="str">
        <x:v>55.08 m2</x:v>
      </x:c>
      <x:c r="E2316" s="6" t="str">
        <x:v>Reference supplied</x:v>
      </x:c>
      <x:c r="F2316" s="6" t="str">
        <x:v>train</x:v>
      </x:c>
      <x:c r="G2316" s="6" t="str">
        <x:v>resplan-9204</x:v>
      </x:c>
      <x:c r="H2316" s="6" t="str">
        <x:v>resplan-9204-H01</x:v>
      </x:c>
      <x:c r="I2316" s="6" t="str">
        <x:v>Area and room selection</x:v>
      </x:c>
      <x:c r="J2316" s="6" t="str">
        <x:v>Benchmark</x:v>
      </x:c>
      <x:c r="K2316" s="6" t="str">
        <x:v>Answer: &lt;one number&gt;</x:v>
      </x:c>
      <x:c r="L2316" s="6" t="str">
        <x:v>T02, T04, T14</x:v>
      </x:c>
      <x:c r="M2316" s="6" t="str">
        <x:v>Sum the floor area of every matching room on one floor.</x:v>
      </x:c>
      <x:c r="N2316" s="6" t="str">
        <x:v>{"type":"number","value":55.08,"unit":"m2","relative_tolerance":0.05,"absolute_tolerance":0}</x:v>
      </x:c>
      <x:c r="O2316" s="6" t="str">
        <x:v>{"floor_id":"resplan-9204-F0","room_type":"bedroom"}</x:v>
      </x:c>
      <x:c r="P2316" s="6" t="str">
        <x:v>Exact target floor and room_type. Polygon area in m².</x:v>
      </x:c>
      <x:c r="Q2316" s="15" t="n">
        <x:v>55.08</x:v>
      </x:c>
      <x:c r="R2316" s="6" t="str">
        <x:v>m2</x:v>
      </x:c>
      <x:c r="S2316" s="16" t="n">
        <x:v>0.05</x:v>
      </x:c>
      <x:c r="T2316" s="15" t="n">
        <x:v>0</x:v>
      </x:c>
      <x:c r="U2316" s="6" t="str">
        <x:v>Answer: 55.08</x:v>
      </x:c>
      <x:c r="V2316" s="6" t="str">
        <x:v>room geometry: summed area</x:v>
      </x:c>
      <x:c r="W2316" s="6" t="str">
        <x:v>Missing polygon-area aggregation tool.</x:v>
      </x:c>
      <x:c r="X2316" s="6" t="str">
        <x:v>data/train/resplan-9204/questions.jsonl</x:v>
      </x:c>
      <x:c r="Y2316" s="14" t="n">
        <x:v>1</x:v>
      </x:c>
      <x:c r="Z2316" s="6" t="str">
        <x:v>https://github.com/hagenhaeussler/Industrial-Agents-Hackathon-2026/blob/f41616590b69f3ea0c1cbfb41d6c35edd9ce53df/data/train/resplan-9204/questions.jsonl#L1</x:v>
      </x:c>
      <x:c r="AA2316" s="6" t="str">
        <x:v>resplan</x:v>
      </x:c>
      <x:c r="AB2316" s="6" t="str">
        <x:v>CC-BY-4.0</x:v>
      </x:c>
    </x:row>
    <x:row r="2317" ht="72" customHeight="1">
      <x:c r="A2317" s="14" t="n">
        <x:v>2312</x:v>
      </x:c>
      <x:c r="B2317" s="6" t="str">
        <x:v>floor_area_total</x:v>
      </x:c>
      <x:c r="C2317" s="6" t="str">
        <x:v>Facilities want the total floor area of every bedroom on the ground floor added together. How many square metres is that? Finish with a line 'Answer: &lt;number&gt;'.</x:v>
      </x:c>
      <x:c r="D2317" s="6" t="str">
        <x:v>55.35 m2</x:v>
      </x:c>
      <x:c r="E2317" s="6" t="str">
        <x:v>Reference supplied</x:v>
      </x:c>
      <x:c r="F2317" s="6" t="str">
        <x:v>train</x:v>
      </x:c>
      <x:c r="G2317" s="6" t="str">
        <x:v>resplan-9515</x:v>
      </x:c>
      <x:c r="H2317" s="6" t="str">
        <x:v>resplan-9515-H01</x:v>
      </x:c>
      <x:c r="I2317" s="6" t="str">
        <x:v>Area and room selection</x:v>
      </x:c>
      <x:c r="J2317" s="6" t="str">
        <x:v>Benchmark</x:v>
      </x:c>
      <x:c r="K2317" s="6" t="str">
        <x:v>Answer: &lt;one number&gt;</x:v>
      </x:c>
      <x:c r="L2317" s="6" t="str">
        <x:v>T02, T04, T14</x:v>
      </x:c>
      <x:c r="M2317" s="6" t="str">
        <x:v>Sum the floor area of every matching room on one floor.</x:v>
      </x:c>
      <x:c r="N2317" s="6" t="str">
        <x:v>{"type":"number","value":55.35,"unit":"m2","relative_tolerance":0.05,"absolute_tolerance":0}</x:v>
      </x:c>
      <x:c r="O2317" s="6" t="str">
        <x:v>{"floor_id":"resplan-9515-F0","room_type":"bedroom"}</x:v>
      </x:c>
      <x:c r="P2317" s="6" t="str">
        <x:v>Exact target floor and room_type. Polygon area in m².</x:v>
      </x:c>
      <x:c r="Q2317" s="15" t="n">
        <x:v>55.35</x:v>
      </x:c>
      <x:c r="R2317" s="6" t="str">
        <x:v>m2</x:v>
      </x:c>
      <x:c r="S2317" s="16" t="n">
        <x:v>0.05</x:v>
      </x:c>
      <x:c r="T2317" s="15" t="n">
        <x:v>0</x:v>
      </x:c>
      <x:c r="U2317" s="6" t="str">
        <x:v>Answer: 55.35</x:v>
      </x:c>
      <x:c r="V2317" s="6" t="str">
        <x:v>room geometry: summed area</x:v>
      </x:c>
      <x:c r="W2317" s="6" t="str">
        <x:v>Missing polygon-area aggregation tool.</x:v>
      </x:c>
      <x:c r="X2317" s="6" t="str">
        <x:v>data/train/resplan-9515/questions.jsonl</x:v>
      </x:c>
      <x:c r="Y2317" s="14" t="n">
        <x:v>1</x:v>
      </x:c>
      <x:c r="Z2317" s="6" t="str">
        <x:v>https://github.com/hagenhaeussler/Industrial-Agents-Hackathon-2026/blob/f41616590b69f3ea0c1cbfb41d6c35edd9ce53df/data/train/resplan-9515/questions.jsonl#L1</x:v>
      </x:c>
      <x:c r="AA2317" s="6" t="str">
        <x:v>resplan</x:v>
      </x:c>
      <x:c r="AB2317" s="6" t="str">
        <x:v>CC-BY-4.0</x:v>
      </x:c>
    </x:row>
    <x:row r="2318" ht="72" customHeight="1">
      <x:c r="A2318" s="14" t="n">
        <x:v>2313</x:v>
      </x:c>
      <x:c r="B2318" s="6" t="str">
        <x:v>floor_area_total</x:v>
      </x:c>
      <x:c r="C2318" s="6" t="str">
        <x:v>Facilities want the total floor area of every bedroom on the ground floor added together. How many square metres is that? Finish with a line 'Answer: &lt;number&gt;'.</x:v>
      </x:c>
      <x:c r="D2318" s="6" t="str">
        <x:v>54.71 m2</x:v>
      </x:c>
      <x:c r="E2318" s="6" t="str">
        <x:v>Reference supplied</x:v>
      </x:c>
      <x:c r="F2318" s="6" t="str">
        <x:v>train</x:v>
      </x:c>
      <x:c r="G2318" s="6" t="str">
        <x:v>resplan-9809</x:v>
      </x:c>
      <x:c r="H2318" s="6" t="str">
        <x:v>resplan-9809-H02</x:v>
      </x:c>
      <x:c r="I2318" s="6" t="str">
        <x:v>Area and room selection</x:v>
      </x:c>
      <x:c r="J2318" s="6" t="str">
        <x:v>Benchmark</x:v>
      </x:c>
      <x:c r="K2318" s="6" t="str">
        <x:v>Answer: &lt;one number&gt;</x:v>
      </x:c>
      <x:c r="L2318" s="6" t="str">
        <x:v>T02, T04, T14</x:v>
      </x:c>
      <x:c r="M2318" s="6" t="str">
        <x:v>Sum the floor area of every matching room on one floor.</x:v>
      </x:c>
      <x:c r="N2318" s="6" t="str">
        <x:v>{"type":"number","value":54.71,"unit":"m2","relative_tolerance":0.05,"absolute_tolerance":0}</x:v>
      </x:c>
      <x:c r="O2318" s="6" t="str">
        <x:v>{"floor_id":"resplan-9809-F0","room_type":"bedroom"}</x:v>
      </x:c>
      <x:c r="P2318" s="6" t="str">
        <x:v>Exact target floor and room_type. Polygon area in m².</x:v>
      </x:c>
      <x:c r="Q2318" s="15" t="n">
        <x:v>54.71</x:v>
      </x:c>
      <x:c r="R2318" s="6" t="str">
        <x:v>m2</x:v>
      </x:c>
      <x:c r="S2318" s="16" t="n">
        <x:v>0.05</x:v>
      </x:c>
      <x:c r="T2318" s="15" t="n">
        <x:v>0</x:v>
      </x:c>
      <x:c r="U2318" s="6" t="str">
        <x:v>Answer: 54.71</x:v>
      </x:c>
      <x:c r="V2318" s="6" t="str">
        <x:v>room geometry: summed area</x:v>
      </x:c>
      <x:c r="W2318" s="6" t="str">
        <x:v>Missing polygon-area aggregation tool.</x:v>
      </x:c>
      <x:c r="X2318" s="6" t="str">
        <x:v>data/train/resplan-9809/questions.jsonl</x:v>
      </x:c>
      <x:c r="Y2318" s="14" t="n">
        <x:v>2</x:v>
      </x:c>
      <x:c r="Z2318" s="6" t="str">
        <x:v>https://github.com/hagenhaeussler/Industrial-Agents-Hackathon-2026/blob/f41616590b69f3ea0c1cbfb41d6c35edd9ce53df/data/train/resplan-9809/questions.jsonl#L2</x:v>
      </x:c>
      <x:c r="AA2318" s="6" t="str">
        <x:v>resplan</x:v>
      </x:c>
      <x:c r="AB2318" s="6" t="str">
        <x:v>CC-BY-4.0</x:v>
      </x:c>
    </x:row>
    <x:row r="2319" ht="72" customHeight="1">
      <x:c r="A2319" s="14" t="n">
        <x:v>2314</x:v>
      </x:c>
      <x:c r="B2319" s="6" t="str">
        <x:v>floor_area_total</x:v>
      </x:c>
      <x:c r="C2319" s="6" t="str">
        <x:v>Facilities want the total floor area of every bedroom on the floor 2 added together. How many square metres is that? Finish with a line 'Answer: &lt;number&gt;'.</x:v>
      </x:c>
      <x:c r="D2319" s="6" t="str">
        <x:v>38.99 m2</x:v>
      </x:c>
      <x:c r="E2319" s="6" t="str">
        <x:v>Reference supplied</x:v>
      </x:c>
      <x:c r="F2319" s="6" t="str">
        <x:v>train</x:v>
      </x:c>
      <x:c r="G2319" s="6" t="str">
        <x:v>swiss-1075</x:v>
      </x:c>
      <x:c r="H2319" s="6" t="str">
        <x:v>swiss-1075-H02</x:v>
      </x:c>
      <x:c r="I2319" s="6" t="str">
        <x:v>Area and room selection</x:v>
      </x:c>
      <x:c r="J2319" s="6" t="str">
        <x:v>Benchmark</x:v>
      </x:c>
      <x:c r="K2319" s="6" t="str">
        <x:v>Answer: &lt;one number&gt;</x:v>
      </x:c>
      <x:c r="L2319" s="6" t="str">
        <x:v>T02, T04, T14</x:v>
      </x:c>
      <x:c r="M2319" s="6" t="str">
        <x:v>Sum the floor area of every matching room on one floor.</x:v>
      </x:c>
      <x:c r="N2319" s="6" t="str">
        <x:v>{"type":"number","value":38.99,"unit":"m2","relative_tolerance":0.05,"absolute_tolerance":0}</x:v>
      </x:c>
      <x:c r="O2319" s="6" t="str">
        <x:v>{"floor_id":"swiss-1075-F2","room_type":"bedroom"}</x:v>
      </x:c>
      <x:c r="P2319" s="6" t="str">
        <x:v>Exact target floor and room_type. Polygon area in m².</x:v>
      </x:c>
      <x:c r="Q2319" s="15" t="n">
        <x:v>38.99</x:v>
      </x:c>
      <x:c r="R2319" s="6" t="str">
        <x:v>m2</x:v>
      </x:c>
      <x:c r="S2319" s="16" t="n">
        <x:v>0.05</x:v>
      </x:c>
      <x:c r="T2319" s="15" t="n">
        <x:v>0</x:v>
      </x:c>
      <x:c r="U2319" s="6" t="str">
        <x:v>Answer: 38.99</x:v>
      </x:c>
      <x:c r="V2319" s="6" t="str">
        <x:v>room geometry: summed area</x:v>
      </x:c>
      <x:c r="W2319" s="6" t="str">
        <x:v>Missing polygon-area aggregation tool.</x:v>
      </x:c>
      <x:c r="X2319" s="6" t="str">
        <x:v>data/train/swiss-1075/questions.jsonl</x:v>
      </x:c>
      <x:c r="Y2319" s="14" t="n">
        <x:v>2</x:v>
      </x:c>
      <x:c r="Z2319" s="6" t="str">
        <x:v>https://github.com/hagenhaeussler/Industrial-Agents-Hackathon-2026/blob/f41616590b69f3ea0c1cbfb41d6c35edd9ce53df/data/train/swiss-1075/questions.jsonl#L2</x:v>
      </x:c>
      <x:c r="AA2319" s="6" t="str">
        <x:v>swiss_dwellings</x:v>
      </x:c>
      <x:c r="AB2319" s="6" t="str">
        <x:v>CC-BY-4.0</x:v>
      </x:c>
    </x:row>
    <x:row r="2320" ht="72" customHeight="1">
      <x:c r="A2320" s="14" t="n">
        <x:v>2315</x:v>
      </x:c>
      <x:c r="B2320" s="6" t="str">
        <x:v>floor_area_total</x:v>
      </x:c>
      <x:c r="C2320" s="6" t="str">
        <x:v>Facilities want the total floor area of every living room on the floor 1 added together. How many square metres is that? Finish with a line 'Answer: &lt;number&gt;'.</x:v>
      </x:c>
      <x:c r="D2320" s="6" t="str">
        <x:v>97.4 m2</x:v>
      </x:c>
      <x:c r="E2320" s="6" t="str">
        <x:v>Reference supplied</x:v>
      </x:c>
      <x:c r="F2320" s="6" t="str">
        <x:v>train</x:v>
      </x:c>
      <x:c r="G2320" s="6" t="str">
        <x:v>swiss-1104</x:v>
      </x:c>
      <x:c r="H2320" s="6" t="str">
        <x:v>swiss-1104-H01</x:v>
      </x:c>
      <x:c r="I2320" s="6" t="str">
        <x:v>Area and room selection</x:v>
      </x:c>
      <x:c r="J2320" s="6" t="str">
        <x:v>Benchmark</x:v>
      </x:c>
      <x:c r="K2320" s="6" t="str">
        <x:v>Answer: &lt;one number&gt;</x:v>
      </x:c>
      <x:c r="L2320" s="6" t="str">
        <x:v>T02, T04, T14</x:v>
      </x:c>
      <x:c r="M2320" s="6" t="str">
        <x:v>Sum the floor area of every matching room on one floor.</x:v>
      </x:c>
      <x:c r="N2320" s="6" t="str">
        <x:v>{"type":"number","value":97.4,"unit":"m2","relative_tolerance":0.05,"absolute_tolerance":0}</x:v>
      </x:c>
      <x:c r="O2320" s="6" t="str">
        <x:v>{"floor_id":"swiss-1104-F1","room_type":"living_room"}</x:v>
      </x:c>
      <x:c r="P2320" s="6" t="str">
        <x:v>Exact target floor and room_type. Polygon area in m².</x:v>
      </x:c>
      <x:c r="Q2320" s="15" t="n">
        <x:v>97.4</x:v>
      </x:c>
      <x:c r="R2320" s="6" t="str">
        <x:v>m2</x:v>
      </x:c>
      <x:c r="S2320" s="16" t="n">
        <x:v>0.05</x:v>
      </x:c>
      <x:c r="T2320" s="15" t="n">
        <x:v>0</x:v>
      </x:c>
      <x:c r="U2320" s="6" t="str">
        <x:v>Answer: 97.4</x:v>
      </x:c>
      <x:c r="V2320" s="6" t="str">
        <x:v>room geometry: summed area</x:v>
      </x:c>
      <x:c r="W2320" s="6" t="str">
        <x:v>Missing polygon-area aggregation tool.</x:v>
      </x:c>
      <x:c r="X2320" s="6" t="str">
        <x:v>data/train/swiss-1104/questions.jsonl</x:v>
      </x:c>
      <x:c r="Y2320" s="14" t="n">
        <x:v>1</x:v>
      </x:c>
      <x:c r="Z2320" s="6" t="str">
        <x:v>https://github.com/hagenhaeussler/Industrial-Agents-Hackathon-2026/blob/f41616590b69f3ea0c1cbfb41d6c35edd9ce53df/data/train/swiss-1104/questions.jsonl#L1</x:v>
      </x:c>
      <x:c r="AA2320" s="6" t="str">
        <x:v>swiss_dwellings</x:v>
      </x:c>
      <x:c r="AB2320" s="6" t="str">
        <x:v>CC-BY-4.0</x:v>
      </x:c>
    </x:row>
    <x:row r="2321" ht="72" customHeight="1">
      <x:c r="A2321" s="14" t="n">
        <x:v>2316</x:v>
      </x:c>
      <x:c r="B2321" s="6" t="str">
        <x:v>floor_area_total</x:v>
      </x:c>
      <x:c r="C2321" s="6" t="str">
        <x:v>Facilities want the total floor area of every kitchen on the floor 2 added together. How many square metres is that? Finish with a line 'Answer: &lt;number&gt;'.</x:v>
      </x:c>
      <x:c r="D2321" s="6" t="str">
        <x:v>52.51 m2</x:v>
      </x:c>
      <x:c r="E2321" s="6" t="str">
        <x:v>Reference supplied</x:v>
      </x:c>
      <x:c r="F2321" s="6" t="str">
        <x:v>train</x:v>
      </x:c>
      <x:c r="G2321" s="6" t="str">
        <x:v>swiss-1110</x:v>
      </x:c>
      <x:c r="H2321" s="6" t="str">
        <x:v>swiss-1110-H02</x:v>
      </x:c>
      <x:c r="I2321" s="6" t="str">
        <x:v>Area and room selection</x:v>
      </x:c>
      <x:c r="J2321" s="6" t="str">
        <x:v>Benchmark</x:v>
      </x:c>
      <x:c r="K2321" s="6" t="str">
        <x:v>Answer: &lt;one number&gt;</x:v>
      </x:c>
      <x:c r="L2321" s="6" t="str">
        <x:v>T02, T04, T14</x:v>
      </x:c>
      <x:c r="M2321" s="6" t="str">
        <x:v>Sum the floor area of every matching room on one floor.</x:v>
      </x:c>
      <x:c r="N2321" s="6" t="str">
        <x:v>{"type":"number","value":52.51,"unit":"m2","relative_tolerance":0.05,"absolute_tolerance":0}</x:v>
      </x:c>
      <x:c r="O2321" s="6" t="str">
        <x:v>{"floor_id":"swiss-1110-F2","room_type":"kitchen"}</x:v>
      </x:c>
      <x:c r="P2321" s="6" t="str">
        <x:v>Exact target floor and room_type. Polygon area in m².</x:v>
      </x:c>
      <x:c r="Q2321" s="15" t="n">
        <x:v>52.51</x:v>
      </x:c>
      <x:c r="R2321" s="6" t="str">
        <x:v>m2</x:v>
      </x:c>
      <x:c r="S2321" s="16" t="n">
        <x:v>0.05</x:v>
      </x:c>
      <x:c r="T2321" s="15" t="n">
        <x:v>0</x:v>
      </x:c>
      <x:c r="U2321" s="6" t="str">
        <x:v>Answer: 52.51</x:v>
      </x:c>
      <x:c r="V2321" s="6" t="str">
        <x:v>room geometry: summed area</x:v>
      </x:c>
      <x:c r="W2321" s="6" t="str">
        <x:v>Missing polygon-area aggregation tool.</x:v>
      </x:c>
      <x:c r="X2321" s="6" t="str">
        <x:v>data/train/swiss-1110/questions.jsonl</x:v>
      </x:c>
      <x:c r="Y2321" s="14" t="n">
        <x:v>2</x:v>
      </x:c>
      <x:c r="Z2321" s="6" t="str">
        <x:v>https://github.com/hagenhaeussler/Industrial-Agents-Hackathon-2026/blob/f41616590b69f3ea0c1cbfb41d6c35edd9ce53df/data/train/swiss-1110/questions.jsonl#L2</x:v>
      </x:c>
      <x:c r="AA2321" s="6" t="str">
        <x:v>swiss_dwellings</x:v>
      </x:c>
      <x:c r="AB2321" s="6" t="str">
        <x:v>CC-BY-4.0</x:v>
      </x:c>
    </x:row>
    <x:row r="2322" ht="72" customHeight="1">
      <x:c r="A2322" s="14" t="n">
        <x:v>2317</x:v>
      </x:c>
      <x:c r="B2322" s="6" t="str">
        <x:v>floor_area_total</x:v>
      </x:c>
      <x:c r="C2322" s="6" t="str">
        <x:v>Facilities want the total floor area of every kitchen on the ground floor added together. How many square metres is that? Finish with a line 'Answer: &lt;number&gt;'.</x:v>
      </x:c>
      <x:c r="D2322" s="6" t="str">
        <x:v>45.29 m2</x:v>
      </x:c>
      <x:c r="E2322" s="6" t="str">
        <x:v>Reference supplied</x:v>
      </x:c>
      <x:c r="F2322" s="6" t="str">
        <x:v>train</x:v>
      </x:c>
      <x:c r="G2322" s="6" t="str">
        <x:v>swiss-116</x:v>
      </x:c>
      <x:c r="H2322" s="6" t="str">
        <x:v>swiss-116-H02</x:v>
      </x:c>
      <x:c r="I2322" s="6" t="str">
        <x:v>Area and room selection</x:v>
      </x:c>
      <x:c r="J2322" s="6" t="str">
        <x:v>Benchmark</x:v>
      </x:c>
      <x:c r="K2322" s="6" t="str">
        <x:v>Answer: &lt;one number&gt;</x:v>
      </x:c>
      <x:c r="L2322" s="6" t="str">
        <x:v>T02, T04, T14</x:v>
      </x:c>
      <x:c r="M2322" s="6" t="str">
        <x:v>Sum the floor area of every matching room on one floor.</x:v>
      </x:c>
      <x:c r="N2322" s="6" t="str">
        <x:v>{"type":"number","value":45.29,"unit":"m2","relative_tolerance":0.05,"absolute_tolerance":0}</x:v>
      </x:c>
      <x:c r="O2322" s="6" t="str">
        <x:v>{"floor_id":"swiss-116-F0","room_type":"kitchen"}</x:v>
      </x:c>
      <x:c r="P2322" s="6" t="str">
        <x:v>Exact target floor and room_type. Polygon area in m².</x:v>
      </x:c>
      <x:c r="Q2322" s="15" t="n">
        <x:v>45.29</x:v>
      </x:c>
      <x:c r="R2322" s="6" t="str">
        <x:v>m2</x:v>
      </x:c>
      <x:c r="S2322" s="16" t="n">
        <x:v>0.05</x:v>
      </x:c>
      <x:c r="T2322" s="15" t="n">
        <x:v>0</x:v>
      </x:c>
      <x:c r="U2322" s="6" t="str">
        <x:v>Answer: 45.29</x:v>
      </x:c>
      <x:c r="V2322" s="6" t="str">
        <x:v>room geometry: summed area</x:v>
      </x:c>
      <x:c r="W2322" s="6" t="str">
        <x:v>Missing polygon-area aggregation tool.</x:v>
      </x:c>
      <x:c r="X2322" s="6" t="str">
        <x:v>data/train/swiss-116/questions.jsonl</x:v>
      </x:c>
      <x:c r="Y2322" s="14" t="n">
        <x:v>2</x:v>
      </x:c>
      <x:c r="Z2322" s="6" t="str">
        <x:v>https://github.com/hagenhaeussler/Industrial-Agents-Hackathon-2026/blob/f41616590b69f3ea0c1cbfb41d6c35edd9ce53df/data/train/swiss-116/questions.jsonl#L2</x:v>
      </x:c>
      <x:c r="AA2322" s="6" t="str">
        <x:v>swiss_dwellings</x:v>
      </x:c>
      <x:c r="AB2322" s="6" t="str">
        <x:v>CC-BY-4.0</x:v>
      </x:c>
    </x:row>
    <x:row r="2323" ht="72" customHeight="1">
      <x:c r="A2323" s="14" t="n">
        <x:v>2318</x:v>
      </x:c>
      <x:c r="B2323" s="6" t="str">
        <x:v>floor_area_total</x:v>
      </x:c>
      <x:c r="C2323" s="6" t="str">
        <x:v>Facilities want the total floor area of every bathroom on the floor 1 added together. How many square metres is that? Finish with a line 'Answer: &lt;number&gt;'.</x:v>
      </x:c>
      <x:c r="D2323" s="6" t="str">
        <x:v>14.58 m2</x:v>
      </x:c>
      <x:c r="E2323" s="6" t="str">
        <x:v>Reference supplied</x:v>
      </x:c>
      <x:c r="F2323" s="6" t="str">
        <x:v>train</x:v>
      </x:c>
      <x:c r="G2323" s="6" t="str">
        <x:v>swiss-120</x:v>
      </x:c>
      <x:c r="H2323" s="6" t="str">
        <x:v>swiss-120-H02</x:v>
      </x:c>
      <x:c r="I2323" s="6" t="str">
        <x:v>Area and room selection</x:v>
      </x:c>
      <x:c r="J2323" s="6" t="str">
        <x:v>Benchmark</x:v>
      </x:c>
      <x:c r="K2323" s="6" t="str">
        <x:v>Answer: &lt;one number&gt;</x:v>
      </x:c>
      <x:c r="L2323" s="6" t="str">
        <x:v>T02, T04, T14</x:v>
      </x:c>
      <x:c r="M2323" s="6" t="str">
        <x:v>Sum the floor area of every matching room on one floor.</x:v>
      </x:c>
      <x:c r="N2323" s="6" t="str">
        <x:v>{"type":"number","value":14.58,"unit":"m2","relative_tolerance":0.05,"absolute_tolerance":0}</x:v>
      </x:c>
      <x:c r="O2323" s="6" t="str">
        <x:v>{"floor_id":"swiss-120-F1","room_type":"bathroom"}</x:v>
      </x:c>
      <x:c r="P2323" s="6" t="str">
        <x:v>Exact target floor and room_type. Polygon area in m².</x:v>
      </x:c>
      <x:c r="Q2323" s="15" t="n">
        <x:v>14.58</x:v>
      </x:c>
      <x:c r="R2323" s="6" t="str">
        <x:v>m2</x:v>
      </x:c>
      <x:c r="S2323" s="16" t="n">
        <x:v>0.05</x:v>
      </x:c>
      <x:c r="T2323" s="15" t="n">
        <x:v>0</x:v>
      </x:c>
      <x:c r="U2323" s="6" t="str">
        <x:v>Answer: 14.58</x:v>
      </x:c>
      <x:c r="V2323" s="6" t="str">
        <x:v>room geometry: summed area</x:v>
      </x:c>
      <x:c r="W2323" s="6" t="str">
        <x:v>Missing polygon-area aggregation tool.</x:v>
      </x:c>
      <x:c r="X2323" s="6" t="str">
        <x:v>data/train/swiss-120/questions.jsonl</x:v>
      </x:c>
      <x:c r="Y2323" s="14" t="n">
        <x:v>2</x:v>
      </x:c>
      <x:c r="Z2323" s="6" t="str">
        <x:v>https://github.com/hagenhaeussler/Industrial-Agents-Hackathon-2026/blob/f41616590b69f3ea0c1cbfb41d6c35edd9ce53df/data/train/swiss-120/questions.jsonl#L2</x:v>
      </x:c>
      <x:c r="AA2323" s="6" t="str">
        <x:v>swiss_dwellings</x:v>
      </x:c>
      <x:c r="AB2323" s="6" t="str">
        <x:v>CC-BY-4.0</x:v>
      </x:c>
    </x:row>
    <x:row r="2324" ht="72" customHeight="1">
      <x:c r="A2324" s="14" t="n">
        <x:v>2319</x:v>
      </x:c>
      <x:c r="B2324" s="6" t="str">
        <x:v>floor_area_total</x:v>
      </x:c>
      <x:c r="C2324" s="6" t="str">
        <x:v>Facilities want the total floor area of every bedroom on the floor 1 added together. How many square metres is that? Finish with a line 'Answer: &lt;number&gt;'.</x:v>
      </x:c>
      <x:c r="D2324" s="6" t="str">
        <x:v>291.03 m2</x:v>
      </x:c>
      <x:c r="E2324" s="6" t="str">
        <x:v>Reference supplied</x:v>
      </x:c>
      <x:c r="F2324" s="6" t="str">
        <x:v>train</x:v>
      </x:c>
      <x:c r="G2324" s="6" t="str">
        <x:v>swiss-1224</x:v>
      </x:c>
      <x:c r="H2324" s="6" t="str">
        <x:v>swiss-1224-H01</x:v>
      </x:c>
      <x:c r="I2324" s="6" t="str">
        <x:v>Area and room selection</x:v>
      </x:c>
      <x:c r="J2324" s="6" t="str">
        <x:v>Benchmark</x:v>
      </x:c>
      <x:c r="K2324" s="6" t="str">
        <x:v>Answer: &lt;one number&gt;</x:v>
      </x:c>
      <x:c r="L2324" s="6" t="str">
        <x:v>T02, T04, T14</x:v>
      </x:c>
      <x:c r="M2324" s="6" t="str">
        <x:v>Sum the floor area of every matching room on one floor.</x:v>
      </x:c>
      <x:c r="N2324" s="6" t="str">
        <x:v>{"type":"number","value":291.03,"unit":"m2","relative_tolerance":0.05,"absolute_tolerance":0}</x:v>
      </x:c>
      <x:c r="O2324" s="6" t="str">
        <x:v>{"floor_id":"swiss-1224-F1","room_type":"bedroom"}</x:v>
      </x:c>
      <x:c r="P2324" s="6" t="str">
        <x:v>Exact target floor and room_type. Polygon area in m².</x:v>
      </x:c>
      <x:c r="Q2324" s="15" t="n">
        <x:v>291.03</x:v>
      </x:c>
      <x:c r="R2324" s="6" t="str">
        <x:v>m2</x:v>
      </x:c>
      <x:c r="S2324" s="16" t="n">
        <x:v>0.05</x:v>
      </x:c>
      <x:c r="T2324" s="15" t="n">
        <x:v>0</x:v>
      </x:c>
      <x:c r="U2324" s="6" t="str">
        <x:v>Answer: 291.03</x:v>
      </x:c>
      <x:c r="V2324" s="6" t="str">
        <x:v>room geometry: summed area</x:v>
      </x:c>
      <x:c r="W2324" s="6" t="str">
        <x:v>Missing polygon-area aggregation tool.</x:v>
      </x:c>
      <x:c r="X2324" s="6" t="str">
        <x:v>data/train/swiss-1224/questions.jsonl</x:v>
      </x:c>
      <x:c r="Y2324" s="14" t="n">
        <x:v>1</x:v>
      </x:c>
      <x:c r="Z2324" s="6" t="str">
        <x:v>https://github.com/hagenhaeussler/Industrial-Agents-Hackathon-2026/blob/f41616590b69f3ea0c1cbfb41d6c35edd9ce53df/data/train/swiss-1224/questions.jsonl#L1</x:v>
      </x:c>
      <x:c r="AA2324" s="6" t="str">
        <x:v>swiss_dwellings</x:v>
      </x:c>
      <x:c r="AB2324" s="6" t="str">
        <x:v>CC-BY-4.0</x:v>
      </x:c>
    </x:row>
    <x:row r="2325" ht="72" customHeight="1">
      <x:c r="A2325" s="14" t="n">
        <x:v>2320</x:v>
      </x:c>
      <x:c r="B2325" s="6" t="str">
        <x:v>floor_area_total</x:v>
      </x:c>
      <x:c r="C2325" s="6" t="str">
        <x:v>Facilities want the total floor area of every bathroom on the floor 2 added together. How many square metres is that? Finish with a line 'Answer: &lt;number&gt;'.</x:v>
      </x:c>
      <x:c r="D2325" s="6" t="str">
        <x:v>13.86 m2</x:v>
      </x:c>
      <x:c r="E2325" s="6" t="str">
        <x:v>Reference supplied</x:v>
      </x:c>
      <x:c r="F2325" s="6" t="str">
        <x:v>train</x:v>
      </x:c>
      <x:c r="G2325" s="6" t="str">
        <x:v>swiss-1283</x:v>
      </x:c>
      <x:c r="H2325" s="6" t="str">
        <x:v>swiss-1283-H02</x:v>
      </x:c>
      <x:c r="I2325" s="6" t="str">
        <x:v>Area and room selection</x:v>
      </x:c>
      <x:c r="J2325" s="6" t="str">
        <x:v>Benchmark</x:v>
      </x:c>
      <x:c r="K2325" s="6" t="str">
        <x:v>Answer: &lt;one number&gt;</x:v>
      </x:c>
      <x:c r="L2325" s="6" t="str">
        <x:v>T02, T04, T14</x:v>
      </x:c>
      <x:c r="M2325" s="6" t="str">
        <x:v>Sum the floor area of every matching room on one floor.</x:v>
      </x:c>
      <x:c r="N2325" s="6" t="str">
        <x:v>{"type":"number","value":13.86,"unit":"m2","relative_tolerance":0.05,"absolute_tolerance":0}</x:v>
      </x:c>
      <x:c r="O2325" s="6" t="str">
        <x:v>{"floor_id":"swiss-1283-F2","room_type":"bathroom"}</x:v>
      </x:c>
      <x:c r="P2325" s="6" t="str">
        <x:v>Exact target floor and room_type. Polygon area in m².</x:v>
      </x:c>
      <x:c r="Q2325" s="15" t="n">
        <x:v>13.86</x:v>
      </x:c>
      <x:c r="R2325" s="6" t="str">
        <x:v>m2</x:v>
      </x:c>
      <x:c r="S2325" s="16" t="n">
        <x:v>0.05</x:v>
      </x:c>
      <x:c r="T2325" s="15" t="n">
        <x:v>0</x:v>
      </x:c>
      <x:c r="U2325" s="6" t="str">
        <x:v>Answer: 13.86</x:v>
      </x:c>
      <x:c r="V2325" s="6" t="str">
        <x:v>room geometry: summed area</x:v>
      </x:c>
      <x:c r="W2325" s="6" t="str">
        <x:v>Missing polygon-area aggregation tool.</x:v>
      </x:c>
      <x:c r="X2325" s="6" t="str">
        <x:v>data/train/swiss-1283/questions.jsonl</x:v>
      </x:c>
      <x:c r="Y2325" s="14" t="n">
        <x:v>2</x:v>
      </x:c>
      <x:c r="Z2325" s="6" t="str">
        <x:v>https://github.com/hagenhaeussler/Industrial-Agents-Hackathon-2026/blob/f41616590b69f3ea0c1cbfb41d6c35edd9ce53df/data/train/swiss-1283/questions.jsonl#L2</x:v>
      </x:c>
      <x:c r="AA2325" s="6" t="str">
        <x:v>swiss_dwellings</x:v>
      </x:c>
      <x:c r="AB2325" s="6" t="str">
        <x:v>CC-BY-4.0</x:v>
      </x:c>
    </x:row>
    <x:row r="2326" ht="72" customHeight="1">
      <x:c r="A2326" s="14" t="n">
        <x:v>2321</x:v>
      </x:c>
      <x:c r="B2326" s="6" t="str">
        <x:v>floor_area_total</x:v>
      </x:c>
      <x:c r="C2326" s="6" t="str">
        <x:v>Facilities want the total floor area of every bedroom on the floor 2 added together. How many square metres is that? Finish with a line 'Answer: &lt;number&gt;'.</x:v>
      </x:c>
      <x:c r="D2326" s="6" t="str">
        <x:v>105.81 m2</x:v>
      </x:c>
      <x:c r="E2326" s="6" t="str">
        <x:v>Reference supplied</x:v>
      </x:c>
      <x:c r="F2326" s="6" t="str">
        <x:v>train</x:v>
      </x:c>
      <x:c r="G2326" s="6" t="str">
        <x:v>swiss-1355</x:v>
      </x:c>
      <x:c r="H2326" s="6" t="str">
        <x:v>swiss-1355-H01</x:v>
      </x:c>
      <x:c r="I2326" s="6" t="str">
        <x:v>Area and room selection</x:v>
      </x:c>
      <x:c r="J2326" s="6" t="str">
        <x:v>Benchmark</x:v>
      </x:c>
      <x:c r="K2326" s="6" t="str">
        <x:v>Answer: &lt;one number&gt;</x:v>
      </x:c>
      <x:c r="L2326" s="6" t="str">
        <x:v>T02, T04, T14</x:v>
      </x:c>
      <x:c r="M2326" s="6" t="str">
        <x:v>Sum the floor area of every matching room on one floor.</x:v>
      </x:c>
      <x:c r="N2326" s="6" t="str">
        <x:v>{"type":"number","value":105.81,"unit":"m2","relative_tolerance":0.05,"absolute_tolerance":0}</x:v>
      </x:c>
      <x:c r="O2326" s="6" t="str">
        <x:v>{"floor_id":"swiss-1355-F2","room_type":"bedroom"}</x:v>
      </x:c>
      <x:c r="P2326" s="6" t="str">
        <x:v>Exact target floor and room_type. Polygon area in m².</x:v>
      </x:c>
      <x:c r="Q2326" s="15" t="n">
        <x:v>105.81</x:v>
      </x:c>
      <x:c r="R2326" s="6" t="str">
        <x:v>m2</x:v>
      </x:c>
      <x:c r="S2326" s="16" t="n">
        <x:v>0.05</x:v>
      </x:c>
      <x:c r="T2326" s="15" t="n">
        <x:v>0</x:v>
      </x:c>
      <x:c r="U2326" s="6" t="str">
        <x:v>Answer: 105.81</x:v>
      </x:c>
      <x:c r="V2326" s="6" t="str">
        <x:v>room geometry: summed area</x:v>
      </x:c>
      <x:c r="W2326" s="6" t="str">
        <x:v>Missing polygon-area aggregation tool.</x:v>
      </x:c>
      <x:c r="X2326" s="6" t="str">
        <x:v>data/train/swiss-1355/questions.jsonl</x:v>
      </x:c>
      <x:c r="Y2326" s="14" t="n">
        <x:v>1</x:v>
      </x:c>
      <x:c r="Z2326" s="6" t="str">
        <x:v>https://github.com/hagenhaeussler/Industrial-Agents-Hackathon-2026/blob/f41616590b69f3ea0c1cbfb41d6c35edd9ce53df/data/train/swiss-1355/questions.jsonl#L1</x:v>
      </x:c>
      <x:c r="AA2326" s="6" t="str">
        <x:v>swiss_dwellings</x:v>
      </x:c>
      <x:c r="AB2326" s="6" t="str">
        <x:v>CC-BY-4.0</x:v>
      </x:c>
    </x:row>
    <x:row r="2327" ht="72" customHeight="1">
      <x:c r="A2327" s="14" t="n">
        <x:v>2322</x:v>
      </x:c>
      <x:c r="B2327" s="6" t="str">
        <x:v>floor_area_total</x:v>
      </x:c>
      <x:c r="C2327" s="6" t="str">
        <x:v>Facilities want the total floor area of every living room on the ground floor added together. How many square metres is that? Finish with a line 'Answer: &lt;number&gt;'.</x:v>
      </x:c>
      <x:c r="D2327" s="6" t="str">
        <x:v>38.25 m2</x:v>
      </x:c>
      <x:c r="E2327" s="6" t="str">
        <x:v>Reference supplied</x:v>
      </x:c>
      <x:c r="F2327" s="6" t="str">
        <x:v>train</x:v>
      </x:c>
      <x:c r="G2327" s="6" t="str">
        <x:v>swiss-1390</x:v>
      </x:c>
      <x:c r="H2327" s="6" t="str">
        <x:v>swiss-1390-H02</x:v>
      </x:c>
      <x:c r="I2327" s="6" t="str">
        <x:v>Area and room selection</x:v>
      </x:c>
      <x:c r="J2327" s="6" t="str">
        <x:v>Benchmark</x:v>
      </x:c>
      <x:c r="K2327" s="6" t="str">
        <x:v>Answer: &lt;one number&gt;</x:v>
      </x:c>
      <x:c r="L2327" s="6" t="str">
        <x:v>T02, T04, T14</x:v>
      </x:c>
      <x:c r="M2327" s="6" t="str">
        <x:v>Sum the floor area of every matching room on one floor.</x:v>
      </x:c>
      <x:c r="N2327" s="6" t="str">
        <x:v>{"type":"number","value":38.25,"unit":"m2","relative_tolerance":0.05,"absolute_tolerance":0}</x:v>
      </x:c>
      <x:c r="O2327" s="6" t="str">
        <x:v>{"floor_id":"swiss-1390-F0","room_type":"living_room"}</x:v>
      </x:c>
      <x:c r="P2327" s="6" t="str">
        <x:v>Exact target floor and room_type. Polygon area in m².</x:v>
      </x:c>
      <x:c r="Q2327" s="15" t="n">
        <x:v>38.25</x:v>
      </x:c>
      <x:c r="R2327" s="6" t="str">
        <x:v>m2</x:v>
      </x:c>
      <x:c r="S2327" s="16" t="n">
        <x:v>0.05</x:v>
      </x:c>
      <x:c r="T2327" s="15" t="n">
        <x:v>0</x:v>
      </x:c>
      <x:c r="U2327" s="6" t="str">
        <x:v>Answer: 38.25</x:v>
      </x:c>
      <x:c r="V2327" s="6" t="str">
        <x:v>room geometry: summed area</x:v>
      </x:c>
      <x:c r="W2327" s="6" t="str">
        <x:v>Missing polygon-area aggregation tool.</x:v>
      </x:c>
      <x:c r="X2327" s="6" t="str">
        <x:v>data/train/swiss-1390/questions.jsonl</x:v>
      </x:c>
      <x:c r="Y2327" s="14" t="n">
        <x:v>2</x:v>
      </x:c>
      <x:c r="Z2327" s="6" t="str">
        <x:v>https://github.com/hagenhaeussler/Industrial-Agents-Hackathon-2026/blob/f41616590b69f3ea0c1cbfb41d6c35edd9ce53df/data/train/swiss-1390/questions.jsonl#L2</x:v>
      </x:c>
      <x:c r="AA2327" s="6" t="str">
        <x:v>swiss_dwellings</x:v>
      </x:c>
      <x:c r="AB2327" s="6" t="str">
        <x:v>CC-BY-4.0</x:v>
      </x:c>
    </x:row>
    <x:row r="2328" ht="72" customHeight="1">
      <x:c r="A2328" s="14" t="n">
        <x:v>2323</x:v>
      </x:c>
      <x:c r="B2328" s="6" t="str">
        <x:v>floor_area_total</x:v>
      </x:c>
      <x:c r="C2328" s="6" t="str">
        <x:v>Facilities want the total floor area of every bedroom on the floor 2 added together. How many square metres is that? Finish with a line 'Answer: &lt;number&gt;'.</x:v>
      </x:c>
      <x:c r="D2328" s="6" t="str">
        <x:v>130.04 m2</x:v>
      </x:c>
      <x:c r="E2328" s="6" t="str">
        <x:v>Reference supplied</x:v>
      </x:c>
      <x:c r="F2328" s="6" t="str">
        <x:v>train</x:v>
      </x:c>
      <x:c r="G2328" s="6" t="str">
        <x:v>swiss-1433</x:v>
      </x:c>
      <x:c r="H2328" s="6" t="str">
        <x:v>swiss-1433-H01</x:v>
      </x:c>
      <x:c r="I2328" s="6" t="str">
        <x:v>Area and room selection</x:v>
      </x:c>
      <x:c r="J2328" s="6" t="str">
        <x:v>Benchmark</x:v>
      </x:c>
      <x:c r="K2328" s="6" t="str">
        <x:v>Answer: &lt;one number&gt;</x:v>
      </x:c>
      <x:c r="L2328" s="6" t="str">
        <x:v>T02, T04, T14</x:v>
      </x:c>
      <x:c r="M2328" s="6" t="str">
        <x:v>Sum the floor area of every matching room on one floor.</x:v>
      </x:c>
      <x:c r="N2328" s="6" t="str">
        <x:v>{"type":"number","value":130.04,"unit":"m2","relative_tolerance":0.05,"absolute_tolerance":0}</x:v>
      </x:c>
      <x:c r="O2328" s="6" t="str">
        <x:v>{"floor_id":"swiss-1433-F2","room_type":"bedroom"}</x:v>
      </x:c>
      <x:c r="P2328" s="6" t="str">
        <x:v>Exact target floor and room_type. Polygon area in m².</x:v>
      </x:c>
      <x:c r="Q2328" s="15" t="n">
        <x:v>130.04</x:v>
      </x:c>
      <x:c r="R2328" s="6" t="str">
        <x:v>m2</x:v>
      </x:c>
      <x:c r="S2328" s="16" t="n">
        <x:v>0.05</x:v>
      </x:c>
      <x:c r="T2328" s="15" t="n">
        <x:v>0</x:v>
      </x:c>
      <x:c r="U2328" s="6" t="str">
        <x:v>Answer: 130.04</x:v>
      </x:c>
      <x:c r="V2328" s="6" t="str">
        <x:v>room geometry: summed area</x:v>
      </x:c>
      <x:c r="W2328" s="6" t="str">
        <x:v>Missing polygon-area aggregation tool.</x:v>
      </x:c>
      <x:c r="X2328" s="6" t="str">
        <x:v>data/train/swiss-1433/questions.jsonl</x:v>
      </x:c>
      <x:c r="Y2328" s="14" t="n">
        <x:v>1</x:v>
      </x:c>
      <x:c r="Z2328" s="6" t="str">
        <x:v>https://github.com/hagenhaeussler/Industrial-Agents-Hackathon-2026/blob/f41616590b69f3ea0c1cbfb41d6c35edd9ce53df/data/train/swiss-1433/questions.jsonl#L1</x:v>
      </x:c>
      <x:c r="AA2328" s="6" t="str">
        <x:v>swiss_dwellings</x:v>
      </x:c>
      <x:c r="AB2328" s="6" t="str">
        <x:v>CC-BY-4.0</x:v>
      </x:c>
    </x:row>
    <x:row r="2329" ht="72" customHeight="1">
      <x:c r="A2329" s="14" t="n">
        <x:v>2324</x:v>
      </x:c>
      <x:c r="B2329" s="6" t="str">
        <x:v>floor_area_total</x:v>
      </x:c>
      <x:c r="C2329" s="6" t="str">
        <x:v>Facilities want the total floor area of every storage on the floor 2 added together. How many square metres is that? Finish with a line 'Answer: &lt;number&gt;'.</x:v>
      </x:c>
      <x:c r="D2329" s="6" t="str">
        <x:v>27.86 m2</x:v>
      </x:c>
      <x:c r="E2329" s="6" t="str">
        <x:v>Reference supplied</x:v>
      </x:c>
      <x:c r="F2329" s="6" t="str">
        <x:v>train</x:v>
      </x:c>
      <x:c r="G2329" s="6" t="str">
        <x:v>swiss-1444</x:v>
      </x:c>
      <x:c r="H2329" s="6" t="str">
        <x:v>swiss-1444-H01</x:v>
      </x:c>
      <x:c r="I2329" s="6" t="str">
        <x:v>Area and room selection</x:v>
      </x:c>
      <x:c r="J2329" s="6" t="str">
        <x:v>Benchmark</x:v>
      </x:c>
      <x:c r="K2329" s="6" t="str">
        <x:v>Answer: &lt;one number&gt;</x:v>
      </x:c>
      <x:c r="L2329" s="6" t="str">
        <x:v>T02, T04, T14</x:v>
      </x:c>
      <x:c r="M2329" s="6" t="str">
        <x:v>Sum the floor area of every matching room on one floor.</x:v>
      </x:c>
      <x:c r="N2329" s="6" t="str">
        <x:v>{"type":"number","value":27.86,"unit":"m2","relative_tolerance":0.05,"absolute_tolerance":0}</x:v>
      </x:c>
      <x:c r="O2329" s="6" t="str">
        <x:v>{"floor_id":"swiss-1444-F2","room_type":"storage"}</x:v>
      </x:c>
      <x:c r="P2329" s="6" t="str">
        <x:v>Exact target floor and room_type. Polygon area in m².</x:v>
      </x:c>
      <x:c r="Q2329" s="15" t="n">
        <x:v>27.86</x:v>
      </x:c>
      <x:c r="R2329" s="6" t="str">
        <x:v>m2</x:v>
      </x:c>
      <x:c r="S2329" s="16" t="n">
        <x:v>0.05</x:v>
      </x:c>
      <x:c r="T2329" s="15" t="n">
        <x:v>0</x:v>
      </x:c>
      <x:c r="U2329" s="6" t="str">
        <x:v>Answer: 27.86</x:v>
      </x:c>
      <x:c r="V2329" s="6" t="str">
        <x:v>room geometry: summed area</x:v>
      </x:c>
      <x:c r="W2329" s="6" t="str">
        <x:v>Missing polygon-area aggregation tool.</x:v>
      </x:c>
      <x:c r="X2329" s="6" t="str">
        <x:v>data/train/swiss-1444/questions.jsonl</x:v>
      </x:c>
      <x:c r="Y2329" s="14" t="n">
        <x:v>1</x:v>
      </x:c>
      <x:c r="Z2329" s="6" t="str">
        <x:v>https://github.com/hagenhaeussler/Industrial-Agents-Hackathon-2026/blob/f41616590b69f3ea0c1cbfb41d6c35edd9ce53df/data/train/swiss-1444/questions.jsonl#L1</x:v>
      </x:c>
      <x:c r="AA2329" s="6" t="str">
        <x:v>swiss_dwellings</x:v>
      </x:c>
      <x:c r="AB2329" s="6" t="str">
        <x:v>CC-BY-4.0</x:v>
      </x:c>
    </x:row>
    <x:row r="2330" ht="72" customHeight="1">
      <x:c r="A2330" s="14" t="n">
        <x:v>2325</x:v>
      </x:c>
      <x:c r="B2330" s="6" t="str">
        <x:v>floor_area_total</x:v>
      </x:c>
      <x:c r="C2330" s="6" t="str">
        <x:v>Facilities want the total floor area of every bedroom on the ground floor added together. How many square metres is that? Finish with a line 'Answer: &lt;number&gt;'.</x:v>
      </x:c>
      <x:c r="D2330" s="6" t="str">
        <x:v>62.92 m2</x:v>
      </x:c>
      <x:c r="E2330" s="6" t="str">
        <x:v>Reference supplied</x:v>
      </x:c>
      <x:c r="F2330" s="6" t="str">
        <x:v>train</x:v>
      </x:c>
      <x:c r="G2330" s="6" t="str">
        <x:v>swiss-1457</x:v>
      </x:c>
      <x:c r="H2330" s="6" t="str">
        <x:v>swiss-1457-H02</x:v>
      </x:c>
      <x:c r="I2330" s="6" t="str">
        <x:v>Area and room selection</x:v>
      </x:c>
      <x:c r="J2330" s="6" t="str">
        <x:v>Benchmark</x:v>
      </x:c>
      <x:c r="K2330" s="6" t="str">
        <x:v>Answer: &lt;one number&gt;</x:v>
      </x:c>
      <x:c r="L2330" s="6" t="str">
        <x:v>T02, T04, T14</x:v>
      </x:c>
      <x:c r="M2330" s="6" t="str">
        <x:v>Sum the floor area of every matching room on one floor.</x:v>
      </x:c>
      <x:c r="N2330" s="6" t="str">
        <x:v>{"type":"number","value":62.92,"unit":"m2","relative_tolerance":0.05,"absolute_tolerance":0}</x:v>
      </x:c>
      <x:c r="O2330" s="6" t="str">
        <x:v>{"floor_id":"swiss-1457-F0","room_type":"bedroom"}</x:v>
      </x:c>
      <x:c r="P2330" s="6" t="str">
        <x:v>Exact target floor and room_type. Polygon area in m².</x:v>
      </x:c>
      <x:c r="Q2330" s="15" t="n">
        <x:v>62.92</x:v>
      </x:c>
      <x:c r="R2330" s="6" t="str">
        <x:v>m2</x:v>
      </x:c>
      <x:c r="S2330" s="16" t="n">
        <x:v>0.05</x:v>
      </x:c>
      <x:c r="T2330" s="15" t="n">
        <x:v>0</x:v>
      </x:c>
      <x:c r="U2330" s="6" t="str">
        <x:v>Answer: 62.92</x:v>
      </x:c>
      <x:c r="V2330" s="6" t="str">
        <x:v>room geometry: summed area</x:v>
      </x:c>
      <x:c r="W2330" s="6" t="str">
        <x:v>Missing polygon-area aggregation tool.</x:v>
      </x:c>
      <x:c r="X2330" s="6" t="str">
        <x:v>data/train/swiss-1457/questions.jsonl</x:v>
      </x:c>
      <x:c r="Y2330" s="14" t="n">
        <x:v>2</x:v>
      </x:c>
      <x:c r="Z2330" s="6" t="str">
        <x:v>https://github.com/hagenhaeussler/Industrial-Agents-Hackathon-2026/blob/f41616590b69f3ea0c1cbfb41d6c35edd9ce53df/data/train/swiss-1457/questions.jsonl#L2</x:v>
      </x:c>
      <x:c r="AA2330" s="6" t="str">
        <x:v>swiss_dwellings</x:v>
      </x:c>
      <x:c r="AB2330" s="6" t="str">
        <x:v>CC-BY-4.0</x:v>
      </x:c>
    </x:row>
    <x:row r="2331" ht="72" customHeight="1">
      <x:c r="A2331" s="14" t="n">
        <x:v>2326</x:v>
      </x:c>
      <x:c r="B2331" s="6" t="str">
        <x:v>floor_area_total</x:v>
      </x:c>
      <x:c r="C2331" s="6" t="str">
        <x:v>Facilities want the total floor area of every bathroom on the floor 2 added together. How many square metres is that? Finish with a line 'Answer: &lt;number&gt;'.</x:v>
      </x:c>
      <x:c r="D2331" s="6" t="str">
        <x:v>14.89 m2</x:v>
      </x:c>
      <x:c r="E2331" s="6" t="str">
        <x:v>Reference supplied</x:v>
      </x:c>
      <x:c r="F2331" s="6" t="str">
        <x:v>train</x:v>
      </x:c>
      <x:c r="G2331" s="6" t="str">
        <x:v>swiss-1463</x:v>
      </x:c>
      <x:c r="H2331" s="6" t="str">
        <x:v>swiss-1463-H01</x:v>
      </x:c>
      <x:c r="I2331" s="6" t="str">
        <x:v>Area and room selection</x:v>
      </x:c>
      <x:c r="J2331" s="6" t="str">
        <x:v>Benchmark</x:v>
      </x:c>
      <x:c r="K2331" s="6" t="str">
        <x:v>Answer: &lt;one number&gt;</x:v>
      </x:c>
      <x:c r="L2331" s="6" t="str">
        <x:v>T02, T04, T14</x:v>
      </x:c>
      <x:c r="M2331" s="6" t="str">
        <x:v>Sum the floor area of every matching room on one floor.</x:v>
      </x:c>
      <x:c r="N2331" s="6" t="str">
        <x:v>{"type":"number","value":14.89,"unit":"m2","relative_tolerance":0.05,"absolute_tolerance":0}</x:v>
      </x:c>
      <x:c r="O2331" s="6" t="str">
        <x:v>{"floor_id":"swiss-1463-F2","room_type":"bathroom"}</x:v>
      </x:c>
      <x:c r="P2331" s="6" t="str">
        <x:v>Exact target floor and room_type. Polygon area in m².</x:v>
      </x:c>
      <x:c r="Q2331" s="15" t="n">
        <x:v>14.89</x:v>
      </x:c>
      <x:c r="R2331" s="6" t="str">
        <x:v>m2</x:v>
      </x:c>
      <x:c r="S2331" s="16" t="n">
        <x:v>0.05</x:v>
      </x:c>
      <x:c r="T2331" s="15" t="n">
        <x:v>0</x:v>
      </x:c>
      <x:c r="U2331" s="6" t="str">
        <x:v>Answer: 14.89</x:v>
      </x:c>
      <x:c r="V2331" s="6" t="str">
        <x:v>room geometry: summed area</x:v>
      </x:c>
      <x:c r="W2331" s="6" t="str">
        <x:v>Missing polygon-area aggregation tool.</x:v>
      </x:c>
      <x:c r="X2331" s="6" t="str">
        <x:v>data/train/swiss-1463/questions.jsonl</x:v>
      </x:c>
      <x:c r="Y2331" s="14" t="n">
        <x:v>1</x:v>
      </x:c>
      <x:c r="Z2331" s="6" t="str">
        <x:v>https://github.com/hagenhaeussler/Industrial-Agents-Hackathon-2026/blob/f41616590b69f3ea0c1cbfb41d6c35edd9ce53df/data/train/swiss-1463/questions.jsonl#L1</x:v>
      </x:c>
      <x:c r="AA2331" s="6" t="str">
        <x:v>swiss_dwellings</x:v>
      </x:c>
      <x:c r="AB2331" s="6" t="str">
        <x:v>CC-BY-4.0</x:v>
      </x:c>
    </x:row>
    <x:row r="2332" ht="72" customHeight="1">
      <x:c r="A2332" s="14" t="n">
        <x:v>2327</x:v>
      </x:c>
      <x:c r="B2332" s="6" t="str">
        <x:v>floor_area_total</x:v>
      </x:c>
      <x:c r="C2332" s="6" t="str">
        <x:v>Facilities want the total floor area of every bathroom on the floor 1 added together. How many square metres is that? Finish with a line 'Answer: &lt;number&gt;'.</x:v>
      </x:c>
      <x:c r="D2332" s="6" t="str">
        <x:v>13.28 m2</x:v>
      </x:c>
      <x:c r="E2332" s="6" t="str">
        <x:v>Reference supplied</x:v>
      </x:c>
      <x:c r="F2332" s="6" t="str">
        <x:v>train</x:v>
      </x:c>
      <x:c r="G2332" s="6" t="str">
        <x:v>swiss-1470</x:v>
      </x:c>
      <x:c r="H2332" s="6" t="str">
        <x:v>swiss-1470-H02</x:v>
      </x:c>
      <x:c r="I2332" s="6" t="str">
        <x:v>Area and room selection</x:v>
      </x:c>
      <x:c r="J2332" s="6" t="str">
        <x:v>Benchmark</x:v>
      </x:c>
      <x:c r="K2332" s="6" t="str">
        <x:v>Answer: &lt;one number&gt;</x:v>
      </x:c>
      <x:c r="L2332" s="6" t="str">
        <x:v>T02, T04, T14</x:v>
      </x:c>
      <x:c r="M2332" s="6" t="str">
        <x:v>Sum the floor area of every matching room on one floor.</x:v>
      </x:c>
      <x:c r="N2332" s="6" t="str">
        <x:v>{"type":"number","value":13.28,"unit":"m2","relative_tolerance":0.05,"absolute_tolerance":0}</x:v>
      </x:c>
      <x:c r="O2332" s="6" t="str">
        <x:v>{"floor_id":"swiss-1470-F1","room_type":"bathroom"}</x:v>
      </x:c>
      <x:c r="P2332" s="6" t="str">
        <x:v>Exact target floor and room_type. Polygon area in m².</x:v>
      </x:c>
      <x:c r="Q2332" s="15" t="n">
        <x:v>13.28</x:v>
      </x:c>
      <x:c r="R2332" s="6" t="str">
        <x:v>m2</x:v>
      </x:c>
      <x:c r="S2332" s="16" t="n">
        <x:v>0.05</x:v>
      </x:c>
      <x:c r="T2332" s="15" t="n">
        <x:v>0</x:v>
      </x:c>
      <x:c r="U2332" s="6" t="str">
        <x:v>Answer: 13.28</x:v>
      </x:c>
      <x:c r="V2332" s="6" t="str">
        <x:v>room geometry: summed area</x:v>
      </x:c>
      <x:c r="W2332" s="6" t="str">
        <x:v>Missing polygon-area aggregation tool.</x:v>
      </x:c>
      <x:c r="X2332" s="6" t="str">
        <x:v>data/train/swiss-1470/questions.jsonl</x:v>
      </x:c>
      <x:c r="Y2332" s="14" t="n">
        <x:v>2</x:v>
      </x:c>
      <x:c r="Z2332" s="6" t="str">
        <x:v>https://github.com/hagenhaeussler/Industrial-Agents-Hackathon-2026/blob/f41616590b69f3ea0c1cbfb41d6c35edd9ce53df/data/train/swiss-1470/questions.jsonl#L2</x:v>
      </x:c>
      <x:c r="AA2332" s="6" t="str">
        <x:v>swiss_dwellings</x:v>
      </x:c>
      <x:c r="AB2332" s="6" t="str">
        <x:v>CC-BY-4.0</x:v>
      </x:c>
    </x:row>
    <x:row r="2333" ht="72" customHeight="1">
      <x:c r="A2333" s="14" t="n">
        <x:v>2328</x:v>
      </x:c>
      <x:c r="B2333" s="6" t="str">
        <x:v>floor_area_total</x:v>
      </x:c>
      <x:c r="C2333" s="6" t="str">
        <x:v>Facilities want the total floor area of every bedroom on the ground floor added together. How many square metres is that? Finish with a line 'Answer: &lt;number&gt;'.</x:v>
      </x:c>
      <x:c r="D2333" s="6" t="str">
        <x:v>171.23 m2</x:v>
      </x:c>
      <x:c r="E2333" s="6" t="str">
        <x:v>Reference supplied</x:v>
      </x:c>
      <x:c r="F2333" s="6" t="str">
        <x:v>train</x:v>
      </x:c>
      <x:c r="G2333" s="6" t="str">
        <x:v>swiss-148</x:v>
      </x:c>
      <x:c r="H2333" s="6" t="str">
        <x:v>swiss-148-H02</x:v>
      </x:c>
      <x:c r="I2333" s="6" t="str">
        <x:v>Area and room selection</x:v>
      </x:c>
      <x:c r="J2333" s="6" t="str">
        <x:v>Benchmark</x:v>
      </x:c>
      <x:c r="K2333" s="6" t="str">
        <x:v>Answer: &lt;one number&gt;</x:v>
      </x:c>
      <x:c r="L2333" s="6" t="str">
        <x:v>T02, T04, T14</x:v>
      </x:c>
      <x:c r="M2333" s="6" t="str">
        <x:v>Sum the floor area of every matching room on one floor.</x:v>
      </x:c>
      <x:c r="N2333" s="6" t="str">
        <x:v>{"type":"number","value":171.23,"unit":"m2","relative_tolerance":0.05,"absolute_tolerance":0}</x:v>
      </x:c>
      <x:c r="O2333" s="6" t="str">
        <x:v>{"floor_id":"swiss-148-F0","room_type":"bedroom"}</x:v>
      </x:c>
      <x:c r="P2333" s="6" t="str">
        <x:v>Exact target floor and room_type. Polygon area in m².</x:v>
      </x:c>
      <x:c r="Q2333" s="15" t="n">
        <x:v>171.23</x:v>
      </x:c>
      <x:c r="R2333" s="6" t="str">
        <x:v>m2</x:v>
      </x:c>
      <x:c r="S2333" s="16" t="n">
        <x:v>0.05</x:v>
      </x:c>
      <x:c r="T2333" s="15" t="n">
        <x:v>0</x:v>
      </x:c>
      <x:c r="U2333" s="6" t="str">
        <x:v>Answer: 171.23</x:v>
      </x:c>
      <x:c r="V2333" s="6" t="str">
        <x:v>room geometry: summed area</x:v>
      </x:c>
      <x:c r="W2333" s="6" t="str">
        <x:v>Missing polygon-area aggregation tool.</x:v>
      </x:c>
      <x:c r="X2333" s="6" t="str">
        <x:v>data/train/swiss-148/questions.jsonl</x:v>
      </x:c>
      <x:c r="Y2333" s="14" t="n">
        <x:v>2</x:v>
      </x:c>
      <x:c r="Z2333" s="6" t="str">
        <x:v>https://github.com/hagenhaeussler/Industrial-Agents-Hackathon-2026/blob/f41616590b69f3ea0c1cbfb41d6c35edd9ce53df/data/train/swiss-148/questions.jsonl#L2</x:v>
      </x:c>
      <x:c r="AA2333" s="6" t="str">
        <x:v>swiss_dwellings</x:v>
      </x:c>
      <x:c r="AB2333" s="6" t="str">
        <x:v>CC-BY-4.0</x:v>
      </x:c>
    </x:row>
    <x:row r="2334" ht="72" customHeight="1">
      <x:c r="A2334" s="14" t="n">
        <x:v>2329</x:v>
      </x:c>
      <x:c r="B2334" s="6" t="str">
        <x:v>floor_area_total</x:v>
      </x:c>
      <x:c r="C2334" s="6" t="str">
        <x:v>Facilities want the total floor area of every bathroom on the floor 2 added together. How many square metres is that? Finish with a line 'Answer: &lt;number&gt;'.</x:v>
      </x:c>
      <x:c r="D2334" s="6" t="str">
        <x:v>16.29 m2</x:v>
      </x:c>
      <x:c r="E2334" s="6" t="str">
        <x:v>Reference supplied</x:v>
      </x:c>
      <x:c r="F2334" s="6" t="str">
        <x:v>train</x:v>
      </x:c>
      <x:c r="G2334" s="6" t="str">
        <x:v>swiss-1543</x:v>
      </x:c>
      <x:c r="H2334" s="6" t="str">
        <x:v>swiss-1543-H01</x:v>
      </x:c>
      <x:c r="I2334" s="6" t="str">
        <x:v>Area and room selection</x:v>
      </x:c>
      <x:c r="J2334" s="6" t="str">
        <x:v>Benchmark</x:v>
      </x:c>
      <x:c r="K2334" s="6" t="str">
        <x:v>Answer: &lt;one number&gt;</x:v>
      </x:c>
      <x:c r="L2334" s="6" t="str">
        <x:v>T02, T04, T14</x:v>
      </x:c>
      <x:c r="M2334" s="6" t="str">
        <x:v>Sum the floor area of every matching room on one floor.</x:v>
      </x:c>
      <x:c r="N2334" s="6" t="str">
        <x:v>{"type":"number","value":16.29,"unit":"m2","relative_tolerance":0.05,"absolute_tolerance":0}</x:v>
      </x:c>
      <x:c r="O2334" s="6" t="str">
        <x:v>{"floor_id":"swiss-1543-F2","room_type":"bathroom"}</x:v>
      </x:c>
      <x:c r="P2334" s="6" t="str">
        <x:v>Exact target floor and room_type. Polygon area in m².</x:v>
      </x:c>
      <x:c r="Q2334" s="15" t="n">
        <x:v>16.29</x:v>
      </x:c>
      <x:c r="R2334" s="6" t="str">
        <x:v>m2</x:v>
      </x:c>
      <x:c r="S2334" s="16" t="n">
        <x:v>0.05</x:v>
      </x:c>
      <x:c r="T2334" s="15" t="n">
        <x:v>0</x:v>
      </x:c>
      <x:c r="U2334" s="6" t="str">
        <x:v>Answer: 16.29</x:v>
      </x:c>
      <x:c r="V2334" s="6" t="str">
        <x:v>room geometry: summed area</x:v>
      </x:c>
      <x:c r="W2334" s="6" t="str">
        <x:v>Missing polygon-area aggregation tool.</x:v>
      </x:c>
      <x:c r="X2334" s="6" t="str">
        <x:v>data/train/swiss-1543/questions.jsonl</x:v>
      </x:c>
      <x:c r="Y2334" s="14" t="n">
        <x:v>1</x:v>
      </x:c>
      <x:c r="Z2334" s="6" t="str">
        <x:v>https://github.com/hagenhaeussler/Industrial-Agents-Hackathon-2026/blob/f41616590b69f3ea0c1cbfb41d6c35edd9ce53df/data/train/swiss-1543/questions.jsonl#L1</x:v>
      </x:c>
      <x:c r="AA2334" s="6" t="str">
        <x:v>swiss_dwellings</x:v>
      </x:c>
      <x:c r="AB2334" s="6" t="str">
        <x:v>CC-BY-4.0</x:v>
      </x:c>
    </x:row>
    <x:row r="2335" ht="72" customHeight="1">
      <x:c r="A2335" s="14" t="n">
        <x:v>2330</x:v>
      </x:c>
      <x:c r="B2335" s="6" t="str">
        <x:v>floor_area_total</x:v>
      </x:c>
      <x:c r="C2335" s="6" t="str">
        <x:v>Facilities want the total floor area of every bedroom on the ground floor added together. How many square metres is that? Finish with a line 'Answer: &lt;number&gt;'.</x:v>
      </x:c>
      <x:c r="D2335" s="6" t="str">
        <x:v>64.43 m2</x:v>
      </x:c>
      <x:c r="E2335" s="6" t="str">
        <x:v>Reference supplied</x:v>
      </x:c>
      <x:c r="F2335" s="6" t="str">
        <x:v>train</x:v>
      </x:c>
      <x:c r="G2335" s="6" t="str">
        <x:v>swiss-15503</x:v>
      </x:c>
      <x:c r="H2335" s="6" t="str">
        <x:v>swiss-15503-H01</x:v>
      </x:c>
      <x:c r="I2335" s="6" t="str">
        <x:v>Area and room selection</x:v>
      </x:c>
      <x:c r="J2335" s="6" t="str">
        <x:v>Benchmark</x:v>
      </x:c>
      <x:c r="K2335" s="6" t="str">
        <x:v>Answer: &lt;one number&gt;</x:v>
      </x:c>
      <x:c r="L2335" s="6" t="str">
        <x:v>T02, T04, T14</x:v>
      </x:c>
      <x:c r="M2335" s="6" t="str">
        <x:v>Sum the floor area of every matching room on one floor.</x:v>
      </x:c>
      <x:c r="N2335" s="6" t="str">
        <x:v>{"type":"number","value":64.43,"unit":"m2","relative_tolerance":0.05,"absolute_tolerance":0}</x:v>
      </x:c>
      <x:c r="O2335" s="6" t="str">
        <x:v>{"floor_id":"swiss-15503-F0","room_type":"bedroom"}</x:v>
      </x:c>
      <x:c r="P2335" s="6" t="str">
        <x:v>Exact target floor and room_type. Polygon area in m².</x:v>
      </x:c>
      <x:c r="Q2335" s="15" t="n">
        <x:v>64.43</x:v>
      </x:c>
      <x:c r="R2335" s="6" t="str">
        <x:v>m2</x:v>
      </x:c>
      <x:c r="S2335" s="16" t="n">
        <x:v>0.05</x:v>
      </x:c>
      <x:c r="T2335" s="15" t="n">
        <x:v>0</x:v>
      </x:c>
      <x:c r="U2335" s="6" t="str">
        <x:v>Answer: 64.43</x:v>
      </x:c>
      <x:c r="V2335" s="6" t="str">
        <x:v>room geometry: summed area</x:v>
      </x:c>
      <x:c r="W2335" s="6" t="str">
        <x:v>Missing polygon-area aggregation tool.</x:v>
      </x:c>
      <x:c r="X2335" s="6" t="str">
        <x:v>data/train/swiss-15503/questions.jsonl</x:v>
      </x:c>
      <x:c r="Y2335" s="14" t="n">
        <x:v>1</x:v>
      </x:c>
      <x:c r="Z2335" s="6" t="str">
        <x:v>https://github.com/hagenhaeussler/Industrial-Agents-Hackathon-2026/blob/f41616590b69f3ea0c1cbfb41d6c35edd9ce53df/data/train/swiss-15503/questions.jsonl#L1</x:v>
      </x:c>
      <x:c r="AA2335" s="6" t="str">
        <x:v>swiss_dwellings</x:v>
      </x:c>
      <x:c r="AB2335" s="6" t="str">
        <x:v>CC-BY-4.0</x:v>
      </x:c>
    </x:row>
    <x:row r="2336" ht="72" customHeight="1">
      <x:c r="A2336" s="14" t="n">
        <x:v>2331</x:v>
      </x:c>
      <x:c r="B2336" s="6" t="str">
        <x:v>floor_area_total</x:v>
      </x:c>
      <x:c r="C2336" s="6" t="str">
        <x:v>Facilities want the total floor area of every bedroom on the floor 1 added together. How many square metres is that? Finish with a line 'Answer: &lt;number&gt;'.</x:v>
      </x:c>
      <x:c r="D2336" s="6" t="str">
        <x:v>104.81 m2</x:v>
      </x:c>
      <x:c r="E2336" s="6" t="str">
        <x:v>Reference supplied</x:v>
      </x:c>
      <x:c r="F2336" s="6" t="str">
        <x:v>train</x:v>
      </x:c>
      <x:c r="G2336" s="6" t="str">
        <x:v>swiss-1571</x:v>
      </x:c>
      <x:c r="H2336" s="6" t="str">
        <x:v>swiss-1571-H01</x:v>
      </x:c>
      <x:c r="I2336" s="6" t="str">
        <x:v>Area and room selection</x:v>
      </x:c>
      <x:c r="J2336" s="6" t="str">
        <x:v>Benchmark</x:v>
      </x:c>
      <x:c r="K2336" s="6" t="str">
        <x:v>Answer: &lt;one number&gt;</x:v>
      </x:c>
      <x:c r="L2336" s="6" t="str">
        <x:v>T02, T04, T14</x:v>
      </x:c>
      <x:c r="M2336" s="6" t="str">
        <x:v>Sum the floor area of every matching room on one floor.</x:v>
      </x:c>
      <x:c r="N2336" s="6" t="str">
        <x:v>{"type":"number","value":104.81,"unit":"m2","relative_tolerance":0.05,"absolute_tolerance":0}</x:v>
      </x:c>
      <x:c r="O2336" s="6" t="str">
        <x:v>{"floor_id":"swiss-1571-F1","room_type":"bedroom"}</x:v>
      </x:c>
      <x:c r="P2336" s="6" t="str">
        <x:v>Exact target floor and room_type. Polygon area in m².</x:v>
      </x:c>
      <x:c r="Q2336" s="15" t="n">
        <x:v>104.81</x:v>
      </x:c>
      <x:c r="R2336" s="6" t="str">
        <x:v>m2</x:v>
      </x:c>
      <x:c r="S2336" s="16" t="n">
        <x:v>0.05</x:v>
      </x:c>
      <x:c r="T2336" s="15" t="n">
        <x:v>0</x:v>
      </x:c>
      <x:c r="U2336" s="6" t="str">
        <x:v>Answer: 104.81</x:v>
      </x:c>
      <x:c r="V2336" s="6" t="str">
        <x:v>room geometry: summed area</x:v>
      </x:c>
      <x:c r="W2336" s="6" t="str">
        <x:v>Missing polygon-area aggregation tool.</x:v>
      </x:c>
      <x:c r="X2336" s="6" t="str">
        <x:v>data/train/swiss-1571/questions.jsonl</x:v>
      </x:c>
      <x:c r="Y2336" s="14" t="n">
        <x:v>1</x:v>
      </x:c>
      <x:c r="Z2336" s="6" t="str">
        <x:v>https://github.com/hagenhaeussler/Industrial-Agents-Hackathon-2026/blob/f41616590b69f3ea0c1cbfb41d6c35edd9ce53df/data/train/swiss-1571/questions.jsonl#L1</x:v>
      </x:c>
      <x:c r="AA2336" s="6" t="str">
        <x:v>swiss_dwellings</x:v>
      </x:c>
      <x:c r="AB2336" s="6" t="str">
        <x:v>CC-BY-4.0</x:v>
      </x:c>
    </x:row>
    <x:row r="2337" ht="72" customHeight="1">
      <x:c r="A2337" s="14" t="n">
        <x:v>2332</x:v>
      </x:c>
      <x:c r="B2337" s="6" t="str">
        <x:v>floor_area_total</x:v>
      </x:c>
      <x:c r="C2337" s="6" t="str">
        <x:v>Facilities want the total floor area of every bedroom on the floor 3 added together. How many square metres is that? Finish with a line 'Answer: &lt;number&gt;'.</x:v>
      </x:c>
      <x:c r="D2337" s="6" t="str">
        <x:v>130.65 m2</x:v>
      </x:c>
      <x:c r="E2337" s="6" t="str">
        <x:v>Reference supplied</x:v>
      </x:c>
      <x:c r="F2337" s="6" t="str">
        <x:v>train</x:v>
      </x:c>
      <x:c r="G2337" s="6" t="str">
        <x:v>swiss-1650</x:v>
      </x:c>
      <x:c r="H2337" s="6" t="str">
        <x:v>swiss-1650-H02</x:v>
      </x:c>
      <x:c r="I2337" s="6" t="str">
        <x:v>Area and room selection</x:v>
      </x:c>
      <x:c r="J2337" s="6" t="str">
        <x:v>Benchmark</x:v>
      </x:c>
      <x:c r="K2337" s="6" t="str">
        <x:v>Answer: &lt;one number&gt;</x:v>
      </x:c>
      <x:c r="L2337" s="6" t="str">
        <x:v>T02, T04, T14</x:v>
      </x:c>
      <x:c r="M2337" s="6" t="str">
        <x:v>Sum the floor area of every matching room on one floor.</x:v>
      </x:c>
      <x:c r="N2337" s="6" t="str">
        <x:v>{"type":"number","value":130.65,"unit":"m2","relative_tolerance":0.05,"absolute_tolerance":0}</x:v>
      </x:c>
      <x:c r="O2337" s="6" t="str">
        <x:v>{"floor_id":"swiss-1650-F3","room_type":"bedroom"}</x:v>
      </x:c>
      <x:c r="P2337" s="6" t="str">
        <x:v>Exact target floor and room_type. Polygon area in m².</x:v>
      </x:c>
      <x:c r="Q2337" s="15" t="n">
        <x:v>130.65</x:v>
      </x:c>
      <x:c r="R2337" s="6" t="str">
        <x:v>m2</x:v>
      </x:c>
      <x:c r="S2337" s="16" t="n">
        <x:v>0.05</x:v>
      </x:c>
      <x:c r="T2337" s="15" t="n">
        <x:v>0</x:v>
      </x:c>
      <x:c r="U2337" s="6" t="str">
        <x:v>Answer: 130.65</x:v>
      </x:c>
      <x:c r="V2337" s="6" t="str">
        <x:v>room geometry: summed area</x:v>
      </x:c>
      <x:c r="W2337" s="6" t="str">
        <x:v>Missing polygon-area aggregation tool.</x:v>
      </x:c>
      <x:c r="X2337" s="6" t="str">
        <x:v>data/train/swiss-1650/questions.jsonl</x:v>
      </x:c>
      <x:c r="Y2337" s="14" t="n">
        <x:v>2</x:v>
      </x:c>
      <x:c r="Z2337" s="6" t="str">
        <x:v>https://github.com/hagenhaeussler/Industrial-Agents-Hackathon-2026/blob/f41616590b69f3ea0c1cbfb41d6c35edd9ce53df/data/train/swiss-1650/questions.jsonl#L2</x:v>
      </x:c>
      <x:c r="AA2337" s="6" t="str">
        <x:v>swiss_dwellings</x:v>
      </x:c>
      <x:c r="AB2337" s="6" t="str">
        <x:v>CC-BY-4.0</x:v>
      </x:c>
    </x:row>
    <x:row r="2338" ht="72" customHeight="1">
      <x:c r="A2338" s="14" t="n">
        <x:v>2333</x:v>
      </x:c>
      <x:c r="B2338" s="6" t="str">
        <x:v>floor_area_total</x:v>
      </x:c>
      <x:c r="C2338" s="6" t="str">
        <x:v>Facilities want the total floor area of every bathroom on the floor 4 added together. How many square metres is that? Finish with a line 'Answer: &lt;number&gt;'.</x:v>
      </x:c>
      <x:c r="D2338" s="6" t="str">
        <x:v>10.29 m2</x:v>
      </x:c>
      <x:c r="E2338" s="6" t="str">
        <x:v>Reference supplied</x:v>
      </x:c>
      <x:c r="F2338" s="6" t="str">
        <x:v>train</x:v>
      </x:c>
      <x:c r="G2338" s="6" t="str">
        <x:v>swiss-18196</x:v>
      </x:c>
      <x:c r="H2338" s="6" t="str">
        <x:v>swiss-18196-H02</x:v>
      </x:c>
      <x:c r="I2338" s="6" t="str">
        <x:v>Area and room selection</x:v>
      </x:c>
      <x:c r="J2338" s="6" t="str">
        <x:v>Benchmark</x:v>
      </x:c>
      <x:c r="K2338" s="6" t="str">
        <x:v>Answer: &lt;one number&gt;</x:v>
      </x:c>
      <x:c r="L2338" s="6" t="str">
        <x:v>T02, T04, T14</x:v>
      </x:c>
      <x:c r="M2338" s="6" t="str">
        <x:v>Sum the floor area of every matching room on one floor.</x:v>
      </x:c>
      <x:c r="N2338" s="6" t="str">
        <x:v>{"type":"number","value":10.29,"unit":"m2","relative_tolerance":0.05,"absolute_tolerance":0}</x:v>
      </x:c>
      <x:c r="O2338" s="6" t="str">
        <x:v>{"floor_id":"swiss-18196-F4","room_type":"bathroom"}</x:v>
      </x:c>
      <x:c r="P2338" s="6" t="str">
        <x:v>Exact target floor and room_type. Polygon area in m².</x:v>
      </x:c>
      <x:c r="Q2338" s="15" t="n">
        <x:v>10.29</x:v>
      </x:c>
      <x:c r="R2338" s="6" t="str">
        <x:v>m2</x:v>
      </x:c>
      <x:c r="S2338" s="16" t="n">
        <x:v>0.05</x:v>
      </x:c>
      <x:c r="T2338" s="15" t="n">
        <x:v>0</x:v>
      </x:c>
      <x:c r="U2338" s="6" t="str">
        <x:v>Answer: 10.29</x:v>
      </x:c>
      <x:c r="V2338" s="6" t="str">
        <x:v>room geometry: summed area</x:v>
      </x:c>
      <x:c r="W2338" s="6" t="str">
        <x:v>Missing polygon-area aggregation tool.</x:v>
      </x:c>
      <x:c r="X2338" s="6" t="str">
        <x:v>data/train/swiss-18196/questions.jsonl</x:v>
      </x:c>
      <x:c r="Y2338" s="14" t="n">
        <x:v>2</x:v>
      </x:c>
      <x:c r="Z2338" s="6" t="str">
        <x:v>https://github.com/hagenhaeussler/Industrial-Agents-Hackathon-2026/blob/f41616590b69f3ea0c1cbfb41d6c35edd9ce53df/data/train/swiss-18196/questions.jsonl#L2</x:v>
      </x:c>
      <x:c r="AA2338" s="6" t="str">
        <x:v>swiss_dwellings</x:v>
      </x:c>
      <x:c r="AB2338" s="6" t="str">
        <x:v>CC-BY-4.0</x:v>
      </x:c>
    </x:row>
    <x:row r="2339" ht="72" customHeight="1">
      <x:c r="A2339" s="14" t="n">
        <x:v>2334</x:v>
      </x:c>
      <x:c r="B2339" s="6" t="str">
        <x:v>floor_area_total</x:v>
      </x:c>
      <x:c r="C2339" s="6" t="str">
        <x:v>Facilities want the total floor area of every living room on the floor 4 added together. How many square metres is that? Finish with a line 'Answer: &lt;number&gt;'.</x:v>
      </x:c>
      <x:c r="D2339" s="6" t="str">
        <x:v>87.9 m2</x:v>
      </x:c>
      <x:c r="E2339" s="6" t="str">
        <x:v>Reference supplied</x:v>
      </x:c>
      <x:c r="F2339" s="6" t="str">
        <x:v>train</x:v>
      </x:c>
      <x:c r="G2339" s="6" t="str">
        <x:v>swiss-18256</x:v>
      </x:c>
      <x:c r="H2339" s="6" t="str">
        <x:v>swiss-18256-H02</x:v>
      </x:c>
      <x:c r="I2339" s="6" t="str">
        <x:v>Area and room selection</x:v>
      </x:c>
      <x:c r="J2339" s="6" t="str">
        <x:v>Benchmark</x:v>
      </x:c>
      <x:c r="K2339" s="6" t="str">
        <x:v>Answer: &lt;one number&gt;</x:v>
      </x:c>
      <x:c r="L2339" s="6" t="str">
        <x:v>T02, T04, T14</x:v>
      </x:c>
      <x:c r="M2339" s="6" t="str">
        <x:v>Sum the floor area of every matching room on one floor.</x:v>
      </x:c>
      <x:c r="N2339" s="6" t="str">
        <x:v>{"type":"number","value":87.9,"unit":"m2","relative_tolerance":0.05,"absolute_tolerance":0}</x:v>
      </x:c>
      <x:c r="O2339" s="6" t="str">
        <x:v>{"floor_id":"swiss-18256-F4","room_type":"living_room"}</x:v>
      </x:c>
      <x:c r="P2339" s="6" t="str">
        <x:v>Exact target floor and room_type. Polygon area in m².</x:v>
      </x:c>
      <x:c r="Q2339" s="15" t="n">
        <x:v>87.9</x:v>
      </x:c>
      <x:c r="R2339" s="6" t="str">
        <x:v>m2</x:v>
      </x:c>
      <x:c r="S2339" s="16" t="n">
        <x:v>0.05</x:v>
      </x:c>
      <x:c r="T2339" s="15" t="n">
        <x:v>0</x:v>
      </x:c>
      <x:c r="U2339" s="6" t="str">
        <x:v>Answer: 87.9</x:v>
      </x:c>
      <x:c r="V2339" s="6" t="str">
        <x:v>room geometry: summed area</x:v>
      </x:c>
      <x:c r="W2339" s="6" t="str">
        <x:v>Missing polygon-area aggregation tool.</x:v>
      </x:c>
      <x:c r="X2339" s="6" t="str">
        <x:v>data/train/swiss-18256/questions.jsonl</x:v>
      </x:c>
      <x:c r="Y2339" s="14" t="n">
        <x:v>2</x:v>
      </x:c>
      <x:c r="Z2339" s="6" t="str">
        <x:v>https://github.com/hagenhaeussler/Industrial-Agents-Hackathon-2026/blob/f41616590b69f3ea0c1cbfb41d6c35edd9ce53df/data/train/swiss-18256/questions.jsonl#L2</x:v>
      </x:c>
      <x:c r="AA2339" s="6" t="str">
        <x:v>swiss_dwellings</x:v>
      </x:c>
      <x:c r="AB2339" s="6" t="str">
        <x:v>CC-BY-4.0</x:v>
      </x:c>
    </x:row>
    <x:row r="2340" ht="72" customHeight="1">
      <x:c r="A2340" s="14" t="n">
        <x:v>2335</x:v>
      </x:c>
      <x:c r="B2340" s="6" t="str">
        <x:v>floor_area_total</x:v>
      </x:c>
      <x:c r="C2340" s="6" t="str">
        <x:v>Facilities want the total floor area of every bathroom on the ground floor added together. How many square metres is that? Finish with a line 'Answer: &lt;number&gt;'.</x:v>
      </x:c>
      <x:c r="D2340" s="6" t="str">
        <x:v>7.92 m2</x:v>
      </x:c>
      <x:c r="E2340" s="6" t="str">
        <x:v>Reference supplied</x:v>
      </x:c>
      <x:c r="F2340" s="6" t="str">
        <x:v>train</x:v>
      </x:c>
      <x:c r="G2340" s="6" t="str">
        <x:v>swiss-18260</x:v>
      </x:c>
      <x:c r="H2340" s="6" t="str">
        <x:v>swiss-18260-H01</x:v>
      </x:c>
      <x:c r="I2340" s="6" t="str">
        <x:v>Area and room selection</x:v>
      </x:c>
      <x:c r="J2340" s="6" t="str">
        <x:v>Benchmark</x:v>
      </x:c>
      <x:c r="K2340" s="6" t="str">
        <x:v>Answer: &lt;one number&gt;</x:v>
      </x:c>
      <x:c r="L2340" s="6" t="str">
        <x:v>T02, T04, T14</x:v>
      </x:c>
      <x:c r="M2340" s="6" t="str">
        <x:v>Sum the floor area of every matching room on one floor.</x:v>
      </x:c>
      <x:c r="N2340" s="6" t="str">
        <x:v>{"type":"number","value":7.92,"unit":"m2","relative_tolerance":0.05,"absolute_tolerance":0}</x:v>
      </x:c>
      <x:c r="O2340" s="6" t="str">
        <x:v>{"floor_id":"swiss-18260-F0","room_type":"bathroom"}</x:v>
      </x:c>
      <x:c r="P2340" s="6" t="str">
        <x:v>Exact target floor and room_type. Polygon area in m².</x:v>
      </x:c>
      <x:c r="Q2340" s="15" t="n">
        <x:v>7.92</x:v>
      </x:c>
      <x:c r="R2340" s="6" t="str">
        <x:v>m2</x:v>
      </x:c>
      <x:c r="S2340" s="16" t="n">
        <x:v>0.05</x:v>
      </x:c>
      <x:c r="T2340" s="15" t="n">
        <x:v>0</x:v>
      </x:c>
      <x:c r="U2340" s="6" t="str">
        <x:v>Answer: 7.92</x:v>
      </x:c>
      <x:c r="V2340" s="6" t="str">
        <x:v>room geometry: summed area</x:v>
      </x:c>
      <x:c r="W2340" s="6" t="str">
        <x:v>Missing polygon-area aggregation tool.</x:v>
      </x:c>
      <x:c r="X2340" s="6" t="str">
        <x:v>data/train/swiss-18260/questions.jsonl</x:v>
      </x:c>
      <x:c r="Y2340" s="14" t="n">
        <x:v>1</x:v>
      </x:c>
      <x:c r="Z2340" s="6" t="str">
        <x:v>https://github.com/hagenhaeussler/Industrial-Agents-Hackathon-2026/blob/f41616590b69f3ea0c1cbfb41d6c35edd9ce53df/data/train/swiss-18260/questions.jsonl#L1</x:v>
      </x:c>
      <x:c r="AA2340" s="6" t="str">
        <x:v>swiss_dwellings</x:v>
      </x:c>
      <x:c r="AB2340" s="6" t="str">
        <x:v>CC-BY-4.0</x:v>
      </x:c>
    </x:row>
    <x:row r="2341" ht="72" customHeight="1">
      <x:c r="A2341" s="14" t="n">
        <x:v>2336</x:v>
      </x:c>
      <x:c r="B2341" s="6" t="str">
        <x:v>floor_area_total</x:v>
      </x:c>
      <x:c r="C2341" s="6" t="str">
        <x:v>Facilities want the total floor area of every bedroom on the floor 1 added together. How many square metres is that? Finish with a line 'Answer: &lt;number&gt;'.</x:v>
      </x:c>
      <x:c r="D2341" s="6" t="str">
        <x:v>100.74 m2</x:v>
      </x:c>
      <x:c r="E2341" s="6" t="str">
        <x:v>Reference supplied</x:v>
      </x:c>
      <x:c r="F2341" s="6" t="str">
        <x:v>train</x:v>
      </x:c>
      <x:c r="G2341" s="6" t="str">
        <x:v>swiss-1828</x:v>
      </x:c>
      <x:c r="H2341" s="6" t="str">
        <x:v>swiss-1828-H02</x:v>
      </x:c>
      <x:c r="I2341" s="6" t="str">
        <x:v>Area and room selection</x:v>
      </x:c>
      <x:c r="J2341" s="6" t="str">
        <x:v>Benchmark</x:v>
      </x:c>
      <x:c r="K2341" s="6" t="str">
        <x:v>Answer: &lt;one number&gt;</x:v>
      </x:c>
      <x:c r="L2341" s="6" t="str">
        <x:v>T02, T04, T14</x:v>
      </x:c>
      <x:c r="M2341" s="6" t="str">
        <x:v>Sum the floor area of every matching room on one floor.</x:v>
      </x:c>
      <x:c r="N2341" s="6" t="str">
        <x:v>{"type":"number","value":100.74,"unit":"m2","relative_tolerance":0.05,"absolute_tolerance":0}</x:v>
      </x:c>
      <x:c r="O2341" s="6" t="str">
        <x:v>{"floor_id":"swiss-1828-F1","room_type":"bedroom"}</x:v>
      </x:c>
      <x:c r="P2341" s="6" t="str">
        <x:v>Exact target floor and room_type. Polygon area in m².</x:v>
      </x:c>
      <x:c r="Q2341" s="15" t="n">
        <x:v>100.74</x:v>
      </x:c>
      <x:c r="R2341" s="6" t="str">
        <x:v>m2</x:v>
      </x:c>
      <x:c r="S2341" s="16" t="n">
        <x:v>0.05</x:v>
      </x:c>
      <x:c r="T2341" s="15" t="n">
        <x:v>0</x:v>
      </x:c>
      <x:c r="U2341" s="6" t="str">
        <x:v>Answer: 100.74</x:v>
      </x:c>
      <x:c r="V2341" s="6" t="str">
        <x:v>room geometry: summed area</x:v>
      </x:c>
      <x:c r="W2341" s="6" t="str">
        <x:v>Missing polygon-area aggregation tool.</x:v>
      </x:c>
      <x:c r="X2341" s="6" t="str">
        <x:v>data/train/swiss-1828/questions.jsonl</x:v>
      </x:c>
      <x:c r="Y2341" s="14" t="n">
        <x:v>2</x:v>
      </x:c>
      <x:c r="Z2341" s="6" t="str">
        <x:v>https://github.com/hagenhaeussler/Industrial-Agents-Hackathon-2026/blob/f41616590b69f3ea0c1cbfb41d6c35edd9ce53df/data/train/swiss-1828/questions.jsonl#L2</x:v>
      </x:c>
      <x:c r="AA2341" s="6" t="str">
        <x:v>swiss_dwellings</x:v>
      </x:c>
      <x:c r="AB2341" s="6" t="str">
        <x:v>CC-BY-4.0</x:v>
      </x:c>
    </x:row>
    <x:row r="2342" ht="72" customHeight="1">
      <x:c r="A2342" s="14" t="n">
        <x:v>2337</x:v>
      </x:c>
      <x:c r="B2342" s="6" t="str">
        <x:v>floor_area_total</x:v>
      </x:c>
      <x:c r="C2342" s="6" t="str">
        <x:v>Facilities want the total floor area of every bedroom on the floor 4 added together. How many square metres is that? Finish with a line 'Answer: &lt;number&gt;'.</x:v>
      </x:c>
      <x:c r="D2342" s="6" t="str">
        <x:v>72.73 m2</x:v>
      </x:c>
      <x:c r="E2342" s="6" t="str">
        <x:v>Reference supplied</x:v>
      </x:c>
      <x:c r="F2342" s="6" t="str">
        <x:v>train</x:v>
      </x:c>
      <x:c r="G2342" s="6" t="str">
        <x:v>swiss-1829</x:v>
      </x:c>
      <x:c r="H2342" s="6" t="str">
        <x:v>swiss-1829-H02</x:v>
      </x:c>
      <x:c r="I2342" s="6" t="str">
        <x:v>Area and room selection</x:v>
      </x:c>
      <x:c r="J2342" s="6" t="str">
        <x:v>Benchmark</x:v>
      </x:c>
      <x:c r="K2342" s="6" t="str">
        <x:v>Answer: &lt;one number&gt;</x:v>
      </x:c>
      <x:c r="L2342" s="6" t="str">
        <x:v>T02, T04, T14</x:v>
      </x:c>
      <x:c r="M2342" s="6" t="str">
        <x:v>Sum the floor area of every matching room on one floor.</x:v>
      </x:c>
      <x:c r="N2342" s="6" t="str">
        <x:v>{"type":"number","value":72.73,"unit":"m2","relative_tolerance":0.05,"absolute_tolerance":0}</x:v>
      </x:c>
      <x:c r="O2342" s="6" t="str">
        <x:v>{"floor_id":"swiss-1829-F4","room_type":"bedroom"}</x:v>
      </x:c>
      <x:c r="P2342" s="6" t="str">
        <x:v>Exact target floor and room_type. Polygon area in m².</x:v>
      </x:c>
      <x:c r="Q2342" s="15" t="n">
        <x:v>72.73</x:v>
      </x:c>
      <x:c r="R2342" s="6" t="str">
        <x:v>m2</x:v>
      </x:c>
      <x:c r="S2342" s="16" t="n">
        <x:v>0.05</x:v>
      </x:c>
      <x:c r="T2342" s="15" t="n">
        <x:v>0</x:v>
      </x:c>
      <x:c r="U2342" s="6" t="str">
        <x:v>Answer: 72.73</x:v>
      </x:c>
      <x:c r="V2342" s="6" t="str">
        <x:v>room geometry: summed area</x:v>
      </x:c>
      <x:c r="W2342" s="6" t="str">
        <x:v>Missing polygon-area aggregation tool.</x:v>
      </x:c>
      <x:c r="X2342" s="6" t="str">
        <x:v>data/train/swiss-1829/questions.jsonl</x:v>
      </x:c>
      <x:c r="Y2342" s="14" t="n">
        <x:v>2</x:v>
      </x:c>
      <x:c r="Z2342" s="6" t="str">
        <x:v>https://github.com/hagenhaeussler/Industrial-Agents-Hackathon-2026/blob/f41616590b69f3ea0c1cbfb41d6c35edd9ce53df/data/train/swiss-1829/questions.jsonl#L2</x:v>
      </x:c>
      <x:c r="AA2342" s="6" t="str">
        <x:v>swiss_dwellings</x:v>
      </x:c>
      <x:c r="AB2342" s="6" t="str">
        <x:v>CC-BY-4.0</x:v>
      </x:c>
    </x:row>
    <x:row r="2343" ht="72" customHeight="1">
      <x:c r="A2343" s="14" t="n">
        <x:v>2338</x:v>
      </x:c>
      <x:c r="B2343" s="6" t="str">
        <x:v>floor_area_total</x:v>
      </x:c>
      <x:c r="C2343" s="6" t="str">
        <x:v>Facilities want the total floor area of every kitchen on the floor 1 added together. How many square metres is that? Finish with a line 'Answer: &lt;number&gt;'.</x:v>
      </x:c>
      <x:c r="D2343" s="6" t="str">
        <x:v>28.19 m2</x:v>
      </x:c>
      <x:c r="E2343" s="6" t="str">
        <x:v>Reference supplied</x:v>
      </x:c>
      <x:c r="F2343" s="6" t="str">
        <x:v>train</x:v>
      </x:c>
      <x:c r="G2343" s="6" t="str">
        <x:v>swiss-1860</x:v>
      </x:c>
      <x:c r="H2343" s="6" t="str">
        <x:v>swiss-1860-H01</x:v>
      </x:c>
      <x:c r="I2343" s="6" t="str">
        <x:v>Area and room selection</x:v>
      </x:c>
      <x:c r="J2343" s="6" t="str">
        <x:v>Benchmark</x:v>
      </x:c>
      <x:c r="K2343" s="6" t="str">
        <x:v>Answer: &lt;one number&gt;</x:v>
      </x:c>
      <x:c r="L2343" s="6" t="str">
        <x:v>T02, T04, T14</x:v>
      </x:c>
      <x:c r="M2343" s="6" t="str">
        <x:v>Sum the floor area of every matching room on one floor.</x:v>
      </x:c>
      <x:c r="N2343" s="6" t="str">
        <x:v>{"type":"number","value":28.19,"unit":"m2","relative_tolerance":0.05,"absolute_tolerance":0}</x:v>
      </x:c>
      <x:c r="O2343" s="6" t="str">
        <x:v>{"floor_id":"swiss-1860-F1","room_type":"kitchen"}</x:v>
      </x:c>
      <x:c r="P2343" s="6" t="str">
        <x:v>Exact target floor and room_type. Polygon area in m².</x:v>
      </x:c>
      <x:c r="Q2343" s="15" t="n">
        <x:v>28.19</x:v>
      </x:c>
      <x:c r="R2343" s="6" t="str">
        <x:v>m2</x:v>
      </x:c>
      <x:c r="S2343" s="16" t="n">
        <x:v>0.05</x:v>
      </x:c>
      <x:c r="T2343" s="15" t="n">
        <x:v>0</x:v>
      </x:c>
      <x:c r="U2343" s="6" t="str">
        <x:v>Answer: 28.19</x:v>
      </x:c>
      <x:c r="V2343" s="6" t="str">
        <x:v>room geometry: summed area</x:v>
      </x:c>
      <x:c r="W2343" s="6" t="str">
        <x:v>Missing polygon-area aggregation tool.</x:v>
      </x:c>
      <x:c r="X2343" s="6" t="str">
        <x:v>data/train/swiss-1860/questions.jsonl</x:v>
      </x:c>
      <x:c r="Y2343" s="14" t="n">
        <x:v>1</x:v>
      </x:c>
      <x:c r="Z2343" s="6" t="str">
        <x:v>https://github.com/hagenhaeussler/Industrial-Agents-Hackathon-2026/blob/f41616590b69f3ea0c1cbfb41d6c35edd9ce53df/data/train/swiss-1860/questions.jsonl#L1</x:v>
      </x:c>
      <x:c r="AA2343" s="6" t="str">
        <x:v>swiss_dwellings</x:v>
      </x:c>
      <x:c r="AB2343" s="6" t="str">
        <x:v>CC-BY-4.0</x:v>
      </x:c>
    </x:row>
    <x:row r="2344" ht="72" customHeight="1">
      <x:c r="A2344" s="14" t="n">
        <x:v>2339</x:v>
      </x:c>
      <x:c r="B2344" s="6" t="str">
        <x:v>floor_area_total</x:v>
      </x:c>
      <x:c r="C2344" s="6" t="str">
        <x:v>Facilities want the total floor area of every kitchen on the floor 3 added together. How many square metres is that? Finish with a line 'Answer: &lt;number&gt;'.</x:v>
      </x:c>
      <x:c r="D2344" s="6" t="str">
        <x:v>41.87 m2</x:v>
      </x:c>
      <x:c r="E2344" s="6" t="str">
        <x:v>Reference supplied</x:v>
      </x:c>
      <x:c r="F2344" s="6" t="str">
        <x:v>train</x:v>
      </x:c>
      <x:c r="G2344" s="6" t="str">
        <x:v>swiss-1883</x:v>
      </x:c>
      <x:c r="H2344" s="6" t="str">
        <x:v>swiss-1883-H02</x:v>
      </x:c>
      <x:c r="I2344" s="6" t="str">
        <x:v>Area and room selection</x:v>
      </x:c>
      <x:c r="J2344" s="6" t="str">
        <x:v>Benchmark</x:v>
      </x:c>
      <x:c r="K2344" s="6" t="str">
        <x:v>Answer: &lt;one number&gt;</x:v>
      </x:c>
      <x:c r="L2344" s="6" t="str">
        <x:v>T02, T04, T14</x:v>
      </x:c>
      <x:c r="M2344" s="6" t="str">
        <x:v>Sum the floor area of every matching room on one floor.</x:v>
      </x:c>
      <x:c r="N2344" s="6" t="str">
        <x:v>{"type":"number","value":41.87,"unit":"m2","relative_tolerance":0.05,"absolute_tolerance":0}</x:v>
      </x:c>
      <x:c r="O2344" s="6" t="str">
        <x:v>{"floor_id":"swiss-1883-F3","room_type":"kitchen"}</x:v>
      </x:c>
      <x:c r="P2344" s="6" t="str">
        <x:v>Exact target floor and room_type. Polygon area in m².</x:v>
      </x:c>
      <x:c r="Q2344" s="15" t="n">
        <x:v>41.87</x:v>
      </x:c>
      <x:c r="R2344" s="6" t="str">
        <x:v>m2</x:v>
      </x:c>
      <x:c r="S2344" s="16" t="n">
        <x:v>0.05</x:v>
      </x:c>
      <x:c r="T2344" s="15" t="n">
        <x:v>0</x:v>
      </x:c>
      <x:c r="U2344" s="6" t="str">
        <x:v>Answer: 41.87</x:v>
      </x:c>
      <x:c r="V2344" s="6" t="str">
        <x:v>room geometry: summed area</x:v>
      </x:c>
      <x:c r="W2344" s="6" t="str">
        <x:v>Missing polygon-area aggregation tool.</x:v>
      </x:c>
      <x:c r="X2344" s="6" t="str">
        <x:v>data/train/swiss-1883/questions.jsonl</x:v>
      </x:c>
      <x:c r="Y2344" s="14" t="n">
        <x:v>2</x:v>
      </x:c>
      <x:c r="Z2344" s="6" t="str">
        <x:v>https://github.com/hagenhaeussler/Industrial-Agents-Hackathon-2026/blob/f41616590b69f3ea0c1cbfb41d6c35edd9ce53df/data/train/swiss-1883/questions.jsonl#L2</x:v>
      </x:c>
      <x:c r="AA2344" s="6" t="str">
        <x:v>swiss_dwellings</x:v>
      </x:c>
      <x:c r="AB2344" s="6" t="str">
        <x:v>CC-BY-4.0</x:v>
      </x:c>
    </x:row>
    <x:row r="2345" ht="72" customHeight="1">
      <x:c r="A2345" s="14" t="n">
        <x:v>2340</x:v>
      </x:c>
      <x:c r="B2345" s="6" t="str">
        <x:v>floor_area_total</x:v>
      </x:c>
      <x:c r="C2345" s="6" t="str">
        <x:v>Facilities want the total floor area of every bathroom on the ground floor added together. How many square metres is that? Finish with a line 'Answer: &lt;number&gt;'.</x:v>
      </x:c>
      <x:c r="D2345" s="6" t="str">
        <x:v>25.82 m2</x:v>
      </x:c>
      <x:c r="E2345" s="6" t="str">
        <x:v>Reference supplied</x:v>
      </x:c>
      <x:c r="F2345" s="6" t="str">
        <x:v>train</x:v>
      </x:c>
      <x:c r="G2345" s="6" t="str">
        <x:v>swiss-1889</x:v>
      </x:c>
      <x:c r="H2345" s="6" t="str">
        <x:v>swiss-1889-H01</x:v>
      </x:c>
      <x:c r="I2345" s="6" t="str">
        <x:v>Area and room selection</x:v>
      </x:c>
      <x:c r="J2345" s="6" t="str">
        <x:v>Benchmark</x:v>
      </x:c>
      <x:c r="K2345" s="6" t="str">
        <x:v>Answer: &lt;one number&gt;</x:v>
      </x:c>
      <x:c r="L2345" s="6" t="str">
        <x:v>T02, T04, T14</x:v>
      </x:c>
      <x:c r="M2345" s="6" t="str">
        <x:v>Sum the floor area of every matching room on one floor.</x:v>
      </x:c>
      <x:c r="N2345" s="6" t="str">
        <x:v>{"type":"number","value":25.82,"unit":"m2","relative_tolerance":0.05,"absolute_tolerance":0}</x:v>
      </x:c>
      <x:c r="O2345" s="6" t="str">
        <x:v>{"floor_id":"swiss-1889-F0","room_type":"bathroom"}</x:v>
      </x:c>
      <x:c r="P2345" s="6" t="str">
        <x:v>Exact target floor and room_type. Polygon area in m².</x:v>
      </x:c>
      <x:c r="Q2345" s="15" t="n">
        <x:v>25.82</x:v>
      </x:c>
      <x:c r="R2345" s="6" t="str">
        <x:v>m2</x:v>
      </x:c>
      <x:c r="S2345" s="16" t="n">
        <x:v>0.05</x:v>
      </x:c>
      <x:c r="T2345" s="15" t="n">
        <x:v>0</x:v>
      </x:c>
      <x:c r="U2345" s="6" t="str">
        <x:v>Answer: 25.82</x:v>
      </x:c>
      <x:c r="V2345" s="6" t="str">
        <x:v>room geometry: summed area</x:v>
      </x:c>
      <x:c r="W2345" s="6" t="str">
        <x:v>Missing polygon-area aggregation tool.</x:v>
      </x:c>
      <x:c r="X2345" s="6" t="str">
        <x:v>data/train/swiss-1889/questions.jsonl</x:v>
      </x:c>
      <x:c r="Y2345" s="14" t="n">
        <x:v>1</x:v>
      </x:c>
      <x:c r="Z2345" s="6" t="str">
        <x:v>https://github.com/hagenhaeussler/Industrial-Agents-Hackathon-2026/blob/f41616590b69f3ea0c1cbfb41d6c35edd9ce53df/data/train/swiss-1889/questions.jsonl#L1</x:v>
      </x:c>
      <x:c r="AA2345" s="6" t="str">
        <x:v>swiss_dwellings</x:v>
      </x:c>
      <x:c r="AB2345" s="6" t="str">
        <x:v>CC-BY-4.0</x:v>
      </x:c>
    </x:row>
    <x:row r="2346" ht="72" customHeight="1">
      <x:c r="A2346" s="14" t="n">
        <x:v>2341</x:v>
      </x:c>
      <x:c r="B2346" s="6" t="str">
        <x:v>floor_area_total</x:v>
      </x:c>
      <x:c r="C2346" s="6" t="str">
        <x:v>Facilities want the total floor area of every bedroom on the floor 2 added together. How many square metres is that? Finish with a line 'Answer: &lt;number&gt;'.</x:v>
      </x:c>
      <x:c r="D2346" s="6" t="str">
        <x:v>129.63 m2</x:v>
      </x:c>
      <x:c r="E2346" s="6" t="str">
        <x:v>Reference supplied</x:v>
      </x:c>
      <x:c r="F2346" s="6" t="str">
        <x:v>train</x:v>
      </x:c>
      <x:c r="G2346" s="6" t="str">
        <x:v>swiss-1898</x:v>
      </x:c>
      <x:c r="H2346" s="6" t="str">
        <x:v>swiss-1898-H01</x:v>
      </x:c>
      <x:c r="I2346" s="6" t="str">
        <x:v>Area and room selection</x:v>
      </x:c>
      <x:c r="J2346" s="6" t="str">
        <x:v>Benchmark</x:v>
      </x:c>
      <x:c r="K2346" s="6" t="str">
        <x:v>Answer: &lt;one number&gt;</x:v>
      </x:c>
      <x:c r="L2346" s="6" t="str">
        <x:v>T02, T04, T14</x:v>
      </x:c>
      <x:c r="M2346" s="6" t="str">
        <x:v>Sum the floor area of every matching room on one floor.</x:v>
      </x:c>
      <x:c r="N2346" s="6" t="str">
        <x:v>{"type":"number","value":129.63,"unit":"m2","relative_tolerance":0.05,"absolute_tolerance":0}</x:v>
      </x:c>
      <x:c r="O2346" s="6" t="str">
        <x:v>{"floor_id":"swiss-1898-F2","room_type":"bedroom"}</x:v>
      </x:c>
      <x:c r="P2346" s="6" t="str">
        <x:v>Exact target floor and room_type. Polygon area in m².</x:v>
      </x:c>
      <x:c r="Q2346" s="15" t="n">
        <x:v>129.63</x:v>
      </x:c>
      <x:c r="R2346" s="6" t="str">
        <x:v>m2</x:v>
      </x:c>
      <x:c r="S2346" s="16" t="n">
        <x:v>0.05</x:v>
      </x:c>
      <x:c r="T2346" s="15" t="n">
        <x:v>0</x:v>
      </x:c>
      <x:c r="U2346" s="6" t="str">
        <x:v>Answer: 129.63</x:v>
      </x:c>
      <x:c r="V2346" s="6" t="str">
        <x:v>room geometry: summed area</x:v>
      </x:c>
      <x:c r="W2346" s="6" t="str">
        <x:v>Missing polygon-area aggregation tool.</x:v>
      </x:c>
      <x:c r="X2346" s="6" t="str">
        <x:v>data/train/swiss-1898/questions.jsonl</x:v>
      </x:c>
      <x:c r="Y2346" s="14" t="n">
        <x:v>1</x:v>
      </x:c>
      <x:c r="Z2346" s="6" t="str">
        <x:v>https://github.com/hagenhaeussler/Industrial-Agents-Hackathon-2026/blob/f41616590b69f3ea0c1cbfb41d6c35edd9ce53df/data/train/swiss-1898/questions.jsonl#L1</x:v>
      </x:c>
      <x:c r="AA2346" s="6" t="str">
        <x:v>swiss_dwellings</x:v>
      </x:c>
      <x:c r="AB2346" s="6" t="str">
        <x:v>CC-BY-4.0</x:v>
      </x:c>
    </x:row>
    <x:row r="2347" ht="72" customHeight="1">
      <x:c r="A2347" s="14" t="n">
        <x:v>2342</x:v>
      </x:c>
      <x:c r="B2347" s="6" t="str">
        <x:v>floor_area_total</x:v>
      </x:c>
      <x:c r="C2347" s="6" t="str">
        <x:v>Facilities want the total floor area of every kitchen on the floor 5 added together. How many square metres is that? Finish with a line 'Answer: &lt;number&gt;'.</x:v>
      </x:c>
      <x:c r="D2347" s="6" t="str">
        <x:v>48.1 m2</x:v>
      </x:c>
      <x:c r="E2347" s="6" t="str">
        <x:v>Reference supplied</x:v>
      </x:c>
      <x:c r="F2347" s="6" t="str">
        <x:v>train</x:v>
      </x:c>
      <x:c r="G2347" s="6" t="str">
        <x:v>swiss-1922</x:v>
      </x:c>
      <x:c r="H2347" s="6" t="str">
        <x:v>swiss-1922-H02</x:v>
      </x:c>
      <x:c r="I2347" s="6" t="str">
        <x:v>Area and room selection</x:v>
      </x:c>
      <x:c r="J2347" s="6" t="str">
        <x:v>Benchmark</x:v>
      </x:c>
      <x:c r="K2347" s="6" t="str">
        <x:v>Answer: &lt;one number&gt;</x:v>
      </x:c>
      <x:c r="L2347" s="6" t="str">
        <x:v>T02, T04, T14</x:v>
      </x:c>
      <x:c r="M2347" s="6" t="str">
        <x:v>Sum the floor area of every matching room on one floor.</x:v>
      </x:c>
      <x:c r="N2347" s="6" t="str">
        <x:v>{"type":"number","value":48.1,"unit":"m2","relative_tolerance":0.05,"absolute_tolerance":0}</x:v>
      </x:c>
      <x:c r="O2347" s="6" t="str">
        <x:v>{"floor_id":"swiss-1922-F5","room_type":"kitchen"}</x:v>
      </x:c>
      <x:c r="P2347" s="6" t="str">
        <x:v>Exact target floor and room_type. Polygon area in m².</x:v>
      </x:c>
      <x:c r="Q2347" s="15" t="n">
        <x:v>48.1</x:v>
      </x:c>
      <x:c r="R2347" s="6" t="str">
        <x:v>m2</x:v>
      </x:c>
      <x:c r="S2347" s="16" t="n">
        <x:v>0.05</x:v>
      </x:c>
      <x:c r="T2347" s="15" t="n">
        <x:v>0</x:v>
      </x:c>
      <x:c r="U2347" s="6" t="str">
        <x:v>Answer: 48.1</x:v>
      </x:c>
      <x:c r="V2347" s="6" t="str">
        <x:v>room geometry: summed area</x:v>
      </x:c>
      <x:c r="W2347" s="6" t="str">
        <x:v>Missing polygon-area aggregation tool.</x:v>
      </x:c>
      <x:c r="X2347" s="6" t="str">
        <x:v>data/train/swiss-1922/questions.jsonl</x:v>
      </x:c>
      <x:c r="Y2347" s="14" t="n">
        <x:v>2</x:v>
      </x:c>
      <x:c r="Z2347" s="6" t="str">
        <x:v>https://github.com/hagenhaeussler/Industrial-Agents-Hackathon-2026/blob/f41616590b69f3ea0c1cbfb41d6c35edd9ce53df/data/train/swiss-1922/questions.jsonl#L2</x:v>
      </x:c>
      <x:c r="AA2347" s="6" t="str">
        <x:v>swiss_dwellings</x:v>
      </x:c>
      <x:c r="AB2347" s="6" t="str">
        <x:v>CC-BY-4.0</x:v>
      </x:c>
    </x:row>
    <x:row r="2348" ht="72" customHeight="1">
      <x:c r="A2348" s="14" t="n">
        <x:v>2343</x:v>
      </x:c>
      <x:c r="B2348" s="6" t="str">
        <x:v>floor_area_total</x:v>
      </x:c>
      <x:c r="C2348" s="6" t="str">
        <x:v>Facilities want the total floor area of every bedroom on the ground floor added together. How many square metres is that? Finish with a line 'Answer: &lt;number&gt;'.</x:v>
      </x:c>
      <x:c r="D2348" s="6" t="str">
        <x:v>62.01 m2</x:v>
      </x:c>
      <x:c r="E2348" s="6" t="str">
        <x:v>Reference supplied</x:v>
      </x:c>
      <x:c r="F2348" s="6" t="str">
        <x:v>train</x:v>
      </x:c>
      <x:c r="G2348" s="6" t="str">
        <x:v>swiss-1928</x:v>
      </x:c>
      <x:c r="H2348" s="6" t="str">
        <x:v>swiss-1928-H01</x:v>
      </x:c>
      <x:c r="I2348" s="6" t="str">
        <x:v>Area and room selection</x:v>
      </x:c>
      <x:c r="J2348" s="6" t="str">
        <x:v>Benchmark</x:v>
      </x:c>
      <x:c r="K2348" s="6" t="str">
        <x:v>Answer: &lt;one number&gt;</x:v>
      </x:c>
      <x:c r="L2348" s="6" t="str">
        <x:v>T02, T04, T14</x:v>
      </x:c>
      <x:c r="M2348" s="6" t="str">
        <x:v>Sum the floor area of every matching room on one floor.</x:v>
      </x:c>
      <x:c r="N2348" s="6" t="str">
        <x:v>{"type":"number","value":62.01,"unit":"m2","relative_tolerance":0.05,"absolute_tolerance":0}</x:v>
      </x:c>
      <x:c r="O2348" s="6" t="str">
        <x:v>{"floor_id":"swiss-1928-F0","room_type":"bedroom"}</x:v>
      </x:c>
      <x:c r="P2348" s="6" t="str">
        <x:v>Exact target floor and room_type. Polygon area in m².</x:v>
      </x:c>
      <x:c r="Q2348" s="15" t="n">
        <x:v>62.01</x:v>
      </x:c>
      <x:c r="R2348" s="6" t="str">
        <x:v>m2</x:v>
      </x:c>
      <x:c r="S2348" s="16" t="n">
        <x:v>0.05</x:v>
      </x:c>
      <x:c r="T2348" s="15" t="n">
        <x:v>0</x:v>
      </x:c>
      <x:c r="U2348" s="6" t="str">
        <x:v>Answer: 62.01</x:v>
      </x:c>
      <x:c r="V2348" s="6" t="str">
        <x:v>room geometry: summed area</x:v>
      </x:c>
      <x:c r="W2348" s="6" t="str">
        <x:v>Missing polygon-area aggregation tool.</x:v>
      </x:c>
      <x:c r="X2348" s="6" t="str">
        <x:v>data/train/swiss-1928/questions.jsonl</x:v>
      </x:c>
      <x:c r="Y2348" s="14" t="n">
        <x:v>1</x:v>
      </x:c>
      <x:c r="Z2348" s="6" t="str">
        <x:v>https://github.com/hagenhaeussler/Industrial-Agents-Hackathon-2026/blob/f41616590b69f3ea0c1cbfb41d6c35edd9ce53df/data/train/swiss-1928/questions.jsonl#L1</x:v>
      </x:c>
      <x:c r="AA2348" s="6" t="str">
        <x:v>swiss_dwellings</x:v>
      </x:c>
      <x:c r="AB2348" s="6" t="str">
        <x:v>CC-BY-4.0</x:v>
      </x:c>
    </x:row>
    <x:row r="2349" ht="72" customHeight="1">
      <x:c r="A2349" s="14" t="n">
        <x:v>2344</x:v>
      </x:c>
      <x:c r="B2349" s="6" t="str">
        <x:v>floor_area_total</x:v>
      </x:c>
      <x:c r="C2349" s="6" t="str">
        <x:v>Facilities want the total floor area of every bathroom on the floor 1 added together. How many square metres is that? Finish with a line 'Answer: &lt;number&gt;'.</x:v>
      </x:c>
      <x:c r="D2349" s="6" t="str">
        <x:v>15.2 m2</x:v>
      </x:c>
      <x:c r="E2349" s="6" t="str">
        <x:v>Reference supplied</x:v>
      </x:c>
      <x:c r="F2349" s="6" t="str">
        <x:v>train</x:v>
      </x:c>
      <x:c r="G2349" s="6" t="str">
        <x:v>swiss-1936</x:v>
      </x:c>
      <x:c r="H2349" s="6" t="str">
        <x:v>swiss-1936-H02</x:v>
      </x:c>
      <x:c r="I2349" s="6" t="str">
        <x:v>Area and room selection</x:v>
      </x:c>
      <x:c r="J2349" s="6" t="str">
        <x:v>Benchmark</x:v>
      </x:c>
      <x:c r="K2349" s="6" t="str">
        <x:v>Answer: &lt;one number&gt;</x:v>
      </x:c>
      <x:c r="L2349" s="6" t="str">
        <x:v>T02, T04, T14</x:v>
      </x:c>
      <x:c r="M2349" s="6" t="str">
        <x:v>Sum the floor area of every matching room on one floor.</x:v>
      </x:c>
      <x:c r="N2349" s="6" t="str">
        <x:v>{"type":"number","value":15.2,"unit":"m2","relative_tolerance":0.05,"absolute_tolerance":0}</x:v>
      </x:c>
      <x:c r="O2349" s="6" t="str">
        <x:v>{"floor_id":"swiss-1936-F1","room_type":"bathroom"}</x:v>
      </x:c>
      <x:c r="P2349" s="6" t="str">
        <x:v>Exact target floor and room_type. Polygon area in m².</x:v>
      </x:c>
      <x:c r="Q2349" s="15" t="n">
        <x:v>15.2</x:v>
      </x:c>
      <x:c r="R2349" s="6" t="str">
        <x:v>m2</x:v>
      </x:c>
      <x:c r="S2349" s="16" t="n">
        <x:v>0.05</x:v>
      </x:c>
      <x:c r="T2349" s="15" t="n">
        <x:v>0</x:v>
      </x:c>
      <x:c r="U2349" s="6" t="str">
        <x:v>Answer: 15.2</x:v>
      </x:c>
      <x:c r="V2349" s="6" t="str">
        <x:v>room geometry: summed area</x:v>
      </x:c>
      <x:c r="W2349" s="6" t="str">
        <x:v>Missing polygon-area aggregation tool.</x:v>
      </x:c>
      <x:c r="X2349" s="6" t="str">
        <x:v>data/train/swiss-1936/questions.jsonl</x:v>
      </x:c>
      <x:c r="Y2349" s="14" t="n">
        <x:v>2</x:v>
      </x:c>
      <x:c r="Z2349" s="6" t="str">
        <x:v>https://github.com/hagenhaeussler/Industrial-Agents-Hackathon-2026/blob/f41616590b69f3ea0c1cbfb41d6c35edd9ce53df/data/train/swiss-1936/questions.jsonl#L2</x:v>
      </x:c>
      <x:c r="AA2349" s="6" t="str">
        <x:v>swiss_dwellings</x:v>
      </x:c>
      <x:c r="AB2349" s="6" t="str">
        <x:v>CC-BY-4.0</x:v>
      </x:c>
    </x:row>
    <x:row r="2350" ht="72" customHeight="1">
      <x:c r="A2350" s="14" t="n">
        <x:v>2345</x:v>
      </x:c>
      <x:c r="B2350" s="6" t="str">
        <x:v>floor_area_total</x:v>
      </x:c>
      <x:c r="C2350" s="6" t="str">
        <x:v>Facilities want the total floor area of every bathroom on the floor 1 added together. How many square metres is that? Finish with a line 'Answer: &lt;number&gt;'.</x:v>
      </x:c>
      <x:c r="D2350" s="6" t="str">
        <x:v>16.88 m2</x:v>
      </x:c>
      <x:c r="E2350" s="6" t="str">
        <x:v>Reference supplied</x:v>
      </x:c>
      <x:c r="F2350" s="6" t="str">
        <x:v>train</x:v>
      </x:c>
      <x:c r="G2350" s="6" t="str">
        <x:v>swiss-1956</x:v>
      </x:c>
      <x:c r="H2350" s="6" t="str">
        <x:v>swiss-1956-H01</x:v>
      </x:c>
      <x:c r="I2350" s="6" t="str">
        <x:v>Area and room selection</x:v>
      </x:c>
      <x:c r="J2350" s="6" t="str">
        <x:v>Benchmark</x:v>
      </x:c>
      <x:c r="K2350" s="6" t="str">
        <x:v>Answer: &lt;one number&gt;</x:v>
      </x:c>
      <x:c r="L2350" s="6" t="str">
        <x:v>T02, T04, T14</x:v>
      </x:c>
      <x:c r="M2350" s="6" t="str">
        <x:v>Sum the floor area of every matching room on one floor.</x:v>
      </x:c>
      <x:c r="N2350" s="6" t="str">
        <x:v>{"type":"number","value":16.88,"unit":"m2","relative_tolerance":0.05,"absolute_tolerance":0}</x:v>
      </x:c>
      <x:c r="O2350" s="6" t="str">
        <x:v>{"floor_id":"swiss-1956-F1","room_type":"bathroom"}</x:v>
      </x:c>
      <x:c r="P2350" s="6" t="str">
        <x:v>Exact target floor and room_type. Polygon area in m².</x:v>
      </x:c>
      <x:c r="Q2350" s="15" t="n">
        <x:v>16.88</x:v>
      </x:c>
      <x:c r="R2350" s="6" t="str">
        <x:v>m2</x:v>
      </x:c>
      <x:c r="S2350" s="16" t="n">
        <x:v>0.05</x:v>
      </x:c>
      <x:c r="T2350" s="15" t="n">
        <x:v>0</x:v>
      </x:c>
      <x:c r="U2350" s="6" t="str">
        <x:v>Answer: 16.88</x:v>
      </x:c>
      <x:c r="V2350" s="6" t="str">
        <x:v>room geometry: summed area</x:v>
      </x:c>
      <x:c r="W2350" s="6" t="str">
        <x:v>Missing polygon-area aggregation tool.</x:v>
      </x:c>
      <x:c r="X2350" s="6" t="str">
        <x:v>data/train/swiss-1956/questions.jsonl</x:v>
      </x:c>
      <x:c r="Y2350" s="14" t="n">
        <x:v>1</x:v>
      </x:c>
      <x:c r="Z2350" s="6" t="str">
        <x:v>https://github.com/hagenhaeussler/Industrial-Agents-Hackathon-2026/blob/f41616590b69f3ea0c1cbfb41d6c35edd9ce53df/data/train/swiss-1956/questions.jsonl#L1</x:v>
      </x:c>
      <x:c r="AA2350" s="6" t="str">
        <x:v>swiss_dwellings</x:v>
      </x:c>
      <x:c r="AB2350" s="6" t="str">
        <x:v>CC-BY-4.0</x:v>
      </x:c>
    </x:row>
    <x:row r="2351" ht="72" customHeight="1">
      <x:c r="A2351" s="14" t="n">
        <x:v>2346</x:v>
      </x:c>
      <x:c r="B2351" s="6" t="str">
        <x:v>floor_area_total</x:v>
      </x:c>
      <x:c r="C2351" s="6" t="str">
        <x:v>Facilities want the total floor area of every kitchen on the floor 2 added together. How many square metres is that? Finish with a line 'Answer: &lt;number&gt;'.</x:v>
      </x:c>
      <x:c r="D2351" s="6" t="str">
        <x:v>29.03 m2</x:v>
      </x:c>
      <x:c r="E2351" s="6" t="str">
        <x:v>Reference supplied</x:v>
      </x:c>
      <x:c r="F2351" s="6" t="str">
        <x:v>train</x:v>
      </x:c>
      <x:c r="G2351" s="6" t="str">
        <x:v>swiss-1970</x:v>
      </x:c>
      <x:c r="H2351" s="6" t="str">
        <x:v>swiss-1970-H01</x:v>
      </x:c>
      <x:c r="I2351" s="6" t="str">
        <x:v>Area and room selection</x:v>
      </x:c>
      <x:c r="J2351" s="6" t="str">
        <x:v>Benchmark</x:v>
      </x:c>
      <x:c r="K2351" s="6" t="str">
        <x:v>Answer: &lt;one number&gt;</x:v>
      </x:c>
      <x:c r="L2351" s="6" t="str">
        <x:v>T02, T04, T14</x:v>
      </x:c>
      <x:c r="M2351" s="6" t="str">
        <x:v>Sum the floor area of every matching room on one floor.</x:v>
      </x:c>
      <x:c r="N2351" s="6" t="str">
        <x:v>{"type":"number","value":29.03,"unit":"m2","relative_tolerance":0.05,"absolute_tolerance":0}</x:v>
      </x:c>
      <x:c r="O2351" s="6" t="str">
        <x:v>{"floor_id":"swiss-1970-F2","room_type":"kitchen"}</x:v>
      </x:c>
      <x:c r="P2351" s="6" t="str">
        <x:v>Exact target floor and room_type. Polygon area in m².</x:v>
      </x:c>
      <x:c r="Q2351" s="15" t="n">
        <x:v>29.03</x:v>
      </x:c>
      <x:c r="R2351" s="6" t="str">
        <x:v>m2</x:v>
      </x:c>
      <x:c r="S2351" s="16" t="n">
        <x:v>0.05</x:v>
      </x:c>
      <x:c r="T2351" s="15" t="n">
        <x:v>0</x:v>
      </x:c>
      <x:c r="U2351" s="6" t="str">
        <x:v>Answer: 29.03</x:v>
      </x:c>
      <x:c r="V2351" s="6" t="str">
        <x:v>room geometry: summed area</x:v>
      </x:c>
      <x:c r="W2351" s="6" t="str">
        <x:v>Missing polygon-area aggregation tool.</x:v>
      </x:c>
      <x:c r="X2351" s="6" t="str">
        <x:v>data/train/swiss-1970/questions.jsonl</x:v>
      </x:c>
      <x:c r="Y2351" s="14" t="n">
        <x:v>1</x:v>
      </x:c>
      <x:c r="Z2351" s="6" t="str">
        <x:v>https://github.com/hagenhaeussler/Industrial-Agents-Hackathon-2026/blob/f41616590b69f3ea0c1cbfb41d6c35edd9ce53df/data/train/swiss-1970/questions.jsonl#L1</x:v>
      </x:c>
      <x:c r="AA2351" s="6" t="str">
        <x:v>swiss_dwellings</x:v>
      </x:c>
      <x:c r="AB2351" s="6" t="str">
        <x:v>CC-BY-4.0</x:v>
      </x:c>
    </x:row>
    <x:row r="2352" ht="72" customHeight="1">
      <x:c r="A2352" s="14" t="n">
        <x:v>2347</x:v>
      </x:c>
      <x:c r="B2352" s="6" t="str">
        <x:v>floor_area_total</x:v>
      </x:c>
      <x:c r="C2352" s="6" t="str">
        <x:v>Facilities want the total floor area of every bedroom on the floor 4 added together. How many square metres is that? Finish with a line 'Answer: &lt;number&gt;'.</x:v>
      </x:c>
      <x:c r="D2352" s="6" t="str">
        <x:v>119.69 m2</x:v>
      </x:c>
      <x:c r="E2352" s="6" t="str">
        <x:v>Reference supplied</x:v>
      </x:c>
      <x:c r="F2352" s="6" t="str">
        <x:v>train</x:v>
      </x:c>
      <x:c r="G2352" s="6" t="str">
        <x:v>swiss-2049</x:v>
      </x:c>
      <x:c r="H2352" s="6" t="str">
        <x:v>swiss-2049-H01</x:v>
      </x:c>
      <x:c r="I2352" s="6" t="str">
        <x:v>Area and room selection</x:v>
      </x:c>
      <x:c r="J2352" s="6" t="str">
        <x:v>Benchmark</x:v>
      </x:c>
      <x:c r="K2352" s="6" t="str">
        <x:v>Answer: &lt;one number&gt;</x:v>
      </x:c>
      <x:c r="L2352" s="6" t="str">
        <x:v>T02, T04, T14</x:v>
      </x:c>
      <x:c r="M2352" s="6" t="str">
        <x:v>Sum the floor area of every matching room on one floor.</x:v>
      </x:c>
      <x:c r="N2352" s="6" t="str">
        <x:v>{"type":"number","value":119.69,"unit":"m2","relative_tolerance":0.05,"absolute_tolerance":0}</x:v>
      </x:c>
      <x:c r="O2352" s="6" t="str">
        <x:v>{"floor_id":"swiss-2049-F4","room_type":"bedroom"}</x:v>
      </x:c>
      <x:c r="P2352" s="6" t="str">
        <x:v>Exact target floor and room_type. Polygon area in m².</x:v>
      </x:c>
      <x:c r="Q2352" s="15" t="n">
        <x:v>119.69</x:v>
      </x:c>
      <x:c r="R2352" s="6" t="str">
        <x:v>m2</x:v>
      </x:c>
      <x:c r="S2352" s="16" t="n">
        <x:v>0.05</x:v>
      </x:c>
      <x:c r="T2352" s="15" t="n">
        <x:v>0</x:v>
      </x:c>
      <x:c r="U2352" s="6" t="str">
        <x:v>Answer: 119.69</x:v>
      </x:c>
      <x:c r="V2352" s="6" t="str">
        <x:v>room geometry: summed area</x:v>
      </x:c>
      <x:c r="W2352" s="6" t="str">
        <x:v>Missing polygon-area aggregation tool.</x:v>
      </x:c>
      <x:c r="X2352" s="6" t="str">
        <x:v>data/train/swiss-2049/questions.jsonl</x:v>
      </x:c>
      <x:c r="Y2352" s="14" t="n">
        <x:v>1</x:v>
      </x:c>
      <x:c r="Z2352" s="6" t="str">
        <x:v>https://github.com/hagenhaeussler/Industrial-Agents-Hackathon-2026/blob/f41616590b69f3ea0c1cbfb41d6c35edd9ce53df/data/train/swiss-2049/questions.jsonl#L1</x:v>
      </x:c>
      <x:c r="AA2352" s="6" t="str">
        <x:v>swiss_dwellings</x:v>
      </x:c>
      <x:c r="AB2352" s="6" t="str">
        <x:v>CC-BY-4.0</x:v>
      </x:c>
    </x:row>
    <x:row r="2353" ht="72" customHeight="1">
      <x:c r="A2353" s="14" t="n">
        <x:v>2348</x:v>
      </x:c>
      <x:c r="B2353" s="6" t="str">
        <x:v>floor_area_total</x:v>
      </x:c>
      <x:c r="C2353" s="6" t="str">
        <x:v>Facilities want the total floor area of every bedroom on the floor 1 added together. How many square metres is that? Finish with a line 'Answer: &lt;number&gt;'.</x:v>
      </x:c>
      <x:c r="D2353" s="6" t="str">
        <x:v>179.33 m2</x:v>
      </x:c>
      <x:c r="E2353" s="6" t="str">
        <x:v>Reference supplied</x:v>
      </x:c>
      <x:c r="F2353" s="6" t="str">
        <x:v>train</x:v>
      </x:c>
      <x:c r="G2353" s="6" t="str">
        <x:v>swiss-2084</x:v>
      </x:c>
      <x:c r="H2353" s="6" t="str">
        <x:v>swiss-2084-H02</x:v>
      </x:c>
      <x:c r="I2353" s="6" t="str">
        <x:v>Area and room selection</x:v>
      </x:c>
      <x:c r="J2353" s="6" t="str">
        <x:v>Benchmark</x:v>
      </x:c>
      <x:c r="K2353" s="6" t="str">
        <x:v>Answer: &lt;one number&gt;</x:v>
      </x:c>
      <x:c r="L2353" s="6" t="str">
        <x:v>T02, T04, T14</x:v>
      </x:c>
      <x:c r="M2353" s="6" t="str">
        <x:v>Sum the floor area of every matching room on one floor.</x:v>
      </x:c>
      <x:c r="N2353" s="6" t="str">
        <x:v>{"type":"number","value":179.33,"unit":"m2","relative_tolerance":0.05,"absolute_tolerance":0}</x:v>
      </x:c>
      <x:c r="O2353" s="6" t="str">
        <x:v>{"floor_id":"swiss-2084-F1","room_type":"bedroom"}</x:v>
      </x:c>
      <x:c r="P2353" s="6" t="str">
        <x:v>Exact target floor and room_type. Polygon area in m².</x:v>
      </x:c>
      <x:c r="Q2353" s="15" t="n">
        <x:v>179.33</x:v>
      </x:c>
      <x:c r="R2353" s="6" t="str">
        <x:v>m2</x:v>
      </x:c>
      <x:c r="S2353" s="16" t="n">
        <x:v>0.05</x:v>
      </x:c>
      <x:c r="T2353" s="15" t="n">
        <x:v>0</x:v>
      </x:c>
      <x:c r="U2353" s="6" t="str">
        <x:v>Answer: 179.33</x:v>
      </x:c>
      <x:c r="V2353" s="6" t="str">
        <x:v>room geometry: summed area</x:v>
      </x:c>
      <x:c r="W2353" s="6" t="str">
        <x:v>Missing polygon-area aggregation tool.</x:v>
      </x:c>
      <x:c r="X2353" s="6" t="str">
        <x:v>data/train/swiss-2084/questions.jsonl</x:v>
      </x:c>
      <x:c r="Y2353" s="14" t="n">
        <x:v>2</x:v>
      </x:c>
      <x:c r="Z2353" s="6" t="str">
        <x:v>https://github.com/hagenhaeussler/Industrial-Agents-Hackathon-2026/blob/f41616590b69f3ea0c1cbfb41d6c35edd9ce53df/data/train/swiss-2084/questions.jsonl#L2</x:v>
      </x:c>
      <x:c r="AA2353" s="6" t="str">
        <x:v>swiss_dwellings</x:v>
      </x:c>
      <x:c r="AB2353" s="6" t="str">
        <x:v>CC-BY-4.0</x:v>
      </x:c>
    </x:row>
    <x:row r="2354" ht="72" customHeight="1">
      <x:c r="A2354" s="14" t="n">
        <x:v>2349</x:v>
      </x:c>
      <x:c r="B2354" s="6" t="str">
        <x:v>floor_area_total</x:v>
      </x:c>
      <x:c r="C2354" s="6" t="str">
        <x:v>Facilities want the total floor area of every storage on the ground floor added together. How many square metres is that? Finish with a line 'Answer: &lt;number&gt;'.</x:v>
      </x:c>
      <x:c r="D2354" s="6" t="str">
        <x:v>6.97 m2</x:v>
      </x:c>
      <x:c r="E2354" s="6" t="str">
        <x:v>Reference supplied</x:v>
      </x:c>
      <x:c r="F2354" s="6" t="str">
        <x:v>train</x:v>
      </x:c>
      <x:c r="G2354" s="6" t="str">
        <x:v>swiss-210</x:v>
      </x:c>
      <x:c r="H2354" s="6" t="str">
        <x:v>swiss-210-H02</x:v>
      </x:c>
      <x:c r="I2354" s="6" t="str">
        <x:v>Area and room selection</x:v>
      </x:c>
      <x:c r="J2354" s="6" t="str">
        <x:v>Benchmark</x:v>
      </x:c>
      <x:c r="K2354" s="6" t="str">
        <x:v>Answer: &lt;one number&gt;</x:v>
      </x:c>
      <x:c r="L2354" s="6" t="str">
        <x:v>T02, T04, T14</x:v>
      </x:c>
      <x:c r="M2354" s="6" t="str">
        <x:v>Sum the floor area of every matching room on one floor.</x:v>
      </x:c>
      <x:c r="N2354" s="6" t="str">
        <x:v>{"type":"number","value":6.97,"unit":"m2","relative_tolerance":0.05,"absolute_tolerance":0}</x:v>
      </x:c>
      <x:c r="O2354" s="6" t="str">
        <x:v>{"floor_id":"swiss-210-F0","room_type":"storage"}</x:v>
      </x:c>
      <x:c r="P2354" s="6" t="str">
        <x:v>Exact target floor and room_type. Polygon area in m².</x:v>
      </x:c>
      <x:c r="Q2354" s="15" t="n">
        <x:v>6.97</x:v>
      </x:c>
      <x:c r="R2354" s="6" t="str">
        <x:v>m2</x:v>
      </x:c>
      <x:c r="S2354" s="16" t="n">
        <x:v>0.05</x:v>
      </x:c>
      <x:c r="T2354" s="15" t="n">
        <x:v>0</x:v>
      </x:c>
      <x:c r="U2354" s="6" t="str">
        <x:v>Answer: 6.97</x:v>
      </x:c>
      <x:c r="V2354" s="6" t="str">
        <x:v>room geometry: summed area</x:v>
      </x:c>
      <x:c r="W2354" s="6" t="str">
        <x:v>Missing polygon-area aggregation tool.</x:v>
      </x:c>
      <x:c r="X2354" s="6" t="str">
        <x:v>data/train/swiss-210/questions.jsonl</x:v>
      </x:c>
      <x:c r="Y2354" s="14" t="n">
        <x:v>2</x:v>
      </x:c>
      <x:c r="Z2354" s="6" t="str">
        <x:v>https://github.com/hagenhaeussler/Industrial-Agents-Hackathon-2026/blob/f41616590b69f3ea0c1cbfb41d6c35edd9ce53df/data/train/swiss-210/questions.jsonl#L2</x:v>
      </x:c>
      <x:c r="AA2354" s="6" t="str">
        <x:v>swiss_dwellings</x:v>
      </x:c>
      <x:c r="AB2354" s="6" t="str">
        <x:v>CC-BY-4.0</x:v>
      </x:c>
    </x:row>
    <x:row r="2355" ht="72" customHeight="1">
      <x:c r="A2355" s="14" t="n">
        <x:v>2350</x:v>
      </x:c>
      <x:c r="B2355" s="6" t="str">
        <x:v>floor_area_total</x:v>
      </x:c>
      <x:c r="C2355" s="6" t="str">
        <x:v>Facilities want the total floor area of every living room on the floor 3 added together. How many square metres is that? Finish with a line 'Answer: &lt;number&gt;'.</x:v>
      </x:c>
      <x:c r="D2355" s="6" t="str">
        <x:v>51.27 m2</x:v>
      </x:c>
      <x:c r="E2355" s="6" t="str">
        <x:v>Reference supplied</x:v>
      </x:c>
      <x:c r="F2355" s="6" t="str">
        <x:v>train</x:v>
      </x:c>
      <x:c r="G2355" s="6" t="str">
        <x:v>swiss-22</x:v>
      </x:c>
      <x:c r="H2355" s="6" t="str">
        <x:v>swiss-22-H01</x:v>
      </x:c>
      <x:c r="I2355" s="6" t="str">
        <x:v>Area and room selection</x:v>
      </x:c>
      <x:c r="J2355" s="6" t="str">
        <x:v>Benchmark</x:v>
      </x:c>
      <x:c r="K2355" s="6" t="str">
        <x:v>Answer: &lt;one number&gt;</x:v>
      </x:c>
      <x:c r="L2355" s="6" t="str">
        <x:v>T02, T04, T14</x:v>
      </x:c>
      <x:c r="M2355" s="6" t="str">
        <x:v>Sum the floor area of every matching room on one floor.</x:v>
      </x:c>
      <x:c r="N2355" s="6" t="str">
        <x:v>{"type":"number","value":51.27,"unit":"m2","relative_tolerance":0.05,"absolute_tolerance":0}</x:v>
      </x:c>
      <x:c r="O2355" s="6" t="str">
        <x:v>{"floor_id":"swiss-22-F3","room_type":"living_room"}</x:v>
      </x:c>
      <x:c r="P2355" s="6" t="str">
        <x:v>Exact target floor and room_type. Polygon area in m².</x:v>
      </x:c>
      <x:c r="Q2355" s="15" t="n">
        <x:v>51.27</x:v>
      </x:c>
      <x:c r="R2355" s="6" t="str">
        <x:v>m2</x:v>
      </x:c>
      <x:c r="S2355" s="16" t="n">
        <x:v>0.05</x:v>
      </x:c>
      <x:c r="T2355" s="15" t="n">
        <x:v>0</x:v>
      </x:c>
      <x:c r="U2355" s="6" t="str">
        <x:v>Answer: 51.27</x:v>
      </x:c>
      <x:c r="V2355" s="6" t="str">
        <x:v>room geometry: summed area</x:v>
      </x:c>
      <x:c r="W2355" s="6" t="str">
        <x:v>Missing polygon-area aggregation tool.</x:v>
      </x:c>
      <x:c r="X2355" s="6" t="str">
        <x:v>data/train/swiss-22/questions.jsonl</x:v>
      </x:c>
      <x:c r="Y2355" s="14" t="n">
        <x:v>1</x:v>
      </x:c>
      <x:c r="Z2355" s="6" t="str">
        <x:v>https://github.com/hagenhaeussler/Industrial-Agents-Hackathon-2026/blob/f41616590b69f3ea0c1cbfb41d6c35edd9ce53df/data/train/swiss-22/questions.jsonl#L1</x:v>
      </x:c>
      <x:c r="AA2355" s="6" t="str">
        <x:v>swiss_dwellings</x:v>
      </x:c>
      <x:c r="AB2355" s="6" t="str">
        <x:v>CC-BY-4.0</x:v>
      </x:c>
    </x:row>
    <x:row r="2356" ht="72" customHeight="1">
      <x:c r="A2356" s="14" t="n">
        <x:v>2351</x:v>
      </x:c>
      <x:c r="B2356" s="6" t="str">
        <x:v>floor_area_total</x:v>
      </x:c>
      <x:c r="C2356" s="6" t="str">
        <x:v>Facilities want the total floor area of every living room on the ground floor added together. How many square metres is that? Finish with a line 'Answer: &lt;number&gt;'.</x:v>
      </x:c>
      <x:c r="D2356" s="6" t="str">
        <x:v>166.53 m2</x:v>
      </x:c>
      <x:c r="E2356" s="6" t="str">
        <x:v>Reference supplied</x:v>
      </x:c>
      <x:c r="F2356" s="6" t="str">
        <x:v>train</x:v>
      </x:c>
      <x:c r="G2356" s="6" t="str">
        <x:v>swiss-2214</x:v>
      </x:c>
      <x:c r="H2356" s="6" t="str">
        <x:v>swiss-2214-H02</x:v>
      </x:c>
      <x:c r="I2356" s="6" t="str">
        <x:v>Area and room selection</x:v>
      </x:c>
      <x:c r="J2356" s="6" t="str">
        <x:v>Benchmark</x:v>
      </x:c>
      <x:c r="K2356" s="6" t="str">
        <x:v>Answer: &lt;one number&gt;</x:v>
      </x:c>
      <x:c r="L2356" s="6" t="str">
        <x:v>T02, T04, T14</x:v>
      </x:c>
      <x:c r="M2356" s="6" t="str">
        <x:v>Sum the floor area of every matching room on one floor.</x:v>
      </x:c>
      <x:c r="N2356" s="6" t="str">
        <x:v>{"type":"number","value":166.53,"unit":"m2","relative_tolerance":0.05,"absolute_tolerance":0}</x:v>
      </x:c>
      <x:c r="O2356" s="6" t="str">
        <x:v>{"floor_id":"swiss-2214-F0","room_type":"living_room"}</x:v>
      </x:c>
      <x:c r="P2356" s="6" t="str">
        <x:v>Exact target floor and room_type. Polygon area in m².</x:v>
      </x:c>
      <x:c r="Q2356" s="15" t="n">
        <x:v>166.53</x:v>
      </x:c>
      <x:c r="R2356" s="6" t="str">
        <x:v>m2</x:v>
      </x:c>
      <x:c r="S2356" s="16" t="n">
        <x:v>0.05</x:v>
      </x:c>
      <x:c r="T2356" s="15" t="n">
        <x:v>0</x:v>
      </x:c>
      <x:c r="U2356" s="6" t="str">
        <x:v>Answer: 166.53</x:v>
      </x:c>
      <x:c r="V2356" s="6" t="str">
        <x:v>room geometry: summed area</x:v>
      </x:c>
      <x:c r="W2356" s="6" t="str">
        <x:v>Missing polygon-area aggregation tool.</x:v>
      </x:c>
      <x:c r="X2356" s="6" t="str">
        <x:v>data/train/swiss-2214/questions.jsonl</x:v>
      </x:c>
      <x:c r="Y2356" s="14" t="n">
        <x:v>2</x:v>
      </x:c>
      <x:c r="Z2356" s="6" t="str">
        <x:v>https://github.com/hagenhaeussler/Industrial-Agents-Hackathon-2026/blob/f41616590b69f3ea0c1cbfb41d6c35edd9ce53df/data/train/swiss-2214/questions.jsonl#L2</x:v>
      </x:c>
      <x:c r="AA2356" s="6" t="str">
        <x:v>swiss_dwellings</x:v>
      </x:c>
      <x:c r="AB2356" s="6" t="str">
        <x:v>CC-BY-4.0</x:v>
      </x:c>
    </x:row>
    <x:row r="2357" ht="72" customHeight="1">
      <x:c r="A2357" s="14" t="n">
        <x:v>2352</x:v>
      </x:c>
      <x:c r="B2357" s="6" t="str">
        <x:v>floor_area_total</x:v>
      </x:c>
      <x:c r="C2357" s="6" t="str">
        <x:v>Facilities want the total floor area of every kitchen on the floor 3 added together. How many square metres is that? Finish with a line 'Answer: &lt;number&gt;'.</x:v>
      </x:c>
      <x:c r="D2357" s="6" t="str">
        <x:v>33.61 m2</x:v>
      </x:c>
      <x:c r="E2357" s="6" t="str">
        <x:v>Reference supplied</x:v>
      </x:c>
      <x:c r="F2357" s="6" t="str">
        <x:v>train</x:v>
      </x:c>
      <x:c r="G2357" s="6" t="str">
        <x:v>swiss-2216</x:v>
      </x:c>
      <x:c r="H2357" s="6" t="str">
        <x:v>swiss-2216-H02</x:v>
      </x:c>
      <x:c r="I2357" s="6" t="str">
        <x:v>Area and room selection</x:v>
      </x:c>
      <x:c r="J2357" s="6" t="str">
        <x:v>Benchmark</x:v>
      </x:c>
      <x:c r="K2357" s="6" t="str">
        <x:v>Answer: &lt;one number&gt;</x:v>
      </x:c>
      <x:c r="L2357" s="6" t="str">
        <x:v>T02, T04, T14</x:v>
      </x:c>
      <x:c r="M2357" s="6" t="str">
        <x:v>Sum the floor area of every matching room on one floor.</x:v>
      </x:c>
      <x:c r="N2357" s="6" t="str">
        <x:v>{"type":"number","value":33.61,"unit":"m2","relative_tolerance":0.05,"absolute_tolerance":0}</x:v>
      </x:c>
      <x:c r="O2357" s="6" t="str">
        <x:v>{"floor_id":"swiss-2216-F3","room_type":"kitchen"}</x:v>
      </x:c>
      <x:c r="P2357" s="6" t="str">
        <x:v>Exact target floor and room_type. Polygon area in m².</x:v>
      </x:c>
      <x:c r="Q2357" s="15" t="n">
        <x:v>33.61</x:v>
      </x:c>
      <x:c r="R2357" s="6" t="str">
        <x:v>m2</x:v>
      </x:c>
      <x:c r="S2357" s="16" t="n">
        <x:v>0.05</x:v>
      </x:c>
      <x:c r="T2357" s="15" t="n">
        <x:v>0</x:v>
      </x:c>
      <x:c r="U2357" s="6" t="str">
        <x:v>Answer: 33.61</x:v>
      </x:c>
      <x:c r="V2357" s="6" t="str">
        <x:v>room geometry: summed area</x:v>
      </x:c>
      <x:c r="W2357" s="6" t="str">
        <x:v>Missing polygon-area aggregation tool.</x:v>
      </x:c>
      <x:c r="X2357" s="6" t="str">
        <x:v>data/train/swiss-2216/questions.jsonl</x:v>
      </x:c>
      <x:c r="Y2357" s="14" t="n">
        <x:v>2</x:v>
      </x:c>
      <x:c r="Z2357" s="6" t="str">
        <x:v>https://github.com/hagenhaeussler/Industrial-Agents-Hackathon-2026/blob/f41616590b69f3ea0c1cbfb41d6c35edd9ce53df/data/train/swiss-2216/questions.jsonl#L2</x:v>
      </x:c>
      <x:c r="AA2357" s="6" t="str">
        <x:v>swiss_dwellings</x:v>
      </x:c>
      <x:c r="AB2357" s="6" t="str">
        <x:v>CC-BY-4.0</x:v>
      </x:c>
    </x:row>
    <x:row r="2358" ht="72" customHeight="1">
      <x:c r="A2358" s="14" t="n">
        <x:v>2353</x:v>
      </x:c>
      <x:c r="B2358" s="6" t="str">
        <x:v>floor_area_total</x:v>
      </x:c>
      <x:c r="C2358" s="6" t="str">
        <x:v>Facilities want the total floor area of every bedroom on the floor 3 added together. How many square metres is that? Finish with a line 'Answer: &lt;number&gt;'.</x:v>
      </x:c>
      <x:c r="D2358" s="6" t="str">
        <x:v>104.19 m2</x:v>
      </x:c>
      <x:c r="E2358" s="6" t="str">
        <x:v>Reference supplied</x:v>
      </x:c>
      <x:c r="F2358" s="6" t="str">
        <x:v>train</x:v>
      </x:c>
      <x:c r="G2358" s="6" t="str">
        <x:v>swiss-2221</x:v>
      </x:c>
      <x:c r="H2358" s="6" t="str">
        <x:v>swiss-2221-H02</x:v>
      </x:c>
      <x:c r="I2358" s="6" t="str">
        <x:v>Area and room selection</x:v>
      </x:c>
      <x:c r="J2358" s="6" t="str">
        <x:v>Benchmark</x:v>
      </x:c>
      <x:c r="K2358" s="6" t="str">
        <x:v>Answer: &lt;one number&gt;</x:v>
      </x:c>
      <x:c r="L2358" s="6" t="str">
        <x:v>T02, T04, T14</x:v>
      </x:c>
      <x:c r="M2358" s="6" t="str">
        <x:v>Sum the floor area of every matching room on one floor.</x:v>
      </x:c>
      <x:c r="N2358" s="6" t="str">
        <x:v>{"type":"number","value":104.19,"unit":"m2","relative_tolerance":0.05,"absolute_tolerance":0}</x:v>
      </x:c>
      <x:c r="O2358" s="6" t="str">
        <x:v>{"floor_id":"swiss-2221-F3","room_type":"bedroom"}</x:v>
      </x:c>
      <x:c r="P2358" s="6" t="str">
        <x:v>Exact target floor and room_type. Polygon area in m².</x:v>
      </x:c>
      <x:c r="Q2358" s="15" t="n">
        <x:v>104.19</x:v>
      </x:c>
      <x:c r="R2358" s="6" t="str">
        <x:v>m2</x:v>
      </x:c>
      <x:c r="S2358" s="16" t="n">
        <x:v>0.05</x:v>
      </x:c>
      <x:c r="T2358" s="15" t="n">
        <x:v>0</x:v>
      </x:c>
      <x:c r="U2358" s="6" t="str">
        <x:v>Answer: 104.19</x:v>
      </x:c>
      <x:c r="V2358" s="6" t="str">
        <x:v>room geometry: summed area</x:v>
      </x:c>
      <x:c r="W2358" s="6" t="str">
        <x:v>Missing polygon-area aggregation tool.</x:v>
      </x:c>
      <x:c r="X2358" s="6" t="str">
        <x:v>data/train/swiss-2221/questions.jsonl</x:v>
      </x:c>
      <x:c r="Y2358" s="14" t="n">
        <x:v>2</x:v>
      </x:c>
      <x:c r="Z2358" s="6" t="str">
        <x:v>https://github.com/hagenhaeussler/Industrial-Agents-Hackathon-2026/blob/f41616590b69f3ea0c1cbfb41d6c35edd9ce53df/data/train/swiss-2221/questions.jsonl#L2</x:v>
      </x:c>
      <x:c r="AA2358" s="6" t="str">
        <x:v>swiss_dwellings</x:v>
      </x:c>
      <x:c r="AB2358" s="6" t="str">
        <x:v>CC-BY-4.0</x:v>
      </x:c>
    </x:row>
    <x:row r="2359" ht="72" customHeight="1">
      <x:c r="A2359" s="14" t="n">
        <x:v>2354</x:v>
      </x:c>
      <x:c r="B2359" s="6" t="str">
        <x:v>floor_area_total</x:v>
      </x:c>
      <x:c r="C2359" s="6" t="str">
        <x:v>Facilities want the total floor area of every kitchen on the floor 2 added together. How many square metres is that? Finish with a line 'Answer: &lt;number&gt;'.</x:v>
      </x:c>
      <x:c r="D2359" s="6" t="str">
        <x:v>39.75 m2</x:v>
      </x:c>
      <x:c r="E2359" s="6" t="str">
        <x:v>Reference supplied</x:v>
      </x:c>
      <x:c r="F2359" s="6" t="str">
        <x:v>train</x:v>
      </x:c>
      <x:c r="G2359" s="6" t="str">
        <x:v>swiss-2235</x:v>
      </x:c>
      <x:c r="H2359" s="6" t="str">
        <x:v>swiss-2235-H01</x:v>
      </x:c>
      <x:c r="I2359" s="6" t="str">
        <x:v>Area and room selection</x:v>
      </x:c>
      <x:c r="J2359" s="6" t="str">
        <x:v>Benchmark</x:v>
      </x:c>
      <x:c r="K2359" s="6" t="str">
        <x:v>Answer: &lt;one number&gt;</x:v>
      </x:c>
      <x:c r="L2359" s="6" t="str">
        <x:v>T02, T04, T14</x:v>
      </x:c>
      <x:c r="M2359" s="6" t="str">
        <x:v>Sum the floor area of every matching room on one floor.</x:v>
      </x:c>
      <x:c r="N2359" s="6" t="str">
        <x:v>{"type":"number","value":39.75,"unit":"m2","relative_tolerance":0.05,"absolute_tolerance":0}</x:v>
      </x:c>
      <x:c r="O2359" s="6" t="str">
        <x:v>{"floor_id":"swiss-2235-F2","room_type":"kitchen"}</x:v>
      </x:c>
      <x:c r="P2359" s="6" t="str">
        <x:v>Exact target floor and room_type. Polygon area in m².</x:v>
      </x:c>
      <x:c r="Q2359" s="15" t="n">
        <x:v>39.75</x:v>
      </x:c>
      <x:c r="R2359" s="6" t="str">
        <x:v>m2</x:v>
      </x:c>
      <x:c r="S2359" s="16" t="n">
        <x:v>0.05</x:v>
      </x:c>
      <x:c r="T2359" s="15" t="n">
        <x:v>0</x:v>
      </x:c>
      <x:c r="U2359" s="6" t="str">
        <x:v>Answer: 39.75</x:v>
      </x:c>
      <x:c r="V2359" s="6" t="str">
        <x:v>room geometry: summed area</x:v>
      </x:c>
      <x:c r="W2359" s="6" t="str">
        <x:v>Missing polygon-area aggregation tool.</x:v>
      </x:c>
      <x:c r="X2359" s="6" t="str">
        <x:v>data/train/swiss-2235/questions.jsonl</x:v>
      </x:c>
      <x:c r="Y2359" s="14" t="n">
        <x:v>1</x:v>
      </x:c>
      <x:c r="Z2359" s="6" t="str">
        <x:v>https://github.com/hagenhaeussler/Industrial-Agents-Hackathon-2026/blob/f41616590b69f3ea0c1cbfb41d6c35edd9ce53df/data/train/swiss-2235/questions.jsonl#L1</x:v>
      </x:c>
      <x:c r="AA2359" s="6" t="str">
        <x:v>swiss_dwellings</x:v>
      </x:c>
      <x:c r="AB2359" s="6" t="str">
        <x:v>CC-BY-4.0</x:v>
      </x:c>
    </x:row>
    <x:row r="2360" ht="72" customHeight="1">
      <x:c r="A2360" s="14" t="n">
        <x:v>2355</x:v>
      </x:c>
      <x:c r="B2360" s="6" t="str">
        <x:v>floor_area_total</x:v>
      </x:c>
      <x:c r="C2360" s="6" t="str">
        <x:v>Facilities want the total floor area of every kitchen on the floor 2 added together. How many square metres is that? Finish with a line 'Answer: &lt;number&gt;'.</x:v>
      </x:c>
      <x:c r="D2360" s="6" t="str">
        <x:v>41.84 m2</x:v>
      </x:c>
      <x:c r="E2360" s="6" t="str">
        <x:v>Reference supplied</x:v>
      </x:c>
      <x:c r="F2360" s="6" t="str">
        <x:v>train</x:v>
      </x:c>
      <x:c r="G2360" s="6" t="str">
        <x:v>swiss-2274</x:v>
      </x:c>
      <x:c r="H2360" s="6" t="str">
        <x:v>swiss-2274-H02</x:v>
      </x:c>
      <x:c r="I2360" s="6" t="str">
        <x:v>Area and room selection</x:v>
      </x:c>
      <x:c r="J2360" s="6" t="str">
        <x:v>Benchmark</x:v>
      </x:c>
      <x:c r="K2360" s="6" t="str">
        <x:v>Answer: &lt;one number&gt;</x:v>
      </x:c>
      <x:c r="L2360" s="6" t="str">
        <x:v>T02, T04, T14</x:v>
      </x:c>
      <x:c r="M2360" s="6" t="str">
        <x:v>Sum the floor area of every matching room on one floor.</x:v>
      </x:c>
      <x:c r="N2360" s="6" t="str">
        <x:v>{"type":"number","value":41.84,"unit":"m2","relative_tolerance":0.05,"absolute_tolerance":0}</x:v>
      </x:c>
      <x:c r="O2360" s="6" t="str">
        <x:v>{"floor_id":"swiss-2274-F2","room_type":"kitchen"}</x:v>
      </x:c>
      <x:c r="P2360" s="6" t="str">
        <x:v>Exact target floor and room_type. Polygon area in m².</x:v>
      </x:c>
      <x:c r="Q2360" s="15" t="n">
        <x:v>41.84</x:v>
      </x:c>
      <x:c r="R2360" s="6" t="str">
        <x:v>m2</x:v>
      </x:c>
      <x:c r="S2360" s="16" t="n">
        <x:v>0.05</x:v>
      </x:c>
      <x:c r="T2360" s="15" t="n">
        <x:v>0</x:v>
      </x:c>
      <x:c r="U2360" s="6" t="str">
        <x:v>Answer: 41.84</x:v>
      </x:c>
      <x:c r="V2360" s="6" t="str">
        <x:v>room geometry: summed area</x:v>
      </x:c>
      <x:c r="W2360" s="6" t="str">
        <x:v>Missing polygon-area aggregation tool.</x:v>
      </x:c>
      <x:c r="X2360" s="6" t="str">
        <x:v>data/train/swiss-2274/questions.jsonl</x:v>
      </x:c>
      <x:c r="Y2360" s="14" t="n">
        <x:v>2</x:v>
      </x:c>
      <x:c r="Z2360" s="6" t="str">
        <x:v>https://github.com/hagenhaeussler/Industrial-Agents-Hackathon-2026/blob/f41616590b69f3ea0c1cbfb41d6c35edd9ce53df/data/train/swiss-2274/questions.jsonl#L2</x:v>
      </x:c>
      <x:c r="AA2360" s="6" t="str">
        <x:v>swiss_dwellings</x:v>
      </x:c>
      <x:c r="AB2360" s="6" t="str">
        <x:v>CC-BY-4.0</x:v>
      </x:c>
    </x:row>
    <x:row r="2361" ht="72" customHeight="1">
      <x:c r="A2361" s="14" t="n">
        <x:v>2356</x:v>
      </x:c>
      <x:c r="B2361" s="6" t="str">
        <x:v>floor_area_total</x:v>
      </x:c>
      <x:c r="C2361" s="6" t="str">
        <x:v>Facilities want the total floor area of every bathroom on the ground floor added together. How many square metres is that? Finish with a line 'Answer: &lt;number&gt;'.</x:v>
      </x:c>
      <x:c r="D2361" s="6" t="str">
        <x:v>24.66 m2</x:v>
      </x:c>
      <x:c r="E2361" s="6" t="str">
        <x:v>Reference supplied</x:v>
      </x:c>
      <x:c r="F2361" s="6" t="str">
        <x:v>train</x:v>
      </x:c>
      <x:c r="G2361" s="6" t="str">
        <x:v>swiss-2314</x:v>
      </x:c>
      <x:c r="H2361" s="6" t="str">
        <x:v>swiss-2314-H02</x:v>
      </x:c>
      <x:c r="I2361" s="6" t="str">
        <x:v>Area and room selection</x:v>
      </x:c>
      <x:c r="J2361" s="6" t="str">
        <x:v>Benchmark</x:v>
      </x:c>
      <x:c r="K2361" s="6" t="str">
        <x:v>Answer: &lt;one number&gt;</x:v>
      </x:c>
      <x:c r="L2361" s="6" t="str">
        <x:v>T02, T04, T14</x:v>
      </x:c>
      <x:c r="M2361" s="6" t="str">
        <x:v>Sum the floor area of every matching room on one floor.</x:v>
      </x:c>
      <x:c r="N2361" s="6" t="str">
        <x:v>{"type":"number","value":24.66,"unit":"m2","relative_tolerance":0.05,"absolute_tolerance":0}</x:v>
      </x:c>
      <x:c r="O2361" s="6" t="str">
        <x:v>{"floor_id":"swiss-2314-F0","room_type":"bathroom"}</x:v>
      </x:c>
      <x:c r="P2361" s="6" t="str">
        <x:v>Exact target floor and room_type. Polygon area in m².</x:v>
      </x:c>
      <x:c r="Q2361" s="15" t="n">
        <x:v>24.66</x:v>
      </x:c>
      <x:c r="R2361" s="6" t="str">
        <x:v>m2</x:v>
      </x:c>
      <x:c r="S2361" s="16" t="n">
        <x:v>0.05</x:v>
      </x:c>
      <x:c r="T2361" s="15" t="n">
        <x:v>0</x:v>
      </x:c>
      <x:c r="U2361" s="6" t="str">
        <x:v>Answer: 24.66</x:v>
      </x:c>
      <x:c r="V2361" s="6" t="str">
        <x:v>room geometry: summed area</x:v>
      </x:c>
      <x:c r="W2361" s="6" t="str">
        <x:v>Missing polygon-area aggregation tool.</x:v>
      </x:c>
      <x:c r="X2361" s="6" t="str">
        <x:v>data/train/swiss-2314/questions.jsonl</x:v>
      </x:c>
      <x:c r="Y2361" s="14" t="n">
        <x:v>2</x:v>
      </x:c>
      <x:c r="Z2361" s="6" t="str">
        <x:v>https://github.com/hagenhaeussler/Industrial-Agents-Hackathon-2026/blob/f41616590b69f3ea0c1cbfb41d6c35edd9ce53df/data/train/swiss-2314/questions.jsonl#L2</x:v>
      </x:c>
      <x:c r="AA2361" s="6" t="str">
        <x:v>swiss_dwellings</x:v>
      </x:c>
      <x:c r="AB2361" s="6" t="str">
        <x:v>CC-BY-4.0</x:v>
      </x:c>
    </x:row>
    <x:row r="2362" ht="72" customHeight="1">
      <x:c r="A2362" s="14" t="n">
        <x:v>2357</x:v>
      </x:c>
      <x:c r="B2362" s="6" t="str">
        <x:v>floor_area_total</x:v>
      </x:c>
      <x:c r="C2362" s="6" t="str">
        <x:v>Facilities want the total floor area of every bathroom on the floor 1 added together. How many square metres is that? Finish with a line 'Answer: &lt;number&gt;'.</x:v>
      </x:c>
      <x:c r="D2362" s="6" t="str">
        <x:v>13.74 m2</x:v>
      </x:c>
      <x:c r="E2362" s="6" t="str">
        <x:v>Reference supplied</x:v>
      </x:c>
      <x:c r="F2362" s="6" t="str">
        <x:v>train</x:v>
      </x:c>
      <x:c r="G2362" s="6" t="str">
        <x:v>swiss-2390</x:v>
      </x:c>
      <x:c r="H2362" s="6" t="str">
        <x:v>swiss-2390-H01</x:v>
      </x:c>
      <x:c r="I2362" s="6" t="str">
        <x:v>Area and room selection</x:v>
      </x:c>
      <x:c r="J2362" s="6" t="str">
        <x:v>Benchmark</x:v>
      </x:c>
      <x:c r="K2362" s="6" t="str">
        <x:v>Answer: &lt;one number&gt;</x:v>
      </x:c>
      <x:c r="L2362" s="6" t="str">
        <x:v>T02, T04, T14</x:v>
      </x:c>
      <x:c r="M2362" s="6" t="str">
        <x:v>Sum the floor area of every matching room on one floor.</x:v>
      </x:c>
      <x:c r="N2362" s="6" t="str">
        <x:v>{"type":"number","value":13.74,"unit":"m2","relative_tolerance":0.05,"absolute_tolerance":0}</x:v>
      </x:c>
      <x:c r="O2362" s="6" t="str">
        <x:v>{"floor_id":"swiss-2390-F1","room_type":"bathroom"}</x:v>
      </x:c>
      <x:c r="P2362" s="6" t="str">
        <x:v>Exact target floor and room_type. Polygon area in m².</x:v>
      </x:c>
      <x:c r="Q2362" s="15" t="n">
        <x:v>13.74</x:v>
      </x:c>
      <x:c r="R2362" s="6" t="str">
        <x:v>m2</x:v>
      </x:c>
      <x:c r="S2362" s="16" t="n">
        <x:v>0.05</x:v>
      </x:c>
      <x:c r="T2362" s="15" t="n">
        <x:v>0</x:v>
      </x:c>
      <x:c r="U2362" s="6" t="str">
        <x:v>Answer: 13.74</x:v>
      </x:c>
      <x:c r="V2362" s="6" t="str">
        <x:v>room geometry: summed area</x:v>
      </x:c>
      <x:c r="W2362" s="6" t="str">
        <x:v>Missing polygon-area aggregation tool.</x:v>
      </x:c>
      <x:c r="X2362" s="6" t="str">
        <x:v>data/train/swiss-2390/questions.jsonl</x:v>
      </x:c>
      <x:c r="Y2362" s="14" t="n">
        <x:v>1</x:v>
      </x:c>
      <x:c r="Z2362" s="6" t="str">
        <x:v>https://github.com/hagenhaeussler/Industrial-Agents-Hackathon-2026/blob/f41616590b69f3ea0c1cbfb41d6c35edd9ce53df/data/train/swiss-2390/questions.jsonl#L1</x:v>
      </x:c>
      <x:c r="AA2362" s="6" t="str">
        <x:v>swiss_dwellings</x:v>
      </x:c>
      <x:c r="AB2362" s="6" t="str">
        <x:v>CC-BY-4.0</x:v>
      </x:c>
    </x:row>
    <x:row r="2363" ht="72" customHeight="1">
      <x:c r="A2363" s="14" t="n">
        <x:v>2358</x:v>
      </x:c>
      <x:c r="B2363" s="6" t="str">
        <x:v>floor_area_total</x:v>
      </x:c>
      <x:c r="C2363" s="6" t="str">
        <x:v>Facilities want the total floor area of every bedroom on the floor 2 added together. How many square metres is that? Finish with a line 'Answer: &lt;number&gt;'.</x:v>
      </x:c>
      <x:c r="D2363" s="6" t="str">
        <x:v>92.54 m2</x:v>
      </x:c>
      <x:c r="E2363" s="6" t="str">
        <x:v>Reference supplied</x:v>
      </x:c>
      <x:c r="F2363" s="6" t="str">
        <x:v>train</x:v>
      </x:c>
      <x:c r="G2363" s="6" t="str">
        <x:v>swiss-2476</x:v>
      </x:c>
      <x:c r="H2363" s="6" t="str">
        <x:v>swiss-2476-H01</x:v>
      </x:c>
      <x:c r="I2363" s="6" t="str">
        <x:v>Area and room selection</x:v>
      </x:c>
      <x:c r="J2363" s="6" t="str">
        <x:v>Benchmark</x:v>
      </x:c>
      <x:c r="K2363" s="6" t="str">
        <x:v>Answer: &lt;one number&gt;</x:v>
      </x:c>
      <x:c r="L2363" s="6" t="str">
        <x:v>T02, T04, T14</x:v>
      </x:c>
      <x:c r="M2363" s="6" t="str">
        <x:v>Sum the floor area of every matching room on one floor.</x:v>
      </x:c>
      <x:c r="N2363" s="6" t="str">
        <x:v>{"type":"number","value":92.54,"unit":"m2","relative_tolerance":0.05,"absolute_tolerance":0}</x:v>
      </x:c>
      <x:c r="O2363" s="6" t="str">
        <x:v>{"floor_id":"swiss-2476-F2","room_type":"bedroom"}</x:v>
      </x:c>
      <x:c r="P2363" s="6" t="str">
        <x:v>Exact target floor and room_type. Polygon area in m².</x:v>
      </x:c>
      <x:c r="Q2363" s="15" t="n">
        <x:v>92.54</x:v>
      </x:c>
      <x:c r="R2363" s="6" t="str">
        <x:v>m2</x:v>
      </x:c>
      <x:c r="S2363" s="16" t="n">
        <x:v>0.05</x:v>
      </x:c>
      <x:c r="T2363" s="15" t="n">
        <x:v>0</x:v>
      </x:c>
      <x:c r="U2363" s="6" t="str">
        <x:v>Answer: 92.54</x:v>
      </x:c>
      <x:c r="V2363" s="6" t="str">
        <x:v>room geometry: summed area</x:v>
      </x:c>
      <x:c r="W2363" s="6" t="str">
        <x:v>Missing polygon-area aggregation tool.</x:v>
      </x:c>
      <x:c r="X2363" s="6" t="str">
        <x:v>data/train/swiss-2476/questions.jsonl</x:v>
      </x:c>
      <x:c r="Y2363" s="14" t="n">
        <x:v>1</x:v>
      </x:c>
      <x:c r="Z2363" s="6" t="str">
        <x:v>https://github.com/hagenhaeussler/Industrial-Agents-Hackathon-2026/blob/f41616590b69f3ea0c1cbfb41d6c35edd9ce53df/data/train/swiss-2476/questions.jsonl#L1</x:v>
      </x:c>
      <x:c r="AA2363" s="6" t="str">
        <x:v>swiss_dwellings</x:v>
      </x:c>
      <x:c r="AB2363" s="6" t="str">
        <x:v>CC-BY-4.0</x:v>
      </x:c>
    </x:row>
    <x:row r="2364" ht="72" customHeight="1">
      <x:c r="A2364" s="14" t="n">
        <x:v>2359</x:v>
      </x:c>
      <x:c r="B2364" s="6" t="str">
        <x:v>floor_area_total</x:v>
      </x:c>
      <x:c r="C2364" s="6" t="str">
        <x:v>Facilities want the total floor area of every bedroom on the ground floor added together. How many square metres is that? Finish with a line 'Answer: &lt;number&gt;'.</x:v>
      </x:c>
      <x:c r="D2364" s="6" t="str">
        <x:v>96.75 m2</x:v>
      </x:c>
      <x:c r="E2364" s="6" t="str">
        <x:v>Reference supplied</x:v>
      </x:c>
      <x:c r="F2364" s="6" t="str">
        <x:v>train</x:v>
      </x:c>
      <x:c r="G2364" s="6" t="str">
        <x:v>swiss-2482</x:v>
      </x:c>
      <x:c r="H2364" s="6" t="str">
        <x:v>swiss-2482-H02</x:v>
      </x:c>
      <x:c r="I2364" s="6" t="str">
        <x:v>Area and room selection</x:v>
      </x:c>
      <x:c r="J2364" s="6" t="str">
        <x:v>Benchmark</x:v>
      </x:c>
      <x:c r="K2364" s="6" t="str">
        <x:v>Answer: &lt;one number&gt;</x:v>
      </x:c>
      <x:c r="L2364" s="6" t="str">
        <x:v>T02, T04, T14</x:v>
      </x:c>
      <x:c r="M2364" s="6" t="str">
        <x:v>Sum the floor area of every matching room on one floor.</x:v>
      </x:c>
      <x:c r="N2364" s="6" t="str">
        <x:v>{"type":"number","value":96.75,"unit":"m2","relative_tolerance":0.05,"absolute_tolerance":0}</x:v>
      </x:c>
      <x:c r="O2364" s="6" t="str">
        <x:v>{"floor_id":"swiss-2482-F0","room_type":"bedroom"}</x:v>
      </x:c>
      <x:c r="P2364" s="6" t="str">
        <x:v>Exact target floor and room_type. Polygon area in m².</x:v>
      </x:c>
      <x:c r="Q2364" s="15" t="n">
        <x:v>96.75</x:v>
      </x:c>
      <x:c r="R2364" s="6" t="str">
        <x:v>m2</x:v>
      </x:c>
      <x:c r="S2364" s="16" t="n">
        <x:v>0.05</x:v>
      </x:c>
      <x:c r="T2364" s="15" t="n">
        <x:v>0</x:v>
      </x:c>
      <x:c r="U2364" s="6" t="str">
        <x:v>Answer: 96.75</x:v>
      </x:c>
      <x:c r="V2364" s="6" t="str">
        <x:v>room geometry: summed area</x:v>
      </x:c>
      <x:c r="W2364" s="6" t="str">
        <x:v>Missing polygon-area aggregation tool.</x:v>
      </x:c>
      <x:c r="X2364" s="6" t="str">
        <x:v>data/train/swiss-2482/questions.jsonl</x:v>
      </x:c>
      <x:c r="Y2364" s="14" t="n">
        <x:v>2</x:v>
      </x:c>
      <x:c r="Z2364" s="6" t="str">
        <x:v>https://github.com/hagenhaeussler/Industrial-Agents-Hackathon-2026/blob/f41616590b69f3ea0c1cbfb41d6c35edd9ce53df/data/train/swiss-2482/questions.jsonl#L2</x:v>
      </x:c>
      <x:c r="AA2364" s="6" t="str">
        <x:v>swiss_dwellings</x:v>
      </x:c>
      <x:c r="AB2364" s="6" t="str">
        <x:v>CC-BY-4.0</x:v>
      </x:c>
    </x:row>
    <x:row r="2365" ht="72" customHeight="1">
      <x:c r="A2365" s="14" t="n">
        <x:v>2360</x:v>
      </x:c>
      <x:c r="B2365" s="6" t="str">
        <x:v>floor_area_total</x:v>
      </x:c>
      <x:c r="C2365" s="6" t="str">
        <x:v>Facilities want the total floor area of every bedroom on the floor 3 added together. How many square metres is that? Finish with a line 'Answer: &lt;number&gt;'.</x:v>
      </x:c>
      <x:c r="D2365" s="6" t="str">
        <x:v>123.77 m2</x:v>
      </x:c>
      <x:c r="E2365" s="6" t="str">
        <x:v>Reference supplied</x:v>
      </x:c>
      <x:c r="F2365" s="6" t="str">
        <x:v>train</x:v>
      </x:c>
      <x:c r="G2365" s="6" t="str">
        <x:v>swiss-256</x:v>
      </x:c>
      <x:c r="H2365" s="6" t="str">
        <x:v>swiss-256-H01</x:v>
      </x:c>
      <x:c r="I2365" s="6" t="str">
        <x:v>Area and room selection</x:v>
      </x:c>
      <x:c r="J2365" s="6" t="str">
        <x:v>Benchmark</x:v>
      </x:c>
      <x:c r="K2365" s="6" t="str">
        <x:v>Answer: &lt;one number&gt;</x:v>
      </x:c>
      <x:c r="L2365" s="6" t="str">
        <x:v>T02, T04, T14</x:v>
      </x:c>
      <x:c r="M2365" s="6" t="str">
        <x:v>Sum the floor area of every matching room on one floor.</x:v>
      </x:c>
      <x:c r="N2365" s="6" t="str">
        <x:v>{"type":"number","value":123.77,"unit":"m2","relative_tolerance":0.05,"absolute_tolerance":0}</x:v>
      </x:c>
      <x:c r="O2365" s="6" t="str">
        <x:v>{"floor_id":"swiss-256-F3","room_type":"bedroom"}</x:v>
      </x:c>
      <x:c r="P2365" s="6" t="str">
        <x:v>Exact target floor and room_type. Polygon area in m².</x:v>
      </x:c>
      <x:c r="Q2365" s="15" t="n">
        <x:v>123.77</x:v>
      </x:c>
      <x:c r="R2365" s="6" t="str">
        <x:v>m2</x:v>
      </x:c>
      <x:c r="S2365" s="16" t="n">
        <x:v>0.05</x:v>
      </x:c>
      <x:c r="T2365" s="15" t="n">
        <x:v>0</x:v>
      </x:c>
      <x:c r="U2365" s="6" t="str">
        <x:v>Answer: 123.77</x:v>
      </x:c>
      <x:c r="V2365" s="6" t="str">
        <x:v>room geometry: summed area</x:v>
      </x:c>
      <x:c r="W2365" s="6" t="str">
        <x:v>Missing polygon-area aggregation tool.</x:v>
      </x:c>
      <x:c r="X2365" s="6" t="str">
        <x:v>data/train/swiss-256/questions.jsonl</x:v>
      </x:c>
      <x:c r="Y2365" s="14" t="n">
        <x:v>1</x:v>
      </x:c>
      <x:c r="Z2365" s="6" t="str">
        <x:v>https://github.com/hagenhaeussler/Industrial-Agents-Hackathon-2026/blob/f41616590b69f3ea0c1cbfb41d6c35edd9ce53df/data/train/swiss-256/questions.jsonl#L1</x:v>
      </x:c>
      <x:c r="AA2365" s="6" t="str">
        <x:v>swiss_dwellings</x:v>
      </x:c>
      <x:c r="AB2365" s="6" t="str">
        <x:v>CC-BY-4.0</x:v>
      </x:c>
    </x:row>
    <x:row r="2366" ht="72" customHeight="1">
      <x:c r="A2366" s="14" t="n">
        <x:v>2361</x:v>
      </x:c>
      <x:c r="B2366" s="6" t="str">
        <x:v>floor_area_total</x:v>
      </x:c>
      <x:c r="C2366" s="6" t="str">
        <x:v>Facilities want the total floor area of every bathroom on the floor 2 added together. How many square metres is that? Finish with a line 'Answer: &lt;number&gt;'.</x:v>
      </x:c>
      <x:c r="D2366" s="6" t="str">
        <x:v>36.62 m2</x:v>
      </x:c>
      <x:c r="E2366" s="6" t="str">
        <x:v>Reference supplied</x:v>
      </x:c>
      <x:c r="F2366" s="6" t="str">
        <x:v>train</x:v>
      </x:c>
      <x:c r="G2366" s="6" t="str">
        <x:v>swiss-2798</x:v>
      </x:c>
      <x:c r="H2366" s="6" t="str">
        <x:v>swiss-2798-H01</x:v>
      </x:c>
      <x:c r="I2366" s="6" t="str">
        <x:v>Area and room selection</x:v>
      </x:c>
      <x:c r="J2366" s="6" t="str">
        <x:v>Benchmark</x:v>
      </x:c>
      <x:c r="K2366" s="6" t="str">
        <x:v>Answer: &lt;one number&gt;</x:v>
      </x:c>
      <x:c r="L2366" s="6" t="str">
        <x:v>T02, T04, T14</x:v>
      </x:c>
      <x:c r="M2366" s="6" t="str">
        <x:v>Sum the floor area of every matching room on one floor.</x:v>
      </x:c>
      <x:c r="N2366" s="6" t="str">
        <x:v>{"type":"number","value":36.62,"unit":"m2","relative_tolerance":0.05,"absolute_tolerance":0}</x:v>
      </x:c>
      <x:c r="O2366" s="6" t="str">
        <x:v>{"floor_id":"swiss-2798-F2","room_type":"bathroom"}</x:v>
      </x:c>
      <x:c r="P2366" s="6" t="str">
        <x:v>Exact target floor and room_type. Polygon area in m².</x:v>
      </x:c>
      <x:c r="Q2366" s="15" t="n">
        <x:v>36.62</x:v>
      </x:c>
      <x:c r="R2366" s="6" t="str">
        <x:v>m2</x:v>
      </x:c>
      <x:c r="S2366" s="16" t="n">
        <x:v>0.05</x:v>
      </x:c>
      <x:c r="T2366" s="15" t="n">
        <x:v>0</x:v>
      </x:c>
      <x:c r="U2366" s="6" t="str">
        <x:v>Answer: 36.62</x:v>
      </x:c>
      <x:c r="V2366" s="6" t="str">
        <x:v>room geometry: summed area</x:v>
      </x:c>
      <x:c r="W2366" s="6" t="str">
        <x:v>Missing polygon-area aggregation tool.</x:v>
      </x:c>
      <x:c r="X2366" s="6" t="str">
        <x:v>data/train/swiss-2798/questions.jsonl</x:v>
      </x:c>
      <x:c r="Y2366" s="14" t="n">
        <x:v>1</x:v>
      </x:c>
      <x:c r="Z2366" s="6" t="str">
        <x:v>https://github.com/hagenhaeussler/Industrial-Agents-Hackathon-2026/blob/f41616590b69f3ea0c1cbfb41d6c35edd9ce53df/data/train/swiss-2798/questions.jsonl#L1</x:v>
      </x:c>
      <x:c r="AA2366" s="6" t="str">
        <x:v>swiss_dwellings</x:v>
      </x:c>
      <x:c r="AB2366" s="6" t="str">
        <x:v>CC-BY-4.0</x:v>
      </x:c>
    </x:row>
    <x:row r="2367" ht="72" customHeight="1">
      <x:c r="A2367" s="14" t="n">
        <x:v>2362</x:v>
      </x:c>
      <x:c r="B2367" s="6" t="str">
        <x:v>floor_area_total</x:v>
      </x:c>
      <x:c r="C2367" s="6" t="str">
        <x:v>Facilities want the total floor area of every bedroom on the floor 1 added together. How many square metres is that? Finish with a line 'Answer: &lt;number&gt;'.</x:v>
      </x:c>
      <x:c r="D2367" s="6" t="str">
        <x:v>89.96 m2</x:v>
      </x:c>
      <x:c r="E2367" s="6" t="str">
        <x:v>Reference supplied</x:v>
      </x:c>
      <x:c r="F2367" s="6" t="str">
        <x:v>train</x:v>
      </x:c>
      <x:c r="G2367" s="6" t="str">
        <x:v>swiss-28</x:v>
      </x:c>
      <x:c r="H2367" s="6" t="str">
        <x:v>swiss-28-H02</x:v>
      </x:c>
      <x:c r="I2367" s="6" t="str">
        <x:v>Area and room selection</x:v>
      </x:c>
      <x:c r="J2367" s="6" t="str">
        <x:v>Benchmark</x:v>
      </x:c>
      <x:c r="K2367" s="6" t="str">
        <x:v>Answer: &lt;one number&gt;</x:v>
      </x:c>
      <x:c r="L2367" s="6" t="str">
        <x:v>T02, T04, T14</x:v>
      </x:c>
      <x:c r="M2367" s="6" t="str">
        <x:v>Sum the floor area of every matching room on one floor.</x:v>
      </x:c>
      <x:c r="N2367" s="6" t="str">
        <x:v>{"type":"number","value":89.96,"unit":"m2","relative_tolerance":0.05,"absolute_tolerance":0}</x:v>
      </x:c>
      <x:c r="O2367" s="6" t="str">
        <x:v>{"floor_id":"swiss-28-F1","room_type":"bedroom"}</x:v>
      </x:c>
      <x:c r="P2367" s="6" t="str">
        <x:v>Exact target floor and room_type. Polygon area in m².</x:v>
      </x:c>
      <x:c r="Q2367" s="15" t="n">
        <x:v>89.96</x:v>
      </x:c>
      <x:c r="R2367" s="6" t="str">
        <x:v>m2</x:v>
      </x:c>
      <x:c r="S2367" s="16" t="n">
        <x:v>0.05</x:v>
      </x:c>
      <x:c r="T2367" s="15" t="n">
        <x:v>0</x:v>
      </x:c>
      <x:c r="U2367" s="6" t="str">
        <x:v>Answer: 89.96</x:v>
      </x:c>
      <x:c r="V2367" s="6" t="str">
        <x:v>room geometry: summed area</x:v>
      </x:c>
      <x:c r="W2367" s="6" t="str">
        <x:v>Missing polygon-area aggregation tool.</x:v>
      </x:c>
      <x:c r="X2367" s="6" t="str">
        <x:v>data/train/swiss-28/questions.jsonl</x:v>
      </x:c>
      <x:c r="Y2367" s="14" t="n">
        <x:v>2</x:v>
      </x:c>
      <x:c r="Z2367" s="6" t="str">
        <x:v>https://github.com/hagenhaeussler/Industrial-Agents-Hackathon-2026/blob/f41616590b69f3ea0c1cbfb41d6c35edd9ce53df/data/train/swiss-28/questions.jsonl#L2</x:v>
      </x:c>
      <x:c r="AA2367" s="6" t="str">
        <x:v>swiss_dwellings</x:v>
      </x:c>
      <x:c r="AB2367" s="6" t="str">
        <x:v>CC-BY-4.0</x:v>
      </x:c>
    </x:row>
    <x:row r="2368" ht="72" customHeight="1">
      <x:c r="A2368" s="14" t="n">
        <x:v>2363</x:v>
      </x:c>
      <x:c r="B2368" s="6" t="str">
        <x:v>floor_area_total</x:v>
      </x:c>
      <x:c r="C2368" s="6" t="str">
        <x:v>Facilities want the total floor area of every bathroom on the floor 1 added together. How many square metres is that? Finish with a line 'Answer: &lt;number&gt;'.</x:v>
      </x:c>
      <x:c r="D2368" s="6" t="str">
        <x:v>14.17 m2</x:v>
      </x:c>
      <x:c r="E2368" s="6" t="str">
        <x:v>Reference supplied</x:v>
      </x:c>
      <x:c r="F2368" s="6" t="str">
        <x:v>train</x:v>
      </x:c>
      <x:c r="G2368" s="6" t="str">
        <x:v>swiss-2974</x:v>
      </x:c>
      <x:c r="H2368" s="6" t="str">
        <x:v>swiss-2974-H02</x:v>
      </x:c>
      <x:c r="I2368" s="6" t="str">
        <x:v>Area and room selection</x:v>
      </x:c>
      <x:c r="J2368" s="6" t="str">
        <x:v>Benchmark</x:v>
      </x:c>
      <x:c r="K2368" s="6" t="str">
        <x:v>Answer: &lt;one number&gt;</x:v>
      </x:c>
      <x:c r="L2368" s="6" t="str">
        <x:v>T02, T04, T14</x:v>
      </x:c>
      <x:c r="M2368" s="6" t="str">
        <x:v>Sum the floor area of every matching room on one floor.</x:v>
      </x:c>
      <x:c r="N2368" s="6" t="str">
        <x:v>{"type":"number","value":14.17,"unit":"m2","relative_tolerance":0.05,"absolute_tolerance":0}</x:v>
      </x:c>
      <x:c r="O2368" s="6" t="str">
        <x:v>{"floor_id":"swiss-2974-F1","room_type":"bathroom"}</x:v>
      </x:c>
      <x:c r="P2368" s="6" t="str">
        <x:v>Exact target floor and room_type. Polygon area in m².</x:v>
      </x:c>
      <x:c r="Q2368" s="15" t="n">
        <x:v>14.17</x:v>
      </x:c>
      <x:c r="R2368" s="6" t="str">
        <x:v>m2</x:v>
      </x:c>
      <x:c r="S2368" s="16" t="n">
        <x:v>0.05</x:v>
      </x:c>
      <x:c r="T2368" s="15" t="n">
        <x:v>0</x:v>
      </x:c>
      <x:c r="U2368" s="6" t="str">
        <x:v>Answer: 14.17</x:v>
      </x:c>
      <x:c r="V2368" s="6" t="str">
        <x:v>room geometry: summed area</x:v>
      </x:c>
      <x:c r="W2368" s="6" t="str">
        <x:v>Missing polygon-area aggregation tool.</x:v>
      </x:c>
      <x:c r="X2368" s="6" t="str">
        <x:v>data/train/swiss-2974/questions.jsonl</x:v>
      </x:c>
      <x:c r="Y2368" s="14" t="n">
        <x:v>2</x:v>
      </x:c>
      <x:c r="Z2368" s="6" t="str">
        <x:v>https://github.com/hagenhaeussler/Industrial-Agents-Hackathon-2026/blob/f41616590b69f3ea0c1cbfb41d6c35edd9ce53df/data/train/swiss-2974/questions.jsonl#L2</x:v>
      </x:c>
      <x:c r="AA2368" s="6" t="str">
        <x:v>swiss_dwellings</x:v>
      </x:c>
      <x:c r="AB2368" s="6" t="str">
        <x:v>CC-BY-4.0</x:v>
      </x:c>
    </x:row>
    <x:row r="2369" ht="72" customHeight="1">
      <x:c r="A2369" s="14" t="n">
        <x:v>2364</x:v>
      </x:c>
      <x:c r="B2369" s="6" t="str">
        <x:v>floor_area_total</x:v>
      </x:c>
      <x:c r="C2369" s="6" t="str">
        <x:v>Facilities want the total floor area of every living room on the floor 1 added together. How many square metres is that? Finish with a line 'Answer: &lt;number&gt;'.</x:v>
      </x:c>
      <x:c r="D2369" s="6" t="str">
        <x:v>115.42 m2</x:v>
      </x:c>
      <x:c r="E2369" s="6" t="str">
        <x:v>Reference supplied</x:v>
      </x:c>
      <x:c r="F2369" s="6" t="str">
        <x:v>train</x:v>
      </x:c>
      <x:c r="G2369" s="6" t="str">
        <x:v>swiss-2975</x:v>
      </x:c>
      <x:c r="H2369" s="6" t="str">
        <x:v>swiss-2975-H02</x:v>
      </x:c>
      <x:c r="I2369" s="6" t="str">
        <x:v>Area and room selection</x:v>
      </x:c>
      <x:c r="J2369" s="6" t="str">
        <x:v>Benchmark</x:v>
      </x:c>
      <x:c r="K2369" s="6" t="str">
        <x:v>Answer: &lt;one number&gt;</x:v>
      </x:c>
      <x:c r="L2369" s="6" t="str">
        <x:v>T02, T04, T14</x:v>
      </x:c>
      <x:c r="M2369" s="6" t="str">
        <x:v>Sum the floor area of every matching room on one floor.</x:v>
      </x:c>
      <x:c r="N2369" s="6" t="str">
        <x:v>{"type":"number","value":115.42,"unit":"m2","relative_tolerance":0.05,"absolute_tolerance":0}</x:v>
      </x:c>
      <x:c r="O2369" s="6" t="str">
        <x:v>{"floor_id":"swiss-2975-F1","room_type":"living_room"}</x:v>
      </x:c>
      <x:c r="P2369" s="6" t="str">
        <x:v>Exact target floor and room_type. Polygon area in m².</x:v>
      </x:c>
      <x:c r="Q2369" s="15" t="n">
        <x:v>115.42</x:v>
      </x:c>
      <x:c r="R2369" s="6" t="str">
        <x:v>m2</x:v>
      </x:c>
      <x:c r="S2369" s="16" t="n">
        <x:v>0.05</x:v>
      </x:c>
      <x:c r="T2369" s="15" t="n">
        <x:v>0</x:v>
      </x:c>
      <x:c r="U2369" s="6" t="str">
        <x:v>Answer: 115.42</x:v>
      </x:c>
      <x:c r="V2369" s="6" t="str">
        <x:v>room geometry: summed area</x:v>
      </x:c>
      <x:c r="W2369" s="6" t="str">
        <x:v>Missing polygon-area aggregation tool.</x:v>
      </x:c>
      <x:c r="X2369" s="6" t="str">
        <x:v>data/train/swiss-2975/questions.jsonl</x:v>
      </x:c>
      <x:c r="Y2369" s="14" t="n">
        <x:v>2</x:v>
      </x:c>
      <x:c r="Z2369" s="6" t="str">
        <x:v>https://github.com/hagenhaeussler/Industrial-Agents-Hackathon-2026/blob/f41616590b69f3ea0c1cbfb41d6c35edd9ce53df/data/train/swiss-2975/questions.jsonl#L2</x:v>
      </x:c>
      <x:c r="AA2369" s="6" t="str">
        <x:v>swiss_dwellings</x:v>
      </x:c>
      <x:c r="AB2369" s="6" t="str">
        <x:v>CC-BY-4.0</x:v>
      </x:c>
    </x:row>
    <x:row r="2370" ht="72" customHeight="1">
      <x:c r="A2370" s="14" t="n">
        <x:v>2365</x:v>
      </x:c>
      <x:c r="B2370" s="6" t="str">
        <x:v>floor_area_total</x:v>
      </x:c>
      <x:c r="C2370" s="6" t="str">
        <x:v>Facilities want the total floor area of every bathroom on the floor 1 added together. How many square metres is that? Finish with a line 'Answer: &lt;number&gt;'.</x:v>
      </x:c>
      <x:c r="D2370" s="6" t="str">
        <x:v>22.46 m2</x:v>
      </x:c>
      <x:c r="E2370" s="6" t="str">
        <x:v>Reference supplied</x:v>
      </x:c>
      <x:c r="F2370" s="6" t="str">
        <x:v>train</x:v>
      </x:c>
      <x:c r="G2370" s="6" t="str">
        <x:v>swiss-3066</x:v>
      </x:c>
      <x:c r="H2370" s="6" t="str">
        <x:v>swiss-3066-H01</x:v>
      </x:c>
      <x:c r="I2370" s="6" t="str">
        <x:v>Area and room selection</x:v>
      </x:c>
      <x:c r="J2370" s="6" t="str">
        <x:v>Benchmark</x:v>
      </x:c>
      <x:c r="K2370" s="6" t="str">
        <x:v>Answer: &lt;one number&gt;</x:v>
      </x:c>
      <x:c r="L2370" s="6" t="str">
        <x:v>T02, T04, T14</x:v>
      </x:c>
      <x:c r="M2370" s="6" t="str">
        <x:v>Sum the floor area of every matching room on one floor.</x:v>
      </x:c>
      <x:c r="N2370" s="6" t="str">
        <x:v>{"type":"number","value":22.46,"unit":"m2","relative_tolerance":0.05,"absolute_tolerance":0}</x:v>
      </x:c>
      <x:c r="O2370" s="6" t="str">
        <x:v>{"floor_id":"swiss-3066-F1","room_type":"bathroom"}</x:v>
      </x:c>
      <x:c r="P2370" s="6" t="str">
        <x:v>Exact target floor and room_type. Polygon area in m².</x:v>
      </x:c>
      <x:c r="Q2370" s="15" t="n">
        <x:v>22.46</x:v>
      </x:c>
      <x:c r="R2370" s="6" t="str">
        <x:v>m2</x:v>
      </x:c>
      <x:c r="S2370" s="16" t="n">
        <x:v>0.05</x:v>
      </x:c>
      <x:c r="T2370" s="15" t="n">
        <x:v>0</x:v>
      </x:c>
      <x:c r="U2370" s="6" t="str">
        <x:v>Answer: 22.46</x:v>
      </x:c>
      <x:c r="V2370" s="6" t="str">
        <x:v>room geometry: summed area</x:v>
      </x:c>
      <x:c r="W2370" s="6" t="str">
        <x:v>Missing polygon-area aggregation tool.</x:v>
      </x:c>
      <x:c r="X2370" s="6" t="str">
        <x:v>data/train/swiss-3066/questions.jsonl</x:v>
      </x:c>
      <x:c r="Y2370" s="14" t="n">
        <x:v>1</x:v>
      </x:c>
      <x:c r="Z2370" s="6" t="str">
        <x:v>https://github.com/hagenhaeussler/Industrial-Agents-Hackathon-2026/blob/f41616590b69f3ea0c1cbfb41d6c35edd9ce53df/data/train/swiss-3066/questions.jsonl#L1</x:v>
      </x:c>
      <x:c r="AA2370" s="6" t="str">
        <x:v>swiss_dwellings</x:v>
      </x:c>
      <x:c r="AB2370" s="6" t="str">
        <x:v>CC-BY-4.0</x:v>
      </x:c>
    </x:row>
    <x:row r="2371" ht="72" customHeight="1">
      <x:c r="A2371" s="14" t="n">
        <x:v>2366</x:v>
      </x:c>
      <x:c r="B2371" s="6" t="str">
        <x:v>floor_area_total</x:v>
      </x:c>
      <x:c r="C2371" s="6" t="str">
        <x:v>Facilities want the total floor area of every kitchen on the floor 3 added together. How many square metres is that? Finish with a line 'Answer: &lt;number&gt;'.</x:v>
      </x:c>
      <x:c r="D2371" s="6" t="str">
        <x:v>33.94 m2</x:v>
      </x:c>
      <x:c r="E2371" s="6" t="str">
        <x:v>Reference supplied</x:v>
      </x:c>
      <x:c r="F2371" s="6" t="str">
        <x:v>train</x:v>
      </x:c>
      <x:c r="G2371" s="6" t="str">
        <x:v>swiss-3092</x:v>
      </x:c>
      <x:c r="H2371" s="6" t="str">
        <x:v>swiss-3092-H02</x:v>
      </x:c>
      <x:c r="I2371" s="6" t="str">
        <x:v>Area and room selection</x:v>
      </x:c>
      <x:c r="J2371" s="6" t="str">
        <x:v>Benchmark</x:v>
      </x:c>
      <x:c r="K2371" s="6" t="str">
        <x:v>Answer: &lt;one number&gt;</x:v>
      </x:c>
      <x:c r="L2371" s="6" t="str">
        <x:v>T02, T04, T14</x:v>
      </x:c>
      <x:c r="M2371" s="6" t="str">
        <x:v>Sum the floor area of every matching room on one floor.</x:v>
      </x:c>
      <x:c r="N2371" s="6" t="str">
        <x:v>{"type":"number","value":33.94,"unit":"m2","relative_tolerance":0.05,"absolute_tolerance":0}</x:v>
      </x:c>
      <x:c r="O2371" s="6" t="str">
        <x:v>{"floor_id":"swiss-3092-F3","room_type":"kitchen"}</x:v>
      </x:c>
      <x:c r="P2371" s="6" t="str">
        <x:v>Exact target floor and room_type. Polygon area in m².</x:v>
      </x:c>
      <x:c r="Q2371" s="15" t="n">
        <x:v>33.94</x:v>
      </x:c>
      <x:c r="R2371" s="6" t="str">
        <x:v>m2</x:v>
      </x:c>
      <x:c r="S2371" s="16" t="n">
        <x:v>0.05</x:v>
      </x:c>
      <x:c r="T2371" s="15" t="n">
        <x:v>0</x:v>
      </x:c>
      <x:c r="U2371" s="6" t="str">
        <x:v>Answer: 33.94</x:v>
      </x:c>
      <x:c r="V2371" s="6" t="str">
        <x:v>room geometry: summed area</x:v>
      </x:c>
      <x:c r="W2371" s="6" t="str">
        <x:v>Missing polygon-area aggregation tool.</x:v>
      </x:c>
      <x:c r="X2371" s="6" t="str">
        <x:v>data/train/swiss-3092/questions.jsonl</x:v>
      </x:c>
      <x:c r="Y2371" s="14" t="n">
        <x:v>2</x:v>
      </x:c>
      <x:c r="Z2371" s="6" t="str">
        <x:v>https://github.com/hagenhaeussler/Industrial-Agents-Hackathon-2026/blob/f41616590b69f3ea0c1cbfb41d6c35edd9ce53df/data/train/swiss-3092/questions.jsonl#L2</x:v>
      </x:c>
      <x:c r="AA2371" s="6" t="str">
        <x:v>swiss_dwellings</x:v>
      </x:c>
      <x:c r="AB2371" s="6" t="str">
        <x:v>CC-BY-4.0</x:v>
      </x:c>
    </x:row>
    <x:row r="2372" ht="72" customHeight="1">
      <x:c r="A2372" s="14" t="n">
        <x:v>2367</x:v>
      </x:c>
      <x:c r="B2372" s="6" t="str">
        <x:v>floor_area_total</x:v>
      </x:c>
      <x:c r="C2372" s="6" t="str">
        <x:v>Facilities want the total floor area of every bedroom on the ground floor added together. How many square metres is that? Finish with a line 'Answer: &lt;number&gt;'.</x:v>
      </x:c>
      <x:c r="D2372" s="6" t="str">
        <x:v>60.74 m2</x:v>
      </x:c>
      <x:c r="E2372" s="6" t="str">
        <x:v>Reference supplied</x:v>
      </x:c>
      <x:c r="F2372" s="6" t="str">
        <x:v>train</x:v>
      </x:c>
      <x:c r="G2372" s="6" t="str">
        <x:v>swiss-3096</x:v>
      </x:c>
      <x:c r="H2372" s="6" t="str">
        <x:v>swiss-3096-H02</x:v>
      </x:c>
      <x:c r="I2372" s="6" t="str">
        <x:v>Area and room selection</x:v>
      </x:c>
      <x:c r="J2372" s="6" t="str">
        <x:v>Benchmark</x:v>
      </x:c>
      <x:c r="K2372" s="6" t="str">
        <x:v>Answer: &lt;one number&gt;</x:v>
      </x:c>
      <x:c r="L2372" s="6" t="str">
        <x:v>T02, T04, T14</x:v>
      </x:c>
      <x:c r="M2372" s="6" t="str">
        <x:v>Sum the floor area of every matching room on one floor.</x:v>
      </x:c>
      <x:c r="N2372" s="6" t="str">
        <x:v>{"type":"number","value":60.74,"unit":"m2","relative_tolerance":0.05,"absolute_tolerance":0}</x:v>
      </x:c>
      <x:c r="O2372" s="6" t="str">
        <x:v>{"floor_id":"swiss-3096-F0","room_type":"bedroom"}</x:v>
      </x:c>
      <x:c r="P2372" s="6" t="str">
        <x:v>Exact target floor and room_type. Polygon area in m².</x:v>
      </x:c>
      <x:c r="Q2372" s="15" t="n">
        <x:v>60.74</x:v>
      </x:c>
      <x:c r="R2372" s="6" t="str">
        <x:v>m2</x:v>
      </x:c>
      <x:c r="S2372" s="16" t="n">
        <x:v>0.05</x:v>
      </x:c>
      <x:c r="T2372" s="15" t="n">
        <x:v>0</x:v>
      </x:c>
      <x:c r="U2372" s="6" t="str">
        <x:v>Answer: 60.74</x:v>
      </x:c>
      <x:c r="V2372" s="6" t="str">
        <x:v>room geometry: summed area</x:v>
      </x:c>
      <x:c r="W2372" s="6" t="str">
        <x:v>Missing polygon-area aggregation tool.</x:v>
      </x:c>
      <x:c r="X2372" s="6" t="str">
        <x:v>data/train/swiss-3096/questions.jsonl</x:v>
      </x:c>
      <x:c r="Y2372" s="14" t="n">
        <x:v>2</x:v>
      </x:c>
      <x:c r="Z2372" s="6" t="str">
        <x:v>https://github.com/hagenhaeussler/Industrial-Agents-Hackathon-2026/blob/f41616590b69f3ea0c1cbfb41d6c35edd9ce53df/data/train/swiss-3096/questions.jsonl#L2</x:v>
      </x:c>
      <x:c r="AA2372" s="6" t="str">
        <x:v>swiss_dwellings</x:v>
      </x:c>
      <x:c r="AB2372" s="6" t="str">
        <x:v>CC-BY-4.0</x:v>
      </x:c>
    </x:row>
    <x:row r="2373" ht="72" customHeight="1">
      <x:c r="A2373" s="14" t="n">
        <x:v>2368</x:v>
      </x:c>
      <x:c r="B2373" s="6" t="str">
        <x:v>floor_area_total</x:v>
      </x:c>
      <x:c r="C2373" s="6" t="str">
        <x:v>Facilities want the total floor area of every kitchen on the floor 3 added together. How many square metres is that? Finish with a line 'Answer: &lt;number&gt;'.</x:v>
      </x:c>
      <x:c r="D2373" s="6" t="str">
        <x:v>25.87 m2</x:v>
      </x:c>
      <x:c r="E2373" s="6" t="str">
        <x:v>Reference supplied</x:v>
      </x:c>
      <x:c r="F2373" s="6" t="str">
        <x:v>train</x:v>
      </x:c>
      <x:c r="G2373" s="6" t="str">
        <x:v>swiss-3197</x:v>
      </x:c>
      <x:c r="H2373" s="6" t="str">
        <x:v>swiss-3197-H01</x:v>
      </x:c>
      <x:c r="I2373" s="6" t="str">
        <x:v>Area and room selection</x:v>
      </x:c>
      <x:c r="J2373" s="6" t="str">
        <x:v>Benchmark</x:v>
      </x:c>
      <x:c r="K2373" s="6" t="str">
        <x:v>Answer: &lt;one number&gt;</x:v>
      </x:c>
      <x:c r="L2373" s="6" t="str">
        <x:v>T02, T04, T14</x:v>
      </x:c>
      <x:c r="M2373" s="6" t="str">
        <x:v>Sum the floor area of every matching room on one floor.</x:v>
      </x:c>
      <x:c r="N2373" s="6" t="str">
        <x:v>{"type":"number","value":25.87,"unit":"m2","relative_tolerance":0.05,"absolute_tolerance":0}</x:v>
      </x:c>
      <x:c r="O2373" s="6" t="str">
        <x:v>{"floor_id":"swiss-3197-F3","room_type":"kitchen"}</x:v>
      </x:c>
      <x:c r="P2373" s="6" t="str">
        <x:v>Exact target floor and room_type. Polygon area in m².</x:v>
      </x:c>
      <x:c r="Q2373" s="15" t="n">
        <x:v>25.87</x:v>
      </x:c>
      <x:c r="R2373" s="6" t="str">
        <x:v>m2</x:v>
      </x:c>
      <x:c r="S2373" s="16" t="n">
        <x:v>0.05</x:v>
      </x:c>
      <x:c r="T2373" s="15" t="n">
        <x:v>0</x:v>
      </x:c>
      <x:c r="U2373" s="6" t="str">
        <x:v>Answer: 25.87</x:v>
      </x:c>
      <x:c r="V2373" s="6" t="str">
        <x:v>room geometry: summed area</x:v>
      </x:c>
      <x:c r="W2373" s="6" t="str">
        <x:v>Missing polygon-area aggregation tool.</x:v>
      </x:c>
      <x:c r="X2373" s="6" t="str">
        <x:v>data/train/swiss-3197/questions.jsonl</x:v>
      </x:c>
      <x:c r="Y2373" s="14" t="n">
        <x:v>1</x:v>
      </x:c>
      <x:c r="Z2373" s="6" t="str">
        <x:v>https://github.com/hagenhaeussler/Industrial-Agents-Hackathon-2026/blob/f41616590b69f3ea0c1cbfb41d6c35edd9ce53df/data/train/swiss-3197/questions.jsonl#L1</x:v>
      </x:c>
      <x:c r="AA2373" s="6" t="str">
        <x:v>swiss_dwellings</x:v>
      </x:c>
      <x:c r="AB2373" s="6" t="str">
        <x:v>CC-BY-4.0</x:v>
      </x:c>
    </x:row>
    <x:row r="2374" ht="72" customHeight="1">
      <x:c r="A2374" s="14" t="n">
        <x:v>2369</x:v>
      </x:c>
      <x:c r="B2374" s="6" t="str">
        <x:v>floor_area_total</x:v>
      </x:c>
      <x:c r="C2374" s="6" t="str">
        <x:v>Facilities want the total floor area of every bedroom on the floor 1 added together. How many square metres is that? Finish with a line 'Answer: &lt;number&gt;'.</x:v>
      </x:c>
      <x:c r="D2374" s="6" t="str">
        <x:v>66.95 m2</x:v>
      </x:c>
      <x:c r="E2374" s="6" t="str">
        <x:v>Reference supplied</x:v>
      </x:c>
      <x:c r="F2374" s="6" t="str">
        <x:v>train</x:v>
      </x:c>
      <x:c r="G2374" s="6" t="str">
        <x:v>swiss-325</x:v>
      </x:c>
      <x:c r="H2374" s="6" t="str">
        <x:v>swiss-325-H02</x:v>
      </x:c>
      <x:c r="I2374" s="6" t="str">
        <x:v>Area and room selection</x:v>
      </x:c>
      <x:c r="J2374" s="6" t="str">
        <x:v>Benchmark</x:v>
      </x:c>
      <x:c r="K2374" s="6" t="str">
        <x:v>Answer: &lt;one number&gt;</x:v>
      </x:c>
      <x:c r="L2374" s="6" t="str">
        <x:v>T02, T04, T14</x:v>
      </x:c>
      <x:c r="M2374" s="6" t="str">
        <x:v>Sum the floor area of every matching room on one floor.</x:v>
      </x:c>
      <x:c r="N2374" s="6" t="str">
        <x:v>{"type":"number","value":66.95,"unit":"m2","relative_tolerance":0.05,"absolute_tolerance":0}</x:v>
      </x:c>
      <x:c r="O2374" s="6" t="str">
        <x:v>{"floor_id":"swiss-325-F1","room_type":"bedroom"}</x:v>
      </x:c>
      <x:c r="P2374" s="6" t="str">
        <x:v>Exact target floor and room_type. Polygon area in m².</x:v>
      </x:c>
      <x:c r="Q2374" s="15" t="n">
        <x:v>66.95</x:v>
      </x:c>
      <x:c r="R2374" s="6" t="str">
        <x:v>m2</x:v>
      </x:c>
      <x:c r="S2374" s="16" t="n">
        <x:v>0.05</x:v>
      </x:c>
      <x:c r="T2374" s="15" t="n">
        <x:v>0</x:v>
      </x:c>
      <x:c r="U2374" s="6" t="str">
        <x:v>Answer: 66.95</x:v>
      </x:c>
      <x:c r="V2374" s="6" t="str">
        <x:v>room geometry: summed area</x:v>
      </x:c>
      <x:c r="W2374" s="6" t="str">
        <x:v>Missing polygon-area aggregation tool.</x:v>
      </x:c>
      <x:c r="X2374" s="6" t="str">
        <x:v>data/train/swiss-325/questions.jsonl</x:v>
      </x:c>
      <x:c r="Y2374" s="14" t="n">
        <x:v>2</x:v>
      </x:c>
      <x:c r="Z2374" s="6" t="str">
        <x:v>https://github.com/hagenhaeussler/Industrial-Agents-Hackathon-2026/blob/f41616590b69f3ea0c1cbfb41d6c35edd9ce53df/data/train/swiss-325/questions.jsonl#L2</x:v>
      </x:c>
      <x:c r="AA2374" s="6" t="str">
        <x:v>swiss_dwellings</x:v>
      </x:c>
      <x:c r="AB2374" s="6" t="str">
        <x:v>CC-BY-4.0</x:v>
      </x:c>
    </x:row>
    <x:row r="2375" ht="72" customHeight="1">
      <x:c r="A2375" s="14" t="n">
        <x:v>2370</x:v>
      </x:c>
      <x:c r="B2375" s="6" t="str">
        <x:v>floor_area_total</x:v>
      </x:c>
      <x:c r="C2375" s="6" t="str">
        <x:v>Facilities want the total floor area of every kitchen on the ground floor added together. How many square metres is that? Finish with a line 'Answer: &lt;number&gt;'.</x:v>
      </x:c>
      <x:c r="D2375" s="6" t="str">
        <x:v>29.79 m2</x:v>
      </x:c>
      <x:c r="E2375" s="6" t="str">
        <x:v>Reference supplied</x:v>
      </x:c>
      <x:c r="F2375" s="6" t="str">
        <x:v>train</x:v>
      </x:c>
      <x:c r="G2375" s="6" t="str">
        <x:v>swiss-328</x:v>
      </x:c>
      <x:c r="H2375" s="6" t="str">
        <x:v>swiss-328-H01</x:v>
      </x:c>
      <x:c r="I2375" s="6" t="str">
        <x:v>Area and room selection</x:v>
      </x:c>
      <x:c r="J2375" s="6" t="str">
        <x:v>Benchmark</x:v>
      </x:c>
      <x:c r="K2375" s="6" t="str">
        <x:v>Answer: &lt;one number&gt;</x:v>
      </x:c>
      <x:c r="L2375" s="6" t="str">
        <x:v>T02, T04, T14</x:v>
      </x:c>
      <x:c r="M2375" s="6" t="str">
        <x:v>Sum the floor area of every matching room on one floor.</x:v>
      </x:c>
      <x:c r="N2375" s="6" t="str">
        <x:v>{"type":"number","value":29.79,"unit":"m2","relative_tolerance":0.05,"absolute_tolerance":0}</x:v>
      </x:c>
      <x:c r="O2375" s="6" t="str">
        <x:v>{"floor_id":"swiss-328-F0","room_type":"kitchen"}</x:v>
      </x:c>
      <x:c r="P2375" s="6" t="str">
        <x:v>Exact target floor and room_type. Polygon area in m².</x:v>
      </x:c>
      <x:c r="Q2375" s="15" t="n">
        <x:v>29.79</x:v>
      </x:c>
      <x:c r="R2375" s="6" t="str">
        <x:v>m2</x:v>
      </x:c>
      <x:c r="S2375" s="16" t="n">
        <x:v>0.05</x:v>
      </x:c>
      <x:c r="T2375" s="15" t="n">
        <x:v>0</x:v>
      </x:c>
      <x:c r="U2375" s="6" t="str">
        <x:v>Answer: 29.79</x:v>
      </x:c>
      <x:c r="V2375" s="6" t="str">
        <x:v>room geometry: summed area</x:v>
      </x:c>
      <x:c r="W2375" s="6" t="str">
        <x:v>Missing polygon-area aggregation tool.</x:v>
      </x:c>
      <x:c r="X2375" s="6" t="str">
        <x:v>data/train/swiss-328/questions.jsonl</x:v>
      </x:c>
      <x:c r="Y2375" s="14" t="n">
        <x:v>1</x:v>
      </x:c>
      <x:c r="Z2375" s="6" t="str">
        <x:v>https://github.com/hagenhaeussler/Industrial-Agents-Hackathon-2026/blob/f41616590b69f3ea0c1cbfb41d6c35edd9ce53df/data/train/swiss-328/questions.jsonl#L1</x:v>
      </x:c>
      <x:c r="AA2375" s="6" t="str">
        <x:v>swiss_dwellings</x:v>
      </x:c>
      <x:c r="AB2375" s="6" t="str">
        <x:v>CC-BY-4.0</x:v>
      </x:c>
    </x:row>
    <x:row r="2376" ht="72" customHeight="1">
      <x:c r="A2376" s="14" t="n">
        <x:v>2371</x:v>
      </x:c>
      <x:c r="B2376" s="6" t="str">
        <x:v>floor_area_total</x:v>
      </x:c>
      <x:c r="C2376" s="6" t="str">
        <x:v>Facilities want the total floor area of every bathroom on the floor 1 added together. How many square metres is that? Finish with a line 'Answer: &lt;number&gt;'.</x:v>
      </x:c>
      <x:c r="D2376" s="6" t="str">
        <x:v>21.85 m2</x:v>
      </x:c>
      <x:c r="E2376" s="6" t="str">
        <x:v>Reference supplied</x:v>
      </x:c>
      <x:c r="F2376" s="6" t="str">
        <x:v>train</x:v>
      </x:c>
      <x:c r="G2376" s="6" t="str">
        <x:v>swiss-3284</x:v>
      </x:c>
      <x:c r="H2376" s="6" t="str">
        <x:v>swiss-3284-H01</x:v>
      </x:c>
      <x:c r="I2376" s="6" t="str">
        <x:v>Area and room selection</x:v>
      </x:c>
      <x:c r="J2376" s="6" t="str">
        <x:v>Benchmark</x:v>
      </x:c>
      <x:c r="K2376" s="6" t="str">
        <x:v>Answer: &lt;one number&gt;</x:v>
      </x:c>
      <x:c r="L2376" s="6" t="str">
        <x:v>T02, T04, T14</x:v>
      </x:c>
      <x:c r="M2376" s="6" t="str">
        <x:v>Sum the floor area of every matching room on one floor.</x:v>
      </x:c>
      <x:c r="N2376" s="6" t="str">
        <x:v>{"type":"number","value":21.85,"unit":"m2","relative_tolerance":0.05,"absolute_tolerance":0}</x:v>
      </x:c>
      <x:c r="O2376" s="6" t="str">
        <x:v>{"floor_id":"swiss-3284-F1","room_type":"bathroom"}</x:v>
      </x:c>
      <x:c r="P2376" s="6" t="str">
        <x:v>Exact target floor and room_type. Polygon area in m².</x:v>
      </x:c>
      <x:c r="Q2376" s="15" t="n">
        <x:v>21.85</x:v>
      </x:c>
      <x:c r="R2376" s="6" t="str">
        <x:v>m2</x:v>
      </x:c>
      <x:c r="S2376" s="16" t="n">
        <x:v>0.05</x:v>
      </x:c>
      <x:c r="T2376" s="15" t="n">
        <x:v>0</x:v>
      </x:c>
      <x:c r="U2376" s="6" t="str">
        <x:v>Answer: 21.85</x:v>
      </x:c>
      <x:c r="V2376" s="6" t="str">
        <x:v>room geometry: summed area</x:v>
      </x:c>
      <x:c r="W2376" s="6" t="str">
        <x:v>Missing polygon-area aggregation tool.</x:v>
      </x:c>
      <x:c r="X2376" s="6" t="str">
        <x:v>data/train/swiss-3284/questions.jsonl</x:v>
      </x:c>
      <x:c r="Y2376" s="14" t="n">
        <x:v>1</x:v>
      </x:c>
      <x:c r="Z2376" s="6" t="str">
        <x:v>https://github.com/hagenhaeussler/Industrial-Agents-Hackathon-2026/blob/f41616590b69f3ea0c1cbfb41d6c35edd9ce53df/data/train/swiss-3284/questions.jsonl#L1</x:v>
      </x:c>
      <x:c r="AA2376" s="6" t="str">
        <x:v>swiss_dwellings</x:v>
      </x:c>
      <x:c r="AB2376" s="6" t="str">
        <x:v>CC-BY-4.0</x:v>
      </x:c>
    </x:row>
    <x:row r="2377" ht="72" customHeight="1">
      <x:c r="A2377" s="14" t="n">
        <x:v>2372</x:v>
      </x:c>
      <x:c r="B2377" s="6" t="str">
        <x:v>floor_area_total</x:v>
      </x:c>
      <x:c r="C2377" s="6" t="str">
        <x:v>Facilities want the total floor area of every bedroom on the floor 3 added together. How many square metres is that? Finish with a line 'Answer: &lt;number&gt;'.</x:v>
      </x:c>
      <x:c r="D2377" s="6" t="str">
        <x:v>92.75 m2</x:v>
      </x:c>
      <x:c r="E2377" s="6" t="str">
        <x:v>Reference supplied</x:v>
      </x:c>
      <x:c r="F2377" s="6" t="str">
        <x:v>train</x:v>
      </x:c>
      <x:c r="G2377" s="6" t="str">
        <x:v>swiss-333</x:v>
      </x:c>
      <x:c r="H2377" s="6" t="str">
        <x:v>swiss-333-H01</x:v>
      </x:c>
      <x:c r="I2377" s="6" t="str">
        <x:v>Area and room selection</x:v>
      </x:c>
      <x:c r="J2377" s="6" t="str">
        <x:v>Benchmark</x:v>
      </x:c>
      <x:c r="K2377" s="6" t="str">
        <x:v>Answer: &lt;one number&gt;</x:v>
      </x:c>
      <x:c r="L2377" s="6" t="str">
        <x:v>T02, T04, T14</x:v>
      </x:c>
      <x:c r="M2377" s="6" t="str">
        <x:v>Sum the floor area of every matching room on one floor.</x:v>
      </x:c>
      <x:c r="N2377" s="6" t="str">
        <x:v>{"type":"number","value":92.75,"unit":"m2","relative_tolerance":0.05,"absolute_tolerance":0}</x:v>
      </x:c>
      <x:c r="O2377" s="6" t="str">
        <x:v>{"floor_id":"swiss-333-F3","room_type":"bedroom"}</x:v>
      </x:c>
      <x:c r="P2377" s="6" t="str">
        <x:v>Exact target floor and room_type. Polygon area in m².</x:v>
      </x:c>
      <x:c r="Q2377" s="15" t="n">
        <x:v>92.75</x:v>
      </x:c>
      <x:c r="R2377" s="6" t="str">
        <x:v>m2</x:v>
      </x:c>
      <x:c r="S2377" s="16" t="n">
        <x:v>0.05</x:v>
      </x:c>
      <x:c r="T2377" s="15" t="n">
        <x:v>0</x:v>
      </x:c>
      <x:c r="U2377" s="6" t="str">
        <x:v>Answer: 92.75</x:v>
      </x:c>
      <x:c r="V2377" s="6" t="str">
        <x:v>room geometry: summed area</x:v>
      </x:c>
      <x:c r="W2377" s="6" t="str">
        <x:v>Missing polygon-area aggregation tool.</x:v>
      </x:c>
      <x:c r="X2377" s="6" t="str">
        <x:v>data/train/swiss-333/questions.jsonl</x:v>
      </x:c>
      <x:c r="Y2377" s="14" t="n">
        <x:v>1</x:v>
      </x:c>
      <x:c r="Z2377" s="6" t="str">
        <x:v>https://github.com/hagenhaeussler/Industrial-Agents-Hackathon-2026/blob/f41616590b69f3ea0c1cbfb41d6c35edd9ce53df/data/train/swiss-333/questions.jsonl#L1</x:v>
      </x:c>
      <x:c r="AA2377" s="6" t="str">
        <x:v>swiss_dwellings</x:v>
      </x:c>
      <x:c r="AB2377" s="6" t="str">
        <x:v>CC-BY-4.0</x:v>
      </x:c>
    </x:row>
    <x:row r="2378" ht="72" customHeight="1">
      <x:c r="A2378" s="14" t="n">
        <x:v>2373</x:v>
      </x:c>
      <x:c r="B2378" s="6" t="str">
        <x:v>floor_area_total</x:v>
      </x:c>
      <x:c r="C2378" s="6" t="str">
        <x:v>Facilities want the total floor area of every bathroom on the ground floor added together. How many square metres is that? Finish with a line 'Answer: &lt;number&gt;'.</x:v>
      </x:c>
      <x:c r="D2378" s="6" t="str">
        <x:v>21.83 m2</x:v>
      </x:c>
      <x:c r="E2378" s="6" t="str">
        <x:v>Reference supplied</x:v>
      </x:c>
      <x:c r="F2378" s="6" t="str">
        <x:v>train</x:v>
      </x:c>
      <x:c r="G2378" s="6" t="str">
        <x:v>swiss-3338</x:v>
      </x:c>
      <x:c r="H2378" s="6" t="str">
        <x:v>swiss-3338-H02</x:v>
      </x:c>
      <x:c r="I2378" s="6" t="str">
        <x:v>Area and room selection</x:v>
      </x:c>
      <x:c r="J2378" s="6" t="str">
        <x:v>Benchmark</x:v>
      </x:c>
      <x:c r="K2378" s="6" t="str">
        <x:v>Answer: &lt;one number&gt;</x:v>
      </x:c>
      <x:c r="L2378" s="6" t="str">
        <x:v>T02, T04, T14</x:v>
      </x:c>
      <x:c r="M2378" s="6" t="str">
        <x:v>Sum the floor area of every matching room on one floor.</x:v>
      </x:c>
      <x:c r="N2378" s="6" t="str">
        <x:v>{"type":"number","value":21.83,"unit":"m2","relative_tolerance":0.05,"absolute_tolerance":0}</x:v>
      </x:c>
      <x:c r="O2378" s="6" t="str">
        <x:v>{"floor_id":"swiss-3338-F0","room_type":"bathroom"}</x:v>
      </x:c>
      <x:c r="P2378" s="6" t="str">
        <x:v>Exact target floor and room_type. Polygon area in m².</x:v>
      </x:c>
      <x:c r="Q2378" s="15" t="n">
        <x:v>21.83</x:v>
      </x:c>
      <x:c r="R2378" s="6" t="str">
        <x:v>m2</x:v>
      </x:c>
      <x:c r="S2378" s="16" t="n">
        <x:v>0.05</x:v>
      </x:c>
      <x:c r="T2378" s="15" t="n">
        <x:v>0</x:v>
      </x:c>
      <x:c r="U2378" s="6" t="str">
        <x:v>Answer: 21.83</x:v>
      </x:c>
      <x:c r="V2378" s="6" t="str">
        <x:v>room geometry: summed area</x:v>
      </x:c>
      <x:c r="W2378" s="6" t="str">
        <x:v>Missing polygon-area aggregation tool.</x:v>
      </x:c>
      <x:c r="X2378" s="6" t="str">
        <x:v>data/train/swiss-3338/questions.jsonl</x:v>
      </x:c>
      <x:c r="Y2378" s="14" t="n">
        <x:v>2</x:v>
      </x:c>
      <x:c r="Z2378" s="6" t="str">
        <x:v>https://github.com/hagenhaeussler/Industrial-Agents-Hackathon-2026/blob/f41616590b69f3ea0c1cbfb41d6c35edd9ce53df/data/train/swiss-3338/questions.jsonl#L2</x:v>
      </x:c>
      <x:c r="AA2378" s="6" t="str">
        <x:v>swiss_dwellings</x:v>
      </x:c>
      <x:c r="AB2378" s="6" t="str">
        <x:v>CC-BY-4.0</x:v>
      </x:c>
    </x:row>
    <x:row r="2379" ht="72" customHeight="1">
      <x:c r="A2379" s="14" t="n">
        <x:v>2374</x:v>
      </x:c>
      <x:c r="B2379" s="6" t="str">
        <x:v>floor_area_total</x:v>
      </x:c>
      <x:c r="C2379" s="6" t="str">
        <x:v>Facilities want the total floor area of every kitchen on the floor 3 added together. How many square metres is that? Finish with a line 'Answer: &lt;number&gt;'.</x:v>
      </x:c>
      <x:c r="D2379" s="6" t="str">
        <x:v>19.97 m2</x:v>
      </x:c>
      <x:c r="E2379" s="6" t="str">
        <x:v>Reference supplied</x:v>
      </x:c>
      <x:c r="F2379" s="6" t="str">
        <x:v>train</x:v>
      </x:c>
      <x:c r="G2379" s="6" t="str">
        <x:v>swiss-3355</x:v>
      </x:c>
      <x:c r="H2379" s="6" t="str">
        <x:v>swiss-3355-H02</x:v>
      </x:c>
      <x:c r="I2379" s="6" t="str">
        <x:v>Area and room selection</x:v>
      </x:c>
      <x:c r="J2379" s="6" t="str">
        <x:v>Benchmark</x:v>
      </x:c>
      <x:c r="K2379" s="6" t="str">
        <x:v>Answer: &lt;one number&gt;</x:v>
      </x:c>
      <x:c r="L2379" s="6" t="str">
        <x:v>T02, T04, T14</x:v>
      </x:c>
      <x:c r="M2379" s="6" t="str">
        <x:v>Sum the floor area of every matching room on one floor.</x:v>
      </x:c>
      <x:c r="N2379" s="6" t="str">
        <x:v>{"type":"number","value":19.97,"unit":"m2","relative_tolerance":0.05,"absolute_tolerance":0}</x:v>
      </x:c>
      <x:c r="O2379" s="6" t="str">
        <x:v>{"floor_id":"swiss-3355-F3","room_type":"kitchen"}</x:v>
      </x:c>
      <x:c r="P2379" s="6" t="str">
        <x:v>Exact target floor and room_type. Polygon area in m².</x:v>
      </x:c>
      <x:c r="Q2379" s="15" t="n">
        <x:v>19.97</x:v>
      </x:c>
      <x:c r="R2379" s="6" t="str">
        <x:v>m2</x:v>
      </x:c>
      <x:c r="S2379" s="16" t="n">
        <x:v>0.05</x:v>
      </x:c>
      <x:c r="T2379" s="15" t="n">
        <x:v>0</x:v>
      </x:c>
      <x:c r="U2379" s="6" t="str">
        <x:v>Answer: 19.97</x:v>
      </x:c>
      <x:c r="V2379" s="6" t="str">
        <x:v>room geometry: summed area</x:v>
      </x:c>
      <x:c r="W2379" s="6" t="str">
        <x:v>Missing polygon-area aggregation tool.</x:v>
      </x:c>
      <x:c r="X2379" s="6" t="str">
        <x:v>data/train/swiss-3355/questions.jsonl</x:v>
      </x:c>
      <x:c r="Y2379" s="14" t="n">
        <x:v>2</x:v>
      </x:c>
      <x:c r="Z2379" s="6" t="str">
        <x:v>https://github.com/hagenhaeussler/Industrial-Agents-Hackathon-2026/blob/f41616590b69f3ea0c1cbfb41d6c35edd9ce53df/data/train/swiss-3355/questions.jsonl#L2</x:v>
      </x:c>
      <x:c r="AA2379" s="6" t="str">
        <x:v>swiss_dwellings</x:v>
      </x:c>
      <x:c r="AB2379" s="6" t="str">
        <x:v>CC-BY-4.0</x:v>
      </x:c>
    </x:row>
    <x:row r="2380" ht="72" customHeight="1">
      <x:c r="A2380" s="14" t="n">
        <x:v>2375</x:v>
      </x:c>
      <x:c r="B2380" s="6" t="str">
        <x:v>floor_area_total</x:v>
      </x:c>
      <x:c r="C2380" s="6" t="str">
        <x:v>Facilities want the total floor area of every bathroom on the floor 1 added together. How many square metres is that? Finish with a line 'Answer: &lt;number&gt;'.</x:v>
      </x:c>
      <x:c r="D2380" s="6" t="str">
        <x:v>10.48 m2</x:v>
      </x:c>
      <x:c r="E2380" s="6" t="str">
        <x:v>Reference supplied</x:v>
      </x:c>
      <x:c r="F2380" s="6" t="str">
        <x:v>train</x:v>
      </x:c>
      <x:c r="G2380" s="6" t="str">
        <x:v>swiss-3418</x:v>
      </x:c>
      <x:c r="H2380" s="6" t="str">
        <x:v>swiss-3418-H01</x:v>
      </x:c>
      <x:c r="I2380" s="6" t="str">
        <x:v>Area and room selection</x:v>
      </x:c>
      <x:c r="J2380" s="6" t="str">
        <x:v>Benchmark</x:v>
      </x:c>
      <x:c r="K2380" s="6" t="str">
        <x:v>Answer: &lt;one number&gt;</x:v>
      </x:c>
      <x:c r="L2380" s="6" t="str">
        <x:v>T02, T04, T14</x:v>
      </x:c>
      <x:c r="M2380" s="6" t="str">
        <x:v>Sum the floor area of every matching room on one floor.</x:v>
      </x:c>
      <x:c r="N2380" s="6" t="str">
        <x:v>{"type":"number","value":10.48,"unit":"m2","relative_tolerance":0.05,"absolute_tolerance":0}</x:v>
      </x:c>
      <x:c r="O2380" s="6" t="str">
        <x:v>{"floor_id":"swiss-3418-F1","room_type":"bathroom"}</x:v>
      </x:c>
      <x:c r="P2380" s="6" t="str">
        <x:v>Exact target floor and room_type. Polygon area in m².</x:v>
      </x:c>
      <x:c r="Q2380" s="15" t="n">
        <x:v>10.48</x:v>
      </x:c>
      <x:c r="R2380" s="6" t="str">
        <x:v>m2</x:v>
      </x:c>
      <x:c r="S2380" s="16" t="n">
        <x:v>0.05</x:v>
      </x:c>
      <x:c r="T2380" s="15" t="n">
        <x:v>0</x:v>
      </x:c>
      <x:c r="U2380" s="6" t="str">
        <x:v>Answer: 10.48</x:v>
      </x:c>
      <x:c r="V2380" s="6" t="str">
        <x:v>room geometry: summed area</x:v>
      </x:c>
      <x:c r="W2380" s="6" t="str">
        <x:v>Missing polygon-area aggregation tool.</x:v>
      </x:c>
      <x:c r="X2380" s="6" t="str">
        <x:v>data/train/swiss-3418/questions.jsonl</x:v>
      </x:c>
      <x:c r="Y2380" s="14" t="n">
        <x:v>1</x:v>
      </x:c>
      <x:c r="Z2380" s="6" t="str">
        <x:v>https://github.com/hagenhaeussler/Industrial-Agents-Hackathon-2026/blob/f41616590b69f3ea0c1cbfb41d6c35edd9ce53df/data/train/swiss-3418/questions.jsonl#L1</x:v>
      </x:c>
      <x:c r="AA2380" s="6" t="str">
        <x:v>swiss_dwellings</x:v>
      </x:c>
      <x:c r="AB2380" s="6" t="str">
        <x:v>CC-BY-4.0</x:v>
      </x:c>
    </x:row>
    <x:row r="2381" ht="72" customHeight="1">
      <x:c r="A2381" s="14" t="n">
        <x:v>2376</x:v>
      </x:c>
      <x:c r="B2381" s="6" t="str">
        <x:v>floor_area_total</x:v>
      </x:c>
      <x:c r="C2381" s="6" t="str">
        <x:v>Facilities want the total floor area of every bedroom on the ground floor added together. How many square metres is that? Finish with a line 'Answer: &lt;number&gt;'.</x:v>
      </x:c>
      <x:c r="D2381" s="6" t="str">
        <x:v>61.6 m2</x:v>
      </x:c>
      <x:c r="E2381" s="6" t="str">
        <x:v>Reference supplied</x:v>
      </x:c>
      <x:c r="F2381" s="6" t="str">
        <x:v>train</x:v>
      </x:c>
      <x:c r="G2381" s="6" t="str">
        <x:v>swiss-373</x:v>
      </x:c>
      <x:c r="H2381" s="6" t="str">
        <x:v>swiss-373-H02</x:v>
      </x:c>
      <x:c r="I2381" s="6" t="str">
        <x:v>Area and room selection</x:v>
      </x:c>
      <x:c r="J2381" s="6" t="str">
        <x:v>Benchmark</x:v>
      </x:c>
      <x:c r="K2381" s="6" t="str">
        <x:v>Answer: &lt;one number&gt;</x:v>
      </x:c>
      <x:c r="L2381" s="6" t="str">
        <x:v>T02, T04, T14</x:v>
      </x:c>
      <x:c r="M2381" s="6" t="str">
        <x:v>Sum the floor area of every matching room on one floor.</x:v>
      </x:c>
      <x:c r="N2381" s="6" t="str">
        <x:v>{"type":"number","value":61.6,"unit":"m2","relative_tolerance":0.05,"absolute_tolerance":0}</x:v>
      </x:c>
      <x:c r="O2381" s="6" t="str">
        <x:v>{"floor_id":"swiss-373-F0","room_type":"bedroom"}</x:v>
      </x:c>
      <x:c r="P2381" s="6" t="str">
        <x:v>Exact target floor and room_type. Polygon area in m².</x:v>
      </x:c>
      <x:c r="Q2381" s="15" t="n">
        <x:v>61.6</x:v>
      </x:c>
      <x:c r="R2381" s="6" t="str">
        <x:v>m2</x:v>
      </x:c>
      <x:c r="S2381" s="16" t="n">
        <x:v>0.05</x:v>
      </x:c>
      <x:c r="T2381" s="15" t="n">
        <x:v>0</x:v>
      </x:c>
      <x:c r="U2381" s="6" t="str">
        <x:v>Answer: 61.6</x:v>
      </x:c>
      <x:c r="V2381" s="6" t="str">
        <x:v>room geometry: summed area</x:v>
      </x:c>
      <x:c r="W2381" s="6" t="str">
        <x:v>Missing polygon-area aggregation tool.</x:v>
      </x:c>
      <x:c r="X2381" s="6" t="str">
        <x:v>data/train/swiss-373/questions.jsonl</x:v>
      </x:c>
      <x:c r="Y2381" s="14" t="n">
        <x:v>2</x:v>
      </x:c>
      <x:c r="Z2381" s="6" t="str">
        <x:v>https://github.com/hagenhaeussler/Industrial-Agents-Hackathon-2026/blob/f41616590b69f3ea0c1cbfb41d6c35edd9ce53df/data/train/swiss-373/questions.jsonl#L2</x:v>
      </x:c>
      <x:c r="AA2381" s="6" t="str">
        <x:v>swiss_dwellings</x:v>
      </x:c>
      <x:c r="AB2381" s="6" t="str">
        <x:v>CC-BY-4.0</x:v>
      </x:c>
    </x:row>
    <x:row r="2382" ht="72" customHeight="1">
      <x:c r="A2382" s="14" t="n">
        <x:v>2377</x:v>
      </x:c>
      <x:c r="B2382" s="6" t="str">
        <x:v>floor_area_total</x:v>
      </x:c>
      <x:c r="C2382" s="6" t="str">
        <x:v>Facilities want the total floor area of every bedroom on the ground floor added together. How many square metres is that? Finish with a line 'Answer: &lt;number&gt;'.</x:v>
      </x:c>
      <x:c r="D2382" s="6" t="str">
        <x:v>49.35 m2</x:v>
      </x:c>
      <x:c r="E2382" s="6" t="str">
        <x:v>Reference supplied</x:v>
      </x:c>
      <x:c r="F2382" s="6" t="str">
        <x:v>train</x:v>
      </x:c>
      <x:c r="G2382" s="6" t="str">
        <x:v>swiss-390</x:v>
      </x:c>
      <x:c r="H2382" s="6" t="str">
        <x:v>swiss-390-H02</x:v>
      </x:c>
      <x:c r="I2382" s="6" t="str">
        <x:v>Area and room selection</x:v>
      </x:c>
      <x:c r="J2382" s="6" t="str">
        <x:v>Benchmark</x:v>
      </x:c>
      <x:c r="K2382" s="6" t="str">
        <x:v>Answer: &lt;one number&gt;</x:v>
      </x:c>
      <x:c r="L2382" s="6" t="str">
        <x:v>T02, T04, T14</x:v>
      </x:c>
      <x:c r="M2382" s="6" t="str">
        <x:v>Sum the floor area of every matching room on one floor.</x:v>
      </x:c>
      <x:c r="N2382" s="6" t="str">
        <x:v>{"type":"number","value":49.35,"unit":"m2","relative_tolerance":0.05,"absolute_tolerance":0}</x:v>
      </x:c>
      <x:c r="O2382" s="6" t="str">
        <x:v>{"floor_id":"swiss-390-F0","room_type":"bedroom"}</x:v>
      </x:c>
      <x:c r="P2382" s="6" t="str">
        <x:v>Exact target floor and room_type. Polygon area in m².</x:v>
      </x:c>
      <x:c r="Q2382" s="15" t="n">
        <x:v>49.35</x:v>
      </x:c>
      <x:c r="R2382" s="6" t="str">
        <x:v>m2</x:v>
      </x:c>
      <x:c r="S2382" s="16" t="n">
        <x:v>0.05</x:v>
      </x:c>
      <x:c r="T2382" s="15" t="n">
        <x:v>0</x:v>
      </x:c>
      <x:c r="U2382" s="6" t="str">
        <x:v>Answer: 49.35</x:v>
      </x:c>
      <x:c r="V2382" s="6" t="str">
        <x:v>room geometry: summed area</x:v>
      </x:c>
      <x:c r="W2382" s="6" t="str">
        <x:v>Missing polygon-area aggregation tool.</x:v>
      </x:c>
      <x:c r="X2382" s="6" t="str">
        <x:v>data/train/swiss-390/questions.jsonl</x:v>
      </x:c>
      <x:c r="Y2382" s="14" t="n">
        <x:v>2</x:v>
      </x:c>
      <x:c r="Z2382" s="6" t="str">
        <x:v>https://github.com/hagenhaeussler/Industrial-Agents-Hackathon-2026/blob/f41616590b69f3ea0c1cbfb41d6c35edd9ce53df/data/train/swiss-390/questions.jsonl#L2</x:v>
      </x:c>
      <x:c r="AA2382" s="6" t="str">
        <x:v>swiss_dwellings</x:v>
      </x:c>
      <x:c r="AB2382" s="6" t="str">
        <x:v>CC-BY-4.0</x:v>
      </x:c>
    </x:row>
    <x:row r="2383" ht="72" customHeight="1">
      <x:c r="A2383" s="14" t="n">
        <x:v>2378</x:v>
      </x:c>
      <x:c r="B2383" s="6" t="str">
        <x:v>floor_area_total</x:v>
      </x:c>
      <x:c r="C2383" s="6" t="str">
        <x:v>Facilities want the total floor area of every bedroom on the floor 1 added together. How many square metres is that? Finish with a line 'Answer: &lt;number&gt;'.</x:v>
      </x:c>
      <x:c r="D2383" s="6" t="str">
        <x:v>75.88 m2</x:v>
      </x:c>
      <x:c r="E2383" s="6" t="str">
        <x:v>Reference supplied</x:v>
      </x:c>
      <x:c r="F2383" s="6" t="str">
        <x:v>train</x:v>
      </x:c>
      <x:c r="G2383" s="6" t="str">
        <x:v>swiss-401</x:v>
      </x:c>
      <x:c r="H2383" s="6" t="str">
        <x:v>swiss-401-H01</x:v>
      </x:c>
      <x:c r="I2383" s="6" t="str">
        <x:v>Area and room selection</x:v>
      </x:c>
      <x:c r="J2383" s="6" t="str">
        <x:v>Benchmark</x:v>
      </x:c>
      <x:c r="K2383" s="6" t="str">
        <x:v>Answer: &lt;one number&gt;</x:v>
      </x:c>
      <x:c r="L2383" s="6" t="str">
        <x:v>T02, T04, T14</x:v>
      </x:c>
      <x:c r="M2383" s="6" t="str">
        <x:v>Sum the floor area of every matching room on one floor.</x:v>
      </x:c>
      <x:c r="N2383" s="6" t="str">
        <x:v>{"type":"number","value":75.88,"unit":"m2","relative_tolerance":0.05,"absolute_tolerance":0}</x:v>
      </x:c>
      <x:c r="O2383" s="6" t="str">
        <x:v>{"floor_id":"swiss-401-F1","room_type":"bedroom"}</x:v>
      </x:c>
      <x:c r="P2383" s="6" t="str">
        <x:v>Exact target floor and room_type. Polygon area in m².</x:v>
      </x:c>
      <x:c r="Q2383" s="15" t="n">
        <x:v>75.88</x:v>
      </x:c>
      <x:c r="R2383" s="6" t="str">
        <x:v>m2</x:v>
      </x:c>
      <x:c r="S2383" s="16" t="n">
        <x:v>0.05</x:v>
      </x:c>
      <x:c r="T2383" s="15" t="n">
        <x:v>0</x:v>
      </x:c>
      <x:c r="U2383" s="6" t="str">
        <x:v>Answer: 75.88</x:v>
      </x:c>
      <x:c r="V2383" s="6" t="str">
        <x:v>room geometry: summed area</x:v>
      </x:c>
      <x:c r="W2383" s="6" t="str">
        <x:v>Missing polygon-area aggregation tool.</x:v>
      </x:c>
      <x:c r="X2383" s="6" t="str">
        <x:v>data/train/swiss-401/questions.jsonl</x:v>
      </x:c>
      <x:c r="Y2383" s="14" t="n">
        <x:v>1</x:v>
      </x:c>
      <x:c r="Z2383" s="6" t="str">
        <x:v>https://github.com/hagenhaeussler/Industrial-Agents-Hackathon-2026/blob/f41616590b69f3ea0c1cbfb41d6c35edd9ce53df/data/train/swiss-401/questions.jsonl#L1</x:v>
      </x:c>
      <x:c r="AA2383" s="6" t="str">
        <x:v>swiss_dwellings</x:v>
      </x:c>
      <x:c r="AB2383" s="6" t="str">
        <x:v>CC-BY-4.0</x:v>
      </x:c>
    </x:row>
    <x:row r="2384" ht="72" customHeight="1">
      <x:c r="A2384" s="14" t="n">
        <x:v>2379</x:v>
      </x:c>
      <x:c r="B2384" s="6" t="str">
        <x:v>floor_area_total</x:v>
      </x:c>
      <x:c r="C2384" s="6" t="str">
        <x:v>Facilities want the total floor area of every bedroom on the ground floor added together. How many square metres is that? Finish with a line 'Answer: &lt;number&gt;'.</x:v>
      </x:c>
      <x:c r="D2384" s="6" t="str">
        <x:v>163.36 m2</x:v>
      </x:c>
      <x:c r="E2384" s="6" t="str">
        <x:v>Reference supplied</x:v>
      </x:c>
      <x:c r="F2384" s="6" t="str">
        <x:v>train</x:v>
      </x:c>
      <x:c r="G2384" s="6" t="str">
        <x:v>swiss-430</x:v>
      </x:c>
      <x:c r="H2384" s="6" t="str">
        <x:v>swiss-430-H01</x:v>
      </x:c>
      <x:c r="I2384" s="6" t="str">
        <x:v>Area and room selection</x:v>
      </x:c>
      <x:c r="J2384" s="6" t="str">
        <x:v>Benchmark</x:v>
      </x:c>
      <x:c r="K2384" s="6" t="str">
        <x:v>Answer: &lt;one number&gt;</x:v>
      </x:c>
      <x:c r="L2384" s="6" t="str">
        <x:v>T02, T04, T14</x:v>
      </x:c>
      <x:c r="M2384" s="6" t="str">
        <x:v>Sum the floor area of every matching room on one floor.</x:v>
      </x:c>
      <x:c r="N2384" s="6" t="str">
        <x:v>{"type":"number","value":163.36,"unit":"m2","relative_tolerance":0.05,"absolute_tolerance":0}</x:v>
      </x:c>
      <x:c r="O2384" s="6" t="str">
        <x:v>{"floor_id":"swiss-430-F0","room_type":"bedroom"}</x:v>
      </x:c>
      <x:c r="P2384" s="6" t="str">
        <x:v>Exact target floor and room_type. Polygon area in m².</x:v>
      </x:c>
      <x:c r="Q2384" s="15" t="n">
        <x:v>163.36</x:v>
      </x:c>
      <x:c r="R2384" s="6" t="str">
        <x:v>m2</x:v>
      </x:c>
      <x:c r="S2384" s="16" t="n">
        <x:v>0.05</x:v>
      </x:c>
      <x:c r="T2384" s="15" t="n">
        <x:v>0</x:v>
      </x:c>
      <x:c r="U2384" s="6" t="str">
        <x:v>Answer: 163.36</x:v>
      </x:c>
      <x:c r="V2384" s="6" t="str">
        <x:v>room geometry: summed area</x:v>
      </x:c>
      <x:c r="W2384" s="6" t="str">
        <x:v>Missing polygon-area aggregation tool.</x:v>
      </x:c>
      <x:c r="X2384" s="6" t="str">
        <x:v>data/train/swiss-430/questions.jsonl</x:v>
      </x:c>
      <x:c r="Y2384" s="14" t="n">
        <x:v>1</x:v>
      </x:c>
      <x:c r="Z2384" s="6" t="str">
        <x:v>https://github.com/hagenhaeussler/Industrial-Agents-Hackathon-2026/blob/f41616590b69f3ea0c1cbfb41d6c35edd9ce53df/data/train/swiss-430/questions.jsonl#L1</x:v>
      </x:c>
      <x:c r="AA2384" s="6" t="str">
        <x:v>swiss_dwellings</x:v>
      </x:c>
      <x:c r="AB2384" s="6" t="str">
        <x:v>CC-BY-4.0</x:v>
      </x:c>
    </x:row>
    <x:row r="2385" ht="72" customHeight="1">
      <x:c r="A2385" s="14" t="n">
        <x:v>2380</x:v>
      </x:c>
      <x:c r="B2385" s="6" t="str">
        <x:v>floor_area_total</x:v>
      </x:c>
      <x:c r="C2385" s="6" t="str">
        <x:v>Facilities want the total floor area of every living room on the floor 3 added together. How many square metres is that? Finish with a line 'Answer: &lt;number&gt;'.</x:v>
      </x:c>
      <x:c r="D2385" s="6" t="str">
        <x:v>48.91 m2</x:v>
      </x:c>
      <x:c r="E2385" s="6" t="str">
        <x:v>Reference supplied</x:v>
      </x:c>
      <x:c r="F2385" s="6" t="str">
        <x:v>train</x:v>
      </x:c>
      <x:c r="G2385" s="6" t="str">
        <x:v>swiss-433</x:v>
      </x:c>
      <x:c r="H2385" s="6" t="str">
        <x:v>swiss-433-H02</x:v>
      </x:c>
      <x:c r="I2385" s="6" t="str">
        <x:v>Area and room selection</x:v>
      </x:c>
      <x:c r="J2385" s="6" t="str">
        <x:v>Benchmark</x:v>
      </x:c>
      <x:c r="K2385" s="6" t="str">
        <x:v>Answer: &lt;one number&gt;</x:v>
      </x:c>
      <x:c r="L2385" s="6" t="str">
        <x:v>T02, T04, T14</x:v>
      </x:c>
      <x:c r="M2385" s="6" t="str">
        <x:v>Sum the floor area of every matching room on one floor.</x:v>
      </x:c>
      <x:c r="N2385" s="6" t="str">
        <x:v>{"type":"number","value":48.91,"unit":"m2","relative_tolerance":0.05,"absolute_tolerance":0}</x:v>
      </x:c>
      <x:c r="O2385" s="6" t="str">
        <x:v>{"floor_id":"swiss-433-F3","room_type":"living_room"}</x:v>
      </x:c>
      <x:c r="P2385" s="6" t="str">
        <x:v>Exact target floor and room_type. Polygon area in m².</x:v>
      </x:c>
      <x:c r="Q2385" s="15" t="n">
        <x:v>48.91</x:v>
      </x:c>
      <x:c r="R2385" s="6" t="str">
        <x:v>m2</x:v>
      </x:c>
      <x:c r="S2385" s="16" t="n">
        <x:v>0.05</x:v>
      </x:c>
      <x:c r="T2385" s="15" t="n">
        <x:v>0</x:v>
      </x:c>
      <x:c r="U2385" s="6" t="str">
        <x:v>Answer: 48.91</x:v>
      </x:c>
      <x:c r="V2385" s="6" t="str">
        <x:v>room geometry: summed area</x:v>
      </x:c>
      <x:c r="W2385" s="6" t="str">
        <x:v>Missing polygon-area aggregation tool.</x:v>
      </x:c>
      <x:c r="X2385" s="6" t="str">
        <x:v>data/train/swiss-433/questions.jsonl</x:v>
      </x:c>
      <x:c r="Y2385" s="14" t="n">
        <x:v>2</x:v>
      </x:c>
      <x:c r="Z2385" s="6" t="str">
        <x:v>https://github.com/hagenhaeussler/Industrial-Agents-Hackathon-2026/blob/f41616590b69f3ea0c1cbfb41d6c35edd9ce53df/data/train/swiss-433/questions.jsonl#L2</x:v>
      </x:c>
      <x:c r="AA2385" s="6" t="str">
        <x:v>swiss_dwellings</x:v>
      </x:c>
      <x:c r="AB2385" s="6" t="str">
        <x:v>CC-BY-4.0</x:v>
      </x:c>
    </x:row>
    <x:row r="2386" ht="72" customHeight="1">
      <x:c r="A2386" s="14" t="n">
        <x:v>2381</x:v>
      </x:c>
      <x:c r="B2386" s="6" t="str">
        <x:v>floor_area_total</x:v>
      </x:c>
      <x:c r="C2386" s="6" t="str">
        <x:v>Facilities want the total floor area of every bathroom on the ground floor added together. How many square metres is that? Finish with a line 'Answer: &lt;number&gt;'.</x:v>
      </x:c>
      <x:c r="D2386" s="6" t="str">
        <x:v>17.26 m2</x:v>
      </x:c>
      <x:c r="E2386" s="6" t="str">
        <x:v>Reference supplied</x:v>
      </x:c>
      <x:c r="F2386" s="6" t="str">
        <x:v>train</x:v>
      </x:c>
      <x:c r="G2386" s="6" t="str">
        <x:v>swiss-437</x:v>
      </x:c>
      <x:c r="H2386" s="6" t="str">
        <x:v>swiss-437-H01</x:v>
      </x:c>
      <x:c r="I2386" s="6" t="str">
        <x:v>Area and room selection</x:v>
      </x:c>
      <x:c r="J2386" s="6" t="str">
        <x:v>Benchmark</x:v>
      </x:c>
      <x:c r="K2386" s="6" t="str">
        <x:v>Answer: &lt;one number&gt;</x:v>
      </x:c>
      <x:c r="L2386" s="6" t="str">
        <x:v>T02, T04, T14</x:v>
      </x:c>
      <x:c r="M2386" s="6" t="str">
        <x:v>Sum the floor area of every matching room on one floor.</x:v>
      </x:c>
      <x:c r="N2386" s="6" t="str">
        <x:v>{"type":"number","value":17.26,"unit":"m2","relative_tolerance":0.05,"absolute_tolerance":0}</x:v>
      </x:c>
      <x:c r="O2386" s="6" t="str">
        <x:v>{"floor_id":"swiss-437-F0","room_type":"bathroom"}</x:v>
      </x:c>
      <x:c r="P2386" s="6" t="str">
        <x:v>Exact target floor and room_type. Polygon area in m².</x:v>
      </x:c>
      <x:c r="Q2386" s="15" t="n">
        <x:v>17.26</x:v>
      </x:c>
      <x:c r="R2386" s="6" t="str">
        <x:v>m2</x:v>
      </x:c>
      <x:c r="S2386" s="16" t="n">
        <x:v>0.05</x:v>
      </x:c>
      <x:c r="T2386" s="15" t="n">
        <x:v>0</x:v>
      </x:c>
      <x:c r="U2386" s="6" t="str">
        <x:v>Answer: 17.26</x:v>
      </x:c>
      <x:c r="V2386" s="6" t="str">
        <x:v>room geometry: summed area</x:v>
      </x:c>
      <x:c r="W2386" s="6" t="str">
        <x:v>Missing polygon-area aggregation tool.</x:v>
      </x:c>
      <x:c r="X2386" s="6" t="str">
        <x:v>data/train/swiss-437/questions.jsonl</x:v>
      </x:c>
      <x:c r="Y2386" s="14" t="n">
        <x:v>1</x:v>
      </x:c>
      <x:c r="Z2386" s="6" t="str">
        <x:v>https://github.com/hagenhaeussler/Industrial-Agents-Hackathon-2026/blob/f41616590b69f3ea0c1cbfb41d6c35edd9ce53df/data/train/swiss-437/questions.jsonl#L1</x:v>
      </x:c>
      <x:c r="AA2386" s="6" t="str">
        <x:v>swiss_dwellings</x:v>
      </x:c>
      <x:c r="AB2386" s="6" t="str">
        <x:v>CC-BY-4.0</x:v>
      </x:c>
    </x:row>
    <x:row r="2387" ht="72" customHeight="1">
      <x:c r="A2387" s="14" t="n">
        <x:v>2382</x:v>
      </x:c>
      <x:c r="B2387" s="6" t="str">
        <x:v>floor_area_total</x:v>
      </x:c>
      <x:c r="C2387" s="6" t="str">
        <x:v>Facilities want the total floor area of every bathroom on the ground floor added together. How many square metres is that? Finish with a line 'Answer: &lt;number&gt;'.</x:v>
      </x:c>
      <x:c r="D2387" s="6" t="str">
        <x:v>18 m2</x:v>
      </x:c>
      <x:c r="E2387" s="6" t="str">
        <x:v>Reference supplied</x:v>
      </x:c>
      <x:c r="F2387" s="6" t="str">
        <x:v>train</x:v>
      </x:c>
      <x:c r="G2387" s="6" t="str">
        <x:v>swiss-442</x:v>
      </x:c>
      <x:c r="H2387" s="6" t="str">
        <x:v>swiss-442-H02</x:v>
      </x:c>
      <x:c r="I2387" s="6" t="str">
        <x:v>Area and room selection</x:v>
      </x:c>
      <x:c r="J2387" s="6" t="str">
        <x:v>Benchmark</x:v>
      </x:c>
      <x:c r="K2387" s="6" t="str">
        <x:v>Answer: &lt;one number&gt;</x:v>
      </x:c>
      <x:c r="L2387" s="6" t="str">
        <x:v>T02, T04, T14</x:v>
      </x:c>
      <x:c r="M2387" s="6" t="str">
        <x:v>Sum the floor area of every matching room on one floor.</x:v>
      </x:c>
      <x:c r="N2387" s="6" t="str">
        <x:v>{"type":"number","value":18,"unit":"m2","relative_tolerance":0.05,"absolute_tolerance":0}</x:v>
      </x:c>
      <x:c r="O2387" s="6" t="str">
        <x:v>{"floor_id":"swiss-442-F0","room_type":"bathroom"}</x:v>
      </x:c>
      <x:c r="P2387" s="6" t="str">
        <x:v>Exact target floor and room_type. Polygon area in m².</x:v>
      </x:c>
      <x:c r="Q2387" s="15" t="n">
        <x:v>18</x:v>
      </x:c>
      <x:c r="R2387" s="6" t="str">
        <x:v>m2</x:v>
      </x:c>
      <x:c r="S2387" s="16" t="n">
        <x:v>0.05</x:v>
      </x:c>
      <x:c r="T2387" s="15" t="n">
        <x:v>0</x:v>
      </x:c>
      <x:c r="U2387" s="6" t="str">
        <x:v>Answer: 18</x:v>
      </x:c>
      <x:c r="V2387" s="6" t="str">
        <x:v>room geometry: summed area</x:v>
      </x:c>
      <x:c r="W2387" s="6" t="str">
        <x:v>Missing polygon-area aggregation tool.</x:v>
      </x:c>
      <x:c r="X2387" s="6" t="str">
        <x:v>data/train/swiss-442/questions.jsonl</x:v>
      </x:c>
      <x:c r="Y2387" s="14" t="n">
        <x:v>2</x:v>
      </x:c>
      <x:c r="Z2387" s="6" t="str">
        <x:v>https://github.com/hagenhaeussler/Industrial-Agents-Hackathon-2026/blob/f41616590b69f3ea0c1cbfb41d6c35edd9ce53df/data/train/swiss-442/questions.jsonl#L2</x:v>
      </x:c>
      <x:c r="AA2387" s="6" t="str">
        <x:v>swiss_dwellings</x:v>
      </x:c>
      <x:c r="AB2387" s="6" t="str">
        <x:v>CC-BY-4.0</x:v>
      </x:c>
    </x:row>
    <x:row r="2388" ht="72" customHeight="1">
      <x:c r="A2388" s="14" t="n">
        <x:v>2383</x:v>
      </x:c>
      <x:c r="B2388" s="6" t="str">
        <x:v>floor_area_total</x:v>
      </x:c>
      <x:c r="C2388" s="6" t="str">
        <x:v>Facilities want the total floor area of every living room on the ground floor added together. How many square metres is that? Finish with a line 'Answer: &lt;number&gt;'.</x:v>
      </x:c>
      <x:c r="D2388" s="6" t="str">
        <x:v>193.32 m2</x:v>
      </x:c>
      <x:c r="E2388" s="6" t="str">
        <x:v>Reference supplied</x:v>
      </x:c>
      <x:c r="F2388" s="6" t="str">
        <x:v>train</x:v>
      </x:c>
      <x:c r="G2388" s="6" t="str">
        <x:v>swiss-474</x:v>
      </x:c>
      <x:c r="H2388" s="6" t="str">
        <x:v>swiss-474-H01</x:v>
      </x:c>
      <x:c r="I2388" s="6" t="str">
        <x:v>Area and room selection</x:v>
      </x:c>
      <x:c r="J2388" s="6" t="str">
        <x:v>Benchmark</x:v>
      </x:c>
      <x:c r="K2388" s="6" t="str">
        <x:v>Answer: &lt;one number&gt;</x:v>
      </x:c>
      <x:c r="L2388" s="6" t="str">
        <x:v>T02, T04, T14</x:v>
      </x:c>
      <x:c r="M2388" s="6" t="str">
        <x:v>Sum the floor area of every matching room on one floor.</x:v>
      </x:c>
      <x:c r="N2388" s="6" t="str">
        <x:v>{"type":"number","value":193.32,"unit":"m2","relative_tolerance":0.05,"absolute_tolerance":0}</x:v>
      </x:c>
      <x:c r="O2388" s="6" t="str">
        <x:v>{"floor_id":"swiss-474-F0","room_type":"living_room"}</x:v>
      </x:c>
      <x:c r="P2388" s="6" t="str">
        <x:v>Exact target floor and room_type. Polygon area in m².</x:v>
      </x:c>
      <x:c r="Q2388" s="15" t="n">
        <x:v>193.32</x:v>
      </x:c>
      <x:c r="R2388" s="6" t="str">
        <x:v>m2</x:v>
      </x:c>
      <x:c r="S2388" s="16" t="n">
        <x:v>0.05</x:v>
      </x:c>
      <x:c r="T2388" s="15" t="n">
        <x:v>0</x:v>
      </x:c>
      <x:c r="U2388" s="6" t="str">
        <x:v>Answer: 193.32</x:v>
      </x:c>
      <x:c r="V2388" s="6" t="str">
        <x:v>room geometry: summed area</x:v>
      </x:c>
      <x:c r="W2388" s="6" t="str">
        <x:v>Missing polygon-area aggregation tool.</x:v>
      </x:c>
      <x:c r="X2388" s="6" t="str">
        <x:v>data/train/swiss-474/questions.jsonl</x:v>
      </x:c>
      <x:c r="Y2388" s="14" t="n">
        <x:v>1</x:v>
      </x:c>
      <x:c r="Z2388" s="6" t="str">
        <x:v>https://github.com/hagenhaeussler/Industrial-Agents-Hackathon-2026/blob/f41616590b69f3ea0c1cbfb41d6c35edd9ce53df/data/train/swiss-474/questions.jsonl#L1</x:v>
      </x:c>
      <x:c r="AA2388" s="6" t="str">
        <x:v>swiss_dwellings</x:v>
      </x:c>
      <x:c r="AB2388" s="6" t="str">
        <x:v>CC-BY-4.0</x:v>
      </x:c>
    </x:row>
    <x:row r="2389" ht="72" customHeight="1">
      <x:c r="A2389" s="14" t="n">
        <x:v>2384</x:v>
      </x:c>
      <x:c r="B2389" s="6" t="str">
        <x:v>floor_area_total</x:v>
      </x:c>
      <x:c r="C2389" s="6" t="str">
        <x:v>Facilities want the total floor area of every bedroom on the floor 4 added together. How many square metres is that? Finish with a line 'Answer: &lt;number&gt;'.</x:v>
      </x:c>
      <x:c r="D2389" s="6" t="str">
        <x:v>66.95 m2</x:v>
      </x:c>
      <x:c r="E2389" s="6" t="str">
        <x:v>Reference supplied</x:v>
      </x:c>
      <x:c r="F2389" s="6" t="str">
        <x:v>train</x:v>
      </x:c>
      <x:c r="G2389" s="6" t="str">
        <x:v>swiss-4967</x:v>
      </x:c>
      <x:c r="H2389" s="6" t="str">
        <x:v>swiss-4967-H01</x:v>
      </x:c>
      <x:c r="I2389" s="6" t="str">
        <x:v>Area and room selection</x:v>
      </x:c>
      <x:c r="J2389" s="6" t="str">
        <x:v>Benchmark</x:v>
      </x:c>
      <x:c r="K2389" s="6" t="str">
        <x:v>Answer: &lt;one number&gt;</x:v>
      </x:c>
      <x:c r="L2389" s="6" t="str">
        <x:v>T02, T04, T14</x:v>
      </x:c>
      <x:c r="M2389" s="6" t="str">
        <x:v>Sum the floor area of every matching room on one floor.</x:v>
      </x:c>
      <x:c r="N2389" s="6" t="str">
        <x:v>{"type":"number","value":66.95,"unit":"m2","relative_tolerance":0.05,"absolute_tolerance":0}</x:v>
      </x:c>
      <x:c r="O2389" s="6" t="str">
        <x:v>{"floor_id":"swiss-4967-F4","room_type":"bedroom"}</x:v>
      </x:c>
      <x:c r="P2389" s="6" t="str">
        <x:v>Exact target floor and room_type. Polygon area in m².</x:v>
      </x:c>
      <x:c r="Q2389" s="15" t="n">
        <x:v>66.95</x:v>
      </x:c>
      <x:c r="R2389" s="6" t="str">
        <x:v>m2</x:v>
      </x:c>
      <x:c r="S2389" s="16" t="n">
        <x:v>0.05</x:v>
      </x:c>
      <x:c r="T2389" s="15" t="n">
        <x:v>0</x:v>
      </x:c>
      <x:c r="U2389" s="6" t="str">
        <x:v>Answer: 66.95</x:v>
      </x:c>
      <x:c r="V2389" s="6" t="str">
        <x:v>room geometry: summed area</x:v>
      </x:c>
      <x:c r="W2389" s="6" t="str">
        <x:v>Missing polygon-area aggregation tool.</x:v>
      </x:c>
      <x:c r="X2389" s="6" t="str">
        <x:v>data/train/swiss-4967/questions.jsonl</x:v>
      </x:c>
      <x:c r="Y2389" s="14" t="n">
        <x:v>1</x:v>
      </x:c>
      <x:c r="Z2389" s="6" t="str">
        <x:v>https://github.com/hagenhaeussler/Industrial-Agents-Hackathon-2026/blob/f41616590b69f3ea0c1cbfb41d6c35edd9ce53df/data/train/swiss-4967/questions.jsonl#L1</x:v>
      </x:c>
      <x:c r="AA2389" s="6" t="str">
        <x:v>swiss_dwellings</x:v>
      </x:c>
      <x:c r="AB2389" s="6" t="str">
        <x:v>CC-BY-4.0</x:v>
      </x:c>
    </x:row>
    <x:row r="2390" ht="72" customHeight="1">
      <x:c r="A2390" s="14" t="n">
        <x:v>2385</x:v>
      </x:c>
      <x:c r="B2390" s="6" t="str">
        <x:v>floor_area_total</x:v>
      </x:c>
      <x:c r="C2390" s="6" t="str">
        <x:v>Facilities want the total floor area of every bathroom on the floor 4 added together. How many square metres is that? Finish with a line 'Answer: &lt;number&gt;'.</x:v>
      </x:c>
      <x:c r="D2390" s="6" t="str">
        <x:v>15.54 m2</x:v>
      </x:c>
      <x:c r="E2390" s="6" t="str">
        <x:v>Reference supplied</x:v>
      </x:c>
      <x:c r="F2390" s="6" t="str">
        <x:v>train</x:v>
      </x:c>
      <x:c r="G2390" s="6" t="str">
        <x:v>swiss-5354</x:v>
      </x:c>
      <x:c r="H2390" s="6" t="str">
        <x:v>swiss-5354-H01</x:v>
      </x:c>
      <x:c r="I2390" s="6" t="str">
        <x:v>Area and room selection</x:v>
      </x:c>
      <x:c r="J2390" s="6" t="str">
        <x:v>Benchmark</x:v>
      </x:c>
      <x:c r="K2390" s="6" t="str">
        <x:v>Answer: &lt;one number&gt;</x:v>
      </x:c>
      <x:c r="L2390" s="6" t="str">
        <x:v>T02, T04, T14</x:v>
      </x:c>
      <x:c r="M2390" s="6" t="str">
        <x:v>Sum the floor area of every matching room on one floor.</x:v>
      </x:c>
      <x:c r="N2390" s="6" t="str">
        <x:v>{"type":"number","value":15.54,"unit":"m2","relative_tolerance":0.05,"absolute_tolerance":0}</x:v>
      </x:c>
      <x:c r="O2390" s="6" t="str">
        <x:v>{"floor_id":"swiss-5354-F4","room_type":"bathroom"}</x:v>
      </x:c>
      <x:c r="P2390" s="6" t="str">
        <x:v>Exact target floor and room_type. Polygon area in m².</x:v>
      </x:c>
      <x:c r="Q2390" s="15" t="n">
        <x:v>15.54</x:v>
      </x:c>
      <x:c r="R2390" s="6" t="str">
        <x:v>m2</x:v>
      </x:c>
      <x:c r="S2390" s="16" t="n">
        <x:v>0.05</x:v>
      </x:c>
      <x:c r="T2390" s="15" t="n">
        <x:v>0</x:v>
      </x:c>
      <x:c r="U2390" s="6" t="str">
        <x:v>Answer: 15.54</x:v>
      </x:c>
      <x:c r="V2390" s="6" t="str">
        <x:v>room geometry: summed area</x:v>
      </x:c>
      <x:c r="W2390" s="6" t="str">
        <x:v>Missing polygon-area aggregation tool.</x:v>
      </x:c>
      <x:c r="X2390" s="6" t="str">
        <x:v>data/train/swiss-5354/questions.jsonl</x:v>
      </x:c>
      <x:c r="Y2390" s="14" t="n">
        <x:v>1</x:v>
      </x:c>
      <x:c r="Z2390" s="6" t="str">
        <x:v>https://github.com/hagenhaeussler/Industrial-Agents-Hackathon-2026/blob/f41616590b69f3ea0c1cbfb41d6c35edd9ce53df/data/train/swiss-5354/questions.jsonl#L1</x:v>
      </x:c>
      <x:c r="AA2390" s="6" t="str">
        <x:v>swiss_dwellings</x:v>
      </x:c>
      <x:c r="AB2390" s="6" t="str">
        <x:v>CC-BY-4.0</x:v>
      </x:c>
    </x:row>
    <x:row r="2391" ht="72" customHeight="1">
      <x:c r="A2391" s="14" t="n">
        <x:v>2386</x:v>
      </x:c>
      <x:c r="B2391" s="6" t="str">
        <x:v>floor_area_total</x:v>
      </x:c>
      <x:c r="C2391" s="6" t="str">
        <x:v>Facilities want the total floor area of every bedroom on the floor 2 added together. How many square metres is that? Finish with a line 'Answer: &lt;number&gt;'.</x:v>
      </x:c>
      <x:c r="D2391" s="6" t="str">
        <x:v>50.77 m2</x:v>
      </x:c>
      <x:c r="E2391" s="6" t="str">
        <x:v>Reference supplied</x:v>
      </x:c>
      <x:c r="F2391" s="6" t="str">
        <x:v>train</x:v>
      </x:c>
      <x:c r="G2391" s="6" t="str">
        <x:v>swiss-5422</x:v>
      </x:c>
      <x:c r="H2391" s="6" t="str">
        <x:v>swiss-5422-H01</x:v>
      </x:c>
      <x:c r="I2391" s="6" t="str">
        <x:v>Area and room selection</x:v>
      </x:c>
      <x:c r="J2391" s="6" t="str">
        <x:v>Benchmark</x:v>
      </x:c>
      <x:c r="K2391" s="6" t="str">
        <x:v>Answer: &lt;one number&gt;</x:v>
      </x:c>
      <x:c r="L2391" s="6" t="str">
        <x:v>T02, T04, T14</x:v>
      </x:c>
      <x:c r="M2391" s="6" t="str">
        <x:v>Sum the floor area of every matching room on one floor.</x:v>
      </x:c>
      <x:c r="N2391" s="6" t="str">
        <x:v>{"type":"number","value":50.77,"unit":"m2","relative_tolerance":0.05,"absolute_tolerance":0}</x:v>
      </x:c>
      <x:c r="O2391" s="6" t="str">
        <x:v>{"floor_id":"swiss-5422-F2","room_type":"bedroom"}</x:v>
      </x:c>
      <x:c r="P2391" s="6" t="str">
        <x:v>Exact target floor and room_type. Polygon area in m².</x:v>
      </x:c>
      <x:c r="Q2391" s="15" t="n">
        <x:v>50.77</x:v>
      </x:c>
      <x:c r="R2391" s="6" t="str">
        <x:v>m2</x:v>
      </x:c>
      <x:c r="S2391" s="16" t="n">
        <x:v>0.05</x:v>
      </x:c>
      <x:c r="T2391" s="15" t="n">
        <x:v>0</x:v>
      </x:c>
      <x:c r="U2391" s="6" t="str">
        <x:v>Answer: 50.77</x:v>
      </x:c>
      <x:c r="V2391" s="6" t="str">
        <x:v>room geometry: summed area</x:v>
      </x:c>
      <x:c r="W2391" s="6" t="str">
        <x:v>Missing polygon-area aggregation tool.</x:v>
      </x:c>
      <x:c r="X2391" s="6" t="str">
        <x:v>data/train/swiss-5422/questions.jsonl</x:v>
      </x:c>
      <x:c r="Y2391" s="14" t="n">
        <x:v>1</x:v>
      </x:c>
      <x:c r="Z2391" s="6" t="str">
        <x:v>https://github.com/hagenhaeussler/Industrial-Agents-Hackathon-2026/blob/f41616590b69f3ea0c1cbfb41d6c35edd9ce53df/data/train/swiss-5422/questions.jsonl#L1</x:v>
      </x:c>
      <x:c r="AA2391" s="6" t="str">
        <x:v>swiss_dwellings</x:v>
      </x:c>
      <x:c r="AB2391" s="6" t="str">
        <x:v>CC-BY-4.0</x:v>
      </x:c>
    </x:row>
    <x:row r="2392" ht="72" customHeight="1">
      <x:c r="A2392" s="14" t="n">
        <x:v>2387</x:v>
      </x:c>
      <x:c r="B2392" s="6" t="str">
        <x:v>floor_area_total</x:v>
      </x:c>
      <x:c r="C2392" s="6" t="str">
        <x:v>Facilities want the total floor area of every living room on the floor 2 added together. How many square metres is that? Finish with a line 'Answer: &lt;number&gt;'.</x:v>
      </x:c>
      <x:c r="D2392" s="6" t="str">
        <x:v>83.24 m2</x:v>
      </x:c>
      <x:c r="E2392" s="6" t="str">
        <x:v>Reference supplied</x:v>
      </x:c>
      <x:c r="F2392" s="6" t="str">
        <x:v>train</x:v>
      </x:c>
      <x:c r="G2392" s="6" t="str">
        <x:v>swiss-5690</x:v>
      </x:c>
      <x:c r="H2392" s="6" t="str">
        <x:v>swiss-5690-H02</x:v>
      </x:c>
      <x:c r="I2392" s="6" t="str">
        <x:v>Area and room selection</x:v>
      </x:c>
      <x:c r="J2392" s="6" t="str">
        <x:v>Benchmark</x:v>
      </x:c>
      <x:c r="K2392" s="6" t="str">
        <x:v>Answer: &lt;one number&gt;</x:v>
      </x:c>
      <x:c r="L2392" s="6" t="str">
        <x:v>T02, T04, T14</x:v>
      </x:c>
      <x:c r="M2392" s="6" t="str">
        <x:v>Sum the floor area of every matching room on one floor.</x:v>
      </x:c>
      <x:c r="N2392" s="6" t="str">
        <x:v>{"type":"number","value":83.24,"unit":"m2","relative_tolerance":0.05,"absolute_tolerance":0}</x:v>
      </x:c>
      <x:c r="O2392" s="6" t="str">
        <x:v>{"floor_id":"swiss-5690-F2","room_type":"living_room"}</x:v>
      </x:c>
      <x:c r="P2392" s="6" t="str">
        <x:v>Exact target floor and room_type. Polygon area in m².</x:v>
      </x:c>
      <x:c r="Q2392" s="15" t="n">
        <x:v>83.24</x:v>
      </x:c>
      <x:c r="R2392" s="6" t="str">
        <x:v>m2</x:v>
      </x:c>
      <x:c r="S2392" s="16" t="n">
        <x:v>0.05</x:v>
      </x:c>
      <x:c r="T2392" s="15" t="n">
        <x:v>0</x:v>
      </x:c>
      <x:c r="U2392" s="6" t="str">
        <x:v>Answer: 83.24</x:v>
      </x:c>
      <x:c r="V2392" s="6" t="str">
        <x:v>room geometry: summed area</x:v>
      </x:c>
      <x:c r="W2392" s="6" t="str">
        <x:v>Missing polygon-area aggregation tool.</x:v>
      </x:c>
      <x:c r="X2392" s="6" t="str">
        <x:v>data/train/swiss-5690/questions.jsonl</x:v>
      </x:c>
      <x:c r="Y2392" s="14" t="n">
        <x:v>2</x:v>
      </x:c>
      <x:c r="Z2392" s="6" t="str">
        <x:v>https://github.com/hagenhaeussler/Industrial-Agents-Hackathon-2026/blob/f41616590b69f3ea0c1cbfb41d6c35edd9ce53df/data/train/swiss-5690/questions.jsonl#L2</x:v>
      </x:c>
      <x:c r="AA2392" s="6" t="str">
        <x:v>swiss_dwellings</x:v>
      </x:c>
      <x:c r="AB2392" s="6" t="str">
        <x:v>CC-BY-4.0</x:v>
      </x:c>
    </x:row>
    <x:row r="2393" ht="72" customHeight="1">
      <x:c r="A2393" s="14" t="n">
        <x:v>2388</x:v>
      </x:c>
      <x:c r="B2393" s="6" t="str">
        <x:v>floor_area_total</x:v>
      </x:c>
      <x:c r="C2393" s="6" t="str">
        <x:v>Facilities want the total floor area of every bedroom on the ground floor added together. How many square metres is that? Finish with a line 'Answer: &lt;number&gt;'.</x:v>
      </x:c>
      <x:c r="D2393" s="6" t="str">
        <x:v>55.74 m2</x:v>
      </x:c>
      <x:c r="E2393" s="6" t="str">
        <x:v>Reference supplied</x:v>
      </x:c>
      <x:c r="F2393" s="6" t="str">
        <x:v>train</x:v>
      </x:c>
      <x:c r="G2393" s="6" t="str">
        <x:v>swiss-5779</x:v>
      </x:c>
      <x:c r="H2393" s="6" t="str">
        <x:v>swiss-5779-H01</x:v>
      </x:c>
      <x:c r="I2393" s="6" t="str">
        <x:v>Area and room selection</x:v>
      </x:c>
      <x:c r="J2393" s="6" t="str">
        <x:v>Benchmark</x:v>
      </x:c>
      <x:c r="K2393" s="6" t="str">
        <x:v>Answer: &lt;one number&gt;</x:v>
      </x:c>
      <x:c r="L2393" s="6" t="str">
        <x:v>T02, T04, T14</x:v>
      </x:c>
      <x:c r="M2393" s="6" t="str">
        <x:v>Sum the floor area of every matching room on one floor.</x:v>
      </x:c>
      <x:c r="N2393" s="6" t="str">
        <x:v>{"type":"number","value":55.74,"unit":"m2","relative_tolerance":0.05,"absolute_tolerance":0}</x:v>
      </x:c>
      <x:c r="O2393" s="6" t="str">
        <x:v>{"floor_id":"swiss-5779-F0","room_type":"bedroom"}</x:v>
      </x:c>
      <x:c r="P2393" s="6" t="str">
        <x:v>Exact target floor and room_type. Polygon area in m².</x:v>
      </x:c>
      <x:c r="Q2393" s="15" t="n">
        <x:v>55.74</x:v>
      </x:c>
      <x:c r="R2393" s="6" t="str">
        <x:v>m2</x:v>
      </x:c>
      <x:c r="S2393" s="16" t="n">
        <x:v>0.05</x:v>
      </x:c>
      <x:c r="T2393" s="15" t="n">
        <x:v>0</x:v>
      </x:c>
      <x:c r="U2393" s="6" t="str">
        <x:v>Answer: 55.74</x:v>
      </x:c>
      <x:c r="V2393" s="6" t="str">
        <x:v>room geometry: summed area</x:v>
      </x:c>
      <x:c r="W2393" s="6" t="str">
        <x:v>Missing polygon-area aggregation tool.</x:v>
      </x:c>
      <x:c r="X2393" s="6" t="str">
        <x:v>data/train/swiss-5779/questions.jsonl</x:v>
      </x:c>
      <x:c r="Y2393" s="14" t="n">
        <x:v>1</x:v>
      </x:c>
      <x:c r="Z2393" s="6" t="str">
        <x:v>https://github.com/hagenhaeussler/Industrial-Agents-Hackathon-2026/blob/f41616590b69f3ea0c1cbfb41d6c35edd9ce53df/data/train/swiss-5779/questions.jsonl#L1</x:v>
      </x:c>
      <x:c r="AA2393" s="6" t="str">
        <x:v>swiss_dwellings</x:v>
      </x:c>
      <x:c r="AB2393" s="6" t="str">
        <x:v>CC-BY-4.0</x:v>
      </x:c>
    </x:row>
    <x:row r="2394" ht="72" customHeight="1">
      <x:c r="A2394" s="14" t="n">
        <x:v>2389</x:v>
      </x:c>
      <x:c r="B2394" s="6" t="str">
        <x:v>floor_area_total</x:v>
      </x:c>
      <x:c r="C2394" s="6" t="str">
        <x:v>Facilities want the total floor area of every bedroom on the floor 2 added together. How many square metres is that? Finish with a line 'Answer: &lt;number&gt;'.</x:v>
      </x:c>
      <x:c r="D2394" s="6" t="str">
        <x:v>39.91 m2</x:v>
      </x:c>
      <x:c r="E2394" s="6" t="str">
        <x:v>Reference supplied</x:v>
      </x:c>
      <x:c r="F2394" s="6" t="str">
        <x:v>train</x:v>
      </x:c>
      <x:c r="G2394" s="6" t="str">
        <x:v>swiss-59</x:v>
      </x:c>
      <x:c r="H2394" s="6" t="str">
        <x:v>swiss-59-H01</x:v>
      </x:c>
      <x:c r="I2394" s="6" t="str">
        <x:v>Area and room selection</x:v>
      </x:c>
      <x:c r="J2394" s="6" t="str">
        <x:v>Benchmark</x:v>
      </x:c>
      <x:c r="K2394" s="6" t="str">
        <x:v>Answer: &lt;one number&gt;</x:v>
      </x:c>
      <x:c r="L2394" s="6" t="str">
        <x:v>T02, T04, T14</x:v>
      </x:c>
      <x:c r="M2394" s="6" t="str">
        <x:v>Sum the floor area of every matching room on one floor.</x:v>
      </x:c>
      <x:c r="N2394" s="6" t="str">
        <x:v>{"type":"number","value":39.91,"unit":"m2","relative_tolerance":0.05,"absolute_tolerance":0}</x:v>
      </x:c>
      <x:c r="O2394" s="6" t="str">
        <x:v>{"floor_id":"swiss-59-F2","room_type":"bedroom"}</x:v>
      </x:c>
      <x:c r="P2394" s="6" t="str">
        <x:v>Exact target floor and room_type. Polygon area in m².</x:v>
      </x:c>
      <x:c r="Q2394" s="15" t="n">
        <x:v>39.91</x:v>
      </x:c>
      <x:c r="R2394" s="6" t="str">
        <x:v>m2</x:v>
      </x:c>
      <x:c r="S2394" s="16" t="n">
        <x:v>0.05</x:v>
      </x:c>
      <x:c r="T2394" s="15" t="n">
        <x:v>0</x:v>
      </x:c>
      <x:c r="U2394" s="6" t="str">
        <x:v>Answer: 39.91</x:v>
      </x:c>
      <x:c r="V2394" s="6" t="str">
        <x:v>room geometry: summed area</x:v>
      </x:c>
      <x:c r="W2394" s="6" t="str">
        <x:v>Missing polygon-area aggregation tool.</x:v>
      </x:c>
      <x:c r="X2394" s="6" t="str">
        <x:v>data/train/swiss-59/questions.jsonl</x:v>
      </x:c>
      <x:c r="Y2394" s="14" t="n">
        <x:v>1</x:v>
      </x:c>
      <x:c r="Z2394" s="6" t="str">
        <x:v>https://github.com/hagenhaeussler/Industrial-Agents-Hackathon-2026/blob/f41616590b69f3ea0c1cbfb41d6c35edd9ce53df/data/train/swiss-59/questions.jsonl#L1</x:v>
      </x:c>
      <x:c r="AA2394" s="6" t="str">
        <x:v>swiss_dwellings</x:v>
      </x:c>
      <x:c r="AB2394" s="6" t="str">
        <x:v>CC-BY-4.0</x:v>
      </x:c>
    </x:row>
    <x:row r="2395" ht="72" customHeight="1">
      <x:c r="A2395" s="14" t="n">
        <x:v>2390</x:v>
      </x:c>
      <x:c r="B2395" s="6" t="str">
        <x:v>floor_area_total</x:v>
      </x:c>
      <x:c r="C2395" s="6" t="str">
        <x:v>Facilities want the total floor area of every kitchen on the floor 1 added together. How many square metres is that? Finish with a line 'Answer: &lt;number&gt;'.</x:v>
      </x:c>
      <x:c r="D2395" s="6" t="str">
        <x:v>54.01 m2</x:v>
      </x:c>
      <x:c r="E2395" s="6" t="str">
        <x:v>Reference supplied</x:v>
      </x:c>
      <x:c r="F2395" s="6" t="str">
        <x:v>train</x:v>
      </x:c>
      <x:c r="G2395" s="6" t="str">
        <x:v>swiss-6148</x:v>
      </x:c>
      <x:c r="H2395" s="6" t="str">
        <x:v>swiss-6148-H02</x:v>
      </x:c>
      <x:c r="I2395" s="6" t="str">
        <x:v>Area and room selection</x:v>
      </x:c>
      <x:c r="J2395" s="6" t="str">
        <x:v>Benchmark</x:v>
      </x:c>
      <x:c r="K2395" s="6" t="str">
        <x:v>Answer: &lt;one number&gt;</x:v>
      </x:c>
      <x:c r="L2395" s="6" t="str">
        <x:v>T02, T04, T14</x:v>
      </x:c>
      <x:c r="M2395" s="6" t="str">
        <x:v>Sum the floor area of every matching room on one floor.</x:v>
      </x:c>
      <x:c r="N2395" s="6" t="str">
        <x:v>{"type":"number","value":54.01,"unit":"m2","relative_tolerance":0.05,"absolute_tolerance":0}</x:v>
      </x:c>
      <x:c r="O2395" s="6" t="str">
        <x:v>{"floor_id":"swiss-6148-F1","room_type":"kitchen"}</x:v>
      </x:c>
      <x:c r="P2395" s="6" t="str">
        <x:v>Exact target floor and room_type. Polygon area in m².</x:v>
      </x:c>
      <x:c r="Q2395" s="15" t="n">
        <x:v>54.01</x:v>
      </x:c>
      <x:c r="R2395" s="6" t="str">
        <x:v>m2</x:v>
      </x:c>
      <x:c r="S2395" s="16" t="n">
        <x:v>0.05</x:v>
      </x:c>
      <x:c r="T2395" s="15" t="n">
        <x:v>0</x:v>
      </x:c>
      <x:c r="U2395" s="6" t="str">
        <x:v>Answer: 54.01</x:v>
      </x:c>
      <x:c r="V2395" s="6" t="str">
        <x:v>room geometry: summed area</x:v>
      </x:c>
      <x:c r="W2395" s="6" t="str">
        <x:v>Missing polygon-area aggregation tool.</x:v>
      </x:c>
      <x:c r="X2395" s="6" t="str">
        <x:v>data/train/swiss-6148/questions.jsonl</x:v>
      </x:c>
      <x:c r="Y2395" s="14" t="n">
        <x:v>2</x:v>
      </x:c>
      <x:c r="Z2395" s="6" t="str">
        <x:v>https://github.com/hagenhaeussler/Industrial-Agents-Hackathon-2026/blob/f41616590b69f3ea0c1cbfb41d6c35edd9ce53df/data/train/swiss-6148/questions.jsonl#L2</x:v>
      </x:c>
      <x:c r="AA2395" s="6" t="str">
        <x:v>swiss_dwellings</x:v>
      </x:c>
      <x:c r="AB2395" s="6" t="str">
        <x:v>CC-BY-4.0</x:v>
      </x:c>
    </x:row>
    <x:row r="2396" ht="72" customHeight="1">
      <x:c r="A2396" s="14" t="n">
        <x:v>2391</x:v>
      </x:c>
      <x:c r="B2396" s="6" t="str">
        <x:v>floor_area_total</x:v>
      </x:c>
      <x:c r="C2396" s="6" t="str">
        <x:v>Facilities want the total floor area of every bedroom on the ground floor added together. How many square metres is that? Finish with a line 'Answer: &lt;number&gt;'.</x:v>
      </x:c>
      <x:c r="D2396" s="6" t="str">
        <x:v>131.03 m2</x:v>
      </x:c>
      <x:c r="E2396" s="6" t="str">
        <x:v>Reference supplied</x:v>
      </x:c>
      <x:c r="F2396" s="6" t="str">
        <x:v>train</x:v>
      </x:c>
      <x:c r="G2396" s="6" t="str">
        <x:v>swiss-624</x:v>
      </x:c>
      <x:c r="H2396" s="6" t="str">
        <x:v>swiss-624-H02</x:v>
      </x:c>
      <x:c r="I2396" s="6" t="str">
        <x:v>Area and room selection</x:v>
      </x:c>
      <x:c r="J2396" s="6" t="str">
        <x:v>Benchmark</x:v>
      </x:c>
      <x:c r="K2396" s="6" t="str">
        <x:v>Answer: &lt;one number&gt;</x:v>
      </x:c>
      <x:c r="L2396" s="6" t="str">
        <x:v>T02, T04, T14</x:v>
      </x:c>
      <x:c r="M2396" s="6" t="str">
        <x:v>Sum the floor area of every matching room on one floor.</x:v>
      </x:c>
      <x:c r="N2396" s="6" t="str">
        <x:v>{"type":"number","value":131.03,"unit":"m2","relative_tolerance":0.05,"absolute_tolerance":0}</x:v>
      </x:c>
      <x:c r="O2396" s="6" t="str">
        <x:v>{"floor_id":"swiss-624-F0","room_type":"bedroom"}</x:v>
      </x:c>
      <x:c r="P2396" s="6" t="str">
        <x:v>Exact target floor and room_type. Polygon area in m².</x:v>
      </x:c>
      <x:c r="Q2396" s="15" t="n">
        <x:v>131.03</x:v>
      </x:c>
      <x:c r="R2396" s="6" t="str">
        <x:v>m2</x:v>
      </x:c>
      <x:c r="S2396" s="16" t="n">
        <x:v>0.05</x:v>
      </x:c>
      <x:c r="T2396" s="15" t="n">
        <x:v>0</x:v>
      </x:c>
      <x:c r="U2396" s="6" t="str">
        <x:v>Answer: 131.03</x:v>
      </x:c>
      <x:c r="V2396" s="6" t="str">
        <x:v>room geometry: summed area</x:v>
      </x:c>
      <x:c r="W2396" s="6" t="str">
        <x:v>Missing polygon-area aggregation tool.</x:v>
      </x:c>
      <x:c r="X2396" s="6" t="str">
        <x:v>data/train/swiss-624/questions.jsonl</x:v>
      </x:c>
      <x:c r="Y2396" s="14" t="n">
        <x:v>2</x:v>
      </x:c>
      <x:c r="Z2396" s="6" t="str">
        <x:v>https://github.com/hagenhaeussler/Industrial-Agents-Hackathon-2026/blob/f41616590b69f3ea0c1cbfb41d6c35edd9ce53df/data/train/swiss-624/questions.jsonl#L2</x:v>
      </x:c>
      <x:c r="AA2396" s="6" t="str">
        <x:v>swiss_dwellings</x:v>
      </x:c>
      <x:c r="AB2396" s="6" t="str">
        <x:v>CC-BY-4.0</x:v>
      </x:c>
    </x:row>
    <x:row r="2397" ht="72" customHeight="1">
      <x:c r="A2397" s="14" t="n">
        <x:v>2392</x:v>
      </x:c>
      <x:c r="B2397" s="6" t="str">
        <x:v>floor_area_total</x:v>
      </x:c>
      <x:c r="C2397" s="6" t="str">
        <x:v>Facilities want the total floor area of every bathroom on the floor 2 added together. How many square metres is that? Finish with a line 'Answer: &lt;number&gt;'.</x:v>
      </x:c>
      <x:c r="D2397" s="6" t="str">
        <x:v>9.77 m2</x:v>
      </x:c>
      <x:c r="E2397" s="6" t="str">
        <x:v>Reference supplied</x:v>
      </x:c>
      <x:c r="F2397" s="6" t="str">
        <x:v>train</x:v>
      </x:c>
      <x:c r="G2397" s="6" t="str">
        <x:v>swiss-6456</x:v>
      </x:c>
      <x:c r="H2397" s="6" t="str">
        <x:v>swiss-6456-H01</x:v>
      </x:c>
      <x:c r="I2397" s="6" t="str">
        <x:v>Area and room selection</x:v>
      </x:c>
      <x:c r="J2397" s="6" t="str">
        <x:v>Benchmark</x:v>
      </x:c>
      <x:c r="K2397" s="6" t="str">
        <x:v>Answer: &lt;one number&gt;</x:v>
      </x:c>
      <x:c r="L2397" s="6" t="str">
        <x:v>T02, T04, T14</x:v>
      </x:c>
      <x:c r="M2397" s="6" t="str">
        <x:v>Sum the floor area of every matching room on one floor.</x:v>
      </x:c>
      <x:c r="N2397" s="6" t="str">
        <x:v>{"type":"number","value":9.77,"unit":"m2","relative_tolerance":0.05,"absolute_tolerance":0}</x:v>
      </x:c>
      <x:c r="O2397" s="6" t="str">
        <x:v>{"floor_id":"swiss-6456-F2","room_type":"bathroom"}</x:v>
      </x:c>
      <x:c r="P2397" s="6" t="str">
        <x:v>Exact target floor and room_type. Polygon area in m².</x:v>
      </x:c>
      <x:c r="Q2397" s="15" t="n">
        <x:v>9.77</x:v>
      </x:c>
      <x:c r="R2397" s="6" t="str">
        <x:v>m2</x:v>
      </x:c>
      <x:c r="S2397" s="16" t="n">
        <x:v>0.05</x:v>
      </x:c>
      <x:c r="T2397" s="15" t="n">
        <x:v>0</x:v>
      </x:c>
      <x:c r="U2397" s="6" t="str">
        <x:v>Answer: 9.77</x:v>
      </x:c>
      <x:c r="V2397" s="6" t="str">
        <x:v>room geometry: summed area</x:v>
      </x:c>
      <x:c r="W2397" s="6" t="str">
        <x:v>Missing polygon-area aggregation tool.</x:v>
      </x:c>
      <x:c r="X2397" s="6" t="str">
        <x:v>data/train/swiss-6456/questions.jsonl</x:v>
      </x:c>
      <x:c r="Y2397" s="14" t="n">
        <x:v>1</x:v>
      </x:c>
      <x:c r="Z2397" s="6" t="str">
        <x:v>https://github.com/hagenhaeussler/Industrial-Agents-Hackathon-2026/blob/f41616590b69f3ea0c1cbfb41d6c35edd9ce53df/data/train/swiss-6456/questions.jsonl#L1</x:v>
      </x:c>
      <x:c r="AA2397" s="6" t="str">
        <x:v>swiss_dwellings</x:v>
      </x:c>
      <x:c r="AB2397" s="6" t="str">
        <x:v>CC-BY-4.0</x:v>
      </x:c>
    </x:row>
    <x:row r="2398" ht="72" customHeight="1">
      <x:c r="A2398" s="14" t="n">
        <x:v>2393</x:v>
      </x:c>
      <x:c r="B2398" s="6" t="str">
        <x:v>floor_area_total</x:v>
      </x:c>
      <x:c r="C2398" s="6" t="str">
        <x:v>Facilities want the total floor area of every bedroom on the floor 1 added together. How many square metres is that? Finish with a line 'Answer: &lt;number&gt;'.</x:v>
      </x:c>
      <x:c r="D2398" s="6" t="str">
        <x:v>59.97 m2</x:v>
      </x:c>
      <x:c r="E2398" s="6" t="str">
        <x:v>Reference supplied</x:v>
      </x:c>
      <x:c r="F2398" s="6" t="str">
        <x:v>train</x:v>
      </x:c>
      <x:c r="G2398" s="6" t="str">
        <x:v>swiss-668</x:v>
      </x:c>
      <x:c r="H2398" s="6" t="str">
        <x:v>swiss-668-H02</x:v>
      </x:c>
      <x:c r="I2398" s="6" t="str">
        <x:v>Area and room selection</x:v>
      </x:c>
      <x:c r="J2398" s="6" t="str">
        <x:v>Benchmark</x:v>
      </x:c>
      <x:c r="K2398" s="6" t="str">
        <x:v>Answer: &lt;one number&gt;</x:v>
      </x:c>
      <x:c r="L2398" s="6" t="str">
        <x:v>T02, T04, T14</x:v>
      </x:c>
      <x:c r="M2398" s="6" t="str">
        <x:v>Sum the floor area of every matching room on one floor.</x:v>
      </x:c>
      <x:c r="N2398" s="6" t="str">
        <x:v>{"type":"number","value":59.97,"unit":"m2","relative_tolerance":0.05,"absolute_tolerance":0}</x:v>
      </x:c>
      <x:c r="O2398" s="6" t="str">
        <x:v>{"floor_id":"swiss-668-F1","room_type":"bedroom"}</x:v>
      </x:c>
      <x:c r="P2398" s="6" t="str">
        <x:v>Exact target floor and room_type. Polygon area in m².</x:v>
      </x:c>
      <x:c r="Q2398" s="15" t="n">
        <x:v>59.97</x:v>
      </x:c>
      <x:c r="R2398" s="6" t="str">
        <x:v>m2</x:v>
      </x:c>
      <x:c r="S2398" s="16" t="n">
        <x:v>0.05</x:v>
      </x:c>
      <x:c r="T2398" s="15" t="n">
        <x:v>0</x:v>
      </x:c>
      <x:c r="U2398" s="6" t="str">
        <x:v>Answer: 59.97</x:v>
      </x:c>
      <x:c r="V2398" s="6" t="str">
        <x:v>room geometry: summed area</x:v>
      </x:c>
      <x:c r="W2398" s="6" t="str">
        <x:v>Missing polygon-area aggregation tool.</x:v>
      </x:c>
      <x:c r="X2398" s="6" t="str">
        <x:v>data/train/swiss-668/questions.jsonl</x:v>
      </x:c>
      <x:c r="Y2398" s="14" t="n">
        <x:v>2</x:v>
      </x:c>
      <x:c r="Z2398" s="6" t="str">
        <x:v>https://github.com/hagenhaeussler/Industrial-Agents-Hackathon-2026/blob/f41616590b69f3ea0c1cbfb41d6c35edd9ce53df/data/train/swiss-668/questions.jsonl#L2</x:v>
      </x:c>
      <x:c r="AA2398" s="6" t="str">
        <x:v>swiss_dwellings</x:v>
      </x:c>
      <x:c r="AB2398" s="6" t="str">
        <x:v>CC-BY-4.0</x:v>
      </x:c>
    </x:row>
    <x:row r="2399" ht="72" customHeight="1">
      <x:c r="A2399" s="14" t="n">
        <x:v>2394</x:v>
      </x:c>
      <x:c r="B2399" s="6" t="str">
        <x:v>floor_area_total</x:v>
      </x:c>
      <x:c r="C2399" s="6" t="str">
        <x:v>Facilities want the total floor area of every bedroom on the basement 1 added together. How many square metres is that? Finish with a line 'Answer: &lt;number&gt;'.</x:v>
      </x:c>
      <x:c r="D2399" s="6" t="str">
        <x:v>67.16 m2</x:v>
      </x:c>
      <x:c r="E2399" s="6" t="str">
        <x:v>Reference supplied</x:v>
      </x:c>
      <x:c r="F2399" s="6" t="str">
        <x:v>train</x:v>
      </x:c>
      <x:c r="G2399" s="6" t="str">
        <x:v>swiss-685</x:v>
      </x:c>
      <x:c r="H2399" s="6" t="str">
        <x:v>swiss-685-H01</x:v>
      </x:c>
      <x:c r="I2399" s="6" t="str">
        <x:v>Area and room selection</x:v>
      </x:c>
      <x:c r="J2399" s="6" t="str">
        <x:v>Benchmark</x:v>
      </x:c>
      <x:c r="K2399" s="6" t="str">
        <x:v>Answer: &lt;one number&gt;</x:v>
      </x:c>
      <x:c r="L2399" s="6" t="str">
        <x:v>T02, T04, T14</x:v>
      </x:c>
      <x:c r="M2399" s="6" t="str">
        <x:v>Sum the floor area of every matching room on one floor.</x:v>
      </x:c>
      <x:c r="N2399" s="6" t="str">
        <x:v>{"type":"number","value":67.16,"unit":"m2","relative_tolerance":0.05,"absolute_tolerance":0}</x:v>
      </x:c>
      <x:c r="O2399" s="6" t="str">
        <x:v>{"floor_id":"swiss-685-F-1","room_type":"bedroom"}</x:v>
      </x:c>
      <x:c r="P2399" s="6" t="str">
        <x:v>Exact target floor and room_type. Polygon area in m².</x:v>
      </x:c>
      <x:c r="Q2399" s="15" t="n">
        <x:v>67.16</x:v>
      </x:c>
      <x:c r="R2399" s="6" t="str">
        <x:v>m2</x:v>
      </x:c>
      <x:c r="S2399" s="16" t="n">
        <x:v>0.05</x:v>
      </x:c>
      <x:c r="T2399" s="15" t="n">
        <x:v>0</x:v>
      </x:c>
      <x:c r="U2399" s="6" t="str">
        <x:v>Answer: 67.16</x:v>
      </x:c>
      <x:c r="V2399" s="6" t="str">
        <x:v>room geometry: summed area</x:v>
      </x:c>
      <x:c r="W2399" s="6" t="str">
        <x:v>Missing polygon-area aggregation tool.</x:v>
      </x:c>
      <x:c r="X2399" s="6" t="str">
        <x:v>data/train/swiss-685/questions.jsonl</x:v>
      </x:c>
      <x:c r="Y2399" s="14" t="n">
        <x:v>1</x:v>
      </x:c>
      <x:c r="Z2399" s="6" t="str">
        <x:v>https://github.com/hagenhaeussler/Industrial-Agents-Hackathon-2026/blob/f41616590b69f3ea0c1cbfb41d6c35edd9ce53df/data/train/swiss-685/questions.jsonl#L1</x:v>
      </x:c>
      <x:c r="AA2399" s="6" t="str">
        <x:v>swiss_dwellings</x:v>
      </x:c>
      <x:c r="AB2399" s="6" t="str">
        <x:v>CC-BY-4.0</x:v>
      </x:c>
    </x:row>
    <x:row r="2400" ht="72" customHeight="1">
      <x:c r="A2400" s="14" t="n">
        <x:v>2395</x:v>
      </x:c>
      <x:c r="B2400" s="6" t="str">
        <x:v>floor_area_total</x:v>
      </x:c>
      <x:c r="C2400" s="6" t="str">
        <x:v>Facilities want the total floor area of every kitchen on the floor 2 added together. How many square metres is that? Finish with a line 'Answer: &lt;number&gt;'.</x:v>
      </x:c>
      <x:c r="D2400" s="6" t="str">
        <x:v>100.66 m2</x:v>
      </x:c>
      <x:c r="E2400" s="6" t="str">
        <x:v>Reference supplied</x:v>
      </x:c>
      <x:c r="F2400" s="6" t="str">
        <x:v>train</x:v>
      </x:c>
      <x:c r="G2400" s="6" t="str">
        <x:v>swiss-692</x:v>
      </x:c>
      <x:c r="H2400" s="6" t="str">
        <x:v>swiss-692-H02</x:v>
      </x:c>
      <x:c r="I2400" s="6" t="str">
        <x:v>Area and room selection</x:v>
      </x:c>
      <x:c r="J2400" s="6" t="str">
        <x:v>Benchmark</x:v>
      </x:c>
      <x:c r="K2400" s="6" t="str">
        <x:v>Answer: &lt;one number&gt;</x:v>
      </x:c>
      <x:c r="L2400" s="6" t="str">
        <x:v>T02, T04, T14</x:v>
      </x:c>
      <x:c r="M2400" s="6" t="str">
        <x:v>Sum the floor area of every matching room on one floor.</x:v>
      </x:c>
      <x:c r="N2400" s="6" t="str">
        <x:v>{"type":"number","value":100.66,"unit":"m2","relative_tolerance":0.05,"absolute_tolerance":0}</x:v>
      </x:c>
      <x:c r="O2400" s="6" t="str">
        <x:v>{"floor_id":"swiss-692-F2","room_type":"kitchen"}</x:v>
      </x:c>
      <x:c r="P2400" s="6" t="str">
        <x:v>Exact target floor and room_type. Polygon area in m².</x:v>
      </x:c>
      <x:c r="Q2400" s="15" t="n">
        <x:v>100.66</x:v>
      </x:c>
      <x:c r="R2400" s="6" t="str">
        <x:v>m2</x:v>
      </x:c>
      <x:c r="S2400" s="16" t="n">
        <x:v>0.05</x:v>
      </x:c>
      <x:c r="T2400" s="15" t="n">
        <x:v>0</x:v>
      </x:c>
      <x:c r="U2400" s="6" t="str">
        <x:v>Answer: 100.66</x:v>
      </x:c>
      <x:c r="V2400" s="6" t="str">
        <x:v>room geometry: summed area</x:v>
      </x:c>
      <x:c r="W2400" s="6" t="str">
        <x:v>Missing polygon-area aggregation tool.</x:v>
      </x:c>
      <x:c r="X2400" s="6" t="str">
        <x:v>data/train/swiss-692/questions.jsonl</x:v>
      </x:c>
      <x:c r="Y2400" s="14" t="n">
        <x:v>2</x:v>
      </x:c>
      <x:c r="Z2400" s="6" t="str">
        <x:v>https://github.com/hagenhaeussler/Industrial-Agents-Hackathon-2026/blob/f41616590b69f3ea0c1cbfb41d6c35edd9ce53df/data/train/swiss-692/questions.jsonl#L2</x:v>
      </x:c>
      <x:c r="AA2400" s="6" t="str">
        <x:v>swiss_dwellings</x:v>
      </x:c>
      <x:c r="AB2400" s="6" t="str">
        <x:v>CC-BY-4.0</x:v>
      </x:c>
    </x:row>
    <x:row r="2401" ht="72" customHeight="1">
      <x:c r="A2401" s="14" t="n">
        <x:v>2396</x:v>
      </x:c>
      <x:c r="B2401" s="6" t="str">
        <x:v>floor_area_total</x:v>
      </x:c>
      <x:c r="C2401" s="6" t="str">
        <x:v>Facilities want the total floor area of every bedroom on the floor 3 added together. How many square metres is that? Finish with a line 'Answer: &lt;number&gt;'.</x:v>
      </x:c>
      <x:c r="D2401" s="6" t="str">
        <x:v>50.23 m2</x:v>
      </x:c>
      <x:c r="E2401" s="6" t="str">
        <x:v>Reference supplied</x:v>
      </x:c>
      <x:c r="F2401" s="6" t="str">
        <x:v>train</x:v>
      </x:c>
      <x:c r="G2401" s="6" t="str">
        <x:v>swiss-920</x:v>
      </x:c>
      <x:c r="H2401" s="6" t="str">
        <x:v>swiss-920-H01</x:v>
      </x:c>
      <x:c r="I2401" s="6" t="str">
        <x:v>Area and room selection</x:v>
      </x:c>
      <x:c r="J2401" s="6" t="str">
        <x:v>Benchmark</x:v>
      </x:c>
      <x:c r="K2401" s="6" t="str">
        <x:v>Answer: &lt;one number&gt;</x:v>
      </x:c>
      <x:c r="L2401" s="6" t="str">
        <x:v>T02, T04, T14</x:v>
      </x:c>
      <x:c r="M2401" s="6" t="str">
        <x:v>Sum the floor area of every matching room on one floor.</x:v>
      </x:c>
      <x:c r="N2401" s="6" t="str">
        <x:v>{"type":"number","value":50.23,"unit":"m2","relative_tolerance":0.05,"absolute_tolerance":0}</x:v>
      </x:c>
      <x:c r="O2401" s="6" t="str">
        <x:v>{"floor_id":"swiss-920-F3","room_type":"bedroom"}</x:v>
      </x:c>
      <x:c r="P2401" s="6" t="str">
        <x:v>Exact target floor and room_type. Polygon area in m².</x:v>
      </x:c>
      <x:c r="Q2401" s="15" t="n">
        <x:v>50.23</x:v>
      </x:c>
      <x:c r="R2401" s="6" t="str">
        <x:v>m2</x:v>
      </x:c>
      <x:c r="S2401" s="16" t="n">
        <x:v>0.05</x:v>
      </x:c>
      <x:c r="T2401" s="15" t="n">
        <x:v>0</x:v>
      </x:c>
      <x:c r="U2401" s="6" t="str">
        <x:v>Answer: 50.23</x:v>
      </x:c>
      <x:c r="V2401" s="6" t="str">
        <x:v>room geometry: summed area</x:v>
      </x:c>
      <x:c r="W2401" s="6" t="str">
        <x:v>Missing polygon-area aggregation tool.</x:v>
      </x:c>
      <x:c r="X2401" s="6" t="str">
        <x:v>data/train/swiss-920/questions.jsonl</x:v>
      </x:c>
      <x:c r="Y2401" s="14" t="n">
        <x:v>1</x:v>
      </x:c>
      <x:c r="Z2401" s="6" t="str">
        <x:v>https://github.com/hagenhaeussler/Industrial-Agents-Hackathon-2026/blob/f41616590b69f3ea0c1cbfb41d6c35edd9ce53df/data/train/swiss-920/questions.jsonl#L1</x:v>
      </x:c>
      <x:c r="AA2401" s="6" t="str">
        <x:v>swiss_dwellings</x:v>
      </x:c>
      <x:c r="AB2401" s="6" t="str">
        <x:v>CC-BY-4.0</x:v>
      </x:c>
    </x:row>
    <x:row r="2402" ht="72" customHeight="1">
      <x:c r="A2402" s="14" t="n">
        <x:v>2397</x:v>
      </x:c>
      <x:c r="B2402" s="6" t="str">
        <x:v>floor_area_total</x:v>
      </x:c>
      <x:c r="C2402" s="6" t="str">
        <x:v>Facilities want the total floor area of every storage on the floor 2 added together. How many square metres is that? Finish with a line 'Answer: &lt;number&gt;'.</x:v>
      </x:c>
      <x:c r="D2402" s="6" t="str">
        <x:v>13.2 m2</x:v>
      </x:c>
      <x:c r="E2402" s="6" t="str">
        <x:v>Reference supplied</x:v>
      </x:c>
      <x:c r="F2402" s="6" t="str">
        <x:v>train</x:v>
      </x:c>
      <x:c r="G2402" s="6" t="str">
        <x:v>swiss-921</x:v>
      </x:c>
      <x:c r="H2402" s="6" t="str">
        <x:v>swiss-921-H02</x:v>
      </x:c>
      <x:c r="I2402" s="6" t="str">
        <x:v>Area and room selection</x:v>
      </x:c>
      <x:c r="J2402" s="6" t="str">
        <x:v>Benchmark</x:v>
      </x:c>
      <x:c r="K2402" s="6" t="str">
        <x:v>Answer: &lt;one number&gt;</x:v>
      </x:c>
      <x:c r="L2402" s="6" t="str">
        <x:v>T02, T04, T14</x:v>
      </x:c>
      <x:c r="M2402" s="6" t="str">
        <x:v>Sum the floor area of every matching room on one floor.</x:v>
      </x:c>
      <x:c r="N2402" s="6" t="str">
        <x:v>{"type":"number","value":13.2,"unit":"m2","relative_tolerance":0.05,"absolute_tolerance":0}</x:v>
      </x:c>
      <x:c r="O2402" s="6" t="str">
        <x:v>{"floor_id":"swiss-921-F2","room_type":"storage"}</x:v>
      </x:c>
      <x:c r="P2402" s="6" t="str">
        <x:v>Exact target floor and room_type. Polygon area in m².</x:v>
      </x:c>
      <x:c r="Q2402" s="15" t="n">
        <x:v>13.2</x:v>
      </x:c>
      <x:c r="R2402" s="6" t="str">
        <x:v>m2</x:v>
      </x:c>
      <x:c r="S2402" s="16" t="n">
        <x:v>0.05</x:v>
      </x:c>
      <x:c r="T2402" s="15" t="n">
        <x:v>0</x:v>
      </x:c>
      <x:c r="U2402" s="6" t="str">
        <x:v>Answer: 13.2</x:v>
      </x:c>
      <x:c r="V2402" s="6" t="str">
        <x:v>room geometry: summed area</x:v>
      </x:c>
      <x:c r="W2402" s="6" t="str">
        <x:v>Missing polygon-area aggregation tool.</x:v>
      </x:c>
      <x:c r="X2402" s="6" t="str">
        <x:v>data/train/swiss-921/questions.jsonl</x:v>
      </x:c>
      <x:c r="Y2402" s="14" t="n">
        <x:v>2</x:v>
      </x:c>
      <x:c r="Z2402" s="6" t="str">
        <x:v>https://github.com/hagenhaeussler/Industrial-Agents-Hackathon-2026/blob/f41616590b69f3ea0c1cbfb41d6c35edd9ce53df/data/train/swiss-921/questions.jsonl#L2</x:v>
      </x:c>
      <x:c r="AA2402" s="6" t="str">
        <x:v>swiss_dwellings</x:v>
      </x:c>
      <x:c r="AB2402" s="6" t="str">
        <x:v>CC-BY-4.0</x:v>
      </x:c>
    </x:row>
    <x:row r="2403" ht="72" customHeight="1">
      <x:c r="A2403" s="14" t="n">
        <x:v>2398</x:v>
      </x:c>
      <x:c r="B2403" s="6" t="str">
        <x:v>floor_area_total</x:v>
      </x:c>
      <x:c r="C2403" s="6" t="str">
        <x:v>Facilities want the total floor area of every generic room on the floor 4 added together. How many square metres is that? Finish with a line 'Answer: &lt;number&gt;'.</x:v>
      </x:c>
      <x:c r="D2403" s="6" t="str">
        <x:v>488.45 m2</x:v>
      </x:c>
      <x:c r="E2403" s="6" t="str">
        <x:v>Reference supplied</x:v>
      </x:c>
      <x:c r="F2403" s="6" t="str">
        <x:v>dev</x:v>
      </x:c>
      <x:c r="G2403" s="6" t="str">
        <x:v>osm-way22744230</x:v>
      </x:c>
      <x:c r="H2403" s="6" t="str">
        <x:v>osm-way22744230-H02</x:v>
      </x:c>
      <x:c r="I2403" s="6" t="str">
        <x:v>Area and room selection</x:v>
      </x:c>
      <x:c r="J2403" s="6" t="str">
        <x:v>Benchmark</x:v>
      </x:c>
      <x:c r="K2403" s="6" t="str">
        <x:v>Answer: &lt;one number&gt;</x:v>
      </x:c>
      <x:c r="L2403" s="6" t="str">
        <x:v>T02, T04, T14</x:v>
      </x:c>
      <x:c r="M2403" s="6" t="str">
        <x:v>Sum the floor area of every matching room on one floor.</x:v>
      </x:c>
      <x:c r="N2403" s="6" t="str">
        <x:v>{"type":"number","value":488.45,"unit":"m2","relative_tolerance":0.05,"absolute_tolerance":0}</x:v>
      </x:c>
      <x:c r="O2403" s="6" t="str">
        <x:v>{"floor_id":"osm-way22744230-F4","room_type":"generic_room"}</x:v>
      </x:c>
      <x:c r="P2403" s="6" t="str">
        <x:v>Exact target floor and room_type. Polygon area in m².</x:v>
      </x:c>
      <x:c r="Q2403" s="15" t="n">
        <x:v>488.45</x:v>
      </x:c>
      <x:c r="R2403" s="6" t="str">
        <x:v>m2</x:v>
      </x:c>
      <x:c r="S2403" s="16" t="n">
        <x:v>0.05</x:v>
      </x:c>
      <x:c r="T2403" s="15" t="n">
        <x:v>0</x:v>
      </x:c>
      <x:c r="U2403" s="6" t="str">
        <x:v>Answer: 488.45</x:v>
      </x:c>
      <x:c r="V2403" s="6" t="str">
        <x:v>room geometry: summed area</x:v>
      </x:c>
      <x:c r="W2403" s="6" t="str">
        <x:v>Missing polygon-area aggregation tool.</x:v>
      </x:c>
      <x:c r="X2403" s="6" t="str">
        <x:v>data/dev/osm-way22744230/questions.jsonl</x:v>
      </x:c>
      <x:c r="Y2403" s="14" t="n">
        <x:v>2</x:v>
      </x:c>
      <x:c r="Z2403" s="6" t="str">
        <x:v>https://github.com/hagenhaeussler/Industrial-Agents-Hackathon-2026/blob/f41616590b69f3ea0c1cbfb41d6c35edd9ce53df/data/dev/osm-way22744230/questions.jsonl#L2</x:v>
      </x:c>
      <x:c r="AA2403" s="6" t="str">
        <x:v>osm_indoor</x:v>
      </x:c>
      <x:c r="AB2403" s="6" t="str">
        <x:v>ODbL-1.0</x:v>
      </x:c>
    </x:row>
    <x:row r="2404" ht="72" customHeight="1">
      <x:c r="A2404" s="14" t="n">
        <x:v>2399</x:v>
      </x:c>
      <x:c r="B2404" s="6" t="str">
        <x:v>floor_area_total</x:v>
      </x:c>
      <x:c r="C2404" s="6" t="str">
        <x:v>Facilities want the total floor area of every generic room on the floor 1 added together. How many square metres is that? Finish with a line 'Answer: &lt;number&gt;'.</x:v>
      </x:c>
      <x:c r="D2404" s="6" t="str">
        <x:v>325.61 m2</x:v>
      </x:c>
      <x:c r="E2404" s="6" t="str">
        <x:v>Reference supplied</x:v>
      </x:c>
      <x:c r="F2404" s="6" t="str">
        <x:v>dev</x:v>
      </x:c>
      <x:c r="G2404" s="6" t="str">
        <x:v>osm-way27326387</x:v>
      </x:c>
      <x:c r="H2404" s="6" t="str">
        <x:v>osm-way27326387-H02</x:v>
      </x:c>
      <x:c r="I2404" s="6" t="str">
        <x:v>Area and room selection</x:v>
      </x:c>
      <x:c r="J2404" s="6" t="str">
        <x:v>Benchmark</x:v>
      </x:c>
      <x:c r="K2404" s="6" t="str">
        <x:v>Answer: &lt;one number&gt;</x:v>
      </x:c>
      <x:c r="L2404" s="6" t="str">
        <x:v>T02, T04, T14</x:v>
      </x:c>
      <x:c r="M2404" s="6" t="str">
        <x:v>Sum the floor area of every matching room on one floor.</x:v>
      </x:c>
      <x:c r="N2404" s="6" t="str">
        <x:v>{"type":"number","value":325.61,"unit":"m2","relative_tolerance":0.05,"absolute_tolerance":0}</x:v>
      </x:c>
      <x:c r="O2404" s="6" t="str">
        <x:v>{"floor_id":"osm-way27326387-F1","room_type":"generic_room"}</x:v>
      </x:c>
      <x:c r="P2404" s="6" t="str">
        <x:v>Exact target floor and room_type. Polygon area in m².</x:v>
      </x:c>
      <x:c r="Q2404" s="15" t="n">
        <x:v>325.61</x:v>
      </x:c>
      <x:c r="R2404" s="6" t="str">
        <x:v>m2</x:v>
      </x:c>
      <x:c r="S2404" s="16" t="n">
        <x:v>0.05</x:v>
      </x:c>
      <x:c r="T2404" s="15" t="n">
        <x:v>0</x:v>
      </x:c>
      <x:c r="U2404" s="6" t="str">
        <x:v>Answer: 325.61</x:v>
      </x:c>
      <x:c r="V2404" s="6" t="str">
        <x:v>room geometry: summed area</x:v>
      </x:c>
      <x:c r="W2404" s="6" t="str">
        <x:v>Missing polygon-area aggregation tool.</x:v>
      </x:c>
      <x:c r="X2404" s="6" t="str">
        <x:v>data/dev/osm-way27326387/questions.jsonl</x:v>
      </x:c>
      <x:c r="Y2404" s="14" t="n">
        <x:v>2</x:v>
      </x:c>
      <x:c r="Z2404" s="6" t="str">
        <x:v>https://github.com/hagenhaeussler/Industrial-Agents-Hackathon-2026/blob/f41616590b69f3ea0c1cbfb41d6c35edd9ce53df/data/dev/osm-way27326387/questions.jsonl#L2</x:v>
      </x:c>
      <x:c r="AA2404" s="6" t="str">
        <x:v>osm_indoor</x:v>
      </x:c>
      <x:c r="AB2404" s="6" t="str">
        <x:v>ODbL-1.0</x:v>
      </x:c>
    </x:row>
    <x:row r="2405" ht="72" customHeight="1">
      <x:c r="A2405" s="14" t="n">
        <x:v>2400</x:v>
      </x:c>
      <x:c r="B2405" s="6" t="str">
        <x:v>floor_area_total</x:v>
      </x:c>
      <x:c r="C2405" s="6" t="str">
        <x:v>Facilities want the total floor area of every generic room on the ground floor added together. How many square metres is that? Finish with a line 'Answer: &lt;number&gt;'.</x:v>
      </x:c>
      <x:c r="D2405" s="6" t="str">
        <x:v>4925.97 m2</x:v>
      </x:c>
      <x:c r="E2405" s="6" t="str">
        <x:v>Reference supplied</x:v>
      </x:c>
      <x:c r="F2405" s="6" t="str">
        <x:v>dev</x:v>
      </x:c>
      <x:c r="G2405" s="6" t="str">
        <x:v>osm-way27917482</x:v>
      </x:c>
      <x:c r="H2405" s="6" t="str">
        <x:v>osm-way27917482-H02</x:v>
      </x:c>
      <x:c r="I2405" s="6" t="str">
        <x:v>Area and room selection</x:v>
      </x:c>
      <x:c r="J2405" s="6" t="str">
        <x:v>Benchmark</x:v>
      </x:c>
      <x:c r="K2405" s="6" t="str">
        <x:v>Answer: &lt;one number&gt;</x:v>
      </x:c>
      <x:c r="L2405" s="6" t="str">
        <x:v>T02, T04, T14</x:v>
      </x:c>
      <x:c r="M2405" s="6" t="str">
        <x:v>Sum the floor area of every matching room on one floor.</x:v>
      </x:c>
      <x:c r="N2405" s="6" t="str">
        <x:v>{"type":"number","value":4925.97,"unit":"m2","relative_tolerance":0.05,"absolute_tolerance":0}</x:v>
      </x:c>
      <x:c r="O2405" s="6" t="str">
        <x:v>{"floor_id":"osm-way27917482-F0","room_type":"generic_room"}</x:v>
      </x:c>
      <x:c r="P2405" s="6" t="str">
        <x:v>Exact target floor and room_type. Polygon area in m².</x:v>
      </x:c>
      <x:c r="Q2405" s="15" t="n">
        <x:v>4925.97</x:v>
      </x:c>
      <x:c r="R2405" s="6" t="str">
        <x:v>m2</x:v>
      </x:c>
      <x:c r="S2405" s="16" t="n">
        <x:v>0.05</x:v>
      </x:c>
      <x:c r="T2405" s="15" t="n">
        <x:v>0</x:v>
      </x:c>
      <x:c r="U2405" s="6" t="str">
        <x:v>Answer: 4925.97</x:v>
      </x:c>
      <x:c r="V2405" s="6" t="str">
        <x:v>room geometry: summed area</x:v>
      </x:c>
      <x:c r="W2405" s="6" t="str">
        <x:v>Missing polygon-area aggregation tool.</x:v>
      </x:c>
      <x:c r="X2405" s="6" t="str">
        <x:v>data/dev/osm-way27917482/questions.jsonl</x:v>
      </x:c>
      <x:c r="Y2405" s="14" t="n">
        <x:v>2</x:v>
      </x:c>
      <x:c r="Z2405" s="6" t="str">
        <x:v>https://github.com/hagenhaeussler/Industrial-Agents-Hackathon-2026/blob/f41616590b69f3ea0c1cbfb41d6c35edd9ce53df/data/dev/osm-way27917482/questions.jsonl#L2</x:v>
      </x:c>
      <x:c r="AA2405" s="6" t="str">
        <x:v>osm_indoor</x:v>
      </x:c>
      <x:c r="AB2405" s="6" t="str">
        <x:v>ODbL-1.0</x:v>
      </x:c>
    </x:row>
    <x:row r="2406" ht="72" customHeight="1">
      <x:c r="A2406" s="14" t="n">
        <x:v>2401</x:v>
      </x:c>
      <x:c r="B2406" s="6" t="str">
        <x:v>floor_area_total</x:v>
      </x:c>
      <x:c r="C2406" s="6" t="str">
        <x:v>Facilities want the total floor area of every generic room on the floor 2 added together. How many square metres is that? Finish with a line 'Answer: &lt;number&gt;'.</x:v>
      </x:c>
      <x:c r="D2406" s="6" t="str">
        <x:v>2513.99 m2</x:v>
      </x:c>
      <x:c r="E2406" s="6" t="str">
        <x:v>Reference supplied</x:v>
      </x:c>
      <x:c r="F2406" s="6" t="str">
        <x:v>dev</x:v>
      </x:c>
      <x:c r="G2406" s="6" t="str">
        <x:v>osm-way360544293</x:v>
      </x:c>
      <x:c r="H2406" s="6" t="str">
        <x:v>osm-way360544293-H02</x:v>
      </x:c>
      <x:c r="I2406" s="6" t="str">
        <x:v>Area and room selection</x:v>
      </x:c>
      <x:c r="J2406" s="6" t="str">
        <x:v>Benchmark</x:v>
      </x:c>
      <x:c r="K2406" s="6" t="str">
        <x:v>Answer: &lt;one number&gt;</x:v>
      </x:c>
      <x:c r="L2406" s="6" t="str">
        <x:v>T02, T04, T14</x:v>
      </x:c>
      <x:c r="M2406" s="6" t="str">
        <x:v>Sum the floor area of every matching room on one floor.</x:v>
      </x:c>
      <x:c r="N2406" s="6" t="str">
        <x:v>{"type":"number","value":2513.99,"unit":"m2","relative_tolerance":0.05,"absolute_tolerance":0}</x:v>
      </x:c>
      <x:c r="O2406" s="6" t="str">
        <x:v>{"floor_id":"osm-way360544293-F2","room_type":"generic_room"}</x:v>
      </x:c>
      <x:c r="P2406" s="6" t="str">
        <x:v>Exact target floor and room_type. Polygon area in m².</x:v>
      </x:c>
      <x:c r="Q2406" s="15" t="n">
        <x:v>2513.99</x:v>
      </x:c>
      <x:c r="R2406" s="6" t="str">
        <x:v>m2</x:v>
      </x:c>
      <x:c r="S2406" s="16" t="n">
        <x:v>0.05</x:v>
      </x:c>
      <x:c r="T2406" s="15" t="n">
        <x:v>0</x:v>
      </x:c>
      <x:c r="U2406" s="6" t="str">
        <x:v>Answer: 2513.99</x:v>
      </x:c>
      <x:c r="V2406" s="6" t="str">
        <x:v>room geometry: summed area</x:v>
      </x:c>
      <x:c r="W2406" s="6" t="str">
        <x:v>Missing polygon-area aggregation tool.</x:v>
      </x:c>
      <x:c r="X2406" s="6" t="str">
        <x:v>data/dev/osm-way360544293/questions.jsonl</x:v>
      </x:c>
      <x:c r="Y2406" s="14" t="n">
        <x:v>2</x:v>
      </x:c>
      <x:c r="Z2406" s="6" t="str">
        <x:v>https://github.com/hagenhaeussler/Industrial-Agents-Hackathon-2026/blob/f41616590b69f3ea0c1cbfb41d6c35edd9ce53df/data/dev/osm-way360544293/questions.jsonl#L2</x:v>
      </x:c>
      <x:c r="AA2406" s="6" t="str">
        <x:v>osm_indoor</x:v>
      </x:c>
      <x:c r="AB2406" s="6" t="str">
        <x:v>ODbL-1.0</x:v>
      </x:c>
    </x:row>
    <x:row r="2407" ht="72" customHeight="1">
      <x:c r="A2407" s="14" t="n">
        <x:v>2402</x:v>
      </x:c>
      <x:c r="B2407" s="6" t="str">
        <x:v>floor_area_total</x:v>
      </x:c>
      <x:c r="C2407" s="6" t="str">
        <x:v>Facilities want the total floor area of every toilet on the floor 2 added together. How many square metres is that? Finish with a line 'Answer: &lt;number&gt;'.</x:v>
      </x:c>
      <x:c r="D2407" s="6" t="str">
        <x:v>94.56 m2</x:v>
      </x:c>
      <x:c r="E2407" s="6" t="str">
        <x:v>Reference supplied</x:v>
      </x:c>
      <x:c r="F2407" s="6" t="str">
        <x:v>dev</x:v>
      </x:c>
      <x:c r="G2407" s="6" t="str">
        <x:v>proc-campus-dev-000</x:v>
      </x:c>
      <x:c r="H2407" s="6" t="str">
        <x:v>proc-campus-dev-000-H02</x:v>
      </x:c>
      <x:c r="I2407" s="6" t="str">
        <x:v>Area and room selection</x:v>
      </x:c>
      <x:c r="J2407" s="6" t="str">
        <x:v>Benchmark</x:v>
      </x:c>
      <x:c r="K2407" s="6" t="str">
        <x:v>Answer: &lt;one number&gt;</x:v>
      </x:c>
      <x:c r="L2407" s="6" t="str">
        <x:v>T02, T04, T14</x:v>
      </x:c>
      <x:c r="M2407" s="6" t="str">
        <x:v>Sum the floor area of every matching room on one floor.</x:v>
      </x:c>
      <x:c r="N2407" s="6" t="str">
        <x:v>{"type":"number","value":94.56,"unit":"m2","relative_tolerance":0.05,"absolute_tolerance":0}</x:v>
      </x:c>
      <x:c r="O2407" s="6" t="str">
        <x:v>{"floor_id":"proc-campus-dev-000-F2","room_type":"toilet"}</x:v>
      </x:c>
      <x:c r="P2407" s="6" t="str">
        <x:v>Exact target floor and room_type. Polygon area in m².</x:v>
      </x:c>
      <x:c r="Q2407" s="15" t="n">
        <x:v>94.56</x:v>
      </x:c>
      <x:c r="R2407" s="6" t="str">
        <x:v>m2</x:v>
      </x:c>
      <x:c r="S2407" s="16" t="n">
        <x:v>0.05</x:v>
      </x:c>
      <x:c r="T2407" s="15" t="n">
        <x:v>0</x:v>
      </x:c>
      <x:c r="U2407" s="6" t="str">
        <x:v>Answer: 94.56</x:v>
      </x:c>
      <x:c r="V2407" s="6" t="str">
        <x:v>room geometry: summed area</x:v>
      </x:c>
      <x:c r="W2407" s="6" t="str">
        <x:v>Missing polygon-area aggregation tool.</x:v>
      </x:c>
      <x:c r="X2407" s="6" t="str">
        <x:v>data/dev/proc-campus-dev-000/questions.jsonl</x:v>
      </x:c>
      <x:c r="Y2407" s="14" t="n">
        <x:v>2</x:v>
      </x:c>
      <x:c r="Z2407" s="6" t="str">
        <x:v>https://github.com/hagenhaeussler/Industrial-Agents-Hackathon-2026/blob/f41616590b69f3ea0c1cbfb41d6c35edd9ce53df/data/dev/proc-campus-dev-000/questions.jsonl#L2</x:v>
      </x:c>
      <x:c r="AA2407" s="6" t="str">
        <x:v>procedural</x:v>
      </x:c>
      <x:c r="AB2407" s="6" t="str">
        <x:v>CC0-1.0</x:v>
      </x:c>
    </x:row>
    <x:row r="2408" ht="72" customHeight="1">
      <x:c r="A2408" s="14" t="n">
        <x:v>2403</x:v>
      </x:c>
      <x:c r="B2408" s="6" t="str">
        <x:v>floor_area_total</x:v>
      </x:c>
      <x:c r="C2408" s="6" t="str">
        <x:v>Facilities want the total floor area of every seminar room on the floor 1 added together. How many square metres is that? Finish with a line 'Answer: &lt;number&gt;'.</x:v>
      </x:c>
      <x:c r="D2408" s="6" t="str">
        <x:v>80.16 m2</x:v>
      </x:c>
      <x:c r="E2408" s="6" t="str">
        <x:v>Reference supplied</x:v>
      </x:c>
      <x:c r="F2408" s="6" t="str">
        <x:v>dev</x:v>
      </x:c>
      <x:c r="G2408" s="6" t="str">
        <x:v>proc-campus-dev-001</x:v>
      </x:c>
      <x:c r="H2408" s="6" t="str">
        <x:v>proc-campus-dev-001-H02</x:v>
      </x:c>
      <x:c r="I2408" s="6" t="str">
        <x:v>Area and room selection</x:v>
      </x:c>
      <x:c r="J2408" s="6" t="str">
        <x:v>Benchmark</x:v>
      </x:c>
      <x:c r="K2408" s="6" t="str">
        <x:v>Answer: &lt;one number&gt;</x:v>
      </x:c>
      <x:c r="L2408" s="6" t="str">
        <x:v>T02, T04, T14</x:v>
      </x:c>
      <x:c r="M2408" s="6" t="str">
        <x:v>Sum the floor area of every matching room on one floor.</x:v>
      </x:c>
      <x:c r="N2408" s="6" t="str">
        <x:v>{"type":"number","value":80.16,"unit":"m2","relative_tolerance":0.05,"absolute_tolerance":0}</x:v>
      </x:c>
      <x:c r="O2408" s="6" t="str">
        <x:v>{"floor_id":"proc-campus-dev-001-F1","room_type":"seminar_room"}</x:v>
      </x:c>
      <x:c r="P2408" s="6" t="str">
        <x:v>Exact target floor and room_type. Polygon area in m².</x:v>
      </x:c>
      <x:c r="Q2408" s="15" t="n">
        <x:v>80.16</x:v>
      </x:c>
      <x:c r="R2408" s="6" t="str">
        <x:v>m2</x:v>
      </x:c>
      <x:c r="S2408" s="16" t="n">
        <x:v>0.05</x:v>
      </x:c>
      <x:c r="T2408" s="15" t="n">
        <x:v>0</x:v>
      </x:c>
      <x:c r="U2408" s="6" t="str">
        <x:v>Answer: 80.16</x:v>
      </x:c>
      <x:c r="V2408" s="6" t="str">
        <x:v>room geometry: summed area</x:v>
      </x:c>
      <x:c r="W2408" s="6" t="str">
        <x:v>Missing polygon-area aggregation tool.</x:v>
      </x:c>
      <x:c r="X2408" s="6" t="str">
        <x:v>data/dev/proc-campus-dev-001/questions.jsonl</x:v>
      </x:c>
      <x:c r="Y2408" s="14" t="n">
        <x:v>2</x:v>
      </x:c>
      <x:c r="Z2408" s="6" t="str">
        <x:v>https://github.com/hagenhaeussler/Industrial-Agents-Hackathon-2026/blob/f41616590b69f3ea0c1cbfb41d6c35edd9ce53df/data/dev/proc-campus-dev-001/questions.jsonl#L2</x:v>
      </x:c>
      <x:c r="AA2408" s="6" t="str">
        <x:v>procedural</x:v>
      </x:c>
      <x:c r="AB2408" s="6" t="str">
        <x:v>CC0-1.0</x:v>
      </x:c>
    </x:row>
    <x:row r="2409" ht="72" customHeight="1">
      <x:c r="A2409" s="14" t="n">
        <x:v>2404</x:v>
      </x:c>
      <x:c r="B2409" s="6" t="str">
        <x:v>floor_area_total</x:v>
      </x:c>
      <x:c r="C2409" s="6" t="str">
        <x:v>Facilities want the total floor area of every office on the floor 2 added together. How many square metres is that? Finish with a line 'Answer: &lt;number&gt;'.</x:v>
      </x:c>
      <x:c r="D2409" s="6" t="str">
        <x:v>174.3 m2</x:v>
      </x:c>
      <x:c r="E2409" s="6" t="str">
        <x:v>Reference supplied</x:v>
      </x:c>
      <x:c r="F2409" s="6" t="str">
        <x:v>dev</x:v>
      </x:c>
      <x:c r="G2409" s="6" t="str">
        <x:v>proc-campus-dev-002</x:v>
      </x:c>
      <x:c r="H2409" s="6" t="str">
        <x:v>proc-campus-dev-002-H01</x:v>
      </x:c>
      <x:c r="I2409" s="6" t="str">
        <x:v>Area and room selection</x:v>
      </x:c>
      <x:c r="J2409" s="6" t="str">
        <x:v>Benchmark</x:v>
      </x:c>
      <x:c r="K2409" s="6" t="str">
        <x:v>Answer: &lt;one number&gt;</x:v>
      </x:c>
      <x:c r="L2409" s="6" t="str">
        <x:v>T02, T04, T14</x:v>
      </x:c>
      <x:c r="M2409" s="6" t="str">
        <x:v>Sum the floor area of every matching room on one floor.</x:v>
      </x:c>
      <x:c r="N2409" s="6" t="str">
        <x:v>{"type":"number","value":174.3,"unit":"m2","relative_tolerance":0.05,"absolute_tolerance":0}</x:v>
      </x:c>
      <x:c r="O2409" s="6" t="str">
        <x:v>{"floor_id":"proc-campus-dev-002-F2","room_type":"office"}</x:v>
      </x:c>
      <x:c r="P2409" s="6" t="str">
        <x:v>Exact target floor and room_type. Polygon area in m².</x:v>
      </x:c>
      <x:c r="Q2409" s="15" t="n">
        <x:v>174.3</x:v>
      </x:c>
      <x:c r="R2409" s="6" t="str">
        <x:v>m2</x:v>
      </x:c>
      <x:c r="S2409" s="16" t="n">
        <x:v>0.05</x:v>
      </x:c>
      <x:c r="T2409" s="15" t="n">
        <x:v>0</x:v>
      </x:c>
      <x:c r="U2409" s="6" t="str">
        <x:v>Answer: 174.3</x:v>
      </x:c>
      <x:c r="V2409" s="6" t="str">
        <x:v>room geometry: summed area</x:v>
      </x:c>
      <x:c r="W2409" s="6" t="str">
        <x:v>Missing polygon-area aggregation tool.</x:v>
      </x:c>
      <x:c r="X2409" s="6" t="str">
        <x:v>data/dev/proc-campus-dev-002/questions.jsonl</x:v>
      </x:c>
      <x:c r="Y2409" s="14" t="n">
        <x:v>1</x:v>
      </x:c>
      <x:c r="Z2409" s="6" t="str">
        <x:v>https://github.com/hagenhaeussler/Industrial-Agents-Hackathon-2026/blob/f41616590b69f3ea0c1cbfb41d6c35edd9ce53df/data/dev/proc-campus-dev-002/questions.jsonl#L1</x:v>
      </x:c>
      <x:c r="AA2409" s="6" t="str">
        <x:v>procedural</x:v>
      </x:c>
      <x:c r="AB2409" s="6" t="str">
        <x:v>CC0-1.0</x:v>
      </x:c>
    </x:row>
    <x:row r="2410" ht="72" customHeight="1">
      <x:c r="A2410" s="14" t="n">
        <x:v>2405</x:v>
      </x:c>
      <x:c r="B2410" s="6" t="str">
        <x:v>floor_area_total</x:v>
      </x:c>
      <x:c r="C2410" s="6" t="str">
        <x:v>Facilities want the total floor area of every seminar room on the floor 2 added together. How many square metres is that? Finish with a line 'Answer: &lt;number&gt;'.</x:v>
      </x:c>
      <x:c r="D2410" s="6" t="str">
        <x:v>94.02 m2</x:v>
      </x:c>
      <x:c r="E2410" s="6" t="str">
        <x:v>Reference supplied</x:v>
      </x:c>
      <x:c r="F2410" s="6" t="str">
        <x:v>dev</x:v>
      </x:c>
      <x:c r="G2410" s="6" t="str">
        <x:v>proc-campus-dev-006</x:v>
      </x:c>
      <x:c r="H2410" s="6" t="str">
        <x:v>proc-campus-dev-006-H01</x:v>
      </x:c>
      <x:c r="I2410" s="6" t="str">
        <x:v>Area and room selection</x:v>
      </x:c>
      <x:c r="J2410" s="6" t="str">
        <x:v>Benchmark</x:v>
      </x:c>
      <x:c r="K2410" s="6" t="str">
        <x:v>Answer: &lt;one number&gt;</x:v>
      </x:c>
      <x:c r="L2410" s="6" t="str">
        <x:v>T02, T04, T14</x:v>
      </x:c>
      <x:c r="M2410" s="6" t="str">
        <x:v>Sum the floor area of every matching room on one floor.</x:v>
      </x:c>
      <x:c r="N2410" s="6" t="str">
        <x:v>{"type":"number","value":94.02,"unit":"m2","relative_tolerance":0.05,"absolute_tolerance":0}</x:v>
      </x:c>
      <x:c r="O2410" s="6" t="str">
        <x:v>{"floor_id":"proc-campus-dev-006-F2","room_type":"seminar_room"}</x:v>
      </x:c>
      <x:c r="P2410" s="6" t="str">
        <x:v>Exact target floor and room_type. Polygon area in m².</x:v>
      </x:c>
      <x:c r="Q2410" s="15" t="n">
        <x:v>94.02</x:v>
      </x:c>
      <x:c r="R2410" s="6" t="str">
        <x:v>m2</x:v>
      </x:c>
      <x:c r="S2410" s="16" t="n">
        <x:v>0.05</x:v>
      </x:c>
      <x:c r="T2410" s="15" t="n">
        <x:v>0</x:v>
      </x:c>
      <x:c r="U2410" s="6" t="str">
        <x:v>Answer: 94.02</x:v>
      </x:c>
      <x:c r="V2410" s="6" t="str">
        <x:v>room geometry: summed area</x:v>
      </x:c>
      <x:c r="W2410" s="6" t="str">
        <x:v>Missing polygon-area aggregation tool.</x:v>
      </x:c>
      <x:c r="X2410" s="6" t="str">
        <x:v>data/dev/proc-campus-dev-006/questions.jsonl</x:v>
      </x:c>
      <x:c r="Y2410" s="14" t="n">
        <x:v>1</x:v>
      </x:c>
      <x:c r="Z2410" s="6" t="str">
        <x:v>https://github.com/hagenhaeussler/Industrial-Agents-Hackathon-2026/blob/f41616590b69f3ea0c1cbfb41d6c35edd9ce53df/data/dev/proc-campus-dev-006/questions.jsonl#L1</x:v>
      </x:c>
      <x:c r="AA2410" s="6" t="str">
        <x:v>procedural</x:v>
      </x:c>
      <x:c r="AB2410" s="6" t="str">
        <x:v>CC0-1.0</x:v>
      </x:c>
    </x:row>
    <x:row r="2411" ht="72" customHeight="1">
      <x:c r="A2411" s="14" t="n">
        <x:v>2406</x:v>
      </x:c>
      <x:c r="B2411" s="6" t="str">
        <x:v>floor_area_total</x:v>
      </x:c>
      <x:c r="C2411" s="6" t="str">
        <x:v>Facilities want the total floor area of every toilet on the floor 1 added together. How many square metres is that? Finish with a line 'Answer: &lt;number&gt;'.</x:v>
      </x:c>
      <x:c r="D2411" s="6" t="str">
        <x:v>78.3 m2</x:v>
      </x:c>
      <x:c r="E2411" s="6" t="str">
        <x:v>Reference supplied</x:v>
      </x:c>
      <x:c r="F2411" s="6" t="str">
        <x:v>dev</x:v>
      </x:c>
      <x:c r="G2411" s="6" t="str">
        <x:v>proc-campus-dev-009</x:v>
      </x:c>
      <x:c r="H2411" s="6" t="str">
        <x:v>proc-campus-dev-009-H02</x:v>
      </x:c>
      <x:c r="I2411" s="6" t="str">
        <x:v>Area and room selection</x:v>
      </x:c>
      <x:c r="J2411" s="6" t="str">
        <x:v>Benchmark</x:v>
      </x:c>
      <x:c r="K2411" s="6" t="str">
        <x:v>Answer: &lt;one number&gt;</x:v>
      </x:c>
      <x:c r="L2411" s="6" t="str">
        <x:v>T02, T04, T14</x:v>
      </x:c>
      <x:c r="M2411" s="6" t="str">
        <x:v>Sum the floor area of every matching room on one floor.</x:v>
      </x:c>
      <x:c r="N2411" s="6" t="str">
        <x:v>{"type":"number","value":78.3,"unit":"m2","relative_tolerance":0.05,"absolute_tolerance":0}</x:v>
      </x:c>
      <x:c r="O2411" s="6" t="str">
        <x:v>{"floor_id":"proc-campus-dev-009-F1","room_type":"toilet"}</x:v>
      </x:c>
      <x:c r="P2411" s="6" t="str">
        <x:v>Exact target floor and room_type. Polygon area in m².</x:v>
      </x:c>
      <x:c r="Q2411" s="15" t="n">
        <x:v>78.3</x:v>
      </x:c>
      <x:c r="R2411" s="6" t="str">
        <x:v>m2</x:v>
      </x:c>
      <x:c r="S2411" s="16" t="n">
        <x:v>0.05</x:v>
      </x:c>
      <x:c r="T2411" s="15" t="n">
        <x:v>0</x:v>
      </x:c>
      <x:c r="U2411" s="6" t="str">
        <x:v>Answer: 78.3</x:v>
      </x:c>
      <x:c r="V2411" s="6" t="str">
        <x:v>room geometry: summed area</x:v>
      </x:c>
      <x:c r="W2411" s="6" t="str">
        <x:v>Missing polygon-area aggregation tool.</x:v>
      </x:c>
      <x:c r="X2411" s="6" t="str">
        <x:v>data/dev/proc-campus-dev-009/questions.jsonl</x:v>
      </x:c>
      <x:c r="Y2411" s="14" t="n">
        <x:v>2</x:v>
      </x:c>
      <x:c r="Z2411" s="6" t="str">
        <x:v>https://github.com/hagenhaeussler/Industrial-Agents-Hackathon-2026/blob/f41616590b69f3ea0c1cbfb41d6c35edd9ce53df/data/dev/proc-campus-dev-009/questions.jsonl#L2</x:v>
      </x:c>
      <x:c r="AA2411" s="6" t="str">
        <x:v>procedural</x:v>
      </x:c>
      <x:c r="AB2411" s="6" t="str">
        <x:v>CC0-1.0</x:v>
      </x:c>
    </x:row>
    <x:row r="2412" ht="72" customHeight="1">
      <x:c r="A2412" s="14" t="n">
        <x:v>2407</x:v>
      </x:c>
      <x:c r="B2412" s="6" t="str">
        <x:v>floor_area_total</x:v>
      </x:c>
      <x:c r="C2412" s="6" t="str">
        <x:v>Facilities want the total floor area of every office on the ground floor added together. How many square metres is that? Finish with a line 'Answer: &lt;number&gt;'.</x:v>
      </x:c>
      <x:c r="D2412" s="6" t="str">
        <x:v>125.82 m2</x:v>
      </x:c>
      <x:c r="E2412" s="6" t="str">
        <x:v>Reference supplied</x:v>
      </x:c>
      <x:c r="F2412" s="6" t="str">
        <x:v>dev</x:v>
      </x:c>
      <x:c r="G2412" s="6" t="str">
        <x:v>proc-campus-dev-013</x:v>
      </x:c>
      <x:c r="H2412" s="6" t="str">
        <x:v>proc-campus-dev-013-H01</x:v>
      </x:c>
      <x:c r="I2412" s="6" t="str">
        <x:v>Area and room selection</x:v>
      </x:c>
      <x:c r="J2412" s="6" t="str">
        <x:v>Benchmark</x:v>
      </x:c>
      <x:c r="K2412" s="6" t="str">
        <x:v>Answer: &lt;one number&gt;</x:v>
      </x:c>
      <x:c r="L2412" s="6" t="str">
        <x:v>T02, T04, T14</x:v>
      </x:c>
      <x:c r="M2412" s="6" t="str">
        <x:v>Sum the floor area of every matching room on one floor.</x:v>
      </x:c>
      <x:c r="N2412" s="6" t="str">
        <x:v>{"type":"number","value":125.82,"unit":"m2","relative_tolerance":0.05,"absolute_tolerance":0}</x:v>
      </x:c>
      <x:c r="O2412" s="6" t="str">
        <x:v>{"floor_id":"proc-campus-dev-013-F0","room_type":"office"}</x:v>
      </x:c>
      <x:c r="P2412" s="6" t="str">
        <x:v>Exact target floor and room_type. Polygon area in m².</x:v>
      </x:c>
      <x:c r="Q2412" s="15" t="n">
        <x:v>125.82</x:v>
      </x:c>
      <x:c r="R2412" s="6" t="str">
        <x:v>m2</x:v>
      </x:c>
      <x:c r="S2412" s="16" t="n">
        <x:v>0.05</x:v>
      </x:c>
      <x:c r="T2412" s="15" t="n">
        <x:v>0</x:v>
      </x:c>
      <x:c r="U2412" s="6" t="str">
        <x:v>Answer: 125.82</x:v>
      </x:c>
      <x:c r="V2412" s="6" t="str">
        <x:v>room geometry: summed area</x:v>
      </x:c>
      <x:c r="W2412" s="6" t="str">
        <x:v>Missing polygon-area aggregation tool.</x:v>
      </x:c>
      <x:c r="X2412" s="6" t="str">
        <x:v>data/dev/proc-campus-dev-013/questions.jsonl</x:v>
      </x:c>
      <x:c r="Y2412" s="14" t="n">
        <x:v>1</x:v>
      </x:c>
      <x:c r="Z2412" s="6" t="str">
        <x:v>https://github.com/hagenhaeussler/Industrial-Agents-Hackathon-2026/blob/f41616590b69f3ea0c1cbfb41d6c35edd9ce53df/data/dev/proc-campus-dev-013/questions.jsonl#L1</x:v>
      </x:c>
      <x:c r="AA2412" s="6" t="str">
        <x:v>procedural</x:v>
      </x:c>
      <x:c r="AB2412" s="6" t="str">
        <x:v>CC0-1.0</x:v>
      </x:c>
    </x:row>
    <x:row r="2413" ht="72" customHeight="1">
      <x:c r="A2413" s="14" t="n">
        <x:v>2408</x:v>
      </x:c>
      <x:c r="B2413" s="6" t="str">
        <x:v>floor_area_total</x:v>
      </x:c>
      <x:c r="C2413" s="6" t="str">
        <x:v>Facilities want the total floor area of every meeting room on the ground floor added together. How many square metres is that? Finish with a line 'Answer: &lt;number&gt;'.</x:v>
      </x:c>
      <x:c r="D2413" s="6" t="str">
        <x:v>171.65 m2</x:v>
      </x:c>
      <x:c r="E2413" s="6" t="str">
        <x:v>Reference supplied</x:v>
      </x:c>
      <x:c r="F2413" s="6" t="str">
        <x:v>dev</x:v>
      </x:c>
      <x:c r="G2413" s="6" t="str">
        <x:v>proc-factory-dev-003</x:v>
      </x:c>
      <x:c r="H2413" s="6" t="str">
        <x:v>proc-factory-dev-003-H02</x:v>
      </x:c>
      <x:c r="I2413" s="6" t="str">
        <x:v>Area and room selection</x:v>
      </x:c>
      <x:c r="J2413" s="6" t="str">
        <x:v>Benchmark</x:v>
      </x:c>
      <x:c r="K2413" s="6" t="str">
        <x:v>Answer: &lt;one number&gt;</x:v>
      </x:c>
      <x:c r="L2413" s="6" t="str">
        <x:v>T02, T04, T14</x:v>
      </x:c>
      <x:c r="M2413" s="6" t="str">
        <x:v>Sum the floor area of every matching room on one floor.</x:v>
      </x:c>
      <x:c r="N2413" s="6" t="str">
        <x:v>{"type":"number","value":171.65,"unit":"m2","relative_tolerance":0.05,"absolute_tolerance":0}</x:v>
      </x:c>
      <x:c r="O2413" s="6" t="str">
        <x:v>{"floor_id":"proc-factory-dev-003-F0","room_type":"meeting_room"}</x:v>
      </x:c>
      <x:c r="P2413" s="6" t="str">
        <x:v>Exact target floor and room_type. Polygon area in m².</x:v>
      </x:c>
      <x:c r="Q2413" s="15" t="n">
        <x:v>171.65</x:v>
      </x:c>
      <x:c r="R2413" s="6" t="str">
        <x:v>m2</x:v>
      </x:c>
      <x:c r="S2413" s="16" t="n">
        <x:v>0.05</x:v>
      </x:c>
      <x:c r="T2413" s="15" t="n">
        <x:v>0</x:v>
      </x:c>
      <x:c r="U2413" s="6" t="str">
        <x:v>Answer: 171.65</x:v>
      </x:c>
      <x:c r="V2413" s="6" t="str">
        <x:v>room geometry: summed area</x:v>
      </x:c>
      <x:c r="W2413" s="6" t="str">
        <x:v>Missing polygon-area aggregation tool.</x:v>
      </x:c>
      <x:c r="X2413" s="6" t="str">
        <x:v>data/dev/proc-factory-dev-003/questions.jsonl</x:v>
      </x:c>
      <x:c r="Y2413" s="14" t="n">
        <x:v>2</x:v>
      </x:c>
      <x:c r="Z2413" s="6" t="str">
        <x:v>https://github.com/hagenhaeussler/Industrial-Agents-Hackathon-2026/blob/f41616590b69f3ea0c1cbfb41d6c35edd9ce53df/data/dev/proc-factory-dev-003/questions.jsonl#L2</x:v>
      </x:c>
      <x:c r="AA2413" s="6" t="str">
        <x:v>procedural</x:v>
      </x:c>
      <x:c r="AB2413" s="6" t="str">
        <x:v>CC0-1.0</x:v>
      </x:c>
    </x:row>
    <x:row r="2414" ht="72" customHeight="1">
      <x:c r="A2414" s="14" t="n">
        <x:v>2409</x:v>
      </x:c>
      <x:c r="B2414" s="6" t="str">
        <x:v>floor_area_total</x:v>
      </x:c>
      <x:c r="C2414" s="6" t="str">
        <x:v>Facilities want the total floor area of every office on the ground floor added together. How many square metres is that? Finish with a line 'Answer: &lt;number&gt;'.</x:v>
      </x:c>
      <x:c r="D2414" s="6" t="str">
        <x:v>89.65 m2</x:v>
      </x:c>
      <x:c r="E2414" s="6" t="str">
        <x:v>Reference supplied</x:v>
      </x:c>
      <x:c r="F2414" s="6" t="str">
        <x:v>dev</x:v>
      </x:c>
      <x:c r="G2414" s="6" t="str">
        <x:v>proc-factory-dev-004</x:v>
      </x:c>
      <x:c r="H2414" s="6" t="str">
        <x:v>proc-factory-dev-004-H01</x:v>
      </x:c>
      <x:c r="I2414" s="6" t="str">
        <x:v>Area and room selection</x:v>
      </x:c>
      <x:c r="J2414" s="6" t="str">
        <x:v>Benchmark</x:v>
      </x:c>
      <x:c r="K2414" s="6" t="str">
        <x:v>Answer: &lt;one number&gt;</x:v>
      </x:c>
      <x:c r="L2414" s="6" t="str">
        <x:v>T02, T04, T14</x:v>
      </x:c>
      <x:c r="M2414" s="6" t="str">
        <x:v>Sum the floor area of every matching room on one floor.</x:v>
      </x:c>
      <x:c r="N2414" s="6" t="str">
        <x:v>{"type":"number","value":89.65,"unit":"m2","relative_tolerance":0.05,"absolute_tolerance":0}</x:v>
      </x:c>
      <x:c r="O2414" s="6" t="str">
        <x:v>{"floor_id":"proc-factory-dev-004-F0","room_type":"office"}</x:v>
      </x:c>
      <x:c r="P2414" s="6" t="str">
        <x:v>Exact target floor and room_type. Polygon area in m².</x:v>
      </x:c>
      <x:c r="Q2414" s="15" t="n">
        <x:v>89.65</x:v>
      </x:c>
      <x:c r="R2414" s="6" t="str">
        <x:v>m2</x:v>
      </x:c>
      <x:c r="S2414" s="16" t="n">
        <x:v>0.05</x:v>
      </x:c>
      <x:c r="T2414" s="15" t="n">
        <x:v>0</x:v>
      </x:c>
      <x:c r="U2414" s="6" t="str">
        <x:v>Answer: 89.65</x:v>
      </x:c>
      <x:c r="V2414" s="6" t="str">
        <x:v>room geometry: summed area</x:v>
      </x:c>
      <x:c r="W2414" s="6" t="str">
        <x:v>Missing polygon-area aggregation tool.</x:v>
      </x:c>
      <x:c r="X2414" s="6" t="str">
        <x:v>data/dev/proc-factory-dev-004/questions.jsonl</x:v>
      </x:c>
      <x:c r="Y2414" s="14" t="n">
        <x:v>1</x:v>
      </x:c>
      <x:c r="Z2414" s="6" t="str">
        <x:v>https://github.com/hagenhaeussler/Industrial-Agents-Hackathon-2026/blob/f41616590b69f3ea0c1cbfb41d6c35edd9ce53df/data/dev/proc-factory-dev-004/questions.jsonl#L1</x:v>
      </x:c>
      <x:c r="AA2414" s="6" t="str">
        <x:v>procedural</x:v>
      </x:c>
      <x:c r="AB2414" s="6" t="str">
        <x:v>CC0-1.0</x:v>
      </x:c>
    </x:row>
    <x:row r="2415" ht="72" customHeight="1">
      <x:c r="A2415" s="14" t="n">
        <x:v>2410</x:v>
      </x:c>
      <x:c r="B2415" s="6" t="str">
        <x:v>floor_area_total</x:v>
      </x:c>
      <x:c r="C2415" s="6" t="str">
        <x:v>Facilities want the total floor area of every warehouse zone on the ground floor added together. How many square metres is that? Finish with a line 'Answer: &lt;number&gt;'.</x:v>
      </x:c>
      <x:c r="D2415" s="6" t="str">
        <x:v>1522.5 m2</x:v>
      </x:c>
      <x:c r="E2415" s="6" t="str">
        <x:v>Reference supplied</x:v>
      </x:c>
      <x:c r="F2415" s="6" t="str">
        <x:v>dev</x:v>
      </x:c>
      <x:c r="G2415" s="6" t="str">
        <x:v>proc-factory-dev-005</x:v>
      </x:c>
      <x:c r="H2415" s="6" t="str">
        <x:v>proc-factory-dev-005-H02</x:v>
      </x:c>
      <x:c r="I2415" s="6" t="str">
        <x:v>Area and room selection</x:v>
      </x:c>
      <x:c r="J2415" s="6" t="str">
        <x:v>Benchmark</x:v>
      </x:c>
      <x:c r="K2415" s="6" t="str">
        <x:v>Answer: &lt;one number&gt;</x:v>
      </x:c>
      <x:c r="L2415" s="6" t="str">
        <x:v>T02, T04, T14</x:v>
      </x:c>
      <x:c r="M2415" s="6" t="str">
        <x:v>Sum the floor area of every matching room on one floor.</x:v>
      </x:c>
      <x:c r="N2415" s="6" t="str">
        <x:v>{"type":"number","value":1522.5,"unit":"m2","relative_tolerance":0.05,"absolute_tolerance":0}</x:v>
      </x:c>
      <x:c r="O2415" s="6" t="str">
        <x:v>{"floor_id":"proc-factory-dev-005-F0","room_type":"warehouse_zone"}</x:v>
      </x:c>
      <x:c r="P2415" s="6" t="str">
        <x:v>Exact target floor and room_type. Polygon area in m².</x:v>
      </x:c>
      <x:c r="Q2415" s="15" t="n">
        <x:v>1522.5</x:v>
      </x:c>
      <x:c r="R2415" s="6" t="str">
        <x:v>m2</x:v>
      </x:c>
      <x:c r="S2415" s="16" t="n">
        <x:v>0.05</x:v>
      </x:c>
      <x:c r="T2415" s="15" t="n">
        <x:v>0</x:v>
      </x:c>
      <x:c r="U2415" s="6" t="str">
        <x:v>Answer: 1522.5</x:v>
      </x:c>
      <x:c r="V2415" s="6" t="str">
        <x:v>room geometry: summed area</x:v>
      </x:c>
      <x:c r="W2415" s="6" t="str">
        <x:v>Missing polygon-area aggregation tool.</x:v>
      </x:c>
      <x:c r="X2415" s="6" t="str">
        <x:v>data/dev/proc-factory-dev-005/questions.jsonl</x:v>
      </x:c>
      <x:c r="Y2415" s="14" t="n">
        <x:v>2</x:v>
      </x:c>
      <x:c r="Z2415" s="6" t="str">
        <x:v>https://github.com/hagenhaeussler/Industrial-Agents-Hackathon-2026/blob/f41616590b69f3ea0c1cbfb41d6c35edd9ce53df/data/dev/proc-factory-dev-005/questions.jsonl#L2</x:v>
      </x:c>
      <x:c r="AA2415" s="6" t="str">
        <x:v>procedural</x:v>
      </x:c>
      <x:c r="AB2415" s="6" t="str">
        <x:v>CC0-1.0</x:v>
      </x:c>
    </x:row>
    <x:row r="2416" ht="72" customHeight="1">
      <x:c r="A2416" s="14" t="n">
        <x:v>2411</x:v>
      </x:c>
      <x:c r="B2416" s="6" t="str">
        <x:v>floor_area_total</x:v>
      </x:c>
      <x:c r="C2416" s="6" t="str">
        <x:v>Facilities want the total floor area of every office on the ground floor added together. How many square metres is that? Finish with a line 'Answer: &lt;number&gt;'.</x:v>
      </x:c>
      <x:c r="D2416" s="6" t="str">
        <x:v>86.25 m2</x:v>
      </x:c>
      <x:c r="E2416" s="6" t="str">
        <x:v>Reference supplied</x:v>
      </x:c>
      <x:c r="F2416" s="6" t="str">
        <x:v>dev</x:v>
      </x:c>
      <x:c r="G2416" s="6" t="str">
        <x:v>proc-factory-dev-007</x:v>
      </x:c>
      <x:c r="H2416" s="6" t="str">
        <x:v>proc-factory-dev-007-H02</x:v>
      </x:c>
      <x:c r="I2416" s="6" t="str">
        <x:v>Area and room selection</x:v>
      </x:c>
      <x:c r="J2416" s="6" t="str">
        <x:v>Benchmark</x:v>
      </x:c>
      <x:c r="K2416" s="6" t="str">
        <x:v>Answer: &lt;one number&gt;</x:v>
      </x:c>
      <x:c r="L2416" s="6" t="str">
        <x:v>T02, T04, T14</x:v>
      </x:c>
      <x:c r="M2416" s="6" t="str">
        <x:v>Sum the floor area of every matching room on one floor.</x:v>
      </x:c>
      <x:c r="N2416" s="6" t="str">
        <x:v>{"type":"number","value":86.25,"unit":"m2","relative_tolerance":0.05,"absolute_tolerance":0}</x:v>
      </x:c>
      <x:c r="O2416" s="6" t="str">
        <x:v>{"floor_id":"proc-factory-dev-007-F0","room_type":"office"}</x:v>
      </x:c>
      <x:c r="P2416" s="6" t="str">
        <x:v>Exact target floor and room_type. Polygon area in m².</x:v>
      </x:c>
      <x:c r="Q2416" s="15" t="n">
        <x:v>86.25</x:v>
      </x:c>
      <x:c r="R2416" s="6" t="str">
        <x:v>m2</x:v>
      </x:c>
      <x:c r="S2416" s="16" t="n">
        <x:v>0.05</x:v>
      </x:c>
      <x:c r="T2416" s="15" t="n">
        <x:v>0</x:v>
      </x:c>
      <x:c r="U2416" s="6" t="str">
        <x:v>Answer: 86.25</x:v>
      </x:c>
      <x:c r="V2416" s="6" t="str">
        <x:v>room geometry: summed area</x:v>
      </x:c>
      <x:c r="W2416" s="6" t="str">
        <x:v>Missing polygon-area aggregation tool.</x:v>
      </x:c>
      <x:c r="X2416" s="6" t="str">
        <x:v>data/dev/proc-factory-dev-007/questions.jsonl</x:v>
      </x:c>
      <x:c r="Y2416" s="14" t="n">
        <x:v>2</x:v>
      </x:c>
      <x:c r="Z2416" s="6" t="str">
        <x:v>https://github.com/hagenhaeussler/Industrial-Agents-Hackathon-2026/blob/f41616590b69f3ea0c1cbfb41d6c35edd9ce53df/data/dev/proc-factory-dev-007/questions.jsonl#L2</x:v>
      </x:c>
      <x:c r="AA2416" s="6" t="str">
        <x:v>procedural</x:v>
      </x:c>
      <x:c r="AB2416" s="6" t="str">
        <x:v>CC0-1.0</x:v>
      </x:c>
    </x:row>
    <x:row r="2417" ht="72" customHeight="1">
      <x:c r="A2417" s="14" t="n">
        <x:v>2412</x:v>
      </x:c>
      <x:c r="B2417" s="6" t="str">
        <x:v>floor_area_total</x:v>
      </x:c>
      <x:c r="C2417" s="6" t="str">
        <x:v>Facilities want the total floor area of every meeting room on the floor 1 added together. How many square metres is that? Finish with a line 'Answer: &lt;number&gt;'.</x:v>
      </x:c>
      <x:c r="D2417" s="6" t="str">
        <x:v>92 m2</x:v>
      </x:c>
      <x:c r="E2417" s="6" t="str">
        <x:v>Reference supplied</x:v>
      </x:c>
      <x:c r="F2417" s="6" t="str">
        <x:v>dev</x:v>
      </x:c>
      <x:c r="G2417" s="6" t="str">
        <x:v>proc-factory-dev-008</x:v>
      </x:c>
      <x:c r="H2417" s="6" t="str">
        <x:v>proc-factory-dev-008-H02</x:v>
      </x:c>
      <x:c r="I2417" s="6" t="str">
        <x:v>Area and room selection</x:v>
      </x:c>
      <x:c r="J2417" s="6" t="str">
        <x:v>Benchmark</x:v>
      </x:c>
      <x:c r="K2417" s="6" t="str">
        <x:v>Answer: &lt;one number&gt;</x:v>
      </x:c>
      <x:c r="L2417" s="6" t="str">
        <x:v>T02, T04, T14</x:v>
      </x:c>
      <x:c r="M2417" s="6" t="str">
        <x:v>Sum the floor area of every matching room on one floor.</x:v>
      </x:c>
      <x:c r="N2417" s="6" t="str">
        <x:v>{"type":"number","value":92,"unit":"m2","relative_tolerance":0.05,"absolute_tolerance":0}</x:v>
      </x:c>
      <x:c r="O2417" s="6" t="str">
        <x:v>{"floor_id":"proc-factory-dev-008-F1","room_type":"meeting_room"}</x:v>
      </x:c>
      <x:c r="P2417" s="6" t="str">
        <x:v>Exact target floor and room_type. Polygon area in m².</x:v>
      </x:c>
      <x:c r="Q2417" s="15" t="n">
        <x:v>92</x:v>
      </x:c>
      <x:c r="R2417" s="6" t="str">
        <x:v>m2</x:v>
      </x:c>
      <x:c r="S2417" s="16" t="n">
        <x:v>0.05</x:v>
      </x:c>
      <x:c r="T2417" s="15" t="n">
        <x:v>0</x:v>
      </x:c>
      <x:c r="U2417" s="6" t="str">
        <x:v>Answer: 92</x:v>
      </x:c>
      <x:c r="V2417" s="6" t="str">
        <x:v>room geometry: summed area</x:v>
      </x:c>
      <x:c r="W2417" s="6" t="str">
        <x:v>Missing polygon-area aggregation tool.</x:v>
      </x:c>
      <x:c r="X2417" s="6" t="str">
        <x:v>data/dev/proc-factory-dev-008/questions.jsonl</x:v>
      </x:c>
      <x:c r="Y2417" s="14" t="n">
        <x:v>2</x:v>
      </x:c>
      <x:c r="Z2417" s="6" t="str">
        <x:v>https://github.com/hagenhaeussler/Industrial-Agents-Hackathon-2026/blob/f41616590b69f3ea0c1cbfb41d6c35edd9ce53df/data/dev/proc-factory-dev-008/questions.jsonl#L2</x:v>
      </x:c>
      <x:c r="AA2417" s="6" t="str">
        <x:v>procedural</x:v>
      </x:c>
      <x:c r="AB2417" s="6" t="str">
        <x:v>CC0-1.0</x:v>
      </x:c>
    </x:row>
    <x:row r="2418" ht="72" customHeight="1">
      <x:c r="A2418" s="14" t="n">
        <x:v>2413</x:v>
      </x:c>
      <x:c r="B2418" s="6" t="str">
        <x:v>floor_area_total</x:v>
      </x:c>
      <x:c r="C2418" s="6" t="str">
        <x:v>Facilities want the total floor area of every office on the floor 1 added together. How many square metres is that? Finish with a line 'Answer: &lt;number&gt;'.</x:v>
      </x:c>
      <x:c r="D2418" s="6" t="str">
        <x:v>186.3 m2</x:v>
      </x:c>
      <x:c r="E2418" s="6" t="str">
        <x:v>Reference supplied</x:v>
      </x:c>
      <x:c r="F2418" s="6" t="str">
        <x:v>dev</x:v>
      </x:c>
      <x:c r="G2418" s="6" t="str">
        <x:v>proc-factory-dev-010</x:v>
      </x:c>
      <x:c r="H2418" s="6" t="str">
        <x:v>proc-factory-dev-010-H02</x:v>
      </x:c>
      <x:c r="I2418" s="6" t="str">
        <x:v>Area and room selection</x:v>
      </x:c>
      <x:c r="J2418" s="6" t="str">
        <x:v>Benchmark</x:v>
      </x:c>
      <x:c r="K2418" s="6" t="str">
        <x:v>Answer: &lt;one number&gt;</x:v>
      </x:c>
      <x:c r="L2418" s="6" t="str">
        <x:v>T02, T04, T14</x:v>
      </x:c>
      <x:c r="M2418" s="6" t="str">
        <x:v>Sum the floor area of every matching room on one floor.</x:v>
      </x:c>
      <x:c r="N2418" s="6" t="str">
        <x:v>{"type":"number","value":186.3,"unit":"m2","relative_tolerance":0.05,"absolute_tolerance":0}</x:v>
      </x:c>
      <x:c r="O2418" s="6" t="str">
        <x:v>{"floor_id":"proc-factory-dev-010-F1","room_type":"office"}</x:v>
      </x:c>
      <x:c r="P2418" s="6" t="str">
        <x:v>Exact target floor and room_type. Polygon area in m².</x:v>
      </x:c>
      <x:c r="Q2418" s="15" t="n">
        <x:v>186.3</x:v>
      </x:c>
      <x:c r="R2418" s="6" t="str">
        <x:v>m2</x:v>
      </x:c>
      <x:c r="S2418" s="16" t="n">
        <x:v>0.05</x:v>
      </x:c>
      <x:c r="T2418" s="15" t="n">
        <x:v>0</x:v>
      </x:c>
      <x:c r="U2418" s="6" t="str">
        <x:v>Answer: 186.3</x:v>
      </x:c>
      <x:c r="V2418" s="6" t="str">
        <x:v>room geometry: summed area</x:v>
      </x:c>
      <x:c r="W2418" s="6" t="str">
        <x:v>Missing polygon-area aggregation tool.</x:v>
      </x:c>
      <x:c r="X2418" s="6" t="str">
        <x:v>data/dev/proc-factory-dev-010/questions.jsonl</x:v>
      </x:c>
      <x:c r="Y2418" s="14" t="n">
        <x:v>2</x:v>
      </x:c>
      <x:c r="Z2418" s="6" t="str">
        <x:v>https://github.com/hagenhaeussler/Industrial-Agents-Hackathon-2026/blob/f41616590b69f3ea0c1cbfb41d6c35edd9ce53df/data/dev/proc-factory-dev-010/questions.jsonl#L2</x:v>
      </x:c>
      <x:c r="AA2418" s="6" t="str">
        <x:v>procedural</x:v>
      </x:c>
      <x:c r="AB2418" s="6" t="str">
        <x:v>CC0-1.0</x:v>
      </x:c>
    </x:row>
    <x:row r="2419" ht="72" customHeight="1">
      <x:c r="A2419" s="14" t="n">
        <x:v>2414</x:v>
      </x:c>
      <x:c r="B2419" s="6" t="str">
        <x:v>floor_area_total</x:v>
      </x:c>
      <x:c r="C2419" s="6" t="str">
        <x:v>Facilities want the total floor area of every office on the ground floor added together. How many square metres is that? Finish with a line 'Answer: &lt;number&gt;'.</x:v>
      </x:c>
      <x:c r="D2419" s="6" t="str">
        <x:v>405.45 m2</x:v>
      </x:c>
      <x:c r="E2419" s="6" t="str">
        <x:v>Reference supplied</x:v>
      </x:c>
      <x:c r="F2419" s="6" t="str">
        <x:v>dev</x:v>
      </x:c>
      <x:c r="G2419" s="6" t="str">
        <x:v>proc-factory-dev-011</x:v>
      </x:c>
      <x:c r="H2419" s="6" t="str">
        <x:v>proc-factory-dev-011-H02</x:v>
      </x:c>
      <x:c r="I2419" s="6" t="str">
        <x:v>Area and room selection</x:v>
      </x:c>
      <x:c r="J2419" s="6" t="str">
        <x:v>Benchmark</x:v>
      </x:c>
      <x:c r="K2419" s="6" t="str">
        <x:v>Answer: &lt;one number&gt;</x:v>
      </x:c>
      <x:c r="L2419" s="6" t="str">
        <x:v>T02, T04, T14</x:v>
      </x:c>
      <x:c r="M2419" s="6" t="str">
        <x:v>Sum the floor area of every matching room on one floor.</x:v>
      </x:c>
      <x:c r="N2419" s="6" t="str">
        <x:v>{"type":"number","value":405.45,"unit":"m2","relative_tolerance":0.05,"absolute_tolerance":0}</x:v>
      </x:c>
      <x:c r="O2419" s="6" t="str">
        <x:v>{"floor_id":"proc-factory-dev-011-F0","room_type":"office"}</x:v>
      </x:c>
      <x:c r="P2419" s="6" t="str">
        <x:v>Exact target floor and room_type. Polygon area in m².</x:v>
      </x:c>
      <x:c r="Q2419" s="15" t="n">
        <x:v>405.45</x:v>
      </x:c>
      <x:c r="R2419" s="6" t="str">
        <x:v>m2</x:v>
      </x:c>
      <x:c r="S2419" s="16" t="n">
        <x:v>0.05</x:v>
      </x:c>
      <x:c r="T2419" s="15" t="n">
        <x:v>0</x:v>
      </x:c>
      <x:c r="U2419" s="6" t="str">
        <x:v>Answer: 405.45</x:v>
      </x:c>
      <x:c r="V2419" s="6" t="str">
        <x:v>room geometry: summed area</x:v>
      </x:c>
      <x:c r="W2419" s="6" t="str">
        <x:v>Missing polygon-area aggregation tool.</x:v>
      </x:c>
      <x:c r="X2419" s="6" t="str">
        <x:v>data/dev/proc-factory-dev-011/questions.jsonl</x:v>
      </x:c>
      <x:c r="Y2419" s="14" t="n">
        <x:v>2</x:v>
      </x:c>
      <x:c r="Z2419" s="6" t="str">
        <x:v>https://github.com/hagenhaeussler/Industrial-Agents-Hackathon-2026/blob/f41616590b69f3ea0c1cbfb41d6c35edd9ce53df/data/dev/proc-factory-dev-011/questions.jsonl#L2</x:v>
      </x:c>
      <x:c r="AA2419" s="6" t="str">
        <x:v>procedural</x:v>
      </x:c>
      <x:c r="AB2419" s="6" t="str">
        <x:v>CC0-1.0</x:v>
      </x:c>
    </x:row>
    <x:row r="2420" ht="72" customHeight="1">
      <x:c r="A2420" s="14" t="n">
        <x:v>2415</x:v>
      </x:c>
      <x:c r="B2420" s="6" t="str">
        <x:v>floor_area_total</x:v>
      </x:c>
      <x:c r="C2420" s="6" t="str">
        <x:v>Facilities want the total floor area of every kitchen on the floor 1 added together. How many square metres is that? Finish with a line 'Answer: &lt;number&gt;'.</x:v>
      </x:c>
      <x:c r="D2420" s="6" t="str">
        <x:v>106.3 m2</x:v>
      </x:c>
      <x:c r="E2420" s="6" t="str">
        <x:v>Reference supplied</x:v>
      </x:c>
      <x:c r="F2420" s="6" t="str">
        <x:v>dev</x:v>
      </x:c>
      <x:c r="G2420" s="6" t="str">
        <x:v>proc-factory-dev-012</x:v>
      </x:c>
      <x:c r="H2420" s="6" t="str">
        <x:v>proc-factory-dev-012-H02</x:v>
      </x:c>
      <x:c r="I2420" s="6" t="str">
        <x:v>Area and room selection</x:v>
      </x:c>
      <x:c r="J2420" s="6" t="str">
        <x:v>Benchmark</x:v>
      </x:c>
      <x:c r="K2420" s="6" t="str">
        <x:v>Answer: &lt;one number&gt;</x:v>
      </x:c>
      <x:c r="L2420" s="6" t="str">
        <x:v>T02, T04, T14</x:v>
      </x:c>
      <x:c r="M2420" s="6" t="str">
        <x:v>Sum the floor area of every matching room on one floor.</x:v>
      </x:c>
      <x:c r="N2420" s="6" t="str">
        <x:v>{"type":"number","value":106.3,"unit":"m2","relative_tolerance":0.05,"absolute_tolerance":0}</x:v>
      </x:c>
      <x:c r="O2420" s="6" t="str">
        <x:v>{"floor_id":"proc-factory-dev-012-F1","room_type":"kitchen"}</x:v>
      </x:c>
      <x:c r="P2420" s="6" t="str">
        <x:v>Exact target floor and room_type. Polygon area in m².</x:v>
      </x:c>
      <x:c r="Q2420" s="15" t="n">
        <x:v>106.3</x:v>
      </x:c>
      <x:c r="R2420" s="6" t="str">
        <x:v>m2</x:v>
      </x:c>
      <x:c r="S2420" s="16" t="n">
        <x:v>0.05</x:v>
      </x:c>
      <x:c r="T2420" s="15" t="n">
        <x:v>0</x:v>
      </x:c>
      <x:c r="U2420" s="6" t="str">
        <x:v>Answer: 106.3</x:v>
      </x:c>
      <x:c r="V2420" s="6" t="str">
        <x:v>room geometry: summed area</x:v>
      </x:c>
      <x:c r="W2420" s="6" t="str">
        <x:v>Missing polygon-area aggregation tool.</x:v>
      </x:c>
      <x:c r="X2420" s="6" t="str">
        <x:v>data/dev/proc-factory-dev-012/questions.jsonl</x:v>
      </x:c>
      <x:c r="Y2420" s="14" t="n">
        <x:v>2</x:v>
      </x:c>
      <x:c r="Z2420" s="6" t="str">
        <x:v>https://github.com/hagenhaeussler/Industrial-Agents-Hackathon-2026/blob/f41616590b69f3ea0c1cbfb41d6c35edd9ce53df/data/dev/proc-factory-dev-012/questions.jsonl#L2</x:v>
      </x:c>
      <x:c r="AA2420" s="6" t="str">
        <x:v>procedural</x:v>
      </x:c>
      <x:c r="AB2420" s="6" t="str">
        <x:v>CC0-1.0</x:v>
      </x:c>
    </x:row>
    <x:row r="2421" ht="72" customHeight="1">
      <x:c r="A2421" s="14" t="n">
        <x:v>2416</x:v>
      </x:c>
      <x:c r="B2421" s="6" t="str">
        <x:v>floor_area_total</x:v>
      </x:c>
      <x:c r="C2421" s="6" t="str">
        <x:v>Facilities want the total floor area of every bathroom on the ground floor added together. How many square metres is that? Finish with a line 'Answer: &lt;number&gt;'.</x:v>
      </x:c>
      <x:c r="D2421" s="6" t="str">
        <x:v>19.67 m2</x:v>
      </x:c>
      <x:c r="E2421" s="6" t="str">
        <x:v>Reference supplied</x:v>
      </x:c>
      <x:c r="F2421" s="6" t="str">
        <x:v>dev</x:v>
      </x:c>
      <x:c r="G2421" s="6" t="str">
        <x:v>resplan-15179</x:v>
      </x:c>
      <x:c r="H2421" s="6" t="str">
        <x:v>resplan-15179-H01</x:v>
      </x:c>
      <x:c r="I2421" s="6" t="str">
        <x:v>Area and room selection</x:v>
      </x:c>
      <x:c r="J2421" s="6" t="str">
        <x:v>Benchmark</x:v>
      </x:c>
      <x:c r="K2421" s="6" t="str">
        <x:v>Answer: &lt;one number&gt;</x:v>
      </x:c>
      <x:c r="L2421" s="6" t="str">
        <x:v>T02, T04, T14</x:v>
      </x:c>
      <x:c r="M2421" s="6" t="str">
        <x:v>Sum the floor area of every matching room on one floor.</x:v>
      </x:c>
      <x:c r="N2421" s="6" t="str">
        <x:v>{"type":"number","value":19.67,"unit":"m2","relative_tolerance":0.05,"absolute_tolerance":0}</x:v>
      </x:c>
      <x:c r="O2421" s="6" t="str">
        <x:v>{"floor_id":"resplan-15179-F0","room_type":"bathroom"}</x:v>
      </x:c>
      <x:c r="P2421" s="6" t="str">
        <x:v>Exact target floor and room_type. Polygon area in m².</x:v>
      </x:c>
      <x:c r="Q2421" s="15" t="n">
        <x:v>19.67</x:v>
      </x:c>
      <x:c r="R2421" s="6" t="str">
        <x:v>m2</x:v>
      </x:c>
      <x:c r="S2421" s="16" t="n">
        <x:v>0.05</x:v>
      </x:c>
      <x:c r="T2421" s="15" t="n">
        <x:v>0</x:v>
      </x:c>
      <x:c r="U2421" s="6" t="str">
        <x:v>Answer: 19.67</x:v>
      </x:c>
      <x:c r="V2421" s="6" t="str">
        <x:v>room geometry: summed area</x:v>
      </x:c>
      <x:c r="W2421" s="6" t="str">
        <x:v>Missing polygon-area aggregation tool.</x:v>
      </x:c>
      <x:c r="X2421" s="6" t="str">
        <x:v>data/dev/resplan-15179/questions.jsonl</x:v>
      </x:c>
      <x:c r="Y2421" s="14" t="n">
        <x:v>1</x:v>
      </x:c>
      <x:c r="Z2421" s="6" t="str">
        <x:v>https://github.com/hagenhaeussler/Industrial-Agents-Hackathon-2026/blob/f41616590b69f3ea0c1cbfb41d6c35edd9ce53df/data/dev/resplan-15179/questions.jsonl#L1</x:v>
      </x:c>
      <x:c r="AA2421" s="6" t="str">
        <x:v>resplan</x:v>
      </x:c>
      <x:c r="AB2421" s="6" t="str">
        <x:v>CC-BY-4.0</x:v>
      </x:c>
    </x:row>
    <x:row r="2422" ht="72" customHeight="1">
      <x:c r="A2422" s="14" t="n">
        <x:v>2417</x:v>
      </x:c>
      <x:c r="B2422" s="6" t="str">
        <x:v>floor_area_total</x:v>
      </x:c>
      <x:c r="C2422" s="6" t="str">
        <x:v>Facilities want the total floor area of every bathroom on the ground floor added together. How many square metres is that? Finish with a line 'Answer: &lt;number&gt;'.</x:v>
      </x:c>
      <x:c r="D2422" s="6" t="str">
        <x:v>16.45 m2</x:v>
      </x:c>
      <x:c r="E2422" s="6" t="str">
        <x:v>Reference supplied</x:v>
      </x:c>
      <x:c r="F2422" s="6" t="str">
        <x:v>dev</x:v>
      </x:c>
      <x:c r="G2422" s="6" t="str">
        <x:v>resplan-1677</x:v>
      </x:c>
      <x:c r="H2422" s="6" t="str">
        <x:v>resplan-1677-H02</x:v>
      </x:c>
      <x:c r="I2422" s="6" t="str">
        <x:v>Area and room selection</x:v>
      </x:c>
      <x:c r="J2422" s="6" t="str">
        <x:v>Benchmark</x:v>
      </x:c>
      <x:c r="K2422" s="6" t="str">
        <x:v>Answer: &lt;one number&gt;</x:v>
      </x:c>
      <x:c r="L2422" s="6" t="str">
        <x:v>T02, T04, T14</x:v>
      </x:c>
      <x:c r="M2422" s="6" t="str">
        <x:v>Sum the floor area of every matching room on one floor.</x:v>
      </x:c>
      <x:c r="N2422" s="6" t="str">
        <x:v>{"type":"number","value":16.45,"unit":"m2","relative_tolerance":0.05,"absolute_tolerance":0}</x:v>
      </x:c>
      <x:c r="O2422" s="6" t="str">
        <x:v>{"floor_id":"resplan-1677-F0","room_type":"bathroom"}</x:v>
      </x:c>
      <x:c r="P2422" s="6" t="str">
        <x:v>Exact target floor and room_type. Polygon area in m².</x:v>
      </x:c>
      <x:c r="Q2422" s="15" t="n">
        <x:v>16.45</x:v>
      </x:c>
      <x:c r="R2422" s="6" t="str">
        <x:v>m2</x:v>
      </x:c>
      <x:c r="S2422" s="16" t="n">
        <x:v>0.05</x:v>
      </x:c>
      <x:c r="T2422" s="15" t="n">
        <x:v>0</x:v>
      </x:c>
      <x:c r="U2422" s="6" t="str">
        <x:v>Answer: 16.45</x:v>
      </x:c>
      <x:c r="V2422" s="6" t="str">
        <x:v>room geometry: summed area</x:v>
      </x:c>
      <x:c r="W2422" s="6" t="str">
        <x:v>Missing polygon-area aggregation tool.</x:v>
      </x:c>
      <x:c r="X2422" s="6" t="str">
        <x:v>data/dev/resplan-1677/questions.jsonl</x:v>
      </x:c>
      <x:c r="Y2422" s="14" t="n">
        <x:v>2</x:v>
      </x:c>
      <x:c r="Z2422" s="6" t="str">
        <x:v>https://github.com/hagenhaeussler/Industrial-Agents-Hackathon-2026/blob/f41616590b69f3ea0c1cbfb41d6c35edd9ce53df/data/dev/resplan-1677/questions.jsonl#L2</x:v>
      </x:c>
      <x:c r="AA2422" s="6" t="str">
        <x:v>resplan</x:v>
      </x:c>
      <x:c r="AB2422" s="6" t="str">
        <x:v>CC-BY-4.0</x:v>
      </x:c>
    </x:row>
    <x:row r="2423" ht="72" customHeight="1">
      <x:c r="A2423" s="14" t="n">
        <x:v>2418</x:v>
      </x:c>
      <x:c r="B2423" s="6" t="str">
        <x:v>floor_area_total</x:v>
      </x:c>
      <x:c r="C2423" s="6" t="str">
        <x:v>Facilities want the total floor area of every living room on the floor 3 added together. How many square metres is that? Finish with a line 'Answer: &lt;number&gt;'.</x:v>
      </x:c>
      <x:c r="D2423" s="6" t="str">
        <x:v>157.43 m2</x:v>
      </x:c>
      <x:c r="E2423" s="6" t="str">
        <x:v>Reference supplied</x:v>
      </x:c>
      <x:c r="F2423" s="6" t="str">
        <x:v>dev</x:v>
      </x:c>
      <x:c r="G2423" s="6" t="str">
        <x:v>swiss-1689</x:v>
      </x:c>
      <x:c r="H2423" s="6" t="str">
        <x:v>swiss-1689-H01</x:v>
      </x:c>
      <x:c r="I2423" s="6" t="str">
        <x:v>Area and room selection</x:v>
      </x:c>
      <x:c r="J2423" s="6" t="str">
        <x:v>Benchmark</x:v>
      </x:c>
      <x:c r="K2423" s="6" t="str">
        <x:v>Answer: &lt;one number&gt;</x:v>
      </x:c>
      <x:c r="L2423" s="6" t="str">
        <x:v>T02, T04, T14</x:v>
      </x:c>
      <x:c r="M2423" s="6" t="str">
        <x:v>Sum the floor area of every matching room on one floor.</x:v>
      </x:c>
      <x:c r="N2423" s="6" t="str">
        <x:v>{"type":"number","value":157.43,"unit":"m2","relative_tolerance":0.05,"absolute_tolerance":0}</x:v>
      </x:c>
      <x:c r="O2423" s="6" t="str">
        <x:v>{"floor_id":"swiss-1689-F3","room_type":"living_room"}</x:v>
      </x:c>
      <x:c r="P2423" s="6" t="str">
        <x:v>Exact target floor and room_type. Polygon area in m².</x:v>
      </x:c>
      <x:c r="Q2423" s="15" t="n">
        <x:v>157.43</x:v>
      </x:c>
      <x:c r="R2423" s="6" t="str">
        <x:v>m2</x:v>
      </x:c>
      <x:c r="S2423" s="16" t="n">
        <x:v>0.05</x:v>
      </x:c>
      <x:c r="T2423" s="15" t="n">
        <x:v>0</x:v>
      </x:c>
      <x:c r="U2423" s="6" t="str">
        <x:v>Answer: 157.43</x:v>
      </x:c>
      <x:c r="V2423" s="6" t="str">
        <x:v>room geometry: summed area</x:v>
      </x:c>
      <x:c r="W2423" s="6" t="str">
        <x:v>Missing polygon-area aggregation tool.</x:v>
      </x:c>
      <x:c r="X2423" s="6" t="str">
        <x:v>data/dev/swiss-1689/questions.jsonl</x:v>
      </x:c>
      <x:c r="Y2423" s="14" t="n">
        <x:v>1</x:v>
      </x:c>
      <x:c r="Z2423" s="6" t="str">
        <x:v>https://github.com/hagenhaeussler/Industrial-Agents-Hackathon-2026/blob/f41616590b69f3ea0c1cbfb41d6c35edd9ce53df/data/dev/swiss-1689/questions.jsonl#L1</x:v>
      </x:c>
      <x:c r="AA2423" s="6" t="str">
        <x:v>swiss_dwellings</x:v>
      </x:c>
      <x:c r="AB2423" s="6" t="str">
        <x:v>CC-BY-4.0</x:v>
      </x:c>
    </x:row>
    <x:row r="2424" ht="72" customHeight="1">
      <x:c r="A2424" s="14" t="n">
        <x:v>2419</x:v>
      </x:c>
      <x:c r="B2424" s="6" t="str">
        <x:v>floor_area_total</x:v>
      </x:c>
      <x:c r="C2424" s="6" t="str">
        <x:v>Facilities want the total floor area of every kitchen on the floor 1 added together. How many square metres is that? Finish with a line 'Answer: &lt;number&gt;'.</x:v>
      </x:c>
      <x:c r="D2424" s="6" t="str">
        <x:v>56.05 m2</x:v>
      </x:c>
      <x:c r="E2424" s="6" t="str">
        <x:v>Reference supplied</x:v>
      </x:c>
      <x:c r="F2424" s="6" t="str">
        <x:v>dev</x:v>
      </x:c>
      <x:c r="G2424" s="6" t="str">
        <x:v>swiss-1785</x:v>
      </x:c>
      <x:c r="H2424" s="6" t="str">
        <x:v>swiss-1785-H02</x:v>
      </x:c>
      <x:c r="I2424" s="6" t="str">
        <x:v>Area and room selection</x:v>
      </x:c>
      <x:c r="J2424" s="6" t="str">
        <x:v>Benchmark</x:v>
      </x:c>
      <x:c r="K2424" s="6" t="str">
        <x:v>Answer: &lt;one number&gt;</x:v>
      </x:c>
      <x:c r="L2424" s="6" t="str">
        <x:v>T02, T04, T14</x:v>
      </x:c>
      <x:c r="M2424" s="6" t="str">
        <x:v>Sum the floor area of every matching room on one floor.</x:v>
      </x:c>
      <x:c r="N2424" s="6" t="str">
        <x:v>{"type":"number","value":56.05,"unit":"m2","relative_tolerance":0.05,"absolute_tolerance":0}</x:v>
      </x:c>
      <x:c r="O2424" s="6" t="str">
        <x:v>{"floor_id":"swiss-1785-F1","room_type":"kitchen"}</x:v>
      </x:c>
      <x:c r="P2424" s="6" t="str">
        <x:v>Exact target floor and room_type. Polygon area in m².</x:v>
      </x:c>
      <x:c r="Q2424" s="15" t="n">
        <x:v>56.05</x:v>
      </x:c>
      <x:c r="R2424" s="6" t="str">
        <x:v>m2</x:v>
      </x:c>
      <x:c r="S2424" s="16" t="n">
        <x:v>0.05</x:v>
      </x:c>
      <x:c r="T2424" s="15" t="n">
        <x:v>0</x:v>
      </x:c>
      <x:c r="U2424" s="6" t="str">
        <x:v>Answer: 56.05</x:v>
      </x:c>
      <x:c r="V2424" s="6" t="str">
        <x:v>room geometry: summed area</x:v>
      </x:c>
      <x:c r="W2424" s="6" t="str">
        <x:v>Missing polygon-area aggregation tool.</x:v>
      </x:c>
      <x:c r="X2424" s="6" t="str">
        <x:v>data/dev/swiss-1785/questions.jsonl</x:v>
      </x:c>
      <x:c r="Y2424" s="14" t="n">
        <x:v>2</x:v>
      </x:c>
      <x:c r="Z2424" s="6" t="str">
        <x:v>https://github.com/hagenhaeussler/Industrial-Agents-Hackathon-2026/blob/f41616590b69f3ea0c1cbfb41d6c35edd9ce53df/data/dev/swiss-1785/questions.jsonl#L2</x:v>
      </x:c>
      <x:c r="AA2424" s="6" t="str">
        <x:v>swiss_dwellings</x:v>
      </x:c>
      <x:c r="AB2424" s="6" t="str">
        <x:v>CC-BY-4.0</x:v>
      </x:c>
    </x:row>
    <x:row r="2425" ht="72" customHeight="1">
      <x:c r="A2425" s="14" t="n">
        <x:v>2420</x:v>
      </x:c>
      <x:c r="B2425" s="6" t="str">
        <x:v>floor_area_total</x:v>
      </x:c>
      <x:c r="C2425" s="6" t="str">
        <x:v>Facilities want the total floor area of every bedroom on the floor 2 added together. How many square metres is that? Finish with a line 'Answer: &lt;number&gt;'.</x:v>
      </x:c>
      <x:c r="D2425" s="6" t="str">
        <x:v>108.23 m2</x:v>
      </x:c>
      <x:c r="E2425" s="6" t="str">
        <x:v>Reference supplied</x:v>
      </x:c>
      <x:c r="F2425" s="6" t="str">
        <x:v>dev</x:v>
      </x:c>
      <x:c r="G2425" s="6" t="str">
        <x:v>swiss-203</x:v>
      </x:c>
      <x:c r="H2425" s="6" t="str">
        <x:v>swiss-203-H01</x:v>
      </x:c>
      <x:c r="I2425" s="6" t="str">
        <x:v>Area and room selection</x:v>
      </x:c>
      <x:c r="J2425" s="6" t="str">
        <x:v>Benchmark</x:v>
      </x:c>
      <x:c r="K2425" s="6" t="str">
        <x:v>Answer: &lt;one number&gt;</x:v>
      </x:c>
      <x:c r="L2425" s="6" t="str">
        <x:v>T02, T04, T14</x:v>
      </x:c>
      <x:c r="M2425" s="6" t="str">
        <x:v>Sum the floor area of every matching room on one floor.</x:v>
      </x:c>
      <x:c r="N2425" s="6" t="str">
        <x:v>{"type":"number","value":108.23,"unit":"m2","relative_tolerance":0.05,"absolute_tolerance":0}</x:v>
      </x:c>
      <x:c r="O2425" s="6" t="str">
        <x:v>{"floor_id":"swiss-203-F2","room_type":"bedroom"}</x:v>
      </x:c>
      <x:c r="P2425" s="6" t="str">
        <x:v>Exact target floor and room_type. Polygon area in m².</x:v>
      </x:c>
      <x:c r="Q2425" s="15" t="n">
        <x:v>108.23</x:v>
      </x:c>
      <x:c r="R2425" s="6" t="str">
        <x:v>m2</x:v>
      </x:c>
      <x:c r="S2425" s="16" t="n">
        <x:v>0.05</x:v>
      </x:c>
      <x:c r="T2425" s="15" t="n">
        <x:v>0</x:v>
      </x:c>
      <x:c r="U2425" s="6" t="str">
        <x:v>Answer: 108.23</x:v>
      </x:c>
      <x:c r="V2425" s="6" t="str">
        <x:v>room geometry: summed area</x:v>
      </x:c>
      <x:c r="W2425" s="6" t="str">
        <x:v>Missing polygon-area aggregation tool.</x:v>
      </x:c>
      <x:c r="X2425" s="6" t="str">
        <x:v>data/dev/swiss-203/questions.jsonl</x:v>
      </x:c>
      <x:c r="Y2425" s="14" t="n">
        <x:v>1</x:v>
      </x:c>
      <x:c r="Z2425" s="6" t="str">
        <x:v>https://github.com/hagenhaeussler/Industrial-Agents-Hackathon-2026/blob/f41616590b69f3ea0c1cbfb41d6c35edd9ce53df/data/dev/swiss-203/questions.jsonl#L1</x:v>
      </x:c>
      <x:c r="AA2425" s="6" t="str">
        <x:v>swiss_dwellings</x:v>
      </x:c>
      <x:c r="AB2425" s="6" t="str">
        <x:v>CC-BY-4.0</x:v>
      </x:c>
    </x:row>
    <x:row r="2426" ht="72" customHeight="1">
      <x:c r="A2426" s="14" t="n">
        <x:v>2421</x:v>
      </x:c>
      <x:c r="B2426" s="6" t="str">
        <x:v>floor_area_total</x:v>
      </x:c>
      <x:c r="C2426" s="6" t="str">
        <x:v>Facilities want the total floor area of every bedroom on the floor 1 added together. How many square metres is that? Finish with a line 'Answer: &lt;number&gt;'.</x:v>
      </x:c>
      <x:c r="D2426" s="6" t="str">
        <x:v>102.42 m2</x:v>
      </x:c>
      <x:c r="E2426" s="6" t="str">
        <x:v>Reference supplied</x:v>
      </x:c>
      <x:c r="F2426" s="6" t="str">
        <x:v>dev</x:v>
      </x:c>
      <x:c r="G2426" s="6" t="str">
        <x:v>swiss-2074</x:v>
      </x:c>
      <x:c r="H2426" s="6" t="str">
        <x:v>swiss-2074-H01</x:v>
      </x:c>
      <x:c r="I2426" s="6" t="str">
        <x:v>Area and room selection</x:v>
      </x:c>
      <x:c r="J2426" s="6" t="str">
        <x:v>Benchmark</x:v>
      </x:c>
      <x:c r="K2426" s="6" t="str">
        <x:v>Answer: &lt;one number&gt;</x:v>
      </x:c>
      <x:c r="L2426" s="6" t="str">
        <x:v>T02, T04, T14</x:v>
      </x:c>
      <x:c r="M2426" s="6" t="str">
        <x:v>Sum the floor area of every matching room on one floor.</x:v>
      </x:c>
      <x:c r="N2426" s="6" t="str">
        <x:v>{"type":"number","value":102.42,"unit":"m2","relative_tolerance":0.05,"absolute_tolerance":0}</x:v>
      </x:c>
      <x:c r="O2426" s="6" t="str">
        <x:v>{"floor_id":"swiss-2074-F1","room_type":"bedroom"}</x:v>
      </x:c>
      <x:c r="P2426" s="6" t="str">
        <x:v>Exact target floor and room_type. Polygon area in m².</x:v>
      </x:c>
      <x:c r="Q2426" s="15" t="n">
        <x:v>102.42</x:v>
      </x:c>
      <x:c r="R2426" s="6" t="str">
        <x:v>m2</x:v>
      </x:c>
      <x:c r="S2426" s="16" t="n">
        <x:v>0.05</x:v>
      </x:c>
      <x:c r="T2426" s="15" t="n">
        <x:v>0</x:v>
      </x:c>
      <x:c r="U2426" s="6" t="str">
        <x:v>Answer: 102.42</x:v>
      </x:c>
      <x:c r="V2426" s="6" t="str">
        <x:v>room geometry: summed area</x:v>
      </x:c>
      <x:c r="W2426" s="6" t="str">
        <x:v>Missing polygon-area aggregation tool.</x:v>
      </x:c>
      <x:c r="X2426" s="6" t="str">
        <x:v>data/dev/swiss-2074/questions.jsonl</x:v>
      </x:c>
      <x:c r="Y2426" s="14" t="n">
        <x:v>1</x:v>
      </x:c>
      <x:c r="Z2426" s="6" t="str">
        <x:v>https://github.com/hagenhaeussler/Industrial-Agents-Hackathon-2026/blob/f41616590b69f3ea0c1cbfb41d6c35edd9ce53df/data/dev/swiss-2074/questions.jsonl#L1</x:v>
      </x:c>
      <x:c r="AA2426" s="6" t="str">
        <x:v>swiss_dwellings</x:v>
      </x:c>
      <x:c r="AB2426" s="6" t="str">
        <x:v>CC-BY-4.0</x:v>
      </x:c>
    </x:row>
    <x:row r="2427" ht="72" customHeight="1">
      <x:c r="A2427" s="14" t="n">
        <x:v>2422</x:v>
      </x:c>
      <x:c r="B2427" s="6" t="str">
        <x:v>floor_area_total</x:v>
      </x:c>
      <x:c r="C2427" s="6" t="str">
        <x:v>Facilities want the total floor area of every kitchen on the ground floor added together. How many square metres is that? Finish with a line 'Answer: &lt;number&gt;'.</x:v>
      </x:c>
      <x:c r="D2427" s="6" t="str">
        <x:v>48.27 m2</x:v>
      </x:c>
      <x:c r="E2427" s="6" t="str">
        <x:v>Reference supplied</x:v>
      </x:c>
      <x:c r="F2427" s="6" t="str">
        <x:v>dev</x:v>
      </x:c>
      <x:c r="G2427" s="6" t="str">
        <x:v>swiss-2211</x:v>
      </x:c>
      <x:c r="H2427" s="6" t="str">
        <x:v>swiss-2211-H02</x:v>
      </x:c>
      <x:c r="I2427" s="6" t="str">
        <x:v>Area and room selection</x:v>
      </x:c>
      <x:c r="J2427" s="6" t="str">
        <x:v>Benchmark</x:v>
      </x:c>
      <x:c r="K2427" s="6" t="str">
        <x:v>Answer: &lt;one number&gt;</x:v>
      </x:c>
      <x:c r="L2427" s="6" t="str">
        <x:v>T02, T04, T14</x:v>
      </x:c>
      <x:c r="M2427" s="6" t="str">
        <x:v>Sum the floor area of every matching room on one floor.</x:v>
      </x:c>
      <x:c r="N2427" s="6" t="str">
        <x:v>{"type":"number","value":48.27,"unit":"m2","relative_tolerance":0.05,"absolute_tolerance":0}</x:v>
      </x:c>
      <x:c r="O2427" s="6" t="str">
        <x:v>{"floor_id":"swiss-2211-F0","room_type":"kitchen"}</x:v>
      </x:c>
      <x:c r="P2427" s="6" t="str">
        <x:v>Exact target floor and room_type. Polygon area in m².</x:v>
      </x:c>
      <x:c r="Q2427" s="15" t="n">
        <x:v>48.27</x:v>
      </x:c>
      <x:c r="R2427" s="6" t="str">
        <x:v>m2</x:v>
      </x:c>
      <x:c r="S2427" s="16" t="n">
        <x:v>0.05</x:v>
      </x:c>
      <x:c r="T2427" s="15" t="n">
        <x:v>0</x:v>
      </x:c>
      <x:c r="U2427" s="6" t="str">
        <x:v>Answer: 48.27</x:v>
      </x:c>
      <x:c r="V2427" s="6" t="str">
        <x:v>room geometry: summed area</x:v>
      </x:c>
      <x:c r="W2427" s="6" t="str">
        <x:v>Missing polygon-area aggregation tool.</x:v>
      </x:c>
      <x:c r="X2427" s="6" t="str">
        <x:v>data/dev/swiss-2211/questions.jsonl</x:v>
      </x:c>
      <x:c r="Y2427" s="14" t="n">
        <x:v>2</x:v>
      </x:c>
      <x:c r="Z2427" s="6" t="str">
        <x:v>https://github.com/hagenhaeussler/Industrial-Agents-Hackathon-2026/blob/f41616590b69f3ea0c1cbfb41d6c35edd9ce53df/data/dev/swiss-2211/questions.jsonl#L2</x:v>
      </x:c>
      <x:c r="AA2427" s="6" t="str">
        <x:v>swiss_dwellings</x:v>
      </x:c>
      <x:c r="AB2427" s="6" t="str">
        <x:v>CC-BY-4.0</x:v>
      </x:c>
    </x:row>
    <x:row r="2428" ht="72" customHeight="1">
      <x:c r="A2428" s="14" t="n">
        <x:v>2423</x:v>
      </x:c>
      <x:c r="B2428" s="6" t="str">
        <x:v>floor_area_total</x:v>
      </x:c>
      <x:c r="C2428" s="6" t="str">
        <x:v>Facilities want the total floor area of every bedroom on the floor 4 added together. How many square metres is that? Finish with a line 'Answer: &lt;number&gt;'.</x:v>
      </x:c>
      <x:c r="D2428" s="6" t="str">
        <x:v>128.92 m2</x:v>
      </x:c>
      <x:c r="E2428" s="6" t="str">
        <x:v>Reference supplied</x:v>
      </x:c>
      <x:c r="F2428" s="6" t="str">
        <x:v>dev</x:v>
      </x:c>
      <x:c r="G2428" s="6" t="str">
        <x:v>swiss-2325</x:v>
      </x:c>
      <x:c r="H2428" s="6" t="str">
        <x:v>swiss-2325-H01</x:v>
      </x:c>
      <x:c r="I2428" s="6" t="str">
        <x:v>Area and room selection</x:v>
      </x:c>
      <x:c r="J2428" s="6" t="str">
        <x:v>Benchmark</x:v>
      </x:c>
      <x:c r="K2428" s="6" t="str">
        <x:v>Answer: &lt;one number&gt;</x:v>
      </x:c>
      <x:c r="L2428" s="6" t="str">
        <x:v>T02, T04, T14</x:v>
      </x:c>
      <x:c r="M2428" s="6" t="str">
        <x:v>Sum the floor area of every matching room on one floor.</x:v>
      </x:c>
      <x:c r="N2428" s="6" t="str">
        <x:v>{"type":"number","value":128.92,"unit":"m2","relative_tolerance":0.05,"absolute_tolerance":0}</x:v>
      </x:c>
      <x:c r="O2428" s="6" t="str">
        <x:v>{"floor_id":"swiss-2325-F4","room_type":"bedroom"}</x:v>
      </x:c>
      <x:c r="P2428" s="6" t="str">
        <x:v>Exact target floor and room_type. Polygon area in m².</x:v>
      </x:c>
      <x:c r="Q2428" s="15" t="n">
        <x:v>128.92</x:v>
      </x:c>
      <x:c r="R2428" s="6" t="str">
        <x:v>m2</x:v>
      </x:c>
      <x:c r="S2428" s="16" t="n">
        <x:v>0.05</x:v>
      </x:c>
      <x:c r="T2428" s="15" t="n">
        <x:v>0</x:v>
      </x:c>
      <x:c r="U2428" s="6" t="str">
        <x:v>Answer: 128.92</x:v>
      </x:c>
      <x:c r="V2428" s="6" t="str">
        <x:v>room geometry: summed area</x:v>
      </x:c>
      <x:c r="W2428" s="6" t="str">
        <x:v>Missing polygon-area aggregation tool.</x:v>
      </x:c>
      <x:c r="X2428" s="6" t="str">
        <x:v>data/dev/swiss-2325/questions.jsonl</x:v>
      </x:c>
      <x:c r="Y2428" s="14" t="n">
        <x:v>1</x:v>
      </x:c>
      <x:c r="Z2428" s="6" t="str">
        <x:v>https://github.com/hagenhaeussler/Industrial-Agents-Hackathon-2026/blob/f41616590b69f3ea0c1cbfb41d6c35edd9ce53df/data/dev/swiss-2325/questions.jsonl#L1</x:v>
      </x:c>
      <x:c r="AA2428" s="6" t="str">
        <x:v>swiss_dwellings</x:v>
      </x:c>
      <x:c r="AB2428" s="6" t="str">
        <x:v>CC-BY-4.0</x:v>
      </x:c>
    </x:row>
    <x:row r="2429" ht="72" customHeight="1">
      <x:c r="A2429" s="14" t="n">
        <x:v>2424</x:v>
      </x:c>
      <x:c r="B2429" s="6" t="str">
        <x:v>floor_area_total</x:v>
      </x:c>
      <x:c r="C2429" s="6" t="str">
        <x:v>Facilities want the total floor area of every bedroom on the floor 1 added together. How many square metres is that? Finish with a line 'Answer: &lt;number&gt;'.</x:v>
      </x:c>
      <x:c r="D2429" s="6" t="str">
        <x:v>219.47 m2</x:v>
      </x:c>
      <x:c r="E2429" s="6" t="str">
        <x:v>Reference supplied</x:v>
      </x:c>
      <x:c r="F2429" s="6" t="str">
        <x:v>dev</x:v>
      </x:c>
      <x:c r="G2429" s="6" t="str">
        <x:v>swiss-31</x:v>
      </x:c>
      <x:c r="H2429" s="6" t="str">
        <x:v>swiss-31-H01</x:v>
      </x:c>
      <x:c r="I2429" s="6" t="str">
        <x:v>Area and room selection</x:v>
      </x:c>
      <x:c r="J2429" s="6" t="str">
        <x:v>Benchmark</x:v>
      </x:c>
      <x:c r="K2429" s="6" t="str">
        <x:v>Answer: &lt;one number&gt;</x:v>
      </x:c>
      <x:c r="L2429" s="6" t="str">
        <x:v>T02, T04, T14</x:v>
      </x:c>
      <x:c r="M2429" s="6" t="str">
        <x:v>Sum the floor area of every matching room on one floor.</x:v>
      </x:c>
      <x:c r="N2429" s="6" t="str">
        <x:v>{"type":"number","value":219.47,"unit":"m2","relative_tolerance":0.05,"absolute_tolerance":0}</x:v>
      </x:c>
      <x:c r="O2429" s="6" t="str">
        <x:v>{"floor_id":"swiss-31-F1","room_type":"bedroom"}</x:v>
      </x:c>
      <x:c r="P2429" s="6" t="str">
        <x:v>Exact target floor and room_type. Polygon area in m².</x:v>
      </x:c>
      <x:c r="Q2429" s="15" t="n">
        <x:v>219.47</x:v>
      </x:c>
      <x:c r="R2429" s="6" t="str">
        <x:v>m2</x:v>
      </x:c>
      <x:c r="S2429" s="16" t="n">
        <x:v>0.05</x:v>
      </x:c>
      <x:c r="T2429" s="15" t="n">
        <x:v>0</x:v>
      </x:c>
      <x:c r="U2429" s="6" t="str">
        <x:v>Answer: 219.47</x:v>
      </x:c>
      <x:c r="V2429" s="6" t="str">
        <x:v>room geometry: summed area</x:v>
      </x:c>
      <x:c r="W2429" s="6" t="str">
        <x:v>Missing polygon-area aggregation tool.</x:v>
      </x:c>
      <x:c r="X2429" s="6" t="str">
        <x:v>data/dev/swiss-31/questions.jsonl</x:v>
      </x:c>
      <x:c r="Y2429" s="14" t="n">
        <x:v>1</x:v>
      </x:c>
      <x:c r="Z2429" s="6" t="str">
        <x:v>https://github.com/hagenhaeussler/Industrial-Agents-Hackathon-2026/blob/f41616590b69f3ea0c1cbfb41d6c35edd9ce53df/data/dev/swiss-31/questions.jsonl#L1</x:v>
      </x:c>
      <x:c r="AA2429" s="6" t="str">
        <x:v>swiss_dwellings</x:v>
      </x:c>
      <x:c r="AB2429" s="6" t="str">
        <x:v>CC-BY-4.0</x:v>
      </x:c>
    </x:row>
    <x:row r="2430" ht="72" customHeight="1">
      <x:c r="A2430" s="14" t="n">
        <x:v>2425</x:v>
      </x:c>
      <x:c r="B2430" s="6" t="str">
        <x:v>floor_area_total</x:v>
      </x:c>
      <x:c r="C2430" s="6" t="str">
        <x:v>Facilities want the total floor area of every bathroom on the ground floor added together. How many square metres is that? Finish with a line 'Answer: &lt;number&gt;'.</x:v>
      </x:c>
      <x:c r="D2430" s="6" t="str">
        <x:v>12.73 m2</x:v>
      </x:c>
      <x:c r="E2430" s="6" t="str">
        <x:v>Reference supplied</x:v>
      </x:c>
      <x:c r="F2430" s="6" t="str">
        <x:v>dev</x:v>
      </x:c>
      <x:c r="G2430" s="6" t="str">
        <x:v>swiss-3254</x:v>
      </x:c>
      <x:c r="H2430" s="6" t="str">
        <x:v>swiss-3254-H01</x:v>
      </x:c>
      <x:c r="I2430" s="6" t="str">
        <x:v>Area and room selection</x:v>
      </x:c>
      <x:c r="J2430" s="6" t="str">
        <x:v>Benchmark</x:v>
      </x:c>
      <x:c r="K2430" s="6" t="str">
        <x:v>Answer: &lt;one number&gt;</x:v>
      </x:c>
      <x:c r="L2430" s="6" t="str">
        <x:v>T02, T04, T14</x:v>
      </x:c>
      <x:c r="M2430" s="6" t="str">
        <x:v>Sum the floor area of every matching room on one floor.</x:v>
      </x:c>
      <x:c r="N2430" s="6" t="str">
        <x:v>{"type":"number","value":12.73,"unit":"m2","relative_tolerance":0.05,"absolute_tolerance":0}</x:v>
      </x:c>
      <x:c r="O2430" s="6" t="str">
        <x:v>{"floor_id":"swiss-3254-F0","room_type":"bathroom"}</x:v>
      </x:c>
      <x:c r="P2430" s="6" t="str">
        <x:v>Exact target floor and room_type. Polygon area in m².</x:v>
      </x:c>
      <x:c r="Q2430" s="15" t="n">
        <x:v>12.73</x:v>
      </x:c>
      <x:c r="R2430" s="6" t="str">
        <x:v>m2</x:v>
      </x:c>
      <x:c r="S2430" s="16" t="n">
        <x:v>0.05</x:v>
      </x:c>
      <x:c r="T2430" s="15" t="n">
        <x:v>0</x:v>
      </x:c>
      <x:c r="U2430" s="6" t="str">
        <x:v>Answer: 12.73</x:v>
      </x:c>
      <x:c r="V2430" s="6" t="str">
        <x:v>room geometry: summed area</x:v>
      </x:c>
      <x:c r="W2430" s="6" t="str">
        <x:v>Missing polygon-area aggregation tool.</x:v>
      </x:c>
      <x:c r="X2430" s="6" t="str">
        <x:v>data/dev/swiss-3254/questions.jsonl</x:v>
      </x:c>
      <x:c r="Y2430" s="14" t="n">
        <x:v>1</x:v>
      </x:c>
      <x:c r="Z2430" s="6" t="str">
        <x:v>https://github.com/hagenhaeussler/Industrial-Agents-Hackathon-2026/blob/f41616590b69f3ea0c1cbfb41d6c35edd9ce53df/data/dev/swiss-3254/questions.jsonl#L1</x:v>
      </x:c>
      <x:c r="AA2430" s="6" t="str">
        <x:v>swiss_dwellings</x:v>
      </x:c>
      <x:c r="AB2430" s="6" t="str">
        <x:v>CC-BY-4.0</x:v>
      </x:c>
    </x:row>
    <x:row r="2431" ht="72" customHeight="1">
      <x:c r="A2431" s="14" t="n">
        <x:v>2426</x:v>
      </x:c>
      <x:c r="B2431" s="6" t="str">
        <x:v>floor_area_total</x:v>
      </x:c>
      <x:c r="C2431" s="6" t="str">
        <x:v>Facilities want the total floor area of every bedroom on the floor 1 added together. How many square metres is that? Finish with a line 'Answer: &lt;number&gt;'.</x:v>
      </x:c>
      <x:c r="D2431" s="6" t="str">
        <x:v>91.12 m2</x:v>
      </x:c>
      <x:c r="E2431" s="6" t="str">
        <x:v>Reference supplied</x:v>
      </x:c>
      <x:c r="F2431" s="6" t="str">
        <x:v>dev</x:v>
      </x:c>
      <x:c r="G2431" s="6" t="str">
        <x:v>swiss-450</x:v>
      </x:c>
      <x:c r="H2431" s="6" t="str">
        <x:v>swiss-450-H02</x:v>
      </x:c>
      <x:c r="I2431" s="6" t="str">
        <x:v>Area and room selection</x:v>
      </x:c>
      <x:c r="J2431" s="6" t="str">
        <x:v>Benchmark</x:v>
      </x:c>
      <x:c r="K2431" s="6" t="str">
        <x:v>Answer: &lt;one number&gt;</x:v>
      </x:c>
      <x:c r="L2431" s="6" t="str">
        <x:v>T02, T04, T14</x:v>
      </x:c>
      <x:c r="M2431" s="6" t="str">
        <x:v>Sum the floor area of every matching room on one floor.</x:v>
      </x:c>
      <x:c r="N2431" s="6" t="str">
        <x:v>{"type":"number","value":91.12,"unit":"m2","relative_tolerance":0.05,"absolute_tolerance":0}</x:v>
      </x:c>
      <x:c r="O2431" s="6" t="str">
        <x:v>{"floor_id":"swiss-450-F1","room_type":"bedroom"}</x:v>
      </x:c>
      <x:c r="P2431" s="6" t="str">
        <x:v>Exact target floor and room_type. Polygon area in m².</x:v>
      </x:c>
      <x:c r="Q2431" s="15" t="n">
        <x:v>91.12</x:v>
      </x:c>
      <x:c r="R2431" s="6" t="str">
        <x:v>m2</x:v>
      </x:c>
      <x:c r="S2431" s="16" t="n">
        <x:v>0.05</x:v>
      </x:c>
      <x:c r="T2431" s="15" t="n">
        <x:v>0</x:v>
      </x:c>
      <x:c r="U2431" s="6" t="str">
        <x:v>Answer: 91.12</x:v>
      </x:c>
      <x:c r="V2431" s="6" t="str">
        <x:v>room geometry: summed area</x:v>
      </x:c>
      <x:c r="W2431" s="6" t="str">
        <x:v>Missing polygon-area aggregation tool.</x:v>
      </x:c>
      <x:c r="X2431" s="6" t="str">
        <x:v>data/dev/swiss-450/questions.jsonl</x:v>
      </x:c>
      <x:c r="Y2431" s="14" t="n">
        <x:v>2</x:v>
      </x:c>
      <x:c r="Z2431" s="6" t="str">
        <x:v>https://github.com/hagenhaeussler/Industrial-Agents-Hackathon-2026/blob/f41616590b69f3ea0c1cbfb41d6c35edd9ce53df/data/dev/swiss-450/questions.jsonl#L2</x:v>
      </x:c>
      <x:c r="AA2431" s="6" t="str">
        <x:v>swiss_dwellings</x:v>
      </x:c>
      <x:c r="AB2431" s="6" t="str">
        <x:v>CC-BY-4.0</x:v>
      </x:c>
    </x:row>
    <x:row r="2432" ht="72" customHeight="1">
      <x:c r="A2432" s="14" t="n">
        <x:v>2427</x:v>
      </x:c>
      <x:c r="B2432" s="6" t="str">
        <x:v>floor_area_total</x:v>
      </x:c>
      <x:c r="C2432" s="6" t="str">
        <x:v>Facilities want the total floor area of every bedroom on the floor 3 added together. How many square metres is that? Finish with a line 'Answer: &lt;number&gt;'.</x:v>
      </x:c>
      <x:c r="D2432" s="6" t="str">
        <x:v>106.34 m2</x:v>
      </x:c>
      <x:c r="E2432" s="6" t="str">
        <x:v>Reference supplied</x:v>
      </x:c>
      <x:c r="F2432" s="6" t="str">
        <x:v>dev</x:v>
      </x:c>
      <x:c r="G2432" s="6" t="str">
        <x:v>swiss-460</x:v>
      </x:c>
      <x:c r="H2432" s="6" t="str">
        <x:v>swiss-460-H02</x:v>
      </x:c>
      <x:c r="I2432" s="6" t="str">
        <x:v>Area and room selection</x:v>
      </x:c>
      <x:c r="J2432" s="6" t="str">
        <x:v>Benchmark</x:v>
      </x:c>
      <x:c r="K2432" s="6" t="str">
        <x:v>Answer: &lt;one number&gt;</x:v>
      </x:c>
      <x:c r="L2432" s="6" t="str">
        <x:v>T02, T04, T14</x:v>
      </x:c>
      <x:c r="M2432" s="6" t="str">
        <x:v>Sum the floor area of every matching room on one floor.</x:v>
      </x:c>
      <x:c r="N2432" s="6" t="str">
        <x:v>{"type":"number","value":106.34,"unit":"m2","relative_tolerance":0.05,"absolute_tolerance":0}</x:v>
      </x:c>
      <x:c r="O2432" s="6" t="str">
        <x:v>{"floor_id":"swiss-460-F3","room_type":"bedroom"}</x:v>
      </x:c>
      <x:c r="P2432" s="6" t="str">
        <x:v>Exact target floor and room_type. Polygon area in m².</x:v>
      </x:c>
      <x:c r="Q2432" s="15" t="n">
        <x:v>106.34</x:v>
      </x:c>
      <x:c r="R2432" s="6" t="str">
        <x:v>m2</x:v>
      </x:c>
      <x:c r="S2432" s="16" t="n">
        <x:v>0.05</x:v>
      </x:c>
      <x:c r="T2432" s="15" t="n">
        <x:v>0</x:v>
      </x:c>
      <x:c r="U2432" s="6" t="str">
        <x:v>Answer: 106.34</x:v>
      </x:c>
      <x:c r="V2432" s="6" t="str">
        <x:v>room geometry: summed area</x:v>
      </x:c>
      <x:c r="W2432" s="6" t="str">
        <x:v>Missing polygon-area aggregation tool.</x:v>
      </x:c>
      <x:c r="X2432" s="6" t="str">
        <x:v>data/dev/swiss-460/questions.jsonl</x:v>
      </x:c>
      <x:c r="Y2432" s="14" t="n">
        <x:v>2</x:v>
      </x:c>
      <x:c r="Z2432" s="6" t="str">
        <x:v>https://github.com/hagenhaeussler/Industrial-Agents-Hackathon-2026/blob/f41616590b69f3ea0c1cbfb41d6c35edd9ce53df/data/dev/swiss-460/questions.jsonl#L2</x:v>
      </x:c>
      <x:c r="AA2432" s="6" t="str">
        <x:v>swiss_dwellings</x:v>
      </x:c>
      <x:c r="AB2432" s="6" t="str">
        <x:v>CC-BY-4.0</x:v>
      </x:c>
    </x:row>
    <x:row r="2433" ht="72" customHeight="1">
      <x:c r="A2433" s="14" t="n">
        <x:v>2428</x:v>
      </x:c>
      <x:c r="B2433" s="6" t="str">
        <x:v>floor_area_total</x:v>
      </x:c>
      <x:c r="C2433" s="6" t="str">
        <x:v>Facilities want the total floor area of every storage on the basement 1 added together. How many square metres is that? Finish with a line 'Answer: &lt;number&gt;'.</x:v>
      </x:c>
      <x:c r="D2433" s="6" t="str">
        <x:v>14.66 m2</x:v>
      </x:c>
      <x:c r="E2433" s="6" t="str">
        <x:v>Reference supplied</x:v>
      </x:c>
      <x:c r="F2433" s="6" t="str">
        <x:v>dev</x:v>
      </x:c>
      <x:c r="G2433" s="6" t="str">
        <x:v>swiss-5097</x:v>
      </x:c>
      <x:c r="H2433" s="6" t="str">
        <x:v>swiss-5097-H02</x:v>
      </x:c>
      <x:c r="I2433" s="6" t="str">
        <x:v>Area and room selection</x:v>
      </x:c>
      <x:c r="J2433" s="6" t="str">
        <x:v>Benchmark</x:v>
      </x:c>
      <x:c r="K2433" s="6" t="str">
        <x:v>Answer: &lt;one number&gt;</x:v>
      </x:c>
      <x:c r="L2433" s="6" t="str">
        <x:v>T02, T04, T14</x:v>
      </x:c>
      <x:c r="M2433" s="6" t="str">
        <x:v>Sum the floor area of every matching room on one floor.</x:v>
      </x:c>
      <x:c r="N2433" s="6" t="str">
        <x:v>{"type":"number","value":14.66,"unit":"m2","relative_tolerance":0.05,"absolute_tolerance":0}</x:v>
      </x:c>
      <x:c r="O2433" s="6" t="str">
        <x:v>{"floor_id":"swiss-5097-F-1","room_type":"storage"}</x:v>
      </x:c>
      <x:c r="P2433" s="6" t="str">
        <x:v>Exact target floor and room_type. Polygon area in m².</x:v>
      </x:c>
      <x:c r="Q2433" s="15" t="n">
        <x:v>14.66</x:v>
      </x:c>
      <x:c r="R2433" s="6" t="str">
        <x:v>m2</x:v>
      </x:c>
      <x:c r="S2433" s="16" t="n">
        <x:v>0.05</x:v>
      </x:c>
      <x:c r="T2433" s="15" t="n">
        <x:v>0</x:v>
      </x:c>
      <x:c r="U2433" s="6" t="str">
        <x:v>Answer: 14.66</x:v>
      </x:c>
      <x:c r="V2433" s="6" t="str">
        <x:v>room geometry: summed area</x:v>
      </x:c>
      <x:c r="W2433" s="6" t="str">
        <x:v>Missing polygon-area aggregation tool.</x:v>
      </x:c>
      <x:c r="X2433" s="6" t="str">
        <x:v>data/dev/swiss-5097/questions.jsonl</x:v>
      </x:c>
      <x:c r="Y2433" s="14" t="n">
        <x:v>2</x:v>
      </x:c>
      <x:c r="Z2433" s="6" t="str">
        <x:v>https://github.com/hagenhaeussler/Industrial-Agents-Hackathon-2026/blob/f41616590b69f3ea0c1cbfb41d6c35edd9ce53df/data/dev/swiss-5097/questions.jsonl#L2</x:v>
      </x:c>
      <x:c r="AA2433" s="6" t="str">
        <x:v>swiss_dwellings</x:v>
      </x:c>
      <x:c r="AB2433" s="6" t="str">
        <x:v>CC-BY-4.0</x:v>
      </x:c>
    </x:row>
    <x:row r="2434" ht="72" customHeight="1">
      <x:c r="A2434" s="14" t="n">
        <x:v>2429</x:v>
      </x:c>
      <x:c r="B2434" s="6" t="str">
        <x:v>floor_area_total</x:v>
      </x:c>
      <x:c r="C2434" s="6" t="str">
        <x:v>Facilities want the total floor area of every generic room on the ground floor added together. How many square metres is that? Finish with a line 'Answer: &lt;number&gt;'.</x:v>
      </x:c>
      <x:c r="D2434" s="6" t="str">
        <x:v>Withheld in public test data. No reference answer supplied.</x:v>
      </x:c>
      <x:c r="E2434" s="6" t="str">
        <x:v>Withheld</x:v>
      </x:c>
      <x:c r="F2434" s="6" t="str">
        <x:v>test</x:v>
      </x:c>
      <x:c r="G2434" s="6" t="str">
        <x:v>osm-way363805324</x:v>
      </x:c>
      <x:c r="H2434" s="6" t="str">
        <x:v>osm-way363805324-H02</x:v>
      </x:c>
      <x:c r="I2434" s="6" t="str">
        <x:v>Area and room selection</x:v>
      </x:c>
      <x:c r="J2434" s="6" t="str">
        <x:v>Benchmark</x:v>
      </x:c>
      <x:c r="K2434" s="6" t="str">
        <x:v>Answer: &lt;one number&gt;</x:v>
      </x:c>
      <x:c r="L2434" s="6" t="str">
        <x:v>T02, T04, T14</x:v>
      </x:c>
      <x:c r="M2434" s="6" t="str">
        <x:v>Sum the floor area of every matching room on one floor.</x:v>
      </x:c>
      <x:c r="N2434" s="6"/>
      <x:c r="O2434" s="6"/>
      <x:c r="P2434" s="6" t="str">
        <x:v>Exact target floor and room_type. Polygon area in m².</x:v>
      </x:c>
      <x:c r="Q2434" s="15"/>
      <x:c r="R2434" s="6"/>
      <x:c r="S2434" s="16"/>
      <x:c r="T2434" s="15"/>
      <x:c r="U2434" s="6"/>
      <x:c r="V2434" s="6"/>
      <x:c r="W2434" s="6" t="str">
        <x:v>Missing polygon-area aggregation tool.</x:v>
      </x:c>
      <x:c r="X2434" s="6" t="str">
        <x:v>data/test/osm-way363805324/questions.jsonl</x:v>
      </x:c>
      <x:c r="Y2434" s="14" t="n">
        <x:v>2</x:v>
      </x:c>
      <x:c r="Z2434" s="6" t="str">
        <x:v>https://github.com/hagenhaeussler/Industrial-Agents-Hackathon-2026/blob/f41616590b69f3ea0c1cbfb41d6c35edd9ce53df/data/test/osm-way363805324/questions.jsonl#L2</x:v>
      </x:c>
      <x:c r="AA2434" s="6" t="str">
        <x:v>osm_indoor</x:v>
      </x:c>
      <x:c r="AB2434" s="6" t="str">
        <x:v>ODbL-1.0</x:v>
      </x:c>
    </x:row>
    <x:row r="2435" ht="72" customHeight="1">
      <x:c r="A2435" s="14" t="n">
        <x:v>2430</x:v>
      </x:c>
      <x:c r="B2435" s="6" t="str">
        <x:v>floor_area_total</x:v>
      </x:c>
      <x:c r="C2435" s="6" t="str">
        <x:v>Facilities want the total floor area of every generic room on the floor 1 added together. How many square metres is that? Finish with a line 'Answer: &lt;number&gt;'.</x:v>
      </x:c>
      <x:c r="D2435" s="6" t="str">
        <x:v>Withheld in public test data. No reference answer supplied.</x:v>
      </x:c>
      <x:c r="E2435" s="6" t="str">
        <x:v>Withheld</x:v>
      </x:c>
      <x:c r="F2435" s="6" t="str">
        <x:v>test</x:v>
      </x:c>
      <x:c r="G2435" s="6" t="str">
        <x:v>osm-way43035346</x:v>
      </x:c>
      <x:c r="H2435" s="6" t="str">
        <x:v>osm-way43035346-H02</x:v>
      </x:c>
      <x:c r="I2435" s="6" t="str">
        <x:v>Area and room selection</x:v>
      </x:c>
      <x:c r="J2435" s="6" t="str">
        <x:v>Benchmark</x:v>
      </x:c>
      <x:c r="K2435" s="6" t="str">
        <x:v>Answer: &lt;one number&gt;</x:v>
      </x:c>
      <x:c r="L2435" s="6" t="str">
        <x:v>T02, T04, T14</x:v>
      </x:c>
      <x:c r="M2435" s="6" t="str">
        <x:v>Sum the floor area of every matching room on one floor.</x:v>
      </x:c>
      <x:c r="N2435" s="6"/>
      <x:c r="O2435" s="6"/>
      <x:c r="P2435" s="6" t="str">
        <x:v>Exact target floor and room_type. Polygon area in m².</x:v>
      </x:c>
      <x:c r="Q2435" s="15"/>
      <x:c r="R2435" s="6"/>
      <x:c r="S2435" s="16"/>
      <x:c r="T2435" s="15"/>
      <x:c r="U2435" s="6"/>
      <x:c r="V2435" s="6"/>
      <x:c r="W2435" s="6" t="str">
        <x:v>Missing polygon-area aggregation tool.</x:v>
      </x:c>
      <x:c r="X2435" s="6" t="str">
        <x:v>data/test/osm-way43035346/questions.jsonl</x:v>
      </x:c>
      <x:c r="Y2435" s="14" t="n">
        <x:v>2</x:v>
      </x:c>
      <x:c r="Z2435" s="6" t="str">
        <x:v>https://github.com/hagenhaeussler/Industrial-Agents-Hackathon-2026/blob/f41616590b69f3ea0c1cbfb41d6c35edd9ce53df/data/test/osm-way43035346/questions.jsonl#L2</x:v>
      </x:c>
      <x:c r="AA2435" s="6" t="str">
        <x:v>osm_indoor</x:v>
      </x:c>
      <x:c r="AB2435" s="6" t="str">
        <x:v>ODbL-1.0</x:v>
      </x:c>
    </x:row>
    <x:row r="2436" ht="72" customHeight="1">
      <x:c r="A2436" s="14" t="n">
        <x:v>2431</x:v>
      </x:c>
      <x:c r="B2436" s="6" t="str">
        <x:v>floor_area_total</x:v>
      </x:c>
      <x:c r="C2436" s="6" t="str">
        <x:v>Facilities want the total floor area of every generic room on the floor 3 added together. How many square metres is that? Finish with a line 'Answer: &lt;number&gt;'.</x:v>
      </x:c>
      <x:c r="D2436" s="6" t="str">
        <x:v>Withheld in public test data. No reference answer supplied.</x:v>
      </x:c>
      <x:c r="E2436" s="6" t="str">
        <x:v>Withheld</x:v>
      </x:c>
      <x:c r="F2436" s="6" t="str">
        <x:v>test</x:v>
      </x:c>
      <x:c r="G2436" s="6" t="str">
        <x:v>osm-way50299584</x:v>
      </x:c>
      <x:c r="H2436" s="6" t="str">
        <x:v>osm-way50299584-H02</x:v>
      </x:c>
      <x:c r="I2436" s="6" t="str">
        <x:v>Area and room selection</x:v>
      </x:c>
      <x:c r="J2436" s="6" t="str">
        <x:v>Benchmark</x:v>
      </x:c>
      <x:c r="K2436" s="6" t="str">
        <x:v>Answer: &lt;one number&gt;</x:v>
      </x:c>
      <x:c r="L2436" s="6" t="str">
        <x:v>T02, T04, T14</x:v>
      </x:c>
      <x:c r="M2436" s="6" t="str">
        <x:v>Sum the floor area of every matching room on one floor.</x:v>
      </x:c>
      <x:c r="N2436" s="6"/>
      <x:c r="O2436" s="6"/>
      <x:c r="P2436" s="6" t="str">
        <x:v>Exact target floor and room_type. Polygon area in m².</x:v>
      </x:c>
      <x:c r="Q2436" s="15"/>
      <x:c r="R2436" s="6"/>
      <x:c r="S2436" s="16"/>
      <x:c r="T2436" s="15"/>
      <x:c r="U2436" s="6"/>
      <x:c r="V2436" s="6"/>
      <x:c r="W2436" s="6" t="str">
        <x:v>Missing polygon-area aggregation tool.</x:v>
      </x:c>
      <x:c r="X2436" s="6" t="str">
        <x:v>data/test/osm-way50299584/questions.jsonl</x:v>
      </x:c>
      <x:c r="Y2436" s="14" t="n">
        <x:v>2</x:v>
      </x:c>
      <x:c r="Z2436" s="6" t="str">
        <x:v>https://github.com/hagenhaeussler/Industrial-Agents-Hackathon-2026/blob/f41616590b69f3ea0c1cbfb41d6c35edd9ce53df/data/test/osm-way50299584/questions.jsonl#L2</x:v>
      </x:c>
      <x:c r="AA2436" s="6" t="str">
        <x:v>osm_indoor</x:v>
      </x:c>
      <x:c r="AB2436" s="6" t="str">
        <x:v>ODbL-1.0</x:v>
      </x:c>
    </x:row>
    <x:row r="2437" ht="72" customHeight="1">
      <x:c r="A2437" s="14" t="n">
        <x:v>2432</x:v>
      </x:c>
      <x:c r="B2437" s="6" t="str">
        <x:v>floor_area_total</x:v>
      </x:c>
      <x:c r="C2437" s="6" t="str">
        <x:v>Facilities want the total floor area of every generic room on the floor 1 added together. How many square metres is that? Finish with a line 'Answer: &lt;number&gt;'.</x:v>
      </x:c>
      <x:c r="D2437" s="6" t="str">
        <x:v>Withheld in public test data. No reference answer supplied.</x:v>
      </x:c>
      <x:c r="E2437" s="6" t="str">
        <x:v>Withheld</x:v>
      </x:c>
      <x:c r="F2437" s="6" t="str">
        <x:v>test</x:v>
      </x:c>
      <x:c r="G2437" s="6" t="str">
        <x:v>osm-way50300147</x:v>
      </x:c>
      <x:c r="H2437" s="6" t="str">
        <x:v>osm-way50300147-H02</x:v>
      </x:c>
      <x:c r="I2437" s="6" t="str">
        <x:v>Area and room selection</x:v>
      </x:c>
      <x:c r="J2437" s="6" t="str">
        <x:v>Benchmark</x:v>
      </x:c>
      <x:c r="K2437" s="6" t="str">
        <x:v>Answer: &lt;one number&gt;</x:v>
      </x:c>
      <x:c r="L2437" s="6" t="str">
        <x:v>T02, T04, T14</x:v>
      </x:c>
      <x:c r="M2437" s="6" t="str">
        <x:v>Sum the floor area of every matching room on one floor.</x:v>
      </x:c>
      <x:c r="N2437" s="6"/>
      <x:c r="O2437" s="6"/>
      <x:c r="P2437" s="6" t="str">
        <x:v>Exact target floor and room_type. Polygon area in m².</x:v>
      </x:c>
      <x:c r="Q2437" s="15"/>
      <x:c r="R2437" s="6"/>
      <x:c r="S2437" s="16"/>
      <x:c r="T2437" s="15"/>
      <x:c r="U2437" s="6"/>
      <x:c r="V2437" s="6"/>
      <x:c r="W2437" s="6" t="str">
        <x:v>Missing polygon-area aggregation tool.</x:v>
      </x:c>
      <x:c r="X2437" s="6" t="str">
        <x:v>data/test/osm-way50300147/questions.jsonl</x:v>
      </x:c>
      <x:c r="Y2437" s="14" t="n">
        <x:v>2</x:v>
      </x:c>
      <x:c r="Z2437" s="6" t="str">
        <x:v>https://github.com/hagenhaeussler/Industrial-Agents-Hackathon-2026/blob/f41616590b69f3ea0c1cbfb41d6c35edd9ce53df/data/test/osm-way50300147/questions.jsonl#L2</x:v>
      </x:c>
      <x:c r="AA2437" s="6" t="str">
        <x:v>osm_indoor</x:v>
      </x:c>
      <x:c r="AB2437" s="6" t="str">
        <x:v>ODbL-1.0</x:v>
      </x:c>
    </x:row>
    <x:row r="2438" ht="72" customHeight="1">
      <x:c r="A2438" s="14" t="n">
        <x:v>2433</x:v>
      </x:c>
      <x:c r="B2438" s="6" t="str">
        <x:v>floor_area_total</x:v>
      </x:c>
      <x:c r="C2438" s="6" t="str">
        <x:v>Facilities want the total floor area of every server room on the basement 1 added together. How many square metres is that? Finish with a line 'Answer: &lt;number&gt;'.</x:v>
      </x:c>
      <x:c r="D2438" s="6" t="str">
        <x:v>Withheld in public test data. No reference answer supplied.</x:v>
      </x:c>
      <x:c r="E2438" s="6" t="str">
        <x:v>Withheld</x:v>
      </x:c>
      <x:c r="F2438" s="6" t="str">
        <x:v>test</x:v>
      </x:c>
      <x:c r="G2438" s="6" t="str">
        <x:v>proc-campus-test-000</x:v>
      </x:c>
      <x:c r="H2438" s="6" t="str">
        <x:v>proc-campus-test-000-H02</x:v>
      </x:c>
      <x:c r="I2438" s="6" t="str">
        <x:v>Area and room selection</x:v>
      </x:c>
      <x:c r="J2438" s="6" t="str">
        <x:v>Benchmark</x:v>
      </x:c>
      <x:c r="K2438" s="6" t="str">
        <x:v>Answer: &lt;one number&gt;</x:v>
      </x:c>
      <x:c r="L2438" s="6" t="str">
        <x:v>T02, T04, T14</x:v>
      </x:c>
      <x:c r="M2438" s="6" t="str">
        <x:v>Sum the floor area of every matching room on one floor.</x:v>
      </x:c>
      <x:c r="N2438" s="6"/>
      <x:c r="O2438" s="6"/>
      <x:c r="P2438" s="6" t="str">
        <x:v>Exact target floor and room_type. Polygon area in m².</x:v>
      </x:c>
      <x:c r="Q2438" s="15"/>
      <x:c r="R2438" s="6"/>
      <x:c r="S2438" s="16"/>
      <x:c r="T2438" s="15"/>
      <x:c r="U2438" s="6"/>
      <x:c r="V2438" s="6"/>
      <x:c r="W2438" s="6" t="str">
        <x:v>Missing polygon-area aggregation tool.</x:v>
      </x:c>
      <x:c r="X2438" s="6" t="str">
        <x:v>data/test/proc-campus-test-000/questions.jsonl</x:v>
      </x:c>
      <x:c r="Y2438" s="14" t="n">
        <x:v>2</x:v>
      </x:c>
      <x:c r="Z2438" s="6" t="str">
        <x:v>https://github.com/hagenhaeussler/Industrial-Agents-Hackathon-2026/blob/f41616590b69f3ea0c1cbfb41d6c35edd9ce53df/data/test/proc-campus-test-000/questions.jsonl#L2</x:v>
      </x:c>
      <x:c r="AA2438" s="6" t="str">
        <x:v>procedural</x:v>
      </x:c>
      <x:c r="AB2438" s="6" t="str">
        <x:v>CC0-1.0</x:v>
      </x:c>
    </x:row>
    <x:row r="2439" ht="72" customHeight="1">
      <x:c r="A2439" s="14" t="n">
        <x:v>2434</x:v>
      </x:c>
      <x:c r="B2439" s="6" t="str">
        <x:v>floor_area_total</x:v>
      </x:c>
      <x:c r="C2439" s="6" t="str">
        <x:v>Facilities want the total floor area of every office on the floor 1 added together. How many square metres is that? Finish with a line 'Answer: &lt;number&gt;'.</x:v>
      </x:c>
      <x:c r="D2439" s="6" t="str">
        <x:v>Withheld in public test data. No reference answer supplied.</x:v>
      </x:c>
      <x:c r="E2439" s="6" t="str">
        <x:v>Withheld</x:v>
      </x:c>
      <x:c r="F2439" s="6" t="str">
        <x:v>test</x:v>
      </x:c>
      <x:c r="G2439" s="6" t="str">
        <x:v>proc-campus-test-004</x:v>
      </x:c>
      <x:c r="H2439" s="6" t="str">
        <x:v>proc-campus-test-004-H02</x:v>
      </x:c>
      <x:c r="I2439" s="6" t="str">
        <x:v>Area and room selection</x:v>
      </x:c>
      <x:c r="J2439" s="6" t="str">
        <x:v>Benchmark</x:v>
      </x:c>
      <x:c r="K2439" s="6" t="str">
        <x:v>Answer: &lt;one number&gt;</x:v>
      </x:c>
      <x:c r="L2439" s="6" t="str">
        <x:v>T02, T04, T14</x:v>
      </x:c>
      <x:c r="M2439" s="6" t="str">
        <x:v>Sum the floor area of every matching room on one floor.</x:v>
      </x:c>
      <x:c r="N2439" s="6"/>
      <x:c r="O2439" s="6"/>
      <x:c r="P2439" s="6" t="str">
        <x:v>Exact target floor and room_type. Polygon area in m².</x:v>
      </x:c>
      <x:c r="Q2439" s="15"/>
      <x:c r="R2439" s="6"/>
      <x:c r="S2439" s="16"/>
      <x:c r="T2439" s="15"/>
      <x:c r="U2439" s="6"/>
      <x:c r="V2439" s="6"/>
      <x:c r="W2439" s="6" t="str">
        <x:v>Missing polygon-area aggregation tool.</x:v>
      </x:c>
      <x:c r="X2439" s="6" t="str">
        <x:v>data/test/proc-campus-test-004/questions.jsonl</x:v>
      </x:c>
      <x:c r="Y2439" s="14" t="n">
        <x:v>2</x:v>
      </x:c>
      <x:c r="Z2439" s="6" t="str">
        <x:v>https://github.com/hagenhaeussler/Industrial-Agents-Hackathon-2026/blob/f41616590b69f3ea0c1cbfb41d6c35edd9ce53df/data/test/proc-campus-test-004/questions.jsonl#L2</x:v>
      </x:c>
      <x:c r="AA2439" s="6" t="str">
        <x:v>procedural</x:v>
      </x:c>
      <x:c r="AB2439" s="6" t="str">
        <x:v>CC0-1.0</x:v>
      </x:c>
    </x:row>
    <x:row r="2440" ht="72" customHeight="1">
      <x:c r="A2440" s="14" t="n">
        <x:v>2435</x:v>
      </x:c>
      <x:c r="B2440" s="6" t="str">
        <x:v>floor_area_total</x:v>
      </x:c>
      <x:c r="C2440" s="6" t="str">
        <x:v>Facilities want the total floor area of every office on the ground floor added together. How many square metres is that? Finish with a line 'Answer: &lt;number&gt;'.</x:v>
      </x:c>
      <x:c r="D2440" s="6" t="str">
        <x:v>Withheld in public test data. No reference answer supplied.</x:v>
      </x:c>
      <x:c r="E2440" s="6" t="str">
        <x:v>Withheld</x:v>
      </x:c>
      <x:c r="F2440" s="6" t="str">
        <x:v>test</x:v>
      </x:c>
      <x:c r="G2440" s="6" t="str">
        <x:v>proc-campus-test-005</x:v>
      </x:c>
      <x:c r="H2440" s="6" t="str">
        <x:v>proc-campus-test-005-H02</x:v>
      </x:c>
      <x:c r="I2440" s="6" t="str">
        <x:v>Area and room selection</x:v>
      </x:c>
      <x:c r="J2440" s="6" t="str">
        <x:v>Benchmark</x:v>
      </x:c>
      <x:c r="K2440" s="6" t="str">
        <x:v>Answer: &lt;one number&gt;</x:v>
      </x:c>
      <x:c r="L2440" s="6" t="str">
        <x:v>T02, T04, T14</x:v>
      </x:c>
      <x:c r="M2440" s="6" t="str">
        <x:v>Sum the floor area of every matching room on one floor.</x:v>
      </x:c>
      <x:c r="N2440" s="6"/>
      <x:c r="O2440" s="6"/>
      <x:c r="P2440" s="6" t="str">
        <x:v>Exact target floor and room_type. Polygon area in m².</x:v>
      </x:c>
      <x:c r="Q2440" s="15"/>
      <x:c r="R2440" s="6"/>
      <x:c r="S2440" s="16"/>
      <x:c r="T2440" s="15"/>
      <x:c r="U2440" s="6"/>
      <x:c r="V2440" s="6"/>
      <x:c r="W2440" s="6" t="str">
        <x:v>Missing polygon-area aggregation tool.</x:v>
      </x:c>
      <x:c r="X2440" s="6" t="str">
        <x:v>data/test/proc-campus-test-005/questions.jsonl</x:v>
      </x:c>
      <x:c r="Y2440" s="14" t="n">
        <x:v>2</x:v>
      </x:c>
      <x:c r="Z2440" s="6" t="str">
        <x:v>https://github.com/hagenhaeussler/Industrial-Agents-Hackathon-2026/blob/f41616590b69f3ea0c1cbfb41d6c35edd9ce53df/data/test/proc-campus-test-005/questions.jsonl#L2</x:v>
      </x:c>
      <x:c r="AA2440" s="6" t="str">
        <x:v>procedural</x:v>
      </x:c>
      <x:c r="AB2440" s="6" t="str">
        <x:v>CC0-1.0</x:v>
      </x:c>
    </x:row>
    <x:row r="2441" ht="72" customHeight="1">
      <x:c r="A2441" s="14" t="n">
        <x:v>2436</x:v>
      </x:c>
      <x:c r="B2441" s="6" t="str">
        <x:v>floor_area_total</x:v>
      </x:c>
      <x:c r="C2441" s="6" t="str">
        <x:v>Facilities want the total floor area of every meeting room on the floor 1 added together. How many square metres is that? Finish with a line 'Answer: &lt;number&gt;'.</x:v>
      </x:c>
      <x:c r="D2441" s="6" t="str">
        <x:v>Withheld in public test data. No reference answer supplied.</x:v>
      </x:c>
      <x:c r="E2441" s="6" t="str">
        <x:v>Withheld</x:v>
      </x:c>
      <x:c r="F2441" s="6" t="str">
        <x:v>test</x:v>
      </x:c>
      <x:c r="G2441" s="6" t="str">
        <x:v>proc-campus-test-008</x:v>
      </x:c>
      <x:c r="H2441" s="6" t="str">
        <x:v>proc-campus-test-008-H02</x:v>
      </x:c>
      <x:c r="I2441" s="6" t="str">
        <x:v>Area and room selection</x:v>
      </x:c>
      <x:c r="J2441" s="6" t="str">
        <x:v>Benchmark</x:v>
      </x:c>
      <x:c r="K2441" s="6" t="str">
        <x:v>Answer: &lt;one number&gt;</x:v>
      </x:c>
      <x:c r="L2441" s="6" t="str">
        <x:v>T02, T04, T14</x:v>
      </x:c>
      <x:c r="M2441" s="6" t="str">
        <x:v>Sum the floor area of every matching room on one floor.</x:v>
      </x:c>
      <x:c r="N2441" s="6"/>
      <x:c r="O2441" s="6"/>
      <x:c r="P2441" s="6" t="str">
        <x:v>Exact target floor and room_type. Polygon area in m².</x:v>
      </x:c>
      <x:c r="Q2441" s="15"/>
      <x:c r="R2441" s="6"/>
      <x:c r="S2441" s="16"/>
      <x:c r="T2441" s="15"/>
      <x:c r="U2441" s="6"/>
      <x:c r="V2441" s="6"/>
      <x:c r="W2441" s="6" t="str">
        <x:v>Missing polygon-area aggregation tool.</x:v>
      </x:c>
      <x:c r="X2441" s="6" t="str">
        <x:v>data/test/proc-campus-test-008/questions.jsonl</x:v>
      </x:c>
      <x:c r="Y2441" s="14" t="n">
        <x:v>2</x:v>
      </x:c>
      <x:c r="Z2441" s="6" t="str">
        <x:v>https://github.com/hagenhaeussler/Industrial-Agents-Hackathon-2026/blob/f41616590b69f3ea0c1cbfb41d6c35edd9ce53df/data/test/proc-campus-test-008/questions.jsonl#L2</x:v>
      </x:c>
      <x:c r="AA2441" s="6" t="str">
        <x:v>procedural</x:v>
      </x:c>
      <x:c r="AB2441" s="6" t="str">
        <x:v>CC0-1.0</x:v>
      </x:c>
    </x:row>
    <x:row r="2442" ht="72" customHeight="1">
      <x:c r="A2442" s="14" t="n">
        <x:v>2437</x:v>
      </x:c>
      <x:c r="B2442" s="6" t="str">
        <x:v>floor_area_total</x:v>
      </x:c>
      <x:c r="C2442" s="6" t="str">
        <x:v>Facilities want the total floor area of every toilet on the floor 4 added together. How many square metres is that? Finish with a line 'Answer: &lt;number&gt;'.</x:v>
      </x:c>
      <x:c r="D2442" s="6" t="str">
        <x:v>Withheld in public test data. No reference answer supplied.</x:v>
      </x:c>
      <x:c r="E2442" s="6" t="str">
        <x:v>Withheld</x:v>
      </x:c>
      <x:c r="F2442" s="6" t="str">
        <x:v>test</x:v>
      </x:c>
      <x:c r="G2442" s="6" t="str">
        <x:v>proc-campus-test-012</x:v>
      </x:c>
      <x:c r="H2442" s="6" t="str">
        <x:v>proc-campus-test-012-H02</x:v>
      </x:c>
      <x:c r="I2442" s="6" t="str">
        <x:v>Area and room selection</x:v>
      </x:c>
      <x:c r="J2442" s="6" t="str">
        <x:v>Benchmark</x:v>
      </x:c>
      <x:c r="K2442" s="6" t="str">
        <x:v>Answer: &lt;one number&gt;</x:v>
      </x:c>
      <x:c r="L2442" s="6" t="str">
        <x:v>T02, T04, T14</x:v>
      </x:c>
      <x:c r="M2442" s="6" t="str">
        <x:v>Sum the floor area of every matching room on one floor.</x:v>
      </x:c>
      <x:c r="N2442" s="6"/>
      <x:c r="O2442" s="6"/>
      <x:c r="P2442" s="6" t="str">
        <x:v>Exact target floor and room_type. Polygon area in m².</x:v>
      </x:c>
      <x:c r="Q2442" s="15"/>
      <x:c r="R2442" s="6"/>
      <x:c r="S2442" s="16"/>
      <x:c r="T2442" s="15"/>
      <x:c r="U2442" s="6"/>
      <x:c r="V2442" s="6"/>
      <x:c r="W2442" s="6" t="str">
        <x:v>Missing polygon-area aggregation tool.</x:v>
      </x:c>
      <x:c r="X2442" s="6" t="str">
        <x:v>data/test/proc-campus-test-012/questions.jsonl</x:v>
      </x:c>
      <x:c r="Y2442" s="14" t="n">
        <x:v>2</x:v>
      </x:c>
      <x:c r="Z2442" s="6" t="str">
        <x:v>https://github.com/hagenhaeussler/Industrial-Agents-Hackathon-2026/blob/f41616590b69f3ea0c1cbfb41d6c35edd9ce53df/data/test/proc-campus-test-012/questions.jsonl#L2</x:v>
      </x:c>
      <x:c r="AA2442" s="6" t="str">
        <x:v>procedural</x:v>
      </x:c>
      <x:c r="AB2442" s="6" t="str">
        <x:v>CC0-1.0</x:v>
      </x:c>
    </x:row>
    <x:row r="2443" ht="72" customHeight="1">
      <x:c r="A2443" s="14" t="n">
        <x:v>2438</x:v>
      </x:c>
      <x:c r="B2443" s="6" t="str">
        <x:v>floor_area_total</x:v>
      </x:c>
      <x:c r="C2443" s="6" t="str">
        <x:v>Facilities want the total floor area of every lab on the floor 1 added together. How many square metres is that? Finish with a line 'Answer: &lt;number&gt;'.</x:v>
      </x:c>
      <x:c r="D2443" s="6" t="str">
        <x:v>Withheld in public test data. No reference answer supplied.</x:v>
      </x:c>
      <x:c r="E2443" s="6" t="str">
        <x:v>Withheld</x:v>
      </x:c>
      <x:c r="F2443" s="6" t="str">
        <x:v>test</x:v>
      </x:c>
      <x:c r="G2443" s="6" t="str">
        <x:v>proc-campus-test-013</x:v>
      </x:c>
      <x:c r="H2443" s="6" t="str">
        <x:v>proc-campus-test-013-H02</x:v>
      </x:c>
      <x:c r="I2443" s="6" t="str">
        <x:v>Area and room selection</x:v>
      </x:c>
      <x:c r="J2443" s="6" t="str">
        <x:v>Benchmark</x:v>
      </x:c>
      <x:c r="K2443" s="6" t="str">
        <x:v>Answer: &lt;one number&gt;</x:v>
      </x:c>
      <x:c r="L2443" s="6" t="str">
        <x:v>T02, T04, T14</x:v>
      </x:c>
      <x:c r="M2443" s="6" t="str">
        <x:v>Sum the floor area of every matching room on one floor.</x:v>
      </x:c>
      <x:c r="N2443" s="6"/>
      <x:c r="O2443" s="6"/>
      <x:c r="P2443" s="6" t="str">
        <x:v>Exact target floor and room_type. Polygon area in m².</x:v>
      </x:c>
      <x:c r="Q2443" s="15"/>
      <x:c r="R2443" s="6"/>
      <x:c r="S2443" s="16"/>
      <x:c r="T2443" s="15"/>
      <x:c r="U2443" s="6"/>
      <x:c r="V2443" s="6"/>
      <x:c r="W2443" s="6" t="str">
        <x:v>Missing polygon-area aggregation tool.</x:v>
      </x:c>
      <x:c r="X2443" s="6" t="str">
        <x:v>data/test/proc-campus-test-013/questions.jsonl</x:v>
      </x:c>
      <x:c r="Y2443" s="14" t="n">
        <x:v>2</x:v>
      </x:c>
      <x:c r="Z2443" s="6" t="str">
        <x:v>https://github.com/hagenhaeussler/Industrial-Agents-Hackathon-2026/blob/f41616590b69f3ea0c1cbfb41d6c35edd9ce53df/data/test/proc-campus-test-013/questions.jsonl#L2</x:v>
      </x:c>
      <x:c r="AA2443" s="6" t="str">
        <x:v>procedural</x:v>
      </x:c>
      <x:c r="AB2443" s="6" t="str">
        <x:v>CC0-1.0</x:v>
      </x:c>
    </x:row>
    <x:row r="2444" ht="72" customHeight="1">
      <x:c r="A2444" s="14" t="n">
        <x:v>2439</x:v>
      </x:c>
      <x:c r="B2444" s="6" t="str">
        <x:v>floor_area_total</x:v>
      </x:c>
      <x:c r="C2444" s="6" t="str">
        <x:v>Facilities want the total floor area of every meeting room on the ground floor added together. How many square metres is that? Finish with a line 'Answer: &lt;number&gt;'.</x:v>
      </x:c>
      <x:c r="D2444" s="6" t="str">
        <x:v>Withheld in public test data. No reference answer supplied.</x:v>
      </x:c>
      <x:c r="E2444" s="6" t="str">
        <x:v>Withheld</x:v>
      </x:c>
      <x:c r="F2444" s="6" t="str">
        <x:v>test</x:v>
      </x:c>
      <x:c r="G2444" s="6" t="str">
        <x:v>proc-factory-test-001</x:v>
      </x:c>
      <x:c r="H2444" s="6" t="str">
        <x:v>proc-factory-test-001-H01</x:v>
      </x:c>
      <x:c r="I2444" s="6" t="str">
        <x:v>Area and room selection</x:v>
      </x:c>
      <x:c r="J2444" s="6" t="str">
        <x:v>Benchmark</x:v>
      </x:c>
      <x:c r="K2444" s="6" t="str">
        <x:v>Answer: &lt;one number&gt;</x:v>
      </x:c>
      <x:c r="L2444" s="6" t="str">
        <x:v>T02, T04, T14</x:v>
      </x:c>
      <x:c r="M2444" s="6" t="str">
        <x:v>Sum the floor area of every matching room on one floor.</x:v>
      </x:c>
      <x:c r="N2444" s="6"/>
      <x:c r="O2444" s="6"/>
      <x:c r="P2444" s="6" t="str">
        <x:v>Exact target floor and room_type. Polygon area in m².</x:v>
      </x:c>
      <x:c r="Q2444" s="15"/>
      <x:c r="R2444" s="6"/>
      <x:c r="S2444" s="16"/>
      <x:c r="T2444" s="15"/>
      <x:c r="U2444" s="6"/>
      <x:c r="V2444" s="6"/>
      <x:c r="W2444" s="6" t="str">
        <x:v>Missing polygon-area aggregation tool.</x:v>
      </x:c>
      <x:c r="X2444" s="6" t="str">
        <x:v>data/test/proc-factory-test-001/questions.jsonl</x:v>
      </x:c>
      <x:c r="Y2444" s="14" t="n">
        <x:v>1</x:v>
      </x:c>
      <x:c r="Z2444" s="6" t="str">
        <x:v>https://github.com/hagenhaeussler/Industrial-Agents-Hackathon-2026/blob/f41616590b69f3ea0c1cbfb41d6c35edd9ce53df/data/test/proc-factory-test-001/questions.jsonl#L1</x:v>
      </x:c>
      <x:c r="AA2444" s="6" t="str">
        <x:v>procedural</x:v>
      </x:c>
      <x:c r="AB2444" s="6" t="str">
        <x:v>CC0-1.0</x:v>
      </x:c>
    </x:row>
    <x:row r="2445" ht="72" customHeight="1">
      <x:c r="A2445" s="14" t="n">
        <x:v>2440</x:v>
      </x:c>
      <x:c r="B2445" s="6" t="str">
        <x:v>floor_area_total</x:v>
      </x:c>
      <x:c r="C2445" s="6" t="str">
        <x:v>Facilities want the total floor area of every meeting room on the ground floor added together. How many square metres is that? Finish with a line 'Answer: &lt;number&gt;'.</x:v>
      </x:c>
      <x:c r="D2445" s="6" t="str">
        <x:v>Withheld in public test data. No reference answer supplied.</x:v>
      </x:c>
      <x:c r="E2445" s="6" t="str">
        <x:v>Withheld</x:v>
      </x:c>
      <x:c r="F2445" s="6" t="str">
        <x:v>test</x:v>
      </x:c>
      <x:c r="G2445" s="6" t="str">
        <x:v>proc-factory-test-002</x:v>
      </x:c>
      <x:c r="H2445" s="6" t="str">
        <x:v>proc-factory-test-002-H01</x:v>
      </x:c>
      <x:c r="I2445" s="6" t="str">
        <x:v>Area and room selection</x:v>
      </x:c>
      <x:c r="J2445" s="6" t="str">
        <x:v>Benchmark</x:v>
      </x:c>
      <x:c r="K2445" s="6" t="str">
        <x:v>Answer: &lt;one number&gt;</x:v>
      </x:c>
      <x:c r="L2445" s="6" t="str">
        <x:v>T02, T04, T14</x:v>
      </x:c>
      <x:c r="M2445" s="6" t="str">
        <x:v>Sum the floor area of every matching room on one floor.</x:v>
      </x:c>
      <x:c r="N2445" s="6"/>
      <x:c r="O2445" s="6"/>
      <x:c r="P2445" s="6" t="str">
        <x:v>Exact target floor and room_type. Polygon area in m².</x:v>
      </x:c>
      <x:c r="Q2445" s="15"/>
      <x:c r="R2445" s="6"/>
      <x:c r="S2445" s="16"/>
      <x:c r="T2445" s="15"/>
      <x:c r="U2445" s="6"/>
      <x:c r="V2445" s="6"/>
      <x:c r="W2445" s="6" t="str">
        <x:v>Missing polygon-area aggregation tool.</x:v>
      </x:c>
      <x:c r="X2445" s="6" t="str">
        <x:v>data/test/proc-factory-test-002/questions.jsonl</x:v>
      </x:c>
      <x:c r="Y2445" s="14" t="n">
        <x:v>1</x:v>
      </x:c>
      <x:c r="Z2445" s="6" t="str">
        <x:v>https://github.com/hagenhaeussler/Industrial-Agents-Hackathon-2026/blob/f41616590b69f3ea0c1cbfb41d6c35edd9ce53df/data/test/proc-factory-test-002/questions.jsonl#L1</x:v>
      </x:c>
      <x:c r="AA2445" s="6" t="str">
        <x:v>procedural</x:v>
      </x:c>
      <x:c r="AB2445" s="6" t="str">
        <x:v>CC0-1.0</x:v>
      </x:c>
    </x:row>
    <x:row r="2446" ht="72" customHeight="1">
      <x:c r="A2446" s="14" t="n">
        <x:v>2441</x:v>
      </x:c>
      <x:c r="B2446" s="6" t="str">
        <x:v>floor_area_total</x:v>
      </x:c>
      <x:c r="C2446" s="6" t="str">
        <x:v>Facilities want the total floor area of every meeting room on the floor 2 added together. How many square metres is that? Finish with a line 'Answer: &lt;number&gt;'.</x:v>
      </x:c>
      <x:c r="D2446" s="6" t="str">
        <x:v>Withheld in public test data. No reference answer supplied.</x:v>
      </x:c>
      <x:c r="E2446" s="6" t="str">
        <x:v>Withheld</x:v>
      </x:c>
      <x:c r="F2446" s="6" t="str">
        <x:v>test</x:v>
      </x:c>
      <x:c r="G2446" s="6" t="str">
        <x:v>proc-factory-test-003</x:v>
      </x:c>
      <x:c r="H2446" s="6" t="str">
        <x:v>proc-factory-test-003-H02</x:v>
      </x:c>
      <x:c r="I2446" s="6" t="str">
        <x:v>Area and room selection</x:v>
      </x:c>
      <x:c r="J2446" s="6" t="str">
        <x:v>Benchmark</x:v>
      </x:c>
      <x:c r="K2446" s="6" t="str">
        <x:v>Answer: &lt;one number&gt;</x:v>
      </x:c>
      <x:c r="L2446" s="6" t="str">
        <x:v>T02, T04, T14</x:v>
      </x:c>
      <x:c r="M2446" s="6" t="str">
        <x:v>Sum the floor area of every matching room on one floor.</x:v>
      </x:c>
      <x:c r="N2446" s="6"/>
      <x:c r="O2446" s="6"/>
      <x:c r="P2446" s="6" t="str">
        <x:v>Exact target floor and room_type. Polygon area in m².</x:v>
      </x:c>
      <x:c r="Q2446" s="15"/>
      <x:c r="R2446" s="6"/>
      <x:c r="S2446" s="16"/>
      <x:c r="T2446" s="15"/>
      <x:c r="U2446" s="6"/>
      <x:c r="V2446" s="6"/>
      <x:c r="W2446" s="6" t="str">
        <x:v>Missing polygon-area aggregation tool.</x:v>
      </x:c>
      <x:c r="X2446" s="6" t="str">
        <x:v>data/test/proc-factory-test-003/questions.jsonl</x:v>
      </x:c>
      <x:c r="Y2446" s="14" t="n">
        <x:v>2</x:v>
      </x:c>
      <x:c r="Z2446" s="6" t="str">
        <x:v>https://github.com/hagenhaeussler/Industrial-Agents-Hackathon-2026/blob/f41616590b69f3ea0c1cbfb41d6c35edd9ce53df/data/test/proc-factory-test-003/questions.jsonl#L2</x:v>
      </x:c>
      <x:c r="AA2446" s="6" t="str">
        <x:v>procedural</x:v>
      </x:c>
      <x:c r="AB2446" s="6" t="str">
        <x:v>CC0-1.0</x:v>
      </x:c>
    </x:row>
    <x:row r="2447" ht="72" customHeight="1">
      <x:c r="A2447" s="14" t="n">
        <x:v>2442</x:v>
      </x:c>
      <x:c r="B2447" s="6" t="str">
        <x:v>floor_area_total</x:v>
      </x:c>
      <x:c r="C2447" s="6" t="str">
        <x:v>Facilities want the total floor area of every office on the floor 2 added together. How many square metres is that? Finish with a line 'Answer: &lt;number&gt;'.</x:v>
      </x:c>
      <x:c r="D2447" s="6" t="str">
        <x:v>Withheld in public test data. No reference answer supplied.</x:v>
      </x:c>
      <x:c r="E2447" s="6" t="str">
        <x:v>Withheld</x:v>
      </x:c>
      <x:c r="F2447" s="6" t="str">
        <x:v>test</x:v>
      </x:c>
      <x:c r="G2447" s="6" t="str">
        <x:v>proc-factory-test-006</x:v>
      </x:c>
      <x:c r="H2447" s="6" t="str">
        <x:v>proc-factory-test-006-H01</x:v>
      </x:c>
      <x:c r="I2447" s="6" t="str">
        <x:v>Area and room selection</x:v>
      </x:c>
      <x:c r="J2447" s="6" t="str">
        <x:v>Benchmark</x:v>
      </x:c>
      <x:c r="K2447" s="6" t="str">
        <x:v>Answer: &lt;one number&gt;</x:v>
      </x:c>
      <x:c r="L2447" s="6" t="str">
        <x:v>T02, T04, T14</x:v>
      </x:c>
      <x:c r="M2447" s="6" t="str">
        <x:v>Sum the floor area of every matching room on one floor.</x:v>
      </x:c>
      <x:c r="N2447" s="6"/>
      <x:c r="O2447" s="6"/>
      <x:c r="P2447" s="6" t="str">
        <x:v>Exact target floor and room_type. Polygon area in m².</x:v>
      </x:c>
      <x:c r="Q2447" s="15"/>
      <x:c r="R2447" s="6"/>
      <x:c r="S2447" s="16"/>
      <x:c r="T2447" s="15"/>
      <x:c r="U2447" s="6"/>
      <x:c r="V2447" s="6"/>
      <x:c r="W2447" s="6" t="str">
        <x:v>Missing polygon-area aggregation tool.</x:v>
      </x:c>
      <x:c r="X2447" s="6" t="str">
        <x:v>data/test/proc-factory-test-006/questions.jsonl</x:v>
      </x:c>
      <x:c r="Y2447" s="14" t="n">
        <x:v>1</x:v>
      </x:c>
      <x:c r="Z2447" s="6" t="str">
        <x:v>https://github.com/hagenhaeussler/Industrial-Agents-Hackathon-2026/blob/f41616590b69f3ea0c1cbfb41d6c35edd9ce53df/data/test/proc-factory-test-006/questions.jsonl#L1</x:v>
      </x:c>
      <x:c r="AA2447" s="6" t="str">
        <x:v>procedural</x:v>
      </x:c>
      <x:c r="AB2447" s="6" t="str">
        <x:v>CC0-1.0</x:v>
      </x:c>
    </x:row>
    <x:row r="2448" ht="72" customHeight="1">
      <x:c r="A2448" s="14" t="n">
        <x:v>2443</x:v>
      </x:c>
      <x:c r="B2448" s="6" t="str">
        <x:v>floor_area_total</x:v>
      </x:c>
      <x:c r="C2448" s="6" t="str">
        <x:v>Facilities want the total floor area of every office on the floor 1 added together. How many square metres is that? Finish with a line 'Answer: &lt;number&gt;'.</x:v>
      </x:c>
      <x:c r="D2448" s="6" t="str">
        <x:v>Withheld in public test data. No reference answer supplied.</x:v>
      </x:c>
      <x:c r="E2448" s="6" t="str">
        <x:v>Withheld</x:v>
      </x:c>
      <x:c r="F2448" s="6" t="str">
        <x:v>test</x:v>
      </x:c>
      <x:c r="G2448" s="6" t="str">
        <x:v>proc-factory-test-007</x:v>
      </x:c>
      <x:c r="H2448" s="6" t="str">
        <x:v>proc-factory-test-007-H02</x:v>
      </x:c>
      <x:c r="I2448" s="6" t="str">
        <x:v>Area and room selection</x:v>
      </x:c>
      <x:c r="J2448" s="6" t="str">
        <x:v>Benchmark</x:v>
      </x:c>
      <x:c r="K2448" s="6" t="str">
        <x:v>Answer: &lt;one number&gt;</x:v>
      </x:c>
      <x:c r="L2448" s="6" t="str">
        <x:v>T02, T04, T14</x:v>
      </x:c>
      <x:c r="M2448" s="6" t="str">
        <x:v>Sum the floor area of every matching room on one floor.</x:v>
      </x:c>
      <x:c r="N2448" s="6"/>
      <x:c r="O2448" s="6"/>
      <x:c r="P2448" s="6" t="str">
        <x:v>Exact target floor and room_type. Polygon area in m².</x:v>
      </x:c>
      <x:c r="Q2448" s="15"/>
      <x:c r="R2448" s="6"/>
      <x:c r="S2448" s="16"/>
      <x:c r="T2448" s="15"/>
      <x:c r="U2448" s="6"/>
      <x:c r="V2448" s="6"/>
      <x:c r="W2448" s="6" t="str">
        <x:v>Missing polygon-area aggregation tool.</x:v>
      </x:c>
      <x:c r="X2448" s="6" t="str">
        <x:v>data/test/proc-factory-test-007/questions.jsonl</x:v>
      </x:c>
      <x:c r="Y2448" s="14" t="n">
        <x:v>2</x:v>
      </x:c>
      <x:c r="Z2448" s="6" t="str">
        <x:v>https://github.com/hagenhaeussler/Industrial-Agents-Hackathon-2026/blob/f41616590b69f3ea0c1cbfb41d6c35edd9ce53df/data/test/proc-factory-test-007/questions.jsonl#L2</x:v>
      </x:c>
      <x:c r="AA2448" s="6" t="str">
        <x:v>procedural</x:v>
      </x:c>
      <x:c r="AB2448" s="6" t="str">
        <x:v>CC0-1.0</x:v>
      </x:c>
    </x:row>
    <x:row r="2449" ht="72" customHeight="1">
      <x:c r="A2449" s="14" t="n">
        <x:v>2444</x:v>
      </x:c>
      <x:c r="B2449" s="6" t="str">
        <x:v>floor_area_total</x:v>
      </x:c>
      <x:c r="C2449" s="6" t="str">
        <x:v>Facilities want the total floor area of every production zone on the ground floor added together. How many square metres is that? Finish with a line 'Answer: &lt;number&gt;'.</x:v>
      </x:c>
      <x:c r="D2449" s="6" t="str">
        <x:v>Withheld in public test data. No reference answer supplied.</x:v>
      </x:c>
      <x:c r="E2449" s="6" t="str">
        <x:v>Withheld</x:v>
      </x:c>
      <x:c r="F2449" s="6" t="str">
        <x:v>test</x:v>
      </x:c>
      <x:c r="G2449" s="6" t="str">
        <x:v>proc-factory-test-009</x:v>
      </x:c>
      <x:c r="H2449" s="6" t="str">
        <x:v>proc-factory-test-009-H01</x:v>
      </x:c>
      <x:c r="I2449" s="6" t="str">
        <x:v>Area and room selection</x:v>
      </x:c>
      <x:c r="J2449" s="6" t="str">
        <x:v>Benchmark</x:v>
      </x:c>
      <x:c r="K2449" s="6" t="str">
        <x:v>Answer: &lt;one number&gt;</x:v>
      </x:c>
      <x:c r="L2449" s="6" t="str">
        <x:v>T02, T04, T14</x:v>
      </x:c>
      <x:c r="M2449" s="6" t="str">
        <x:v>Sum the floor area of every matching room on one floor.</x:v>
      </x:c>
      <x:c r="N2449" s="6"/>
      <x:c r="O2449" s="6"/>
      <x:c r="P2449" s="6" t="str">
        <x:v>Exact target floor and room_type. Polygon area in m².</x:v>
      </x:c>
      <x:c r="Q2449" s="15"/>
      <x:c r="R2449" s="6"/>
      <x:c r="S2449" s="16"/>
      <x:c r="T2449" s="15"/>
      <x:c r="U2449" s="6"/>
      <x:c r="V2449" s="6"/>
      <x:c r="W2449" s="6" t="str">
        <x:v>Missing polygon-area aggregation tool.</x:v>
      </x:c>
      <x:c r="X2449" s="6" t="str">
        <x:v>data/test/proc-factory-test-009/questions.jsonl</x:v>
      </x:c>
      <x:c r="Y2449" s="14" t="n">
        <x:v>1</x:v>
      </x:c>
      <x:c r="Z2449" s="6" t="str">
        <x:v>https://github.com/hagenhaeussler/Industrial-Agents-Hackathon-2026/blob/f41616590b69f3ea0c1cbfb41d6c35edd9ce53df/data/test/proc-factory-test-009/questions.jsonl#L1</x:v>
      </x:c>
      <x:c r="AA2449" s="6" t="str">
        <x:v>procedural</x:v>
      </x:c>
      <x:c r="AB2449" s="6" t="str">
        <x:v>CC0-1.0</x:v>
      </x:c>
    </x:row>
    <x:row r="2450" ht="72" customHeight="1">
      <x:c r="A2450" s="14" t="n">
        <x:v>2445</x:v>
      </x:c>
      <x:c r="B2450" s="6" t="str">
        <x:v>floor_area_total</x:v>
      </x:c>
      <x:c r="C2450" s="6" t="str">
        <x:v>Facilities want the total floor area of every meeting room on the ground floor added together. How many square metres is that? Finish with a line 'Answer: &lt;number&gt;'.</x:v>
      </x:c>
      <x:c r="D2450" s="6" t="str">
        <x:v>Withheld in public test data. No reference answer supplied.</x:v>
      </x:c>
      <x:c r="E2450" s="6" t="str">
        <x:v>Withheld</x:v>
      </x:c>
      <x:c r="F2450" s="6" t="str">
        <x:v>test</x:v>
      </x:c>
      <x:c r="G2450" s="6" t="str">
        <x:v>proc-factory-test-010</x:v>
      </x:c>
      <x:c r="H2450" s="6" t="str">
        <x:v>proc-factory-test-010-H02</x:v>
      </x:c>
      <x:c r="I2450" s="6" t="str">
        <x:v>Area and room selection</x:v>
      </x:c>
      <x:c r="J2450" s="6" t="str">
        <x:v>Benchmark</x:v>
      </x:c>
      <x:c r="K2450" s="6" t="str">
        <x:v>Answer: &lt;one number&gt;</x:v>
      </x:c>
      <x:c r="L2450" s="6" t="str">
        <x:v>T02, T04, T14</x:v>
      </x:c>
      <x:c r="M2450" s="6" t="str">
        <x:v>Sum the floor area of every matching room on one floor.</x:v>
      </x:c>
      <x:c r="N2450" s="6"/>
      <x:c r="O2450" s="6"/>
      <x:c r="P2450" s="6" t="str">
        <x:v>Exact target floor and room_type. Polygon area in m².</x:v>
      </x:c>
      <x:c r="Q2450" s="15"/>
      <x:c r="R2450" s="6"/>
      <x:c r="S2450" s="16"/>
      <x:c r="T2450" s="15"/>
      <x:c r="U2450" s="6"/>
      <x:c r="V2450" s="6"/>
      <x:c r="W2450" s="6" t="str">
        <x:v>Missing polygon-area aggregation tool.</x:v>
      </x:c>
      <x:c r="X2450" s="6" t="str">
        <x:v>data/test/proc-factory-test-010/questions.jsonl</x:v>
      </x:c>
      <x:c r="Y2450" s="14" t="n">
        <x:v>2</x:v>
      </x:c>
      <x:c r="Z2450" s="6" t="str">
        <x:v>https://github.com/hagenhaeussler/Industrial-Agents-Hackathon-2026/blob/f41616590b69f3ea0c1cbfb41d6c35edd9ce53df/data/test/proc-factory-test-010/questions.jsonl#L2</x:v>
      </x:c>
      <x:c r="AA2450" s="6" t="str">
        <x:v>procedural</x:v>
      </x:c>
      <x:c r="AB2450" s="6" t="str">
        <x:v>CC0-1.0</x:v>
      </x:c>
    </x:row>
    <x:row r="2451" ht="72" customHeight="1">
      <x:c r="A2451" s="14" t="n">
        <x:v>2446</x:v>
      </x:c>
      <x:c r="B2451" s="6" t="str">
        <x:v>floor_area_total</x:v>
      </x:c>
      <x:c r="C2451" s="6" t="str">
        <x:v>Facilities want the total floor area of every production zone on the ground floor added together. How many square metres is that? Finish with a line 'Answer: &lt;number&gt;'.</x:v>
      </x:c>
      <x:c r="D2451" s="6" t="str">
        <x:v>Withheld in public test data. No reference answer supplied.</x:v>
      </x:c>
      <x:c r="E2451" s="6" t="str">
        <x:v>Withheld</x:v>
      </x:c>
      <x:c r="F2451" s="6" t="str">
        <x:v>test</x:v>
      </x:c>
      <x:c r="G2451" s="6" t="str">
        <x:v>proc-factory-test-011</x:v>
      </x:c>
      <x:c r="H2451" s="6" t="str">
        <x:v>proc-factory-test-011-H01</x:v>
      </x:c>
      <x:c r="I2451" s="6" t="str">
        <x:v>Area and room selection</x:v>
      </x:c>
      <x:c r="J2451" s="6" t="str">
        <x:v>Benchmark</x:v>
      </x:c>
      <x:c r="K2451" s="6" t="str">
        <x:v>Answer: &lt;one number&gt;</x:v>
      </x:c>
      <x:c r="L2451" s="6" t="str">
        <x:v>T02, T04, T14</x:v>
      </x:c>
      <x:c r="M2451" s="6" t="str">
        <x:v>Sum the floor area of every matching room on one floor.</x:v>
      </x:c>
      <x:c r="N2451" s="6"/>
      <x:c r="O2451" s="6"/>
      <x:c r="P2451" s="6" t="str">
        <x:v>Exact target floor and room_type. Polygon area in m².</x:v>
      </x:c>
      <x:c r="Q2451" s="15"/>
      <x:c r="R2451" s="6"/>
      <x:c r="S2451" s="16"/>
      <x:c r="T2451" s="15"/>
      <x:c r="U2451" s="6"/>
      <x:c r="V2451" s="6"/>
      <x:c r="W2451" s="6" t="str">
        <x:v>Missing polygon-area aggregation tool.</x:v>
      </x:c>
      <x:c r="X2451" s="6" t="str">
        <x:v>data/test/proc-factory-test-011/questions.jsonl</x:v>
      </x:c>
      <x:c r="Y2451" s="14" t="n">
        <x:v>1</x:v>
      </x:c>
      <x:c r="Z2451" s="6" t="str">
        <x:v>https://github.com/hagenhaeussler/Industrial-Agents-Hackathon-2026/blob/f41616590b69f3ea0c1cbfb41d6c35edd9ce53df/data/test/proc-factory-test-011/questions.jsonl#L1</x:v>
      </x:c>
      <x:c r="AA2451" s="6" t="str">
        <x:v>procedural</x:v>
      </x:c>
      <x:c r="AB2451" s="6" t="str">
        <x:v>CC0-1.0</x:v>
      </x:c>
    </x:row>
    <x:row r="2452" ht="72" customHeight="1">
      <x:c r="A2452" s="14" t="n">
        <x:v>2447</x:v>
      </x:c>
      <x:c r="B2452" s="6" t="str">
        <x:v>floor_area_total</x:v>
      </x:c>
      <x:c r="C2452" s="6" t="str">
        <x:v>Facilities want the total floor area of every bedroom on the ground floor added together. How many square metres is that? Finish with a line 'Answer: &lt;number&gt;'.</x:v>
      </x:c>
      <x:c r="D2452" s="6" t="str">
        <x:v>Withheld in public test data. No reference answer supplied.</x:v>
      </x:c>
      <x:c r="E2452" s="6" t="str">
        <x:v>Withheld</x:v>
      </x:c>
      <x:c r="F2452" s="6" t="str">
        <x:v>test</x:v>
      </x:c>
      <x:c r="G2452" s="6" t="str">
        <x:v>resplan-1153</x:v>
      </x:c>
      <x:c r="H2452" s="6" t="str">
        <x:v>resplan-1153-H01</x:v>
      </x:c>
      <x:c r="I2452" s="6" t="str">
        <x:v>Area and room selection</x:v>
      </x:c>
      <x:c r="J2452" s="6" t="str">
        <x:v>Benchmark</x:v>
      </x:c>
      <x:c r="K2452" s="6" t="str">
        <x:v>Answer: &lt;one number&gt;</x:v>
      </x:c>
      <x:c r="L2452" s="6" t="str">
        <x:v>T02, T04, T14</x:v>
      </x:c>
      <x:c r="M2452" s="6" t="str">
        <x:v>Sum the floor area of every matching room on one floor.</x:v>
      </x:c>
      <x:c r="N2452" s="6"/>
      <x:c r="O2452" s="6"/>
      <x:c r="P2452" s="6" t="str">
        <x:v>Exact target floor and room_type. Polygon area in m².</x:v>
      </x:c>
      <x:c r="Q2452" s="15"/>
      <x:c r="R2452" s="6"/>
      <x:c r="S2452" s="16"/>
      <x:c r="T2452" s="15"/>
      <x:c r="U2452" s="6"/>
      <x:c r="V2452" s="6"/>
      <x:c r="W2452" s="6" t="str">
        <x:v>Missing polygon-area aggregation tool.</x:v>
      </x:c>
      <x:c r="X2452" s="6" t="str">
        <x:v>data/test/resplan-1153/questions.jsonl</x:v>
      </x:c>
      <x:c r="Y2452" s="14" t="n">
        <x:v>1</x:v>
      </x:c>
      <x:c r="Z2452" s="6" t="str">
        <x:v>https://github.com/hagenhaeussler/Industrial-Agents-Hackathon-2026/blob/f41616590b69f3ea0c1cbfb41d6c35edd9ce53df/data/test/resplan-1153/questions.jsonl#L1</x:v>
      </x:c>
      <x:c r="AA2452" s="6" t="str">
        <x:v>resplan</x:v>
      </x:c>
      <x:c r="AB2452" s="6" t="str">
        <x:v>CC-BY-4.0</x:v>
      </x:c>
    </x:row>
    <x:row r="2453" ht="72" customHeight="1">
      <x:c r="A2453" s="14" t="n">
        <x:v>2448</x:v>
      </x:c>
      <x:c r="B2453" s="6" t="str">
        <x:v>floor_area_total</x:v>
      </x:c>
      <x:c r="C2453" s="6" t="str">
        <x:v>Facilities want the total floor area of every bedroom on the ground floor added together. How many square metres is that? Finish with a line 'Answer: &lt;number&gt;'.</x:v>
      </x:c>
      <x:c r="D2453" s="6" t="str">
        <x:v>Withheld in public test data. No reference answer supplied.</x:v>
      </x:c>
      <x:c r="E2453" s="6" t="str">
        <x:v>Withheld</x:v>
      </x:c>
      <x:c r="F2453" s="6" t="str">
        <x:v>test</x:v>
      </x:c>
      <x:c r="G2453" s="6" t="str">
        <x:v>resplan-12469</x:v>
      </x:c>
      <x:c r="H2453" s="6" t="str">
        <x:v>resplan-12469-H01</x:v>
      </x:c>
      <x:c r="I2453" s="6" t="str">
        <x:v>Area and room selection</x:v>
      </x:c>
      <x:c r="J2453" s="6" t="str">
        <x:v>Benchmark</x:v>
      </x:c>
      <x:c r="K2453" s="6" t="str">
        <x:v>Answer: &lt;one number&gt;</x:v>
      </x:c>
      <x:c r="L2453" s="6" t="str">
        <x:v>T02, T04, T14</x:v>
      </x:c>
      <x:c r="M2453" s="6" t="str">
        <x:v>Sum the floor area of every matching room on one floor.</x:v>
      </x:c>
      <x:c r="N2453" s="6"/>
      <x:c r="O2453" s="6"/>
      <x:c r="P2453" s="6" t="str">
        <x:v>Exact target floor and room_type. Polygon area in m².</x:v>
      </x:c>
      <x:c r="Q2453" s="15"/>
      <x:c r="R2453" s="6"/>
      <x:c r="S2453" s="16"/>
      <x:c r="T2453" s="15"/>
      <x:c r="U2453" s="6"/>
      <x:c r="V2453" s="6"/>
      <x:c r="W2453" s="6" t="str">
        <x:v>Missing polygon-area aggregation tool.</x:v>
      </x:c>
      <x:c r="X2453" s="6" t="str">
        <x:v>data/test/resplan-12469/questions.jsonl</x:v>
      </x:c>
      <x:c r="Y2453" s="14" t="n">
        <x:v>1</x:v>
      </x:c>
      <x:c r="Z2453" s="6" t="str">
        <x:v>https://github.com/hagenhaeussler/Industrial-Agents-Hackathon-2026/blob/f41616590b69f3ea0c1cbfb41d6c35edd9ce53df/data/test/resplan-12469/questions.jsonl#L1</x:v>
      </x:c>
      <x:c r="AA2453" s="6" t="str">
        <x:v>resplan</x:v>
      </x:c>
      <x:c r="AB2453" s="6" t="str">
        <x:v>CC-BY-4.0</x:v>
      </x:c>
    </x:row>
    <x:row r="2454" ht="72" customHeight="1">
      <x:c r="A2454" s="14" t="n">
        <x:v>2449</x:v>
      </x:c>
      <x:c r="B2454" s="6" t="str">
        <x:v>floor_area_total</x:v>
      </x:c>
      <x:c r="C2454" s="6" t="str">
        <x:v>Facilities want the total floor area of every bathroom on the ground floor added together. How many square metres is that? Finish with a line 'Answer: &lt;number&gt;'.</x:v>
      </x:c>
      <x:c r="D2454" s="6" t="str">
        <x:v>Withheld in public test data. No reference answer supplied.</x:v>
      </x:c>
      <x:c r="E2454" s="6" t="str">
        <x:v>Withheld</x:v>
      </x:c>
      <x:c r="F2454" s="6" t="str">
        <x:v>test</x:v>
      </x:c>
      <x:c r="G2454" s="6" t="str">
        <x:v>resplan-3573</x:v>
      </x:c>
      <x:c r="H2454" s="6" t="str">
        <x:v>resplan-3573-H02</x:v>
      </x:c>
      <x:c r="I2454" s="6" t="str">
        <x:v>Area and room selection</x:v>
      </x:c>
      <x:c r="J2454" s="6" t="str">
        <x:v>Benchmark</x:v>
      </x:c>
      <x:c r="K2454" s="6" t="str">
        <x:v>Answer: &lt;one number&gt;</x:v>
      </x:c>
      <x:c r="L2454" s="6" t="str">
        <x:v>T02, T04, T14</x:v>
      </x:c>
      <x:c r="M2454" s="6" t="str">
        <x:v>Sum the floor area of every matching room on one floor.</x:v>
      </x:c>
      <x:c r="N2454" s="6"/>
      <x:c r="O2454" s="6"/>
      <x:c r="P2454" s="6" t="str">
        <x:v>Exact target floor and room_type. Polygon area in m².</x:v>
      </x:c>
      <x:c r="Q2454" s="15"/>
      <x:c r="R2454" s="6"/>
      <x:c r="S2454" s="16"/>
      <x:c r="T2454" s="15"/>
      <x:c r="U2454" s="6"/>
      <x:c r="V2454" s="6"/>
      <x:c r="W2454" s="6" t="str">
        <x:v>Missing polygon-area aggregation tool.</x:v>
      </x:c>
      <x:c r="X2454" s="6" t="str">
        <x:v>data/test/resplan-3573/questions.jsonl</x:v>
      </x:c>
      <x:c r="Y2454" s="14" t="n">
        <x:v>2</x:v>
      </x:c>
      <x:c r="Z2454" s="6" t="str">
        <x:v>https://github.com/hagenhaeussler/Industrial-Agents-Hackathon-2026/blob/f41616590b69f3ea0c1cbfb41d6c35edd9ce53df/data/test/resplan-3573/questions.jsonl#L2</x:v>
      </x:c>
      <x:c r="AA2454" s="6" t="str">
        <x:v>resplan</x:v>
      </x:c>
      <x:c r="AB2454" s="6" t="str">
        <x:v>CC-BY-4.0</x:v>
      </x:c>
    </x:row>
    <x:row r="2455" ht="72" customHeight="1">
      <x:c r="A2455" s="14" t="n">
        <x:v>2450</x:v>
      </x:c>
      <x:c r="B2455" s="6" t="str">
        <x:v>floor_area_total</x:v>
      </x:c>
      <x:c r="C2455" s="6" t="str">
        <x:v>Facilities want the total floor area of every bathroom on the floor 5 added together. How many square metres is that? Finish with a line 'Answer: &lt;number&gt;'.</x:v>
      </x:c>
      <x:c r="D2455" s="6" t="str">
        <x:v>Withheld in public test data. No reference answer supplied.</x:v>
      </x:c>
      <x:c r="E2455" s="6" t="str">
        <x:v>Withheld</x:v>
      </x:c>
      <x:c r="F2455" s="6" t="str">
        <x:v>test</x:v>
      </x:c>
      <x:c r="G2455" s="6" t="str">
        <x:v>swiss-100</x:v>
      </x:c>
      <x:c r="H2455" s="6" t="str">
        <x:v>swiss-100-H02</x:v>
      </x:c>
      <x:c r="I2455" s="6" t="str">
        <x:v>Area and room selection</x:v>
      </x:c>
      <x:c r="J2455" s="6" t="str">
        <x:v>Benchmark</x:v>
      </x:c>
      <x:c r="K2455" s="6" t="str">
        <x:v>Answer: &lt;one number&gt;</x:v>
      </x:c>
      <x:c r="L2455" s="6" t="str">
        <x:v>T02, T04, T14</x:v>
      </x:c>
      <x:c r="M2455" s="6" t="str">
        <x:v>Sum the floor area of every matching room on one floor.</x:v>
      </x:c>
      <x:c r="N2455" s="6"/>
      <x:c r="O2455" s="6"/>
      <x:c r="P2455" s="6" t="str">
        <x:v>Exact target floor and room_type. Polygon area in m².</x:v>
      </x:c>
      <x:c r="Q2455" s="15"/>
      <x:c r="R2455" s="6"/>
      <x:c r="S2455" s="16"/>
      <x:c r="T2455" s="15"/>
      <x:c r="U2455" s="6"/>
      <x:c r="V2455" s="6"/>
      <x:c r="W2455" s="6" t="str">
        <x:v>Missing polygon-area aggregation tool.</x:v>
      </x:c>
      <x:c r="X2455" s="6" t="str">
        <x:v>data/test/swiss-100/questions.jsonl</x:v>
      </x:c>
      <x:c r="Y2455" s="14" t="n">
        <x:v>2</x:v>
      </x:c>
      <x:c r="Z2455" s="6" t="str">
        <x:v>https://github.com/hagenhaeussler/Industrial-Agents-Hackathon-2026/blob/f41616590b69f3ea0c1cbfb41d6c35edd9ce53df/data/test/swiss-100/questions.jsonl#L2</x:v>
      </x:c>
      <x:c r="AA2455" s="6" t="str">
        <x:v>swiss_dwellings</x:v>
      </x:c>
      <x:c r="AB2455" s="6" t="str">
        <x:v>CC-BY-4.0</x:v>
      </x:c>
    </x:row>
    <x:row r="2456" ht="72" customHeight="1">
      <x:c r="A2456" s="14" t="n">
        <x:v>2451</x:v>
      </x:c>
      <x:c r="B2456" s="6" t="str">
        <x:v>floor_area_total</x:v>
      </x:c>
      <x:c r="C2456" s="6" t="str">
        <x:v>Facilities want the total floor area of every bedroom on the floor 3 added together. How many square metres is that? Finish with a line 'Answer: &lt;number&gt;'.</x:v>
      </x:c>
      <x:c r="D2456" s="6" t="str">
        <x:v>Withheld in public test data. No reference answer supplied.</x:v>
      </x:c>
      <x:c r="E2456" s="6" t="str">
        <x:v>Withheld</x:v>
      </x:c>
      <x:c r="F2456" s="6" t="str">
        <x:v>test</x:v>
      </x:c>
      <x:c r="G2456" s="6" t="str">
        <x:v>swiss-1195</x:v>
      </x:c>
      <x:c r="H2456" s="6" t="str">
        <x:v>swiss-1195-H01</x:v>
      </x:c>
      <x:c r="I2456" s="6" t="str">
        <x:v>Area and room selection</x:v>
      </x:c>
      <x:c r="J2456" s="6" t="str">
        <x:v>Benchmark</x:v>
      </x:c>
      <x:c r="K2456" s="6" t="str">
        <x:v>Answer: &lt;one number&gt;</x:v>
      </x:c>
      <x:c r="L2456" s="6" t="str">
        <x:v>T02, T04, T14</x:v>
      </x:c>
      <x:c r="M2456" s="6" t="str">
        <x:v>Sum the floor area of every matching room on one floor.</x:v>
      </x:c>
      <x:c r="N2456" s="6"/>
      <x:c r="O2456" s="6"/>
      <x:c r="P2456" s="6" t="str">
        <x:v>Exact target floor and room_type. Polygon area in m².</x:v>
      </x:c>
      <x:c r="Q2456" s="15"/>
      <x:c r="R2456" s="6"/>
      <x:c r="S2456" s="16"/>
      <x:c r="T2456" s="15"/>
      <x:c r="U2456" s="6"/>
      <x:c r="V2456" s="6"/>
      <x:c r="W2456" s="6" t="str">
        <x:v>Missing polygon-area aggregation tool.</x:v>
      </x:c>
      <x:c r="X2456" s="6" t="str">
        <x:v>data/test/swiss-1195/questions.jsonl</x:v>
      </x:c>
      <x:c r="Y2456" s="14" t="n">
        <x:v>1</x:v>
      </x:c>
      <x:c r="Z2456" s="6" t="str">
        <x:v>https://github.com/hagenhaeussler/Industrial-Agents-Hackathon-2026/blob/f41616590b69f3ea0c1cbfb41d6c35edd9ce53df/data/test/swiss-1195/questions.jsonl#L1</x:v>
      </x:c>
      <x:c r="AA2456" s="6" t="str">
        <x:v>swiss_dwellings</x:v>
      </x:c>
      <x:c r="AB2456" s="6" t="str">
        <x:v>CC-BY-4.0</x:v>
      </x:c>
    </x:row>
    <x:row r="2457" ht="72" customHeight="1">
      <x:c r="A2457" s="14" t="n">
        <x:v>2452</x:v>
      </x:c>
      <x:c r="B2457" s="6" t="str">
        <x:v>floor_area_total</x:v>
      </x:c>
      <x:c r="C2457" s="6" t="str">
        <x:v>Facilities want the total floor area of every bedroom on the floor 2 added together. How many square metres is that? Finish with a line 'Answer: &lt;number&gt;'.</x:v>
      </x:c>
      <x:c r="D2457" s="6" t="str">
        <x:v>Withheld in public test data. No reference answer supplied.</x:v>
      </x:c>
      <x:c r="E2457" s="6" t="str">
        <x:v>Withheld</x:v>
      </x:c>
      <x:c r="F2457" s="6" t="str">
        <x:v>test</x:v>
      </x:c>
      <x:c r="G2457" s="6" t="str">
        <x:v>swiss-1671</x:v>
      </x:c>
      <x:c r="H2457" s="6" t="str">
        <x:v>swiss-1671-H02</x:v>
      </x:c>
      <x:c r="I2457" s="6" t="str">
        <x:v>Area and room selection</x:v>
      </x:c>
      <x:c r="J2457" s="6" t="str">
        <x:v>Benchmark</x:v>
      </x:c>
      <x:c r="K2457" s="6" t="str">
        <x:v>Answer: &lt;one number&gt;</x:v>
      </x:c>
      <x:c r="L2457" s="6" t="str">
        <x:v>T02, T04, T14</x:v>
      </x:c>
      <x:c r="M2457" s="6" t="str">
        <x:v>Sum the floor area of every matching room on one floor.</x:v>
      </x:c>
      <x:c r="N2457" s="6"/>
      <x:c r="O2457" s="6"/>
      <x:c r="P2457" s="6" t="str">
        <x:v>Exact target floor and room_type. Polygon area in m².</x:v>
      </x:c>
      <x:c r="Q2457" s="15"/>
      <x:c r="R2457" s="6"/>
      <x:c r="S2457" s="16"/>
      <x:c r="T2457" s="15"/>
      <x:c r="U2457" s="6"/>
      <x:c r="V2457" s="6"/>
      <x:c r="W2457" s="6" t="str">
        <x:v>Missing polygon-area aggregation tool.</x:v>
      </x:c>
      <x:c r="X2457" s="6" t="str">
        <x:v>data/test/swiss-1671/questions.jsonl</x:v>
      </x:c>
      <x:c r="Y2457" s="14" t="n">
        <x:v>2</x:v>
      </x:c>
      <x:c r="Z2457" s="6" t="str">
        <x:v>https://github.com/hagenhaeussler/Industrial-Agents-Hackathon-2026/blob/f41616590b69f3ea0c1cbfb41d6c35edd9ce53df/data/test/swiss-1671/questions.jsonl#L2</x:v>
      </x:c>
      <x:c r="AA2457" s="6" t="str">
        <x:v>swiss_dwellings</x:v>
      </x:c>
      <x:c r="AB2457" s="6" t="str">
        <x:v>CC-BY-4.0</x:v>
      </x:c>
    </x:row>
    <x:row r="2458" ht="72" customHeight="1">
      <x:c r="A2458" s="14" t="n">
        <x:v>2453</x:v>
      </x:c>
      <x:c r="B2458" s="6" t="str">
        <x:v>floor_area_total</x:v>
      </x:c>
      <x:c r="C2458" s="6" t="str">
        <x:v>Facilities want the total floor area of every bedroom on the floor 1 added together. How many square metres is that? Finish with a line 'Answer: &lt;number&gt;'.</x:v>
      </x:c>
      <x:c r="D2458" s="6" t="str">
        <x:v>Withheld in public test data. No reference answer supplied.</x:v>
      </x:c>
      <x:c r="E2458" s="6" t="str">
        <x:v>Withheld</x:v>
      </x:c>
      <x:c r="F2458" s="6" t="str">
        <x:v>test</x:v>
      </x:c>
      <x:c r="G2458" s="6" t="str">
        <x:v>swiss-17033</x:v>
      </x:c>
      <x:c r="H2458" s="6" t="str">
        <x:v>swiss-17033-H01</x:v>
      </x:c>
      <x:c r="I2458" s="6" t="str">
        <x:v>Area and room selection</x:v>
      </x:c>
      <x:c r="J2458" s="6" t="str">
        <x:v>Benchmark</x:v>
      </x:c>
      <x:c r="K2458" s="6" t="str">
        <x:v>Answer: &lt;one number&gt;</x:v>
      </x:c>
      <x:c r="L2458" s="6" t="str">
        <x:v>T02, T04, T14</x:v>
      </x:c>
      <x:c r="M2458" s="6" t="str">
        <x:v>Sum the floor area of every matching room on one floor.</x:v>
      </x:c>
      <x:c r="N2458" s="6"/>
      <x:c r="O2458" s="6"/>
      <x:c r="P2458" s="6" t="str">
        <x:v>Exact target floor and room_type. Polygon area in m².</x:v>
      </x:c>
      <x:c r="Q2458" s="15"/>
      <x:c r="R2458" s="6"/>
      <x:c r="S2458" s="16"/>
      <x:c r="T2458" s="15"/>
      <x:c r="U2458" s="6"/>
      <x:c r="V2458" s="6"/>
      <x:c r="W2458" s="6" t="str">
        <x:v>Missing polygon-area aggregation tool.</x:v>
      </x:c>
      <x:c r="X2458" s="6" t="str">
        <x:v>data/test/swiss-17033/questions.jsonl</x:v>
      </x:c>
      <x:c r="Y2458" s="14" t="n">
        <x:v>1</x:v>
      </x:c>
      <x:c r="Z2458" s="6" t="str">
        <x:v>https://github.com/hagenhaeussler/Industrial-Agents-Hackathon-2026/blob/f41616590b69f3ea0c1cbfb41d6c35edd9ce53df/data/test/swiss-17033/questions.jsonl#L1</x:v>
      </x:c>
      <x:c r="AA2458" s="6" t="str">
        <x:v>swiss_dwellings</x:v>
      </x:c>
      <x:c r="AB2458" s="6" t="str">
        <x:v>CC-BY-4.0</x:v>
      </x:c>
    </x:row>
    <x:row r="2459" ht="72" customHeight="1">
      <x:c r="A2459" s="14" t="n">
        <x:v>2454</x:v>
      </x:c>
      <x:c r="B2459" s="6" t="str">
        <x:v>floor_area_total</x:v>
      </x:c>
      <x:c r="C2459" s="6" t="str">
        <x:v>Facilities want the total floor area of every living room on the ground floor added together. How many square metres is that? Finish with a line 'Answer: &lt;number&gt;'.</x:v>
      </x:c>
      <x:c r="D2459" s="6" t="str">
        <x:v>Withheld in public test data. No reference answer supplied.</x:v>
      </x:c>
      <x:c r="E2459" s="6" t="str">
        <x:v>Withheld</x:v>
      </x:c>
      <x:c r="F2459" s="6" t="str">
        <x:v>test</x:v>
      </x:c>
      <x:c r="G2459" s="6" t="str">
        <x:v>swiss-1760</x:v>
      </x:c>
      <x:c r="H2459" s="6" t="str">
        <x:v>swiss-1760-H02</x:v>
      </x:c>
      <x:c r="I2459" s="6" t="str">
        <x:v>Area and room selection</x:v>
      </x:c>
      <x:c r="J2459" s="6" t="str">
        <x:v>Benchmark</x:v>
      </x:c>
      <x:c r="K2459" s="6" t="str">
        <x:v>Answer: &lt;one number&gt;</x:v>
      </x:c>
      <x:c r="L2459" s="6" t="str">
        <x:v>T02, T04, T14</x:v>
      </x:c>
      <x:c r="M2459" s="6" t="str">
        <x:v>Sum the floor area of every matching room on one floor.</x:v>
      </x:c>
      <x:c r="N2459" s="6"/>
      <x:c r="O2459" s="6"/>
      <x:c r="P2459" s="6" t="str">
        <x:v>Exact target floor and room_type. Polygon area in m².</x:v>
      </x:c>
      <x:c r="Q2459" s="15"/>
      <x:c r="R2459" s="6"/>
      <x:c r="S2459" s="16"/>
      <x:c r="T2459" s="15"/>
      <x:c r="U2459" s="6"/>
      <x:c r="V2459" s="6"/>
      <x:c r="W2459" s="6" t="str">
        <x:v>Missing polygon-area aggregation tool.</x:v>
      </x:c>
      <x:c r="X2459" s="6" t="str">
        <x:v>data/test/swiss-1760/questions.jsonl</x:v>
      </x:c>
      <x:c r="Y2459" s="14" t="n">
        <x:v>2</x:v>
      </x:c>
      <x:c r="Z2459" s="6" t="str">
        <x:v>https://github.com/hagenhaeussler/Industrial-Agents-Hackathon-2026/blob/f41616590b69f3ea0c1cbfb41d6c35edd9ce53df/data/test/swiss-1760/questions.jsonl#L2</x:v>
      </x:c>
      <x:c r="AA2459" s="6" t="str">
        <x:v>swiss_dwellings</x:v>
      </x:c>
      <x:c r="AB2459" s="6" t="str">
        <x:v>CC-BY-4.0</x:v>
      </x:c>
    </x:row>
    <x:row r="2460" ht="72" customHeight="1">
      <x:c r="A2460" s="14" t="n">
        <x:v>2455</x:v>
      </x:c>
      <x:c r="B2460" s="6" t="str">
        <x:v>floor_area_total</x:v>
      </x:c>
      <x:c r="C2460" s="6" t="str">
        <x:v>Facilities want the total floor area of every bathroom on the floor 2 added together. How many square metres is that? Finish with a line 'Answer: &lt;number&gt;'.</x:v>
      </x:c>
      <x:c r="D2460" s="6" t="str">
        <x:v>Withheld in public test data. No reference answer supplied.</x:v>
      </x:c>
      <x:c r="E2460" s="6" t="str">
        <x:v>Withheld</x:v>
      </x:c>
      <x:c r="F2460" s="6" t="str">
        <x:v>test</x:v>
      </x:c>
      <x:c r="G2460" s="6" t="str">
        <x:v>swiss-17736</x:v>
      </x:c>
      <x:c r="H2460" s="6" t="str">
        <x:v>swiss-17736-H02</x:v>
      </x:c>
      <x:c r="I2460" s="6" t="str">
        <x:v>Area and room selection</x:v>
      </x:c>
      <x:c r="J2460" s="6" t="str">
        <x:v>Benchmark</x:v>
      </x:c>
      <x:c r="K2460" s="6" t="str">
        <x:v>Answer: &lt;one number&gt;</x:v>
      </x:c>
      <x:c r="L2460" s="6" t="str">
        <x:v>T02, T04, T14</x:v>
      </x:c>
      <x:c r="M2460" s="6" t="str">
        <x:v>Sum the floor area of every matching room on one floor.</x:v>
      </x:c>
      <x:c r="N2460" s="6"/>
      <x:c r="O2460" s="6"/>
      <x:c r="P2460" s="6" t="str">
        <x:v>Exact target floor and room_type. Polygon area in m².</x:v>
      </x:c>
      <x:c r="Q2460" s="15"/>
      <x:c r="R2460" s="6"/>
      <x:c r="S2460" s="16"/>
      <x:c r="T2460" s="15"/>
      <x:c r="U2460" s="6"/>
      <x:c r="V2460" s="6"/>
      <x:c r="W2460" s="6" t="str">
        <x:v>Missing polygon-area aggregation tool.</x:v>
      </x:c>
      <x:c r="X2460" s="6" t="str">
        <x:v>data/test/swiss-17736/questions.jsonl</x:v>
      </x:c>
      <x:c r="Y2460" s="14" t="n">
        <x:v>2</x:v>
      </x:c>
      <x:c r="Z2460" s="6" t="str">
        <x:v>https://github.com/hagenhaeussler/Industrial-Agents-Hackathon-2026/blob/f41616590b69f3ea0c1cbfb41d6c35edd9ce53df/data/test/swiss-17736/questions.jsonl#L2</x:v>
      </x:c>
      <x:c r="AA2460" s="6" t="str">
        <x:v>swiss_dwellings</x:v>
      </x:c>
      <x:c r="AB2460" s="6" t="str">
        <x:v>CC-BY-4.0</x:v>
      </x:c>
    </x:row>
    <x:row r="2461" ht="72" customHeight="1">
      <x:c r="A2461" s="14" t="n">
        <x:v>2456</x:v>
      </x:c>
      <x:c r="B2461" s="6" t="str">
        <x:v>floor_area_total</x:v>
      </x:c>
      <x:c r="C2461" s="6" t="str">
        <x:v>Facilities want the total floor area of every bathroom on the floor 3 added together. How many square metres is that? Finish with a line 'Answer: &lt;number&gt;'.</x:v>
      </x:c>
      <x:c r="D2461" s="6" t="str">
        <x:v>Withheld in public test data. No reference answer supplied.</x:v>
      </x:c>
      <x:c r="E2461" s="6" t="str">
        <x:v>Withheld</x:v>
      </x:c>
      <x:c r="F2461" s="6" t="str">
        <x:v>test</x:v>
      </x:c>
      <x:c r="G2461" s="6" t="str">
        <x:v>swiss-1825</x:v>
      </x:c>
      <x:c r="H2461" s="6" t="str">
        <x:v>swiss-1825-H01</x:v>
      </x:c>
      <x:c r="I2461" s="6" t="str">
        <x:v>Area and room selection</x:v>
      </x:c>
      <x:c r="J2461" s="6" t="str">
        <x:v>Benchmark</x:v>
      </x:c>
      <x:c r="K2461" s="6" t="str">
        <x:v>Answer: &lt;one number&gt;</x:v>
      </x:c>
      <x:c r="L2461" s="6" t="str">
        <x:v>T02, T04, T14</x:v>
      </x:c>
      <x:c r="M2461" s="6" t="str">
        <x:v>Sum the floor area of every matching room on one floor.</x:v>
      </x:c>
      <x:c r="N2461" s="6"/>
      <x:c r="O2461" s="6"/>
      <x:c r="P2461" s="6" t="str">
        <x:v>Exact target floor and room_type. Polygon area in m².</x:v>
      </x:c>
      <x:c r="Q2461" s="15"/>
      <x:c r="R2461" s="6"/>
      <x:c r="S2461" s="16"/>
      <x:c r="T2461" s="15"/>
      <x:c r="U2461" s="6"/>
      <x:c r="V2461" s="6"/>
      <x:c r="W2461" s="6" t="str">
        <x:v>Missing polygon-area aggregation tool.</x:v>
      </x:c>
      <x:c r="X2461" s="6" t="str">
        <x:v>data/test/swiss-1825/questions.jsonl</x:v>
      </x:c>
      <x:c r="Y2461" s="14" t="n">
        <x:v>1</x:v>
      </x:c>
      <x:c r="Z2461" s="6" t="str">
        <x:v>https://github.com/hagenhaeussler/Industrial-Agents-Hackathon-2026/blob/f41616590b69f3ea0c1cbfb41d6c35edd9ce53df/data/test/swiss-1825/questions.jsonl#L1</x:v>
      </x:c>
      <x:c r="AA2461" s="6" t="str">
        <x:v>swiss_dwellings</x:v>
      </x:c>
      <x:c r="AB2461" s="6" t="str">
        <x:v>CC-BY-4.0</x:v>
      </x:c>
    </x:row>
    <x:row r="2462" ht="72" customHeight="1">
      <x:c r="A2462" s="14" t="n">
        <x:v>2457</x:v>
      </x:c>
      <x:c r="B2462" s="6" t="str">
        <x:v>floor_area_total</x:v>
      </x:c>
      <x:c r="C2462" s="6" t="str">
        <x:v>Facilities want the total floor area of every bedroom on the floor 3 added together. How many square metres is that? Finish with a line 'Answer: &lt;number&gt;'.</x:v>
      </x:c>
      <x:c r="D2462" s="6" t="str">
        <x:v>Withheld in public test data. No reference answer supplied.</x:v>
      </x:c>
      <x:c r="E2462" s="6" t="str">
        <x:v>Withheld</x:v>
      </x:c>
      <x:c r="F2462" s="6" t="str">
        <x:v>test</x:v>
      </x:c>
      <x:c r="G2462" s="6" t="str">
        <x:v>swiss-2</x:v>
      </x:c>
      <x:c r="H2462" s="6" t="str">
        <x:v>swiss-2-H01</x:v>
      </x:c>
      <x:c r="I2462" s="6" t="str">
        <x:v>Area and room selection</x:v>
      </x:c>
      <x:c r="J2462" s="6" t="str">
        <x:v>Benchmark</x:v>
      </x:c>
      <x:c r="K2462" s="6" t="str">
        <x:v>Answer: &lt;one number&gt;</x:v>
      </x:c>
      <x:c r="L2462" s="6" t="str">
        <x:v>T02, T04, T14</x:v>
      </x:c>
      <x:c r="M2462" s="6" t="str">
        <x:v>Sum the floor area of every matching room on one floor.</x:v>
      </x:c>
      <x:c r="N2462" s="6"/>
      <x:c r="O2462" s="6"/>
      <x:c r="P2462" s="6" t="str">
        <x:v>Exact target floor and room_type. Polygon area in m².</x:v>
      </x:c>
      <x:c r="Q2462" s="15"/>
      <x:c r="R2462" s="6"/>
      <x:c r="S2462" s="16"/>
      <x:c r="T2462" s="15"/>
      <x:c r="U2462" s="6"/>
      <x:c r="V2462" s="6"/>
      <x:c r="W2462" s="6" t="str">
        <x:v>Missing polygon-area aggregation tool.</x:v>
      </x:c>
      <x:c r="X2462" s="6" t="str">
        <x:v>data/test/swiss-2/questions.jsonl</x:v>
      </x:c>
      <x:c r="Y2462" s="14" t="n">
        <x:v>1</x:v>
      </x:c>
      <x:c r="Z2462" s="6" t="str">
        <x:v>https://github.com/hagenhaeussler/Industrial-Agents-Hackathon-2026/blob/f41616590b69f3ea0c1cbfb41d6c35edd9ce53df/data/test/swiss-2/questions.jsonl#L1</x:v>
      </x:c>
      <x:c r="AA2462" s="6" t="str">
        <x:v>swiss_dwellings</x:v>
      </x:c>
      <x:c r="AB2462" s="6" t="str">
        <x:v>CC-BY-4.0</x:v>
      </x:c>
    </x:row>
    <x:row r="2463" ht="72" customHeight="1">
      <x:c r="A2463" s="14" t="n">
        <x:v>2458</x:v>
      </x:c>
      <x:c r="B2463" s="6" t="str">
        <x:v>floor_area_total</x:v>
      </x:c>
      <x:c r="C2463" s="6" t="str">
        <x:v>Facilities want the total floor area of every bathroom on the floor 3 added together. How many square metres is that? Finish with a line 'Answer: &lt;number&gt;'.</x:v>
      </x:c>
      <x:c r="D2463" s="6" t="str">
        <x:v>Withheld in public test data. No reference answer supplied.</x:v>
      </x:c>
      <x:c r="E2463" s="6" t="str">
        <x:v>Withheld</x:v>
      </x:c>
      <x:c r="F2463" s="6" t="str">
        <x:v>test</x:v>
      </x:c>
      <x:c r="G2463" s="6" t="str">
        <x:v>swiss-2080</x:v>
      </x:c>
      <x:c r="H2463" s="6" t="str">
        <x:v>swiss-2080-H02</x:v>
      </x:c>
      <x:c r="I2463" s="6" t="str">
        <x:v>Area and room selection</x:v>
      </x:c>
      <x:c r="J2463" s="6" t="str">
        <x:v>Benchmark</x:v>
      </x:c>
      <x:c r="K2463" s="6" t="str">
        <x:v>Answer: &lt;one number&gt;</x:v>
      </x:c>
      <x:c r="L2463" s="6" t="str">
        <x:v>T02, T04, T14</x:v>
      </x:c>
      <x:c r="M2463" s="6" t="str">
        <x:v>Sum the floor area of every matching room on one floor.</x:v>
      </x:c>
      <x:c r="N2463" s="6"/>
      <x:c r="O2463" s="6"/>
      <x:c r="P2463" s="6" t="str">
        <x:v>Exact target floor and room_type. Polygon area in m².</x:v>
      </x:c>
      <x:c r="Q2463" s="15"/>
      <x:c r="R2463" s="6"/>
      <x:c r="S2463" s="16"/>
      <x:c r="T2463" s="15"/>
      <x:c r="U2463" s="6"/>
      <x:c r="V2463" s="6"/>
      <x:c r="W2463" s="6" t="str">
        <x:v>Missing polygon-area aggregation tool.</x:v>
      </x:c>
      <x:c r="X2463" s="6" t="str">
        <x:v>data/test/swiss-2080/questions.jsonl</x:v>
      </x:c>
      <x:c r="Y2463" s="14" t="n">
        <x:v>2</x:v>
      </x:c>
      <x:c r="Z2463" s="6" t="str">
        <x:v>https://github.com/hagenhaeussler/Industrial-Agents-Hackathon-2026/blob/f41616590b69f3ea0c1cbfb41d6c35edd9ce53df/data/test/swiss-2080/questions.jsonl#L2</x:v>
      </x:c>
      <x:c r="AA2463" s="6" t="str">
        <x:v>swiss_dwellings</x:v>
      </x:c>
      <x:c r="AB2463" s="6" t="str">
        <x:v>CC-BY-4.0</x:v>
      </x:c>
    </x:row>
    <x:row r="2464" ht="72" customHeight="1">
      <x:c r="A2464" s="14" t="n">
        <x:v>2459</x:v>
      </x:c>
      <x:c r="B2464" s="6" t="str">
        <x:v>floor_area_total</x:v>
      </x:c>
      <x:c r="C2464" s="6" t="str">
        <x:v>Facilities want the total floor area of every storage on the ground floor added together. How many square metres is that? Finish with a line 'Answer: &lt;number&gt;'.</x:v>
      </x:c>
      <x:c r="D2464" s="6" t="str">
        <x:v>Withheld in public test data. No reference answer supplied.</x:v>
      </x:c>
      <x:c r="E2464" s="6" t="str">
        <x:v>Withheld</x:v>
      </x:c>
      <x:c r="F2464" s="6" t="str">
        <x:v>test</x:v>
      </x:c>
      <x:c r="G2464" s="6" t="str">
        <x:v>swiss-2873</x:v>
      </x:c>
      <x:c r="H2464" s="6" t="str">
        <x:v>swiss-2873-H02</x:v>
      </x:c>
      <x:c r="I2464" s="6" t="str">
        <x:v>Area and room selection</x:v>
      </x:c>
      <x:c r="J2464" s="6" t="str">
        <x:v>Benchmark</x:v>
      </x:c>
      <x:c r="K2464" s="6" t="str">
        <x:v>Answer: &lt;one number&gt;</x:v>
      </x:c>
      <x:c r="L2464" s="6" t="str">
        <x:v>T02, T04, T14</x:v>
      </x:c>
      <x:c r="M2464" s="6" t="str">
        <x:v>Sum the floor area of every matching room on one floor.</x:v>
      </x:c>
      <x:c r="N2464" s="6"/>
      <x:c r="O2464" s="6"/>
      <x:c r="P2464" s="6" t="str">
        <x:v>Exact target floor and room_type. Polygon area in m².</x:v>
      </x:c>
      <x:c r="Q2464" s="15"/>
      <x:c r="R2464" s="6"/>
      <x:c r="S2464" s="16"/>
      <x:c r="T2464" s="15"/>
      <x:c r="U2464" s="6"/>
      <x:c r="V2464" s="6"/>
      <x:c r="W2464" s="6" t="str">
        <x:v>Missing polygon-area aggregation tool.</x:v>
      </x:c>
      <x:c r="X2464" s="6" t="str">
        <x:v>data/test/swiss-2873/questions.jsonl</x:v>
      </x:c>
      <x:c r="Y2464" s="14" t="n">
        <x:v>2</x:v>
      </x:c>
      <x:c r="Z2464" s="6" t="str">
        <x:v>https://github.com/hagenhaeussler/Industrial-Agents-Hackathon-2026/blob/f41616590b69f3ea0c1cbfb41d6c35edd9ce53df/data/test/swiss-2873/questions.jsonl#L2</x:v>
      </x:c>
      <x:c r="AA2464" s="6" t="str">
        <x:v>swiss_dwellings</x:v>
      </x:c>
      <x:c r="AB2464" s="6" t="str">
        <x:v>CC-BY-4.0</x:v>
      </x:c>
    </x:row>
    <x:row r="2465" ht="72" customHeight="1">
      <x:c r="A2465" s="14" t="n">
        <x:v>2460</x:v>
      </x:c>
      <x:c r="B2465" s="6" t="str">
        <x:v>floor_area_total</x:v>
      </x:c>
      <x:c r="C2465" s="6" t="str">
        <x:v>Facilities want the total floor area of every bathroom on the floor 4 added together. How many square metres is that? Finish with a line 'Answer: &lt;number&gt;'.</x:v>
      </x:c>
      <x:c r="D2465" s="6" t="str">
        <x:v>Withheld in public test data. No reference answer supplied.</x:v>
      </x:c>
      <x:c r="E2465" s="6" t="str">
        <x:v>Withheld</x:v>
      </x:c>
      <x:c r="F2465" s="6" t="str">
        <x:v>test</x:v>
      </x:c>
      <x:c r="G2465" s="6" t="str">
        <x:v>swiss-482</x:v>
      </x:c>
      <x:c r="H2465" s="6" t="str">
        <x:v>swiss-482-H02</x:v>
      </x:c>
      <x:c r="I2465" s="6" t="str">
        <x:v>Area and room selection</x:v>
      </x:c>
      <x:c r="J2465" s="6" t="str">
        <x:v>Benchmark</x:v>
      </x:c>
      <x:c r="K2465" s="6" t="str">
        <x:v>Answer: &lt;one number&gt;</x:v>
      </x:c>
      <x:c r="L2465" s="6" t="str">
        <x:v>T02, T04, T14</x:v>
      </x:c>
      <x:c r="M2465" s="6" t="str">
        <x:v>Sum the floor area of every matching room on one floor.</x:v>
      </x:c>
      <x:c r="N2465" s="6"/>
      <x:c r="O2465" s="6"/>
      <x:c r="P2465" s="6" t="str">
        <x:v>Exact target floor and room_type. Polygon area in m².</x:v>
      </x:c>
      <x:c r="Q2465" s="15"/>
      <x:c r="R2465" s="6"/>
      <x:c r="S2465" s="16"/>
      <x:c r="T2465" s="15"/>
      <x:c r="U2465" s="6"/>
      <x:c r="V2465" s="6"/>
      <x:c r="W2465" s="6" t="str">
        <x:v>Missing polygon-area aggregation tool.</x:v>
      </x:c>
      <x:c r="X2465" s="6" t="str">
        <x:v>data/test/swiss-482/questions.jsonl</x:v>
      </x:c>
      <x:c r="Y2465" s="14" t="n">
        <x:v>2</x:v>
      </x:c>
      <x:c r="Z2465" s="6" t="str">
        <x:v>https://github.com/hagenhaeussler/Industrial-Agents-Hackathon-2026/blob/f41616590b69f3ea0c1cbfb41d6c35edd9ce53df/data/test/swiss-482/questions.jsonl#L2</x:v>
      </x:c>
      <x:c r="AA2465" s="6" t="str">
        <x:v>swiss_dwellings</x:v>
      </x:c>
      <x:c r="AB2465" s="6" t="str">
        <x:v>CC-BY-4.0</x:v>
      </x:c>
    </x:row>
    <x:row r="2466" ht="72" customHeight="1">
      <x:c r="A2466" s="14" t="n">
        <x:v>2461</x:v>
      </x:c>
      <x:c r="B2466" s="6" t="str">
        <x:v>floor_area_total</x:v>
      </x:c>
      <x:c r="C2466" s="6" t="str">
        <x:v>Facilities want the total floor area of every bedroom on the floor 2 added together. How many square metres is that? Finish with a line 'Answer: &lt;number&gt;'.</x:v>
      </x:c>
      <x:c r="D2466" s="6" t="str">
        <x:v>Withheld in public test data. No reference answer supplied.</x:v>
      </x:c>
      <x:c r="E2466" s="6" t="str">
        <x:v>Withheld</x:v>
      </x:c>
      <x:c r="F2466" s="6" t="str">
        <x:v>test</x:v>
      </x:c>
      <x:c r="G2466" s="6" t="str">
        <x:v>swiss-6128</x:v>
      </x:c>
      <x:c r="H2466" s="6" t="str">
        <x:v>swiss-6128-H01</x:v>
      </x:c>
      <x:c r="I2466" s="6" t="str">
        <x:v>Area and room selection</x:v>
      </x:c>
      <x:c r="J2466" s="6" t="str">
        <x:v>Benchmark</x:v>
      </x:c>
      <x:c r="K2466" s="6" t="str">
        <x:v>Answer: &lt;one number&gt;</x:v>
      </x:c>
      <x:c r="L2466" s="6" t="str">
        <x:v>T02, T04, T14</x:v>
      </x:c>
      <x:c r="M2466" s="6" t="str">
        <x:v>Sum the floor area of every matching room on one floor.</x:v>
      </x:c>
      <x:c r="N2466" s="6"/>
      <x:c r="O2466" s="6"/>
      <x:c r="P2466" s="6" t="str">
        <x:v>Exact target floor and room_type. Polygon area in m².</x:v>
      </x:c>
      <x:c r="Q2466" s="15"/>
      <x:c r="R2466" s="6"/>
      <x:c r="S2466" s="16"/>
      <x:c r="T2466" s="15"/>
      <x:c r="U2466" s="6"/>
      <x:c r="V2466" s="6"/>
      <x:c r="W2466" s="6" t="str">
        <x:v>Missing polygon-area aggregation tool.</x:v>
      </x:c>
      <x:c r="X2466" s="6" t="str">
        <x:v>data/test/swiss-6128/questions.jsonl</x:v>
      </x:c>
      <x:c r="Y2466" s="14" t="n">
        <x:v>1</x:v>
      </x:c>
      <x:c r="Z2466" s="6" t="str">
        <x:v>https://github.com/hagenhaeussler/Industrial-Agents-Hackathon-2026/blob/f41616590b69f3ea0c1cbfb41d6c35edd9ce53df/data/test/swiss-6128/questions.jsonl#L1</x:v>
      </x:c>
      <x:c r="AA2466" s="6" t="str">
        <x:v>swiss_dwellings</x:v>
      </x:c>
      <x:c r="AB2466" s="6" t="str">
        <x:v>CC-BY-4.0</x:v>
      </x:c>
    </x:row>
    <x:row r="2467" ht="72" customHeight="1">
      <x:c r="A2467" s="14" t="n">
        <x:v>2462</x:v>
      </x:c>
      <x:c r="B2467" s="6" t="str">
        <x:v>step_free_reachable_count</x:v>
      </x:c>
      <x:c r="C2467" s="6" t="str">
        <x:v>Lift 2 is out of service. A wheelchair user comes in through the entrance into Corridor N0110 (Ground floor). How many rooms on the floor 2 can they still reach? Finish with a line 'Answer: &lt;number&gt;'.</x:v>
      </x:c>
      <x:c r="D2467" s="6" t="str">
        <x:v>64 rooms</x:v>
      </x:c>
      <x:c r="E2467" s="6" t="str">
        <x:v>Reference supplied</x:v>
      </x:c>
      <x:c r="F2467" s="6" t="str">
        <x:v>train</x:v>
      </x:c>
      <x:c r="G2467" s="6" t="str">
        <x:v>osm-way58216509</x:v>
      </x:c>
      <x:c r="H2467" s="6" t="str">
        <x:v>osm-way58216509-H03</x:v>
      </x:c>
      <x:c r="I2467" s="6" t="str">
        <x:v>Constrained reachability</x:v>
      </x:c>
      <x:c r="J2467" s="6" t="str">
        <x:v>Benchmark</x:v>
      </x:c>
      <x:c r="K2467" s="6" t="str">
        <x:v>Answer: &lt;one exact integer&gt;</x:v>
      </x:c>
      <x:c r="L2467" s="6" t="str">
        <x:v>T02, T05, T06, T14</x:v>
      </x:c>
      <x:c r="M2467" s="6" t="str">
        <x:v>Count destination-floor rooms a wheelchair user can still reach after a lift closure.</x:v>
      </x:c>
      <x:c r="N2467" s="6" t="str">
        <x:v>{"type":"number","value":64,"unit":"rooms","relative_tolerance":0,"absolute_tolerance":0}</x:v>
      </x:c>
      <x:c r="O2467" s="6" t="str">
        <x:v>{"closed":"osm-way58216509-V08","start":"osm-way58216509-F0-S079","floor_id":"osm-way58216509-F2"}</x:v>
      </x:c>
      <x:c r="P2467" s="6" t="str">
        <x:v>Step-free only. Apply named closure: osm-way58216509-V08. Count target-floor rooms.</x:v>
      </x:c>
      <x:c r="Q2467" s="15" t="n">
        <x:v>64</x:v>
      </x:c>
      <x:c r="R2467" s="6" t="str">
        <x:v>rooms</x:v>
      </x:c>
      <x:c r="S2467" s="16" t="n">
        <x:v>0</x:v>
      </x:c>
      <x:c r="T2467" s="15" t="n">
        <x:v>0</x:v>
      </x:c>
      <x:c r="U2467" s="6" t="str">
        <x:v>Answer: 64</x:v>
      </x:c>
      <x:c r="V2467" s="6" t="str">
        <x:v>reachability under constraints</x:v>
      </x:c>
      <x:c r="W2467" s="6" t="str">
        <x:v>Existing route/closure primitives. Missing all-destination reachability and counting.</x:v>
      </x:c>
      <x:c r="X2467" s="6" t="str">
        <x:v>data/train/osm-way58216509/questions.jsonl</x:v>
      </x:c>
      <x:c r="Y2467" s="14" t="n">
        <x:v>3</x:v>
      </x:c>
      <x:c r="Z2467" s="6" t="str">
        <x:v>https://github.com/hagenhaeussler/Industrial-Agents-Hackathon-2026/blob/f41616590b69f3ea0c1cbfb41d6c35edd9ce53df/data/train/osm-way58216509/questions.jsonl#L3</x:v>
      </x:c>
      <x:c r="AA2467" s="6" t="str">
        <x:v>osm_indoor</x:v>
      </x:c>
      <x:c r="AB2467" s="6" t="str">
        <x:v>ODbL-1.0</x:v>
      </x:c>
    </x:row>
    <x:row r="2468" ht="72" customHeight="1">
      <x:c r="A2468" s="14" t="n">
        <x:v>2463</x:v>
      </x:c>
      <x:c r="B2468" s="6" t="str">
        <x:v>step_free_reachable_count</x:v>
      </x:c>
      <x:c r="C2468" s="6" t="str">
        <x:v>Lift 1 is out of service. A wheelchair user comes in through the entrance into Stairwell N0320A (Ground floor). How many rooms on the floor 2 can they still reach? Finish with a line 'Answer: &lt;number&gt;'.</x:v>
      </x:c>
      <x:c r="D2468" s="6" t="str">
        <x:v>30 rooms</x:v>
      </x:c>
      <x:c r="E2468" s="6" t="str">
        <x:v>Reference supplied</x:v>
      </x:c>
      <x:c r="F2468" s="6" t="str">
        <x:v>dev</x:v>
      </x:c>
      <x:c r="G2468" s="6" t="str">
        <x:v>osm-way22744230</x:v>
      </x:c>
      <x:c r="H2468" s="6" t="str">
        <x:v>osm-way22744230-H03</x:v>
      </x:c>
      <x:c r="I2468" s="6" t="str">
        <x:v>Constrained reachability</x:v>
      </x:c>
      <x:c r="J2468" s="6" t="str">
        <x:v>Benchmark</x:v>
      </x:c>
      <x:c r="K2468" s="6" t="str">
        <x:v>Answer: &lt;one exact integer&gt;</x:v>
      </x:c>
      <x:c r="L2468" s="6" t="str">
        <x:v>T02, T05, T06, T14</x:v>
      </x:c>
      <x:c r="M2468" s="6" t="str">
        <x:v>Count destination-floor rooms a wheelchair user can still reach after a lift closure.</x:v>
      </x:c>
      <x:c r="N2468" s="6" t="str">
        <x:v>{"type":"number","value":30,"unit":"rooms","relative_tolerance":0,"absolute_tolerance":0}</x:v>
      </x:c>
      <x:c r="O2468" s="6" t="str">
        <x:v>{"closed":"osm-way22744230-V07","start":"osm-way22744230-F0-S029","floor_id":"osm-way22744230-F2"}</x:v>
      </x:c>
      <x:c r="P2468" s="6" t="str">
        <x:v>Step-free only. Apply named closure: osm-way22744230-V07. Count target-floor rooms.</x:v>
      </x:c>
      <x:c r="Q2468" s="15" t="n">
        <x:v>30</x:v>
      </x:c>
      <x:c r="R2468" s="6" t="str">
        <x:v>rooms</x:v>
      </x:c>
      <x:c r="S2468" s="16" t="n">
        <x:v>0</x:v>
      </x:c>
      <x:c r="T2468" s="15" t="n">
        <x:v>0</x:v>
      </x:c>
      <x:c r="U2468" s="6" t="str">
        <x:v>Answer: 30</x:v>
      </x:c>
      <x:c r="V2468" s="6" t="str">
        <x:v>reachability under constraints</x:v>
      </x:c>
      <x:c r="W2468" s="6" t="str">
        <x:v>Existing route/closure primitives. Missing all-destination reachability and counting.</x:v>
      </x:c>
      <x:c r="X2468" s="6" t="str">
        <x:v>data/dev/osm-way22744230/questions.jsonl</x:v>
      </x:c>
      <x:c r="Y2468" s="14" t="n">
        <x:v>3</x:v>
      </x:c>
      <x:c r="Z2468" s="6" t="str">
        <x:v>https://github.com/hagenhaeussler/Industrial-Agents-Hackathon-2026/blob/f41616590b69f3ea0c1cbfb41d6c35edd9ce53df/data/dev/osm-way22744230/questions.jsonl#L3</x:v>
      </x:c>
      <x:c r="AA2468" s="6" t="str">
        <x:v>osm_indoor</x:v>
      </x:c>
      <x:c r="AB2468" s="6" t="str">
        <x:v>ODbL-1.0</x:v>
      </x:c>
    </x:row>
    <x:row r="2469" ht="82" customHeight="1">
      <x:c r="A2469" s="14" t="n">
        <x:v>2464</x:v>
      </x:c>
      <x:c r="B2469" s="6" t="str">
        <x:v>wide_delivery_count</x:v>
      </x:c>
      <x:c r="C2469" s="6" t="str">
        <x:v>I'm moving a 1.1 m wide cleaning machine. It can't go on stairs or steps (lifts are fine), and every door it passes through must be at least 1.1 m wide. It arrives through the entrance into Main lobby (Ground floor). Into how many rooms on the ground floor can it be delivered? Finish with a line 'Answer: &lt;number&gt;'.</x:v>
      </x:c>
      <x:c r="D2469" s="6" t="str">
        <x:v>6 rooms</x:v>
      </x:c>
      <x:c r="E2469" s="6" t="str">
        <x:v>Reference supplied</x:v>
      </x:c>
      <x:c r="F2469" s="6" t="str">
        <x:v>train</x:v>
      </x:c>
      <x:c r="G2469" s="6" t="str">
        <x:v>proc-campus-train-000</x:v>
      </x:c>
      <x:c r="H2469" s="6" t="str">
        <x:v>proc-campus-train-000-H03</x:v>
      </x:c>
      <x:c r="I2469" s="6" t="str">
        <x:v>Constrained reachability</x:v>
      </x:c>
      <x:c r="J2469" s="6" t="str">
        <x:v>Benchmark</x:v>
      </x:c>
      <x:c r="K2469" s="6" t="str">
        <x:v>Answer: &lt;one exact integer&gt;</x:v>
      </x:c>
      <x:c r="L2469" s="6" t="str">
        <x:v>T02, T05, T06, T14</x:v>
      </x:c>
      <x:c r="M2469" s="6" t="str">
        <x:v>Count rooms reachable with a wide load that cannot use stairs or steps.</x:v>
      </x:c>
      <x:c r="N2469" s="6" t="str">
        <x:v>{"type":"number","value":6,"unit":"rooms","relative_tolerance":0,"absolute_tolerance":0}</x:v>
      </x:c>
      <x:c r="O2469" s="6" t="str">
        <x:v>{"start":"proc-campus-train-000-F0-S012","floor_id":"proc-campus-train-000-F0","min_width":1.1}</x:v>
      </x:c>
      <x:c r="P2469" s="6" t="str">
        <x:v>No stairs/steps. All doors &gt;= 1.1 m. Lifts allowed. Count type=room on target floor.</x:v>
      </x:c>
      <x:c r="Q2469" s="15" t="n">
        <x:v>6</x:v>
      </x:c>
      <x:c r="R2469" s="6" t="str">
        <x:v>rooms</x:v>
      </x:c>
      <x:c r="S2469" s="16" t="n">
        <x:v>0</x:v>
      </x:c>
      <x:c r="T2469" s="15" t="n">
        <x:v>0</x:v>
      </x:c>
      <x:c r="U2469" s="6" t="str">
        <x:v>Answer: 6</x:v>
      </x:c>
      <x:c r="V2469" s="6" t="str">
        <x:v>door widths + reachability</x:v>
      </x:c>
      <x:c r="W2469" s="6" t="str">
        <x:v>Missing minimum-width filter and aggregate reachability. Existing router only filters step_free.</x:v>
      </x:c>
      <x:c r="X2469" s="6" t="str">
        <x:v>data/train/proc-campus-train-000/questions.jsonl</x:v>
      </x:c>
      <x:c r="Y2469" s="14" t="n">
        <x:v>3</x:v>
      </x:c>
      <x:c r="Z2469" s="6" t="str">
        <x:v>https://github.com/hagenhaeussler/Industrial-Agents-Hackathon-2026/blob/f41616590b69f3ea0c1cbfb41d6c35edd9ce53df/data/train/proc-campus-train-000/questions.jsonl#L3</x:v>
      </x:c>
      <x:c r="AA2469" s="6" t="str">
        <x:v>procedural</x:v>
      </x:c>
      <x:c r="AB2469" s="6" t="str">
        <x:v>CC0-1.0</x:v>
      </x:c>
    </x:row>
    <x:row r="2470" ht="82" customHeight="1">
      <x:c r="A2470" s="14" t="n">
        <x:v>2465</x:v>
      </x:c>
      <x:c r="B2470" s="6" t="str">
        <x:v>wide_delivery_count</x:v>
      </x:c>
      <x:c r="C2470" s="6" t="str">
        <x:v>I'm moving a 1.0 m wide cleaning machine. It can't go on stairs or steps (lifts are fine), and every door it passes through must be at least 1.0 m wide. It arrives through the entrance into Main lobby (Ground floor). Into how many rooms on the ground floor can it be delivered? Finish with a line 'Answer: &lt;number&gt;'.</x:v>
      </x:c>
      <x:c r="D2470" s="6" t="str">
        <x:v>7 rooms</x:v>
      </x:c>
      <x:c r="E2470" s="6" t="str">
        <x:v>Reference supplied</x:v>
      </x:c>
      <x:c r="F2470" s="6" t="str">
        <x:v>train</x:v>
      </x:c>
      <x:c r="G2470" s="6" t="str">
        <x:v>proc-campus-train-001</x:v>
      </x:c>
      <x:c r="H2470" s="6" t="str">
        <x:v>proc-campus-train-001-H03</x:v>
      </x:c>
      <x:c r="I2470" s="6" t="str">
        <x:v>Constrained reachability</x:v>
      </x:c>
      <x:c r="J2470" s="6" t="str">
        <x:v>Benchmark</x:v>
      </x:c>
      <x:c r="K2470" s="6" t="str">
        <x:v>Answer: &lt;one exact integer&gt;</x:v>
      </x:c>
      <x:c r="L2470" s="6" t="str">
        <x:v>T02, T05, T06, T14</x:v>
      </x:c>
      <x:c r="M2470" s="6" t="str">
        <x:v>Count rooms reachable with a wide load that cannot use stairs or steps.</x:v>
      </x:c>
      <x:c r="N2470" s="6" t="str">
        <x:v>{"type":"number","value":7,"unit":"rooms","relative_tolerance":0,"absolute_tolerance":0}</x:v>
      </x:c>
      <x:c r="O2470" s="6" t="str">
        <x:v>{"start":"proc-campus-train-001-F0-S007","floor_id":"proc-campus-train-001-F0","min_width":1}</x:v>
      </x:c>
      <x:c r="P2470" s="6" t="str">
        <x:v>No stairs/steps. All doors &gt;= 1 m. Lifts allowed. Count type=room on target floor.</x:v>
      </x:c>
      <x:c r="Q2470" s="15" t="n">
        <x:v>7</x:v>
      </x:c>
      <x:c r="R2470" s="6" t="str">
        <x:v>rooms</x:v>
      </x:c>
      <x:c r="S2470" s="16" t="n">
        <x:v>0</x:v>
      </x:c>
      <x:c r="T2470" s="15" t="n">
        <x:v>0</x:v>
      </x:c>
      <x:c r="U2470" s="6" t="str">
        <x:v>Answer: 7</x:v>
      </x:c>
      <x:c r="V2470" s="6" t="str">
        <x:v>door widths + reachability</x:v>
      </x:c>
      <x:c r="W2470" s="6" t="str">
        <x:v>Missing minimum-width filter and aggregate reachability. Existing router only filters step_free.</x:v>
      </x:c>
      <x:c r="X2470" s="6" t="str">
        <x:v>data/train/proc-campus-train-001/questions.jsonl</x:v>
      </x:c>
      <x:c r="Y2470" s="14" t="n">
        <x:v>3</x:v>
      </x:c>
      <x:c r="Z2470" s="6" t="str">
        <x:v>https://github.com/hagenhaeussler/Industrial-Agents-Hackathon-2026/blob/f41616590b69f3ea0c1cbfb41d6c35edd9ce53df/data/train/proc-campus-train-001/questions.jsonl#L3</x:v>
      </x:c>
      <x:c r="AA2470" s="6" t="str">
        <x:v>procedural</x:v>
      </x:c>
      <x:c r="AB2470" s="6" t="str">
        <x:v>CC0-1.0</x:v>
      </x:c>
    </x:row>
    <x:row r="2471" ht="82" customHeight="1">
      <x:c r="A2471" s="14" t="n">
        <x:v>2466</x:v>
      </x:c>
      <x:c r="B2471" s="6" t="str">
        <x:v>wide_delivery_count</x:v>
      </x:c>
      <x:c r="C2471" s="6" t="str">
        <x:v>I'm moving a 1.1 m wide pallet of equipment. It can't go on stairs or steps (lifts are fine), and every door it passes through must be at least 1.1 m wide. It arrives through the entrance into Main lobby (Ground floor). Into how many rooms on the ground floor can it be delivered? Finish with a line 'Answer: &lt;number&gt;'.</x:v>
      </x:c>
      <x:c r="D2471" s="6" t="str">
        <x:v>7 rooms</x:v>
      </x:c>
      <x:c r="E2471" s="6" t="str">
        <x:v>Reference supplied</x:v>
      </x:c>
      <x:c r="F2471" s="6" t="str">
        <x:v>train</x:v>
      </x:c>
      <x:c r="G2471" s="6" t="str">
        <x:v>proc-campus-train-002</x:v>
      </x:c>
      <x:c r="H2471" s="6" t="str">
        <x:v>proc-campus-train-002-H03</x:v>
      </x:c>
      <x:c r="I2471" s="6" t="str">
        <x:v>Constrained reachability</x:v>
      </x:c>
      <x:c r="J2471" s="6" t="str">
        <x:v>Benchmark</x:v>
      </x:c>
      <x:c r="K2471" s="6" t="str">
        <x:v>Answer: &lt;one exact integer&gt;</x:v>
      </x:c>
      <x:c r="L2471" s="6" t="str">
        <x:v>T02, T05, T06, T14</x:v>
      </x:c>
      <x:c r="M2471" s="6" t="str">
        <x:v>Count rooms reachable with a wide load that cannot use stairs or steps.</x:v>
      </x:c>
      <x:c r="N2471" s="6" t="str">
        <x:v>{"type":"number","value":7,"unit":"rooms","relative_tolerance":0,"absolute_tolerance":0}</x:v>
      </x:c>
      <x:c r="O2471" s="6" t="str">
        <x:v>{"start":"proc-campus-train-002-F0-S008","floor_id":"proc-campus-train-002-F0","min_width":1.1}</x:v>
      </x:c>
      <x:c r="P2471" s="6" t="str">
        <x:v>No stairs/steps. All doors &gt;= 1.1 m. Lifts allowed. Count type=room on target floor.</x:v>
      </x:c>
      <x:c r="Q2471" s="15" t="n">
        <x:v>7</x:v>
      </x:c>
      <x:c r="R2471" s="6" t="str">
        <x:v>rooms</x:v>
      </x:c>
      <x:c r="S2471" s="16" t="n">
        <x:v>0</x:v>
      </x:c>
      <x:c r="T2471" s="15" t="n">
        <x:v>0</x:v>
      </x:c>
      <x:c r="U2471" s="6" t="str">
        <x:v>Answer: 7</x:v>
      </x:c>
      <x:c r="V2471" s="6" t="str">
        <x:v>door widths + reachability</x:v>
      </x:c>
      <x:c r="W2471" s="6" t="str">
        <x:v>Missing minimum-width filter and aggregate reachability. Existing router only filters step_free.</x:v>
      </x:c>
      <x:c r="X2471" s="6" t="str">
        <x:v>data/train/proc-campus-train-002/questions.jsonl</x:v>
      </x:c>
      <x:c r="Y2471" s="14" t="n">
        <x:v>3</x:v>
      </x:c>
      <x:c r="Z2471" s="6" t="str">
        <x:v>https://github.com/hagenhaeussler/Industrial-Agents-Hackathon-2026/blob/f41616590b69f3ea0c1cbfb41d6c35edd9ce53df/data/train/proc-campus-train-002/questions.jsonl#L3</x:v>
      </x:c>
      <x:c r="AA2471" s="6" t="str">
        <x:v>procedural</x:v>
      </x:c>
      <x:c r="AB2471" s="6" t="str">
        <x:v>CC0-1.0</x:v>
      </x:c>
    </x:row>
    <x:row r="2472" ht="82" customHeight="1">
      <x:c r="A2472" s="14" t="n">
        <x:v>2467</x:v>
      </x:c>
      <x:c r="B2472" s="6" t="str">
        <x:v>wide_delivery_count</x:v>
      </x:c>
      <x:c r="C2472" s="6" t="str">
        <x:v>I'm moving a 1.1 m wide hospital bed. It can't go on stairs or steps (lifts are fine), and every door it passes through must be at least 1.1 m wide. It arrives through the entrance into Main lobby (Ground floor). Into how many rooms on the ground floor can it be delivered? Finish with a line 'Answer: &lt;number&gt;'.</x:v>
      </x:c>
      <x:c r="D2472" s="6" t="str">
        <x:v>7 rooms</x:v>
      </x:c>
      <x:c r="E2472" s="6" t="str">
        <x:v>Reference supplied</x:v>
      </x:c>
      <x:c r="F2472" s="6" t="str">
        <x:v>train</x:v>
      </x:c>
      <x:c r="G2472" s="6" t="str">
        <x:v>proc-campus-train-003</x:v>
      </x:c>
      <x:c r="H2472" s="6" t="str">
        <x:v>proc-campus-train-003-H02</x:v>
      </x:c>
      <x:c r="I2472" s="6" t="str">
        <x:v>Constrained reachability</x:v>
      </x:c>
      <x:c r="J2472" s="6" t="str">
        <x:v>Benchmark</x:v>
      </x:c>
      <x:c r="K2472" s="6" t="str">
        <x:v>Answer: &lt;one exact integer&gt;</x:v>
      </x:c>
      <x:c r="L2472" s="6" t="str">
        <x:v>T02, T05, T06, T14</x:v>
      </x:c>
      <x:c r="M2472" s="6" t="str">
        <x:v>Count rooms reachable with a wide load that cannot use stairs or steps.</x:v>
      </x:c>
      <x:c r="N2472" s="6" t="str">
        <x:v>{"type":"number","value":7,"unit":"rooms","relative_tolerance":0,"absolute_tolerance":0}</x:v>
      </x:c>
      <x:c r="O2472" s="6" t="str">
        <x:v>{"start":"proc-campus-train-003-F0-S007","floor_id":"proc-campus-train-003-F0","min_width":1.1}</x:v>
      </x:c>
      <x:c r="P2472" s="6" t="str">
        <x:v>No stairs/steps. All doors &gt;= 1.1 m. Lifts allowed. Count type=room on target floor.</x:v>
      </x:c>
      <x:c r="Q2472" s="15" t="n">
        <x:v>7</x:v>
      </x:c>
      <x:c r="R2472" s="6" t="str">
        <x:v>rooms</x:v>
      </x:c>
      <x:c r="S2472" s="16" t="n">
        <x:v>0</x:v>
      </x:c>
      <x:c r="T2472" s="15" t="n">
        <x:v>0</x:v>
      </x:c>
      <x:c r="U2472" s="6" t="str">
        <x:v>Answer: 7</x:v>
      </x:c>
      <x:c r="V2472" s="6" t="str">
        <x:v>door widths + reachability</x:v>
      </x:c>
      <x:c r="W2472" s="6" t="str">
        <x:v>Missing minimum-width filter and aggregate reachability. Existing router only filters step_free.</x:v>
      </x:c>
      <x:c r="X2472" s="6" t="str">
        <x:v>data/train/proc-campus-train-003/questions.jsonl</x:v>
      </x:c>
      <x:c r="Y2472" s="14" t="n">
        <x:v>2</x:v>
      </x:c>
      <x:c r="Z2472" s="6" t="str">
        <x:v>https://github.com/hagenhaeussler/Industrial-Agents-Hackathon-2026/blob/f41616590b69f3ea0c1cbfb41d6c35edd9ce53df/data/train/proc-campus-train-003/questions.jsonl#L2</x:v>
      </x:c>
      <x:c r="AA2472" s="6" t="str">
        <x:v>procedural</x:v>
      </x:c>
      <x:c r="AB2472" s="6" t="str">
        <x:v>CC0-1.0</x:v>
      </x:c>
    </x:row>
    <x:row r="2473" ht="82" customHeight="1">
      <x:c r="A2473" s="14" t="n">
        <x:v>2468</x:v>
      </x:c>
      <x:c r="B2473" s="6" t="str">
        <x:v>wide_delivery_count</x:v>
      </x:c>
      <x:c r="C2473" s="6" t="str">
        <x:v>I'm moving a 1.0 m wide pallet of equipment. It can't go on stairs or steps (lifts are fine), and every door it passes through must be at least 1.0 m wide. It arrives through the entrance into Main lobby (Ground floor). Into how many rooms on the floor 2 can it be delivered? Finish with a line 'Answer: &lt;number&gt;'.</x:v>
      </x:c>
      <x:c r="D2473" s="6" t="str">
        <x:v>14 rooms</x:v>
      </x:c>
      <x:c r="E2473" s="6" t="str">
        <x:v>Reference supplied</x:v>
      </x:c>
      <x:c r="F2473" s="6" t="str">
        <x:v>train</x:v>
      </x:c>
      <x:c r="G2473" s="6" t="str">
        <x:v>proc-campus-train-004</x:v>
      </x:c>
      <x:c r="H2473" s="6" t="str">
        <x:v>proc-campus-train-004-H03</x:v>
      </x:c>
      <x:c r="I2473" s="6" t="str">
        <x:v>Constrained reachability</x:v>
      </x:c>
      <x:c r="J2473" s="6" t="str">
        <x:v>Benchmark</x:v>
      </x:c>
      <x:c r="K2473" s="6" t="str">
        <x:v>Answer: &lt;one exact integer&gt;</x:v>
      </x:c>
      <x:c r="L2473" s="6" t="str">
        <x:v>T02, T05, T06, T14</x:v>
      </x:c>
      <x:c r="M2473" s="6" t="str">
        <x:v>Count rooms reachable with a wide load that cannot use stairs or steps.</x:v>
      </x:c>
      <x:c r="N2473" s="6" t="str">
        <x:v>{"type":"number","value":14,"unit":"rooms","relative_tolerance":0,"absolute_tolerance":0}</x:v>
      </x:c>
      <x:c r="O2473" s="6" t="str">
        <x:v>{"start":"proc-campus-train-004-F0-S012","floor_id":"proc-campus-train-004-F2","min_width":1}</x:v>
      </x:c>
      <x:c r="P2473" s="6" t="str">
        <x:v>No stairs/steps. All doors &gt;= 1 m. Lifts allowed. Count type=room on target floor.</x:v>
      </x:c>
      <x:c r="Q2473" s="15" t="n">
        <x:v>14</x:v>
      </x:c>
      <x:c r="R2473" s="6" t="str">
        <x:v>rooms</x:v>
      </x:c>
      <x:c r="S2473" s="16" t="n">
        <x:v>0</x:v>
      </x:c>
      <x:c r="T2473" s="15" t="n">
        <x:v>0</x:v>
      </x:c>
      <x:c r="U2473" s="6" t="str">
        <x:v>Answer: 14</x:v>
      </x:c>
      <x:c r="V2473" s="6" t="str">
        <x:v>door widths + reachability</x:v>
      </x:c>
      <x:c r="W2473" s="6" t="str">
        <x:v>Missing minimum-width filter and aggregate reachability. Existing router only filters step_free.</x:v>
      </x:c>
      <x:c r="X2473" s="6" t="str">
        <x:v>data/train/proc-campus-train-004/questions.jsonl</x:v>
      </x:c>
      <x:c r="Y2473" s="14" t="n">
        <x:v>3</x:v>
      </x:c>
      <x:c r="Z2473" s="6" t="str">
        <x:v>https://github.com/hagenhaeussler/Industrial-Agents-Hackathon-2026/blob/f41616590b69f3ea0c1cbfb41d6c35edd9ce53df/data/train/proc-campus-train-004/questions.jsonl#L3</x:v>
      </x:c>
      <x:c r="AA2473" s="6" t="str">
        <x:v>procedural</x:v>
      </x:c>
      <x:c r="AB2473" s="6" t="str">
        <x:v>CC0-1.0</x:v>
      </x:c>
    </x:row>
    <x:row r="2474" ht="82" customHeight="1">
      <x:c r="A2474" s="14" t="n">
        <x:v>2469</x:v>
      </x:c>
      <x:c r="B2474" s="6" t="str">
        <x:v>wide_delivery_count</x:v>
      </x:c>
      <x:c r="C2474" s="6" t="str">
        <x:v>I'm moving a 1.0 m wide hospital bed. It can't go on stairs or steps (lifts are fine), and every door it passes through must be at least 1.0 m wide. It arrives through the entrance into Main lobby (Ground floor). Into how many rooms on the floor 3 can it be delivered? Finish with a line 'Answer: &lt;number&gt;'.</x:v>
      </x:c>
      <x:c r="D2474" s="6" t="str">
        <x:v>12 rooms</x:v>
      </x:c>
      <x:c r="E2474" s="6" t="str">
        <x:v>Reference supplied</x:v>
      </x:c>
      <x:c r="F2474" s="6" t="str">
        <x:v>train</x:v>
      </x:c>
      <x:c r="G2474" s="6" t="str">
        <x:v>proc-campus-train-011</x:v>
      </x:c>
      <x:c r="H2474" s="6" t="str">
        <x:v>proc-campus-train-011-H03</x:v>
      </x:c>
      <x:c r="I2474" s="6" t="str">
        <x:v>Constrained reachability</x:v>
      </x:c>
      <x:c r="J2474" s="6" t="str">
        <x:v>Benchmark</x:v>
      </x:c>
      <x:c r="K2474" s="6" t="str">
        <x:v>Answer: &lt;one exact integer&gt;</x:v>
      </x:c>
      <x:c r="L2474" s="6" t="str">
        <x:v>T02, T05, T06, T14</x:v>
      </x:c>
      <x:c r="M2474" s="6" t="str">
        <x:v>Count rooms reachable with a wide load that cannot use stairs or steps.</x:v>
      </x:c>
      <x:c r="N2474" s="6" t="str">
        <x:v>{"type":"number","value":12,"unit":"rooms","relative_tolerance":0,"absolute_tolerance":0}</x:v>
      </x:c>
      <x:c r="O2474" s="6" t="str">
        <x:v>{"start":"proc-campus-train-011-F0-S007","floor_id":"proc-campus-train-011-F3","min_width":1}</x:v>
      </x:c>
      <x:c r="P2474" s="6" t="str">
        <x:v>No stairs/steps. All doors &gt;= 1 m. Lifts allowed. Count type=room on target floor.</x:v>
      </x:c>
      <x:c r="Q2474" s="15" t="n">
        <x:v>12</x:v>
      </x:c>
      <x:c r="R2474" s="6" t="str">
        <x:v>rooms</x:v>
      </x:c>
      <x:c r="S2474" s="16" t="n">
        <x:v>0</x:v>
      </x:c>
      <x:c r="T2474" s="15" t="n">
        <x:v>0</x:v>
      </x:c>
      <x:c r="U2474" s="6" t="str">
        <x:v>Answer: 12</x:v>
      </x:c>
      <x:c r="V2474" s="6" t="str">
        <x:v>door widths + reachability</x:v>
      </x:c>
      <x:c r="W2474" s="6" t="str">
        <x:v>Missing minimum-width filter and aggregate reachability. Existing router only filters step_free.</x:v>
      </x:c>
      <x:c r="X2474" s="6" t="str">
        <x:v>data/train/proc-campus-train-011/questions.jsonl</x:v>
      </x:c>
      <x:c r="Y2474" s="14" t="n">
        <x:v>3</x:v>
      </x:c>
      <x:c r="Z2474" s="6" t="str">
        <x:v>https://github.com/hagenhaeussler/Industrial-Agents-Hackathon-2026/blob/f41616590b69f3ea0c1cbfb41d6c35edd9ce53df/data/train/proc-campus-train-011/questions.jsonl#L3</x:v>
      </x:c>
      <x:c r="AA2474" s="6" t="str">
        <x:v>procedural</x:v>
      </x:c>
      <x:c r="AB2474" s="6" t="str">
        <x:v>CC0-1.0</x:v>
      </x:c>
    </x:row>
    <x:row r="2475" ht="82" customHeight="1">
      <x:c r="A2475" s="14" t="n">
        <x:v>2470</x:v>
      </x:c>
      <x:c r="B2475" s="6" t="str">
        <x:v>wide_delivery_count</x:v>
      </x:c>
      <x:c r="C2475" s="6" t="str">
        <x:v>I'm moving a 1.0 m wide pallet of equipment. It can't go on stairs or steps (lifts are fine), and every door it passes through must be at least 1.0 m wide. It arrives through the entrance into Main lobby (Ground floor). Into how many rooms on the ground floor can it be delivered? Finish with a line 'Answer: &lt;number&gt;'.</x:v>
      </x:c>
      <x:c r="D2475" s="6" t="str">
        <x:v>8 rooms</x:v>
      </x:c>
      <x:c r="E2475" s="6" t="str">
        <x:v>Reference supplied</x:v>
      </x:c>
      <x:c r="F2475" s="6" t="str">
        <x:v>train</x:v>
      </x:c>
      <x:c r="G2475" s="6" t="str">
        <x:v>proc-campus-train-012</x:v>
      </x:c>
      <x:c r="H2475" s="6" t="str">
        <x:v>proc-campus-train-012-H02</x:v>
      </x:c>
      <x:c r="I2475" s="6" t="str">
        <x:v>Constrained reachability</x:v>
      </x:c>
      <x:c r="J2475" s="6" t="str">
        <x:v>Benchmark</x:v>
      </x:c>
      <x:c r="K2475" s="6" t="str">
        <x:v>Answer: &lt;one exact integer&gt;</x:v>
      </x:c>
      <x:c r="L2475" s="6" t="str">
        <x:v>T02, T05, T06, T14</x:v>
      </x:c>
      <x:c r="M2475" s="6" t="str">
        <x:v>Count rooms reachable with a wide load that cannot use stairs or steps.</x:v>
      </x:c>
      <x:c r="N2475" s="6" t="str">
        <x:v>{"type":"number","value":8,"unit":"rooms","relative_tolerance":0,"absolute_tolerance":0}</x:v>
      </x:c>
      <x:c r="O2475" s="6" t="str">
        <x:v>{"start":"proc-campus-train-012-F0-S009","floor_id":"proc-campus-train-012-F0","min_width":1}</x:v>
      </x:c>
      <x:c r="P2475" s="6" t="str">
        <x:v>No stairs/steps. All doors &gt;= 1 m. Lifts allowed. Count type=room on target floor.</x:v>
      </x:c>
      <x:c r="Q2475" s="15" t="n">
        <x:v>8</x:v>
      </x:c>
      <x:c r="R2475" s="6" t="str">
        <x:v>rooms</x:v>
      </x:c>
      <x:c r="S2475" s="16" t="n">
        <x:v>0</x:v>
      </x:c>
      <x:c r="T2475" s="15" t="n">
        <x:v>0</x:v>
      </x:c>
      <x:c r="U2475" s="6" t="str">
        <x:v>Answer: 8</x:v>
      </x:c>
      <x:c r="V2475" s="6" t="str">
        <x:v>door widths + reachability</x:v>
      </x:c>
      <x:c r="W2475" s="6" t="str">
        <x:v>Missing minimum-width filter and aggregate reachability. Existing router only filters step_free.</x:v>
      </x:c>
      <x:c r="X2475" s="6" t="str">
        <x:v>data/train/proc-campus-train-012/questions.jsonl</x:v>
      </x:c>
      <x:c r="Y2475" s="14" t="n">
        <x:v>2</x:v>
      </x:c>
      <x:c r="Z2475" s="6" t="str">
        <x:v>https://github.com/hagenhaeussler/Industrial-Agents-Hackathon-2026/blob/f41616590b69f3ea0c1cbfb41d6c35edd9ce53df/data/train/proc-campus-train-012/questions.jsonl#L2</x:v>
      </x:c>
      <x:c r="AA2475" s="6" t="str">
        <x:v>procedural</x:v>
      </x:c>
      <x:c r="AB2475" s="6" t="str">
        <x:v>CC0-1.0</x:v>
      </x:c>
    </x:row>
    <x:row r="2476" ht="82" customHeight="1">
      <x:c r="A2476" s="14" t="n">
        <x:v>2471</x:v>
      </x:c>
      <x:c r="B2476" s="6" t="str">
        <x:v>wide_delivery_count</x:v>
      </x:c>
      <x:c r="C2476" s="6" t="str">
        <x:v>I'm moving a 1.0 m wide cleaning machine. It can't go on stairs or steps (lifts are fine), and every door it passes through must be at least 1.0 m wide. It arrives through the entrance into Main lobby (Ground floor). Into how many rooms on the floor 3 can it be delivered? Finish with a line 'Answer: &lt;number&gt;'.</x:v>
      </x:c>
      <x:c r="D2476" s="6" t="str">
        <x:v>12 rooms</x:v>
      </x:c>
      <x:c r="E2476" s="6" t="str">
        <x:v>Reference supplied</x:v>
      </x:c>
      <x:c r="F2476" s="6" t="str">
        <x:v>train</x:v>
      </x:c>
      <x:c r="G2476" s="6" t="str">
        <x:v>proc-campus-train-013</x:v>
      </x:c>
      <x:c r="H2476" s="6" t="str">
        <x:v>proc-campus-train-013-H02</x:v>
      </x:c>
      <x:c r="I2476" s="6" t="str">
        <x:v>Constrained reachability</x:v>
      </x:c>
      <x:c r="J2476" s="6" t="str">
        <x:v>Benchmark</x:v>
      </x:c>
      <x:c r="K2476" s="6" t="str">
        <x:v>Answer: &lt;one exact integer&gt;</x:v>
      </x:c>
      <x:c r="L2476" s="6" t="str">
        <x:v>T02, T05, T06, T14</x:v>
      </x:c>
      <x:c r="M2476" s="6" t="str">
        <x:v>Count rooms reachable with a wide load that cannot use stairs or steps.</x:v>
      </x:c>
      <x:c r="N2476" s="6" t="str">
        <x:v>{"type":"number","value":12,"unit":"rooms","relative_tolerance":0,"absolute_tolerance":0}</x:v>
      </x:c>
      <x:c r="O2476" s="6" t="str">
        <x:v>{"start":"proc-campus-train-013-F0-S013","floor_id":"proc-campus-train-013-F3","min_width":1}</x:v>
      </x:c>
      <x:c r="P2476" s="6" t="str">
        <x:v>No stairs/steps. All doors &gt;= 1 m. Lifts allowed. Count type=room on target floor.</x:v>
      </x:c>
      <x:c r="Q2476" s="15" t="n">
        <x:v>12</x:v>
      </x:c>
      <x:c r="R2476" s="6" t="str">
        <x:v>rooms</x:v>
      </x:c>
      <x:c r="S2476" s="16" t="n">
        <x:v>0</x:v>
      </x:c>
      <x:c r="T2476" s="15" t="n">
        <x:v>0</x:v>
      </x:c>
      <x:c r="U2476" s="6" t="str">
        <x:v>Answer: 12</x:v>
      </x:c>
      <x:c r="V2476" s="6" t="str">
        <x:v>door widths + reachability</x:v>
      </x:c>
      <x:c r="W2476" s="6" t="str">
        <x:v>Missing minimum-width filter and aggregate reachability. Existing router only filters step_free.</x:v>
      </x:c>
      <x:c r="X2476" s="6" t="str">
        <x:v>data/train/proc-campus-train-013/questions.jsonl</x:v>
      </x:c>
      <x:c r="Y2476" s="14" t="n">
        <x:v>2</x:v>
      </x:c>
      <x:c r="Z2476" s="6" t="str">
        <x:v>https://github.com/hagenhaeussler/Industrial-Agents-Hackathon-2026/blob/f41616590b69f3ea0c1cbfb41d6c35edd9ce53df/data/train/proc-campus-train-013/questions.jsonl#L2</x:v>
      </x:c>
      <x:c r="AA2476" s="6" t="str">
        <x:v>procedural</x:v>
      </x:c>
      <x:c r="AB2476" s="6" t="str">
        <x:v>CC0-1.0</x:v>
      </x:c>
    </x:row>
    <x:row r="2477" ht="82" customHeight="1">
      <x:c r="A2477" s="14" t="n">
        <x:v>2472</x:v>
      </x:c>
      <x:c r="B2477" s="6" t="str">
        <x:v>wide_delivery_count</x:v>
      </x:c>
      <x:c r="C2477" s="6" t="str">
        <x:v>I'm moving a 1.1 m wide pallet of equipment. It can't go on stairs or steps (lifts are fine), and every door it passes through must be at least 1.1 m wide. It arrives through the entrance into Main lobby (Ground floor). Into how many rooms on the floor 3 can it be delivered? Finish with a line 'Answer: &lt;number&gt;'.</x:v>
      </x:c>
      <x:c r="D2477" s="6" t="str">
        <x:v>9 rooms</x:v>
      </x:c>
      <x:c r="E2477" s="6" t="str">
        <x:v>Reference supplied</x:v>
      </x:c>
      <x:c r="F2477" s="6" t="str">
        <x:v>train</x:v>
      </x:c>
      <x:c r="G2477" s="6" t="str">
        <x:v>proc-campus-train-014</x:v>
      </x:c>
      <x:c r="H2477" s="6" t="str">
        <x:v>proc-campus-train-014-H03</x:v>
      </x:c>
      <x:c r="I2477" s="6" t="str">
        <x:v>Constrained reachability</x:v>
      </x:c>
      <x:c r="J2477" s="6" t="str">
        <x:v>Benchmark</x:v>
      </x:c>
      <x:c r="K2477" s="6" t="str">
        <x:v>Answer: &lt;one exact integer&gt;</x:v>
      </x:c>
      <x:c r="L2477" s="6" t="str">
        <x:v>T02, T05, T06, T14</x:v>
      </x:c>
      <x:c r="M2477" s="6" t="str">
        <x:v>Count rooms reachable with a wide load that cannot use stairs or steps.</x:v>
      </x:c>
      <x:c r="N2477" s="6" t="str">
        <x:v>{"type":"number","value":9,"unit":"rooms","relative_tolerance":0,"absolute_tolerance":0}</x:v>
      </x:c>
      <x:c r="O2477" s="6" t="str">
        <x:v>{"start":"proc-campus-train-014-F0-S011","floor_id":"proc-campus-train-014-F3","min_width":1.1}</x:v>
      </x:c>
      <x:c r="P2477" s="6" t="str">
        <x:v>No stairs/steps. All doors &gt;= 1.1 m. Lifts allowed. Count type=room on target floor.</x:v>
      </x:c>
      <x:c r="Q2477" s="15" t="n">
        <x:v>9</x:v>
      </x:c>
      <x:c r="R2477" s="6" t="str">
        <x:v>rooms</x:v>
      </x:c>
      <x:c r="S2477" s="16" t="n">
        <x:v>0</x:v>
      </x:c>
      <x:c r="T2477" s="15" t="n">
        <x:v>0</x:v>
      </x:c>
      <x:c r="U2477" s="6" t="str">
        <x:v>Answer: 9</x:v>
      </x:c>
      <x:c r="V2477" s="6" t="str">
        <x:v>door widths + reachability</x:v>
      </x:c>
      <x:c r="W2477" s="6" t="str">
        <x:v>Missing minimum-width filter and aggregate reachability. Existing router only filters step_free.</x:v>
      </x:c>
      <x:c r="X2477" s="6" t="str">
        <x:v>data/train/proc-campus-train-014/questions.jsonl</x:v>
      </x:c>
      <x:c r="Y2477" s="14" t="n">
        <x:v>3</x:v>
      </x:c>
      <x:c r="Z2477" s="6" t="str">
        <x:v>https://github.com/hagenhaeussler/Industrial-Agents-Hackathon-2026/blob/f41616590b69f3ea0c1cbfb41d6c35edd9ce53df/data/train/proc-campus-train-014/questions.jsonl#L3</x:v>
      </x:c>
      <x:c r="AA2477" s="6" t="str">
        <x:v>procedural</x:v>
      </x:c>
      <x:c r="AB2477" s="6" t="str">
        <x:v>CC0-1.0</x:v>
      </x:c>
    </x:row>
    <x:row r="2478" ht="82" customHeight="1">
      <x:c r="A2478" s="14" t="n">
        <x:v>2473</x:v>
      </x:c>
      <x:c r="B2478" s="6" t="str">
        <x:v>wide_delivery_count</x:v>
      </x:c>
      <x:c r="C2478" s="6" t="str">
        <x:v>I'm moving a 1.1 m wide hospital bed. It can't go on stairs or steps (lifts are fine), and every door it passes through must be at least 1.1 m wide. It arrives through the entrance into Main lobby (Ground floor). Into how many rooms on the floor 1 can it be delivered? Finish with a line 'Answer: &lt;number&gt;'.</x:v>
      </x:c>
      <x:c r="D2478" s="6" t="str">
        <x:v>11 rooms</x:v>
      </x:c>
      <x:c r="E2478" s="6" t="str">
        <x:v>Reference supplied</x:v>
      </x:c>
      <x:c r="F2478" s="6" t="str">
        <x:v>train</x:v>
      </x:c>
      <x:c r="G2478" s="6" t="str">
        <x:v>proc-campus-train-016</x:v>
      </x:c>
      <x:c r="H2478" s="6" t="str">
        <x:v>proc-campus-train-016-H02</x:v>
      </x:c>
      <x:c r="I2478" s="6" t="str">
        <x:v>Constrained reachability</x:v>
      </x:c>
      <x:c r="J2478" s="6" t="str">
        <x:v>Benchmark</x:v>
      </x:c>
      <x:c r="K2478" s="6" t="str">
        <x:v>Answer: &lt;one exact integer&gt;</x:v>
      </x:c>
      <x:c r="L2478" s="6" t="str">
        <x:v>T02, T05, T06, T14</x:v>
      </x:c>
      <x:c r="M2478" s="6" t="str">
        <x:v>Count rooms reachable with a wide load that cannot use stairs or steps.</x:v>
      </x:c>
      <x:c r="N2478" s="6" t="str">
        <x:v>{"type":"number","value":11,"unit":"rooms","relative_tolerance":0,"absolute_tolerance":0}</x:v>
      </x:c>
      <x:c r="O2478" s="6" t="str">
        <x:v>{"start":"proc-campus-train-016-F0-S014","floor_id":"proc-campus-train-016-F1","min_width":1.1}</x:v>
      </x:c>
      <x:c r="P2478" s="6" t="str">
        <x:v>No stairs/steps. All doors &gt;= 1.1 m. Lifts allowed. Count type=room on target floor.</x:v>
      </x:c>
      <x:c r="Q2478" s="15" t="n">
        <x:v>11</x:v>
      </x:c>
      <x:c r="R2478" s="6" t="str">
        <x:v>rooms</x:v>
      </x:c>
      <x:c r="S2478" s="16" t="n">
        <x:v>0</x:v>
      </x:c>
      <x:c r="T2478" s="15" t="n">
        <x:v>0</x:v>
      </x:c>
      <x:c r="U2478" s="6" t="str">
        <x:v>Answer: 11</x:v>
      </x:c>
      <x:c r="V2478" s="6" t="str">
        <x:v>door widths + reachability</x:v>
      </x:c>
      <x:c r="W2478" s="6" t="str">
        <x:v>Missing minimum-width filter and aggregate reachability. Existing router only filters step_free.</x:v>
      </x:c>
      <x:c r="X2478" s="6" t="str">
        <x:v>data/train/proc-campus-train-016/questions.jsonl</x:v>
      </x:c>
      <x:c r="Y2478" s="14" t="n">
        <x:v>2</x:v>
      </x:c>
      <x:c r="Z2478" s="6" t="str">
        <x:v>https://github.com/hagenhaeussler/Industrial-Agents-Hackathon-2026/blob/f41616590b69f3ea0c1cbfb41d6c35edd9ce53df/data/train/proc-campus-train-016/questions.jsonl#L2</x:v>
      </x:c>
      <x:c r="AA2478" s="6" t="str">
        <x:v>procedural</x:v>
      </x:c>
      <x:c r="AB2478" s="6" t="str">
        <x:v>CC0-1.0</x:v>
      </x:c>
    </x:row>
    <x:row r="2479" ht="82" customHeight="1">
      <x:c r="A2479" s="14" t="n">
        <x:v>2474</x:v>
      </x:c>
      <x:c r="B2479" s="6" t="str">
        <x:v>wide_delivery_count</x:v>
      </x:c>
      <x:c r="C2479" s="6" t="str">
        <x:v>I'm moving a 1.0 m wide trolley. It can't go on stairs or steps (lifts are fine), and every door it passes through must be at least 1.0 m wide. It arrives through the entrance into Main lobby (Ground floor). Into how many rooms on the ground floor can it be delivered? Finish with a line 'Answer: &lt;number&gt;'.</x:v>
      </x:c>
      <x:c r="D2479" s="6" t="str">
        <x:v>10 rooms</x:v>
      </x:c>
      <x:c r="E2479" s="6" t="str">
        <x:v>Reference supplied</x:v>
      </x:c>
      <x:c r="F2479" s="6" t="str">
        <x:v>train</x:v>
      </x:c>
      <x:c r="G2479" s="6" t="str">
        <x:v>proc-campus-train-019</x:v>
      </x:c>
      <x:c r="H2479" s="6" t="str">
        <x:v>proc-campus-train-019-H03</x:v>
      </x:c>
      <x:c r="I2479" s="6" t="str">
        <x:v>Constrained reachability</x:v>
      </x:c>
      <x:c r="J2479" s="6" t="str">
        <x:v>Benchmark</x:v>
      </x:c>
      <x:c r="K2479" s="6" t="str">
        <x:v>Answer: &lt;one exact integer&gt;</x:v>
      </x:c>
      <x:c r="L2479" s="6" t="str">
        <x:v>T02, T05, T06, T14</x:v>
      </x:c>
      <x:c r="M2479" s="6" t="str">
        <x:v>Count rooms reachable with a wide load that cannot use stairs or steps.</x:v>
      </x:c>
      <x:c r="N2479" s="6" t="str">
        <x:v>{"type":"number","value":10,"unit":"rooms","relative_tolerance":0,"absolute_tolerance":0}</x:v>
      </x:c>
      <x:c r="O2479" s="6" t="str">
        <x:v>{"start":"proc-campus-train-019-F0-S010","floor_id":"proc-campus-train-019-F0","min_width":1}</x:v>
      </x:c>
      <x:c r="P2479" s="6" t="str">
        <x:v>No stairs/steps. All doors &gt;= 1 m. Lifts allowed. Count type=room on target floor.</x:v>
      </x:c>
      <x:c r="Q2479" s="15" t="n">
        <x:v>10</x:v>
      </x:c>
      <x:c r="R2479" s="6" t="str">
        <x:v>rooms</x:v>
      </x:c>
      <x:c r="S2479" s="16" t="n">
        <x:v>0</x:v>
      </x:c>
      <x:c r="T2479" s="15" t="n">
        <x:v>0</x:v>
      </x:c>
      <x:c r="U2479" s="6" t="str">
        <x:v>Answer: 10</x:v>
      </x:c>
      <x:c r="V2479" s="6" t="str">
        <x:v>door widths + reachability</x:v>
      </x:c>
      <x:c r="W2479" s="6" t="str">
        <x:v>Missing minimum-width filter and aggregate reachability. Existing router only filters step_free.</x:v>
      </x:c>
      <x:c r="X2479" s="6" t="str">
        <x:v>data/train/proc-campus-train-019/questions.jsonl</x:v>
      </x:c>
      <x:c r="Y2479" s="14" t="n">
        <x:v>3</x:v>
      </x:c>
      <x:c r="Z2479" s="6" t="str">
        <x:v>https://github.com/hagenhaeussler/Industrial-Agents-Hackathon-2026/blob/f41616590b69f3ea0c1cbfb41d6c35edd9ce53df/data/train/proc-campus-train-019/questions.jsonl#L3</x:v>
      </x:c>
      <x:c r="AA2479" s="6" t="str">
        <x:v>procedural</x:v>
      </x:c>
      <x:c r="AB2479" s="6" t="str">
        <x:v>CC0-1.0</x:v>
      </x:c>
    </x:row>
    <x:row r="2480" ht="82" customHeight="1">
      <x:c r="A2480" s="14" t="n">
        <x:v>2475</x:v>
      </x:c>
      <x:c r="B2480" s="6" t="str">
        <x:v>wide_delivery_count</x:v>
      </x:c>
      <x:c r="C2480" s="6" t="str">
        <x:v>I'm moving a 1.0 m wide pallet of equipment. It can't go on stairs or steps (lifts are fine), and every door it passes through must be at least 1.0 m wide. It arrives through the entrance into Warehouse zone H-C2 (Ground floor). Into how many rooms on the floor 1 can it be delivered? Finish with a line 'Answer: &lt;number&gt;'.</x:v>
      </x:c>
      <x:c r="D2480" s="6" t="str">
        <x:v>6 rooms</x:v>
      </x:c>
      <x:c r="E2480" s="6" t="str">
        <x:v>Reference supplied</x:v>
      </x:c>
      <x:c r="F2480" s="6" t="str">
        <x:v>train</x:v>
      </x:c>
      <x:c r="G2480" s="6" t="str">
        <x:v>proc-factory-train-005</x:v>
      </x:c>
      <x:c r="H2480" s="6" t="str">
        <x:v>proc-factory-train-005-H03</x:v>
      </x:c>
      <x:c r="I2480" s="6" t="str">
        <x:v>Constrained reachability</x:v>
      </x:c>
      <x:c r="J2480" s="6" t="str">
        <x:v>Benchmark</x:v>
      </x:c>
      <x:c r="K2480" s="6" t="str">
        <x:v>Answer: &lt;one exact integer&gt;</x:v>
      </x:c>
      <x:c r="L2480" s="6" t="str">
        <x:v>T02, T05, T06, T14</x:v>
      </x:c>
      <x:c r="M2480" s="6" t="str">
        <x:v>Count rooms reachable with a wide load that cannot use stairs or steps.</x:v>
      </x:c>
      <x:c r="N2480" s="6" t="str">
        <x:v>{"type":"number","value":6,"unit":"rooms","relative_tolerance":0,"absolute_tolerance":0}</x:v>
      </x:c>
      <x:c r="O2480" s="6" t="str">
        <x:v>{"start":"proc-factory-train-005-F0-S010","floor_id":"proc-factory-train-005-F1","min_width":1}</x:v>
      </x:c>
      <x:c r="P2480" s="6" t="str">
        <x:v>No stairs/steps. All doors &gt;= 1 m. Lifts allowed. Count type=room on target floor.</x:v>
      </x:c>
      <x:c r="Q2480" s="15" t="n">
        <x:v>6</x:v>
      </x:c>
      <x:c r="R2480" s="6" t="str">
        <x:v>rooms</x:v>
      </x:c>
      <x:c r="S2480" s="16" t="n">
        <x:v>0</x:v>
      </x:c>
      <x:c r="T2480" s="15" t="n">
        <x:v>0</x:v>
      </x:c>
      <x:c r="U2480" s="6" t="str">
        <x:v>Answer: 6</x:v>
      </x:c>
      <x:c r="V2480" s="6" t="str">
        <x:v>door widths + reachability</x:v>
      </x:c>
      <x:c r="W2480" s="6" t="str">
        <x:v>Missing minimum-width filter and aggregate reachability. Existing router only filters step_free.</x:v>
      </x:c>
      <x:c r="X2480" s="6" t="str">
        <x:v>data/train/proc-factory-train-005/questions.jsonl</x:v>
      </x:c>
      <x:c r="Y2480" s="14" t="n">
        <x:v>3</x:v>
      </x:c>
      <x:c r="Z2480" s="6" t="str">
        <x:v>https://github.com/hagenhaeussler/Industrial-Agents-Hackathon-2026/blob/f41616590b69f3ea0c1cbfb41d6c35edd9ce53df/data/train/proc-factory-train-005/questions.jsonl#L3</x:v>
      </x:c>
      <x:c r="AA2480" s="6" t="str">
        <x:v>procedural</x:v>
      </x:c>
      <x:c r="AB2480" s="6" t="str">
        <x:v>CC0-1.0</x:v>
      </x:c>
    </x:row>
    <x:row r="2481" ht="82" customHeight="1">
      <x:c r="A2481" s="14" t="n">
        <x:v>2476</x:v>
      </x:c>
      <x:c r="B2481" s="6" t="str">
        <x:v>wide_delivery_count</x:v>
      </x:c>
      <x:c r="C2481" s="6" t="str">
        <x:v>I'm moving a 1.0 m wide trolley. It can't go on stairs or steps (lifts are fine), and every door it passes through must be at least 1.0 m wide. It arrives through the entrance into Logistics zone H-C1 (Ground floor). Into how many rooms on the ground floor can it be delivered? Finish with a line 'Answer: &lt;number&gt;'.</x:v>
      </x:c>
      <x:c r="D2481" s="6" t="str">
        <x:v>5 rooms</x:v>
      </x:c>
      <x:c r="E2481" s="6" t="str">
        <x:v>Reference supplied</x:v>
      </x:c>
      <x:c r="F2481" s="6" t="str">
        <x:v>train</x:v>
      </x:c>
      <x:c r="G2481" s="6" t="str">
        <x:v>proc-factory-train-006</x:v>
      </x:c>
      <x:c r="H2481" s="6" t="str">
        <x:v>proc-factory-train-006-H03</x:v>
      </x:c>
      <x:c r="I2481" s="6" t="str">
        <x:v>Constrained reachability</x:v>
      </x:c>
      <x:c r="J2481" s="6" t="str">
        <x:v>Benchmark</x:v>
      </x:c>
      <x:c r="K2481" s="6" t="str">
        <x:v>Answer: &lt;one exact integer&gt;</x:v>
      </x:c>
      <x:c r="L2481" s="6" t="str">
        <x:v>T02, T05, T06, T14</x:v>
      </x:c>
      <x:c r="M2481" s="6" t="str">
        <x:v>Count rooms reachable with a wide load that cannot use stairs or steps.</x:v>
      </x:c>
      <x:c r="N2481" s="6" t="str">
        <x:v>{"type":"number","value":5,"unit":"rooms","relative_tolerance":0,"absolute_tolerance":0}</x:v>
      </x:c>
      <x:c r="O2481" s="6" t="str">
        <x:v>{"start":"proc-factory-train-006-F0-S007","floor_id":"proc-factory-train-006-F0","min_width":1}</x:v>
      </x:c>
      <x:c r="P2481" s="6" t="str">
        <x:v>No stairs/steps. All doors &gt;= 1 m. Lifts allowed. Count type=room on target floor.</x:v>
      </x:c>
      <x:c r="Q2481" s="15" t="n">
        <x:v>5</x:v>
      </x:c>
      <x:c r="R2481" s="6" t="str">
        <x:v>rooms</x:v>
      </x:c>
      <x:c r="S2481" s="16" t="n">
        <x:v>0</x:v>
      </x:c>
      <x:c r="T2481" s="15" t="n">
        <x:v>0</x:v>
      </x:c>
      <x:c r="U2481" s="6" t="str">
        <x:v>Answer: 5</x:v>
      </x:c>
      <x:c r="V2481" s="6" t="str">
        <x:v>door widths + reachability</x:v>
      </x:c>
      <x:c r="W2481" s="6" t="str">
        <x:v>Missing minimum-width filter and aggregate reachability. Existing router only filters step_free.</x:v>
      </x:c>
      <x:c r="X2481" s="6" t="str">
        <x:v>data/train/proc-factory-train-006/questions.jsonl</x:v>
      </x:c>
      <x:c r="Y2481" s="14" t="n">
        <x:v>3</x:v>
      </x:c>
      <x:c r="Z2481" s="6" t="str">
        <x:v>https://github.com/hagenhaeussler/Industrial-Agents-Hackathon-2026/blob/f41616590b69f3ea0c1cbfb41d6c35edd9ce53df/data/train/proc-factory-train-006/questions.jsonl#L3</x:v>
      </x:c>
      <x:c r="AA2481" s="6" t="str">
        <x:v>procedural</x:v>
      </x:c>
      <x:c r="AB2481" s="6" t="str">
        <x:v>CC0-1.0</x:v>
      </x:c>
    </x:row>
    <x:row r="2482" ht="82" customHeight="1">
      <x:c r="A2482" s="14" t="n">
        <x:v>2477</x:v>
      </x:c>
      <x:c r="B2482" s="6" t="str">
        <x:v>wide_delivery_count</x:v>
      </x:c>
      <x:c r="C2482" s="6" t="str">
        <x:v>I'm moving a 1.1 m wide pallet of equipment. It can't go on stairs or steps (lifts are fine), and every door it passes through must be at least 1.1 m wide. It arrives through the entrance into Office corridor 0.13 (Ground floor). Into how many rooms on the floor 1 can it be delivered? Finish with a line 'Answer: &lt;number&gt;'.</x:v>
      </x:c>
      <x:c r="D2482" s="6" t="str">
        <x:v>6 rooms</x:v>
      </x:c>
      <x:c r="E2482" s="6" t="str">
        <x:v>Reference supplied</x:v>
      </x:c>
      <x:c r="F2482" s="6" t="str">
        <x:v>train</x:v>
      </x:c>
      <x:c r="G2482" s="6" t="str">
        <x:v>proc-factory-train-007</x:v>
      </x:c>
      <x:c r="H2482" s="6" t="str">
        <x:v>proc-factory-train-007-H03</x:v>
      </x:c>
      <x:c r="I2482" s="6" t="str">
        <x:v>Constrained reachability</x:v>
      </x:c>
      <x:c r="J2482" s="6" t="str">
        <x:v>Benchmark</x:v>
      </x:c>
      <x:c r="K2482" s="6" t="str">
        <x:v>Answer: &lt;one exact integer&gt;</x:v>
      </x:c>
      <x:c r="L2482" s="6" t="str">
        <x:v>T02, T05, T06, T14</x:v>
      </x:c>
      <x:c r="M2482" s="6" t="str">
        <x:v>Count rooms reachable with a wide load that cannot use stairs or steps.</x:v>
      </x:c>
      <x:c r="N2482" s="6" t="str">
        <x:v>{"type":"number","value":6,"unit":"rooms","relative_tolerance":0,"absolute_tolerance":0}</x:v>
      </x:c>
      <x:c r="O2482" s="6" t="str">
        <x:v>{"start":"proc-factory-train-007-F0-S013","floor_id":"proc-factory-train-007-F1","min_width":1.1}</x:v>
      </x:c>
      <x:c r="P2482" s="6" t="str">
        <x:v>No stairs/steps. All doors &gt;= 1.1 m. Lifts allowed. Count type=room on target floor.</x:v>
      </x:c>
      <x:c r="Q2482" s="15" t="n">
        <x:v>6</x:v>
      </x:c>
      <x:c r="R2482" s="6" t="str">
        <x:v>rooms</x:v>
      </x:c>
      <x:c r="S2482" s="16" t="n">
        <x:v>0</x:v>
      </x:c>
      <x:c r="T2482" s="15" t="n">
        <x:v>0</x:v>
      </x:c>
      <x:c r="U2482" s="6" t="str">
        <x:v>Answer: 6</x:v>
      </x:c>
      <x:c r="V2482" s="6" t="str">
        <x:v>door widths + reachability</x:v>
      </x:c>
      <x:c r="W2482" s="6" t="str">
        <x:v>Missing minimum-width filter and aggregate reachability. Existing router only filters step_free.</x:v>
      </x:c>
      <x:c r="X2482" s="6" t="str">
        <x:v>data/train/proc-factory-train-007/questions.jsonl</x:v>
      </x:c>
      <x:c r="Y2482" s="14" t="n">
        <x:v>3</x:v>
      </x:c>
      <x:c r="Z2482" s="6" t="str">
        <x:v>https://github.com/hagenhaeussler/Industrial-Agents-Hackathon-2026/blob/f41616590b69f3ea0c1cbfb41d6c35edd9ce53df/data/train/proc-factory-train-007/questions.jsonl#L3</x:v>
      </x:c>
      <x:c r="AA2482" s="6" t="str">
        <x:v>procedural</x:v>
      </x:c>
      <x:c r="AB2482" s="6" t="str">
        <x:v>CC0-1.0</x:v>
      </x:c>
    </x:row>
    <x:row r="2483" ht="82" customHeight="1">
      <x:c r="A2483" s="14" t="n">
        <x:v>2478</x:v>
      </x:c>
      <x:c r="B2483" s="6" t="str">
        <x:v>wide_delivery_count</x:v>
      </x:c>
      <x:c r="C2483" s="6" t="str">
        <x:v>I'm moving a 1.1 m wide trolley. It can't go on stairs or steps (lifts are fine), and every door it passes through must be at least 1.1 m wide. It arrives through the entrance into Main aisle H-B3 (Ground floor). Into how many rooms on the ground floor can it be delivered? Finish with a line 'Answer: &lt;number&gt;'.</x:v>
      </x:c>
      <x:c r="D2483" s="6" t="str">
        <x:v>3 rooms</x:v>
      </x:c>
      <x:c r="E2483" s="6" t="str">
        <x:v>Reference supplied</x:v>
      </x:c>
      <x:c r="F2483" s="6" t="str">
        <x:v>train</x:v>
      </x:c>
      <x:c r="G2483" s="6" t="str">
        <x:v>proc-factory-train-008</x:v>
      </x:c>
      <x:c r="H2483" s="6" t="str">
        <x:v>proc-factory-train-008-H02</x:v>
      </x:c>
      <x:c r="I2483" s="6" t="str">
        <x:v>Constrained reachability</x:v>
      </x:c>
      <x:c r="J2483" s="6" t="str">
        <x:v>Benchmark</x:v>
      </x:c>
      <x:c r="K2483" s="6" t="str">
        <x:v>Answer: &lt;one exact integer&gt;</x:v>
      </x:c>
      <x:c r="L2483" s="6" t="str">
        <x:v>T02, T05, T06, T14</x:v>
      </x:c>
      <x:c r="M2483" s="6" t="str">
        <x:v>Count rooms reachable with a wide load that cannot use stairs or steps.</x:v>
      </x:c>
      <x:c r="N2483" s="6" t="str">
        <x:v>{"type":"number","value":3,"unit":"rooms","relative_tolerance":0,"absolute_tolerance":0}</x:v>
      </x:c>
      <x:c r="O2483" s="6" t="str">
        <x:v>{"start":"proc-factory-train-008-F0-S006","floor_id":"proc-factory-train-008-F0","min_width":1.1}</x:v>
      </x:c>
      <x:c r="P2483" s="6" t="str">
        <x:v>No stairs/steps. All doors &gt;= 1.1 m. Lifts allowed. Count type=room on target floor.</x:v>
      </x:c>
      <x:c r="Q2483" s="15" t="n">
        <x:v>3</x:v>
      </x:c>
      <x:c r="R2483" s="6" t="str">
        <x:v>rooms</x:v>
      </x:c>
      <x:c r="S2483" s="16" t="n">
        <x:v>0</x:v>
      </x:c>
      <x:c r="T2483" s="15" t="n">
        <x:v>0</x:v>
      </x:c>
      <x:c r="U2483" s="6" t="str">
        <x:v>Answer: 3</x:v>
      </x:c>
      <x:c r="V2483" s="6" t="str">
        <x:v>door widths + reachability</x:v>
      </x:c>
      <x:c r="W2483" s="6" t="str">
        <x:v>Missing minimum-width filter and aggregate reachability. Existing router only filters step_free.</x:v>
      </x:c>
      <x:c r="X2483" s="6" t="str">
        <x:v>data/train/proc-factory-train-008/questions.jsonl</x:v>
      </x:c>
      <x:c r="Y2483" s="14" t="n">
        <x:v>2</x:v>
      </x:c>
      <x:c r="Z2483" s="6" t="str">
        <x:v>https://github.com/hagenhaeussler/Industrial-Agents-Hackathon-2026/blob/f41616590b69f3ea0c1cbfb41d6c35edd9ce53df/data/train/proc-factory-train-008/questions.jsonl#L2</x:v>
      </x:c>
      <x:c r="AA2483" s="6" t="str">
        <x:v>procedural</x:v>
      </x:c>
      <x:c r="AB2483" s="6" t="str">
        <x:v>CC0-1.0</x:v>
      </x:c>
    </x:row>
    <x:row r="2484" ht="82" customHeight="1">
      <x:c r="A2484" s="14" t="n">
        <x:v>2479</x:v>
      </x:c>
      <x:c r="B2484" s="6" t="str">
        <x:v>wide_delivery_count</x:v>
      </x:c>
      <x:c r="C2484" s="6" t="str">
        <x:v>I'm moving a 1.1 m wide trolley. It can't go on stairs or steps (lifts are fine), and every door it passes through must be at least 1.1 m wide. It arrives through the entrance into Main aisle H-B4 (Ground floor). Into how many rooms on the floor 1 can it be delivered? Finish with a line 'Answer: &lt;number&gt;'.</x:v>
      </x:c>
      <x:c r="D2484" s="6" t="str">
        <x:v>6 rooms</x:v>
      </x:c>
      <x:c r="E2484" s="6" t="str">
        <x:v>Reference supplied</x:v>
      </x:c>
      <x:c r="F2484" s="6" t="str">
        <x:v>train</x:v>
      </x:c>
      <x:c r="G2484" s="6" t="str">
        <x:v>proc-factory-train-009</x:v>
      </x:c>
      <x:c r="H2484" s="6" t="str">
        <x:v>proc-factory-train-009-H03</x:v>
      </x:c>
      <x:c r="I2484" s="6" t="str">
        <x:v>Constrained reachability</x:v>
      </x:c>
      <x:c r="J2484" s="6" t="str">
        <x:v>Benchmark</x:v>
      </x:c>
      <x:c r="K2484" s="6" t="str">
        <x:v>Answer: &lt;one exact integer&gt;</x:v>
      </x:c>
      <x:c r="L2484" s="6" t="str">
        <x:v>T02, T05, T06, T14</x:v>
      </x:c>
      <x:c r="M2484" s="6" t="str">
        <x:v>Count rooms reachable with a wide load that cannot use stairs or steps.</x:v>
      </x:c>
      <x:c r="N2484" s="6" t="str">
        <x:v>{"type":"number","value":6,"unit":"rooms","relative_tolerance":0,"absolute_tolerance":0}</x:v>
      </x:c>
      <x:c r="O2484" s="6" t="str">
        <x:v>{"start":"proc-factory-train-009-F0-S008","floor_id":"proc-factory-train-009-F1","min_width":1.1}</x:v>
      </x:c>
      <x:c r="P2484" s="6" t="str">
        <x:v>No stairs/steps. All doors &gt;= 1.1 m. Lifts allowed. Count type=room on target floor.</x:v>
      </x:c>
      <x:c r="Q2484" s="15" t="n">
        <x:v>6</x:v>
      </x:c>
      <x:c r="R2484" s="6" t="str">
        <x:v>rooms</x:v>
      </x:c>
      <x:c r="S2484" s="16" t="n">
        <x:v>0</x:v>
      </x:c>
      <x:c r="T2484" s="15" t="n">
        <x:v>0</x:v>
      </x:c>
      <x:c r="U2484" s="6" t="str">
        <x:v>Answer: 6</x:v>
      </x:c>
      <x:c r="V2484" s="6" t="str">
        <x:v>door widths + reachability</x:v>
      </x:c>
      <x:c r="W2484" s="6" t="str">
        <x:v>Missing minimum-width filter and aggregate reachability. Existing router only filters step_free.</x:v>
      </x:c>
      <x:c r="X2484" s="6" t="str">
        <x:v>data/train/proc-factory-train-009/questions.jsonl</x:v>
      </x:c>
      <x:c r="Y2484" s="14" t="n">
        <x:v>3</x:v>
      </x:c>
      <x:c r="Z2484" s="6" t="str">
        <x:v>https://github.com/hagenhaeussler/Industrial-Agents-Hackathon-2026/blob/f41616590b69f3ea0c1cbfb41d6c35edd9ce53df/data/train/proc-factory-train-009/questions.jsonl#L3</x:v>
      </x:c>
      <x:c r="AA2484" s="6" t="str">
        <x:v>procedural</x:v>
      </x:c>
      <x:c r="AB2484" s="6" t="str">
        <x:v>CC0-1.0</x:v>
      </x:c>
    </x:row>
    <x:row r="2485" ht="82" customHeight="1">
      <x:c r="A2485" s="14" t="n">
        <x:v>2480</x:v>
      </x:c>
      <x:c r="B2485" s="6" t="str">
        <x:v>wide_delivery_count</x:v>
      </x:c>
      <x:c r="C2485" s="6" t="str">
        <x:v>I'm moving a 1.1 m wide pallet of equipment. It can't go on stairs or steps (lifts are fine), and every door it passes through must be at least 1.1 m wide. It arrives through the entrance into Main aisle H-B3 (Ground floor). Into how many rooms on the floor 1 can it be delivered? Finish with a line 'Answer: &lt;number&gt;'.</x:v>
      </x:c>
      <x:c r="D2485" s="6" t="str">
        <x:v>7 rooms</x:v>
      </x:c>
      <x:c r="E2485" s="6" t="str">
        <x:v>Reference supplied</x:v>
      </x:c>
      <x:c r="F2485" s="6" t="str">
        <x:v>train</x:v>
      </x:c>
      <x:c r="G2485" s="6" t="str">
        <x:v>proc-factory-train-010</x:v>
      </x:c>
      <x:c r="H2485" s="6" t="str">
        <x:v>proc-factory-train-010-H02</x:v>
      </x:c>
      <x:c r="I2485" s="6" t="str">
        <x:v>Constrained reachability</x:v>
      </x:c>
      <x:c r="J2485" s="6" t="str">
        <x:v>Benchmark</x:v>
      </x:c>
      <x:c r="K2485" s="6" t="str">
        <x:v>Answer: &lt;one exact integer&gt;</x:v>
      </x:c>
      <x:c r="L2485" s="6" t="str">
        <x:v>T02, T05, T06, T14</x:v>
      </x:c>
      <x:c r="M2485" s="6" t="str">
        <x:v>Count rooms reachable with a wide load that cannot use stairs or steps.</x:v>
      </x:c>
      <x:c r="N2485" s="6" t="str">
        <x:v>{"type":"number","value":7,"unit":"rooms","relative_tolerance":0,"absolute_tolerance":0}</x:v>
      </x:c>
      <x:c r="O2485" s="6" t="str">
        <x:v>{"start":"proc-factory-train-010-F0-S006","floor_id":"proc-factory-train-010-F1","min_width":1.1}</x:v>
      </x:c>
      <x:c r="P2485" s="6" t="str">
        <x:v>No stairs/steps. All doors &gt;= 1.1 m. Lifts allowed. Count type=room on target floor.</x:v>
      </x:c>
      <x:c r="Q2485" s="15" t="n">
        <x:v>7</x:v>
      </x:c>
      <x:c r="R2485" s="6" t="str">
        <x:v>rooms</x:v>
      </x:c>
      <x:c r="S2485" s="16" t="n">
        <x:v>0</x:v>
      </x:c>
      <x:c r="T2485" s="15" t="n">
        <x:v>0</x:v>
      </x:c>
      <x:c r="U2485" s="6" t="str">
        <x:v>Answer: 7</x:v>
      </x:c>
      <x:c r="V2485" s="6" t="str">
        <x:v>door widths + reachability</x:v>
      </x:c>
      <x:c r="W2485" s="6" t="str">
        <x:v>Missing minimum-width filter and aggregate reachability. Existing router only filters step_free.</x:v>
      </x:c>
      <x:c r="X2485" s="6" t="str">
        <x:v>data/train/proc-factory-train-010/questions.jsonl</x:v>
      </x:c>
      <x:c r="Y2485" s="14" t="n">
        <x:v>2</x:v>
      </x:c>
      <x:c r="Z2485" s="6" t="str">
        <x:v>https://github.com/hagenhaeussler/Industrial-Agents-Hackathon-2026/blob/f41616590b69f3ea0c1cbfb41d6c35edd9ce53df/data/train/proc-factory-train-010/questions.jsonl#L2</x:v>
      </x:c>
      <x:c r="AA2485" s="6" t="str">
        <x:v>procedural</x:v>
      </x:c>
      <x:c r="AB2485" s="6" t="str">
        <x:v>CC0-1.0</x:v>
      </x:c>
    </x:row>
    <x:row r="2486" ht="82" customHeight="1">
      <x:c r="A2486" s="14" t="n">
        <x:v>2481</x:v>
      </x:c>
      <x:c r="B2486" s="6" t="str">
        <x:v>wide_delivery_count</x:v>
      </x:c>
      <x:c r="C2486" s="6" t="str">
        <x:v>I'm moving a 1.0 m wide pallet of equipment. It can't go on stairs or steps (lifts are fine), and every door it passes through must be at least 1.0 m wide. It arrives through the entrance into Office corridor 0.10 (Ground floor). Into how many rooms on the floor 1 can it be delivered? Finish with a line 'Answer: &lt;number&gt;'.</x:v>
      </x:c>
      <x:c r="D2486" s="6" t="str">
        <x:v>8 rooms</x:v>
      </x:c>
      <x:c r="E2486" s="6" t="str">
        <x:v>Reference supplied</x:v>
      </x:c>
      <x:c r="F2486" s="6" t="str">
        <x:v>train</x:v>
      </x:c>
      <x:c r="G2486" s="6" t="str">
        <x:v>proc-factory-train-015</x:v>
      </x:c>
      <x:c r="H2486" s="6" t="str">
        <x:v>proc-factory-train-015-H03</x:v>
      </x:c>
      <x:c r="I2486" s="6" t="str">
        <x:v>Constrained reachability</x:v>
      </x:c>
      <x:c r="J2486" s="6" t="str">
        <x:v>Benchmark</x:v>
      </x:c>
      <x:c r="K2486" s="6" t="str">
        <x:v>Answer: &lt;one exact integer&gt;</x:v>
      </x:c>
      <x:c r="L2486" s="6" t="str">
        <x:v>T02, T05, T06, T14</x:v>
      </x:c>
      <x:c r="M2486" s="6" t="str">
        <x:v>Count rooms reachable with a wide load that cannot use stairs or steps.</x:v>
      </x:c>
      <x:c r="N2486" s="6" t="str">
        <x:v>{"type":"number","value":8,"unit":"rooms","relative_tolerance":0,"absolute_tolerance":0}</x:v>
      </x:c>
      <x:c r="O2486" s="6" t="str">
        <x:v>{"start":"proc-factory-train-015-F0-S010","floor_id":"proc-factory-train-015-F1","min_width":1}</x:v>
      </x:c>
      <x:c r="P2486" s="6" t="str">
        <x:v>No stairs/steps. All doors &gt;= 1 m. Lifts allowed. Count type=room on target floor.</x:v>
      </x:c>
      <x:c r="Q2486" s="15" t="n">
        <x:v>8</x:v>
      </x:c>
      <x:c r="R2486" s="6" t="str">
        <x:v>rooms</x:v>
      </x:c>
      <x:c r="S2486" s="16" t="n">
        <x:v>0</x:v>
      </x:c>
      <x:c r="T2486" s="15" t="n">
        <x:v>0</x:v>
      </x:c>
      <x:c r="U2486" s="6" t="str">
        <x:v>Answer: 8</x:v>
      </x:c>
      <x:c r="V2486" s="6" t="str">
        <x:v>door widths + reachability</x:v>
      </x:c>
      <x:c r="W2486" s="6" t="str">
        <x:v>Missing minimum-width filter and aggregate reachability. Existing router only filters step_free.</x:v>
      </x:c>
      <x:c r="X2486" s="6" t="str">
        <x:v>data/train/proc-factory-train-015/questions.jsonl</x:v>
      </x:c>
      <x:c r="Y2486" s="14" t="n">
        <x:v>3</x:v>
      </x:c>
      <x:c r="Z2486" s="6" t="str">
        <x:v>https://github.com/hagenhaeussler/Industrial-Agents-Hackathon-2026/blob/f41616590b69f3ea0c1cbfb41d6c35edd9ce53df/data/train/proc-factory-train-015/questions.jsonl#L3</x:v>
      </x:c>
      <x:c r="AA2486" s="6" t="str">
        <x:v>procedural</x:v>
      </x:c>
      <x:c r="AB2486" s="6" t="str">
        <x:v>CC0-1.0</x:v>
      </x:c>
    </x:row>
    <x:row r="2487" ht="82" customHeight="1">
      <x:c r="A2487" s="14" t="n">
        <x:v>2482</x:v>
      </x:c>
      <x:c r="B2487" s="6" t="str">
        <x:v>wide_delivery_count</x:v>
      </x:c>
      <x:c r="C2487" s="6" t="str">
        <x:v>I'm moving a 1.1 m wide trolley. It can't go on stairs or steps (lifts are fine), and every door it passes through must be at least 1.1 m wide. It arrives through the entrance into Office corridor 0.10 (Ground floor). Into how many rooms on the ground floor can it be delivered? Finish with a line 'Answer: &lt;number&gt;'.</x:v>
      </x:c>
      <x:c r="D2487" s="6" t="str">
        <x:v>3 rooms</x:v>
      </x:c>
      <x:c r="E2487" s="6" t="str">
        <x:v>Reference supplied</x:v>
      </x:c>
      <x:c r="F2487" s="6" t="str">
        <x:v>train</x:v>
      </x:c>
      <x:c r="G2487" s="6" t="str">
        <x:v>proc-factory-train-017</x:v>
      </x:c>
      <x:c r="H2487" s="6" t="str">
        <x:v>proc-factory-train-017-H02</x:v>
      </x:c>
      <x:c r="I2487" s="6" t="str">
        <x:v>Constrained reachability</x:v>
      </x:c>
      <x:c r="J2487" s="6" t="str">
        <x:v>Benchmark</x:v>
      </x:c>
      <x:c r="K2487" s="6" t="str">
        <x:v>Answer: &lt;one exact integer&gt;</x:v>
      </x:c>
      <x:c r="L2487" s="6" t="str">
        <x:v>T02, T05, T06, T14</x:v>
      </x:c>
      <x:c r="M2487" s="6" t="str">
        <x:v>Count rooms reachable with a wide load that cannot use stairs or steps.</x:v>
      </x:c>
      <x:c r="N2487" s="6" t="str">
        <x:v>{"type":"number","value":3,"unit":"rooms","relative_tolerance":0,"absolute_tolerance":0}</x:v>
      </x:c>
      <x:c r="O2487" s="6" t="str">
        <x:v>{"start":"proc-factory-train-017-F0-S010","floor_id":"proc-factory-train-017-F0","min_width":1.1}</x:v>
      </x:c>
      <x:c r="P2487" s="6" t="str">
        <x:v>No stairs/steps. All doors &gt;= 1.1 m. Lifts allowed. Count type=room on target floor.</x:v>
      </x:c>
      <x:c r="Q2487" s="15" t="n">
        <x:v>3</x:v>
      </x:c>
      <x:c r="R2487" s="6" t="str">
        <x:v>rooms</x:v>
      </x:c>
      <x:c r="S2487" s="16" t="n">
        <x:v>0</x:v>
      </x:c>
      <x:c r="T2487" s="15" t="n">
        <x:v>0</x:v>
      </x:c>
      <x:c r="U2487" s="6" t="str">
        <x:v>Answer: 3</x:v>
      </x:c>
      <x:c r="V2487" s="6" t="str">
        <x:v>door widths + reachability</x:v>
      </x:c>
      <x:c r="W2487" s="6" t="str">
        <x:v>Missing minimum-width filter and aggregate reachability. Existing router only filters step_free.</x:v>
      </x:c>
      <x:c r="X2487" s="6" t="str">
        <x:v>data/train/proc-factory-train-017/questions.jsonl</x:v>
      </x:c>
      <x:c r="Y2487" s="14" t="n">
        <x:v>2</x:v>
      </x:c>
      <x:c r="Z2487" s="6" t="str">
        <x:v>https://github.com/hagenhaeussler/Industrial-Agents-Hackathon-2026/blob/f41616590b69f3ea0c1cbfb41d6c35edd9ce53df/data/train/proc-factory-train-017/questions.jsonl#L2</x:v>
      </x:c>
      <x:c r="AA2487" s="6" t="str">
        <x:v>procedural</x:v>
      </x:c>
      <x:c r="AB2487" s="6" t="str">
        <x:v>CC0-1.0</x:v>
      </x:c>
    </x:row>
    <x:row r="2488" ht="82" customHeight="1">
      <x:c r="A2488" s="14" t="n">
        <x:v>2483</x:v>
      </x:c>
      <x:c r="B2488" s="6" t="str">
        <x:v>wide_delivery_count</x:v>
      </x:c>
      <x:c r="C2488" s="6" t="str">
        <x:v>I'm moving a 1.0 m wide pallet of equipment. It can't go on stairs or steps (lifts are fine), and every door it passes through must be at least 1.0 m wide. It arrives through the entrance into Office corridor 0.10 (Ground floor). Into how many rooms on the floor 1 can it be delivered? Finish with a line 'Answer: &lt;number&gt;'.</x:v>
      </x:c>
      <x:c r="D2488" s="6" t="str">
        <x:v>3 rooms</x:v>
      </x:c>
      <x:c r="E2488" s="6" t="str">
        <x:v>Reference supplied</x:v>
      </x:c>
      <x:c r="F2488" s="6" t="str">
        <x:v>train</x:v>
      </x:c>
      <x:c r="G2488" s="6" t="str">
        <x:v>proc-factory-train-018</x:v>
      </x:c>
      <x:c r="H2488" s="6" t="str">
        <x:v>proc-factory-train-018-H02</x:v>
      </x:c>
      <x:c r="I2488" s="6" t="str">
        <x:v>Constrained reachability</x:v>
      </x:c>
      <x:c r="J2488" s="6" t="str">
        <x:v>Benchmark</x:v>
      </x:c>
      <x:c r="K2488" s="6" t="str">
        <x:v>Answer: &lt;one exact integer&gt;</x:v>
      </x:c>
      <x:c r="L2488" s="6" t="str">
        <x:v>T02, T05, T06, T14</x:v>
      </x:c>
      <x:c r="M2488" s="6" t="str">
        <x:v>Count rooms reachable with a wide load that cannot use stairs or steps.</x:v>
      </x:c>
      <x:c r="N2488" s="6" t="str">
        <x:v>{"type":"number","value":3,"unit":"rooms","relative_tolerance":0,"absolute_tolerance":0}</x:v>
      </x:c>
      <x:c r="O2488" s="6" t="str">
        <x:v>{"start":"proc-factory-train-018-F0-S010","floor_id":"proc-factory-train-018-F1","min_width":1}</x:v>
      </x:c>
      <x:c r="P2488" s="6" t="str">
        <x:v>No stairs/steps. All doors &gt;= 1 m. Lifts allowed. Count type=room on target floor.</x:v>
      </x:c>
      <x:c r="Q2488" s="15" t="n">
        <x:v>3</x:v>
      </x:c>
      <x:c r="R2488" s="6" t="str">
        <x:v>rooms</x:v>
      </x:c>
      <x:c r="S2488" s="16" t="n">
        <x:v>0</x:v>
      </x:c>
      <x:c r="T2488" s="15" t="n">
        <x:v>0</x:v>
      </x:c>
      <x:c r="U2488" s="6" t="str">
        <x:v>Answer: 3</x:v>
      </x:c>
      <x:c r="V2488" s="6" t="str">
        <x:v>door widths + reachability</x:v>
      </x:c>
      <x:c r="W2488" s="6" t="str">
        <x:v>Missing minimum-width filter and aggregate reachability. Existing router only filters step_free.</x:v>
      </x:c>
      <x:c r="X2488" s="6" t="str">
        <x:v>data/train/proc-factory-train-018/questions.jsonl</x:v>
      </x:c>
      <x:c r="Y2488" s="14" t="n">
        <x:v>2</x:v>
      </x:c>
      <x:c r="Z2488" s="6" t="str">
        <x:v>https://github.com/hagenhaeussler/Industrial-Agents-Hackathon-2026/blob/f41616590b69f3ea0c1cbfb41d6c35edd9ce53df/data/train/proc-factory-train-018/questions.jsonl#L2</x:v>
      </x:c>
      <x:c r="AA2488" s="6" t="str">
        <x:v>procedural</x:v>
      </x:c>
      <x:c r="AB2488" s="6" t="str">
        <x:v>CC0-1.0</x:v>
      </x:c>
    </x:row>
    <x:row r="2489" ht="82" customHeight="1">
      <x:c r="A2489" s="14" t="n">
        <x:v>2484</x:v>
      </x:c>
      <x:c r="B2489" s="6" t="str">
        <x:v>wide_delivery_count</x:v>
      </x:c>
      <x:c r="C2489" s="6" t="str">
        <x:v>I'm moving a 1.0 m wide hospital bed. It can't go on stairs or steps (lifts are fine), and every door it passes through must be at least 1.0 m wide. It arrives through the entrance into Office corridor 0.10 (Ground floor). Into how many rooms on the ground floor can it be delivered? Finish with a line 'Answer: &lt;number&gt;'.</x:v>
      </x:c>
      <x:c r="D2489" s="6" t="str">
        <x:v>4 rooms</x:v>
      </x:c>
      <x:c r="E2489" s="6" t="str">
        <x:v>Reference supplied</x:v>
      </x:c>
      <x:c r="F2489" s="6" t="str">
        <x:v>train</x:v>
      </x:c>
      <x:c r="G2489" s="6" t="str">
        <x:v>proc-factory-train-020</x:v>
      </x:c>
      <x:c r="H2489" s="6" t="str">
        <x:v>proc-factory-train-020-H02</x:v>
      </x:c>
      <x:c r="I2489" s="6" t="str">
        <x:v>Constrained reachability</x:v>
      </x:c>
      <x:c r="J2489" s="6" t="str">
        <x:v>Benchmark</x:v>
      </x:c>
      <x:c r="K2489" s="6" t="str">
        <x:v>Answer: &lt;one exact integer&gt;</x:v>
      </x:c>
      <x:c r="L2489" s="6" t="str">
        <x:v>T02, T05, T06, T14</x:v>
      </x:c>
      <x:c r="M2489" s="6" t="str">
        <x:v>Count rooms reachable with a wide load that cannot use stairs or steps.</x:v>
      </x:c>
      <x:c r="N2489" s="6" t="str">
        <x:v>{"type":"number","value":4,"unit":"rooms","relative_tolerance":0,"absolute_tolerance":0}</x:v>
      </x:c>
      <x:c r="O2489" s="6" t="str">
        <x:v>{"start":"proc-factory-train-020-F0-S010","floor_id":"proc-factory-train-020-F0","min_width":1}</x:v>
      </x:c>
      <x:c r="P2489" s="6" t="str">
        <x:v>No stairs/steps. All doors &gt;= 1 m. Lifts allowed. Count type=room on target floor.</x:v>
      </x:c>
      <x:c r="Q2489" s="15" t="n">
        <x:v>4</x:v>
      </x:c>
      <x:c r="R2489" s="6" t="str">
        <x:v>rooms</x:v>
      </x:c>
      <x:c r="S2489" s="16" t="n">
        <x:v>0</x:v>
      </x:c>
      <x:c r="T2489" s="15" t="n">
        <x:v>0</x:v>
      </x:c>
      <x:c r="U2489" s="6" t="str">
        <x:v>Answer: 4</x:v>
      </x:c>
      <x:c r="V2489" s="6" t="str">
        <x:v>door widths + reachability</x:v>
      </x:c>
      <x:c r="W2489" s="6" t="str">
        <x:v>Missing minimum-width filter and aggregate reachability. Existing router only filters step_free.</x:v>
      </x:c>
      <x:c r="X2489" s="6" t="str">
        <x:v>data/train/proc-factory-train-020/questions.jsonl</x:v>
      </x:c>
      <x:c r="Y2489" s="14" t="n">
        <x:v>2</x:v>
      </x:c>
      <x:c r="Z2489" s="6" t="str">
        <x:v>https://github.com/hagenhaeussler/Industrial-Agents-Hackathon-2026/blob/f41616590b69f3ea0c1cbfb41d6c35edd9ce53df/data/train/proc-factory-train-020/questions.jsonl#L2</x:v>
      </x:c>
      <x:c r="AA2489" s="6" t="str">
        <x:v>procedural</x:v>
      </x:c>
      <x:c r="AB2489" s="6" t="str">
        <x:v>CC0-1.0</x:v>
      </x:c>
    </x:row>
    <x:row r="2490" ht="82" customHeight="1">
      <x:c r="A2490" s="14" t="n">
        <x:v>2485</x:v>
      </x:c>
      <x:c r="B2490" s="6" t="str">
        <x:v>wide_delivery_count</x:v>
      </x:c>
      <x:c r="C2490"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490" s="6" t="str">
        <x:v>5 rooms</x:v>
      </x:c>
      <x:c r="E2490" s="6" t="str">
        <x:v>Reference supplied</x:v>
      </x:c>
      <x:c r="F2490" s="6" t="str">
        <x:v>train</x:v>
      </x:c>
      <x:c r="G2490" s="6" t="str">
        <x:v>resplan-1095</x:v>
      </x:c>
      <x:c r="H2490" s="6" t="str">
        <x:v>resplan-1095-H03</x:v>
      </x:c>
      <x:c r="I2490" s="6" t="str">
        <x:v>Constrained reachability</x:v>
      </x:c>
      <x:c r="J2490" s="6" t="str">
        <x:v>Benchmark</x:v>
      </x:c>
      <x:c r="K2490" s="6" t="str">
        <x:v>Answer: &lt;one exact integer&gt;</x:v>
      </x:c>
      <x:c r="L2490" s="6" t="str">
        <x:v>T02, T05, T06, T14</x:v>
      </x:c>
      <x:c r="M2490" s="6" t="str">
        <x:v>Count rooms reachable with a wide load that cannot use stairs or steps.</x:v>
      </x:c>
      <x:c r="N2490" s="6" t="str">
        <x:v>{"type":"number","value":5,"unit":"rooms","relative_tolerance":0,"absolute_tolerance":0}</x:v>
      </x:c>
      <x:c r="O2490" s="6" t="str">
        <x:v>{"start":"resplan-1095-F0-S001","floor_id":"resplan-1095-F0","min_width":1.1}</x:v>
      </x:c>
      <x:c r="P2490" s="6" t="str">
        <x:v>No stairs/steps. All doors &gt;= 1.1 m. Lifts allowed. Count type=room on target floor.</x:v>
      </x:c>
      <x:c r="Q2490" s="15" t="n">
        <x:v>5</x:v>
      </x:c>
      <x:c r="R2490" s="6" t="str">
        <x:v>rooms</x:v>
      </x:c>
      <x:c r="S2490" s="16" t="n">
        <x:v>0</x:v>
      </x:c>
      <x:c r="T2490" s="15" t="n">
        <x:v>0</x:v>
      </x:c>
      <x:c r="U2490" s="6" t="str">
        <x:v>Answer: 5</x:v>
      </x:c>
      <x:c r="V2490" s="6" t="str">
        <x:v>door widths + reachability</x:v>
      </x:c>
      <x:c r="W2490" s="6" t="str">
        <x:v>Missing minimum-width filter and aggregate reachability. Existing router only filters step_free.</x:v>
      </x:c>
      <x:c r="X2490" s="6" t="str">
        <x:v>data/train/resplan-1095/questions.jsonl</x:v>
      </x:c>
      <x:c r="Y2490" s="14" t="n">
        <x:v>3</x:v>
      </x:c>
      <x:c r="Z2490" s="6" t="str">
        <x:v>https://github.com/hagenhaeussler/Industrial-Agents-Hackathon-2026/blob/f41616590b69f3ea0c1cbfb41d6c35edd9ce53df/data/train/resplan-1095/questions.jsonl#L3</x:v>
      </x:c>
      <x:c r="AA2490" s="6" t="str">
        <x:v>resplan</x:v>
      </x:c>
      <x:c r="AB2490" s="6" t="str">
        <x:v>CC-BY-4.0</x:v>
      </x:c>
    </x:row>
    <x:row r="2491" ht="82" customHeight="1">
      <x:c r="A2491" s="14" t="n">
        <x:v>2486</x:v>
      </x:c>
      <x:c r="B2491" s="6" t="str">
        <x:v>wide_delivery_count</x:v>
      </x:c>
      <x:c r="C2491" s="6" t="str">
        <x:v>I'm moving a 1.1 m wide hospital bed.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491" s="6" t="str">
        <x:v>5 rooms</x:v>
      </x:c>
      <x:c r="E2491" s="6" t="str">
        <x:v>Reference supplied</x:v>
      </x:c>
      <x:c r="F2491" s="6" t="str">
        <x:v>train</x:v>
      </x:c>
      <x:c r="G2491" s="6" t="str">
        <x:v>resplan-11816</x:v>
      </x:c>
      <x:c r="H2491" s="6" t="str">
        <x:v>resplan-11816-H01</x:v>
      </x:c>
      <x:c r="I2491" s="6" t="str">
        <x:v>Constrained reachability</x:v>
      </x:c>
      <x:c r="J2491" s="6" t="str">
        <x:v>Benchmark</x:v>
      </x:c>
      <x:c r="K2491" s="6" t="str">
        <x:v>Answer: &lt;one exact integer&gt;</x:v>
      </x:c>
      <x:c r="L2491" s="6" t="str">
        <x:v>T02, T05, T06, T14</x:v>
      </x:c>
      <x:c r="M2491" s="6" t="str">
        <x:v>Count rooms reachable with a wide load that cannot use stairs or steps.</x:v>
      </x:c>
      <x:c r="N2491" s="6" t="str">
        <x:v>{"type":"number","value":5,"unit":"rooms","relative_tolerance":0,"absolute_tolerance":0}</x:v>
      </x:c>
      <x:c r="O2491" s="6" t="str">
        <x:v>{"start":"resplan-11816-F0-S001","floor_id":"resplan-11816-F0","min_width":1.1}</x:v>
      </x:c>
      <x:c r="P2491" s="6" t="str">
        <x:v>No stairs/steps. All doors &gt;= 1.1 m. Lifts allowed. Count type=room on target floor.</x:v>
      </x:c>
      <x:c r="Q2491" s="15" t="n">
        <x:v>5</x:v>
      </x:c>
      <x:c r="R2491" s="6" t="str">
        <x:v>rooms</x:v>
      </x:c>
      <x:c r="S2491" s="16" t="n">
        <x:v>0</x:v>
      </x:c>
      <x:c r="T2491" s="15" t="n">
        <x:v>0</x:v>
      </x:c>
      <x:c r="U2491" s="6" t="str">
        <x:v>Answer: 5</x:v>
      </x:c>
      <x:c r="V2491" s="6" t="str">
        <x:v>door widths + reachability</x:v>
      </x:c>
      <x:c r="W2491" s="6" t="str">
        <x:v>Missing minimum-width filter and aggregate reachability. Existing router only filters step_free.</x:v>
      </x:c>
      <x:c r="X2491" s="6" t="str">
        <x:v>data/train/resplan-11816/questions.jsonl</x:v>
      </x:c>
      <x:c r="Y2491" s="14" t="n">
        <x:v>1</x:v>
      </x:c>
      <x:c r="Z2491" s="6" t="str">
        <x:v>https://github.com/hagenhaeussler/Industrial-Agents-Hackathon-2026/blob/f41616590b69f3ea0c1cbfb41d6c35edd9ce53df/data/train/resplan-11816/questions.jsonl#L1</x:v>
      </x:c>
      <x:c r="AA2491" s="6" t="str">
        <x:v>resplan</x:v>
      </x:c>
      <x:c r="AB2491" s="6" t="str">
        <x:v>CC-BY-4.0</x:v>
      </x:c>
    </x:row>
    <x:row r="2492" ht="82" customHeight="1">
      <x:c r="A2492" s="14" t="n">
        <x:v>2487</x:v>
      </x:c>
      <x:c r="B2492" s="6" t="str">
        <x:v>wide_delivery_count</x:v>
      </x:c>
      <x:c r="C2492" s="6" t="str">
        <x:v>I'm moving a 1.1 m wide cleaning machine.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492" s="6" t="str">
        <x:v>4 rooms</x:v>
      </x:c>
      <x:c r="E2492" s="6" t="str">
        <x:v>Reference supplied</x:v>
      </x:c>
      <x:c r="F2492" s="6" t="str">
        <x:v>train</x:v>
      </x:c>
      <x:c r="G2492" s="6" t="str">
        <x:v>resplan-120</x:v>
      </x:c>
      <x:c r="H2492" s="6" t="str">
        <x:v>resplan-120-H03</x:v>
      </x:c>
      <x:c r="I2492" s="6" t="str">
        <x:v>Constrained reachability</x:v>
      </x:c>
      <x:c r="J2492" s="6" t="str">
        <x:v>Benchmark</x:v>
      </x:c>
      <x:c r="K2492" s="6" t="str">
        <x:v>Answer: &lt;one exact integer&gt;</x:v>
      </x:c>
      <x:c r="L2492" s="6" t="str">
        <x:v>T02, T05, T06, T14</x:v>
      </x:c>
      <x:c r="M2492" s="6" t="str">
        <x:v>Count rooms reachable with a wide load that cannot use stairs or steps.</x:v>
      </x:c>
      <x:c r="N2492" s="6" t="str">
        <x:v>{"type":"number","value":4,"unit":"rooms","relative_tolerance":0,"absolute_tolerance":0}</x:v>
      </x:c>
      <x:c r="O2492" s="6" t="str">
        <x:v>{"start":"resplan-120-F0-S001","floor_id":"resplan-120-F0","min_width":1.1}</x:v>
      </x:c>
      <x:c r="P2492" s="6" t="str">
        <x:v>No stairs/steps. All doors &gt;= 1.1 m. Lifts allowed. Count type=room on target floor.</x:v>
      </x:c>
      <x:c r="Q2492" s="15" t="n">
        <x:v>4</x:v>
      </x:c>
      <x:c r="R2492" s="6" t="str">
        <x:v>rooms</x:v>
      </x:c>
      <x:c r="S2492" s="16" t="n">
        <x:v>0</x:v>
      </x:c>
      <x:c r="T2492" s="15" t="n">
        <x:v>0</x:v>
      </x:c>
      <x:c r="U2492" s="6" t="str">
        <x:v>Answer: 4</x:v>
      </x:c>
      <x:c r="V2492" s="6" t="str">
        <x:v>door widths + reachability</x:v>
      </x:c>
      <x:c r="W2492" s="6" t="str">
        <x:v>Missing minimum-width filter and aggregate reachability. Existing router only filters step_free.</x:v>
      </x:c>
      <x:c r="X2492" s="6" t="str">
        <x:v>data/train/resplan-120/questions.jsonl</x:v>
      </x:c>
      <x:c r="Y2492" s="14" t="n">
        <x:v>3</x:v>
      </x:c>
      <x:c r="Z2492" s="6" t="str">
        <x:v>https://github.com/hagenhaeussler/Industrial-Agents-Hackathon-2026/blob/f41616590b69f3ea0c1cbfb41d6c35edd9ce53df/data/train/resplan-120/questions.jsonl#L3</x:v>
      </x:c>
      <x:c r="AA2492" s="6" t="str">
        <x:v>resplan</x:v>
      </x:c>
      <x:c r="AB2492" s="6" t="str">
        <x:v>CC-BY-4.0</x:v>
      </x:c>
    </x:row>
    <x:row r="2493" ht="82" customHeight="1">
      <x:c r="A2493" s="14" t="n">
        <x:v>2488</x:v>
      </x:c>
      <x:c r="B2493" s="6" t="str">
        <x:v>wide_delivery_count</x:v>
      </x:c>
      <x:c r="C2493" s="6" t="str">
        <x:v>I'm moving a 1.0 m wide trolley.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493" s="6" t="str">
        <x:v>4 rooms</x:v>
      </x:c>
      <x:c r="E2493" s="6" t="str">
        <x:v>Reference supplied</x:v>
      </x:c>
      <x:c r="F2493" s="6" t="str">
        <x:v>train</x:v>
      </x:c>
      <x:c r="G2493" s="6" t="str">
        <x:v>resplan-12034</x:v>
      </x:c>
      <x:c r="H2493" s="6" t="str">
        <x:v>resplan-12034-H01</x:v>
      </x:c>
      <x:c r="I2493" s="6" t="str">
        <x:v>Constrained reachability</x:v>
      </x:c>
      <x:c r="J2493" s="6" t="str">
        <x:v>Benchmark</x:v>
      </x:c>
      <x:c r="K2493" s="6" t="str">
        <x:v>Answer: &lt;one exact integer&gt;</x:v>
      </x:c>
      <x:c r="L2493" s="6" t="str">
        <x:v>T02, T05, T06, T14</x:v>
      </x:c>
      <x:c r="M2493" s="6" t="str">
        <x:v>Count rooms reachable with a wide load that cannot use stairs or steps.</x:v>
      </x:c>
      <x:c r="N2493" s="6" t="str">
        <x:v>{"type":"number","value":4,"unit":"rooms","relative_tolerance":0,"absolute_tolerance":0}</x:v>
      </x:c>
      <x:c r="O2493" s="6" t="str">
        <x:v>{"start":"resplan-12034-F0-S001","floor_id":"resplan-12034-F0","min_width":1}</x:v>
      </x:c>
      <x:c r="P2493" s="6" t="str">
        <x:v>No stairs/steps. All doors &gt;= 1 m. Lifts allowed. Count type=room on target floor.</x:v>
      </x:c>
      <x:c r="Q2493" s="15" t="n">
        <x:v>4</x:v>
      </x:c>
      <x:c r="R2493" s="6" t="str">
        <x:v>rooms</x:v>
      </x:c>
      <x:c r="S2493" s="16" t="n">
        <x:v>0</x:v>
      </x:c>
      <x:c r="T2493" s="15" t="n">
        <x:v>0</x:v>
      </x:c>
      <x:c r="U2493" s="6" t="str">
        <x:v>Answer: 4</x:v>
      </x:c>
      <x:c r="V2493" s="6" t="str">
        <x:v>door widths + reachability</x:v>
      </x:c>
      <x:c r="W2493" s="6" t="str">
        <x:v>Missing minimum-width filter and aggregate reachability. Existing router only filters step_free.</x:v>
      </x:c>
      <x:c r="X2493" s="6" t="str">
        <x:v>data/train/resplan-12034/questions.jsonl</x:v>
      </x:c>
      <x:c r="Y2493" s="14" t="n">
        <x:v>1</x:v>
      </x:c>
      <x:c r="Z2493" s="6" t="str">
        <x:v>https://github.com/hagenhaeussler/Industrial-Agents-Hackathon-2026/blob/f41616590b69f3ea0c1cbfb41d6c35edd9ce53df/data/train/resplan-12034/questions.jsonl#L1</x:v>
      </x:c>
      <x:c r="AA2493" s="6" t="str">
        <x:v>resplan</x:v>
      </x:c>
      <x:c r="AB2493" s="6" t="str">
        <x:v>CC-BY-4.0</x:v>
      </x:c>
    </x:row>
    <x:row r="2494" ht="82" customHeight="1">
      <x:c r="A2494" s="14" t="n">
        <x:v>2489</x:v>
      </x:c>
      <x:c r="B2494" s="6" t="str">
        <x:v>wide_delivery_count</x:v>
      </x:c>
      <x:c r="C2494" s="6" t="str">
        <x:v>I'm moving a 1.0 m wide cleaning machine.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494" s="6" t="str">
        <x:v>5 rooms</x:v>
      </x:c>
      <x:c r="E2494" s="6" t="str">
        <x:v>Reference supplied</x:v>
      </x:c>
      <x:c r="F2494" s="6" t="str">
        <x:v>train</x:v>
      </x:c>
      <x:c r="G2494" s="6" t="str">
        <x:v>resplan-1224</x:v>
      </x:c>
      <x:c r="H2494" s="6" t="str">
        <x:v>resplan-1224-H01</x:v>
      </x:c>
      <x:c r="I2494" s="6" t="str">
        <x:v>Constrained reachability</x:v>
      </x:c>
      <x:c r="J2494" s="6" t="str">
        <x:v>Benchmark</x:v>
      </x:c>
      <x:c r="K2494" s="6" t="str">
        <x:v>Answer: &lt;one exact integer&gt;</x:v>
      </x:c>
      <x:c r="L2494" s="6" t="str">
        <x:v>T02, T05, T06, T14</x:v>
      </x:c>
      <x:c r="M2494" s="6" t="str">
        <x:v>Count rooms reachable with a wide load that cannot use stairs or steps.</x:v>
      </x:c>
      <x:c r="N2494" s="6" t="str">
        <x:v>{"type":"number","value":5,"unit":"rooms","relative_tolerance":0,"absolute_tolerance":0}</x:v>
      </x:c>
      <x:c r="O2494" s="6" t="str">
        <x:v>{"start":"resplan-1224-F0-S001","floor_id":"resplan-1224-F0","min_width":1}</x:v>
      </x:c>
      <x:c r="P2494" s="6" t="str">
        <x:v>No stairs/steps. All doors &gt;= 1 m. Lifts allowed. Count type=room on target floor.</x:v>
      </x:c>
      <x:c r="Q2494" s="15" t="n">
        <x:v>5</x:v>
      </x:c>
      <x:c r="R2494" s="6" t="str">
        <x:v>rooms</x:v>
      </x:c>
      <x:c r="S2494" s="16" t="n">
        <x:v>0</x:v>
      </x:c>
      <x:c r="T2494" s="15" t="n">
        <x:v>0</x:v>
      </x:c>
      <x:c r="U2494" s="6" t="str">
        <x:v>Answer: 5</x:v>
      </x:c>
      <x:c r="V2494" s="6" t="str">
        <x:v>door widths + reachability</x:v>
      </x:c>
      <x:c r="W2494" s="6" t="str">
        <x:v>Missing minimum-width filter and aggregate reachability. Existing router only filters step_free.</x:v>
      </x:c>
      <x:c r="X2494" s="6" t="str">
        <x:v>data/train/resplan-1224/questions.jsonl</x:v>
      </x:c>
      <x:c r="Y2494" s="14" t="n">
        <x:v>1</x:v>
      </x:c>
      <x:c r="Z2494" s="6" t="str">
        <x:v>https://github.com/hagenhaeussler/Industrial-Agents-Hackathon-2026/blob/f41616590b69f3ea0c1cbfb41d6c35edd9ce53df/data/train/resplan-1224/questions.jsonl#L1</x:v>
      </x:c>
      <x:c r="AA2494" s="6" t="str">
        <x:v>resplan</x:v>
      </x:c>
      <x:c r="AB2494" s="6" t="str">
        <x:v>CC-BY-4.0</x:v>
      </x:c>
    </x:row>
    <x:row r="2495" ht="82" customHeight="1">
      <x:c r="A2495" s="14" t="n">
        <x:v>2490</x:v>
      </x:c>
      <x:c r="B2495" s="6" t="str">
        <x:v>wide_delivery_count</x:v>
      </x:c>
      <x:c r="C2495" s="6" t="str">
        <x:v>I'm moving a 1.1 m wide trolley.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495" s="6" t="str">
        <x:v>3 rooms</x:v>
      </x:c>
      <x:c r="E2495" s="6" t="str">
        <x:v>Reference supplied</x:v>
      </x:c>
      <x:c r="F2495" s="6" t="str">
        <x:v>train</x:v>
      </x:c>
      <x:c r="G2495" s="6" t="str">
        <x:v>resplan-12304</x:v>
      </x:c>
      <x:c r="H2495" s="6" t="str">
        <x:v>resplan-12304-H01</x:v>
      </x:c>
      <x:c r="I2495" s="6" t="str">
        <x:v>Constrained reachability</x:v>
      </x:c>
      <x:c r="J2495" s="6" t="str">
        <x:v>Benchmark</x:v>
      </x:c>
      <x:c r="K2495" s="6" t="str">
        <x:v>Answer: &lt;one exact integer&gt;</x:v>
      </x:c>
      <x:c r="L2495" s="6" t="str">
        <x:v>T02, T05, T06, T14</x:v>
      </x:c>
      <x:c r="M2495" s="6" t="str">
        <x:v>Count rooms reachable with a wide load that cannot use stairs or steps.</x:v>
      </x:c>
      <x:c r="N2495" s="6" t="str">
        <x:v>{"type":"number","value":3,"unit":"rooms","relative_tolerance":0,"absolute_tolerance":0}</x:v>
      </x:c>
      <x:c r="O2495" s="6" t="str">
        <x:v>{"start":"resplan-12304-F0-S001","floor_id":"resplan-12304-F0","min_width":1.1}</x:v>
      </x:c>
      <x:c r="P2495" s="6" t="str">
        <x:v>No stairs/steps. All doors &gt;= 1.1 m. Lifts allowed. Count type=room on target floor.</x:v>
      </x:c>
      <x:c r="Q2495" s="15" t="n">
        <x:v>3</x:v>
      </x:c>
      <x:c r="R2495" s="6" t="str">
        <x:v>rooms</x:v>
      </x:c>
      <x:c r="S2495" s="16" t="n">
        <x:v>0</x:v>
      </x:c>
      <x:c r="T2495" s="15" t="n">
        <x:v>0</x:v>
      </x:c>
      <x:c r="U2495" s="6" t="str">
        <x:v>Answer: 3</x:v>
      </x:c>
      <x:c r="V2495" s="6" t="str">
        <x:v>door widths + reachability</x:v>
      </x:c>
      <x:c r="W2495" s="6" t="str">
        <x:v>Missing minimum-width filter and aggregate reachability. Existing router only filters step_free.</x:v>
      </x:c>
      <x:c r="X2495" s="6" t="str">
        <x:v>data/train/resplan-12304/questions.jsonl</x:v>
      </x:c>
      <x:c r="Y2495" s="14" t="n">
        <x:v>1</x:v>
      </x:c>
      <x:c r="Z2495" s="6" t="str">
        <x:v>https://github.com/hagenhaeussler/Industrial-Agents-Hackathon-2026/blob/f41616590b69f3ea0c1cbfb41d6c35edd9ce53df/data/train/resplan-12304/questions.jsonl#L1</x:v>
      </x:c>
      <x:c r="AA2495" s="6" t="str">
        <x:v>resplan</x:v>
      </x:c>
      <x:c r="AB2495" s="6" t="str">
        <x:v>CC-BY-4.0</x:v>
      </x:c>
    </x:row>
    <x:row r="2496" ht="82" customHeight="1">
      <x:c r="A2496" s="14" t="n">
        <x:v>2491</x:v>
      </x:c>
      <x:c r="B2496" s="6" t="str">
        <x:v>wide_delivery_count</x:v>
      </x:c>
      <x:c r="C2496" s="6" t="str">
        <x:v>I'm moving a 1.1 m wide hospital bed.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496" s="6" t="str">
        <x:v>3 rooms</x:v>
      </x:c>
      <x:c r="E2496" s="6" t="str">
        <x:v>Reference supplied</x:v>
      </x:c>
      <x:c r="F2496" s="6" t="str">
        <x:v>train</x:v>
      </x:c>
      <x:c r="G2496" s="6" t="str">
        <x:v>resplan-12750</x:v>
      </x:c>
      <x:c r="H2496" s="6" t="str">
        <x:v>resplan-12750-H01</x:v>
      </x:c>
      <x:c r="I2496" s="6" t="str">
        <x:v>Constrained reachability</x:v>
      </x:c>
      <x:c r="J2496" s="6" t="str">
        <x:v>Benchmark</x:v>
      </x:c>
      <x:c r="K2496" s="6" t="str">
        <x:v>Answer: &lt;one exact integer&gt;</x:v>
      </x:c>
      <x:c r="L2496" s="6" t="str">
        <x:v>T02, T05, T06, T14</x:v>
      </x:c>
      <x:c r="M2496" s="6" t="str">
        <x:v>Count rooms reachable with a wide load that cannot use stairs or steps.</x:v>
      </x:c>
      <x:c r="N2496" s="6" t="str">
        <x:v>{"type":"number","value":3,"unit":"rooms","relative_tolerance":0,"absolute_tolerance":0}</x:v>
      </x:c>
      <x:c r="O2496" s="6" t="str">
        <x:v>{"start":"resplan-12750-F0-S001","floor_id":"resplan-12750-F0","min_width":1.1}</x:v>
      </x:c>
      <x:c r="P2496" s="6" t="str">
        <x:v>No stairs/steps. All doors &gt;= 1.1 m. Lifts allowed. Count type=room on target floor.</x:v>
      </x:c>
      <x:c r="Q2496" s="15" t="n">
        <x:v>3</x:v>
      </x:c>
      <x:c r="R2496" s="6" t="str">
        <x:v>rooms</x:v>
      </x:c>
      <x:c r="S2496" s="16" t="n">
        <x:v>0</x:v>
      </x:c>
      <x:c r="T2496" s="15" t="n">
        <x:v>0</x:v>
      </x:c>
      <x:c r="U2496" s="6" t="str">
        <x:v>Answer: 3</x:v>
      </x:c>
      <x:c r="V2496" s="6" t="str">
        <x:v>door widths + reachability</x:v>
      </x:c>
      <x:c r="W2496" s="6" t="str">
        <x:v>Missing minimum-width filter and aggregate reachability. Existing router only filters step_free.</x:v>
      </x:c>
      <x:c r="X2496" s="6" t="str">
        <x:v>data/train/resplan-12750/questions.jsonl</x:v>
      </x:c>
      <x:c r="Y2496" s="14" t="n">
        <x:v>1</x:v>
      </x:c>
      <x:c r="Z2496" s="6" t="str">
        <x:v>https://github.com/hagenhaeussler/Industrial-Agents-Hackathon-2026/blob/f41616590b69f3ea0c1cbfb41d6c35edd9ce53df/data/train/resplan-12750/questions.jsonl#L1</x:v>
      </x:c>
      <x:c r="AA2496" s="6" t="str">
        <x:v>resplan</x:v>
      </x:c>
      <x:c r="AB2496" s="6" t="str">
        <x:v>CC-BY-4.0</x:v>
      </x:c>
    </x:row>
    <x:row r="2497" ht="82" customHeight="1">
      <x:c r="A2497" s="14" t="n">
        <x:v>2492</x:v>
      </x:c>
      <x:c r="B2497" s="6" t="str">
        <x:v>wide_delivery_count</x:v>
      </x:c>
      <x:c r="C2497"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497" s="6" t="str">
        <x:v>3 rooms</x:v>
      </x:c>
      <x:c r="E2497" s="6" t="str">
        <x:v>Reference supplied</x:v>
      </x:c>
      <x:c r="F2497" s="6" t="str">
        <x:v>train</x:v>
      </x:c>
      <x:c r="G2497" s="6" t="str">
        <x:v>resplan-12867</x:v>
      </x:c>
      <x:c r="H2497" s="6" t="str">
        <x:v>resplan-12867-H02</x:v>
      </x:c>
      <x:c r="I2497" s="6" t="str">
        <x:v>Constrained reachability</x:v>
      </x:c>
      <x:c r="J2497" s="6" t="str">
        <x:v>Benchmark</x:v>
      </x:c>
      <x:c r="K2497" s="6" t="str">
        <x:v>Answer: &lt;one exact integer&gt;</x:v>
      </x:c>
      <x:c r="L2497" s="6" t="str">
        <x:v>T02, T05, T06, T14</x:v>
      </x:c>
      <x:c r="M2497" s="6" t="str">
        <x:v>Count rooms reachable with a wide load that cannot use stairs or steps.</x:v>
      </x:c>
      <x:c r="N2497" s="6" t="str">
        <x:v>{"type":"number","value":3,"unit":"rooms","relative_tolerance":0,"absolute_tolerance":0}</x:v>
      </x:c>
      <x:c r="O2497" s="6" t="str">
        <x:v>{"start":"resplan-12867-F0-S001","floor_id":"resplan-12867-F0","min_width":1.1}</x:v>
      </x:c>
      <x:c r="P2497" s="6" t="str">
        <x:v>No stairs/steps. All doors &gt;= 1.1 m. Lifts allowed. Count type=room on target floor.</x:v>
      </x:c>
      <x:c r="Q2497" s="15" t="n">
        <x:v>3</x:v>
      </x:c>
      <x:c r="R2497" s="6" t="str">
        <x:v>rooms</x:v>
      </x:c>
      <x:c r="S2497" s="16" t="n">
        <x:v>0</x:v>
      </x:c>
      <x:c r="T2497" s="15" t="n">
        <x:v>0</x:v>
      </x:c>
      <x:c r="U2497" s="6" t="str">
        <x:v>Answer: 3</x:v>
      </x:c>
      <x:c r="V2497" s="6" t="str">
        <x:v>door widths + reachability</x:v>
      </x:c>
      <x:c r="W2497" s="6" t="str">
        <x:v>Missing minimum-width filter and aggregate reachability. Existing router only filters step_free.</x:v>
      </x:c>
      <x:c r="X2497" s="6" t="str">
        <x:v>data/train/resplan-12867/questions.jsonl</x:v>
      </x:c>
      <x:c r="Y2497" s="14" t="n">
        <x:v>2</x:v>
      </x:c>
      <x:c r="Z2497" s="6" t="str">
        <x:v>https://github.com/hagenhaeussler/Industrial-Agents-Hackathon-2026/blob/f41616590b69f3ea0c1cbfb41d6c35edd9ce53df/data/train/resplan-12867/questions.jsonl#L2</x:v>
      </x:c>
      <x:c r="AA2497" s="6" t="str">
        <x:v>resplan</x:v>
      </x:c>
      <x:c r="AB2497" s="6" t="str">
        <x:v>CC-BY-4.0</x:v>
      </x:c>
    </x:row>
    <x:row r="2498" ht="82" customHeight="1">
      <x:c r="A2498" s="14" t="n">
        <x:v>2493</x:v>
      </x:c>
      <x:c r="B2498" s="6" t="str">
        <x:v>wide_delivery_count</x:v>
      </x:c>
      <x:c r="C2498" s="6" t="str">
        <x:v>I'm moving a 1.1 m wide trolley.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498" s="6" t="str">
        <x:v>3 rooms</x:v>
      </x:c>
      <x:c r="E2498" s="6" t="str">
        <x:v>Reference supplied</x:v>
      </x:c>
      <x:c r="F2498" s="6" t="str">
        <x:v>train</x:v>
      </x:c>
      <x:c r="G2498" s="6" t="str">
        <x:v>resplan-13846</x:v>
      </x:c>
      <x:c r="H2498" s="6" t="str">
        <x:v>resplan-13846-H02</x:v>
      </x:c>
      <x:c r="I2498" s="6" t="str">
        <x:v>Constrained reachability</x:v>
      </x:c>
      <x:c r="J2498" s="6" t="str">
        <x:v>Benchmark</x:v>
      </x:c>
      <x:c r="K2498" s="6" t="str">
        <x:v>Answer: &lt;one exact integer&gt;</x:v>
      </x:c>
      <x:c r="L2498" s="6" t="str">
        <x:v>T02, T05, T06, T14</x:v>
      </x:c>
      <x:c r="M2498" s="6" t="str">
        <x:v>Count rooms reachable with a wide load that cannot use stairs or steps.</x:v>
      </x:c>
      <x:c r="N2498" s="6" t="str">
        <x:v>{"type":"number","value":3,"unit":"rooms","relative_tolerance":0,"absolute_tolerance":0}</x:v>
      </x:c>
      <x:c r="O2498" s="6" t="str">
        <x:v>{"start":"resplan-13846-F0-S001","floor_id":"resplan-13846-F0","min_width":1.1}</x:v>
      </x:c>
      <x:c r="P2498" s="6" t="str">
        <x:v>No stairs/steps. All doors &gt;= 1.1 m. Lifts allowed. Count type=room on target floor.</x:v>
      </x:c>
      <x:c r="Q2498" s="15" t="n">
        <x:v>3</x:v>
      </x:c>
      <x:c r="R2498" s="6" t="str">
        <x:v>rooms</x:v>
      </x:c>
      <x:c r="S2498" s="16" t="n">
        <x:v>0</x:v>
      </x:c>
      <x:c r="T2498" s="15" t="n">
        <x:v>0</x:v>
      </x:c>
      <x:c r="U2498" s="6" t="str">
        <x:v>Answer: 3</x:v>
      </x:c>
      <x:c r="V2498" s="6" t="str">
        <x:v>door widths + reachability</x:v>
      </x:c>
      <x:c r="W2498" s="6" t="str">
        <x:v>Missing minimum-width filter and aggregate reachability. Existing router only filters step_free.</x:v>
      </x:c>
      <x:c r="X2498" s="6" t="str">
        <x:v>data/train/resplan-13846/questions.jsonl</x:v>
      </x:c>
      <x:c r="Y2498" s="14" t="n">
        <x:v>2</x:v>
      </x:c>
      <x:c r="Z2498" s="6" t="str">
        <x:v>https://github.com/hagenhaeussler/Industrial-Agents-Hackathon-2026/blob/f41616590b69f3ea0c1cbfb41d6c35edd9ce53df/data/train/resplan-13846/questions.jsonl#L2</x:v>
      </x:c>
      <x:c r="AA2498" s="6" t="str">
        <x:v>resplan</x:v>
      </x:c>
      <x:c r="AB2498" s="6" t="str">
        <x:v>CC-BY-4.0</x:v>
      </x:c>
    </x:row>
    <x:row r="2499" ht="82" customHeight="1">
      <x:c r="A2499" s="14" t="n">
        <x:v>2494</x:v>
      </x:c>
      <x:c r="B2499" s="6" t="str">
        <x:v>wide_delivery_count</x:v>
      </x:c>
      <x:c r="C2499" s="6" t="str">
        <x:v>I'm moving a 1.0 m wide hospital bed.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499" s="6" t="str">
        <x:v>3 rooms</x:v>
      </x:c>
      <x:c r="E2499" s="6" t="str">
        <x:v>Reference supplied</x:v>
      </x:c>
      <x:c r="F2499" s="6" t="str">
        <x:v>train</x:v>
      </x:c>
      <x:c r="G2499" s="6" t="str">
        <x:v>resplan-14211</x:v>
      </x:c>
      <x:c r="H2499" s="6" t="str">
        <x:v>resplan-14211-H01</x:v>
      </x:c>
      <x:c r="I2499" s="6" t="str">
        <x:v>Constrained reachability</x:v>
      </x:c>
      <x:c r="J2499" s="6" t="str">
        <x:v>Benchmark</x:v>
      </x:c>
      <x:c r="K2499" s="6" t="str">
        <x:v>Answer: &lt;one exact integer&gt;</x:v>
      </x:c>
      <x:c r="L2499" s="6" t="str">
        <x:v>T02, T05, T06, T14</x:v>
      </x:c>
      <x:c r="M2499" s="6" t="str">
        <x:v>Count rooms reachable with a wide load that cannot use stairs or steps.</x:v>
      </x:c>
      <x:c r="N2499" s="6" t="str">
        <x:v>{"type":"number","value":3,"unit":"rooms","relative_tolerance":0,"absolute_tolerance":0}</x:v>
      </x:c>
      <x:c r="O2499" s="6" t="str">
        <x:v>{"start":"resplan-14211-F0-S001","floor_id":"resplan-14211-F0","min_width":1}</x:v>
      </x:c>
      <x:c r="P2499" s="6" t="str">
        <x:v>No stairs/steps. All doors &gt;= 1 m. Lifts allowed. Count type=room on target floor.</x:v>
      </x:c>
      <x:c r="Q2499" s="15" t="n">
        <x:v>3</x:v>
      </x:c>
      <x:c r="R2499" s="6" t="str">
        <x:v>rooms</x:v>
      </x:c>
      <x:c r="S2499" s="16" t="n">
        <x:v>0</x:v>
      </x:c>
      <x:c r="T2499" s="15" t="n">
        <x:v>0</x:v>
      </x:c>
      <x:c r="U2499" s="6" t="str">
        <x:v>Answer: 3</x:v>
      </x:c>
      <x:c r="V2499" s="6" t="str">
        <x:v>door widths + reachability</x:v>
      </x:c>
      <x:c r="W2499" s="6" t="str">
        <x:v>Missing minimum-width filter and aggregate reachability. Existing router only filters step_free.</x:v>
      </x:c>
      <x:c r="X2499" s="6" t="str">
        <x:v>data/train/resplan-14211/questions.jsonl</x:v>
      </x:c>
      <x:c r="Y2499" s="14" t="n">
        <x:v>1</x:v>
      </x:c>
      <x:c r="Z2499" s="6" t="str">
        <x:v>https://github.com/hagenhaeussler/Industrial-Agents-Hackathon-2026/blob/f41616590b69f3ea0c1cbfb41d6c35edd9ce53df/data/train/resplan-14211/questions.jsonl#L1</x:v>
      </x:c>
      <x:c r="AA2499" s="6" t="str">
        <x:v>resplan</x:v>
      </x:c>
      <x:c r="AB2499" s="6" t="str">
        <x:v>CC-BY-4.0</x:v>
      </x:c>
    </x:row>
    <x:row r="2500" ht="82" customHeight="1">
      <x:c r="A2500" s="14" t="n">
        <x:v>2495</x:v>
      </x:c>
      <x:c r="B2500" s="6" t="str">
        <x:v>wide_delivery_count</x:v>
      </x:c>
      <x:c r="C2500" s="6" t="str">
        <x:v>I'm moving a 1.1 m wide hospital bed.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00" s="6" t="str">
        <x:v>3 rooms</x:v>
      </x:c>
      <x:c r="E2500" s="6" t="str">
        <x:v>Reference supplied</x:v>
      </x:c>
      <x:c r="F2500" s="6" t="str">
        <x:v>train</x:v>
      </x:c>
      <x:c r="G2500" s="6" t="str">
        <x:v>resplan-14602</x:v>
      </x:c>
      <x:c r="H2500" s="6" t="str">
        <x:v>resplan-14602-H03</x:v>
      </x:c>
      <x:c r="I2500" s="6" t="str">
        <x:v>Constrained reachability</x:v>
      </x:c>
      <x:c r="J2500" s="6" t="str">
        <x:v>Benchmark</x:v>
      </x:c>
      <x:c r="K2500" s="6" t="str">
        <x:v>Answer: &lt;one exact integer&gt;</x:v>
      </x:c>
      <x:c r="L2500" s="6" t="str">
        <x:v>T02, T05, T06, T14</x:v>
      </x:c>
      <x:c r="M2500" s="6" t="str">
        <x:v>Count rooms reachable with a wide load that cannot use stairs or steps.</x:v>
      </x:c>
      <x:c r="N2500" s="6" t="str">
        <x:v>{"type":"number","value":3,"unit":"rooms","relative_tolerance":0,"absolute_tolerance":0}</x:v>
      </x:c>
      <x:c r="O2500" s="6" t="str">
        <x:v>{"start":"resplan-14602-F0-S001","floor_id":"resplan-14602-F0","min_width":1.1}</x:v>
      </x:c>
      <x:c r="P2500" s="6" t="str">
        <x:v>No stairs/steps. All doors &gt;= 1.1 m. Lifts allowed. Count type=room on target floor.</x:v>
      </x:c>
      <x:c r="Q2500" s="15" t="n">
        <x:v>3</x:v>
      </x:c>
      <x:c r="R2500" s="6" t="str">
        <x:v>rooms</x:v>
      </x:c>
      <x:c r="S2500" s="16" t="n">
        <x:v>0</x:v>
      </x:c>
      <x:c r="T2500" s="15" t="n">
        <x:v>0</x:v>
      </x:c>
      <x:c r="U2500" s="6" t="str">
        <x:v>Answer: 3</x:v>
      </x:c>
      <x:c r="V2500" s="6" t="str">
        <x:v>door widths + reachability</x:v>
      </x:c>
      <x:c r="W2500" s="6" t="str">
        <x:v>Missing minimum-width filter and aggregate reachability. Existing router only filters step_free.</x:v>
      </x:c>
      <x:c r="X2500" s="6" t="str">
        <x:v>data/train/resplan-14602/questions.jsonl</x:v>
      </x:c>
      <x:c r="Y2500" s="14" t="n">
        <x:v>3</x:v>
      </x:c>
      <x:c r="Z2500" s="6" t="str">
        <x:v>https://github.com/hagenhaeussler/Industrial-Agents-Hackathon-2026/blob/f41616590b69f3ea0c1cbfb41d6c35edd9ce53df/data/train/resplan-14602/questions.jsonl#L3</x:v>
      </x:c>
      <x:c r="AA2500" s="6" t="str">
        <x:v>resplan</x:v>
      </x:c>
      <x:c r="AB2500" s="6" t="str">
        <x:v>CC-BY-4.0</x:v>
      </x:c>
    </x:row>
    <x:row r="2501" ht="82" customHeight="1">
      <x:c r="A2501" s="14" t="n">
        <x:v>2496</x:v>
      </x:c>
      <x:c r="B2501" s="6" t="str">
        <x:v>wide_delivery_count</x:v>
      </x:c>
      <x:c r="C2501" s="6" t="str">
        <x:v>I'm moving a 1.0 m wide hospital bed.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01" s="6" t="str">
        <x:v>3 rooms</x:v>
      </x:c>
      <x:c r="E2501" s="6" t="str">
        <x:v>Reference supplied</x:v>
      </x:c>
      <x:c r="F2501" s="6" t="str">
        <x:v>train</x:v>
      </x:c>
      <x:c r="G2501" s="6" t="str">
        <x:v>resplan-15183</x:v>
      </x:c>
      <x:c r="H2501" s="6" t="str">
        <x:v>resplan-15183-H01</x:v>
      </x:c>
      <x:c r="I2501" s="6" t="str">
        <x:v>Constrained reachability</x:v>
      </x:c>
      <x:c r="J2501" s="6" t="str">
        <x:v>Benchmark</x:v>
      </x:c>
      <x:c r="K2501" s="6" t="str">
        <x:v>Answer: &lt;one exact integer&gt;</x:v>
      </x:c>
      <x:c r="L2501" s="6" t="str">
        <x:v>T02, T05, T06, T14</x:v>
      </x:c>
      <x:c r="M2501" s="6" t="str">
        <x:v>Count rooms reachable with a wide load that cannot use stairs or steps.</x:v>
      </x:c>
      <x:c r="N2501" s="6" t="str">
        <x:v>{"type":"number","value":3,"unit":"rooms","relative_tolerance":0,"absolute_tolerance":0}</x:v>
      </x:c>
      <x:c r="O2501" s="6" t="str">
        <x:v>{"start":"resplan-15183-F0-S001","floor_id":"resplan-15183-F0","min_width":1}</x:v>
      </x:c>
      <x:c r="P2501" s="6" t="str">
        <x:v>No stairs/steps. All doors &gt;= 1 m. Lifts allowed. Count type=room on target floor.</x:v>
      </x:c>
      <x:c r="Q2501" s="15" t="n">
        <x:v>3</x:v>
      </x:c>
      <x:c r="R2501" s="6" t="str">
        <x:v>rooms</x:v>
      </x:c>
      <x:c r="S2501" s="16" t="n">
        <x:v>0</x:v>
      </x:c>
      <x:c r="T2501" s="15" t="n">
        <x:v>0</x:v>
      </x:c>
      <x:c r="U2501" s="6" t="str">
        <x:v>Answer: 3</x:v>
      </x:c>
      <x:c r="V2501" s="6" t="str">
        <x:v>door widths + reachability</x:v>
      </x:c>
      <x:c r="W2501" s="6" t="str">
        <x:v>Missing minimum-width filter and aggregate reachability. Existing router only filters step_free.</x:v>
      </x:c>
      <x:c r="X2501" s="6" t="str">
        <x:v>data/train/resplan-15183/questions.jsonl</x:v>
      </x:c>
      <x:c r="Y2501" s="14" t="n">
        <x:v>1</x:v>
      </x:c>
      <x:c r="Z2501" s="6" t="str">
        <x:v>https://github.com/hagenhaeussler/Industrial-Agents-Hackathon-2026/blob/f41616590b69f3ea0c1cbfb41d6c35edd9ce53df/data/train/resplan-15183/questions.jsonl#L1</x:v>
      </x:c>
      <x:c r="AA2501" s="6" t="str">
        <x:v>resplan</x:v>
      </x:c>
      <x:c r="AB2501" s="6" t="str">
        <x:v>CC-BY-4.0</x:v>
      </x:c>
    </x:row>
    <x:row r="2502" ht="82" customHeight="1">
      <x:c r="A2502" s="14" t="n">
        <x:v>2497</x:v>
      </x:c>
      <x:c r="B2502" s="6" t="str">
        <x:v>wide_delivery_count</x:v>
      </x:c>
      <x:c r="C2502"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02" s="6" t="str">
        <x:v>3 rooms</x:v>
      </x:c>
      <x:c r="E2502" s="6" t="str">
        <x:v>Reference supplied</x:v>
      </x:c>
      <x:c r="F2502" s="6" t="str">
        <x:v>train</x:v>
      </x:c>
      <x:c r="G2502" s="6" t="str">
        <x:v>resplan-16021</x:v>
      </x:c>
      <x:c r="H2502" s="6" t="str">
        <x:v>resplan-16021-H01</x:v>
      </x:c>
      <x:c r="I2502" s="6" t="str">
        <x:v>Constrained reachability</x:v>
      </x:c>
      <x:c r="J2502" s="6" t="str">
        <x:v>Benchmark</x:v>
      </x:c>
      <x:c r="K2502" s="6" t="str">
        <x:v>Answer: &lt;one exact integer&gt;</x:v>
      </x:c>
      <x:c r="L2502" s="6" t="str">
        <x:v>T02, T05, T06, T14</x:v>
      </x:c>
      <x:c r="M2502" s="6" t="str">
        <x:v>Count rooms reachable with a wide load that cannot use stairs or steps.</x:v>
      </x:c>
      <x:c r="N2502" s="6" t="str">
        <x:v>{"type":"number","value":3,"unit":"rooms","relative_tolerance":0,"absolute_tolerance":0}</x:v>
      </x:c>
      <x:c r="O2502" s="6" t="str">
        <x:v>{"start":"resplan-16021-F0-S001","floor_id":"resplan-16021-F0","min_width":1.1}</x:v>
      </x:c>
      <x:c r="P2502" s="6" t="str">
        <x:v>No stairs/steps. All doors &gt;= 1.1 m. Lifts allowed. Count type=room on target floor.</x:v>
      </x:c>
      <x:c r="Q2502" s="15" t="n">
        <x:v>3</x:v>
      </x:c>
      <x:c r="R2502" s="6" t="str">
        <x:v>rooms</x:v>
      </x:c>
      <x:c r="S2502" s="16" t="n">
        <x:v>0</x:v>
      </x:c>
      <x:c r="T2502" s="15" t="n">
        <x:v>0</x:v>
      </x:c>
      <x:c r="U2502" s="6" t="str">
        <x:v>Answer: 3</x:v>
      </x:c>
      <x:c r="V2502" s="6" t="str">
        <x:v>door widths + reachability</x:v>
      </x:c>
      <x:c r="W2502" s="6" t="str">
        <x:v>Missing minimum-width filter and aggregate reachability. Existing router only filters step_free.</x:v>
      </x:c>
      <x:c r="X2502" s="6" t="str">
        <x:v>data/train/resplan-16021/questions.jsonl</x:v>
      </x:c>
      <x:c r="Y2502" s="14" t="n">
        <x:v>1</x:v>
      </x:c>
      <x:c r="Z2502" s="6" t="str">
        <x:v>https://github.com/hagenhaeussler/Industrial-Agents-Hackathon-2026/blob/f41616590b69f3ea0c1cbfb41d6c35edd9ce53df/data/train/resplan-16021/questions.jsonl#L1</x:v>
      </x:c>
      <x:c r="AA2502" s="6" t="str">
        <x:v>resplan</x:v>
      </x:c>
      <x:c r="AB2502" s="6" t="str">
        <x:v>CC-BY-4.0</x:v>
      </x:c>
    </x:row>
    <x:row r="2503" ht="82" customHeight="1">
      <x:c r="A2503" s="14" t="n">
        <x:v>2498</x:v>
      </x:c>
      <x:c r="B2503" s="6" t="str">
        <x:v>wide_delivery_count</x:v>
      </x:c>
      <x:c r="C2503" s="6" t="str">
        <x:v>I'm moving a 1.0 m wide cleaning machine.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03" s="6" t="str">
        <x:v>7 rooms</x:v>
      </x:c>
      <x:c r="E2503" s="6" t="str">
        <x:v>Reference supplied</x:v>
      </x:c>
      <x:c r="F2503" s="6" t="str">
        <x:v>train</x:v>
      </x:c>
      <x:c r="G2503" s="6" t="str">
        <x:v>resplan-16188</x:v>
      </x:c>
      <x:c r="H2503" s="6" t="str">
        <x:v>resplan-16188-H02</x:v>
      </x:c>
      <x:c r="I2503" s="6" t="str">
        <x:v>Constrained reachability</x:v>
      </x:c>
      <x:c r="J2503" s="6" t="str">
        <x:v>Benchmark</x:v>
      </x:c>
      <x:c r="K2503" s="6" t="str">
        <x:v>Answer: &lt;one exact integer&gt;</x:v>
      </x:c>
      <x:c r="L2503" s="6" t="str">
        <x:v>T02, T05, T06, T14</x:v>
      </x:c>
      <x:c r="M2503" s="6" t="str">
        <x:v>Count rooms reachable with a wide load that cannot use stairs or steps.</x:v>
      </x:c>
      <x:c r="N2503" s="6" t="str">
        <x:v>{"type":"number","value":7,"unit":"rooms","relative_tolerance":0,"absolute_tolerance":0}</x:v>
      </x:c>
      <x:c r="O2503" s="6" t="str">
        <x:v>{"start":"resplan-16188-F0-S001","floor_id":"resplan-16188-F0","min_width":1}</x:v>
      </x:c>
      <x:c r="P2503" s="6" t="str">
        <x:v>No stairs/steps. All doors &gt;= 1 m. Lifts allowed. Count type=room on target floor.</x:v>
      </x:c>
      <x:c r="Q2503" s="15" t="n">
        <x:v>7</x:v>
      </x:c>
      <x:c r="R2503" s="6" t="str">
        <x:v>rooms</x:v>
      </x:c>
      <x:c r="S2503" s="16" t="n">
        <x:v>0</x:v>
      </x:c>
      <x:c r="T2503" s="15" t="n">
        <x:v>0</x:v>
      </x:c>
      <x:c r="U2503" s="6" t="str">
        <x:v>Answer: 7</x:v>
      </x:c>
      <x:c r="V2503" s="6" t="str">
        <x:v>door widths + reachability</x:v>
      </x:c>
      <x:c r="W2503" s="6" t="str">
        <x:v>Missing minimum-width filter and aggregate reachability. Existing router only filters step_free.</x:v>
      </x:c>
      <x:c r="X2503" s="6" t="str">
        <x:v>data/train/resplan-16188/questions.jsonl</x:v>
      </x:c>
      <x:c r="Y2503" s="14" t="n">
        <x:v>2</x:v>
      </x:c>
      <x:c r="Z2503" s="6" t="str">
        <x:v>https://github.com/hagenhaeussler/Industrial-Agents-Hackathon-2026/blob/f41616590b69f3ea0c1cbfb41d6c35edd9ce53df/data/train/resplan-16188/questions.jsonl#L2</x:v>
      </x:c>
      <x:c r="AA2503" s="6" t="str">
        <x:v>resplan</x:v>
      </x:c>
      <x:c r="AB2503" s="6" t="str">
        <x:v>CC-BY-4.0</x:v>
      </x:c>
    </x:row>
    <x:row r="2504" ht="82" customHeight="1">
      <x:c r="A2504" s="14" t="n">
        <x:v>2499</x:v>
      </x:c>
      <x:c r="B2504" s="6" t="str">
        <x:v>wide_delivery_count</x:v>
      </x:c>
      <x:c r="C2504" s="6" t="str">
        <x:v>I'm moving a 1.0 m wide trolley.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04" s="6" t="str">
        <x:v>3 rooms</x:v>
      </x:c>
      <x:c r="E2504" s="6" t="str">
        <x:v>Reference supplied</x:v>
      </x:c>
      <x:c r="F2504" s="6" t="str">
        <x:v>train</x:v>
      </x:c>
      <x:c r="G2504" s="6" t="str">
        <x:v>resplan-16484</x:v>
      </x:c>
      <x:c r="H2504" s="6" t="str">
        <x:v>resplan-16484-H03</x:v>
      </x:c>
      <x:c r="I2504" s="6" t="str">
        <x:v>Constrained reachability</x:v>
      </x:c>
      <x:c r="J2504" s="6" t="str">
        <x:v>Benchmark</x:v>
      </x:c>
      <x:c r="K2504" s="6" t="str">
        <x:v>Answer: &lt;one exact integer&gt;</x:v>
      </x:c>
      <x:c r="L2504" s="6" t="str">
        <x:v>T02, T05, T06, T14</x:v>
      </x:c>
      <x:c r="M2504" s="6" t="str">
        <x:v>Count rooms reachable with a wide load that cannot use stairs or steps.</x:v>
      </x:c>
      <x:c r="N2504" s="6" t="str">
        <x:v>{"type":"number","value":3,"unit":"rooms","relative_tolerance":0,"absolute_tolerance":0}</x:v>
      </x:c>
      <x:c r="O2504" s="6" t="str">
        <x:v>{"start":"resplan-16484-F0-S001","floor_id":"resplan-16484-F0","min_width":1}</x:v>
      </x:c>
      <x:c r="P2504" s="6" t="str">
        <x:v>No stairs/steps. All doors &gt;= 1 m. Lifts allowed. Count type=room on target floor.</x:v>
      </x:c>
      <x:c r="Q2504" s="15" t="n">
        <x:v>3</x:v>
      </x:c>
      <x:c r="R2504" s="6" t="str">
        <x:v>rooms</x:v>
      </x:c>
      <x:c r="S2504" s="16" t="n">
        <x:v>0</x:v>
      </x:c>
      <x:c r="T2504" s="15" t="n">
        <x:v>0</x:v>
      </x:c>
      <x:c r="U2504" s="6" t="str">
        <x:v>Answer: 3</x:v>
      </x:c>
      <x:c r="V2504" s="6" t="str">
        <x:v>door widths + reachability</x:v>
      </x:c>
      <x:c r="W2504" s="6" t="str">
        <x:v>Missing minimum-width filter and aggregate reachability. Existing router only filters step_free.</x:v>
      </x:c>
      <x:c r="X2504" s="6" t="str">
        <x:v>data/train/resplan-16484/questions.jsonl</x:v>
      </x:c>
      <x:c r="Y2504" s="14" t="n">
        <x:v>3</x:v>
      </x:c>
      <x:c r="Z2504" s="6" t="str">
        <x:v>https://github.com/hagenhaeussler/Industrial-Agents-Hackathon-2026/blob/f41616590b69f3ea0c1cbfb41d6c35edd9ce53df/data/train/resplan-16484/questions.jsonl#L3</x:v>
      </x:c>
      <x:c r="AA2504" s="6" t="str">
        <x:v>resplan</x:v>
      </x:c>
      <x:c r="AB2504" s="6" t="str">
        <x:v>CC-BY-4.0</x:v>
      </x:c>
    </x:row>
    <x:row r="2505" ht="82" customHeight="1">
      <x:c r="A2505" s="14" t="n">
        <x:v>2500</x:v>
      </x:c>
      <x:c r="B2505" s="6" t="str">
        <x:v>wide_delivery_count</x:v>
      </x:c>
      <x:c r="C2505" s="6" t="str">
        <x:v>I'm moving a 1.0 m wide trolley.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05" s="6" t="str">
        <x:v>3 rooms</x:v>
      </x:c>
      <x:c r="E2505" s="6" t="str">
        <x:v>Reference supplied</x:v>
      </x:c>
      <x:c r="F2505" s="6" t="str">
        <x:v>train</x:v>
      </x:c>
      <x:c r="G2505" s="6" t="str">
        <x:v>resplan-16778</x:v>
      </x:c>
      <x:c r="H2505" s="6" t="str">
        <x:v>resplan-16778-H03</x:v>
      </x:c>
      <x:c r="I2505" s="6" t="str">
        <x:v>Constrained reachability</x:v>
      </x:c>
      <x:c r="J2505" s="6" t="str">
        <x:v>Benchmark</x:v>
      </x:c>
      <x:c r="K2505" s="6" t="str">
        <x:v>Answer: &lt;one exact integer&gt;</x:v>
      </x:c>
      <x:c r="L2505" s="6" t="str">
        <x:v>T02, T05, T06, T14</x:v>
      </x:c>
      <x:c r="M2505" s="6" t="str">
        <x:v>Count rooms reachable with a wide load that cannot use stairs or steps.</x:v>
      </x:c>
      <x:c r="N2505" s="6" t="str">
        <x:v>{"type":"number","value":3,"unit":"rooms","relative_tolerance":0,"absolute_tolerance":0}</x:v>
      </x:c>
      <x:c r="O2505" s="6" t="str">
        <x:v>{"start":"resplan-16778-F0-S001","floor_id":"resplan-16778-F0","min_width":1}</x:v>
      </x:c>
      <x:c r="P2505" s="6" t="str">
        <x:v>No stairs/steps. All doors &gt;= 1 m. Lifts allowed. Count type=room on target floor.</x:v>
      </x:c>
      <x:c r="Q2505" s="15" t="n">
        <x:v>3</x:v>
      </x:c>
      <x:c r="R2505" s="6" t="str">
        <x:v>rooms</x:v>
      </x:c>
      <x:c r="S2505" s="16" t="n">
        <x:v>0</x:v>
      </x:c>
      <x:c r="T2505" s="15" t="n">
        <x:v>0</x:v>
      </x:c>
      <x:c r="U2505" s="6" t="str">
        <x:v>Answer: 3</x:v>
      </x:c>
      <x:c r="V2505" s="6" t="str">
        <x:v>door widths + reachability</x:v>
      </x:c>
      <x:c r="W2505" s="6" t="str">
        <x:v>Missing minimum-width filter and aggregate reachability. Existing router only filters step_free.</x:v>
      </x:c>
      <x:c r="X2505" s="6" t="str">
        <x:v>data/train/resplan-16778/questions.jsonl</x:v>
      </x:c>
      <x:c r="Y2505" s="14" t="n">
        <x:v>3</x:v>
      </x:c>
      <x:c r="Z2505" s="6" t="str">
        <x:v>https://github.com/hagenhaeussler/Industrial-Agents-Hackathon-2026/blob/f41616590b69f3ea0c1cbfb41d6c35edd9ce53df/data/train/resplan-16778/questions.jsonl#L3</x:v>
      </x:c>
      <x:c r="AA2505" s="6" t="str">
        <x:v>resplan</x:v>
      </x:c>
      <x:c r="AB2505" s="6" t="str">
        <x:v>CC-BY-4.0</x:v>
      </x:c>
    </x:row>
    <x:row r="2506" ht="82" customHeight="1">
      <x:c r="A2506" s="14" t="n">
        <x:v>2501</x:v>
      </x:c>
      <x:c r="B2506" s="6" t="str">
        <x:v>wide_delivery_count</x:v>
      </x:c>
      <x:c r="C2506"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06" s="6" t="str">
        <x:v>6 rooms</x:v>
      </x:c>
      <x:c r="E2506" s="6" t="str">
        <x:v>Reference supplied</x:v>
      </x:c>
      <x:c r="F2506" s="6" t="str">
        <x:v>train</x:v>
      </x:c>
      <x:c r="G2506" s="6" t="str">
        <x:v>resplan-2100</x:v>
      </x:c>
      <x:c r="H2506" s="6" t="str">
        <x:v>resplan-2100-H02</x:v>
      </x:c>
      <x:c r="I2506" s="6" t="str">
        <x:v>Constrained reachability</x:v>
      </x:c>
      <x:c r="J2506" s="6" t="str">
        <x:v>Benchmark</x:v>
      </x:c>
      <x:c r="K2506" s="6" t="str">
        <x:v>Answer: &lt;one exact integer&gt;</x:v>
      </x:c>
      <x:c r="L2506" s="6" t="str">
        <x:v>T02, T05, T06, T14</x:v>
      </x:c>
      <x:c r="M2506" s="6" t="str">
        <x:v>Count rooms reachable with a wide load that cannot use stairs or steps.</x:v>
      </x:c>
      <x:c r="N2506" s="6" t="str">
        <x:v>{"type":"number","value":6,"unit":"rooms","relative_tolerance":0,"absolute_tolerance":0}</x:v>
      </x:c>
      <x:c r="O2506" s="6" t="str">
        <x:v>{"start":"resplan-2100-F0-S001","floor_id":"resplan-2100-F0","min_width":1.1}</x:v>
      </x:c>
      <x:c r="P2506" s="6" t="str">
        <x:v>No stairs/steps. All doors &gt;= 1.1 m. Lifts allowed. Count type=room on target floor.</x:v>
      </x:c>
      <x:c r="Q2506" s="15" t="n">
        <x:v>6</x:v>
      </x:c>
      <x:c r="R2506" s="6" t="str">
        <x:v>rooms</x:v>
      </x:c>
      <x:c r="S2506" s="16" t="n">
        <x:v>0</x:v>
      </x:c>
      <x:c r="T2506" s="15" t="n">
        <x:v>0</x:v>
      </x:c>
      <x:c r="U2506" s="6" t="str">
        <x:v>Answer: 6</x:v>
      </x:c>
      <x:c r="V2506" s="6" t="str">
        <x:v>door widths + reachability</x:v>
      </x:c>
      <x:c r="W2506" s="6" t="str">
        <x:v>Missing minimum-width filter and aggregate reachability. Existing router only filters step_free.</x:v>
      </x:c>
      <x:c r="X2506" s="6" t="str">
        <x:v>data/train/resplan-2100/questions.jsonl</x:v>
      </x:c>
      <x:c r="Y2506" s="14" t="n">
        <x:v>2</x:v>
      </x:c>
      <x:c r="Z2506" s="6" t="str">
        <x:v>https://github.com/hagenhaeussler/Industrial-Agents-Hackathon-2026/blob/f41616590b69f3ea0c1cbfb41d6c35edd9ce53df/data/train/resplan-2100/questions.jsonl#L2</x:v>
      </x:c>
      <x:c r="AA2506" s="6" t="str">
        <x:v>resplan</x:v>
      </x:c>
      <x:c r="AB2506" s="6" t="str">
        <x:v>CC-BY-4.0</x:v>
      </x:c>
    </x:row>
    <x:row r="2507" ht="82" customHeight="1">
      <x:c r="A2507" s="14" t="n">
        <x:v>2502</x:v>
      </x:c>
      <x:c r="B2507" s="6" t="str">
        <x:v>wide_delivery_count</x:v>
      </x:c>
      <x:c r="C2507" s="6" t="str">
        <x:v>I'm moving a 1.0 m wide hospital bed.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07" s="6" t="str">
        <x:v>3 rooms</x:v>
      </x:c>
      <x:c r="E2507" s="6" t="str">
        <x:v>Reference supplied</x:v>
      </x:c>
      <x:c r="F2507" s="6" t="str">
        <x:v>train</x:v>
      </x:c>
      <x:c r="G2507" s="6" t="str">
        <x:v>resplan-2247</x:v>
      </x:c>
      <x:c r="H2507" s="6" t="str">
        <x:v>resplan-2247-H01</x:v>
      </x:c>
      <x:c r="I2507" s="6" t="str">
        <x:v>Constrained reachability</x:v>
      </x:c>
      <x:c r="J2507" s="6" t="str">
        <x:v>Benchmark</x:v>
      </x:c>
      <x:c r="K2507" s="6" t="str">
        <x:v>Answer: &lt;one exact integer&gt;</x:v>
      </x:c>
      <x:c r="L2507" s="6" t="str">
        <x:v>T02, T05, T06, T14</x:v>
      </x:c>
      <x:c r="M2507" s="6" t="str">
        <x:v>Count rooms reachable with a wide load that cannot use stairs or steps.</x:v>
      </x:c>
      <x:c r="N2507" s="6" t="str">
        <x:v>{"type":"number","value":3,"unit":"rooms","relative_tolerance":0,"absolute_tolerance":0}</x:v>
      </x:c>
      <x:c r="O2507" s="6" t="str">
        <x:v>{"start":"resplan-2247-F0-S001","floor_id":"resplan-2247-F0","min_width":1}</x:v>
      </x:c>
      <x:c r="P2507" s="6" t="str">
        <x:v>No stairs/steps. All doors &gt;= 1 m. Lifts allowed. Count type=room on target floor.</x:v>
      </x:c>
      <x:c r="Q2507" s="15" t="n">
        <x:v>3</x:v>
      </x:c>
      <x:c r="R2507" s="6" t="str">
        <x:v>rooms</x:v>
      </x:c>
      <x:c r="S2507" s="16" t="n">
        <x:v>0</x:v>
      </x:c>
      <x:c r="T2507" s="15" t="n">
        <x:v>0</x:v>
      </x:c>
      <x:c r="U2507" s="6" t="str">
        <x:v>Answer: 3</x:v>
      </x:c>
      <x:c r="V2507" s="6" t="str">
        <x:v>door widths + reachability</x:v>
      </x:c>
      <x:c r="W2507" s="6" t="str">
        <x:v>Missing minimum-width filter and aggregate reachability. Existing router only filters step_free.</x:v>
      </x:c>
      <x:c r="X2507" s="6" t="str">
        <x:v>data/train/resplan-2247/questions.jsonl</x:v>
      </x:c>
      <x:c r="Y2507" s="14" t="n">
        <x:v>1</x:v>
      </x:c>
      <x:c r="Z2507" s="6" t="str">
        <x:v>https://github.com/hagenhaeussler/Industrial-Agents-Hackathon-2026/blob/f41616590b69f3ea0c1cbfb41d6c35edd9ce53df/data/train/resplan-2247/questions.jsonl#L1</x:v>
      </x:c>
      <x:c r="AA2507" s="6" t="str">
        <x:v>resplan</x:v>
      </x:c>
      <x:c r="AB2507" s="6" t="str">
        <x:v>CC-BY-4.0</x:v>
      </x:c>
    </x:row>
    <x:row r="2508" ht="82" customHeight="1">
      <x:c r="A2508" s="14" t="n">
        <x:v>2503</x:v>
      </x:c>
      <x:c r="B2508" s="6" t="str">
        <x:v>wide_delivery_count</x:v>
      </x:c>
      <x:c r="C2508"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08" s="6" t="str">
        <x:v>4 rooms</x:v>
      </x:c>
      <x:c r="E2508" s="6" t="str">
        <x:v>Reference supplied</x:v>
      </x:c>
      <x:c r="F2508" s="6" t="str">
        <x:v>train</x:v>
      </x:c>
      <x:c r="G2508" s="6" t="str">
        <x:v>resplan-3207</x:v>
      </x:c>
      <x:c r="H2508" s="6" t="str">
        <x:v>resplan-3207-H02</x:v>
      </x:c>
      <x:c r="I2508" s="6" t="str">
        <x:v>Constrained reachability</x:v>
      </x:c>
      <x:c r="J2508" s="6" t="str">
        <x:v>Benchmark</x:v>
      </x:c>
      <x:c r="K2508" s="6" t="str">
        <x:v>Answer: &lt;one exact integer&gt;</x:v>
      </x:c>
      <x:c r="L2508" s="6" t="str">
        <x:v>T02, T05, T06, T14</x:v>
      </x:c>
      <x:c r="M2508" s="6" t="str">
        <x:v>Count rooms reachable with a wide load that cannot use stairs or steps.</x:v>
      </x:c>
      <x:c r="N2508" s="6" t="str">
        <x:v>{"type":"number","value":4,"unit":"rooms","relative_tolerance":0,"absolute_tolerance":0}</x:v>
      </x:c>
      <x:c r="O2508" s="6" t="str">
        <x:v>{"start":"resplan-3207-F0-S001","floor_id":"resplan-3207-F0","min_width":1.1}</x:v>
      </x:c>
      <x:c r="P2508" s="6" t="str">
        <x:v>No stairs/steps. All doors &gt;= 1.1 m. Lifts allowed. Count type=room on target floor.</x:v>
      </x:c>
      <x:c r="Q2508" s="15" t="n">
        <x:v>4</x:v>
      </x:c>
      <x:c r="R2508" s="6" t="str">
        <x:v>rooms</x:v>
      </x:c>
      <x:c r="S2508" s="16" t="n">
        <x:v>0</x:v>
      </x:c>
      <x:c r="T2508" s="15" t="n">
        <x:v>0</x:v>
      </x:c>
      <x:c r="U2508" s="6" t="str">
        <x:v>Answer: 4</x:v>
      </x:c>
      <x:c r="V2508" s="6" t="str">
        <x:v>door widths + reachability</x:v>
      </x:c>
      <x:c r="W2508" s="6" t="str">
        <x:v>Missing minimum-width filter and aggregate reachability. Existing router only filters step_free.</x:v>
      </x:c>
      <x:c r="X2508" s="6" t="str">
        <x:v>data/train/resplan-3207/questions.jsonl</x:v>
      </x:c>
      <x:c r="Y2508" s="14" t="n">
        <x:v>2</x:v>
      </x:c>
      <x:c r="Z2508" s="6" t="str">
        <x:v>https://github.com/hagenhaeussler/Industrial-Agents-Hackathon-2026/blob/f41616590b69f3ea0c1cbfb41d6c35edd9ce53df/data/train/resplan-3207/questions.jsonl#L2</x:v>
      </x:c>
      <x:c r="AA2508" s="6" t="str">
        <x:v>resplan</x:v>
      </x:c>
      <x:c r="AB2508" s="6" t="str">
        <x:v>CC-BY-4.0</x:v>
      </x:c>
    </x:row>
    <x:row r="2509" ht="82" customHeight="1">
      <x:c r="A2509" s="14" t="n">
        <x:v>2504</x:v>
      </x:c>
      <x:c r="B2509" s="6" t="str">
        <x:v>wide_delivery_count</x:v>
      </x:c>
      <x:c r="C2509" s="6" t="str">
        <x:v>I'm moving a 1.0 m wide pallet of equipment.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09" s="6" t="str">
        <x:v>4 rooms</x:v>
      </x:c>
      <x:c r="E2509" s="6" t="str">
        <x:v>Reference supplied</x:v>
      </x:c>
      <x:c r="F2509" s="6" t="str">
        <x:v>train</x:v>
      </x:c>
      <x:c r="G2509" s="6" t="str">
        <x:v>resplan-3562</x:v>
      </x:c>
      <x:c r="H2509" s="6" t="str">
        <x:v>resplan-3562-H02</x:v>
      </x:c>
      <x:c r="I2509" s="6" t="str">
        <x:v>Constrained reachability</x:v>
      </x:c>
      <x:c r="J2509" s="6" t="str">
        <x:v>Benchmark</x:v>
      </x:c>
      <x:c r="K2509" s="6" t="str">
        <x:v>Answer: &lt;one exact integer&gt;</x:v>
      </x:c>
      <x:c r="L2509" s="6" t="str">
        <x:v>T02, T05, T06, T14</x:v>
      </x:c>
      <x:c r="M2509" s="6" t="str">
        <x:v>Count rooms reachable with a wide load that cannot use stairs or steps.</x:v>
      </x:c>
      <x:c r="N2509" s="6" t="str">
        <x:v>{"type":"number","value":4,"unit":"rooms","relative_tolerance":0,"absolute_tolerance":0}</x:v>
      </x:c>
      <x:c r="O2509" s="6" t="str">
        <x:v>{"start":"resplan-3562-F0-S001","floor_id":"resplan-3562-F0","min_width":1}</x:v>
      </x:c>
      <x:c r="P2509" s="6" t="str">
        <x:v>No stairs/steps. All doors &gt;= 1 m. Lifts allowed. Count type=room on target floor.</x:v>
      </x:c>
      <x:c r="Q2509" s="15" t="n">
        <x:v>4</x:v>
      </x:c>
      <x:c r="R2509" s="6" t="str">
        <x:v>rooms</x:v>
      </x:c>
      <x:c r="S2509" s="16" t="n">
        <x:v>0</x:v>
      </x:c>
      <x:c r="T2509" s="15" t="n">
        <x:v>0</x:v>
      </x:c>
      <x:c r="U2509" s="6" t="str">
        <x:v>Answer: 4</x:v>
      </x:c>
      <x:c r="V2509" s="6" t="str">
        <x:v>door widths + reachability</x:v>
      </x:c>
      <x:c r="W2509" s="6" t="str">
        <x:v>Missing minimum-width filter and aggregate reachability. Existing router only filters step_free.</x:v>
      </x:c>
      <x:c r="X2509" s="6" t="str">
        <x:v>data/train/resplan-3562/questions.jsonl</x:v>
      </x:c>
      <x:c r="Y2509" s="14" t="n">
        <x:v>2</x:v>
      </x:c>
      <x:c r="Z2509" s="6" t="str">
        <x:v>https://github.com/hagenhaeussler/Industrial-Agents-Hackathon-2026/blob/f41616590b69f3ea0c1cbfb41d6c35edd9ce53df/data/train/resplan-3562/questions.jsonl#L2</x:v>
      </x:c>
      <x:c r="AA2509" s="6" t="str">
        <x:v>resplan</x:v>
      </x:c>
      <x:c r="AB2509" s="6" t="str">
        <x:v>CC-BY-4.0</x:v>
      </x:c>
    </x:row>
    <x:row r="2510" ht="82" customHeight="1">
      <x:c r="A2510" s="14" t="n">
        <x:v>2505</x:v>
      </x:c>
      <x:c r="B2510" s="6" t="str">
        <x:v>wide_delivery_count</x:v>
      </x:c>
      <x:c r="C2510" s="6" t="str">
        <x:v>I'm moving a 1.0 m wide pallet of equipment.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10" s="6" t="str">
        <x:v>5 rooms</x:v>
      </x:c>
      <x:c r="E2510" s="6" t="str">
        <x:v>Reference supplied</x:v>
      </x:c>
      <x:c r="F2510" s="6" t="str">
        <x:v>train</x:v>
      </x:c>
      <x:c r="G2510" s="6" t="str">
        <x:v>resplan-3806</x:v>
      </x:c>
      <x:c r="H2510" s="6" t="str">
        <x:v>resplan-3806-H02</x:v>
      </x:c>
      <x:c r="I2510" s="6" t="str">
        <x:v>Constrained reachability</x:v>
      </x:c>
      <x:c r="J2510" s="6" t="str">
        <x:v>Benchmark</x:v>
      </x:c>
      <x:c r="K2510" s="6" t="str">
        <x:v>Answer: &lt;one exact integer&gt;</x:v>
      </x:c>
      <x:c r="L2510" s="6" t="str">
        <x:v>T02, T05, T06, T14</x:v>
      </x:c>
      <x:c r="M2510" s="6" t="str">
        <x:v>Count rooms reachable with a wide load that cannot use stairs or steps.</x:v>
      </x:c>
      <x:c r="N2510" s="6" t="str">
        <x:v>{"type":"number","value":5,"unit":"rooms","relative_tolerance":0,"absolute_tolerance":0}</x:v>
      </x:c>
      <x:c r="O2510" s="6" t="str">
        <x:v>{"start":"resplan-3806-F0-S001","floor_id":"resplan-3806-F0","min_width":1}</x:v>
      </x:c>
      <x:c r="P2510" s="6" t="str">
        <x:v>No stairs/steps. All doors &gt;= 1 m. Lifts allowed. Count type=room on target floor.</x:v>
      </x:c>
      <x:c r="Q2510" s="15" t="n">
        <x:v>5</x:v>
      </x:c>
      <x:c r="R2510" s="6" t="str">
        <x:v>rooms</x:v>
      </x:c>
      <x:c r="S2510" s="16" t="n">
        <x:v>0</x:v>
      </x:c>
      <x:c r="T2510" s="15" t="n">
        <x:v>0</x:v>
      </x:c>
      <x:c r="U2510" s="6" t="str">
        <x:v>Answer: 5</x:v>
      </x:c>
      <x:c r="V2510" s="6" t="str">
        <x:v>door widths + reachability</x:v>
      </x:c>
      <x:c r="W2510" s="6" t="str">
        <x:v>Missing minimum-width filter and aggregate reachability. Existing router only filters step_free.</x:v>
      </x:c>
      <x:c r="X2510" s="6" t="str">
        <x:v>data/train/resplan-3806/questions.jsonl</x:v>
      </x:c>
      <x:c r="Y2510" s="14" t="n">
        <x:v>2</x:v>
      </x:c>
      <x:c r="Z2510" s="6" t="str">
        <x:v>https://github.com/hagenhaeussler/Industrial-Agents-Hackathon-2026/blob/f41616590b69f3ea0c1cbfb41d6c35edd9ce53df/data/train/resplan-3806/questions.jsonl#L2</x:v>
      </x:c>
      <x:c r="AA2510" s="6" t="str">
        <x:v>resplan</x:v>
      </x:c>
      <x:c r="AB2510" s="6" t="str">
        <x:v>CC-BY-4.0</x:v>
      </x:c>
    </x:row>
    <x:row r="2511" ht="82" customHeight="1">
      <x:c r="A2511" s="14" t="n">
        <x:v>2506</x:v>
      </x:c>
      <x:c r="B2511" s="6" t="str">
        <x:v>wide_delivery_count</x:v>
      </x:c>
      <x:c r="C2511" s="6" t="str">
        <x:v>I'm moving a 1.0 m wide pallet of equipment.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11" s="6" t="str">
        <x:v>5 rooms</x:v>
      </x:c>
      <x:c r="E2511" s="6" t="str">
        <x:v>Reference supplied</x:v>
      </x:c>
      <x:c r="F2511" s="6" t="str">
        <x:v>train</x:v>
      </x:c>
      <x:c r="G2511" s="6" t="str">
        <x:v>resplan-3971</x:v>
      </x:c>
      <x:c r="H2511" s="6" t="str">
        <x:v>resplan-3971-H01</x:v>
      </x:c>
      <x:c r="I2511" s="6" t="str">
        <x:v>Constrained reachability</x:v>
      </x:c>
      <x:c r="J2511" s="6" t="str">
        <x:v>Benchmark</x:v>
      </x:c>
      <x:c r="K2511" s="6" t="str">
        <x:v>Answer: &lt;one exact integer&gt;</x:v>
      </x:c>
      <x:c r="L2511" s="6" t="str">
        <x:v>T02, T05, T06, T14</x:v>
      </x:c>
      <x:c r="M2511" s="6" t="str">
        <x:v>Count rooms reachable with a wide load that cannot use stairs or steps.</x:v>
      </x:c>
      <x:c r="N2511" s="6" t="str">
        <x:v>{"type":"number","value":5,"unit":"rooms","relative_tolerance":0,"absolute_tolerance":0}</x:v>
      </x:c>
      <x:c r="O2511" s="6" t="str">
        <x:v>{"start":"resplan-3971-F0-S001","floor_id":"resplan-3971-F0","min_width":1}</x:v>
      </x:c>
      <x:c r="P2511" s="6" t="str">
        <x:v>No stairs/steps. All doors &gt;= 1 m. Lifts allowed. Count type=room on target floor.</x:v>
      </x:c>
      <x:c r="Q2511" s="15" t="n">
        <x:v>5</x:v>
      </x:c>
      <x:c r="R2511" s="6" t="str">
        <x:v>rooms</x:v>
      </x:c>
      <x:c r="S2511" s="16" t="n">
        <x:v>0</x:v>
      </x:c>
      <x:c r="T2511" s="15" t="n">
        <x:v>0</x:v>
      </x:c>
      <x:c r="U2511" s="6" t="str">
        <x:v>Answer: 5</x:v>
      </x:c>
      <x:c r="V2511" s="6" t="str">
        <x:v>door widths + reachability</x:v>
      </x:c>
      <x:c r="W2511" s="6" t="str">
        <x:v>Missing minimum-width filter and aggregate reachability. Existing router only filters step_free.</x:v>
      </x:c>
      <x:c r="X2511" s="6" t="str">
        <x:v>data/train/resplan-3971/questions.jsonl</x:v>
      </x:c>
      <x:c r="Y2511" s="14" t="n">
        <x:v>1</x:v>
      </x:c>
      <x:c r="Z2511" s="6" t="str">
        <x:v>https://github.com/hagenhaeussler/Industrial-Agents-Hackathon-2026/blob/f41616590b69f3ea0c1cbfb41d6c35edd9ce53df/data/train/resplan-3971/questions.jsonl#L1</x:v>
      </x:c>
      <x:c r="AA2511" s="6" t="str">
        <x:v>resplan</x:v>
      </x:c>
      <x:c r="AB2511" s="6" t="str">
        <x:v>CC-BY-4.0</x:v>
      </x:c>
    </x:row>
    <x:row r="2512" ht="82" customHeight="1">
      <x:c r="A2512" s="14" t="n">
        <x:v>2507</x:v>
      </x:c>
      <x:c r="B2512" s="6" t="str">
        <x:v>wide_delivery_count</x:v>
      </x:c>
      <x:c r="C2512"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12" s="6" t="str">
        <x:v>3 rooms</x:v>
      </x:c>
      <x:c r="E2512" s="6" t="str">
        <x:v>Reference supplied</x:v>
      </x:c>
      <x:c r="F2512" s="6" t="str">
        <x:v>train</x:v>
      </x:c>
      <x:c r="G2512" s="6" t="str">
        <x:v>resplan-433</x:v>
      </x:c>
      <x:c r="H2512" s="6" t="str">
        <x:v>resplan-433-H01</x:v>
      </x:c>
      <x:c r="I2512" s="6" t="str">
        <x:v>Constrained reachability</x:v>
      </x:c>
      <x:c r="J2512" s="6" t="str">
        <x:v>Benchmark</x:v>
      </x:c>
      <x:c r="K2512" s="6" t="str">
        <x:v>Answer: &lt;one exact integer&gt;</x:v>
      </x:c>
      <x:c r="L2512" s="6" t="str">
        <x:v>T02, T05, T06, T14</x:v>
      </x:c>
      <x:c r="M2512" s="6" t="str">
        <x:v>Count rooms reachable with a wide load that cannot use stairs or steps.</x:v>
      </x:c>
      <x:c r="N2512" s="6" t="str">
        <x:v>{"type":"number","value":3,"unit":"rooms","relative_tolerance":0,"absolute_tolerance":0}</x:v>
      </x:c>
      <x:c r="O2512" s="6" t="str">
        <x:v>{"start":"resplan-433-F0-S001","floor_id":"resplan-433-F0","min_width":1.1}</x:v>
      </x:c>
      <x:c r="P2512" s="6" t="str">
        <x:v>No stairs/steps. All doors &gt;= 1.1 m. Lifts allowed. Count type=room on target floor.</x:v>
      </x:c>
      <x:c r="Q2512" s="15" t="n">
        <x:v>3</x:v>
      </x:c>
      <x:c r="R2512" s="6" t="str">
        <x:v>rooms</x:v>
      </x:c>
      <x:c r="S2512" s="16" t="n">
        <x:v>0</x:v>
      </x:c>
      <x:c r="T2512" s="15" t="n">
        <x:v>0</x:v>
      </x:c>
      <x:c r="U2512" s="6" t="str">
        <x:v>Answer: 3</x:v>
      </x:c>
      <x:c r="V2512" s="6" t="str">
        <x:v>door widths + reachability</x:v>
      </x:c>
      <x:c r="W2512" s="6" t="str">
        <x:v>Missing minimum-width filter and aggregate reachability. Existing router only filters step_free.</x:v>
      </x:c>
      <x:c r="X2512" s="6" t="str">
        <x:v>data/train/resplan-433/questions.jsonl</x:v>
      </x:c>
      <x:c r="Y2512" s="14" t="n">
        <x:v>1</x:v>
      </x:c>
      <x:c r="Z2512" s="6" t="str">
        <x:v>https://github.com/hagenhaeussler/Industrial-Agents-Hackathon-2026/blob/f41616590b69f3ea0c1cbfb41d6c35edd9ce53df/data/train/resplan-433/questions.jsonl#L1</x:v>
      </x:c>
      <x:c r="AA2512" s="6" t="str">
        <x:v>resplan</x:v>
      </x:c>
      <x:c r="AB2512" s="6" t="str">
        <x:v>CC-BY-4.0</x:v>
      </x:c>
    </x:row>
    <x:row r="2513" ht="82" customHeight="1">
      <x:c r="A2513" s="14" t="n">
        <x:v>2508</x:v>
      </x:c>
      <x:c r="B2513" s="6" t="str">
        <x:v>wide_delivery_count</x:v>
      </x:c>
      <x:c r="C2513" s="6" t="str">
        <x:v>I'm moving a 1.1 m wide hospital bed.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13" s="6" t="str">
        <x:v>5 rooms</x:v>
      </x:c>
      <x:c r="E2513" s="6" t="str">
        <x:v>Reference supplied</x:v>
      </x:c>
      <x:c r="F2513" s="6" t="str">
        <x:v>train</x:v>
      </x:c>
      <x:c r="G2513" s="6" t="str">
        <x:v>resplan-4429</x:v>
      </x:c>
      <x:c r="H2513" s="6" t="str">
        <x:v>resplan-4429-H01</x:v>
      </x:c>
      <x:c r="I2513" s="6" t="str">
        <x:v>Constrained reachability</x:v>
      </x:c>
      <x:c r="J2513" s="6" t="str">
        <x:v>Benchmark</x:v>
      </x:c>
      <x:c r="K2513" s="6" t="str">
        <x:v>Answer: &lt;one exact integer&gt;</x:v>
      </x:c>
      <x:c r="L2513" s="6" t="str">
        <x:v>T02, T05, T06, T14</x:v>
      </x:c>
      <x:c r="M2513" s="6" t="str">
        <x:v>Count rooms reachable with a wide load that cannot use stairs or steps.</x:v>
      </x:c>
      <x:c r="N2513" s="6" t="str">
        <x:v>{"type":"number","value":5,"unit":"rooms","relative_tolerance":0,"absolute_tolerance":0}</x:v>
      </x:c>
      <x:c r="O2513" s="6" t="str">
        <x:v>{"start":"resplan-4429-F0-S001","floor_id":"resplan-4429-F0","min_width":1.1}</x:v>
      </x:c>
      <x:c r="P2513" s="6" t="str">
        <x:v>No stairs/steps. All doors &gt;= 1.1 m. Lifts allowed. Count type=room on target floor.</x:v>
      </x:c>
      <x:c r="Q2513" s="15" t="n">
        <x:v>5</x:v>
      </x:c>
      <x:c r="R2513" s="6" t="str">
        <x:v>rooms</x:v>
      </x:c>
      <x:c r="S2513" s="16" t="n">
        <x:v>0</x:v>
      </x:c>
      <x:c r="T2513" s="15" t="n">
        <x:v>0</x:v>
      </x:c>
      <x:c r="U2513" s="6" t="str">
        <x:v>Answer: 5</x:v>
      </x:c>
      <x:c r="V2513" s="6" t="str">
        <x:v>door widths + reachability</x:v>
      </x:c>
      <x:c r="W2513" s="6" t="str">
        <x:v>Missing minimum-width filter and aggregate reachability. Existing router only filters step_free.</x:v>
      </x:c>
      <x:c r="X2513" s="6" t="str">
        <x:v>data/train/resplan-4429/questions.jsonl</x:v>
      </x:c>
      <x:c r="Y2513" s="14" t="n">
        <x:v>1</x:v>
      </x:c>
      <x:c r="Z2513" s="6" t="str">
        <x:v>https://github.com/hagenhaeussler/Industrial-Agents-Hackathon-2026/blob/f41616590b69f3ea0c1cbfb41d6c35edd9ce53df/data/train/resplan-4429/questions.jsonl#L1</x:v>
      </x:c>
      <x:c r="AA2513" s="6" t="str">
        <x:v>resplan</x:v>
      </x:c>
      <x:c r="AB2513" s="6" t="str">
        <x:v>CC-BY-4.0</x:v>
      </x:c>
    </x:row>
    <x:row r="2514" ht="82" customHeight="1">
      <x:c r="A2514" s="14" t="n">
        <x:v>2509</x:v>
      </x:c>
      <x:c r="B2514" s="6" t="str">
        <x:v>wide_delivery_count</x:v>
      </x:c>
      <x:c r="C2514" s="6" t="str">
        <x:v>I'm moving a 1.1 m wide cleaning machine.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14" s="6" t="str">
        <x:v>3 rooms</x:v>
      </x:c>
      <x:c r="E2514" s="6" t="str">
        <x:v>Reference supplied</x:v>
      </x:c>
      <x:c r="F2514" s="6" t="str">
        <x:v>train</x:v>
      </x:c>
      <x:c r="G2514" s="6" t="str">
        <x:v>resplan-5277</x:v>
      </x:c>
      <x:c r="H2514" s="6" t="str">
        <x:v>resplan-5277-H01</x:v>
      </x:c>
      <x:c r="I2514" s="6" t="str">
        <x:v>Constrained reachability</x:v>
      </x:c>
      <x:c r="J2514" s="6" t="str">
        <x:v>Benchmark</x:v>
      </x:c>
      <x:c r="K2514" s="6" t="str">
        <x:v>Answer: &lt;one exact integer&gt;</x:v>
      </x:c>
      <x:c r="L2514" s="6" t="str">
        <x:v>T02, T05, T06, T14</x:v>
      </x:c>
      <x:c r="M2514" s="6" t="str">
        <x:v>Count rooms reachable with a wide load that cannot use stairs or steps.</x:v>
      </x:c>
      <x:c r="N2514" s="6" t="str">
        <x:v>{"type":"number","value":3,"unit":"rooms","relative_tolerance":0,"absolute_tolerance":0}</x:v>
      </x:c>
      <x:c r="O2514" s="6" t="str">
        <x:v>{"start":"resplan-5277-F0-S001","floor_id":"resplan-5277-F0","min_width":1.1}</x:v>
      </x:c>
      <x:c r="P2514" s="6" t="str">
        <x:v>No stairs/steps. All doors &gt;= 1.1 m. Lifts allowed. Count type=room on target floor.</x:v>
      </x:c>
      <x:c r="Q2514" s="15" t="n">
        <x:v>3</x:v>
      </x:c>
      <x:c r="R2514" s="6" t="str">
        <x:v>rooms</x:v>
      </x:c>
      <x:c r="S2514" s="16" t="n">
        <x:v>0</x:v>
      </x:c>
      <x:c r="T2514" s="15" t="n">
        <x:v>0</x:v>
      </x:c>
      <x:c r="U2514" s="6" t="str">
        <x:v>Answer: 3</x:v>
      </x:c>
      <x:c r="V2514" s="6" t="str">
        <x:v>door widths + reachability</x:v>
      </x:c>
      <x:c r="W2514" s="6" t="str">
        <x:v>Missing minimum-width filter and aggregate reachability. Existing router only filters step_free.</x:v>
      </x:c>
      <x:c r="X2514" s="6" t="str">
        <x:v>data/train/resplan-5277/questions.jsonl</x:v>
      </x:c>
      <x:c r="Y2514" s="14" t="n">
        <x:v>1</x:v>
      </x:c>
      <x:c r="Z2514" s="6" t="str">
        <x:v>https://github.com/hagenhaeussler/Industrial-Agents-Hackathon-2026/blob/f41616590b69f3ea0c1cbfb41d6c35edd9ce53df/data/train/resplan-5277/questions.jsonl#L1</x:v>
      </x:c>
      <x:c r="AA2514" s="6" t="str">
        <x:v>resplan</x:v>
      </x:c>
      <x:c r="AB2514" s="6" t="str">
        <x:v>CC-BY-4.0</x:v>
      </x:c>
    </x:row>
    <x:row r="2515" ht="82" customHeight="1">
      <x:c r="A2515" s="14" t="n">
        <x:v>2510</x:v>
      </x:c>
      <x:c r="B2515" s="6" t="str">
        <x:v>wide_delivery_count</x:v>
      </x:c>
      <x:c r="C2515" s="6" t="str">
        <x:v>I'm moving a 1.0 m wide trolley.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15" s="6" t="str">
        <x:v>5 rooms</x:v>
      </x:c>
      <x:c r="E2515" s="6" t="str">
        <x:v>Reference supplied</x:v>
      </x:c>
      <x:c r="F2515" s="6" t="str">
        <x:v>train</x:v>
      </x:c>
      <x:c r="G2515" s="6" t="str">
        <x:v>resplan-6565</x:v>
      </x:c>
      <x:c r="H2515" s="6" t="str">
        <x:v>resplan-6565-H01</x:v>
      </x:c>
      <x:c r="I2515" s="6" t="str">
        <x:v>Constrained reachability</x:v>
      </x:c>
      <x:c r="J2515" s="6" t="str">
        <x:v>Benchmark</x:v>
      </x:c>
      <x:c r="K2515" s="6" t="str">
        <x:v>Answer: &lt;one exact integer&gt;</x:v>
      </x:c>
      <x:c r="L2515" s="6" t="str">
        <x:v>T02, T05, T06, T14</x:v>
      </x:c>
      <x:c r="M2515" s="6" t="str">
        <x:v>Count rooms reachable with a wide load that cannot use stairs or steps.</x:v>
      </x:c>
      <x:c r="N2515" s="6" t="str">
        <x:v>{"type":"number","value":5,"unit":"rooms","relative_tolerance":0,"absolute_tolerance":0}</x:v>
      </x:c>
      <x:c r="O2515" s="6" t="str">
        <x:v>{"start":"resplan-6565-F0-S001","floor_id":"resplan-6565-F0","min_width":1}</x:v>
      </x:c>
      <x:c r="P2515" s="6" t="str">
        <x:v>No stairs/steps. All doors &gt;= 1 m. Lifts allowed. Count type=room on target floor.</x:v>
      </x:c>
      <x:c r="Q2515" s="15" t="n">
        <x:v>5</x:v>
      </x:c>
      <x:c r="R2515" s="6" t="str">
        <x:v>rooms</x:v>
      </x:c>
      <x:c r="S2515" s="16" t="n">
        <x:v>0</x:v>
      </x:c>
      <x:c r="T2515" s="15" t="n">
        <x:v>0</x:v>
      </x:c>
      <x:c r="U2515" s="6" t="str">
        <x:v>Answer: 5</x:v>
      </x:c>
      <x:c r="V2515" s="6" t="str">
        <x:v>door widths + reachability</x:v>
      </x:c>
      <x:c r="W2515" s="6" t="str">
        <x:v>Missing minimum-width filter and aggregate reachability. Existing router only filters step_free.</x:v>
      </x:c>
      <x:c r="X2515" s="6" t="str">
        <x:v>data/train/resplan-6565/questions.jsonl</x:v>
      </x:c>
      <x:c r="Y2515" s="14" t="n">
        <x:v>1</x:v>
      </x:c>
      <x:c r="Z2515" s="6" t="str">
        <x:v>https://github.com/hagenhaeussler/Industrial-Agents-Hackathon-2026/blob/f41616590b69f3ea0c1cbfb41d6c35edd9ce53df/data/train/resplan-6565/questions.jsonl#L1</x:v>
      </x:c>
      <x:c r="AA2515" s="6" t="str">
        <x:v>resplan</x:v>
      </x:c>
      <x:c r="AB2515" s="6" t="str">
        <x:v>CC-BY-4.0</x:v>
      </x:c>
    </x:row>
    <x:row r="2516" ht="82" customHeight="1">
      <x:c r="A2516" s="14" t="n">
        <x:v>2511</x:v>
      </x:c>
      <x:c r="B2516" s="6" t="str">
        <x:v>wide_delivery_count</x:v>
      </x:c>
      <x:c r="C2516" s="6" t="str">
        <x:v>I'm moving a 1.1 m wide hospital bed.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16" s="6" t="str">
        <x:v>3 rooms</x:v>
      </x:c>
      <x:c r="E2516" s="6" t="str">
        <x:v>Reference supplied</x:v>
      </x:c>
      <x:c r="F2516" s="6" t="str">
        <x:v>train</x:v>
      </x:c>
      <x:c r="G2516" s="6" t="str">
        <x:v>resplan-666</x:v>
      </x:c>
      <x:c r="H2516" s="6" t="str">
        <x:v>resplan-666-H02</x:v>
      </x:c>
      <x:c r="I2516" s="6" t="str">
        <x:v>Constrained reachability</x:v>
      </x:c>
      <x:c r="J2516" s="6" t="str">
        <x:v>Benchmark</x:v>
      </x:c>
      <x:c r="K2516" s="6" t="str">
        <x:v>Answer: &lt;one exact integer&gt;</x:v>
      </x:c>
      <x:c r="L2516" s="6" t="str">
        <x:v>T02, T05, T06, T14</x:v>
      </x:c>
      <x:c r="M2516" s="6" t="str">
        <x:v>Count rooms reachable with a wide load that cannot use stairs or steps.</x:v>
      </x:c>
      <x:c r="N2516" s="6" t="str">
        <x:v>{"type":"number","value":3,"unit":"rooms","relative_tolerance":0,"absolute_tolerance":0}</x:v>
      </x:c>
      <x:c r="O2516" s="6" t="str">
        <x:v>{"start":"resplan-666-F0-S001","floor_id":"resplan-666-F0","min_width":1.1}</x:v>
      </x:c>
      <x:c r="P2516" s="6" t="str">
        <x:v>No stairs/steps. All doors &gt;= 1.1 m. Lifts allowed. Count type=room on target floor.</x:v>
      </x:c>
      <x:c r="Q2516" s="15" t="n">
        <x:v>3</x:v>
      </x:c>
      <x:c r="R2516" s="6" t="str">
        <x:v>rooms</x:v>
      </x:c>
      <x:c r="S2516" s="16" t="n">
        <x:v>0</x:v>
      </x:c>
      <x:c r="T2516" s="15" t="n">
        <x:v>0</x:v>
      </x:c>
      <x:c r="U2516" s="6" t="str">
        <x:v>Answer: 3</x:v>
      </x:c>
      <x:c r="V2516" s="6" t="str">
        <x:v>door widths + reachability</x:v>
      </x:c>
      <x:c r="W2516" s="6" t="str">
        <x:v>Missing minimum-width filter and aggregate reachability. Existing router only filters step_free.</x:v>
      </x:c>
      <x:c r="X2516" s="6" t="str">
        <x:v>data/train/resplan-666/questions.jsonl</x:v>
      </x:c>
      <x:c r="Y2516" s="14" t="n">
        <x:v>2</x:v>
      </x:c>
      <x:c r="Z2516" s="6" t="str">
        <x:v>https://github.com/hagenhaeussler/Industrial-Agents-Hackathon-2026/blob/f41616590b69f3ea0c1cbfb41d6c35edd9ce53df/data/train/resplan-666/questions.jsonl#L2</x:v>
      </x:c>
      <x:c r="AA2516" s="6" t="str">
        <x:v>resplan</x:v>
      </x:c>
      <x:c r="AB2516" s="6" t="str">
        <x:v>CC-BY-4.0</x:v>
      </x:c>
    </x:row>
    <x:row r="2517" ht="82" customHeight="1">
      <x:c r="A2517" s="14" t="n">
        <x:v>2512</x:v>
      </x:c>
      <x:c r="B2517" s="6" t="str">
        <x:v>wide_delivery_count</x:v>
      </x:c>
      <x:c r="C2517" s="6" t="str">
        <x:v>I'm moving a 1.1 m wide cleaning machine.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17" s="6" t="str">
        <x:v>4 rooms</x:v>
      </x:c>
      <x:c r="E2517" s="6" t="str">
        <x:v>Reference supplied</x:v>
      </x:c>
      <x:c r="F2517" s="6" t="str">
        <x:v>train</x:v>
      </x:c>
      <x:c r="G2517" s="6" t="str">
        <x:v>resplan-7151</x:v>
      </x:c>
      <x:c r="H2517" s="6" t="str">
        <x:v>resplan-7151-H01</x:v>
      </x:c>
      <x:c r="I2517" s="6" t="str">
        <x:v>Constrained reachability</x:v>
      </x:c>
      <x:c r="J2517" s="6" t="str">
        <x:v>Benchmark</x:v>
      </x:c>
      <x:c r="K2517" s="6" t="str">
        <x:v>Answer: &lt;one exact integer&gt;</x:v>
      </x:c>
      <x:c r="L2517" s="6" t="str">
        <x:v>T02, T05, T06, T14</x:v>
      </x:c>
      <x:c r="M2517" s="6" t="str">
        <x:v>Count rooms reachable with a wide load that cannot use stairs or steps.</x:v>
      </x:c>
      <x:c r="N2517" s="6" t="str">
        <x:v>{"type":"number","value":4,"unit":"rooms","relative_tolerance":0,"absolute_tolerance":0}</x:v>
      </x:c>
      <x:c r="O2517" s="6" t="str">
        <x:v>{"start":"resplan-7151-F0-S001","floor_id":"resplan-7151-F0","min_width":1.1}</x:v>
      </x:c>
      <x:c r="P2517" s="6" t="str">
        <x:v>No stairs/steps. All doors &gt;= 1.1 m. Lifts allowed. Count type=room on target floor.</x:v>
      </x:c>
      <x:c r="Q2517" s="15" t="n">
        <x:v>4</x:v>
      </x:c>
      <x:c r="R2517" s="6" t="str">
        <x:v>rooms</x:v>
      </x:c>
      <x:c r="S2517" s="16" t="n">
        <x:v>0</x:v>
      </x:c>
      <x:c r="T2517" s="15" t="n">
        <x:v>0</x:v>
      </x:c>
      <x:c r="U2517" s="6" t="str">
        <x:v>Answer: 4</x:v>
      </x:c>
      <x:c r="V2517" s="6" t="str">
        <x:v>door widths + reachability</x:v>
      </x:c>
      <x:c r="W2517" s="6" t="str">
        <x:v>Missing minimum-width filter and aggregate reachability. Existing router only filters step_free.</x:v>
      </x:c>
      <x:c r="X2517" s="6" t="str">
        <x:v>data/train/resplan-7151/questions.jsonl</x:v>
      </x:c>
      <x:c r="Y2517" s="14" t="n">
        <x:v>1</x:v>
      </x:c>
      <x:c r="Z2517" s="6" t="str">
        <x:v>https://github.com/hagenhaeussler/Industrial-Agents-Hackathon-2026/blob/f41616590b69f3ea0c1cbfb41d6c35edd9ce53df/data/train/resplan-7151/questions.jsonl#L1</x:v>
      </x:c>
      <x:c r="AA2517" s="6" t="str">
        <x:v>resplan</x:v>
      </x:c>
      <x:c r="AB2517" s="6" t="str">
        <x:v>CC-BY-4.0</x:v>
      </x:c>
    </x:row>
    <x:row r="2518" ht="82" customHeight="1">
      <x:c r="A2518" s="14" t="n">
        <x:v>2513</x:v>
      </x:c>
      <x:c r="B2518" s="6" t="str">
        <x:v>wide_delivery_count</x:v>
      </x:c>
      <x:c r="C2518" s="6" t="str">
        <x:v>I'm moving a 1.0 m wide cleaning machine.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18" s="6" t="str">
        <x:v>5 rooms</x:v>
      </x:c>
      <x:c r="E2518" s="6" t="str">
        <x:v>Reference supplied</x:v>
      </x:c>
      <x:c r="F2518" s="6" t="str">
        <x:v>train</x:v>
      </x:c>
      <x:c r="G2518" s="6" t="str">
        <x:v>resplan-7471</x:v>
      </x:c>
      <x:c r="H2518" s="6" t="str">
        <x:v>resplan-7471-H01</x:v>
      </x:c>
      <x:c r="I2518" s="6" t="str">
        <x:v>Constrained reachability</x:v>
      </x:c>
      <x:c r="J2518" s="6" t="str">
        <x:v>Benchmark</x:v>
      </x:c>
      <x:c r="K2518" s="6" t="str">
        <x:v>Answer: &lt;one exact integer&gt;</x:v>
      </x:c>
      <x:c r="L2518" s="6" t="str">
        <x:v>T02, T05, T06, T14</x:v>
      </x:c>
      <x:c r="M2518" s="6" t="str">
        <x:v>Count rooms reachable with a wide load that cannot use stairs or steps.</x:v>
      </x:c>
      <x:c r="N2518" s="6" t="str">
        <x:v>{"type":"number","value":5,"unit":"rooms","relative_tolerance":0,"absolute_tolerance":0}</x:v>
      </x:c>
      <x:c r="O2518" s="6" t="str">
        <x:v>{"start":"resplan-7471-F0-S001","floor_id":"resplan-7471-F0","min_width":1}</x:v>
      </x:c>
      <x:c r="P2518" s="6" t="str">
        <x:v>No stairs/steps. All doors &gt;= 1 m. Lifts allowed. Count type=room on target floor.</x:v>
      </x:c>
      <x:c r="Q2518" s="15" t="n">
        <x:v>5</x:v>
      </x:c>
      <x:c r="R2518" s="6" t="str">
        <x:v>rooms</x:v>
      </x:c>
      <x:c r="S2518" s="16" t="n">
        <x:v>0</x:v>
      </x:c>
      <x:c r="T2518" s="15" t="n">
        <x:v>0</x:v>
      </x:c>
      <x:c r="U2518" s="6" t="str">
        <x:v>Answer: 5</x:v>
      </x:c>
      <x:c r="V2518" s="6" t="str">
        <x:v>door widths + reachability</x:v>
      </x:c>
      <x:c r="W2518" s="6" t="str">
        <x:v>Missing minimum-width filter and aggregate reachability. Existing router only filters step_free.</x:v>
      </x:c>
      <x:c r="X2518" s="6" t="str">
        <x:v>data/train/resplan-7471/questions.jsonl</x:v>
      </x:c>
      <x:c r="Y2518" s="14" t="n">
        <x:v>1</x:v>
      </x:c>
      <x:c r="Z2518" s="6" t="str">
        <x:v>https://github.com/hagenhaeussler/Industrial-Agents-Hackathon-2026/blob/f41616590b69f3ea0c1cbfb41d6c35edd9ce53df/data/train/resplan-7471/questions.jsonl#L1</x:v>
      </x:c>
      <x:c r="AA2518" s="6" t="str">
        <x:v>resplan</x:v>
      </x:c>
      <x:c r="AB2518" s="6" t="str">
        <x:v>CC-BY-4.0</x:v>
      </x:c>
    </x:row>
    <x:row r="2519" ht="82" customHeight="1">
      <x:c r="A2519" s="14" t="n">
        <x:v>2514</x:v>
      </x:c>
      <x:c r="B2519" s="6" t="str">
        <x:v>wide_delivery_count</x:v>
      </x:c>
      <x:c r="C2519"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19" s="6" t="str">
        <x:v>4 rooms</x:v>
      </x:c>
      <x:c r="E2519" s="6" t="str">
        <x:v>Reference supplied</x:v>
      </x:c>
      <x:c r="F2519" s="6" t="str">
        <x:v>train</x:v>
      </x:c>
      <x:c r="G2519" s="6" t="str">
        <x:v>resplan-7667</x:v>
      </x:c>
      <x:c r="H2519" s="6" t="str">
        <x:v>resplan-7667-H01</x:v>
      </x:c>
      <x:c r="I2519" s="6" t="str">
        <x:v>Constrained reachability</x:v>
      </x:c>
      <x:c r="J2519" s="6" t="str">
        <x:v>Benchmark</x:v>
      </x:c>
      <x:c r="K2519" s="6" t="str">
        <x:v>Answer: &lt;one exact integer&gt;</x:v>
      </x:c>
      <x:c r="L2519" s="6" t="str">
        <x:v>T02, T05, T06, T14</x:v>
      </x:c>
      <x:c r="M2519" s="6" t="str">
        <x:v>Count rooms reachable with a wide load that cannot use stairs or steps.</x:v>
      </x:c>
      <x:c r="N2519" s="6" t="str">
        <x:v>{"type":"number","value":4,"unit":"rooms","relative_tolerance":0,"absolute_tolerance":0}</x:v>
      </x:c>
      <x:c r="O2519" s="6" t="str">
        <x:v>{"start":"resplan-7667-F0-S001","floor_id":"resplan-7667-F0","min_width":1.1}</x:v>
      </x:c>
      <x:c r="P2519" s="6" t="str">
        <x:v>No stairs/steps. All doors &gt;= 1.1 m. Lifts allowed. Count type=room on target floor.</x:v>
      </x:c>
      <x:c r="Q2519" s="15" t="n">
        <x:v>4</x:v>
      </x:c>
      <x:c r="R2519" s="6" t="str">
        <x:v>rooms</x:v>
      </x:c>
      <x:c r="S2519" s="16" t="n">
        <x:v>0</x:v>
      </x:c>
      <x:c r="T2519" s="15" t="n">
        <x:v>0</x:v>
      </x:c>
      <x:c r="U2519" s="6" t="str">
        <x:v>Answer: 4</x:v>
      </x:c>
      <x:c r="V2519" s="6" t="str">
        <x:v>door widths + reachability</x:v>
      </x:c>
      <x:c r="W2519" s="6" t="str">
        <x:v>Missing minimum-width filter and aggregate reachability. Existing router only filters step_free.</x:v>
      </x:c>
      <x:c r="X2519" s="6" t="str">
        <x:v>data/train/resplan-7667/questions.jsonl</x:v>
      </x:c>
      <x:c r="Y2519" s="14" t="n">
        <x:v>1</x:v>
      </x:c>
      <x:c r="Z2519" s="6" t="str">
        <x:v>https://github.com/hagenhaeussler/Industrial-Agents-Hackathon-2026/blob/f41616590b69f3ea0c1cbfb41d6c35edd9ce53df/data/train/resplan-7667/questions.jsonl#L1</x:v>
      </x:c>
      <x:c r="AA2519" s="6" t="str">
        <x:v>resplan</x:v>
      </x:c>
      <x:c r="AB2519" s="6" t="str">
        <x:v>CC-BY-4.0</x:v>
      </x:c>
    </x:row>
    <x:row r="2520" ht="82" customHeight="1">
      <x:c r="A2520" s="14" t="n">
        <x:v>2515</x:v>
      </x:c>
      <x:c r="B2520" s="6" t="str">
        <x:v>wide_delivery_count</x:v>
      </x:c>
      <x:c r="C2520" s="6" t="str">
        <x:v>I'm moving a 1.0 m wide cleaning machine.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20" s="6" t="str">
        <x:v>5 rooms</x:v>
      </x:c>
      <x:c r="E2520" s="6" t="str">
        <x:v>Reference supplied</x:v>
      </x:c>
      <x:c r="F2520" s="6" t="str">
        <x:v>train</x:v>
      </x:c>
      <x:c r="G2520" s="6" t="str">
        <x:v>resplan-8080</x:v>
      </x:c>
      <x:c r="H2520" s="6" t="str">
        <x:v>resplan-8080-H01</x:v>
      </x:c>
      <x:c r="I2520" s="6" t="str">
        <x:v>Constrained reachability</x:v>
      </x:c>
      <x:c r="J2520" s="6" t="str">
        <x:v>Benchmark</x:v>
      </x:c>
      <x:c r="K2520" s="6" t="str">
        <x:v>Answer: &lt;one exact integer&gt;</x:v>
      </x:c>
      <x:c r="L2520" s="6" t="str">
        <x:v>T02, T05, T06, T14</x:v>
      </x:c>
      <x:c r="M2520" s="6" t="str">
        <x:v>Count rooms reachable with a wide load that cannot use stairs or steps.</x:v>
      </x:c>
      <x:c r="N2520" s="6" t="str">
        <x:v>{"type":"number","value":5,"unit":"rooms","relative_tolerance":0,"absolute_tolerance":0}</x:v>
      </x:c>
      <x:c r="O2520" s="6" t="str">
        <x:v>{"start":"resplan-8080-F0-S001","floor_id":"resplan-8080-F0","min_width":1}</x:v>
      </x:c>
      <x:c r="P2520" s="6" t="str">
        <x:v>No stairs/steps. All doors &gt;= 1 m. Lifts allowed. Count type=room on target floor.</x:v>
      </x:c>
      <x:c r="Q2520" s="15" t="n">
        <x:v>5</x:v>
      </x:c>
      <x:c r="R2520" s="6" t="str">
        <x:v>rooms</x:v>
      </x:c>
      <x:c r="S2520" s="16" t="n">
        <x:v>0</x:v>
      </x:c>
      <x:c r="T2520" s="15" t="n">
        <x:v>0</x:v>
      </x:c>
      <x:c r="U2520" s="6" t="str">
        <x:v>Answer: 5</x:v>
      </x:c>
      <x:c r="V2520" s="6" t="str">
        <x:v>door widths + reachability</x:v>
      </x:c>
      <x:c r="W2520" s="6" t="str">
        <x:v>Missing minimum-width filter and aggregate reachability. Existing router only filters step_free.</x:v>
      </x:c>
      <x:c r="X2520" s="6" t="str">
        <x:v>data/train/resplan-8080/questions.jsonl</x:v>
      </x:c>
      <x:c r="Y2520" s="14" t="n">
        <x:v>1</x:v>
      </x:c>
      <x:c r="Z2520" s="6" t="str">
        <x:v>https://github.com/hagenhaeussler/Industrial-Agents-Hackathon-2026/blob/f41616590b69f3ea0c1cbfb41d6c35edd9ce53df/data/train/resplan-8080/questions.jsonl#L1</x:v>
      </x:c>
      <x:c r="AA2520" s="6" t="str">
        <x:v>resplan</x:v>
      </x:c>
      <x:c r="AB2520" s="6" t="str">
        <x:v>CC-BY-4.0</x:v>
      </x:c>
    </x:row>
    <x:row r="2521" ht="82" customHeight="1">
      <x:c r="A2521" s="14" t="n">
        <x:v>2516</x:v>
      </x:c>
      <x:c r="B2521" s="6" t="str">
        <x:v>wide_delivery_count</x:v>
      </x:c>
      <x:c r="C2521" s="6" t="str">
        <x:v>I'm moving a 1.0 m wide pallet of equipment.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21" s="6" t="str">
        <x:v>7 rooms</x:v>
      </x:c>
      <x:c r="E2521" s="6" t="str">
        <x:v>Reference supplied</x:v>
      </x:c>
      <x:c r="F2521" s="6" t="str">
        <x:v>train</x:v>
      </x:c>
      <x:c r="G2521" s="6" t="str">
        <x:v>resplan-8565</x:v>
      </x:c>
      <x:c r="H2521" s="6" t="str">
        <x:v>resplan-8565-H03</x:v>
      </x:c>
      <x:c r="I2521" s="6" t="str">
        <x:v>Constrained reachability</x:v>
      </x:c>
      <x:c r="J2521" s="6" t="str">
        <x:v>Benchmark</x:v>
      </x:c>
      <x:c r="K2521" s="6" t="str">
        <x:v>Answer: &lt;one exact integer&gt;</x:v>
      </x:c>
      <x:c r="L2521" s="6" t="str">
        <x:v>T02, T05, T06, T14</x:v>
      </x:c>
      <x:c r="M2521" s="6" t="str">
        <x:v>Count rooms reachable with a wide load that cannot use stairs or steps.</x:v>
      </x:c>
      <x:c r="N2521" s="6" t="str">
        <x:v>{"type":"number","value":7,"unit":"rooms","relative_tolerance":0,"absolute_tolerance":0}</x:v>
      </x:c>
      <x:c r="O2521" s="6" t="str">
        <x:v>{"start":"resplan-8565-F0-S001","floor_id":"resplan-8565-F0","min_width":1}</x:v>
      </x:c>
      <x:c r="P2521" s="6" t="str">
        <x:v>No stairs/steps. All doors &gt;= 1 m. Lifts allowed. Count type=room on target floor.</x:v>
      </x:c>
      <x:c r="Q2521" s="15" t="n">
        <x:v>7</x:v>
      </x:c>
      <x:c r="R2521" s="6" t="str">
        <x:v>rooms</x:v>
      </x:c>
      <x:c r="S2521" s="16" t="n">
        <x:v>0</x:v>
      </x:c>
      <x:c r="T2521" s="15" t="n">
        <x:v>0</x:v>
      </x:c>
      <x:c r="U2521" s="6" t="str">
        <x:v>Answer: 7</x:v>
      </x:c>
      <x:c r="V2521" s="6" t="str">
        <x:v>door widths + reachability</x:v>
      </x:c>
      <x:c r="W2521" s="6" t="str">
        <x:v>Missing minimum-width filter and aggregate reachability. Existing router only filters step_free.</x:v>
      </x:c>
      <x:c r="X2521" s="6" t="str">
        <x:v>data/train/resplan-8565/questions.jsonl</x:v>
      </x:c>
      <x:c r="Y2521" s="14" t="n">
        <x:v>3</x:v>
      </x:c>
      <x:c r="Z2521" s="6" t="str">
        <x:v>https://github.com/hagenhaeussler/Industrial-Agents-Hackathon-2026/blob/f41616590b69f3ea0c1cbfb41d6c35edd9ce53df/data/train/resplan-8565/questions.jsonl#L3</x:v>
      </x:c>
      <x:c r="AA2521" s="6" t="str">
        <x:v>resplan</x:v>
      </x:c>
      <x:c r="AB2521" s="6" t="str">
        <x:v>CC-BY-4.0</x:v>
      </x:c>
    </x:row>
    <x:row r="2522" ht="82" customHeight="1">
      <x:c r="A2522" s="14" t="n">
        <x:v>2517</x:v>
      </x:c>
      <x:c r="B2522" s="6" t="str">
        <x:v>wide_delivery_count</x:v>
      </x:c>
      <x:c r="C2522" s="6" t="str">
        <x:v>I'm moving a 1.1 m wide hospital bed.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22" s="6" t="str">
        <x:v>3 rooms</x:v>
      </x:c>
      <x:c r="E2522" s="6" t="str">
        <x:v>Reference supplied</x:v>
      </x:c>
      <x:c r="F2522" s="6" t="str">
        <x:v>train</x:v>
      </x:c>
      <x:c r="G2522" s="6" t="str">
        <x:v>resplan-8889</x:v>
      </x:c>
      <x:c r="H2522" s="6" t="str">
        <x:v>resplan-8889-H01</x:v>
      </x:c>
      <x:c r="I2522" s="6" t="str">
        <x:v>Constrained reachability</x:v>
      </x:c>
      <x:c r="J2522" s="6" t="str">
        <x:v>Benchmark</x:v>
      </x:c>
      <x:c r="K2522" s="6" t="str">
        <x:v>Answer: &lt;one exact integer&gt;</x:v>
      </x:c>
      <x:c r="L2522" s="6" t="str">
        <x:v>T02, T05, T06, T14</x:v>
      </x:c>
      <x:c r="M2522" s="6" t="str">
        <x:v>Count rooms reachable with a wide load that cannot use stairs or steps.</x:v>
      </x:c>
      <x:c r="N2522" s="6" t="str">
        <x:v>{"type":"number","value":3,"unit":"rooms","relative_tolerance":0,"absolute_tolerance":0}</x:v>
      </x:c>
      <x:c r="O2522" s="6" t="str">
        <x:v>{"start":"resplan-8889-F0-S001","floor_id":"resplan-8889-F0","min_width":1.1}</x:v>
      </x:c>
      <x:c r="P2522" s="6" t="str">
        <x:v>No stairs/steps. All doors &gt;= 1.1 m. Lifts allowed. Count type=room on target floor.</x:v>
      </x:c>
      <x:c r="Q2522" s="15" t="n">
        <x:v>3</x:v>
      </x:c>
      <x:c r="R2522" s="6" t="str">
        <x:v>rooms</x:v>
      </x:c>
      <x:c r="S2522" s="16" t="n">
        <x:v>0</x:v>
      </x:c>
      <x:c r="T2522" s="15" t="n">
        <x:v>0</x:v>
      </x:c>
      <x:c r="U2522" s="6" t="str">
        <x:v>Answer: 3</x:v>
      </x:c>
      <x:c r="V2522" s="6" t="str">
        <x:v>door widths + reachability</x:v>
      </x:c>
      <x:c r="W2522" s="6" t="str">
        <x:v>Missing minimum-width filter and aggregate reachability. Existing router only filters step_free.</x:v>
      </x:c>
      <x:c r="X2522" s="6" t="str">
        <x:v>data/train/resplan-8889/questions.jsonl</x:v>
      </x:c>
      <x:c r="Y2522" s="14" t="n">
        <x:v>1</x:v>
      </x:c>
      <x:c r="Z2522" s="6" t="str">
        <x:v>https://github.com/hagenhaeussler/Industrial-Agents-Hackathon-2026/blob/f41616590b69f3ea0c1cbfb41d6c35edd9ce53df/data/train/resplan-8889/questions.jsonl#L1</x:v>
      </x:c>
      <x:c r="AA2522" s="6" t="str">
        <x:v>resplan</x:v>
      </x:c>
      <x:c r="AB2522" s="6" t="str">
        <x:v>CC-BY-4.0</x:v>
      </x:c>
    </x:row>
    <x:row r="2523" ht="82" customHeight="1">
      <x:c r="A2523" s="14" t="n">
        <x:v>2518</x:v>
      </x:c>
      <x:c r="B2523" s="6" t="str">
        <x:v>wide_delivery_count</x:v>
      </x:c>
      <x:c r="C2523" s="6" t="str">
        <x:v>I'm moving a 1.0 m wide cleaning machine.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23" s="6" t="str">
        <x:v>9 rooms</x:v>
      </x:c>
      <x:c r="E2523" s="6" t="str">
        <x:v>Reference supplied</x:v>
      </x:c>
      <x:c r="F2523" s="6" t="str">
        <x:v>train</x:v>
      </x:c>
      <x:c r="G2523" s="6" t="str">
        <x:v>resplan-9082</x:v>
      </x:c>
      <x:c r="H2523" s="6" t="str">
        <x:v>resplan-9082-H03</x:v>
      </x:c>
      <x:c r="I2523" s="6" t="str">
        <x:v>Constrained reachability</x:v>
      </x:c>
      <x:c r="J2523" s="6" t="str">
        <x:v>Benchmark</x:v>
      </x:c>
      <x:c r="K2523" s="6" t="str">
        <x:v>Answer: &lt;one exact integer&gt;</x:v>
      </x:c>
      <x:c r="L2523" s="6" t="str">
        <x:v>T02, T05, T06, T14</x:v>
      </x:c>
      <x:c r="M2523" s="6" t="str">
        <x:v>Count rooms reachable with a wide load that cannot use stairs or steps.</x:v>
      </x:c>
      <x:c r="N2523" s="6" t="str">
        <x:v>{"type":"number","value":9,"unit":"rooms","relative_tolerance":0,"absolute_tolerance":0}</x:v>
      </x:c>
      <x:c r="O2523" s="6" t="str">
        <x:v>{"start":"resplan-9082-F0-S001","floor_id":"resplan-9082-F0","min_width":1}</x:v>
      </x:c>
      <x:c r="P2523" s="6" t="str">
        <x:v>No stairs/steps. All doors &gt;= 1 m. Lifts allowed. Count type=room on target floor.</x:v>
      </x:c>
      <x:c r="Q2523" s="15" t="n">
        <x:v>9</x:v>
      </x:c>
      <x:c r="R2523" s="6" t="str">
        <x:v>rooms</x:v>
      </x:c>
      <x:c r="S2523" s="16" t="n">
        <x:v>0</x:v>
      </x:c>
      <x:c r="T2523" s="15" t="n">
        <x:v>0</x:v>
      </x:c>
      <x:c r="U2523" s="6" t="str">
        <x:v>Answer: 9</x:v>
      </x:c>
      <x:c r="V2523" s="6" t="str">
        <x:v>door widths + reachability</x:v>
      </x:c>
      <x:c r="W2523" s="6" t="str">
        <x:v>Missing minimum-width filter and aggregate reachability. Existing router only filters step_free.</x:v>
      </x:c>
      <x:c r="X2523" s="6" t="str">
        <x:v>data/train/resplan-9082/questions.jsonl</x:v>
      </x:c>
      <x:c r="Y2523" s="14" t="n">
        <x:v>3</x:v>
      </x:c>
      <x:c r="Z2523" s="6" t="str">
        <x:v>https://github.com/hagenhaeussler/Industrial-Agents-Hackathon-2026/blob/f41616590b69f3ea0c1cbfb41d6c35edd9ce53df/data/train/resplan-9082/questions.jsonl#L3</x:v>
      </x:c>
      <x:c r="AA2523" s="6" t="str">
        <x:v>resplan</x:v>
      </x:c>
      <x:c r="AB2523" s="6" t="str">
        <x:v>CC-BY-4.0</x:v>
      </x:c>
    </x:row>
    <x:row r="2524" ht="82" customHeight="1">
      <x:c r="A2524" s="14" t="n">
        <x:v>2519</x:v>
      </x:c>
      <x:c r="B2524" s="6" t="str">
        <x:v>wide_delivery_count</x:v>
      </x:c>
      <x:c r="C2524" s="6" t="str">
        <x:v>I'm moving a 1.0 m wide pallet of equipment.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24" s="6" t="str">
        <x:v>4 rooms</x:v>
      </x:c>
      <x:c r="E2524" s="6" t="str">
        <x:v>Reference supplied</x:v>
      </x:c>
      <x:c r="F2524" s="6" t="str">
        <x:v>train</x:v>
      </x:c>
      <x:c r="G2524" s="6" t="str">
        <x:v>resplan-9204</x:v>
      </x:c>
      <x:c r="H2524" s="6" t="str">
        <x:v>resplan-9204-H02</x:v>
      </x:c>
      <x:c r="I2524" s="6" t="str">
        <x:v>Constrained reachability</x:v>
      </x:c>
      <x:c r="J2524" s="6" t="str">
        <x:v>Benchmark</x:v>
      </x:c>
      <x:c r="K2524" s="6" t="str">
        <x:v>Answer: &lt;one exact integer&gt;</x:v>
      </x:c>
      <x:c r="L2524" s="6" t="str">
        <x:v>T02, T05, T06, T14</x:v>
      </x:c>
      <x:c r="M2524" s="6" t="str">
        <x:v>Count rooms reachable with a wide load that cannot use stairs or steps.</x:v>
      </x:c>
      <x:c r="N2524" s="6" t="str">
        <x:v>{"type":"number","value":4,"unit":"rooms","relative_tolerance":0,"absolute_tolerance":0}</x:v>
      </x:c>
      <x:c r="O2524" s="6" t="str">
        <x:v>{"start":"resplan-9204-F0-S001","floor_id":"resplan-9204-F0","min_width":1}</x:v>
      </x:c>
      <x:c r="P2524" s="6" t="str">
        <x:v>No stairs/steps. All doors &gt;= 1 m. Lifts allowed. Count type=room on target floor.</x:v>
      </x:c>
      <x:c r="Q2524" s="15" t="n">
        <x:v>4</x:v>
      </x:c>
      <x:c r="R2524" s="6" t="str">
        <x:v>rooms</x:v>
      </x:c>
      <x:c r="S2524" s="16" t="n">
        <x:v>0</x:v>
      </x:c>
      <x:c r="T2524" s="15" t="n">
        <x:v>0</x:v>
      </x:c>
      <x:c r="U2524" s="6" t="str">
        <x:v>Answer: 4</x:v>
      </x:c>
      <x:c r="V2524" s="6" t="str">
        <x:v>door widths + reachability</x:v>
      </x:c>
      <x:c r="W2524" s="6" t="str">
        <x:v>Missing minimum-width filter and aggregate reachability. Existing router only filters step_free.</x:v>
      </x:c>
      <x:c r="X2524" s="6" t="str">
        <x:v>data/train/resplan-9204/questions.jsonl</x:v>
      </x:c>
      <x:c r="Y2524" s="14" t="n">
        <x:v>2</x:v>
      </x:c>
      <x:c r="Z2524" s="6" t="str">
        <x:v>https://github.com/hagenhaeussler/Industrial-Agents-Hackathon-2026/blob/f41616590b69f3ea0c1cbfb41d6c35edd9ce53df/data/train/resplan-9204/questions.jsonl#L2</x:v>
      </x:c>
      <x:c r="AA2524" s="6" t="str">
        <x:v>resplan</x:v>
      </x:c>
      <x:c r="AB2524" s="6" t="str">
        <x:v>CC-BY-4.0</x:v>
      </x:c>
    </x:row>
    <x:row r="2525" ht="82" customHeight="1">
      <x:c r="A2525" s="14" t="n">
        <x:v>2520</x:v>
      </x:c>
      <x:c r="B2525" s="6" t="str">
        <x:v>wide_delivery_count</x:v>
      </x:c>
      <x:c r="C2525"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25" s="6" t="str">
        <x:v>4 rooms</x:v>
      </x:c>
      <x:c r="E2525" s="6" t="str">
        <x:v>Reference supplied</x:v>
      </x:c>
      <x:c r="F2525" s="6" t="str">
        <x:v>train</x:v>
      </x:c>
      <x:c r="G2525" s="6" t="str">
        <x:v>resplan-9416</x:v>
      </x:c>
      <x:c r="H2525" s="6" t="str">
        <x:v>resplan-9416-H01</x:v>
      </x:c>
      <x:c r="I2525" s="6" t="str">
        <x:v>Constrained reachability</x:v>
      </x:c>
      <x:c r="J2525" s="6" t="str">
        <x:v>Benchmark</x:v>
      </x:c>
      <x:c r="K2525" s="6" t="str">
        <x:v>Answer: &lt;one exact integer&gt;</x:v>
      </x:c>
      <x:c r="L2525" s="6" t="str">
        <x:v>T02, T05, T06, T14</x:v>
      </x:c>
      <x:c r="M2525" s="6" t="str">
        <x:v>Count rooms reachable with a wide load that cannot use stairs or steps.</x:v>
      </x:c>
      <x:c r="N2525" s="6" t="str">
        <x:v>{"type":"number","value":4,"unit":"rooms","relative_tolerance":0,"absolute_tolerance":0}</x:v>
      </x:c>
      <x:c r="O2525" s="6" t="str">
        <x:v>{"start":"resplan-9416-F0-S001","floor_id":"resplan-9416-F0","min_width":1.1}</x:v>
      </x:c>
      <x:c r="P2525" s="6" t="str">
        <x:v>No stairs/steps. All doors &gt;= 1.1 m. Lifts allowed. Count type=room on target floor.</x:v>
      </x:c>
      <x:c r="Q2525" s="15" t="n">
        <x:v>4</x:v>
      </x:c>
      <x:c r="R2525" s="6" t="str">
        <x:v>rooms</x:v>
      </x:c>
      <x:c r="S2525" s="16" t="n">
        <x:v>0</x:v>
      </x:c>
      <x:c r="T2525" s="15" t="n">
        <x:v>0</x:v>
      </x:c>
      <x:c r="U2525" s="6" t="str">
        <x:v>Answer: 4</x:v>
      </x:c>
      <x:c r="V2525" s="6" t="str">
        <x:v>door widths + reachability</x:v>
      </x:c>
      <x:c r="W2525" s="6" t="str">
        <x:v>Missing minimum-width filter and aggregate reachability. Existing router only filters step_free.</x:v>
      </x:c>
      <x:c r="X2525" s="6" t="str">
        <x:v>data/train/resplan-9416/questions.jsonl</x:v>
      </x:c>
      <x:c r="Y2525" s="14" t="n">
        <x:v>1</x:v>
      </x:c>
      <x:c r="Z2525" s="6" t="str">
        <x:v>https://github.com/hagenhaeussler/Industrial-Agents-Hackathon-2026/blob/f41616590b69f3ea0c1cbfb41d6c35edd9ce53df/data/train/resplan-9416/questions.jsonl#L1</x:v>
      </x:c>
      <x:c r="AA2525" s="6" t="str">
        <x:v>resplan</x:v>
      </x:c>
      <x:c r="AB2525" s="6" t="str">
        <x:v>CC-BY-4.0</x:v>
      </x:c>
    </x:row>
    <x:row r="2526" ht="82" customHeight="1">
      <x:c r="A2526" s="14" t="n">
        <x:v>2521</x:v>
      </x:c>
      <x:c r="B2526" s="6" t="str">
        <x:v>wide_delivery_count</x:v>
      </x:c>
      <x:c r="C2526" s="6" t="str">
        <x:v>I'm moving a 1.0 m wide pallet of equipment.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26" s="6" t="str">
        <x:v>4 rooms</x:v>
      </x:c>
      <x:c r="E2526" s="6" t="str">
        <x:v>Reference supplied</x:v>
      </x:c>
      <x:c r="F2526" s="6" t="str">
        <x:v>train</x:v>
      </x:c>
      <x:c r="G2526" s="6" t="str">
        <x:v>resplan-9872</x:v>
      </x:c>
      <x:c r="H2526" s="6" t="str">
        <x:v>resplan-9872-H01</x:v>
      </x:c>
      <x:c r="I2526" s="6" t="str">
        <x:v>Constrained reachability</x:v>
      </x:c>
      <x:c r="J2526" s="6" t="str">
        <x:v>Benchmark</x:v>
      </x:c>
      <x:c r="K2526" s="6" t="str">
        <x:v>Answer: &lt;one exact integer&gt;</x:v>
      </x:c>
      <x:c r="L2526" s="6" t="str">
        <x:v>T02, T05, T06, T14</x:v>
      </x:c>
      <x:c r="M2526" s="6" t="str">
        <x:v>Count rooms reachable with a wide load that cannot use stairs or steps.</x:v>
      </x:c>
      <x:c r="N2526" s="6" t="str">
        <x:v>{"type":"number","value":4,"unit":"rooms","relative_tolerance":0,"absolute_tolerance":0}</x:v>
      </x:c>
      <x:c r="O2526" s="6" t="str">
        <x:v>{"start":"resplan-9872-F0-S001","floor_id":"resplan-9872-F0","min_width":1}</x:v>
      </x:c>
      <x:c r="P2526" s="6" t="str">
        <x:v>No stairs/steps. All doors &gt;= 1 m. Lifts allowed. Count type=room on target floor.</x:v>
      </x:c>
      <x:c r="Q2526" s="15" t="n">
        <x:v>4</x:v>
      </x:c>
      <x:c r="R2526" s="6" t="str">
        <x:v>rooms</x:v>
      </x:c>
      <x:c r="S2526" s="16" t="n">
        <x:v>0</x:v>
      </x:c>
      <x:c r="T2526" s="15" t="n">
        <x:v>0</x:v>
      </x:c>
      <x:c r="U2526" s="6" t="str">
        <x:v>Answer: 4</x:v>
      </x:c>
      <x:c r="V2526" s="6" t="str">
        <x:v>door widths + reachability</x:v>
      </x:c>
      <x:c r="W2526" s="6" t="str">
        <x:v>Missing minimum-width filter and aggregate reachability. Existing router only filters step_free.</x:v>
      </x:c>
      <x:c r="X2526" s="6" t="str">
        <x:v>data/train/resplan-9872/questions.jsonl</x:v>
      </x:c>
      <x:c r="Y2526" s="14" t="n">
        <x:v>1</x:v>
      </x:c>
      <x:c r="Z2526" s="6" t="str">
        <x:v>https://github.com/hagenhaeussler/Industrial-Agents-Hackathon-2026/blob/f41616590b69f3ea0c1cbfb41d6c35edd9ce53df/data/train/resplan-9872/questions.jsonl#L1</x:v>
      </x:c>
      <x:c r="AA2526" s="6" t="str">
        <x:v>resplan</x:v>
      </x:c>
      <x:c r="AB2526" s="6" t="str">
        <x:v>CC-BY-4.0</x:v>
      </x:c>
    </x:row>
    <x:row r="2527" ht="82" customHeight="1">
      <x:c r="A2527" s="14" t="n">
        <x:v>2522</x:v>
      </x:c>
      <x:c r="B2527" s="6" t="str">
        <x:v>wide_delivery_count</x:v>
      </x:c>
      <x:c r="C2527" s="6" t="str">
        <x:v>I'm moving a 1.0 m wide trolley. It can't go on stairs or steps (lifts are fine), and every door it passes through must be at least 1.0 m wide. It arrives through the entrance into Landing 0.51 (Ground floor). Into how many rooms on the ground floor can it be delivered? Finish with a line 'Answer: &lt;number&gt;'.</x:v>
      </x:c>
      <x:c r="D2527" s="6" t="str">
        <x:v>4 rooms</x:v>
      </x:c>
      <x:c r="E2527" s="6" t="str">
        <x:v>Reference supplied</x:v>
      </x:c>
      <x:c r="F2527" s="6" t="str">
        <x:v>train</x:v>
      </x:c>
      <x:c r="G2527" s="6" t="str">
        <x:v>swiss-1444</x:v>
      </x:c>
      <x:c r="H2527" s="6" t="str">
        <x:v>swiss-1444-H02</x:v>
      </x:c>
      <x:c r="I2527" s="6" t="str">
        <x:v>Constrained reachability</x:v>
      </x:c>
      <x:c r="J2527" s="6" t="str">
        <x:v>Benchmark</x:v>
      </x:c>
      <x:c r="K2527" s="6" t="str">
        <x:v>Answer: &lt;one exact integer&gt;</x:v>
      </x:c>
      <x:c r="L2527" s="6" t="str">
        <x:v>T02, T05, T06, T14</x:v>
      </x:c>
      <x:c r="M2527" s="6" t="str">
        <x:v>Count rooms reachable with a wide load that cannot use stairs or steps.</x:v>
      </x:c>
      <x:c r="N2527" s="6" t="str">
        <x:v>{"type":"number","value":4,"unit":"rooms","relative_tolerance":0,"absolute_tolerance":0}</x:v>
      </x:c>
      <x:c r="O2527" s="6" t="str">
        <x:v>{"start":"swiss-1444-F0-S051","floor_id":"swiss-1444-F0","min_width":1}</x:v>
      </x:c>
      <x:c r="P2527" s="6" t="str">
        <x:v>No stairs/steps. All doors &gt;= 1 m. Lifts allowed. Count type=room on target floor.</x:v>
      </x:c>
      <x:c r="Q2527" s="15" t="n">
        <x:v>4</x:v>
      </x:c>
      <x:c r="R2527" s="6" t="str">
        <x:v>rooms</x:v>
      </x:c>
      <x:c r="S2527" s="16" t="n">
        <x:v>0</x:v>
      </x:c>
      <x:c r="T2527" s="15" t="n">
        <x:v>0</x:v>
      </x:c>
      <x:c r="U2527" s="6" t="str">
        <x:v>Answer: 4</x:v>
      </x:c>
      <x:c r="V2527" s="6" t="str">
        <x:v>door widths + reachability</x:v>
      </x:c>
      <x:c r="W2527" s="6" t="str">
        <x:v>Missing minimum-width filter and aggregate reachability. Existing router only filters step_free.</x:v>
      </x:c>
      <x:c r="X2527" s="6" t="str">
        <x:v>data/train/swiss-1444/questions.jsonl</x:v>
      </x:c>
      <x:c r="Y2527" s="14" t="n">
        <x:v>2</x:v>
      </x:c>
      <x:c r="Z2527" s="6" t="str">
        <x:v>https://github.com/hagenhaeussler/Industrial-Agents-Hackathon-2026/blob/f41616590b69f3ea0c1cbfb41d6c35edd9ce53df/data/train/swiss-1444/questions.jsonl#L2</x:v>
      </x:c>
      <x:c r="AA2527" s="6" t="str">
        <x:v>swiss_dwellings</x:v>
      </x:c>
      <x:c r="AB2527" s="6" t="str">
        <x:v>CC-BY-4.0</x:v>
      </x:c>
    </x:row>
    <x:row r="2528" ht="82" customHeight="1">
      <x:c r="A2528" s="14" t="n">
        <x:v>2523</x:v>
      </x:c>
      <x:c r="B2528" s="6" t="str">
        <x:v>wide_delivery_count</x:v>
      </x:c>
      <x:c r="C2528" s="6" t="str">
        <x:v>I'm moving a 1.0 m wide hospital bed. It can't go on stairs or steps (lifts are fine), and every door it passes through must be at least 1.0 m wide. It arrives through the entrance into Landing 0.27 (Ground floor). Into how many rooms on the floor 4 can it be delivered? Finish with a line 'Answer: &lt;number&gt;'.</x:v>
      </x:c>
      <x:c r="D2528" s="6" t="str">
        <x:v>10 rooms</x:v>
      </x:c>
      <x:c r="E2528" s="6" t="str">
        <x:v>Reference supplied</x:v>
      </x:c>
      <x:c r="F2528" s="6" t="str">
        <x:v>train</x:v>
      </x:c>
      <x:c r="G2528" s="6" t="str">
        <x:v>swiss-2084</x:v>
      </x:c>
      <x:c r="H2528" s="6" t="str">
        <x:v>swiss-2084-H03</x:v>
      </x:c>
      <x:c r="I2528" s="6" t="str">
        <x:v>Constrained reachability</x:v>
      </x:c>
      <x:c r="J2528" s="6" t="str">
        <x:v>Benchmark</x:v>
      </x:c>
      <x:c r="K2528" s="6" t="str">
        <x:v>Answer: &lt;one exact integer&gt;</x:v>
      </x:c>
      <x:c r="L2528" s="6" t="str">
        <x:v>T02, T05, T06, T14</x:v>
      </x:c>
      <x:c r="M2528" s="6" t="str">
        <x:v>Count rooms reachable with a wide load that cannot use stairs or steps.</x:v>
      </x:c>
      <x:c r="N2528" s="6" t="str">
        <x:v>{"type":"number","value":10,"unit":"rooms","relative_tolerance":0,"absolute_tolerance":0}</x:v>
      </x:c>
      <x:c r="O2528" s="6" t="str">
        <x:v>{"start":"swiss-2084-F0-S027","floor_id":"swiss-2084-F4","min_width":1}</x:v>
      </x:c>
      <x:c r="P2528" s="6" t="str">
        <x:v>No stairs/steps. All doors &gt;= 1 m. Lifts allowed. Count type=room on target floor.</x:v>
      </x:c>
      <x:c r="Q2528" s="15" t="n">
        <x:v>10</x:v>
      </x:c>
      <x:c r="R2528" s="6" t="str">
        <x:v>rooms</x:v>
      </x:c>
      <x:c r="S2528" s="16" t="n">
        <x:v>0</x:v>
      </x:c>
      <x:c r="T2528" s="15" t="n">
        <x:v>0</x:v>
      </x:c>
      <x:c r="U2528" s="6" t="str">
        <x:v>Answer: 10</x:v>
      </x:c>
      <x:c r="V2528" s="6" t="str">
        <x:v>door widths + reachability</x:v>
      </x:c>
      <x:c r="W2528" s="6" t="str">
        <x:v>Missing minimum-width filter and aggregate reachability. Existing router only filters step_free.</x:v>
      </x:c>
      <x:c r="X2528" s="6" t="str">
        <x:v>data/train/swiss-2084/questions.jsonl</x:v>
      </x:c>
      <x:c r="Y2528" s="14" t="n">
        <x:v>3</x:v>
      </x:c>
      <x:c r="Z2528" s="6" t="str">
        <x:v>https://github.com/hagenhaeussler/Industrial-Agents-Hackathon-2026/blob/f41616590b69f3ea0c1cbfb41d6c35edd9ce53df/data/train/swiss-2084/questions.jsonl#L3</x:v>
      </x:c>
      <x:c r="AA2528" s="6" t="str">
        <x:v>swiss_dwellings</x:v>
      </x:c>
      <x:c r="AB2528" s="6" t="str">
        <x:v>CC-BY-4.0</x:v>
      </x:c>
    </x:row>
    <x:row r="2529" ht="82" customHeight="1">
      <x:c r="A2529" s="14" t="n">
        <x:v>2524</x:v>
      </x:c>
      <x:c r="B2529" s="6" t="str">
        <x:v>wide_delivery_count</x:v>
      </x:c>
      <x:c r="C2529" s="6" t="str">
        <x:v>I'm moving a 1.0 m wide cleaning machine. It can't go on stairs or steps (lifts are fine), and every door it passes through must be at least 1.0 m wide. It arrives through the entrance into Landing 0.43 (Ground floor). Into how many rooms on the ground floor can it be delivered? Finish with a line 'Answer: &lt;number&gt;'.</x:v>
      </x:c>
      <x:c r="D2529" s="6" t="str">
        <x:v>3 rooms</x:v>
      </x:c>
      <x:c r="E2529" s="6" t="str">
        <x:v>Reference supplied</x:v>
      </x:c>
      <x:c r="F2529" s="6" t="str">
        <x:v>train</x:v>
      </x:c>
      <x:c r="G2529" s="6" t="str">
        <x:v>swiss-3066</x:v>
      </x:c>
      <x:c r="H2529" s="6" t="str">
        <x:v>swiss-3066-H02</x:v>
      </x:c>
      <x:c r="I2529" s="6" t="str">
        <x:v>Constrained reachability</x:v>
      </x:c>
      <x:c r="J2529" s="6" t="str">
        <x:v>Benchmark</x:v>
      </x:c>
      <x:c r="K2529" s="6" t="str">
        <x:v>Answer: &lt;one exact integer&gt;</x:v>
      </x:c>
      <x:c r="L2529" s="6" t="str">
        <x:v>T02, T05, T06, T14</x:v>
      </x:c>
      <x:c r="M2529" s="6" t="str">
        <x:v>Count rooms reachable with a wide load that cannot use stairs or steps.</x:v>
      </x:c>
      <x:c r="N2529" s="6" t="str">
        <x:v>{"type":"number","value":3,"unit":"rooms","relative_tolerance":0,"absolute_tolerance":0}</x:v>
      </x:c>
      <x:c r="O2529" s="6" t="str">
        <x:v>{"start":"swiss-3066-F0-S043","floor_id":"swiss-3066-F0","min_width":1}</x:v>
      </x:c>
      <x:c r="P2529" s="6" t="str">
        <x:v>No stairs/steps. All doors &gt;= 1 m. Lifts allowed. Count type=room on target floor.</x:v>
      </x:c>
      <x:c r="Q2529" s="15" t="n">
        <x:v>3</x:v>
      </x:c>
      <x:c r="R2529" s="6" t="str">
        <x:v>rooms</x:v>
      </x:c>
      <x:c r="S2529" s="16" t="n">
        <x:v>0</x:v>
      </x:c>
      <x:c r="T2529" s="15" t="n">
        <x:v>0</x:v>
      </x:c>
      <x:c r="U2529" s="6" t="str">
        <x:v>Answer: 3</x:v>
      </x:c>
      <x:c r="V2529" s="6" t="str">
        <x:v>door widths + reachability</x:v>
      </x:c>
      <x:c r="W2529" s="6" t="str">
        <x:v>Missing minimum-width filter and aggregate reachability. Existing router only filters step_free.</x:v>
      </x:c>
      <x:c r="X2529" s="6" t="str">
        <x:v>data/train/swiss-3066/questions.jsonl</x:v>
      </x:c>
      <x:c r="Y2529" s="14" t="n">
        <x:v>2</x:v>
      </x:c>
      <x:c r="Z2529" s="6" t="str">
        <x:v>https://github.com/hagenhaeussler/Industrial-Agents-Hackathon-2026/blob/f41616590b69f3ea0c1cbfb41d6c35edd9ce53df/data/train/swiss-3066/questions.jsonl#L2</x:v>
      </x:c>
      <x:c r="AA2529" s="6" t="str">
        <x:v>swiss_dwellings</x:v>
      </x:c>
      <x:c r="AB2529" s="6" t="str">
        <x:v>CC-BY-4.0</x:v>
      </x:c>
    </x:row>
    <x:row r="2530" ht="82" customHeight="1">
      <x:c r="A2530" s="14" t="n">
        <x:v>2525</x:v>
      </x:c>
      <x:c r="B2530" s="6" t="str">
        <x:v>wide_delivery_count</x:v>
      </x:c>
      <x:c r="C2530" s="6" t="str">
        <x:v>I'm moving a 1.1 m wide pallet of equipment. It can't go on stairs or steps (lifts are fine), and every door it passes through must be at least 1.1 m wide. It arrives through the entrance into Main lobby (Ground floor). Into how many rooms on the ground floor can it be delivered? Finish with a line 'Answer: &lt;number&gt;'.</x:v>
      </x:c>
      <x:c r="D2530" s="6" t="str">
        <x:v>11 rooms</x:v>
      </x:c>
      <x:c r="E2530" s="6" t="str">
        <x:v>Reference supplied</x:v>
      </x:c>
      <x:c r="F2530" s="6" t="str">
        <x:v>dev</x:v>
      </x:c>
      <x:c r="G2530" s="6" t="str">
        <x:v>proc-campus-dev-000</x:v>
      </x:c>
      <x:c r="H2530" s="6" t="str">
        <x:v>proc-campus-dev-000-H03</x:v>
      </x:c>
      <x:c r="I2530" s="6" t="str">
        <x:v>Constrained reachability</x:v>
      </x:c>
      <x:c r="J2530" s="6" t="str">
        <x:v>Benchmark</x:v>
      </x:c>
      <x:c r="K2530" s="6" t="str">
        <x:v>Answer: &lt;one exact integer&gt;</x:v>
      </x:c>
      <x:c r="L2530" s="6" t="str">
        <x:v>T02, T05, T06, T14</x:v>
      </x:c>
      <x:c r="M2530" s="6" t="str">
        <x:v>Count rooms reachable with a wide load that cannot use stairs or steps.</x:v>
      </x:c>
      <x:c r="N2530" s="6" t="str">
        <x:v>{"type":"number","value":11,"unit":"rooms","relative_tolerance":0,"absolute_tolerance":0}</x:v>
      </x:c>
      <x:c r="O2530" s="6" t="str">
        <x:v>{"start":"proc-campus-dev-000-F0-S018","floor_id":"proc-campus-dev-000-F0","min_width":1.1}</x:v>
      </x:c>
      <x:c r="P2530" s="6" t="str">
        <x:v>No stairs/steps. All doors &gt;= 1.1 m. Lifts allowed. Count type=room on target floor.</x:v>
      </x:c>
      <x:c r="Q2530" s="15" t="n">
        <x:v>11</x:v>
      </x:c>
      <x:c r="R2530" s="6" t="str">
        <x:v>rooms</x:v>
      </x:c>
      <x:c r="S2530" s="16" t="n">
        <x:v>0</x:v>
      </x:c>
      <x:c r="T2530" s="15" t="n">
        <x:v>0</x:v>
      </x:c>
      <x:c r="U2530" s="6" t="str">
        <x:v>Answer: 11</x:v>
      </x:c>
      <x:c r="V2530" s="6" t="str">
        <x:v>door widths + reachability</x:v>
      </x:c>
      <x:c r="W2530" s="6" t="str">
        <x:v>Missing minimum-width filter and aggregate reachability. Existing router only filters step_free.</x:v>
      </x:c>
      <x:c r="X2530" s="6" t="str">
        <x:v>data/dev/proc-campus-dev-000/questions.jsonl</x:v>
      </x:c>
      <x:c r="Y2530" s="14" t="n">
        <x:v>3</x:v>
      </x:c>
      <x:c r="Z2530" s="6" t="str">
        <x:v>https://github.com/hagenhaeussler/Industrial-Agents-Hackathon-2026/blob/f41616590b69f3ea0c1cbfb41d6c35edd9ce53df/data/dev/proc-campus-dev-000/questions.jsonl#L3</x:v>
      </x:c>
      <x:c r="AA2530" s="6" t="str">
        <x:v>procedural</x:v>
      </x:c>
      <x:c r="AB2530" s="6" t="str">
        <x:v>CC0-1.0</x:v>
      </x:c>
    </x:row>
    <x:row r="2531" ht="82" customHeight="1">
      <x:c r="A2531" s="14" t="n">
        <x:v>2526</x:v>
      </x:c>
      <x:c r="B2531" s="6" t="str">
        <x:v>wide_delivery_count</x:v>
      </x:c>
      <x:c r="C2531" s="6" t="str">
        <x:v>I'm moving a 1.1 m wide pallet of equipment. It can't go on stairs or steps (lifts are fine), and every door it passes through must be at least 1.1 m wide. It arrives through the entrance into Main lobby (Ground floor). Into how many rooms on the ground floor can it be delivered? Finish with a line 'Answer: &lt;number&gt;'.</x:v>
      </x:c>
      <x:c r="D2531" s="6" t="str">
        <x:v>9 rooms</x:v>
      </x:c>
      <x:c r="E2531" s="6" t="str">
        <x:v>Reference supplied</x:v>
      </x:c>
      <x:c r="F2531" s="6" t="str">
        <x:v>dev</x:v>
      </x:c>
      <x:c r="G2531" s="6" t="str">
        <x:v>proc-campus-dev-001</x:v>
      </x:c>
      <x:c r="H2531" s="6" t="str">
        <x:v>proc-campus-dev-001-H03</x:v>
      </x:c>
      <x:c r="I2531" s="6" t="str">
        <x:v>Constrained reachability</x:v>
      </x:c>
      <x:c r="J2531" s="6" t="str">
        <x:v>Benchmark</x:v>
      </x:c>
      <x:c r="K2531" s="6" t="str">
        <x:v>Answer: &lt;one exact integer&gt;</x:v>
      </x:c>
      <x:c r="L2531" s="6" t="str">
        <x:v>T02, T05, T06, T14</x:v>
      </x:c>
      <x:c r="M2531" s="6" t="str">
        <x:v>Count rooms reachable with a wide load that cannot use stairs or steps.</x:v>
      </x:c>
      <x:c r="N2531" s="6" t="str">
        <x:v>{"type":"number","value":9,"unit":"rooms","relative_tolerance":0,"absolute_tolerance":0}</x:v>
      </x:c>
      <x:c r="O2531" s="6" t="str">
        <x:v>{"start":"proc-campus-dev-001-F0-S014","floor_id":"proc-campus-dev-001-F0","min_width":1.1}</x:v>
      </x:c>
      <x:c r="P2531" s="6" t="str">
        <x:v>No stairs/steps. All doors &gt;= 1.1 m. Lifts allowed. Count type=room on target floor.</x:v>
      </x:c>
      <x:c r="Q2531" s="15" t="n">
        <x:v>9</x:v>
      </x:c>
      <x:c r="R2531" s="6" t="str">
        <x:v>rooms</x:v>
      </x:c>
      <x:c r="S2531" s="16" t="n">
        <x:v>0</x:v>
      </x:c>
      <x:c r="T2531" s="15" t="n">
        <x:v>0</x:v>
      </x:c>
      <x:c r="U2531" s="6" t="str">
        <x:v>Answer: 9</x:v>
      </x:c>
      <x:c r="V2531" s="6" t="str">
        <x:v>door widths + reachability</x:v>
      </x:c>
      <x:c r="W2531" s="6" t="str">
        <x:v>Missing minimum-width filter and aggregate reachability. Existing router only filters step_free.</x:v>
      </x:c>
      <x:c r="X2531" s="6" t="str">
        <x:v>data/dev/proc-campus-dev-001/questions.jsonl</x:v>
      </x:c>
      <x:c r="Y2531" s="14" t="n">
        <x:v>3</x:v>
      </x:c>
      <x:c r="Z2531" s="6" t="str">
        <x:v>https://github.com/hagenhaeussler/Industrial-Agents-Hackathon-2026/blob/f41616590b69f3ea0c1cbfb41d6c35edd9ce53df/data/dev/proc-campus-dev-001/questions.jsonl#L3</x:v>
      </x:c>
      <x:c r="AA2531" s="6" t="str">
        <x:v>procedural</x:v>
      </x:c>
      <x:c r="AB2531" s="6" t="str">
        <x:v>CC0-1.0</x:v>
      </x:c>
    </x:row>
    <x:row r="2532" ht="82" customHeight="1">
      <x:c r="A2532" s="14" t="n">
        <x:v>2527</x:v>
      </x:c>
      <x:c r="B2532" s="6" t="str">
        <x:v>wide_delivery_count</x:v>
      </x:c>
      <x:c r="C2532" s="6" t="str">
        <x:v>I'm moving a 1.0 m wide cleaning machine. It can't go on stairs or steps (lifts are fine), and every door it passes through must be at least 1.0 m wide. It arrives through the entrance into Main lobby (Ground floor). Into how many rooms on the floor 1 can it be delivered? Finish with a line 'Answer: &lt;number&gt;'.</x:v>
      </x:c>
      <x:c r="D2532" s="6" t="str">
        <x:v>11 rooms</x:v>
      </x:c>
      <x:c r="E2532" s="6" t="str">
        <x:v>Reference supplied</x:v>
      </x:c>
      <x:c r="F2532" s="6" t="str">
        <x:v>dev</x:v>
      </x:c>
      <x:c r="G2532" s="6" t="str">
        <x:v>proc-campus-dev-002</x:v>
      </x:c>
      <x:c r="H2532" s="6" t="str">
        <x:v>proc-campus-dev-002-H02</x:v>
      </x:c>
      <x:c r="I2532" s="6" t="str">
        <x:v>Constrained reachability</x:v>
      </x:c>
      <x:c r="J2532" s="6" t="str">
        <x:v>Benchmark</x:v>
      </x:c>
      <x:c r="K2532" s="6" t="str">
        <x:v>Answer: &lt;one exact integer&gt;</x:v>
      </x:c>
      <x:c r="L2532" s="6" t="str">
        <x:v>T02, T05, T06, T14</x:v>
      </x:c>
      <x:c r="M2532" s="6" t="str">
        <x:v>Count rooms reachable with a wide load that cannot use stairs or steps.</x:v>
      </x:c>
      <x:c r="N2532" s="6" t="str">
        <x:v>{"type":"number","value":11,"unit":"rooms","relative_tolerance":0,"absolute_tolerance":0}</x:v>
      </x:c>
      <x:c r="O2532" s="6" t="str">
        <x:v>{"start":"proc-campus-dev-002-F0-S011","floor_id":"proc-campus-dev-002-F1","min_width":1}</x:v>
      </x:c>
      <x:c r="P2532" s="6" t="str">
        <x:v>No stairs/steps. All doors &gt;= 1 m. Lifts allowed. Count type=room on target floor.</x:v>
      </x:c>
      <x:c r="Q2532" s="15" t="n">
        <x:v>11</x:v>
      </x:c>
      <x:c r="R2532" s="6" t="str">
        <x:v>rooms</x:v>
      </x:c>
      <x:c r="S2532" s="16" t="n">
        <x:v>0</x:v>
      </x:c>
      <x:c r="T2532" s="15" t="n">
        <x:v>0</x:v>
      </x:c>
      <x:c r="U2532" s="6" t="str">
        <x:v>Answer: 11</x:v>
      </x:c>
      <x:c r="V2532" s="6" t="str">
        <x:v>door widths + reachability</x:v>
      </x:c>
      <x:c r="W2532" s="6" t="str">
        <x:v>Missing minimum-width filter and aggregate reachability. Existing router only filters step_free.</x:v>
      </x:c>
      <x:c r="X2532" s="6" t="str">
        <x:v>data/dev/proc-campus-dev-002/questions.jsonl</x:v>
      </x:c>
      <x:c r="Y2532" s="14" t="n">
        <x:v>2</x:v>
      </x:c>
      <x:c r="Z2532" s="6" t="str">
        <x:v>https://github.com/hagenhaeussler/Industrial-Agents-Hackathon-2026/blob/f41616590b69f3ea0c1cbfb41d6c35edd9ce53df/data/dev/proc-campus-dev-002/questions.jsonl#L2</x:v>
      </x:c>
      <x:c r="AA2532" s="6" t="str">
        <x:v>procedural</x:v>
      </x:c>
      <x:c r="AB2532" s="6" t="str">
        <x:v>CC0-1.0</x:v>
      </x:c>
    </x:row>
    <x:row r="2533" ht="82" customHeight="1">
      <x:c r="A2533" s="14" t="n">
        <x:v>2528</x:v>
      </x:c>
      <x:c r="B2533" s="6" t="str">
        <x:v>wide_delivery_count</x:v>
      </x:c>
      <x:c r="C2533" s="6" t="str">
        <x:v>I'm moving a 1.1 m wide pallet of equipment. It can't go on stairs or steps (lifts are fine), and every door it passes through must be at least 1.1 m wide. It arrives through the entrance into Main lobby (Ground floor). Into how many rooms on the floor 1 can it be delivered? Finish with a line 'Answer: &lt;number&gt;'.</x:v>
      </x:c>
      <x:c r="D2533" s="6" t="str">
        <x:v>10 rooms</x:v>
      </x:c>
      <x:c r="E2533" s="6" t="str">
        <x:v>Reference supplied</x:v>
      </x:c>
      <x:c r="F2533" s="6" t="str">
        <x:v>dev</x:v>
      </x:c>
      <x:c r="G2533" s="6" t="str">
        <x:v>proc-campus-dev-006</x:v>
      </x:c>
      <x:c r="H2533" s="6" t="str">
        <x:v>proc-campus-dev-006-H02</x:v>
      </x:c>
      <x:c r="I2533" s="6" t="str">
        <x:v>Constrained reachability</x:v>
      </x:c>
      <x:c r="J2533" s="6" t="str">
        <x:v>Benchmark</x:v>
      </x:c>
      <x:c r="K2533" s="6" t="str">
        <x:v>Answer: &lt;one exact integer&gt;</x:v>
      </x:c>
      <x:c r="L2533" s="6" t="str">
        <x:v>T02, T05, T06, T14</x:v>
      </x:c>
      <x:c r="M2533" s="6" t="str">
        <x:v>Count rooms reachable with a wide load that cannot use stairs or steps.</x:v>
      </x:c>
      <x:c r="N2533" s="6" t="str">
        <x:v>{"type":"number","value":10,"unit":"rooms","relative_tolerance":0,"absolute_tolerance":0}</x:v>
      </x:c>
      <x:c r="O2533" s="6" t="str">
        <x:v>{"start":"proc-campus-dev-006-F0-S011","floor_id":"proc-campus-dev-006-F1","min_width":1.1}</x:v>
      </x:c>
      <x:c r="P2533" s="6" t="str">
        <x:v>No stairs/steps. All doors &gt;= 1.1 m. Lifts allowed. Count type=room on target floor.</x:v>
      </x:c>
      <x:c r="Q2533" s="15" t="n">
        <x:v>10</x:v>
      </x:c>
      <x:c r="R2533" s="6" t="str">
        <x:v>rooms</x:v>
      </x:c>
      <x:c r="S2533" s="16" t="n">
        <x:v>0</x:v>
      </x:c>
      <x:c r="T2533" s="15" t="n">
        <x:v>0</x:v>
      </x:c>
      <x:c r="U2533" s="6" t="str">
        <x:v>Answer: 10</x:v>
      </x:c>
      <x:c r="V2533" s="6" t="str">
        <x:v>door widths + reachability</x:v>
      </x:c>
      <x:c r="W2533" s="6" t="str">
        <x:v>Missing minimum-width filter and aggregate reachability. Existing router only filters step_free.</x:v>
      </x:c>
      <x:c r="X2533" s="6" t="str">
        <x:v>data/dev/proc-campus-dev-006/questions.jsonl</x:v>
      </x:c>
      <x:c r="Y2533" s="14" t="n">
        <x:v>2</x:v>
      </x:c>
      <x:c r="Z2533" s="6" t="str">
        <x:v>https://github.com/hagenhaeussler/Industrial-Agents-Hackathon-2026/blob/f41616590b69f3ea0c1cbfb41d6c35edd9ce53df/data/dev/proc-campus-dev-006/questions.jsonl#L2</x:v>
      </x:c>
      <x:c r="AA2533" s="6" t="str">
        <x:v>procedural</x:v>
      </x:c>
      <x:c r="AB2533" s="6" t="str">
        <x:v>CC0-1.0</x:v>
      </x:c>
    </x:row>
    <x:row r="2534" ht="82" customHeight="1">
      <x:c r="A2534" s="14" t="n">
        <x:v>2529</x:v>
      </x:c>
      <x:c r="B2534" s="6" t="str">
        <x:v>wide_delivery_count</x:v>
      </x:c>
      <x:c r="C2534" s="6" t="str">
        <x:v>I'm moving a 1.0 m wide hospital bed. It can't go on stairs or steps (lifts are fine), and every door it passes through must be at least 1.0 m wide. It arrives through the entrance into Main lobby (Ground floor). Into how many rooms on the floor 3 can it be delivered? Finish with a line 'Answer: &lt;number&gt;'.</x:v>
      </x:c>
      <x:c r="D2534" s="6" t="str">
        <x:v>10 rooms</x:v>
      </x:c>
      <x:c r="E2534" s="6" t="str">
        <x:v>Reference supplied</x:v>
      </x:c>
      <x:c r="F2534" s="6" t="str">
        <x:v>dev</x:v>
      </x:c>
      <x:c r="G2534" s="6" t="str">
        <x:v>proc-campus-dev-009</x:v>
      </x:c>
      <x:c r="H2534" s="6" t="str">
        <x:v>proc-campus-dev-009-H03</x:v>
      </x:c>
      <x:c r="I2534" s="6" t="str">
        <x:v>Constrained reachability</x:v>
      </x:c>
      <x:c r="J2534" s="6" t="str">
        <x:v>Benchmark</x:v>
      </x:c>
      <x:c r="K2534" s="6" t="str">
        <x:v>Answer: &lt;one exact integer&gt;</x:v>
      </x:c>
      <x:c r="L2534" s="6" t="str">
        <x:v>T02, T05, T06, T14</x:v>
      </x:c>
      <x:c r="M2534" s="6" t="str">
        <x:v>Count rooms reachable with a wide load that cannot use stairs or steps.</x:v>
      </x:c>
      <x:c r="N2534" s="6" t="str">
        <x:v>{"type":"number","value":10,"unit":"rooms","relative_tolerance":0,"absolute_tolerance":0}</x:v>
      </x:c>
      <x:c r="O2534" s="6" t="str">
        <x:v>{"start":"proc-campus-dev-009-F0-S016","floor_id":"proc-campus-dev-009-F3","min_width":1}</x:v>
      </x:c>
      <x:c r="P2534" s="6" t="str">
        <x:v>No stairs/steps. All doors &gt;= 1 m. Lifts allowed. Count type=room on target floor.</x:v>
      </x:c>
      <x:c r="Q2534" s="15" t="n">
        <x:v>10</x:v>
      </x:c>
      <x:c r="R2534" s="6" t="str">
        <x:v>rooms</x:v>
      </x:c>
      <x:c r="S2534" s="16" t="n">
        <x:v>0</x:v>
      </x:c>
      <x:c r="T2534" s="15" t="n">
        <x:v>0</x:v>
      </x:c>
      <x:c r="U2534" s="6" t="str">
        <x:v>Answer: 10</x:v>
      </x:c>
      <x:c r="V2534" s="6" t="str">
        <x:v>door widths + reachability</x:v>
      </x:c>
      <x:c r="W2534" s="6" t="str">
        <x:v>Missing minimum-width filter and aggregate reachability. Existing router only filters step_free.</x:v>
      </x:c>
      <x:c r="X2534" s="6" t="str">
        <x:v>data/dev/proc-campus-dev-009/questions.jsonl</x:v>
      </x:c>
      <x:c r="Y2534" s="14" t="n">
        <x:v>3</x:v>
      </x:c>
      <x:c r="Z2534" s="6" t="str">
        <x:v>https://github.com/hagenhaeussler/Industrial-Agents-Hackathon-2026/blob/f41616590b69f3ea0c1cbfb41d6c35edd9ce53df/data/dev/proc-campus-dev-009/questions.jsonl#L3</x:v>
      </x:c>
      <x:c r="AA2534" s="6" t="str">
        <x:v>procedural</x:v>
      </x:c>
      <x:c r="AB2534" s="6" t="str">
        <x:v>CC0-1.0</x:v>
      </x:c>
    </x:row>
    <x:row r="2535" ht="82" customHeight="1">
      <x:c r="A2535" s="14" t="n">
        <x:v>2530</x:v>
      </x:c>
      <x:c r="B2535" s="6" t="str">
        <x:v>wide_delivery_count</x:v>
      </x:c>
      <x:c r="C2535" s="6" t="str">
        <x:v>I'm moving a 1.1 m wide hospital bed. It can't go on stairs or steps (lifts are fine), and every door it passes through must be at least 1.1 m wide. It arrives through the entrance into Main lobby (Ground floor). Into how many rooms on the ground floor can it be delivered? Finish with a line 'Answer: &lt;number&gt;'.</x:v>
      </x:c>
      <x:c r="D2535" s="6" t="str">
        <x:v>6 rooms</x:v>
      </x:c>
      <x:c r="E2535" s="6" t="str">
        <x:v>Reference supplied</x:v>
      </x:c>
      <x:c r="F2535" s="6" t="str">
        <x:v>dev</x:v>
      </x:c>
      <x:c r="G2535" s="6" t="str">
        <x:v>proc-campus-dev-013</x:v>
      </x:c>
      <x:c r="H2535" s="6" t="str">
        <x:v>proc-campus-dev-013-H02</x:v>
      </x:c>
      <x:c r="I2535" s="6" t="str">
        <x:v>Constrained reachability</x:v>
      </x:c>
      <x:c r="J2535" s="6" t="str">
        <x:v>Benchmark</x:v>
      </x:c>
      <x:c r="K2535" s="6" t="str">
        <x:v>Answer: &lt;one exact integer&gt;</x:v>
      </x:c>
      <x:c r="L2535" s="6" t="str">
        <x:v>T02, T05, T06, T14</x:v>
      </x:c>
      <x:c r="M2535" s="6" t="str">
        <x:v>Count rooms reachable with a wide load that cannot use stairs or steps.</x:v>
      </x:c>
      <x:c r="N2535" s="6" t="str">
        <x:v>{"type":"number","value":6,"unit":"rooms","relative_tolerance":0,"absolute_tolerance":0}</x:v>
      </x:c>
      <x:c r="O2535" s="6" t="str">
        <x:v>{"start":"proc-campus-dev-013-F0-S014","floor_id":"proc-campus-dev-013-F0","min_width":1.1}</x:v>
      </x:c>
      <x:c r="P2535" s="6" t="str">
        <x:v>No stairs/steps. All doors &gt;= 1.1 m. Lifts allowed. Count type=room on target floor.</x:v>
      </x:c>
      <x:c r="Q2535" s="15" t="n">
        <x:v>6</x:v>
      </x:c>
      <x:c r="R2535" s="6" t="str">
        <x:v>rooms</x:v>
      </x:c>
      <x:c r="S2535" s="16" t="n">
        <x:v>0</x:v>
      </x:c>
      <x:c r="T2535" s="15" t="n">
        <x:v>0</x:v>
      </x:c>
      <x:c r="U2535" s="6" t="str">
        <x:v>Answer: 6</x:v>
      </x:c>
      <x:c r="V2535" s="6" t="str">
        <x:v>door widths + reachability</x:v>
      </x:c>
      <x:c r="W2535" s="6" t="str">
        <x:v>Missing minimum-width filter and aggregate reachability. Existing router only filters step_free.</x:v>
      </x:c>
      <x:c r="X2535" s="6" t="str">
        <x:v>data/dev/proc-campus-dev-013/questions.jsonl</x:v>
      </x:c>
      <x:c r="Y2535" s="14" t="n">
        <x:v>2</x:v>
      </x:c>
      <x:c r="Z2535" s="6" t="str">
        <x:v>https://github.com/hagenhaeussler/Industrial-Agents-Hackathon-2026/blob/f41616590b69f3ea0c1cbfb41d6c35edd9ce53df/data/dev/proc-campus-dev-013/questions.jsonl#L2</x:v>
      </x:c>
      <x:c r="AA2535" s="6" t="str">
        <x:v>procedural</x:v>
      </x:c>
      <x:c r="AB2535" s="6" t="str">
        <x:v>CC0-1.0</x:v>
      </x:c>
    </x:row>
    <x:row r="2536" ht="82" customHeight="1">
      <x:c r="A2536" s="14" t="n">
        <x:v>2531</x:v>
      </x:c>
      <x:c r="B2536" s="6" t="str">
        <x:v>wide_delivery_count</x:v>
      </x:c>
      <x:c r="C2536" s="6" t="str">
        <x:v>I'm moving a 1.1 m wide cleaning machine. It can't go on stairs or steps (lifts are fine), and every door it passes through must be at least 1.1 m wide. It arrives through the entrance into Warehouse zone H-C3 (Ground floor). Into how many rooms on the floor 1 can it be delivered? Finish with a line 'Answer: &lt;number&gt;'.</x:v>
      </x:c>
      <x:c r="D2536" s="6" t="str">
        <x:v>7 rooms</x:v>
      </x:c>
      <x:c r="E2536" s="6" t="str">
        <x:v>Reference supplied</x:v>
      </x:c>
      <x:c r="F2536" s="6" t="str">
        <x:v>dev</x:v>
      </x:c>
      <x:c r="G2536" s="6" t="str">
        <x:v>proc-factory-dev-003</x:v>
      </x:c>
      <x:c r="H2536" s="6" t="str">
        <x:v>proc-factory-dev-003-H03</x:v>
      </x:c>
      <x:c r="I2536" s="6" t="str">
        <x:v>Constrained reachability</x:v>
      </x:c>
      <x:c r="J2536" s="6" t="str">
        <x:v>Benchmark</x:v>
      </x:c>
      <x:c r="K2536" s="6" t="str">
        <x:v>Answer: &lt;one exact integer&gt;</x:v>
      </x:c>
      <x:c r="L2536" s="6" t="str">
        <x:v>T02, T05, T06, T14</x:v>
      </x:c>
      <x:c r="M2536" s="6" t="str">
        <x:v>Count rooms reachable with a wide load that cannot use stairs or steps.</x:v>
      </x:c>
      <x:c r="N2536" s="6" t="str">
        <x:v>{"type":"number","value":7,"unit":"rooms","relative_tolerance":0,"absolute_tolerance":0}</x:v>
      </x:c>
      <x:c r="O2536" s="6" t="str">
        <x:v>{"start":"proc-factory-dev-003-F0-S013","floor_id":"proc-factory-dev-003-F1","min_width":1.1}</x:v>
      </x:c>
      <x:c r="P2536" s="6" t="str">
        <x:v>No stairs/steps. All doors &gt;= 1.1 m. Lifts allowed. Count type=room on target floor.</x:v>
      </x:c>
      <x:c r="Q2536" s="15" t="n">
        <x:v>7</x:v>
      </x:c>
      <x:c r="R2536" s="6" t="str">
        <x:v>rooms</x:v>
      </x:c>
      <x:c r="S2536" s="16" t="n">
        <x:v>0</x:v>
      </x:c>
      <x:c r="T2536" s="15" t="n">
        <x:v>0</x:v>
      </x:c>
      <x:c r="U2536" s="6" t="str">
        <x:v>Answer: 7</x:v>
      </x:c>
      <x:c r="V2536" s="6" t="str">
        <x:v>door widths + reachability</x:v>
      </x:c>
      <x:c r="W2536" s="6" t="str">
        <x:v>Missing minimum-width filter and aggregate reachability. Existing router only filters step_free.</x:v>
      </x:c>
      <x:c r="X2536" s="6" t="str">
        <x:v>data/dev/proc-factory-dev-003/questions.jsonl</x:v>
      </x:c>
      <x:c r="Y2536" s="14" t="n">
        <x:v>3</x:v>
      </x:c>
      <x:c r="Z2536" s="6" t="str">
        <x:v>https://github.com/hagenhaeussler/Industrial-Agents-Hackathon-2026/blob/f41616590b69f3ea0c1cbfb41d6c35edd9ce53df/data/dev/proc-factory-dev-003/questions.jsonl#L3</x:v>
      </x:c>
      <x:c r="AA2536" s="6" t="str">
        <x:v>procedural</x:v>
      </x:c>
      <x:c r="AB2536" s="6" t="str">
        <x:v>CC0-1.0</x:v>
      </x:c>
    </x:row>
    <x:row r="2537" ht="82" customHeight="1">
      <x:c r="A2537" s="14" t="n">
        <x:v>2532</x:v>
      </x:c>
      <x:c r="B2537" s="6" t="str">
        <x:v>wide_delivery_count</x:v>
      </x:c>
      <x:c r="C2537" s="6" t="str">
        <x:v>I'm moving a 1.1 m wide trolley. It can't go on stairs or steps (lifts are fine), and every door it passes through must be at least 1.1 m wide. It arrives through the entrance into Logistics zone H-C2 (Ground floor). Into how many rooms on the ground floor can it be delivered? Finish with a line 'Answer: &lt;number&gt;'.</x:v>
      </x:c>
      <x:c r="D2537" s="6" t="str">
        <x:v>7 rooms</x:v>
      </x:c>
      <x:c r="E2537" s="6" t="str">
        <x:v>Reference supplied</x:v>
      </x:c>
      <x:c r="F2537" s="6" t="str">
        <x:v>dev</x:v>
      </x:c>
      <x:c r="G2537" s="6" t="str">
        <x:v>proc-factory-dev-004</x:v>
      </x:c>
      <x:c r="H2537" s="6" t="str">
        <x:v>proc-factory-dev-004-H02</x:v>
      </x:c>
      <x:c r="I2537" s="6" t="str">
        <x:v>Constrained reachability</x:v>
      </x:c>
      <x:c r="J2537" s="6" t="str">
        <x:v>Benchmark</x:v>
      </x:c>
      <x:c r="K2537" s="6" t="str">
        <x:v>Answer: &lt;one exact integer&gt;</x:v>
      </x:c>
      <x:c r="L2537" s="6" t="str">
        <x:v>T02, T05, T06, T14</x:v>
      </x:c>
      <x:c r="M2537" s="6" t="str">
        <x:v>Count rooms reachable with a wide load that cannot use stairs or steps.</x:v>
      </x:c>
      <x:c r="N2537" s="6" t="str">
        <x:v>{"type":"number","value":7,"unit":"rooms","relative_tolerance":0,"absolute_tolerance":0}</x:v>
      </x:c>
      <x:c r="O2537" s="6" t="str">
        <x:v>{"start":"proc-factory-dev-004-F0-S010","floor_id":"proc-factory-dev-004-F0","min_width":1.1}</x:v>
      </x:c>
      <x:c r="P2537" s="6" t="str">
        <x:v>No stairs/steps. All doors &gt;= 1.1 m. Lifts allowed. Count type=room on target floor.</x:v>
      </x:c>
      <x:c r="Q2537" s="15" t="n">
        <x:v>7</x:v>
      </x:c>
      <x:c r="R2537" s="6" t="str">
        <x:v>rooms</x:v>
      </x:c>
      <x:c r="S2537" s="16" t="n">
        <x:v>0</x:v>
      </x:c>
      <x:c r="T2537" s="15" t="n">
        <x:v>0</x:v>
      </x:c>
      <x:c r="U2537" s="6" t="str">
        <x:v>Answer: 7</x:v>
      </x:c>
      <x:c r="V2537" s="6" t="str">
        <x:v>door widths + reachability</x:v>
      </x:c>
      <x:c r="W2537" s="6" t="str">
        <x:v>Missing minimum-width filter and aggregate reachability. Existing router only filters step_free.</x:v>
      </x:c>
      <x:c r="X2537" s="6" t="str">
        <x:v>data/dev/proc-factory-dev-004/questions.jsonl</x:v>
      </x:c>
      <x:c r="Y2537" s="14" t="n">
        <x:v>2</x:v>
      </x:c>
      <x:c r="Z2537" s="6" t="str">
        <x:v>https://github.com/hagenhaeussler/Industrial-Agents-Hackathon-2026/blob/f41616590b69f3ea0c1cbfb41d6c35edd9ce53df/data/dev/proc-factory-dev-004/questions.jsonl#L2</x:v>
      </x:c>
      <x:c r="AA2537" s="6" t="str">
        <x:v>procedural</x:v>
      </x:c>
      <x:c r="AB2537" s="6" t="str">
        <x:v>CC0-1.0</x:v>
      </x:c>
    </x:row>
    <x:row r="2538" ht="82" customHeight="1">
      <x:c r="A2538" s="14" t="n">
        <x:v>2533</x:v>
      </x:c>
      <x:c r="B2538" s="6" t="str">
        <x:v>wide_delivery_count</x:v>
      </x:c>
      <x:c r="C2538" s="6" t="str">
        <x:v>I'm moving a 1.0 m wide hospital bed. It can't go on stairs or steps (lifts are fine), and every door it passes through must be at least 1.0 m wide. It arrives through the entrance into Main aisle H-B6 (Ground floor). Into how many rooms on the ground floor can it be delivered? Finish with a line 'Answer: &lt;number&gt;'.</x:v>
      </x:c>
      <x:c r="D2538" s="6" t="str">
        <x:v>12 rooms</x:v>
      </x:c>
      <x:c r="E2538" s="6" t="str">
        <x:v>Reference supplied</x:v>
      </x:c>
      <x:c r="F2538" s="6" t="str">
        <x:v>dev</x:v>
      </x:c>
      <x:c r="G2538" s="6" t="str">
        <x:v>proc-factory-dev-005</x:v>
      </x:c>
      <x:c r="H2538" s="6" t="str">
        <x:v>proc-factory-dev-005-H03</x:v>
      </x:c>
      <x:c r="I2538" s="6" t="str">
        <x:v>Constrained reachability</x:v>
      </x:c>
      <x:c r="J2538" s="6" t="str">
        <x:v>Benchmark</x:v>
      </x:c>
      <x:c r="K2538" s="6" t="str">
        <x:v>Answer: &lt;one exact integer&gt;</x:v>
      </x:c>
      <x:c r="L2538" s="6" t="str">
        <x:v>T02, T05, T06, T14</x:v>
      </x:c>
      <x:c r="M2538" s="6" t="str">
        <x:v>Count rooms reachable with a wide load that cannot use stairs or steps.</x:v>
      </x:c>
      <x:c r="N2538" s="6" t="str">
        <x:v>{"type":"number","value":12,"unit":"rooms","relative_tolerance":0,"absolute_tolerance":0}</x:v>
      </x:c>
      <x:c r="O2538" s="6" t="str">
        <x:v>{"start":"proc-factory-dev-005-F0-S012","floor_id":"proc-factory-dev-005-F0","min_width":1}</x:v>
      </x:c>
      <x:c r="P2538" s="6" t="str">
        <x:v>No stairs/steps. All doors &gt;= 1 m. Lifts allowed. Count type=room on target floor.</x:v>
      </x:c>
      <x:c r="Q2538" s="15" t="n">
        <x:v>12</x:v>
      </x:c>
      <x:c r="R2538" s="6" t="str">
        <x:v>rooms</x:v>
      </x:c>
      <x:c r="S2538" s="16" t="n">
        <x:v>0</x:v>
      </x:c>
      <x:c r="T2538" s="15" t="n">
        <x:v>0</x:v>
      </x:c>
      <x:c r="U2538" s="6" t="str">
        <x:v>Answer: 12</x:v>
      </x:c>
      <x:c r="V2538" s="6" t="str">
        <x:v>door widths + reachability</x:v>
      </x:c>
      <x:c r="W2538" s="6" t="str">
        <x:v>Missing minimum-width filter and aggregate reachability. Existing router only filters step_free.</x:v>
      </x:c>
      <x:c r="X2538" s="6" t="str">
        <x:v>data/dev/proc-factory-dev-005/questions.jsonl</x:v>
      </x:c>
      <x:c r="Y2538" s="14" t="n">
        <x:v>3</x:v>
      </x:c>
      <x:c r="Z2538" s="6" t="str">
        <x:v>https://github.com/hagenhaeussler/Industrial-Agents-Hackathon-2026/blob/f41616590b69f3ea0c1cbfb41d6c35edd9ce53df/data/dev/proc-factory-dev-005/questions.jsonl#L3</x:v>
      </x:c>
      <x:c r="AA2538" s="6" t="str">
        <x:v>procedural</x:v>
      </x:c>
      <x:c r="AB2538" s="6" t="str">
        <x:v>CC0-1.0</x:v>
      </x:c>
    </x:row>
    <x:row r="2539" ht="82" customHeight="1">
      <x:c r="A2539" s="14" t="n">
        <x:v>2534</x:v>
      </x:c>
      <x:c r="B2539" s="6" t="str">
        <x:v>wide_delivery_count</x:v>
      </x:c>
      <x:c r="C2539" s="6" t="str">
        <x:v>I'm moving a 1.1 m wide trolley. It can't go on stairs or steps (lifts are fine), and every door it passes through must be at least 1.1 m wide. It arrives through the entrance into Main aisle H-B3 (Ground floor). Into how many rooms on the ground floor can it be delivered? Finish with a line 'Answer: &lt;number&gt;'.</x:v>
      </x:c>
      <x:c r="D2539" s="6" t="str">
        <x:v>8 rooms</x:v>
      </x:c>
      <x:c r="E2539" s="6" t="str">
        <x:v>Reference supplied</x:v>
      </x:c>
      <x:c r="F2539" s="6" t="str">
        <x:v>dev</x:v>
      </x:c>
      <x:c r="G2539" s="6" t="str">
        <x:v>proc-factory-dev-007</x:v>
      </x:c>
      <x:c r="H2539" s="6" t="str">
        <x:v>proc-factory-dev-007-H03</x:v>
      </x:c>
      <x:c r="I2539" s="6" t="str">
        <x:v>Constrained reachability</x:v>
      </x:c>
      <x:c r="J2539" s="6" t="str">
        <x:v>Benchmark</x:v>
      </x:c>
      <x:c r="K2539" s="6" t="str">
        <x:v>Answer: &lt;one exact integer&gt;</x:v>
      </x:c>
      <x:c r="L2539" s="6" t="str">
        <x:v>T02, T05, T06, T14</x:v>
      </x:c>
      <x:c r="M2539" s="6" t="str">
        <x:v>Count rooms reachable with a wide load that cannot use stairs or steps.</x:v>
      </x:c>
      <x:c r="N2539" s="6" t="str">
        <x:v>{"type":"number","value":8,"unit":"rooms","relative_tolerance":0,"absolute_tolerance":0}</x:v>
      </x:c>
      <x:c r="O2539" s="6" t="str">
        <x:v>{"start":"proc-factory-dev-007-F0-S006","floor_id":"proc-factory-dev-007-F0","min_width":1.1}</x:v>
      </x:c>
      <x:c r="P2539" s="6" t="str">
        <x:v>No stairs/steps. All doors &gt;= 1.1 m. Lifts allowed. Count type=room on target floor.</x:v>
      </x:c>
      <x:c r="Q2539" s="15" t="n">
        <x:v>8</x:v>
      </x:c>
      <x:c r="R2539" s="6" t="str">
        <x:v>rooms</x:v>
      </x:c>
      <x:c r="S2539" s="16" t="n">
        <x:v>0</x:v>
      </x:c>
      <x:c r="T2539" s="15" t="n">
        <x:v>0</x:v>
      </x:c>
      <x:c r="U2539" s="6" t="str">
        <x:v>Answer: 8</x:v>
      </x:c>
      <x:c r="V2539" s="6" t="str">
        <x:v>door widths + reachability</x:v>
      </x:c>
      <x:c r="W2539" s="6" t="str">
        <x:v>Missing minimum-width filter and aggregate reachability. Existing router only filters step_free.</x:v>
      </x:c>
      <x:c r="X2539" s="6" t="str">
        <x:v>data/dev/proc-factory-dev-007/questions.jsonl</x:v>
      </x:c>
      <x:c r="Y2539" s="14" t="n">
        <x:v>3</x:v>
      </x:c>
      <x:c r="Z2539" s="6" t="str">
        <x:v>https://github.com/hagenhaeussler/Industrial-Agents-Hackathon-2026/blob/f41616590b69f3ea0c1cbfb41d6c35edd9ce53df/data/dev/proc-factory-dev-007/questions.jsonl#L3</x:v>
      </x:c>
      <x:c r="AA2539" s="6" t="str">
        <x:v>procedural</x:v>
      </x:c>
      <x:c r="AB2539" s="6" t="str">
        <x:v>CC0-1.0</x:v>
      </x:c>
    </x:row>
    <x:row r="2540" ht="82" customHeight="1">
      <x:c r="A2540" s="14" t="n">
        <x:v>2535</x:v>
      </x:c>
      <x:c r="B2540" s="6" t="str">
        <x:v>wide_delivery_count</x:v>
      </x:c>
      <x:c r="C2540" s="6" t="str">
        <x:v>I'm moving a 1.0 m wide pallet of equipment. It can't go on stairs or steps (lifts are fine), and every door it passes through must be at least 1.0 m wide. It arrives through the entrance into Logistics zone H-D2 (Ground floor). Into how many rooms on the ground floor can it be delivered? Finish with a line 'Answer: &lt;number&gt;'.</x:v>
      </x:c>
      <x:c r="D2540" s="6" t="str">
        <x:v>8 rooms</x:v>
      </x:c>
      <x:c r="E2540" s="6" t="str">
        <x:v>Reference supplied</x:v>
      </x:c>
      <x:c r="F2540" s="6" t="str">
        <x:v>dev</x:v>
      </x:c>
      <x:c r="G2540" s="6" t="str">
        <x:v>proc-factory-dev-008</x:v>
      </x:c>
      <x:c r="H2540" s="6" t="str">
        <x:v>proc-factory-dev-008-H03</x:v>
      </x:c>
      <x:c r="I2540" s="6" t="str">
        <x:v>Constrained reachability</x:v>
      </x:c>
      <x:c r="J2540" s="6" t="str">
        <x:v>Benchmark</x:v>
      </x:c>
      <x:c r="K2540" s="6" t="str">
        <x:v>Answer: &lt;one exact integer&gt;</x:v>
      </x:c>
      <x:c r="L2540" s="6" t="str">
        <x:v>T02, T05, T06, T14</x:v>
      </x:c>
      <x:c r="M2540" s="6" t="str">
        <x:v>Count rooms reachable with a wide load that cannot use stairs or steps.</x:v>
      </x:c>
      <x:c r="N2540" s="6" t="str">
        <x:v>{"type":"number","value":8,"unit":"rooms","relative_tolerance":0,"absolute_tolerance":0}</x:v>
      </x:c>
      <x:c r="O2540" s="6" t="str">
        <x:v>{"start":"proc-factory-dev-008-F0-S020","floor_id":"proc-factory-dev-008-F0","min_width":1}</x:v>
      </x:c>
      <x:c r="P2540" s="6" t="str">
        <x:v>No stairs/steps. All doors &gt;= 1 m. Lifts allowed. Count type=room on target floor.</x:v>
      </x:c>
      <x:c r="Q2540" s="15" t="n">
        <x:v>8</x:v>
      </x:c>
      <x:c r="R2540" s="6" t="str">
        <x:v>rooms</x:v>
      </x:c>
      <x:c r="S2540" s="16" t="n">
        <x:v>0</x:v>
      </x:c>
      <x:c r="T2540" s="15" t="n">
        <x:v>0</x:v>
      </x:c>
      <x:c r="U2540" s="6" t="str">
        <x:v>Answer: 8</x:v>
      </x:c>
      <x:c r="V2540" s="6" t="str">
        <x:v>door widths + reachability</x:v>
      </x:c>
      <x:c r="W2540" s="6" t="str">
        <x:v>Missing minimum-width filter and aggregate reachability. Existing router only filters step_free.</x:v>
      </x:c>
      <x:c r="X2540" s="6" t="str">
        <x:v>data/dev/proc-factory-dev-008/questions.jsonl</x:v>
      </x:c>
      <x:c r="Y2540" s="14" t="n">
        <x:v>3</x:v>
      </x:c>
      <x:c r="Z2540" s="6" t="str">
        <x:v>https://github.com/hagenhaeussler/Industrial-Agents-Hackathon-2026/blob/f41616590b69f3ea0c1cbfb41d6c35edd9ce53df/data/dev/proc-factory-dev-008/questions.jsonl#L3</x:v>
      </x:c>
      <x:c r="AA2540" s="6" t="str">
        <x:v>procedural</x:v>
      </x:c>
      <x:c r="AB2540" s="6" t="str">
        <x:v>CC0-1.0</x:v>
      </x:c>
    </x:row>
    <x:row r="2541" ht="82" customHeight="1">
      <x:c r="A2541" s="14" t="n">
        <x:v>2536</x:v>
      </x:c>
      <x:c r="B2541" s="6" t="str">
        <x:v>wide_delivery_count</x:v>
      </x:c>
      <x:c r="C2541" s="6" t="str">
        <x:v>I'm moving a 1.1 m wide cleaning machine. It can't go on stairs or steps (lifts are fine), and every door it passes through must be at least 1.1 m wide. It arrives through the entrance into Logistics zone H-C1 (Ground floor). Into how many rooms on the ground floor can it be delivered? Finish with a line 'Answer: &lt;number&gt;'.</x:v>
      </x:c>
      <x:c r="D2541" s="6" t="str">
        <x:v>3 rooms</x:v>
      </x:c>
      <x:c r="E2541" s="6" t="str">
        <x:v>Reference supplied</x:v>
      </x:c>
      <x:c r="F2541" s="6" t="str">
        <x:v>dev</x:v>
      </x:c>
      <x:c r="G2541" s="6" t="str">
        <x:v>proc-factory-dev-010</x:v>
      </x:c>
      <x:c r="H2541" s="6" t="str">
        <x:v>proc-factory-dev-010-H03</x:v>
      </x:c>
      <x:c r="I2541" s="6" t="str">
        <x:v>Constrained reachability</x:v>
      </x:c>
      <x:c r="J2541" s="6" t="str">
        <x:v>Benchmark</x:v>
      </x:c>
      <x:c r="K2541" s="6" t="str">
        <x:v>Answer: &lt;one exact integer&gt;</x:v>
      </x:c>
      <x:c r="L2541" s="6" t="str">
        <x:v>T02, T05, T06, T14</x:v>
      </x:c>
      <x:c r="M2541" s="6" t="str">
        <x:v>Count rooms reachable with a wide load that cannot use stairs or steps.</x:v>
      </x:c>
      <x:c r="N2541" s="6" t="str">
        <x:v>{"type":"number","value":3,"unit":"rooms","relative_tolerance":0,"absolute_tolerance":0}</x:v>
      </x:c>
      <x:c r="O2541" s="6" t="str">
        <x:v>{"start":"proc-factory-dev-010-F0-S009","floor_id":"proc-factory-dev-010-F0","min_width":1.1}</x:v>
      </x:c>
      <x:c r="P2541" s="6" t="str">
        <x:v>No stairs/steps. All doors &gt;= 1.1 m. Lifts allowed. Count type=room on target floor.</x:v>
      </x:c>
      <x:c r="Q2541" s="15" t="n">
        <x:v>3</x:v>
      </x:c>
      <x:c r="R2541" s="6" t="str">
        <x:v>rooms</x:v>
      </x:c>
      <x:c r="S2541" s="16" t="n">
        <x:v>0</x:v>
      </x:c>
      <x:c r="T2541" s="15" t="n">
        <x:v>0</x:v>
      </x:c>
      <x:c r="U2541" s="6" t="str">
        <x:v>Answer: 3</x:v>
      </x:c>
      <x:c r="V2541" s="6" t="str">
        <x:v>door widths + reachability</x:v>
      </x:c>
      <x:c r="W2541" s="6" t="str">
        <x:v>Missing minimum-width filter and aggregate reachability. Existing router only filters step_free.</x:v>
      </x:c>
      <x:c r="X2541" s="6" t="str">
        <x:v>data/dev/proc-factory-dev-010/questions.jsonl</x:v>
      </x:c>
      <x:c r="Y2541" s="14" t="n">
        <x:v>3</x:v>
      </x:c>
      <x:c r="Z2541" s="6" t="str">
        <x:v>https://github.com/hagenhaeussler/Industrial-Agents-Hackathon-2026/blob/f41616590b69f3ea0c1cbfb41d6c35edd9ce53df/data/dev/proc-factory-dev-010/questions.jsonl#L3</x:v>
      </x:c>
      <x:c r="AA2541" s="6" t="str">
        <x:v>procedural</x:v>
      </x:c>
      <x:c r="AB2541" s="6" t="str">
        <x:v>CC0-1.0</x:v>
      </x:c>
    </x:row>
    <x:row r="2542" ht="82" customHeight="1">
      <x:c r="A2542" s="14" t="n">
        <x:v>2537</x:v>
      </x:c>
      <x:c r="B2542" s="6" t="str">
        <x:v>wide_delivery_count</x:v>
      </x:c>
      <x:c r="C2542" s="6" t="str">
        <x:v>I'm moving a 1.1 m wide hospital bed. It can't go on stairs or steps (lifts are fine), and every door it passes through must be at least 1.1 m wide. It arrives through the entrance into Logistics zone H-D5 (Ground floor). Into how many rooms on the ground floor can it be delivered? Finish with a line 'Answer: &lt;number&gt;'.</x:v>
      </x:c>
      <x:c r="D2542" s="6" t="str">
        <x:v>13 rooms</x:v>
      </x:c>
      <x:c r="E2542" s="6" t="str">
        <x:v>Reference supplied</x:v>
      </x:c>
      <x:c r="F2542" s="6" t="str">
        <x:v>dev</x:v>
      </x:c>
      <x:c r="G2542" s="6" t="str">
        <x:v>proc-factory-dev-011</x:v>
      </x:c>
      <x:c r="H2542" s="6" t="str">
        <x:v>proc-factory-dev-011-H03</x:v>
      </x:c>
      <x:c r="I2542" s="6" t="str">
        <x:v>Constrained reachability</x:v>
      </x:c>
      <x:c r="J2542" s="6" t="str">
        <x:v>Benchmark</x:v>
      </x:c>
      <x:c r="K2542" s="6" t="str">
        <x:v>Answer: &lt;one exact integer&gt;</x:v>
      </x:c>
      <x:c r="L2542" s="6" t="str">
        <x:v>T02, T05, T06, T14</x:v>
      </x:c>
      <x:c r="M2542" s="6" t="str">
        <x:v>Count rooms reachable with a wide load that cannot use stairs or steps.</x:v>
      </x:c>
      <x:c r="N2542" s="6" t="str">
        <x:v>{"type":"number","value":13,"unit":"rooms","relative_tolerance":0,"absolute_tolerance":0}</x:v>
      </x:c>
      <x:c r="O2542" s="6" t="str">
        <x:v>{"start":"proc-factory-dev-011-F0-S020","floor_id":"proc-factory-dev-011-F0","min_width":1.1}</x:v>
      </x:c>
      <x:c r="P2542" s="6" t="str">
        <x:v>No stairs/steps. All doors &gt;= 1.1 m. Lifts allowed. Count type=room on target floor.</x:v>
      </x:c>
      <x:c r="Q2542" s="15" t="n">
        <x:v>13</x:v>
      </x:c>
      <x:c r="R2542" s="6" t="str">
        <x:v>rooms</x:v>
      </x:c>
      <x:c r="S2542" s="16" t="n">
        <x:v>0</x:v>
      </x:c>
      <x:c r="T2542" s="15" t="n">
        <x:v>0</x:v>
      </x:c>
      <x:c r="U2542" s="6" t="str">
        <x:v>Answer: 13</x:v>
      </x:c>
      <x:c r="V2542" s="6" t="str">
        <x:v>door widths + reachability</x:v>
      </x:c>
      <x:c r="W2542" s="6" t="str">
        <x:v>Missing minimum-width filter and aggregate reachability. Existing router only filters step_free.</x:v>
      </x:c>
      <x:c r="X2542" s="6" t="str">
        <x:v>data/dev/proc-factory-dev-011/questions.jsonl</x:v>
      </x:c>
      <x:c r="Y2542" s="14" t="n">
        <x:v>3</x:v>
      </x:c>
      <x:c r="Z2542" s="6" t="str">
        <x:v>https://github.com/hagenhaeussler/Industrial-Agents-Hackathon-2026/blob/f41616590b69f3ea0c1cbfb41d6c35edd9ce53df/data/dev/proc-factory-dev-011/questions.jsonl#L3</x:v>
      </x:c>
      <x:c r="AA2542" s="6" t="str">
        <x:v>procedural</x:v>
      </x:c>
      <x:c r="AB2542" s="6" t="str">
        <x:v>CC0-1.0</x:v>
      </x:c>
    </x:row>
    <x:row r="2543" ht="82" customHeight="1">
      <x:c r="A2543" s="14" t="n">
        <x:v>2538</x:v>
      </x:c>
      <x:c r="B2543" s="6" t="str">
        <x:v>wide_delivery_count</x:v>
      </x:c>
      <x:c r="C2543" s="6" t="str">
        <x:v>I'm moving a 1.0 m wide hospital bed. It can't go on stairs or steps (lifts are fine), and every door it passes through must be at least 1.0 m wide. It arrives through the entrance into Logistics zone H-D4 (Ground floor). Into how many rooms on the floor 1 can it be delivered? Finish with a line 'Answer: &lt;number&gt;'.</x:v>
      </x:c>
      <x:c r="D2543" s="6" t="str">
        <x:v>10 rooms</x:v>
      </x:c>
      <x:c r="E2543" s="6" t="str">
        <x:v>Reference supplied</x:v>
      </x:c>
      <x:c r="F2543" s="6" t="str">
        <x:v>dev</x:v>
      </x:c>
      <x:c r="G2543" s="6" t="str">
        <x:v>proc-factory-dev-012</x:v>
      </x:c>
      <x:c r="H2543" s="6" t="str">
        <x:v>proc-factory-dev-012-H03</x:v>
      </x:c>
      <x:c r="I2543" s="6" t="str">
        <x:v>Constrained reachability</x:v>
      </x:c>
      <x:c r="J2543" s="6" t="str">
        <x:v>Benchmark</x:v>
      </x:c>
      <x:c r="K2543" s="6" t="str">
        <x:v>Answer: &lt;one exact integer&gt;</x:v>
      </x:c>
      <x:c r="L2543" s="6" t="str">
        <x:v>T02, T05, T06, T14</x:v>
      </x:c>
      <x:c r="M2543" s="6" t="str">
        <x:v>Count rooms reachable with a wide load that cannot use stairs or steps.</x:v>
      </x:c>
      <x:c r="N2543" s="6" t="str">
        <x:v>{"type":"number","value":10,"unit":"rooms","relative_tolerance":0,"absolute_tolerance":0}</x:v>
      </x:c>
      <x:c r="O2543" s="6" t="str">
        <x:v>{"start":"proc-factory-dev-012-F0-S022","floor_id":"proc-factory-dev-012-F1","min_width":1}</x:v>
      </x:c>
      <x:c r="P2543" s="6" t="str">
        <x:v>No stairs/steps. All doors &gt;= 1 m. Lifts allowed. Count type=room on target floor.</x:v>
      </x:c>
      <x:c r="Q2543" s="15" t="n">
        <x:v>10</x:v>
      </x:c>
      <x:c r="R2543" s="6" t="str">
        <x:v>rooms</x:v>
      </x:c>
      <x:c r="S2543" s="16" t="n">
        <x:v>0</x:v>
      </x:c>
      <x:c r="T2543" s="15" t="n">
        <x:v>0</x:v>
      </x:c>
      <x:c r="U2543" s="6" t="str">
        <x:v>Answer: 10</x:v>
      </x:c>
      <x:c r="V2543" s="6" t="str">
        <x:v>door widths + reachability</x:v>
      </x:c>
      <x:c r="W2543" s="6" t="str">
        <x:v>Missing minimum-width filter and aggregate reachability. Existing router only filters step_free.</x:v>
      </x:c>
      <x:c r="X2543" s="6" t="str">
        <x:v>data/dev/proc-factory-dev-012/questions.jsonl</x:v>
      </x:c>
      <x:c r="Y2543" s="14" t="n">
        <x:v>3</x:v>
      </x:c>
      <x:c r="Z2543" s="6" t="str">
        <x:v>https://github.com/hagenhaeussler/Industrial-Agents-Hackathon-2026/blob/f41616590b69f3ea0c1cbfb41d6c35edd9ce53df/data/dev/proc-factory-dev-012/questions.jsonl#L3</x:v>
      </x:c>
      <x:c r="AA2543" s="6" t="str">
        <x:v>procedural</x:v>
      </x:c>
      <x:c r="AB2543" s="6" t="str">
        <x:v>CC0-1.0</x:v>
      </x:c>
    </x:row>
    <x:row r="2544" ht="82" customHeight="1">
      <x:c r="A2544" s="14" t="n">
        <x:v>2539</x:v>
      </x:c>
      <x:c r="B2544" s="6" t="str">
        <x:v>wide_delivery_count</x:v>
      </x:c>
      <x:c r="C2544" s="6" t="str">
        <x:v>I'm moving a 1.0 m wide trolley.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44" s="6" t="str">
        <x:v>3 rooms</x:v>
      </x:c>
      <x:c r="E2544" s="6" t="str">
        <x:v>Reference supplied</x:v>
      </x:c>
      <x:c r="F2544" s="6" t="str">
        <x:v>dev</x:v>
      </x:c>
      <x:c r="G2544" s="6" t="str">
        <x:v>resplan-14509</x:v>
      </x:c>
      <x:c r="H2544" s="6" t="str">
        <x:v>resplan-14509-H01</x:v>
      </x:c>
      <x:c r="I2544" s="6" t="str">
        <x:v>Constrained reachability</x:v>
      </x:c>
      <x:c r="J2544" s="6" t="str">
        <x:v>Benchmark</x:v>
      </x:c>
      <x:c r="K2544" s="6" t="str">
        <x:v>Answer: &lt;one exact integer&gt;</x:v>
      </x:c>
      <x:c r="L2544" s="6" t="str">
        <x:v>T02, T05, T06, T14</x:v>
      </x:c>
      <x:c r="M2544" s="6" t="str">
        <x:v>Count rooms reachable with a wide load that cannot use stairs or steps.</x:v>
      </x:c>
      <x:c r="N2544" s="6" t="str">
        <x:v>{"type":"number","value":3,"unit":"rooms","relative_tolerance":0,"absolute_tolerance":0}</x:v>
      </x:c>
      <x:c r="O2544" s="6" t="str">
        <x:v>{"start":"resplan-14509-F0-S001","floor_id":"resplan-14509-F0","min_width":1}</x:v>
      </x:c>
      <x:c r="P2544" s="6" t="str">
        <x:v>No stairs/steps. All doors &gt;= 1 m. Lifts allowed. Count type=room on target floor.</x:v>
      </x:c>
      <x:c r="Q2544" s="15" t="n">
        <x:v>3</x:v>
      </x:c>
      <x:c r="R2544" s="6" t="str">
        <x:v>rooms</x:v>
      </x:c>
      <x:c r="S2544" s="16" t="n">
        <x:v>0</x:v>
      </x:c>
      <x:c r="T2544" s="15" t="n">
        <x:v>0</x:v>
      </x:c>
      <x:c r="U2544" s="6" t="str">
        <x:v>Answer: 3</x:v>
      </x:c>
      <x:c r="V2544" s="6" t="str">
        <x:v>door widths + reachability</x:v>
      </x:c>
      <x:c r="W2544" s="6" t="str">
        <x:v>Missing minimum-width filter and aggregate reachability. Existing router only filters step_free.</x:v>
      </x:c>
      <x:c r="X2544" s="6" t="str">
        <x:v>data/dev/resplan-14509/questions.jsonl</x:v>
      </x:c>
      <x:c r="Y2544" s="14" t="n">
        <x:v>1</x:v>
      </x:c>
      <x:c r="Z2544" s="6" t="str">
        <x:v>https://github.com/hagenhaeussler/Industrial-Agents-Hackathon-2026/blob/f41616590b69f3ea0c1cbfb41d6c35edd9ce53df/data/dev/resplan-14509/questions.jsonl#L1</x:v>
      </x:c>
      <x:c r="AA2544" s="6" t="str">
        <x:v>resplan</x:v>
      </x:c>
      <x:c r="AB2544" s="6" t="str">
        <x:v>CC-BY-4.0</x:v>
      </x:c>
    </x:row>
    <x:row r="2545" ht="82" customHeight="1">
      <x:c r="A2545" s="14" t="n">
        <x:v>2540</x:v>
      </x:c>
      <x:c r="B2545" s="6" t="str">
        <x:v>wide_delivery_count</x:v>
      </x:c>
      <x:c r="C2545"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45" s="6" t="str">
        <x:v>6 rooms</x:v>
      </x:c>
      <x:c r="E2545" s="6" t="str">
        <x:v>Reference supplied</x:v>
      </x:c>
      <x:c r="F2545" s="6" t="str">
        <x:v>dev</x:v>
      </x:c>
      <x:c r="G2545" s="6" t="str">
        <x:v>resplan-15179</x:v>
      </x:c>
      <x:c r="H2545" s="6" t="str">
        <x:v>resplan-15179-H02</x:v>
      </x:c>
      <x:c r="I2545" s="6" t="str">
        <x:v>Constrained reachability</x:v>
      </x:c>
      <x:c r="J2545" s="6" t="str">
        <x:v>Benchmark</x:v>
      </x:c>
      <x:c r="K2545" s="6" t="str">
        <x:v>Answer: &lt;one exact integer&gt;</x:v>
      </x:c>
      <x:c r="L2545" s="6" t="str">
        <x:v>T02, T05, T06, T14</x:v>
      </x:c>
      <x:c r="M2545" s="6" t="str">
        <x:v>Count rooms reachable with a wide load that cannot use stairs or steps.</x:v>
      </x:c>
      <x:c r="N2545" s="6" t="str">
        <x:v>{"type":"number","value":6,"unit":"rooms","relative_tolerance":0,"absolute_tolerance":0}</x:v>
      </x:c>
      <x:c r="O2545" s="6" t="str">
        <x:v>{"start":"resplan-15179-F0-S001","floor_id":"resplan-15179-F0","min_width":1.1}</x:v>
      </x:c>
      <x:c r="P2545" s="6" t="str">
        <x:v>No stairs/steps. All doors &gt;= 1.1 m. Lifts allowed. Count type=room on target floor.</x:v>
      </x:c>
      <x:c r="Q2545" s="15" t="n">
        <x:v>6</x:v>
      </x:c>
      <x:c r="R2545" s="6" t="str">
        <x:v>rooms</x:v>
      </x:c>
      <x:c r="S2545" s="16" t="n">
        <x:v>0</x:v>
      </x:c>
      <x:c r="T2545" s="15" t="n">
        <x:v>0</x:v>
      </x:c>
      <x:c r="U2545" s="6" t="str">
        <x:v>Answer: 6</x:v>
      </x:c>
      <x:c r="V2545" s="6" t="str">
        <x:v>door widths + reachability</x:v>
      </x:c>
      <x:c r="W2545" s="6" t="str">
        <x:v>Missing minimum-width filter and aggregate reachability. Existing router only filters step_free.</x:v>
      </x:c>
      <x:c r="X2545" s="6" t="str">
        <x:v>data/dev/resplan-15179/questions.jsonl</x:v>
      </x:c>
      <x:c r="Y2545" s="14" t="n">
        <x:v>2</x:v>
      </x:c>
      <x:c r="Z2545" s="6" t="str">
        <x:v>https://github.com/hagenhaeussler/Industrial-Agents-Hackathon-2026/blob/f41616590b69f3ea0c1cbfb41d6c35edd9ce53df/data/dev/resplan-15179/questions.jsonl#L2</x:v>
      </x:c>
      <x:c r="AA2545" s="6" t="str">
        <x:v>resplan</x:v>
      </x:c>
      <x:c r="AB2545" s="6" t="str">
        <x:v>CC-BY-4.0</x:v>
      </x:c>
    </x:row>
    <x:row r="2546" ht="82" customHeight="1">
      <x:c r="A2546" s="14" t="n">
        <x:v>2541</x:v>
      </x:c>
      <x:c r="B2546" s="6" t="str">
        <x:v>wide_delivery_count</x:v>
      </x:c>
      <x:c r="C2546" s="6" t="str">
        <x:v>I'm moving a 1.0 m wide trolley.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46" s="6" t="str">
        <x:v>4 rooms</x:v>
      </x:c>
      <x:c r="E2546" s="6" t="str">
        <x:v>Reference supplied</x:v>
      </x:c>
      <x:c r="F2546" s="6" t="str">
        <x:v>dev</x:v>
      </x:c>
      <x:c r="G2546" s="6" t="str">
        <x:v>resplan-16154</x:v>
      </x:c>
      <x:c r="H2546" s="6" t="str">
        <x:v>resplan-16154-H01</x:v>
      </x:c>
      <x:c r="I2546" s="6" t="str">
        <x:v>Constrained reachability</x:v>
      </x:c>
      <x:c r="J2546" s="6" t="str">
        <x:v>Benchmark</x:v>
      </x:c>
      <x:c r="K2546" s="6" t="str">
        <x:v>Answer: &lt;one exact integer&gt;</x:v>
      </x:c>
      <x:c r="L2546" s="6" t="str">
        <x:v>T02, T05, T06, T14</x:v>
      </x:c>
      <x:c r="M2546" s="6" t="str">
        <x:v>Count rooms reachable with a wide load that cannot use stairs or steps.</x:v>
      </x:c>
      <x:c r="N2546" s="6" t="str">
        <x:v>{"type":"number","value":4,"unit":"rooms","relative_tolerance":0,"absolute_tolerance":0}</x:v>
      </x:c>
      <x:c r="O2546" s="6" t="str">
        <x:v>{"start":"resplan-16154-F0-S001","floor_id":"resplan-16154-F0","min_width":1}</x:v>
      </x:c>
      <x:c r="P2546" s="6" t="str">
        <x:v>No stairs/steps. All doors &gt;= 1 m. Lifts allowed. Count type=room on target floor.</x:v>
      </x:c>
      <x:c r="Q2546" s="15" t="n">
        <x:v>4</x:v>
      </x:c>
      <x:c r="R2546" s="6" t="str">
        <x:v>rooms</x:v>
      </x:c>
      <x:c r="S2546" s="16" t="n">
        <x:v>0</x:v>
      </x:c>
      <x:c r="T2546" s="15" t="n">
        <x:v>0</x:v>
      </x:c>
      <x:c r="U2546" s="6" t="str">
        <x:v>Answer: 4</x:v>
      </x:c>
      <x:c r="V2546" s="6" t="str">
        <x:v>door widths + reachability</x:v>
      </x:c>
      <x:c r="W2546" s="6" t="str">
        <x:v>Missing minimum-width filter and aggregate reachability. Existing router only filters step_free.</x:v>
      </x:c>
      <x:c r="X2546" s="6" t="str">
        <x:v>data/dev/resplan-16154/questions.jsonl</x:v>
      </x:c>
      <x:c r="Y2546" s="14" t="n">
        <x:v>1</x:v>
      </x:c>
      <x:c r="Z2546" s="6" t="str">
        <x:v>https://github.com/hagenhaeussler/Industrial-Agents-Hackathon-2026/blob/f41616590b69f3ea0c1cbfb41d6c35edd9ce53df/data/dev/resplan-16154/questions.jsonl#L1</x:v>
      </x:c>
      <x:c r="AA2546" s="6" t="str">
        <x:v>resplan</x:v>
      </x:c>
      <x:c r="AB2546" s="6" t="str">
        <x:v>CC-BY-4.0</x:v>
      </x:c>
    </x:row>
    <x:row r="2547" ht="82" customHeight="1">
      <x:c r="A2547" s="14" t="n">
        <x:v>2542</x:v>
      </x:c>
      <x:c r="B2547" s="6" t="str">
        <x:v>wide_delivery_count</x:v>
      </x:c>
      <x:c r="C2547" s="6" t="str">
        <x:v>I'm moving a 1.1 m wide cleaning machine.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47" s="6" t="str">
        <x:v>5 rooms</x:v>
      </x:c>
      <x:c r="E2547" s="6" t="str">
        <x:v>Reference supplied</x:v>
      </x:c>
      <x:c r="F2547" s="6" t="str">
        <x:v>dev</x:v>
      </x:c>
      <x:c r="G2547" s="6" t="str">
        <x:v>resplan-3832</x:v>
      </x:c>
      <x:c r="H2547" s="6" t="str">
        <x:v>resplan-3832-H01</x:v>
      </x:c>
      <x:c r="I2547" s="6" t="str">
        <x:v>Constrained reachability</x:v>
      </x:c>
      <x:c r="J2547" s="6" t="str">
        <x:v>Benchmark</x:v>
      </x:c>
      <x:c r="K2547" s="6" t="str">
        <x:v>Answer: &lt;one exact integer&gt;</x:v>
      </x:c>
      <x:c r="L2547" s="6" t="str">
        <x:v>T02, T05, T06, T14</x:v>
      </x:c>
      <x:c r="M2547" s="6" t="str">
        <x:v>Count rooms reachable with a wide load that cannot use stairs or steps.</x:v>
      </x:c>
      <x:c r="N2547" s="6" t="str">
        <x:v>{"type":"number","value":5,"unit":"rooms","relative_tolerance":0,"absolute_tolerance":0}</x:v>
      </x:c>
      <x:c r="O2547" s="6" t="str">
        <x:v>{"start":"resplan-3832-F0-S001","floor_id":"resplan-3832-F0","min_width":1.1}</x:v>
      </x:c>
      <x:c r="P2547" s="6" t="str">
        <x:v>No stairs/steps. All doors &gt;= 1.1 m. Lifts allowed. Count type=room on target floor.</x:v>
      </x:c>
      <x:c r="Q2547" s="15" t="n">
        <x:v>5</x:v>
      </x:c>
      <x:c r="R2547" s="6" t="str">
        <x:v>rooms</x:v>
      </x:c>
      <x:c r="S2547" s="16" t="n">
        <x:v>0</x:v>
      </x:c>
      <x:c r="T2547" s="15" t="n">
        <x:v>0</x:v>
      </x:c>
      <x:c r="U2547" s="6" t="str">
        <x:v>Answer: 5</x:v>
      </x:c>
      <x:c r="V2547" s="6" t="str">
        <x:v>door widths + reachability</x:v>
      </x:c>
      <x:c r="W2547" s="6" t="str">
        <x:v>Missing minimum-width filter and aggregate reachability. Existing router only filters step_free.</x:v>
      </x:c>
      <x:c r="X2547" s="6" t="str">
        <x:v>data/dev/resplan-3832/questions.jsonl</x:v>
      </x:c>
      <x:c r="Y2547" s="14" t="n">
        <x:v>1</x:v>
      </x:c>
      <x:c r="Z2547" s="6" t="str">
        <x:v>https://github.com/hagenhaeussler/Industrial-Agents-Hackathon-2026/blob/f41616590b69f3ea0c1cbfb41d6c35edd9ce53df/data/dev/resplan-3832/questions.jsonl#L1</x:v>
      </x:c>
      <x:c r="AA2547" s="6" t="str">
        <x:v>resplan</x:v>
      </x:c>
      <x:c r="AB2547" s="6" t="str">
        <x:v>CC-BY-4.0</x:v>
      </x:c>
    </x:row>
    <x:row r="2548" ht="82" customHeight="1">
      <x:c r="A2548" s="14" t="n">
        <x:v>2543</x:v>
      </x:c>
      <x:c r="B2548" s="6" t="str">
        <x:v>wide_delivery_count</x:v>
      </x:c>
      <x:c r="C2548" s="6" t="str">
        <x:v>I'm moving a 1.0 m wide pallet of equipment.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48" s="6" t="str">
        <x:v>4 rooms</x:v>
      </x:c>
      <x:c r="E2548" s="6" t="str">
        <x:v>Reference supplied</x:v>
      </x:c>
      <x:c r="F2548" s="6" t="str">
        <x:v>dev</x:v>
      </x:c>
      <x:c r="G2548" s="6" t="str">
        <x:v>resplan-8269</x:v>
      </x:c>
      <x:c r="H2548" s="6" t="str">
        <x:v>resplan-8269-H01</x:v>
      </x:c>
      <x:c r="I2548" s="6" t="str">
        <x:v>Constrained reachability</x:v>
      </x:c>
      <x:c r="J2548" s="6" t="str">
        <x:v>Benchmark</x:v>
      </x:c>
      <x:c r="K2548" s="6" t="str">
        <x:v>Answer: &lt;one exact integer&gt;</x:v>
      </x:c>
      <x:c r="L2548" s="6" t="str">
        <x:v>T02, T05, T06, T14</x:v>
      </x:c>
      <x:c r="M2548" s="6" t="str">
        <x:v>Count rooms reachable with a wide load that cannot use stairs or steps.</x:v>
      </x:c>
      <x:c r="N2548" s="6" t="str">
        <x:v>{"type":"number","value":4,"unit":"rooms","relative_tolerance":0,"absolute_tolerance":0}</x:v>
      </x:c>
      <x:c r="O2548" s="6" t="str">
        <x:v>{"start":"resplan-8269-F0-S001","floor_id":"resplan-8269-F0","min_width":1}</x:v>
      </x:c>
      <x:c r="P2548" s="6" t="str">
        <x:v>No stairs/steps. All doors &gt;= 1 m. Lifts allowed. Count type=room on target floor.</x:v>
      </x:c>
      <x:c r="Q2548" s="15" t="n">
        <x:v>4</x:v>
      </x:c>
      <x:c r="R2548" s="6" t="str">
        <x:v>rooms</x:v>
      </x:c>
      <x:c r="S2548" s="16" t="n">
        <x:v>0</x:v>
      </x:c>
      <x:c r="T2548" s="15" t="n">
        <x:v>0</x:v>
      </x:c>
      <x:c r="U2548" s="6" t="str">
        <x:v>Answer: 4</x:v>
      </x:c>
      <x:c r="V2548" s="6" t="str">
        <x:v>door widths + reachability</x:v>
      </x:c>
      <x:c r="W2548" s="6" t="str">
        <x:v>Missing minimum-width filter and aggregate reachability. Existing router only filters step_free.</x:v>
      </x:c>
      <x:c r="X2548" s="6" t="str">
        <x:v>data/dev/resplan-8269/questions.jsonl</x:v>
      </x:c>
      <x:c r="Y2548" s="14" t="n">
        <x:v>1</x:v>
      </x:c>
      <x:c r="Z2548" s="6" t="str">
        <x:v>https://github.com/hagenhaeussler/Industrial-Agents-Hackathon-2026/blob/f41616590b69f3ea0c1cbfb41d6c35edd9ce53df/data/dev/resplan-8269/questions.jsonl#L1</x:v>
      </x:c>
      <x:c r="AA2548" s="6" t="str">
        <x:v>resplan</x:v>
      </x:c>
      <x:c r="AB2548" s="6" t="str">
        <x:v>CC-BY-4.0</x:v>
      </x:c>
    </x:row>
    <x:row r="2549" ht="82" customHeight="1">
      <x:c r="A2549" s="14" t="n">
        <x:v>2544</x:v>
      </x:c>
      <x:c r="B2549" s="6" t="str">
        <x:v>wide_delivery_count</x:v>
      </x:c>
      <x:c r="C2549" s="6" t="str">
        <x:v>I'm moving a 1.0 m wide trolley. It can't go on stairs or steps (lifts are fine), and every door it passes through must be at least 1.0 m wide. It arrives through the entrance into Main lobby (Ground floor). Into how many rooms on the floor 1 can it be delivered? Finish with a line 'Answer: &lt;number&gt;'.</x:v>
      </x:c>
      <x:c r="D2549" s="6" t="str">
        <x:v>Withheld in public test data. No reference answer supplied.</x:v>
      </x:c>
      <x:c r="E2549" s="6" t="str">
        <x:v>Withheld</x:v>
      </x:c>
      <x:c r="F2549" s="6" t="str">
        <x:v>test</x:v>
      </x:c>
      <x:c r="G2549" s="6" t="str">
        <x:v>proc-campus-test-000</x:v>
      </x:c>
      <x:c r="H2549" s="6" t="str">
        <x:v>proc-campus-test-000-H03</x:v>
      </x:c>
      <x:c r="I2549" s="6" t="str">
        <x:v>Constrained reachability</x:v>
      </x:c>
      <x:c r="J2549" s="6" t="str">
        <x:v>Benchmark</x:v>
      </x:c>
      <x:c r="K2549" s="6" t="str">
        <x:v>Answer: &lt;one exact integer&gt;</x:v>
      </x:c>
      <x:c r="L2549" s="6" t="str">
        <x:v>T02, T05, T06, T14</x:v>
      </x:c>
      <x:c r="M2549" s="6" t="str">
        <x:v>Count rooms reachable with a wide load that cannot use stairs or steps.</x:v>
      </x:c>
      <x:c r="N2549" s="6"/>
      <x:c r="O2549" s="6"/>
      <x:c r="P2549" s="6" t="str">
        <x:v>No stairs/steps. All doors &gt;= width stated in question m. Lifts allowed. Count type=room on target floor.</x:v>
      </x:c>
      <x:c r="Q2549" s="15"/>
      <x:c r="R2549" s="6"/>
      <x:c r="S2549" s="16"/>
      <x:c r="T2549" s="15"/>
      <x:c r="U2549" s="6"/>
      <x:c r="V2549" s="6"/>
      <x:c r="W2549" s="6" t="str">
        <x:v>Missing minimum-width filter and aggregate reachability. Existing router only filters step_free.</x:v>
      </x:c>
      <x:c r="X2549" s="6" t="str">
        <x:v>data/test/proc-campus-test-000/questions.jsonl</x:v>
      </x:c>
      <x:c r="Y2549" s="14" t="n">
        <x:v>3</x:v>
      </x:c>
      <x:c r="Z2549" s="6" t="str">
        <x:v>https://github.com/hagenhaeussler/Industrial-Agents-Hackathon-2026/blob/f41616590b69f3ea0c1cbfb41d6c35edd9ce53df/data/test/proc-campus-test-000/questions.jsonl#L3</x:v>
      </x:c>
      <x:c r="AA2549" s="6" t="str">
        <x:v>procedural</x:v>
      </x:c>
      <x:c r="AB2549" s="6" t="str">
        <x:v>CC0-1.0</x:v>
      </x:c>
    </x:row>
    <x:row r="2550" ht="82" customHeight="1">
      <x:c r="A2550" s="14" t="n">
        <x:v>2545</x:v>
      </x:c>
      <x:c r="B2550" s="6" t="str">
        <x:v>wide_delivery_count</x:v>
      </x:c>
      <x:c r="C2550" s="6" t="str">
        <x:v>I'm moving a 1.0 m wide trolley. It can't go on stairs or steps (lifts are fine), and every door it passes through must be at least 1.0 m wide. It arrives through the entrance into Main lobby (Ground floor). Into how many rooms on the floor 2 can it be delivered? Finish with a line 'Answer: &lt;number&gt;'.</x:v>
      </x:c>
      <x:c r="D2550" s="6" t="str">
        <x:v>Withheld in public test data. No reference answer supplied.</x:v>
      </x:c>
      <x:c r="E2550" s="6" t="str">
        <x:v>Withheld</x:v>
      </x:c>
      <x:c r="F2550" s="6" t="str">
        <x:v>test</x:v>
      </x:c>
      <x:c r="G2550" s="6" t="str">
        <x:v>proc-campus-test-004</x:v>
      </x:c>
      <x:c r="H2550" s="6" t="str">
        <x:v>proc-campus-test-004-H03</x:v>
      </x:c>
      <x:c r="I2550" s="6" t="str">
        <x:v>Constrained reachability</x:v>
      </x:c>
      <x:c r="J2550" s="6" t="str">
        <x:v>Benchmark</x:v>
      </x:c>
      <x:c r="K2550" s="6" t="str">
        <x:v>Answer: &lt;one exact integer&gt;</x:v>
      </x:c>
      <x:c r="L2550" s="6" t="str">
        <x:v>T02, T05, T06, T14</x:v>
      </x:c>
      <x:c r="M2550" s="6" t="str">
        <x:v>Count rooms reachable with a wide load that cannot use stairs or steps.</x:v>
      </x:c>
      <x:c r="N2550" s="6"/>
      <x:c r="O2550" s="6"/>
      <x:c r="P2550" s="6" t="str">
        <x:v>No stairs/steps. All doors &gt;= width stated in question m. Lifts allowed. Count type=room on target floor.</x:v>
      </x:c>
      <x:c r="Q2550" s="15"/>
      <x:c r="R2550" s="6"/>
      <x:c r="S2550" s="16"/>
      <x:c r="T2550" s="15"/>
      <x:c r="U2550" s="6"/>
      <x:c r="V2550" s="6"/>
      <x:c r="W2550" s="6" t="str">
        <x:v>Missing minimum-width filter and aggregate reachability. Existing router only filters step_free.</x:v>
      </x:c>
      <x:c r="X2550" s="6" t="str">
        <x:v>data/test/proc-campus-test-004/questions.jsonl</x:v>
      </x:c>
      <x:c r="Y2550" s="14" t="n">
        <x:v>3</x:v>
      </x:c>
      <x:c r="Z2550" s="6" t="str">
        <x:v>https://github.com/hagenhaeussler/Industrial-Agents-Hackathon-2026/blob/f41616590b69f3ea0c1cbfb41d6c35edd9ce53df/data/test/proc-campus-test-004/questions.jsonl#L3</x:v>
      </x:c>
      <x:c r="AA2550" s="6" t="str">
        <x:v>procedural</x:v>
      </x:c>
      <x:c r="AB2550" s="6" t="str">
        <x:v>CC0-1.0</x:v>
      </x:c>
    </x:row>
    <x:row r="2551" ht="82" customHeight="1">
      <x:c r="A2551" s="14" t="n">
        <x:v>2546</x:v>
      </x:c>
      <x:c r="B2551" s="6" t="str">
        <x:v>wide_delivery_count</x:v>
      </x:c>
      <x:c r="C2551" s="6" t="str">
        <x:v>I'm moving a 1.0 m wide hospital bed. It can't go on stairs or steps (lifts are fine), and every door it passes through must be at least 1.0 m wide. It arrives through the entrance into Main lobby (Ground floor). Into how many rooms on the floor 4 can it be delivered? Finish with a line 'Answer: &lt;number&gt;'.</x:v>
      </x:c>
      <x:c r="D2551" s="6" t="str">
        <x:v>Withheld in public test data. No reference answer supplied.</x:v>
      </x:c>
      <x:c r="E2551" s="6" t="str">
        <x:v>Withheld</x:v>
      </x:c>
      <x:c r="F2551" s="6" t="str">
        <x:v>test</x:v>
      </x:c>
      <x:c r="G2551" s="6" t="str">
        <x:v>proc-campus-test-005</x:v>
      </x:c>
      <x:c r="H2551" s="6" t="str">
        <x:v>proc-campus-test-005-H03</x:v>
      </x:c>
      <x:c r="I2551" s="6" t="str">
        <x:v>Constrained reachability</x:v>
      </x:c>
      <x:c r="J2551" s="6" t="str">
        <x:v>Benchmark</x:v>
      </x:c>
      <x:c r="K2551" s="6" t="str">
        <x:v>Answer: &lt;one exact integer&gt;</x:v>
      </x:c>
      <x:c r="L2551" s="6" t="str">
        <x:v>T02, T05, T06, T14</x:v>
      </x:c>
      <x:c r="M2551" s="6" t="str">
        <x:v>Count rooms reachable with a wide load that cannot use stairs or steps.</x:v>
      </x:c>
      <x:c r="N2551" s="6"/>
      <x:c r="O2551" s="6"/>
      <x:c r="P2551" s="6" t="str">
        <x:v>No stairs/steps. All doors &gt;= width stated in question m. Lifts allowed. Count type=room on target floor.</x:v>
      </x:c>
      <x:c r="Q2551" s="15"/>
      <x:c r="R2551" s="6"/>
      <x:c r="S2551" s="16"/>
      <x:c r="T2551" s="15"/>
      <x:c r="U2551" s="6"/>
      <x:c r="V2551" s="6"/>
      <x:c r="W2551" s="6" t="str">
        <x:v>Missing minimum-width filter and aggregate reachability. Existing router only filters step_free.</x:v>
      </x:c>
      <x:c r="X2551" s="6" t="str">
        <x:v>data/test/proc-campus-test-005/questions.jsonl</x:v>
      </x:c>
      <x:c r="Y2551" s="14" t="n">
        <x:v>3</x:v>
      </x:c>
      <x:c r="Z2551" s="6" t="str">
        <x:v>https://github.com/hagenhaeussler/Industrial-Agents-Hackathon-2026/blob/f41616590b69f3ea0c1cbfb41d6c35edd9ce53df/data/test/proc-campus-test-005/questions.jsonl#L3</x:v>
      </x:c>
      <x:c r="AA2551" s="6" t="str">
        <x:v>procedural</x:v>
      </x:c>
      <x:c r="AB2551" s="6" t="str">
        <x:v>CC0-1.0</x:v>
      </x:c>
    </x:row>
    <x:row r="2552" ht="82" customHeight="1">
      <x:c r="A2552" s="14" t="n">
        <x:v>2547</x:v>
      </x:c>
      <x:c r="B2552" s="6" t="str">
        <x:v>wide_delivery_count</x:v>
      </x:c>
      <x:c r="C2552" s="6" t="str">
        <x:v>I'm moving a 1.0 m wide hospital bed. It can't go on stairs or steps (lifts are fine), and every door it passes through must be at least 1.0 m wide. It arrives through the entrance into Main lobby (Ground floor). Into how many rooms on the floor 5 can it be delivered? Finish with a line 'Answer: &lt;number&gt;'.</x:v>
      </x:c>
      <x:c r="D2552" s="6" t="str">
        <x:v>Withheld in public test data. No reference answer supplied.</x:v>
      </x:c>
      <x:c r="E2552" s="6" t="str">
        <x:v>Withheld</x:v>
      </x:c>
      <x:c r="F2552" s="6" t="str">
        <x:v>test</x:v>
      </x:c>
      <x:c r="G2552" s="6" t="str">
        <x:v>proc-campus-test-008</x:v>
      </x:c>
      <x:c r="H2552" s="6" t="str">
        <x:v>proc-campus-test-008-H03</x:v>
      </x:c>
      <x:c r="I2552" s="6" t="str">
        <x:v>Constrained reachability</x:v>
      </x:c>
      <x:c r="J2552" s="6" t="str">
        <x:v>Benchmark</x:v>
      </x:c>
      <x:c r="K2552" s="6" t="str">
        <x:v>Answer: &lt;one exact integer&gt;</x:v>
      </x:c>
      <x:c r="L2552" s="6" t="str">
        <x:v>T02, T05, T06, T14</x:v>
      </x:c>
      <x:c r="M2552" s="6" t="str">
        <x:v>Count rooms reachable with a wide load that cannot use stairs or steps.</x:v>
      </x:c>
      <x:c r="N2552" s="6"/>
      <x:c r="O2552" s="6"/>
      <x:c r="P2552" s="6" t="str">
        <x:v>No stairs/steps. All doors &gt;= width stated in question m. Lifts allowed. Count type=room on target floor.</x:v>
      </x:c>
      <x:c r="Q2552" s="15"/>
      <x:c r="R2552" s="6"/>
      <x:c r="S2552" s="16"/>
      <x:c r="T2552" s="15"/>
      <x:c r="U2552" s="6"/>
      <x:c r="V2552" s="6"/>
      <x:c r="W2552" s="6" t="str">
        <x:v>Missing minimum-width filter and aggregate reachability. Existing router only filters step_free.</x:v>
      </x:c>
      <x:c r="X2552" s="6" t="str">
        <x:v>data/test/proc-campus-test-008/questions.jsonl</x:v>
      </x:c>
      <x:c r="Y2552" s="14" t="n">
        <x:v>3</x:v>
      </x:c>
      <x:c r="Z2552" s="6" t="str">
        <x:v>https://github.com/hagenhaeussler/Industrial-Agents-Hackathon-2026/blob/f41616590b69f3ea0c1cbfb41d6c35edd9ce53df/data/test/proc-campus-test-008/questions.jsonl#L3</x:v>
      </x:c>
      <x:c r="AA2552" s="6" t="str">
        <x:v>procedural</x:v>
      </x:c>
      <x:c r="AB2552" s="6" t="str">
        <x:v>CC0-1.0</x:v>
      </x:c>
    </x:row>
    <x:row r="2553" ht="82" customHeight="1">
      <x:c r="A2553" s="14" t="n">
        <x:v>2548</x:v>
      </x:c>
      <x:c r="B2553" s="6" t="str">
        <x:v>wide_delivery_count</x:v>
      </x:c>
      <x:c r="C2553" s="6" t="str">
        <x:v>I'm moving a 1.0 m wide pallet of equipment. It can't go on stairs or steps (lifts are fine), and every door it passes through must be at least 1.0 m wide. It arrives through the entrance into Main lobby (Ground floor). Into how many rooms on the floor 1 can it be delivered? Finish with a line 'Answer: &lt;number&gt;'.</x:v>
      </x:c>
      <x:c r="D2553" s="6" t="str">
        <x:v>Withheld in public test data. No reference answer supplied.</x:v>
      </x:c>
      <x:c r="E2553" s="6" t="str">
        <x:v>Withheld</x:v>
      </x:c>
      <x:c r="F2553" s="6" t="str">
        <x:v>test</x:v>
      </x:c>
      <x:c r="G2553" s="6" t="str">
        <x:v>proc-campus-test-012</x:v>
      </x:c>
      <x:c r="H2553" s="6" t="str">
        <x:v>proc-campus-test-012-H03</x:v>
      </x:c>
      <x:c r="I2553" s="6" t="str">
        <x:v>Constrained reachability</x:v>
      </x:c>
      <x:c r="J2553" s="6" t="str">
        <x:v>Benchmark</x:v>
      </x:c>
      <x:c r="K2553" s="6" t="str">
        <x:v>Answer: &lt;one exact integer&gt;</x:v>
      </x:c>
      <x:c r="L2553" s="6" t="str">
        <x:v>T02, T05, T06, T14</x:v>
      </x:c>
      <x:c r="M2553" s="6" t="str">
        <x:v>Count rooms reachable with a wide load that cannot use stairs or steps.</x:v>
      </x:c>
      <x:c r="N2553" s="6"/>
      <x:c r="O2553" s="6"/>
      <x:c r="P2553" s="6" t="str">
        <x:v>No stairs/steps. All doors &gt;= width stated in question m. Lifts allowed. Count type=room on target floor.</x:v>
      </x:c>
      <x:c r="Q2553" s="15"/>
      <x:c r="R2553" s="6"/>
      <x:c r="S2553" s="16"/>
      <x:c r="T2553" s="15"/>
      <x:c r="U2553" s="6"/>
      <x:c r="V2553" s="6"/>
      <x:c r="W2553" s="6" t="str">
        <x:v>Missing minimum-width filter and aggregate reachability. Existing router only filters step_free.</x:v>
      </x:c>
      <x:c r="X2553" s="6" t="str">
        <x:v>data/test/proc-campus-test-012/questions.jsonl</x:v>
      </x:c>
      <x:c r="Y2553" s="14" t="n">
        <x:v>3</x:v>
      </x:c>
      <x:c r="Z2553" s="6" t="str">
        <x:v>https://github.com/hagenhaeussler/Industrial-Agents-Hackathon-2026/blob/f41616590b69f3ea0c1cbfb41d6c35edd9ce53df/data/test/proc-campus-test-012/questions.jsonl#L3</x:v>
      </x:c>
      <x:c r="AA2553" s="6" t="str">
        <x:v>procedural</x:v>
      </x:c>
      <x:c r="AB2553" s="6" t="str">
        <x:v>CC0-1.0</x:v>
      </x:c>
    </x:row>
    <x:row r="2554" ht="82" customHeight="1">
      <x:c r="A2554" s="14" t="n">
        <x:v>2549</x:v>
      </x:c>
      <x:c r="B2554" s="6" t="str">
        <x:v>wide_delivery_count</x:v>
      </x:c>
      <x:c r="C2554" s="6" t="str">
        <x:v>I'm moving a 1.0 m wide pallet of equipment. It can't go on stairs or steps (lifts are fine), and every door it passes through must be at least 1.0 m wide. It arrives through the entrance into Main lobby (Ground floor). Into how many rooms on the floor 3 can it be delivered? Finish with a line 'Answer: &lt;number&gt;'.</x:v>
      </x:c>
      <x:c r="D2554" s="6" t="str">
        <x:v>Withheld in public test data. No reference answer supplied.</x:v>
      </x:c>
      <x:c r="E2554" s="6" t="str">
        <x:v>Withheld</x:v>
      </x:c>
      <x:c r="F2554" s="6" t="str">
        <x:v>test</x:v>
      </x:c>
      <x:c r="G2554" s="6" t="str">
        <x:v>proc-campus-test-013</x:v>
      </x:c>
      <x:c r="H2554" s="6" t="str">
        <x:v>proc-campus-test-013-H03</x:v>
      </x:c>
      <x:c r="I2554" s="6" t="str">
        <x:v>Constrained reachability</x:v>
      </x:c>
      <x:c r="J2554" s="6" t="str">
        <x:v>Benchmark</x:v>
      </x:c>
      <x:c r="K2554" s="6" t="str">
        <x:v>Answer: &lt;one exact integer&gt;</x:v>
      </x:c>
      <x:c r="L2554" s="6" t="str">
        <x:v>T02, T05, T06, T14</x:v>
      </x:c>
      <x:c r="M2554" s="6" t="str">
        <x:v>Count rooms reachable with a wide load that cannot use stairs or steps.</x:v>
      </x:c>
      <x:c r="N2554" s="6"/>
      <x:c r="O2554" s="6"/>
      <x:c r="P2554" s="6" t="str">
        <x:v>No stairs/steps. All doors &gt;= width stated in question m. Lifts allowed. Count type=room on target floor.</x:v>
      </x:c>
      <x:c r="Q2554" s="15"/>
      <x:c r="R2554" s="6"/>
      <x:c r="S2554" s="16"/>
      <x:c r="T2554" s="15"/>
      <x:c r="U2554" s="6"/>
      <x:c r="V2554" s="6"/>
      <x:c r="W2554" s="6" t="str">
        <x:v>Missing minimum-width filter and aggregate reachability. Existing router only filters step_free.</x:v>
      </x:c>
      <x:c r="X2554" s="6" t="str">
        <x:v>data/test/proc-campus-test-013/questions.jsonl</x:v>
      </x:c>
      <x:c r="Y2554" s="14" t="n">
        <x:v>3</x:v>
      </x:c>
      <x:c r="Z2554" s="6" t="str">
        <x:v>https://github.com/hagenhaeussler/Industrial-Agents-Hackathon-2026/blob/f41616590b69f3ea0c1cbfb41d6c35edd9ce53df/data/test/proc-campus-test-013/questions.jsonl#L3</x:v>
      </x:c>
      <x:c r="AA2554" s="6" t="str">
        <x:v>procedural</x:v>
      </x:c>
      <x:c r="AB2554" s="6" t="str">
        <x:v>CC0-1.0</x:v>
      </x:c>
    </x:row>
    <x:row r="2555" ht="82" customHeight="1">
      <x:c r="A2555" s="14" t="n">
        <x:v>2550</x:v>
      </x:c>
      <x:c r="B2555" s="6" t="str">
        <x:v>wide_delivery_count</x:v>
      </x:c>
      <x:c r="C2555" s="6" t="str">
        <x:v>I'm moving a 1.0 m wide hospital bed. It can't go on stairs or steps (lifts are fine), and every door it passes through must be at least 1.0 m wide. It arrives through the entrance into Logistics zone H-C1 (Ground floor). Into how many rooms on the ground floor can it be delivered? Finish with a line 'Answer: &lt;number&gt;'.</x:v>
      </x:c>
      <x:c r="D2555" s="6" t="str">
        <x:v>Withheld in public test data. No reference answer supplied.</x:v>
      </x:c>
      <x:c r="E2555" s="6" t="str">
        <x:v>Withheld</x:v>
      </x:c>
      <x:c r="F2555" s="6" t="str">
        <x:v>test</x:v>
      </x:c>
      <x:c r="G2555" s="6" t="str">
        <x:v>proc-factory-test-001</x:v>
      </x:c>
      <x:c r="H2555" s="6" t="str">
        <x:v>proc-factory-test-001-H02</x:v>
      </x:c>
      <x:c r="I2555" s="6" t="str">
        <x:v>Constrained reachability</x:v>
      </x:c>
      <x:c r="J2555" s="6" t="str">
        <x:v>Benchmark</x:v>
      </x:c>
      <x:c r="K2555" s="6" t="str">
        <x:v>Answer: &lt;one exact integer&gt;</x:v>
      </x:c>
      <x:c r="L2555" s="6" t="str">
        <x:v>T02, T05, T06, T14</x:v>
      </x:c>
      <x:c r="M2555" s="6" t="str">
        <x:v>Count rooms reachable with a wide load that cannot use stairs or steps.</x:v>
      </x:c>
      <x:c r="N2555" s="6"/>
      <x:c r="O2555" s="6"/>
      <x:c r="P2555" s="6" t="str">
        <x:v>No stairs/steps. All doors &gt;= width stated in question m. Lifts allowed. Count type=room on target floor.</x:v>
      </x:c>
      <x:c r="Q2555" s="15"/>
      <x:c r="R2555" s="6"/>
      <x:c r="S2555" s="16"/>
      <x:c r="T2555" s="15"/>
      <x:c r="U2555" s="6"/>
      <x:c r="V2555" s="6"/>
      <x:c r="W2555" s="6" t="str">
        <x:v>Missing minimum-width filter and aggregate reachability. Existing router only filters step_free.</x:v>
      </x:c>
      <x:c r="X2555" s="6" t="str">
        <x:v>data/test/proc-factory-test-001/questions.jsonl</x:v>
      </x:c>
      <x:c r="Y2555" s="14" t="n">
        <x:v>2</x:v>
      </x:c>
      <x:c r="Z2555" s="6" t="str">
        <x:v>https://github.com/hagenhaeussler/Industrial-Agents-Hackathon-2026/blob/f41616590b69f3ea0c1cbfb41d6c35edd9ce53df/data/test/proc-factory-test-001/questions.jsonl#L2</x:v>
      </x:c>
      <x:c r="AA2555" s="6" t="str">
        <x:v>procedural</x:v>
      </x:c>
      <x:c r="AB2555" s="6" t="str">
        <x:v>CC0-1.0</x:v>
      </x:c>
    </x:row>
    <x:row r="2556" ht="82" customHeight="1">
      <x:c r="A2556" s="14" t="n">
        <x:v>2551</x:v>
      </x:c>
      <x:c r="B2556" s="6" t="str">
        <x:v>wide_delivery_count</x:v>
      </x:c>
      <x:c r="C2556" s="6" t="str">
        <x:v>I'm moving a 1.0 m wide hospital bed. It can't go on stairs or steps (lifts are fine), and every door it passes through must be at least 1.0 m wide. It arrives through the entrance into Office corridor 0.31 (Ground floor). Into how many rooms on the ground floor can it be delivered? Finish with a line 'Answer: &lt;number&gt;'.</x:v>
      </x:c>
      <x:c r="D2556" s="6" t="str">
        <x:v>Withheld in public test data. No reference answer supplied.</x:v>
      </x:c>
      <x:c r="E2556" s="6" t="str">
        <x:v>Withheld</x:v>
      </x:c>
      <x:c r="F2556" s="6" t="str">
        <x:v>test</x:v>
      </x:c>
      <x:c r="G2556" s="6" t="str">
        <x:v>proc-factory-test-002</x:v>
      </x:c>
      <x:c r="H2556" s="6" t="str">
        <x:v>proc-factory-test-002-H02</x:v>
      </x:c>
      <x:c r="I2556" s="6" t="str">
        <x:v>Constrained reachability</x:v>
      </x:c>
      <x:c r="J2556" s="6" t="str">
        <x:v>Benchmark</x:v>
      </x:c>
      <x:c r="K2556" s="6" t="str">
        <x:v>Answer: &lt;one exact integer&gt;</x:v>
      </x:c>
      <x:c r="L2556" s="6" t="str">
        <x:v>T02, T05, T06, T14</x:v>
      </x:c>
      <x:c r="M2556" s="6" t="str">
        <x:v>Count rooms reachable with a wide load that cannot use stairs or steps.</x:v>
      </x:c>
      <x:c r="N2556" s="6"/>
      <x:c r="O2556" s="6"/>
      <x:c r="P2556" s="6" t="str">
        <x:v>No stairs/steps. All doors &gt;= width stated in question m. Lifts allowed. Count type=room on target floor.</x:v>
      </x:c>
      <x:c r="Q2556" s="15"/>
      <x:c r="R2556" s="6"/>
      <x:c r="S2556" s="16"/>
      <x:c r="T2556" s="15"/>
      <x:c r="U2556" s="6"/>
      <x:c r="V2556" s="6"/>
      <x:c r="W2556" s="6" t="str">
        <x:v>Missing minimum-width filter and aggregate reachability. Existing router only filters step_free.</x:v>
      </x:c>
      <x:c r="X2556" s="6" t="str">
        <x:v>data/test/proc-factory-test-002/questions.jsonl</x:v>
      </x:c>
      <x:c r="Y2556" s="14" t="n">
        <x:v>2</x:v>
      </x:c>
      <x:c r="Z2556" s="6" t="str">
        <x:v>https://github.com/hagenhaeussler/Industrial-Agents-Hackathon-2026/blob/f41616590b69f3ea0c1cbfb41d6c35edd9ce53df/data/test/proc-factory-test-002/questions.jsonl#L2</x:v>
      </x:c>
      <x:c r="AA2556" s="6" t="str">
        <x:v>procedural</x:v>
      </x:c>
      <x:c r="AB2556" s="6" t="str">
        <x:v>CC0-1.0</x:v>
      </x:c>
    </x:row>
    <x:row r="2557" ht="82" customHeight="1">
      <x:c r="A2557" s="14" t="n">
        <x:v>2552</x:v>
      </x:c>
      <x:c r="B2557" s="6" t="str">
        <x:v>wide_delivery_count</x:v>
      </x:c>
      <x:c r="C2557" s="6" t="str">
        <x:v>I'm moving a 1.1 m wide hospital bed. It can't go on stairs or steps (lifts are fine), and every door it passes through must be at least 1.1 m wide. It arrives through the entrance into Office corridor 0.25 (Ground floor). Into how many rooms on the ground floor can it be delivered? Finish with a line 'Answer: &lt;number&gt;'.</x:v>
      </x:c>
      <x:c r="D2557" s="6" t="str">
        <x:v>Withheld in public test data. No reference answer supplied.</x:v>
      </x:c>
      <x:c r="E2557" s="6" t="str">
        <x:v>Withheld</x:v>
      </x:c>
      <x:c r="F2557" s="6" t="str">
        <x:v>test</x:v>
      </x:c>
      <x:c r="G2557" s="6" t="str">
        <x:v>proc-factory-test-003</x:v>
      </x:c>
      <x:c r="H2557" s="6" t="str">
        <x:v>proc-factory-test-003-H03</x:v>
      </x:c>
      <x:c r="I2557" s="6" t="str">
        <x:v>Constrained reachability</x:v>
      </x:c>
      <x:c r="J2557" s="6" t="str">
        <x:v>Benchmark</x:v>
      </x:c>
      <x:c r="K2557" s="6" t="str">
        <x:v>Answer: &lt;one exact integer&gt;</x:v>
      </x:c>
      <x:c r="L2557" s="6" t="str">
        <x:v>T02, T05, T06, T14</x:v>
      </x:c>
      <x:c r="M2557" s="6" t="str">
        <x:v>Count rooms reachable with a wide load that cannot use stairs or steps.</x:v>
      </x:c>
      <x:c r="N2557" s="6"/>
      <x:c r="O2557" s="6"/>
      <x:c r="P2557" s="6" t="str">
        <x:v>No stairs/steps. All doors &gt;= width stated in question m. Lifts allowed. Count type=room on target floor.</x:v>
      </x:c>
      <x:c r="Q2557" s="15"/>
      <x:c r="R2557" s="6"/>
      <x:c r="S2557" s="16"/>
      <x:c r="T2557" s="15"/>
      <x:c r="U2557" s="6"/>
      <x:c r="V2557" s="6"/>
      <x:c r="W2557" s="6" t="str">
        <x:v>Missing minimum-width filter and aggregate reachability. Existing router only filters step_free.</x:v>
      </x:c>
      <x:c r="X2557" s="6" t="str">
        <x:v>data/test/proc-factory-test-003/questions.jsonl</x:v>
      </x:c>
      <x:c r="Y2557" s="14" t="n">
        <x:v>3</x:v>
      </x:c>
      <x:c r="Z2557" s="6" t="str">
        <x:v>https://github.com/hagenhaeussler/Industrial-Agents-Hackathon-2026/blob/f41616590b69f3ea0c1cbfb41d6c35edd9ce53df/data/test/proc-factory-test-003/questions.jsonl#L3</x:v>
      </x:c>
      <x:c r="AA2557" s="6" t="str">
        <x:v>procedural</x:v>
      </x:c>
      <x:c r="AB2557" s="6" t="str">
        <x:v>CC0-1.0</x:v>
      </x:c>
    </x:row>
    <x:row r="2558" ht="82" customHeight="1">
      <x:c r="A2558" s="14" t="n">
        <x:v>2553</x:v>
      </x:c>
      <x:c r="B2558" s="6" t="str">
        <x:v>wide_delivery_count</x:v>
      </x:c>
      <x:c r="C2558" s="6" t="str">
        <x:v>I'm moving a 1.1 m wide cleaning machine. It can't go on stairs or steps (lifts are fine), and every door it passes through must be at least 1.1 m wide. It arrives through the entrance into Main aisle H-B4 (Ground floor). Into how many rooms on the floor 2 can it be delivered? Finish with a line 'Answer: &lt;number&gt;'.</x:v>
      </x:c>
      <x:c r="D2558" s="6" t="str">
        <x:v>Withheld in public test data. No reference answer supplied.</x:v>
      </x:c>
      <x:c r="E2558" s="6" t="str">
        <x:v>Withheld</x:v>
      </x:c>
      <x:c r="F2558" s="6" t="str">
        <x:v>test</x:v>
      </x:c>
      <x:c r="G2558" s="6" t="str">
        <x:v>proc-factory-test-006</x:v>
      </x:c>
      <x:c r="H2558" s="6" t="str">
        <x:v>proc-factory-test-006-H02</x:v>
      </x:c>
      <x:c r="I2558" s="6" t="str">
        <x:v>Constrained reachability</x:v>
      </x:c>
      <x:c r="J2558" s="6" t="str">
        <x:v>Benchmark</x:v>
      </x:c>
      <x:c r="K2558" s="6" t="str">
        <x:v>Answer: &lt;one exact integer&gt;</x:v>
      </x:c>
      <x:c r="L2558" s="6" t="str">
        <x:v>T02, T05, T06, T14</x:v>
      </x:c>
      <x:c r="M2558" s="6" t="str">
        <x:v>Count rooms reachable with a wide load that cannot use stairs or steps.</x:v>
      </x:c>
      <x:c r="N2558" s="6"/>
      <x:c r="O2558" s="6"/>
      <x:c r="P2558" s="6" t="str">
        <x:v>No stairs/steps. All doors &gt;= width stated in question m. Lifts allowed. Count type=room on target floor.</x:v>
      </x:c>
      <x:c r="Q2558" s="15"/>
      <x:c r="R2558" s="6"/>
      <x:c r="S2558" s="16"/>
      <x:c r="T2558" s="15"/>
      <x:c r="U2558" s="6"/>
      <x:c r="V2558" s="6"/>
      <x:c r="W2558" s="6" t="str">
        <x:v>Missing minimum-width filter and aggregate reachability. Existing router only filters step_free.</x:v>
      </x:c>
      <x:c r="X2558" s="6" t="str">
        <x:v>data/test/proc-factory-test-006/questions.jsonl</x:v>
      </x:c>
      <x:c r="Y2558" s="14" t="n">
        <x:v>2</x:v>
      </x:c>
      <x:c r="Z2558" s="6" t="str">
        <x:v>https://github.com/hagenhaeussler/Industrial-Agents-Hackathon-2026/blob/f41616590b69f3ea0c1cbfb41d6c35edd9ce53df/data/test/proc-factory-test-006/questions.jsonl#L2</x:v>
      </x:c>
      <x:c r="AA2558" s="6" t="str">
        <x:v>procedural</x:v>
      </x:c>
      <x:c r="AB2558" s="6" t="str">
        <x:v>CC0-1.0</x:v>
      </x:c>
    </x:row>
    <x:row r="2559" ht="82" customHeight="1">
      <x:c r="A2559" s="14" t="n">
        <x:v>2554</x:v>
      </x:c>
      <x:c r="B2559" s="6" t="str">
        <x:v>wide_delivery_count</x:v>
      </x:c>
      <x:c r="C2559" s="6" t="str">
        <x:v>I'm moving a 1.1 m wide trolley. It can't go on stairs or steps (lifts are fine), and every door it passes through must be at least 1.1 m wide. It arrives through the entrance into Logistics zone H-D1 (Ground floor). Into how many rooms on the ground floor can it be delivered? Finish with a line 'Answer: &lt;number&gt;'.</x:v>
      </x:c>
      <x:c r="D2559" s="6" t="str">
        <x:v>Withheld in public test data. No reference answer supplied.</x:v>
      </x:c>
      <x:c r="E2559" s="6" t="str">
        <x:v>Withheld</x:v>
      </x:c>
      <x:c r="F2559" s="6" t="str">
        <x:v>test</x:v>
      </x:c>
      <x:c r="G2559" s="6" t="str">
        <x:v>proc-factory-test-007</x:v>
      </x:c>
      <x:c r="H2559" s="6" t="str">
        <x:v>proc-factory-test-007-H03</x:v>
      </x:c>
      <x:c r="I2559" s="6" t="str">
        <x:v>Constrained reachability</x:v>
      </x:c>
      <x:c r="J2559" s="6" t="str">
        <x:v>Benchmark</x:v>
      </x:c>
      <x:c r="K2559" s="6" t="str">
        <x:v>Answer: &lt;one exact integer&gt;</x:v>
      </x:c>
      <x:c r="L2559" s="6" t="str">
        <x:v>T02, T05, T06, T14</x:v>
      </x:c>
      <x:c r="M2559" s="6" t="str">
        <x:v>Count rooms reachable with a wide load that cannot use stairs or steps.</x:v>
      </x:c>
      <x:c r="N2559" s="6"/>
      <x:c r="O2559" s="6"/>
      <x:c r="P2559" s="6" t="str">
        <x:v>No stairs/steps. All doors &gt;= width stated in question m. Lifts allowed. Count type=room on target floor.</x:v>
      </x:c>
      <x:c r="Q2559" s="15"/>
      <x:c r="R2559" s="6"/>
      <x:c r="S2559" s="16"/>
      <x:c r="T2559" s="15"/>
      <x:c r="U2559" s="6"/>
      <x:c r="V2559" s="6"/>
      <x:c r="W2559" s="6" t="str">
        <x:v>Missing minimum-width filter and aggregate reachability. Existing router only filters step_free.</x:v>
      </x:c>
      <x:c r="X2559" s="6" t="str">
        <x:v>data/test/proc-factory-test-007/questions.jsonl</x:v>
      </x:c>
      <x:c r="Y2559" s="14" t="n">
        <x:v>3</x:v>
      </x:c>
      <x:c r="Z2559" s="6" t="str">
        <x:v>https://github.com/hagenhaeussler/Industrial-Agents-Hackathon-2026/blob/f41616590b69f3ea0c1cbfb41d6c35edd9ce53df/data/test/proc-factory-test-007/questions.jsonl#L3</x:v>
      </x:c>
      <x:c r="AA2559" s="6" t="str">
        <x:v>procedural</x:v>
      </x:c>
      <x:c r="AB2559" s="6" t="str">
        <x:v>CC0-1.0</x:v>
      </x:c>
    </x:row>
    <x:row r="2560" ht="82" customHeight="1">
      <x:c r="A2560" s="14" t="n">
        <x:v>2555</x:v>
      </x:c>
      <x:c r="B2560" s="6" t="str">
        <x:v>wide_delivery_count</x:v>
      </x:c>
      <x:c r="C2560" s="6" t="str">
        <x:v>I'm moving a 1.0 m wide hospital bed. It can't go on stairs or steps (lifts are fine), and every door it passes through must be at least 1.0 m wide. It arrives through the entrance into Office corridor 0.21 (Ground floor). Into how many rooms on the floor 1 can it be delivered? Finish with a line 'Answer: &lt;number&gt;'.</x:v>
      </x:c>
      <x:c r="D2560" s="6" t="str">
        <x:v>Withheld in public test data. No reference answer supplied.</x:v>
      </x:c>
      <x:c r="E2560" s="6" t="str">
        <x:v>Withheld</x:v>
      </x:c>
      <x:c r="F2560" s="6" t="str">
        <x:v>test</x:v>
      </x:c>
      <x:c r="G2560" s="6" t="str">
        <x:v>proc-factory-test-009</x:v>
      </x:c>
      <x:c r="H2560" s="6" t="str">
        <x:v>proc-factory-test-009-H02</x:v>
      </x:c>
      <x:c r="I2560" s="6" t="str">
        <x:v>Constrained reachability</x:v>
      </x:c>
      <x:c r="J2560" s="6" t="str">
        <x:v>Benchmark</x:v>
      </x:c>
      <x:c r="K2560" s="6" t="str">
        <x:v>Answer: &lt;one exact integer&gt;</x:v>
      </x:c>
      <x:c r="L2560" s="6" t="str">
        <x:v>T02, T05, T06, T14</x:v>
      </x:c>
      <x:c r="M2560" s="6" t="str">
        <x:v>Count rooms reachable with a wide load that cannot use stairs or steps.</x:v>
      </x:c>
      <x:c r="N2560" s="6"/>
      <x:c r="O2560" s="6"/>
      <x:c r="P2560" s="6" t="str">
        <x:v>No stairs/steps. All doors &gt;= width stated in question m. Lifts allowed. Count type=room on target floor.</x:v>
      </x:c>
      <x:c r="Q2560" s="15"/>
      <x:c r="R2560" s="6"/>
      <x:c r="S2560" s="16"/>
      <x:c r="T2560" s="15"/>
      <x:c r="U2560" s="6"/>
      <x:c r="V2560" s="6"/>
      <x:c r="W2560" s="6" t="str">
        <x:v>Missing minimum-width filter and aggregate reachability. Existing router only filters step_free.</x:v>
      </x:c>
      <x:c r="X2560" s="6" t="str">
        <x:v>data/test/proc-factory-test-009/questions.jsonl</x:v>
      </x:c>
      <x:c r="Y2560" s="14" t="n">
        <x:v>2</x:v>
      </x:c>
      <x:c r="Z2560" s="6" t="str">
        <x:v>https://github.com/hagenhaeussler/Industrial-Agents-Hackathon-2026/blob/f41616590b69f3ea0c1cbfb41d6c35edd9ce53df/data/test/proc-factory-test-009/questions.jsonl#L2</x:v>
      </x:c>
      <x:c r="AA2560" s="6" t="str">
        <x:v>procedural</x:v>
      </x:c>
      <x:c r="AB2560" s="6" t="str">
        <x:v>CC0-1.0</x:v>
      </x:c>
    </x:row>
    <x:row r="2561" ht="82" customHeight="1">
      <x:c r="A2561" s="14" t="n">
        <x:v>2556</x:v>
      </x:c>
      <x:c r="B2561" s="6" t="str">
        <x:v>wide_delivery_count</x:v>
      </x:c>
      <x:c r="C2561" s="6" t="str">
        <x:v>I'm moving a 1.0 m wide pallet of equipment. It can't go on stairs or steps (lifts are fine), and every door it passes through must be at least 1.0 m wide. It arrives through the entrance into Logistics zone H-E1 (Ground floor). Into how many rooms on the floor 1 can it be delivered? Finish with a line 'Answer: &lt;number&gt;'.</x:v>
      </x:c>
      <x:c r="D2561" s="6" t="str">
        <x:v>Withheld in public test data. No reference answer supplied.</x:v>
      </x:c>
      <x:c r="E2561" s="6" t="str">
        <x:v>Withheld</x:v>
      </x:c>
      <x:c r="F2561" s="6" t="str">
        <x:v>test</x:v>
      </x:c>
      <x:c r="G2561" s="6" t="str">
        <x:v>proc-factory-test-010</x:v>
      </x:c>
      <x:c r="H2561" s="6" t="str">
        <x:v>proc-factory-test-010-H03</x:v>
      </x:c>
      <x:c r="I2561" s="6" t="str">
        <x:v>Constrained reachability</x:v>
      </x:c>
      <x:c r="J2561" s="6" t="str">
        <x:v>Benchmark</x:v>
      </x:c>
      <x:c r="K2561" s="6" t="str">
        <x:v>Answer: &lt;one exact integer&gt;</x:v>
      </x:c>
      <x:c r="L2561" s="6" t="str">
        <x:v>T02, T05, T06, T14</x:v>
      </x:c>
      <x:c r="M2561" s="6" t="str">
        <x:v>Count rooms reachable with a wide load that cannot use stairs or steps.</x:v>
      </x:c>
      <x:c r="N2561" s="6"/>
      <x:c r="O2561" s="6"/>
      <x:c r="P2561" s="6" t="str">
        <x:v>No stairs/steps. All doors &gt;= width stated in question m. Lifts allowed. Count type=room on target floor.</x:v>
      </x:c>
      <x:c r="Q2561" s="15"/>
      <x:c r="R2561" s="6"/>
      <x:c r="S2561" s="16"/>
      <x:c r="T2561" s="15"/>
      <x:c r="U2561" s="6"/>
      <x:c r="V2561" s="6"/>
      <x:c r="W2561" s="6" t="str">
        <x:v>Missing minimum-width filter and aggregate reachability. Existing router only filters step_free.</x:v>
      </x:c>
      <x:c r="X2561" s="6" t="str">
        <x:v>data/test/proc-factory-test-010/questions.jsonl</x:v>
      </x:c>
      <x:c r="Y2561" s="14" t="n">
        <x:v>3</x:v>
      </x:c>
      <x:c r="Z2561" s="6" t="str">
        <x:v>https://github.com/hagenhaeussler/Industrial-Agents-Hackathon-2026/blob/f41616590b69f3ea0c1cbfb41d6c35edd9ce53df/data/test/proc-factory-test-010/questions.jsonl#L3</x:v>
      </x:c>
      <x:c r="AA2561" s="6" t="str">
        <x:v>procedural</x:v>
      </x:c>
      <x:c r="AB2561" s="6" t="str">
        <x:v>CC0-1.0</x:v>
      </x:c>
    </x:row>
    <x:row r="2562" ht="82" customHeight="1">
      <x:c r="A2562" s="14" t="n">
        <x:v>2557</x:v>
      </x:c>
      <x:c r="B2562" s="6" t="str">
        <x:v>wide_delivery_count</x:v>
      </x:c>
      <x:c r="C2562" s="6" t="str">
        <x:v>I'm moving a 1.1 m wide trolley. It can't go on stairs or steps (lifts are fine), and every door it passes through must be at least 1.1 m wide. It arrives through the entrance into Logistics zone H-E3 (Ground floor). Into how many rooms on the floor 2 can it be delivered? Finish with a line 'Answer: &lt;number&gt;'.</x:v>
      </x:c>
      <x:c r="D2562" s="6" t="str">
        <x:v>Withheld in public test data. No reference answer supplied.</x:v>
      </x:c>
      <x:c r="E2562" s="6" t="str">
        <x:v>Withheld</x:v>
      </x:c>
      <x:c r="F2562" s="6" t="str">
        <x:v>test</x:v>
      </x:c>
      <x:c r="G2562" s="6" t="str">
        <x:v>proc-factory-test-011</x:v>
      </x:c>
      <x:c r="H2562" s="6" t="str">
        <x:v>proc-factory-test-011-H02</x:v>
      </x:c>
      <x:c r="I2562" s="6" t="str">
        <x:v>Constrained reachability</x:v>
      </x:c>
      <x:c r="J2562" s="6" t="str">
        <x:v>Benchmark</x:v>
      </x:c>
      <x:c r="K2562" s="6" t="str">
        <x:v>Answer: &lt;one exact integer&gt;</x:v>
      </x:c>
      <x:c r="L2562" s="6" t="str">
        <x:v>T02, T05, T06, T14</x:v>
      </x:c>
      <x:c r="M2562" s="6" t="str">
        <x:v>Count rooms reachable with a wide load that cannot use stairs or steps.</x:v>
      </x:c>
      <x:c r="N2562" s="6"/>
      <x:c r="O2562" s="6"/>
      <x:c r="P2562" s="6" t="str">
        <x:v>No stairs/steps. All doors &gt;= width stated in question m. Lifts allowed. Count type=room on target floor.</x:v>
      </x:c>
      <x:c r="Q2562" s="15"/>
      <x:c r="R2562" s="6"/>
      <x:c r="S2562" s="16"/>
      <x:c r="T2562" s="15"/>
      <x:c r="U2562" s="6"/>
      <x:c r="V2562" s="6"/>
      <x:c r="W2562" s="6" t="str">
        <x:v>Missing minimum-width filter and aggregate reachability. Existing router only filters step_free.</x:v>
      </x:c>
      <x:c r="X2562" s="6" t="str">
        <x:v>data/test/proc-factory-test-011/questions.jsonl</x:v>
      </x:c>
      <x:c r="Y2562" s="14" t="n">
        <x:v>2</x:v>
      </x:c>
      <x:c r="Z2562" s="6" t="str">
        <x:v>https://github.com/hagenhaeussler/Industrial-Agents-Hackathon-2026/blob/f41616590b69f3ea0c1cbfb41d6c35edd9ce53df/data/test/proc-factory-test-011/questions.jsonl#L2</x:v>
      </x:c>
      <x:c r="AA2562" s="6" t="str">
        <x:v>procedural</x:v>
      </x:c>
      <x:c r="AB2562" s="6" t="str">
        <x:v>CC0-1.0</x:v>
      </x:c>
    </x:row>
    <x:row r="2563" ht="82" customHeight="1">
      <x:c r="A2563" s="14" t="n">
        <x:v>2558</x:v>
      </x:c>
      <x:c r="B2563" s="6" t="str">
        <x:v>wide_delivery_count</x:v>
      </x:c>
      <x:c r="C2563" s="6" t="str">
        <x:v>I'm moving a 1.0 m wide cleaning machine.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63" s="6" t="str">
        <x:v>Withheld in public test data. No reference answer supplied.</x:v>
      </x:c>
      <x:c r="E2563" s="6" t="str">
        <x:v>Withheld</x:v>
      </x:c>
      <x:c r="F2563" s="6" t="str">
        <x:v>test</x:v>
      </x:c>
      <x:c r="G2563" s="6" t="str">
        <x:v>resplan-12469</x:v>
      </x:c>
      <x:c r="H2563" s="6" t="str">
        <x:v>resplan-12469-H02</x:v>
      </x:c>
      <x:c r="I2563" s="6" t="str">
        <x:v>Constrained reachability</x:v>
      </x:c>
      <x:c r="J2563" s="6" t="str">
        <x:v>Benchmark</x:v>
      </x:c>
      <x:c r="K2563" s="6" t="str">
        <x:v>Answer: &lt;one exact integer&gt;</x:v>
      </x:c>
      <x:c r="L2563" s="6" t="str">
        <x:v>T02, T05, T06, T14</x:v>
      </x:c>
      <x:c r="M2563" s="6" t="str">
        <x:v>Count rooms reachable with a wide load that cannot use stairs or steps.</x:v>
      </x:c>
      <x:c r="N2563" s="6"/>
      <x:c r="O2563" s="6"/>
      <x:c r="P2563" s="6" t="str">
        <x:v>No stairs/steps. All doors &gt;= width stated in question m. Lifts allowed. Count type=room on target floor.</x:v>
      </x:c>
      <x:c r="Q2563" s="15"/>
      <x:c r="R2563" s="6"/>
      <x:c r="S2563" s="16"/>
      <x:c r="T2563" s="15"/>
      <x:c r="U2563" s="6"/>
      <x:c r="V2563" s="6"/>
      <x:c r="W2563" s="6" t="str">
        <x:v>Missing minimum-width filter and aggregate reachability. Existing router only filters step_free.</x:v>
      </x:c>
      <x:c r="X2563" s="6" t="str">
        <x:v>data/test/resplan-12469/questions.jsonl</x:v>
      </x:c>
      <x:c r="Y2563" s="14" t="n">
        <x:v>2</x:v>
      </x:c>
      <x:c r="Z2563" s="6" t="str">
        <x:v>https://github.com/hagenhaeussler/Industrial-Agents-Hackathon-2026/blob/f41616590b69f3ea0c1cbfb41d6c35edd9ce53df/data/test/resplan-12469/questions.jsonl#L2</x:v>
      </x:c>
      <x:c r="AA2563" s="6" t="str">
        <x:v>resplan</x:v>
      </x:c>
      <x:c r="AB2563" s="6" t="str">
        <x:v>CC-BY-4.0</x:v>
      </x:c>
    </x:row>
    <x:row r="2564" ht="82" customHeight="1">
      <x:c r="A2564" s="14" t="n">
        <x:v>2559</x:v>
      </x:c>
      <x:c r="B2564" s="6" t="str">
        <x:v>wide_delivery_count</x:v>
      </x:c>
      <x:c r="C2564" s="6" t="str">
        <x:v>I'm moving a 1.0 m wide cleaning machine.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64" s="6" t="str">
        <x:v>Withheld in public test data. No reference answer supplied.</x:v>
      </x:c>
      <x:c r="E2564" s="6" t="str">
        <x:v>Withheld</x:v>
      </x:c>
      <x:c r="F2564" s="6" t="str">
        <x:v>test</x:v>
      </x:c>
      <x:c r="G2564" s="6" t="str">
        <x:v>resplan-3573</x:v>
      </x:c>
      <x:c r="H2564" s="6" t="str">
        <x:v>resplan-3573-H03</x:v>
      </x:c>
      <x:c r="I2564" s="6" t="str">
        <x:v>Constrained reachability</x:v>
      </x:c>
      <x:c r="J2564" s="6" t="str">
        <x:v>Benchmark</x:v>
      </x:c>
      <x:c r="K2564" s="6" t="str">
        <x:v>Answer: &lt;one exact integer&gt;</x:v>
      </x:c>
      <x:c r="L2564" s="6" t="str">
        <x:v>T02, T05, T06, T14</x:v>
      </x:c>
      <x:c r="M2564" s="6" t="str">
        <x:v>Count rooms reachable with a wide load that cannot use stairs or steps.</x:v>
      </x:c>
      <x:c r="N2564" s="6"/>
      <x:c r="O2564" s="6"/>
      <x:c r="P2564" s="6" t="str">
        <x:v>No stairs/steps. All doors &gt;= width stated in question m. Lifts allowed. Count type=room on target floor.</x:v>
      </x:c>
      <x:c r="Q2564" s="15"/>
      <x:c r="R2564" s="6"/>
      <x:c r="S2564" s="16"/>
      <x:c r="T2564" s="15"/>
      <x:c r="U2564" s="6"/>
      <x:c r="V2564" s="6"/>
      <x:c r="W2564" s="6" t="str">
        <x:v>Missing minimum-width filter and aggregate reachability. Existing router only filters step_free.</x:v>
      </x:c>
      <x:c r="X2564" s="6" t="str">
        <x:v>data/test/resplan-3573/questions.jsonl</x:v>
      </x:c>
      <x:c r="Y2564" s="14" t="n">
        <x:v>3</x:v>
      </x:c>
      <x:c r="Z2564" s="6" t="str">
        <x:v>https://github.com/hagenhaeussler/Industrial-Agents-Hackathon-2026/blob/f41616590b69f3ea0c1cbfb41d6c35edd9ce53df/data/test/resplan-3573/questions.jsonl#L3</x:v>
      </x:c>
      <x:c r="AA2564" s="6" t="str">
        <x:v>resplan</x:v>
      </x:c>
      <x:c r="AB2564" s="6" t="str">
        <x:v>CC-BY-4.0</x:v>
      </x:c>
    </x:row>
    <x:row r="2565" ht="82" customHeight="1">
      <x:c r="A2565" s="14" t="n">
        <x:v>2560</x:v>
      </x:c>
      <x:c r="B2565" s="6" t="str">
        <x:v>wide_delivery_count</x:v>
      </x:c>
      <x:c r="C2565" s="6" t="str">
        <x:v>I'm moving a 1.0 m wide pallet of equipment. It can't go on stairs or steps (lifts are fine), and every door it passes through must be at least 1.0 m wide. It arrives through the entrance into Living room 0.01 (Ground floor). Into how many rooms on the ground floor can it be delivered? Finish with a line 'Answer: &lt;number&gt;'.</x:v>
      </x:c>
      <x:c r="D2565" s="6" t="str">
        <x:v>Withheld in public test data. No reference answer supplied.</x:v>
      </x:c>
      <x:c r="E2565" s="6" t="str">
        <x:v>Withheld</x:v>
      </x:c>
      <x:c r="F2565" s="6" t="str">
        <x:v>test</x:v>
      </x:c>
      <x:c r="G2565" s="6" t="str">
        <x:v>resplan-6532</x:v>
      </x:c>
      <x:c r="H2565" s="6" t="str">
        <x:v>resplan-6532-H01</x:v>
      </x:c>
      <x:c r="I2565" s="6" t="str">
        <x:v>Constrained reachability</x:v>
      </x:c>
      <x:c r="J2565" s="6" t="str">
        <x:v>Benchmark</x:v>
      </x:c>
      <x:c r="K2565" s="6" t="str">
        <x:v>Answer: &lt;one exact integer&gt;</x:v>
      </x:c>
      <x:c r="L2565" s="6" t="str">
        <x:v>T02, T05, T06, T14</x:v>
      </x:c>
      <x:c r="M2565" s="6" t="str">
        <x:v>Count rooms reachable with a wide load that cannot use stairs or steps.</x:v>
      </x:c>
      <x:c r="N2565" s="6"/>
      <x:c r="O2565" s="6"/>
      <x:c r="P2565" s="6" t="str">
        <x:v>No stairs/steps. All doors &gt;= width stated in question m. Lifts allowed. Count type=room on target floor.</x:v>
      </x:c>
      <x:c r="Q2565" s="15"/>
      <x:c r="R2565" s="6"/>
      <x:c r="S2565" s="16"/>
      <x:c r="T2565" s="15"/>
      <x:c r="U2565" s="6"/>
      <x:c r="V2565" s="6"/>
      <x:c r="W2565" s="6" t="str">
        <x:v>Missing minimum-width filter and aggregate reachability. Existing router only filters step_free.</x:v>
      </x:c>
      <x:c r="X2565" s="6" t="str">
        <x:v>data/test/resplan-6532/questions.jsonl</x:v>
      </x:c>
      <x:c r="Y2565" s="14" t="n">
        <x:v>1</x:v>
      </x:c>
      <x:c r="Z2565" s="6" t="str">
        <x:v>https://github.com/hagenhaeussler/Industrial-Agents-Hackathon-2026/blob/f41616590b69f3ea0c1cbfb41d6c35edd9ce53df/data/test/resplan-6532/questions.jsonl#L1</x:v>
      </x:c>
      <x:c r="AA2565" s="6" t="str">
        <x:v>resplan</x:v>
      </x:c>
      <x:c r="AB2565" s="6" t="str">
        <x:v>CC-BY-4.0</x:v>
      </x:c>
    </x:row>
    <x:row r="2566" ht="82" customHeight="1">
      <x:c r="A2566" s="14" t="n">
        <x:v>2561</x:v>
      </x:c>
      <x:c r="B2566" s="6" t="str">
        <x:v>wide_delivery_count</x:v>
      </x:c>
      <x:c r="C2566" s="6" t="str">
        <x:v>I'm moving a 1.1 m wide pallet of equipment. It can't go on stairs or steps (lifts are fine), and every door it passes through must be at least 1.1 m wide. It arrives through the entrance into Living room 0.01 (Ground floor). Into how many rooms on the ground floor can it be delivered? Finish with a line 'Answer: &lt;number&gt;'.</x:v>
      </x:c>
      <x:c r="D2566" s="6" t="str">
        <x:v>Withheld in public test data. No reference answer supplied.</x:v>
      </x:c>
      <x:c r="E2566" s="6" t="str">
        <x:v>Withheld</x:v>
      </x:c>
      <x:c r="F2566" s="6" t="str">
        <x:v>test</x:v>
      </x:c>
      <x:c r="G2566" s="6" t="str">
        <x:v>resplan-8357</x:v>
      </x:c>
      <x:c r="H2566" s="6" t="str">
        <x:v>resplan-8357-H01</x:v>
      </x:c>
      <x:c r="I2566" s="6" t="str">
        <x:v>Constrained reachability</x:v>
      </x:c>
      <x:c r="J2566" s="6" t="str">
        <x:v>Benchmark</x:v>
      </x:c>
      <x:c r="K2566" s="6" t="str">
        <x:v>Answer: &lt;one exact integer&gt;</x:v>
      </x:c>
      <x:c r="L2566" s="6" t="str">
        <x:v>T02, T05, T06, T14</x:v>
      </x:c>
      <x:c r="M2566" s="6" t="str">
        <x:v>Count rooms reachable with a wide load that cannot use stairs or steps.</x:v>
      </x:c>
      <x:c r="N2566" s="6"/>
      <x:c r="O2566" s="6"/>
      <x:c r="P2566" s="6" t="str">
        <x:v>No stairs/steps. All doors &gt;= width stated in question m. Lifts allowed. Count type=room on target floor.</x:v>
      </x:c>
      <x:c r="Q2566" s="15"/>
      <x:c r="R2566" s="6"/>
      <x:c r="S2566" s="16"/>
      <x:c r="T2566" s="15"/>
      <x:c r="U2566" s="6"/>
      <x:c r="V2566" s="6"/>
      <x:c r="W2566" s="6" t="str">
        <x:v>Missing minimum-width filter and aggregate reachability. Existing router only filters step_free.</x:v>
      </x:c>
      <x:c r="X2566" s="6" t="str">
        <x:v>data/test/resplan-8357/questions.jsonl</x:v>
      </x:c>
      <x:c r="Y2566" s="14" t="n">
        <x:v>1</x:v>
      </x:c>
      <x:c r="Z2566" s="6" t="str">
        <x:v>https://github.com/hagenhaeussler/Industrial-Agents-Hackathon-2026/blob/f41616590b69f3ea0c1cbfb41d6c35edd9ce53df/data/test/resplan-8357/questions.jsonl#L1</x:v>
      </x:c>
      <x:c r="AA2566" s="6" t="str">
        <x:v>resplan</x:v>
      </x:c>
      <x:c r="AB2566" s="6" t="str">
        <x:v>CC-BY-4.0</x:v>
      </x:c>
    </x:row>
    <x:row r="2567" ht="72" customHeight="1">
      <x:c r="A2567" s="14" t="n">
        <x:v>2562</x:v>
      </x:c>
      <x:c r="B2567" s="6" t="str">
        <x:v>room_stacked</x:v>
      </x:c>
      <x:c r="C2567" s="6" t="str">
        <x:v>A washing machine is leaking onto the floor of Garderobe B (Floor 1). Which room directly below it will the water reach? Finish with a line 'Answer: &lt;room name or number&gt;'.</x:v>
      </x:c>
      <x:c r="D2567" s="6" t="str">
        <x:v>0.18
Space ID: osm-way13507441-F0-S018</x:v>
      </x:c>
      <x:c r="E2567" s="6" t="str">
        <x:v>Reference supplied</x:v>
      </x:c>
      <x:c r="F2567" s="6" t="str">
        <x:v>train</x:v>
      </x:c>
      <x:c r="G2567" s="6" t="str">
        <x:v>osm-way13507441</x:v>
      </x:c>
      <x:c r="H2567" s="6" t="str">
        <x:v>osm-way13507441-H04</x:v>
      </x:c>
      <x:c r="I2567" s="6" t="str">
        <x:v>Spatial relationships</x:v>
      </x:c>
      <x:c r="J2567" s="6" t="str">
        <x:v>Benchmark</x:v>
      </x:c>
      <x:c r="K2567" s="6" t="str">
        <x:v>Answer: &lt;accepted room name or ref&gt;</x:v>
      </x:c>
      <x:c r="L2567" s="6" t="str">
        <x:v>T02, T09, T14</x:v>
      </x:c>
      <x:c r="M2567" s="6" t="str">
        <x:v>Identify the room directly above or below another room.</x:v>
      </x:c>
      <x:c r="N2567" s="6" t="str">
        <x:v>{"type":"space","space_id":"osm-way13507441-F0-S018","accept":["0.18","Passage"],"reject":[]}</x:v>
      </x:c>
      <x:c r="O2567" s="6" t="str">
        <x:v>{"start":"osm-way13507441-F1-S007","direction":"below"}</x:v>
      </x:c>
      <x:c r="P2567" s="6" t="str">
        <x:v>Next floor below. Greatest outline overlap. Aligned XY frame.</x:v>
      </x:c>
      <x:c r="Q2567" s="15"/>
      <x:c r="R2567" s="6"/>
      <x:c r="S2567" s="16"/>
      <x:c r="T2567" s="15"/>
      <x:c r="U2567" s="6" t="str">
        <x:v>Answer: 0.18</x:v>
      </x:c>
      <x:c r="V2567" s="6" t="str">
        <x:v>3D stacking: polygon overlap between floors</x:v>
      </x:c>
      <x:c r="W2567" s="6" t="str">
        <x:v>Missing polygon-overlap and cross-floor comparison tool.</x:v>
      </x:c>
      <x:c r="X2567" s="6" t="str">
        <x:v>data/train/osm-way13507441/questions.jsonl</x:v>
      </x:c>
      <x:c r="Y2567" s="14" t="n">
        <x:v>4</x:v>
      </x:c>
      <x:c r="Z2567" s="6" t="str">
        <x:v>https://github.com/hagenhaeussler/Industrial-Agents-Hackathon-2026/blob/f41616590b69f3ea0c1cbfb41d6c35edd9ce53df/data/train/osm-way13507441/questions.jsonl#L4</x:v>
      </x:c>
      <x:c r="AA2567" s="6" t="str">
        <x:v>osm_indoor</x:v>
      </x:c>
      <x:c r="AB2567" s="6" t="str">
        <x:v>ODbL-1.0</x:v>
      </x:c>
    </x:row>
    <x:row r="2568" ht="72" customHeight="1">
      <x:c r="A2568" s="14" t="n">
        <x:v>2563</x:v>
      </x:c>
      <x:c r="B2568" s="6" t="str">
        <x:v>room_stacked</x:v>
      </x:c>
      <x:c r="C2568" s="6" t="str">
        <x:v>There's water dripping from the ceiling in Seniorenclubräume (Ground floor). Which room is directly above it? Finish with a line 'Answer: &lt;room name or number&gt;'.</x:v>
      </x:c>
      <x:c r="D2568" s="6" t="str">
        <x:v>1.11
Space ID: osm-way13507441-F1-S011</x:v>
      </x:c>
      <x:c r="E2568" s="6" t="str">
        <x:v>Reference supplied</x:v>
      </x:c>
      <x:c r="F2568" s="6" t="str">
        <x:v>train</x:v>
      </x:c>
      <x:c r="G2568" s="6" t="str">
        <x:v>osm-way13507441</x:v>
      </x:c>
      <x:c r="H2568" s="6" t="str">
        <x:v>osm-way13507441-H05</x:v>
      </x:c>
      <x:c r="I2568" s="6" t="str">
        <x:v>Spatial relationships</x:v>
      </x:c>
      <x:c r="J2568" s="6" t="str">
        <x:v>Benchmark</x:v>
      </x:c>
      <x:c r="K2568" s="6" t="str">
        <x:v>Answer: &lt;accepted room name or ref&gt;</x:v>
      </x:c>
      <x:c r="L2568" s="6" t="str">
        <x:v>T02, T09, T14</x:v>
      </x:c>
      <x:c r="M2568" s="6" t="str">
        <x:v>Identify the room directly above or below another room.</x:v>
      </x:c>
      <x:c r="N2568" s="6" t="str">
        <x:v>{"type":"space","space_id":"osm-way13507441-F1-S011","accept":["1.11","Gemeindebibliothek Ottobrunn"],"reject":["1.01","Foyer","1.10","Toilet 1.10"]}</x:v>
      </x:c>
      <x:c r="O2568" s="6" t="str">
        <x:v>{"start":"osm-way13507441-F0-S017","direction":"above"}</x:v>
      </x:c>
      <x:c r="P2568" s="6" t="str">
        <x:v>Next floor above. Greatest outline overlap. Aligned XY frame.</x:v>
      </x:c>
      <x:c r="Q2568" s="15"/>
      <x:c r="R2568" s="6"/>
      <x:c r="S2568" s="16"/>
      <x:c r="T2568" s="15"/>
      <x:c r="U2568" s="6" t="str">
        <x:v>Answer: 1.11</x:v>
      </x:c>
      <x:c r="V2568" s="6" t="str">
        <x:v>3D stacking: polygon overlap between floors</x:v>
      </x:c>
      <x:c r="W2568" s="6" t="str">
        <x:v>Missing polygon-overlap and cross-floor comparison tool.</x:v>
      </x:c>
      <x:c r="X2568" s="6" t="str">
        <x:v>data/train/osm-way13507441/questions.jsonl</x:v>
      </x:c>
      <x:c r="Y2568" s="14" t="n">
        <x:v>5</x:v>
      </x:c>
      <x:c r="Z2568" s="6" t="str">
        <x:v>https://github.com/hagenhaeussler/Industrial-Agents-Hackathon-2026/blob/f41616590b69f3ea0c1cbfb41d6c35edd9ce53df/data/train/osm-way13507441/questions.jsonl#L5</x:v>
      </x:c>
      <x:c r="AA2568" s="6" t="str">
        <x:v>osm_indoor</x:v>
      </x:c>
      <x:c r="AB2568" s="6" t="str">
        <x:v>ODbL-1.0</x:v>
      </x:c>
    </x:row>
    <x:row r="2569" ht="72" customHeight="1">
      <x:c r="A2569" s="14" t="n">
        <x:v>2564</x:v>
      </x:c>
      <x:c r="B2569" s="6" t="str">
        <x:v>room_stacked</x:v>
      </x:c>
      <x:c r="C2569" s="6" t="str">
        <x:v>There's water dripping from the ceiling in Lobby 0.07 (Ground floor). Which room is directly above it? Finish with a line 'Answer: &lt;room name or number&gt;'.</x:v>
      </x:c>
      <x:c r="D2569" s="6" t="str">
        <x:v>1.01
Space ID: osm-way13507441-F1-S001</x:v>
      </x:c>
      <x:c r="E2569" s="6" t="str">
        <x:v>Reference supplied</x:v>
      </x:c>
      <x:c r="F2569" s="6" t="str">
        <x:v>train</x:v>
      </x:c>
      <x:c r="G2569" s="6" t="str">
        <x:v>osm-way13507441</x:v>
      </x:c>
      <x:c r="H2569" s="6" t="str">
        <x:v>osm-way13507441-H06</x:v>
      </x:c>
      <x:c r="I2569" s="6" t="str">
        <x:v>Spatial relationships</x:v>
      </x:c>
      <x:c r="J2569" s="6" t="str">
        <x:v>Benchmark</x:v>
      </x:c>
      <x:c r="K2569" s="6" t="str">
        <x:v>Answer: &lt;accepted room name or ref&gt;</x:v>
      </x:c>
      <x:c r="L2569" s="6" t="str">
        <x:v>T02, T09, T14</x:v>
      </x:c>
      <x:c r="M2569" s="6" t="str">
        <x:v>Identify the room directly above or below another room.</x:v>
      </x:c>
      <x:c r="N2569" s="6" t="str">
        <x:v>{"type":"space","space_id":"osm-way13507441-F1-S001","accept":["1.01","Foyer"],"reject":[]}</x:v>
      </x:c>
      <x:c r="O2569" s="6" t="str">
        <x:v>{"start":"osm-way13507441-F0-S007","direction":"above"}</x:v>
      </x:c>
      <x:c r="P2569" s="6" t="str">
        <x:v>Next floor above. Greatest outline overlap. Aligned XY frame.</x:v>
      </x:c>
      <x:c r="Q2569" s="15"/>
      <x:c r="R2569" s="6"/>
      <x:c r="S2569" s="16"/>
      <x:c r="T2569" s="15"/>
      <x:c r="U2569" s="6" t="str">
        <x:v>Answer: 1.01</x:v>
      </x:c>
      <x:c r="V2569" s="6" t="str">
        <x:v>3D stacking: polygon overlap between floors</x:v>
      </x:c>
      <x:c r="W2569" s="6" t="str">
        <x:v>Missing polygon-overlap and cross-floor comparison tool.</x:v>
      </x:c>
      <x:c r="X2569" s="6" t="str">
        <x:v>data/train/osm-way13507441/questions.jsonl</x:v>
      </x:c>
      <x:c r="Y2569" s="14" t="n">
        <x:v>6</x:v>
      </x:c>
      <x:c r="Z2569" s="6" t="str">
        <x:v>https://github.com/hagenhaeussler/Industrial-Agents-Hackathon-2026/blob/f41616590b69f3ea0c1cbfb41d6c35edd9ce53df/data/train/osm-way13507441/questions.jsonl#L6</x:v>
      </x:c>
      <x:c r="AA2569" s="6" t="str">
        <x:v>osm_indoor</x:v>
      </x:c>
      <x:c r="AB2569" s="6" t="str">
        <x:v>ODbL-1.0</x:v>
      </x:c>
    </x:row>
    <x:row r="2570" ht="72" customHeight="1">
      <x:c r="A2570" s="14" t="n">
        <x:v>2565</x:v>
      </x:c>
      <x:c r="B2570" s="6" t="str">
        <x:v>room_stacked</x:v>
      </x:c>
      <x:c r="C2570" s="6" t="str">
        <x:v>There's water dripping from the ceiling in Büro (Ground floor). Which room is directly above it? Finish with a line 'Answer: &lt;room name or number&gt;'.</x:v>
      </x:c>
      <x:c r="D2570" s="6" t="str">
        <x:v>1.02
Space ID: osm-way37850565-F1-S002</x:v>
      </x:c>
      <x:c r="E2570" s="6" t="str">
        <x:v>Reference supplied</x:v>
      </x:c>
      <x:c r="F2570" s="6" t="str">
        <x:v>train</x:v>
      </x:c>
      <x:c r="G2570" s="6" t="str">
        <x:v>osm-way37850565</x:v>
      </x:c>
      <x:c r="H2570" s="6" t="str">
        <x:v>osm-way37850565-H02</x:v>
      </x:c>
      <x:c r="I2570" s="6" t="str">
        <x:v>Spatial relationships</x:v>
      </x:c>
      <x:c r="J2570" s="6" t="str">
        <x:v>Benchmark</x:v>
      </x:c>
      <x:c r="K2570" s="6" t="str">
        <x:v>Answer: &lt;accepted room name or ref&gt;</x:v>
      </x:c>
      <x:c r="L2570" s="6" t="str">
        <x:v>T02, T09, T14</x:v>
      </x:c>
      <x:c r="M2570" s="6" t="str">
        <x:v>Identify the room directly above or below another room.</x:v>
      </x:c>
      <x:c r="N2570" s="6" t="str">
        <x:v>{"type":"space","space_id":"osm-way37850565-F1-S002","accept":["1.02"],"reject":["1.03"]}</x:v>
      </x:c>
      <x:c r="O2570" s="6" t="str">
        <x:v>{"start":"osm-way37850565-F0-S011","direction":"above"}</x:v>
      </x:c>
      <x:c r="P2570" s="6" t="str">
        <x:v>Next floor above. Greatest outline overlap. Aligned XY frame.</x:v>
      </x:c>
      <x:c r="Q2570" s="15"/>
      <x:c r="R2570" s="6"/>
      <x:c r="S2570" s="16"/>
      <x:c r="T2570" s="15"/>
      <x:c r="U2570" s="6" t="str">
        <x:v>Answer: 1.02</x:v>
      </x:c>
      <x:c r="V2570" s="6" t="str">
        <x:v>3D stacking: polygon overlap between floors</x:v>
      </x:c>
      <x:c r="W2570" s="6" t="str">
        <x:v>Missing polygon-overlap and cross-floor comparison tool.</x:v>
      </x:c>
      <x:c r="X2570" s="6" t="str">
        <x:v>data/train/osm-way37850565/questions.jsonl</x:v>
      </x:c>
      <x:c r="Y2570" s="14" t="n">
        <x:v>2</x:v>
      </x:c>
      <x:c r="Z2570" s="6" t="str">
        <x:v>https://github.com/hagenhaeussler/Industrial-Agents-Hackathon-2026/blob/f41616590b69f3ea0c1cbfb41d6c35edd9ce53df/data/train/osm-way37850565/questions.jsonl#L2</x:v>
      </x:c>
      <x:c r="AA2570" s="6" t="str">
        <x:v>osm_indoor</x:v>
      </x:c>
      <x:c r="AB2570" s="6" t="str">
        <x:v>ODbL-1.0</x:v>
      </x:c>
    </x:row>
    <x:row r="2571" ht="72" customHeight="1">
      <x:c r="A2571" s="14" t="n">
        <x:v>2566</x:v>
      </x:c>
      <x:c r="B2571" s="6" t="str">
        <x:v>room_stacked</x:v>
      </x:c>
      <x:c r="C2571" s="6" t="str">
        <x:v>There's water dripping from the ceiling in Büro (Ground floor). Which room is directly above it? Finish with a line 'Answer: &lt;room name or number&gt;'.</x:v>
      </x:c>
      <x:c r="D2571" s="6" t="str">
        <x:v>1.03
Space ID: osm-way37850565-F1-S003</x:v>
      </x:c>
      <x:c r="E2571" s="6" t="str">
        <x:v>Reference supplied</x:v>
      </x:c>
      <x:c r="F2571" s="6" t="str">
        <x:v>train</x:v>
      </x:c>
      <x:c r="G2571" s="6" t="str">
        <x:v>osm-way37850565</x:v>
      </x:c>
      <x:c r="H2571" s="6" t="str">
        <x:v>osm-way37850565-H03</x:v>
      </x:c>
      <x:c r="I2571" s="6" t="str">
        <x:v>Spatial relationships</x:v>
      </x:c>
      <x:c r="J2571" s="6" t="str">
        <x:v>Benchmark</x:v>
      </x:c>
      <x:c r="K2571" s="6" t="str">
        <x:v>Answer: &lt;accepted room name or ref&gt;</x:v>
      </x:c>
      <x:c r="L2571" s="6" t="str">
        <x:v>T02, T09, T14</x:v>
      </x:c>
      <x:c r="M2571" s="6" t="str">
        <x:v>Identify the room directly above or below another room.</x:v>
      </x:c>
      <x:c r="N2571" s="6" t="str">
        <x:v>{"type":"space","space_id":"osm-way37850565-F1-S003","accept":["1.03"],"reject":["1.02"]}</x:v>
      </x:c>
      <x:c r="O2571" s="6" t="str">
        <x:v>{"start":"osm-way37850565-F0-S010","direction":"above"}</x:v>
      </x:c>
      <x:c r="P2571" s="6" t="str">
        <x:v>Next floor above. Greatest outline overlap. Aligned XY frame.</x:v>
      </x:c>
      <x:c r="Q2571" s="15"/>
      <x:c r="R2571" s="6"/>
      <x:c r="S2571" s="16"/>
      <x:c r="T2571" s="15"/>
      <x:c r="U2571" s="6" t="str">
        <x:v>Answer: 1.03</x:v>
      </x:c>
      <x:c r="V2571" s="6" t="str">
        <x:v>3D stacking: polygon overlap between floors</x:v>
      </x:c>
      <x:c r="W2571" s="6" t="str">
        <x:v>Missing polygon-overlap and cross-floor comparison tool.</x:v>
      </x:c>
      <x:c r="X2571" s="6" t="str">
        <x:v>data/train/osm-way37850565/questions.jsonl</x:v>
      </x:c>
      <x:c r="Y2571" s="14" t="n">
        <x:v>3</x:v>
      </x:c>
      <x:c r="Z2571" s="6" t="str">
        <x:v>https://github.com/hagenhaeussler/Industrial-Agents-Hackathon-2026/blob/f41616590b69f3ea0c1cbfb41d6c35edd9ce53df/data/train/osm-way37850565/questions.jsonl#L3</x:v>
      </x:c>
      <x:c r="AA2571" s="6" t="str">
        <x:v>osm_indoor</x:v>
      </x:c>
      <x:c r="AB2571" s="6" t="str">
        <x:v>ODbL-1.0</x:v>
      </x:c>
    </x:row>
    <x:row r="2572" ht="72" customHeight="1">
      <x:c r="A2572" s="14" t="n">
        <x:v>2567</x:v>
      </x:c>
      <x:c r="B2572" s="6" t="str">
        <x:v>room_stacked</x:v>
      </x:c>
      <x:c r="C2572" s="6" t="str">
        <x:v>A washing machine is leaking onto the floor of Generic room 1.109 (Floor 2). Which room directly below it will the water reach? Finish with a line 'Answer: &lt;room name or number&gt;'.</x:v>
      </x:c>
      <x:c r="D2572" s="6" t="str">
        <x:v>1.07
Space ID: osm-way476929995-F1-S007</x:v>
      </x:c>
      <x:c r="E2572" s="6" t="str">
        <x:v>Reference supplied</x:v>
      </x:c>
      <x:c r="F2572" s="6" t="str">
        <x:v>train</x:v>
      </x:c>
      <x:c r="G2572" s="6" t="str">
        <x:v>osm-way476929995</x:v>
      </x:c>
      <x:c r="H2572" s="6" t="str">
        <x:v>osm-way476929995-H02</x:v>
      </x:c>
      <x:c r="I2572" s="6" t="str">
        <x:v>Spatial relationships</x:v>
      </x:c>
      <x:c r="J2572" s="6" t="str">
        <x:v>Benchmark</x:v>
      </x:c>
      <x:c r="K2572" s="6" t="str">
        <x:v>Answer: &lt;accepted room name or ref&gt;</x:v>
      </x:c>
      <x:c r="L2572" s="6" t="str">
        <x:v>T02, T09, T14</x:v>
      </x:c>
      <x:c r="M2572" s="6" t="str">
        <x:v>Identify the room directly above or below another room.</x:v>
      </x:c>
      <x:c r="N2572" s="6" t="str">
        <x:v>{"type":"space","space_id":"osm-way476929995-F1-S007","accept":["1.07","Library 1.07"],"reject":[]}</x:v>
      </x:c>
      <x:c r="O2572" s="6" t="str">
        <x:v>{"start":"osm-way476929995-F2-S011","direction":"below"}</x:v>
      </x:c>
      <x:c r="P2572" s="6" t="str">
        <x:v>Next floor below. Greatest outline overlap. Aligned XY frame.</x:v>
      </x:c>
      <x:c r="Q2572" s="15"/>
      <x:c r="R2572" s="6"/>
      <x:c r="S2572" s="16"/>
      <x:c r="T2572" s="15"/>
      <x:c r="U2572" s="6" t="str">
        <x:v>Answer: 1.07</x:v>
      </x:c>
      <x:c r="V2572" s="6" t="str">
        <x:v>3D stacking: polygon overlap between floors</x:v>
      </x:c>
      <x:c r="W2572" s="6" t="str">
        <x:v>Missing polygon-overlap and cross-floor comparison tool.</x:v>
      </x:c>
      <x:c r="X2572" s="6" t="str">
        <x:v>data/train/osm-way476929995/questions.jsonl</x:v>
      </x:c>
      <x:c r="Y2572" s="14" t="n">
        <x:v>2</x:v>
      </x:c>
      <x:c r="Z2572" s="6" t="str">
        <x:v>https://github.com/hagenhaeussler/Industrial-Agents-Hackathon-2026/blob/f41616590b69f3ea0c1cbfb41d6c35edd9ce53df/data/train/osm-way476929995/questions.jsonl#L2</x:v>
      </x:c>
      <x:c r="AA2572" s="6" t="str">
        <x:v>osm_indoor</x:v>
      </x:c>
      <x:c r="AB2572" s="6" t="str">
        <x:v>ODbL-1.0</x:v>
      </x:c>
    </x:row>
    <x:row r="2573" ht="72" customHeight="1">
      <x:c r="A2573" s="14" t="n">
        <x:v>2568</x:v>
      </x:c>
      <x:c r="B2573" s="6" t="str">
        <x:v>room_stacked</x:v>
      </x:c>
      <x:c r="C2573" s="6" t="str">
        <x:v>There's water dripping from the ceiling in Bathroom U.012 (Basement 1). Which room is directly above it? Finish with a line 'Answer: &lt;room name or number&gt;'.</x:v>
      </x:c>
      <x:c r="D2573" s="6" t="str">
        <x:v>0.001
Space ID: osm-way476929995-F0-S003</x:v>
      </x:c>
      <x:c r="E2573" s="6" t="str">
        <x:v>Reference supplied</x:v>
      </x:c>
      <x:c r="F2573" s="6" t="str">
        <x:v>train</x:v>
      </x:c>
      <x:c r="G2573" s="6" t="str">
        <x:v>osm-way476929995</x:v>
      </x:c>
      <x:c r="H2573" s="6" t="str">
        <x:v>osm-way476929995-H03</x:v>
      </x:c>
      <x:c r="I2573" s="6" t="str">
        <x:v>Spatial relationships</x:v>
      </x:c>
      <x:c r="J2573" s="6" t="str">
        <x:v>Benchmark</x:v>
      </x:c>
      <x:c r="K2573" s="6" t="str">
        <x:v>Answer: &lt;accepted room name or ref&gt;</x:v>
      </x:c>
      <x:c r="L2573" s="6" t="str">
        <x:v>T02, T09, T14</x:v>
      </x:c>
      <x:c r="M2573" s="6" t="str">
        <x:v>Identify the room directly above or below another room.</x:v>
      </x:c>
      <x:c r="N2573" s="6" t="str">
        <x:v>{"type":"space","space_id":"osm-way476929995-F0-S003","accept":["0.001","Library 0.001"],"reject":[]}</x:v>
      </x:c>
      <x:c r="O2573" s="6" t="str">
        <x:v>{"start":"osm-way476929995-F-1-S004","direction":"above"}</x:v>
      </x:c>
      <x:c r="P2573" s="6" t="str">
        <x:v>Next floor above. Greatest outline overlap. Aligned XY frame.</x:v>
      </x:c>
      <x:c r="Q2573" s="15"/>
      <x:c r="R2573" s="6"/>
      <x:c r="S2573" s="16"/>
      <x:c r="T2573" s="15"/>
      <x:c r="U2573" s="6" t="str">
        <x:v>Answer: 0.001</x:v>
      </x:c>
      <x:c r="V2573" s="6" t="str">
        <x:v>3D stacking: polygon overlap between floors</x:v>
      </x:c>
      <x:c r="W2573" s="6" t="str">
        <x:v>Missing polygon-overlap and cross-floor comparison tool.</x:v>
      </x:c>
      <x:c r="X2573" s="6" t="str">
        <x:v>data/train/osm-way476929995/questions.jsonl</x:v>
      </x:c>
      <x:c r="Y2573" s="14" t="n">
        <x:v>3</x:v>
      </x:c>
      <x:c r="Z2573" s="6" t="str">
        <x:v>https://github.com/hagenhaeussler/Industrial-Agents-Hackathon-2026/blob/f41616590b69f3ea0c1cbfb41d6c35edd9ce53df/data/train/osm-way476929995/questions.jsonl#L3</x:v>
      </x:c>
      <x:c r="AA2573" s="6" t="str">
        <x:v>osm_indoor</x:v>
      </x:c>
      <x:c r="AB2573" s="6" t="str">
        <x:v>ODbL-1.0</x:v>
      </x:c>
    </x:row>
    <x:row r="2574" ht="72" customHeight="1">
      <x:c r="A2574" s="14" t="n">
        <x:v>2569</x:v>
      </x:c>
      <x:c r="B2574" s="6" t="str">
        <x:v>room_stacked</x:v>
      </x:c>
      <x:c r="C2574" s="6" t="str">
        <x:v>A washing machine is leaking onto the floor of Library 0.003 (Ground floor). Which room directly below it will the water reach? Finish with a line 'Answer: &lt;room name or number&gt;'.</x:v>
      </x:c>
      <x:c r="D2574" s="6" t="str">
        <x:v>U.020
Space ID: osm-way476929995-F-1-S009</x:v>
      </x:c>
      <x:c r="E2574" s="6" t="str">
        <x:v>Reference supplied</x:v>
      </x:c>
      <x:c r="F2574" s="6" t="str">
        <x:v>train</x:v>
      </x:c>
      <x:c r="G2574" s="6" t="str">
        <x:v>osm-way476929995</x:v>
      </x:c>
      <x:c r="H2574" s="6" t="str">
        <x:v>osm-way476929995-H05</x:v>
      </x:c>
      <x:c r="I2574" s="6" t="str">
        <x:v>Spatial relationships</x:v>
      </x:c>
      <x:c r="J2574" s="6" t="str">
        <x:v>Benchmark</x:v>
      </x:c>
      <x:c r="K2574" s="6" t="str">
        <x:v>Answer: &lt;accepted room name or ref&gt;</x:v>
      </x:c>
      <x:c r="L2574" s="6" t="str">
        <x:v>T02, T09, T14</x:v>
      </x:c>
      <x:c r="M2574" s="6" t="str">
        <x:v>Identify the room directly above or below another room.</x:v>
      </x:c>
      <x:c r="N2574" s="6" t="str">
        <x:v>{"type":"space","space_id":"osm-way476929995-F-1-S009","accept":["U.020","Generic room U.020"],"reject":[]}</x:v>
      </x:c>
      <x:c r="O2574" s="6" t="str">
        <x:v>{"start":"osm-way476929995-F0-S005","direction":"below"}</x:v>
      </x:c>
      <x:c r="P2574" s="6" t="str">
        <x:v>Next floor below. Greatest outline overlap. Aligned XY frame.</x:v>
      </x:c>
      <x:c r="Q2574" s="15"/>
      <x:c r="R2574" s="6"/>
      <x:c r="S2574" s="16"/>
      <x:c r="T2574" s="15"/>
      <x:c r="U2574" s="6" t="str">
        <x:v>Answer: U.020</x:v>
      </x:c>
      <x:c r="V2574" s="6" t="str">
        <x:v>3D stacking: polygon overlap between floors</x:v>
      </x:c>
      <x:c r="W2574" s="6" t="str">
        <x:v>Missing polygon-overlap and cross-floor comparison tool.</x:v>
      </x:c>
      <x:c r="X2574" s="6" t="str">
        <x:v>data/train/osm-way476929995/questions.jsonl</x:v>
      </x:c>
      <x:c r="Y2574" s="14" t="n">
        <x:v>4</x:v>
      </x:c>
      <x:c r="Z2574" s="6" t="str">
        <x:v>https://github.com/hagenhaeussler/Industrial-Agents-Hackathon-2026/blob/f41616590b69f3ea0c1cbfb41d6c35edd9ce53df/data/train/osm-way476929995/questions.jsonl#L4</x:v>
      </x:c>
      <x:c r="AA2574" s="6" t="str">
        <x:v>osm_indoor</x:v>
      </x:c>
      <x:c r="AB2574" s="6" t="str">
        <x:v>ODbL-1.0</x:v>
      </x:c>
    </x:row>
    <x:row r="2575" ht="72" customHeight="1">
      <x:c r="A2575" s="14" t="n">
        <x:v>2570</x:v>
      </x:c>
      <x:c r="B2575" s="6" t="str">
        <x:v>room_stacked</x:v>
      </x:c>
      <x:c r="C2575" s="6" t="str">
        <x:v>There's water dripping from the ceiling in Generic room 2423 (Floor 2). Which room is directly above it? Finish with a line 'Answer: &lt;room name or number&gt;'.</x:v>
      </x:c>
      <x:c r="D2575" s="6" t="str">
        <x:v>3417
Space ID: osm-way50299720-F3-S029</x:v>
      </x:c>
      <x:c r="E2575" s="6" t="str">
        <x:v>Reference supplied</x:v>
      </x:c>
      <x:c r="F2575" s="6" t="str">
        <x:v>train</x:v>
      </x:c>
      <x:c r="G2575" s="6" t="str">
        <x:v>osm-way50299720</x:v>
      </x:c>
      <x:c r="H2575" s="6" t="str">
        <x:v>osm-way50299720-H04</x:v>
      </x:c>
      <x:c r="I2575" s="6" t="str">
        <x:v>Spatial relationships</x:v>
      </x:c>
      <x:c r="J2575" s="6" t="str">
        <x:v>Benchmark</x:v>
      </x:c>
      <x:c r="K2575" s="6" t="str">
        <x:v>Answer: &lt;accepted room name or ref&gt;</x:v>
      </x:c>
      <x:c r="L2575" s="6" t="str">
        <x:v>T02, T09, T14</x:v>
      </x:c>
      <x:c r="M2575" s="6" t="str">
        <x:v>Identify the room directly above or below another room.</x:v>
      </x:c>
      <x:c r="N2575" s="6" t="str">
        <x:v>{"type":"space","space_id":"osm-way50299720-F3-S029","accept":["3417","Generic room 3417"],"reject":["3419","Generic room 3419","3429","Corridor 3429"]}</x:v>
      </x:c>
      <x:c r="O2575" s="6" t="str">
        <x:v>{"start":"osm-way50299720-F2-S012","direction":"above"}</x:v>
      </x:c>
      <x:c r="P2575" s="6" t="str">
        <x:v>Next floor above. Greatest outline overlap. Aligned XY frame.</x:v>
      </x:c>
      <x:c r="Q2575" s="15"/>
      <x:c r="R2575" s="6"/>
      <x:c r="S2575" s="16"/>
      <x:c r="T2575" s="15"/>
      <x:c r="U2575" s="6" t="str">
        <x:v>Answer: 3417</x:v>
      </x:c>
      <x:c r="V2575" s="6" t="str">
        <x:v>3D stacking: polygon overlap between floors</x:v>
      </x:c>
      <x:c r="W2575" s="6" t="str">
        <x:v>Missing polygon-overlap and cross-floor comparison tool.</x:v>
      </x:c>
      <x:c r="X2575" s="6" t="str">
        <x:v>data/train/osm-way50299720/questions.jsonl</x:v>
      </x:c>
      <x:c r="Y2575" s="14" t="n">
        <x:v>4</x:v>
      </x:c>
      <x:c r="Z2575" s="6" t="str">
        <x:v>https://github.com/hagenhaeussler/Industrial-Agents-Hackathon-2026/blob/f41616590b69f3ea0c1cbfb41d6c35edd9ce53df/data/train/osm-way50299720/questions.jsonl#L4</x:v>
      </x:c>
      <x:c r="AA2575" s="6" t="str">
        <x:v>osm_indoor</x:v>
      </x:c>
      <x:c r="AB2575" s="6" t="str">
        <x:v>ODbL-1.0</x:v>
      </x:c>
    </x:row>
    <x:row r="2576" ht="72" customHeight="1">
      <x:c r="A2576" s="14" t="n">
        <x:v>2571</x:v>
      </x:c>
      <x:c r="B2576" s="6" t="str">
        <x:v>room_stacked</x:v>
      </x:c>
      <x:c r="C2576" s="6" t="str">
        <x:v>A washing machine is leaking onto the floor of Generic room 2425 (Floor 2). Which room directly below it will the water reach? Finish with a line 'Answer: &lt;room name or number&gt;'.</x:v>
      </x:c>
      <x:c r="D2576" s="6" t="str">
        <x:v>1419
Space ID: osm-way50299720-F1-S035</x:v>
      </x:c>
      <x:c r="E2576" s="6" t="str">
        <x:v>Reference supplied</x:v>
      </x:c>
      <x:c r="F2576" s="6" t="str">
        <x:v>train</x:v>
      </x:c>
      <x:c r="G2576" s="6" t="str">
        <x:v>osm-way50299720</x:v>
      </x:c>
      <x:c r="H2576" s="6" t="str">
        <x:v>osm-way50299720-H05</x:v>
      </x:c>
      <x:c r="I2576" s="6" t="str">
        <x:v>Spatial relationships</x:v>
      </x:c>
      <x:c r="J2576" s="6" t="str">
        <x:v>Benchmark</x:v>
      </x:c>
      <x:c r="K2576" s="6" t="str">
        <x:v>Answer: &lt;accepted room name or ref&gt;</x:v>
      </x:c>
      <x:c r="L2576" s="6" t="str">
        <x:v>T02, T09, T14</x:v>
      </x:c>
      <x:c r="M2576" s="6" t="str">
        <x:v>Identify the room directly above or below another room.</x:v>
      </x:c>
      <x:c r="N2576" s="6" t="str">
        <x:v>{"type":"space","space_id":"osm-way50299720-F1-S035","accept":["1419","Generic room 1419"],"reject":["1432","Corridor 1432","1421","Generic room 1421","1421A","Generic room 1421A"]}</x:v>
      </x:c>
      <x:c r="O2576" s="6" t="str">
        <x:v>{"start":"osm-way50299720-F2-S038","direction":"below"}</x:v>
      </x:c>
      <x:c r="P2576" s="6" t="str">
        <x:v>Next floor below. Greatest outline overlap. Aligned XY frame.</x:v>
      </x:c>
      <x:c r="Q2576" s="15"/>
      <x:c r="R2576" s="6"/>
      <x:c r="S2576" s="16"/>
      <x:c r="T2576" s="15"/>
      <x:c r="U2576" s="6" t="str">
        <x:v>Answer: 1419</x:v>
      </x:c>
      <x:c r="V2576" s="6" t="str">
        <x:v>3D stacking: polygon overlap between floors</x:v>
      </x:c>
      <x:c r="W2576" s="6" t="str">
        <x:v>Missing polygon-overlap and cross-floor comparison tool.</x:v>
      </x:c>
      <x:c r="X2576" s="6" t="str">
        <x:v>data/train/osm-way50299720/questions.jsonl</x:v>
      </x:c>
      <x:c r="Y2576" s="14" t="n">
        <x:v>5</x:v>
      </x:c>
      <x:c r="Z2576" s="6" t="str">
        <x:v>https://github.com/hagenhaeussler/Industrial-Agents-Hackathon-2026/blob/f41616590b69f3ea0c1cbfb41d6c35edd9ce53df/data/train/osm-way50299720/questions.jsonl#L5</x:v>
      </x:c>
      <x:c r="AA2576" s="6" t="str">
        <x:v>osm_indoor</x:v>
      </x:c>
      <x:c r="AB2576" s="6" t="str">
        <x:v>ODbL-1.0</x:v>
      </x:c>
    </x:row>
    <x:row r="2577" ht="72" customHeight="1">
      <x:c r="A2577" s="14" t="n">
        <x:v>2572</x:v>
      </x:c>
      <x:c r="B2577" s="6" t="str">
        <x:v>room_stacked</x:v>
      </x:c>
      <x:c r="C2577" s="6" t="str">
        <x:v>There's water dripping from the ceiling in Generic room 1421A (Floor 1). Which room is directly above it? Finish with a line 'Answer: &lt;room name or number&gt;'.</x:v>
      </x:c>
      <x:c r="D2577" s="6" t="str">
        <x:v>2427
Space ID: osm-way50299720-F2-S031</x:v>
      </x:c>
      <x:c r="E2577" s="6" t="str">
        <x:v>Reference supplied</x:v>
      </x:c>
      <x:c r="F2577" s="6" t="str">
        <x:v>train</x:v>
      </x:c>
      <x:c r="G2577" s="6" t="str">
        <x:v>osm-way50299720</x:v>
      </x:c>
      <x:c r="H2577" s="6" t="str">
        <x:v>osm-way50299720-H06</x:v>
      </x:c>
      <x:c r="I2577" s="6" t="str">
        <x:v>Spatial relationships</x:v>
      </x:c>
      <x:c r="J2577" s="6" t="str">
        <x:v>Benchmark</x:v>
      </x:c>
      <x:c r="K2577" s="6" t="str">
        <x:v>Answer: &lt;accepted room name or ref&gt;</x:v>
      </x:c>
      <x:c r="L2577" s="6" t="str">
        <x:v>T02, T09, T14</x:v>
      </x:c>
      <x:c r="M2577" s="6" t="str">
        <x:v>Identify the room directly above or below another room.</x:v>
      </x:c>
      <x:c r="N2577" s="6" t="str">
        <x:v>{"type":"space","space_id":"osm-way50299720-F2-S031","accept":["2427","Generic room 2427"],"reject":["2425","Generic room 2425"]}</x:v>
      </x:c>
      <x:c r="O2577" s="6" t="str">
        <x:v>{"start":"osm-way50299720-F1-S027","direction":"above"}</x:v>
      </x:c>
      <x:c r="P2577" s="6" t="str">
        <x:v>Next floor above. Greatest outline overlap. Aligned XY frame.</x:v>
      </x:c>
      <x:c r="Q2577" s="15"/>
      <x:c r="R2577" s="6"/>
      <x:c r="S2577" s="16"/>
      <x:c r="T2577" s="15"/>
      <x:c r="U2577" s="6" t="str">
        <x:v>Answer: 2427</x:v>
      </x:c>
      <x:c r="V2577" s="6" t="str">
        <x:v>3D stacking: polygon overlap between floors</x:v>
      </x:c>
      <x:c r="W2577" s="6" t="str">
        <x:v>Missing polygon-overlap and cross-floor comparison tool.</x:v>
      </x:c>
      <x:c r="X2577" s="6" t="str">
        <x:v>data/train/osm-way50299720/questions.jsonl</x:v>
      </x:c>
      <x:c r="Y2577" s="14" t="n">
        <x:v>6</x:v>
      </x:c>
      <x:c r="Z2577" s="6" t="str">
        <x:v>https://github.com/hagenhaeussler/Industrial-Agents-Hackathon-2026/blob/f41616590b69f3ea0c1cbfb41d6c35edd9ce53df/data/train/osm-way50299720/questions.jsonl#L6</x:v>
      </x:c>
      <x:c r="AA2577" s="6" t="str">
        <x:v>osm_indoor</x:v>
      </x:c>
      <x:c r="AB2577" s="6" t="str">
        <x:v>ODbL-1.0</x:v>
      </x:c>
    </x:row>
    <x:row r="2578" ht="72" customHeight="1">
      <x:c r="A2578" s="14" t="n">
        <x:v>2573</x:v>
      </x:c>
      <x:c r="B2578" s="6" t="str">
        <x:v>room_stacked</x:v>
      </x:c>
      <x:c r="C2578" s="6" t="str">
        <x:v>A washing machine is leaking onto the floor of Quan Sen (Ground floor). Which room directly below it will the water reach? Finish with a line 'Answer: &lt;room name or number&gt;'.</x:v>
      </x:c>
      <x:c r="D2578" s="6" t="str">
        <x:v>-1.24
Space ID: osm-way52060470-F-1-S024</x:v>
      </x:c>
      <x:c r="E2578" s="6" t="str">
        <x:v>Reference supplied</x:v>
      </x:c>
      <x:c r="F2578" s="6" t="str">
        <x:v>train</x:v>
      </x:c>
      <x:c r="G2578" s="6" t="str">
        <x:v>osm-way52060470</x:v>
      </x:c>
      <x:c r="H2578" s="6" t="str">
        <x:v>osm-way52060470-H03</x:v>
      </x:c>
      <x:c r="I2578" s="6" t="str">
        <x:v>Spatial relationships</x:v>
      </x:c>
      <x:c r="J2578" s="6" t="str">
        <x:v>Benchmark</x:v>
      </x:c>
      <x:c r="K2578" s="6" t="str">
        <x:v>Answer: &lt;accepted room name or ref&gt;</x:v>
      </x:c>
      <x:c r="L2578" s="6" t="str">
        <x:v>T02, T09, T14</x:v>
      </x:c>
      <x:c r="M2578" s="6" t="str">
        <x:v>Identify the room directly above or below another room.</x:v>
      </x:c>
      <x:c r="N2578" s="6" t="str">
        <x:v>{"type":"space","space_id":"osm-way52060470-F-1-S024","accept":["-1.24","Snipes"],"reject":[]}</x:v>
      </x:c>
      <x:c r="O2578" s="6" t="str">
        <x:v>{"start":"osm-way52060470-F0-S018","direction":"below"}</x:v>
      </x:c>
      <x:c r="P2578" s="6" t="str">
        <x:v>Next floor below. Greatest outline overlap. Aligned XY frame.</x:v>
      </x:c>
      <x:c r="Q2578" s="15"/>
      <x:c r="R2578" s="6"/>
      <x:c r="S2578" s="16"/>
      <x:c r="T2578" s="15"/>
      <x:c r="U2578" s="6" t="str">
        <x:v>Answer: -1.24</x:v>
      </x:c>
      <x:c r="V2578" s="6" t="str">
        <x:v>3D stacking: polygon overlap between floors</x:v>
      </x:c>
      <x:c r="W2578" s="6" t="str">
        <x:v>Missing polygon-overlap and cross-floor comparison tool.</x:v>
      </x:c>
      <x:c r="X2578" s="6" t="str">
        <x:v>data/train/osm-way52060470/questions.jsonl</x:v>
      </x:c>
      <x:c r="Y2578" s="14" t="n">
        <x:v>3</x:v>
      </x:c>
      <x:c r="Z2578" s="6" t="str">
        <x:v>https://github.com/hagenhaeussler/Industrial-Agents-Hackathon-2026/blob/f41616590b69f3ea0c1cbfb41d6c35edd9ce53df/data/train/osm-way52060470/questions.jsonl#L3</x:v>
      </x:c>
      <x:c r="AA2578" s="6" t="str">
        <x:v>osm_indoor</x:v>
      </x:c>
      <x:c r="AB2578" s="6" t="str">
        <x:v>ODbL-1.0</x:v>
      </x:c>
    </x:row>
    <x:row r="2579" ht="72" customHeight="1">
      <x:c r="A2579" s="14" t="n">
        <x:v>2574</x:v>
      </x:c>
      <x:c r="B2579" s="6" t="str">
        <x:v>room_stacked</x:v>
      </x:c>
      <x:c r="C2579" s="6" t="str">
        <x:v>There's water dripping from the ceiling in Mammas Pastabar (Ground floor). Which room is directly above it? Finish with a line 'Answer: &lt;room name or number&gt;'.</x:v>
      </x:c>
      <x:c r="D2579" s="6" t="str">
        <x:v>1.37
Space ID: osm-way52060470-F1-S037</x:v>
      </x:c>
      <x:c r="E2579" s="6" t="str">
        <x:v>Reference supplied</x:v>
      </x:c>
      <x:c r="F2579" s="6" t="str">
        <x:v>train</x:v>
      </x:c>
      <x:c r="G2579" s="6" t="str">
        <x:v>osm-way52060470</x:v>
      </x:c>
      <x:c r="H2579" s="6" t="str">
        <x:v>osm-way52060470-H04</x:v>
      </x:c>
      <x:c r="I2579" s="6" t="str">
        <x:v>Spatial relationships</x:v>
      </x:c>
      <x:c r="J2579" s="6" t="str">
        <x:v>Benchmark</x:v>
      </x:c>
      <x:c r="K2579" s="6" t="str">
        <x:v>Answer: &lt;accepted room name or ref&gt;</x:v>
      </x:c>
      <x:c r="L2579" s="6" t="str">
        <x:v>T02, T09, T14</x:v>
      </x:c>
      <x:c r="M2579" s="6" t="str">
        <x:v>Identify the room directly above or below another room.</x:v>
      </x:c>
      <x:c r="N2579" s="6" t="str">
        <x:v>{"type":"space","space_id":"osm-way52060470-F1-S037","accept":["1.37","Marc O'Polo"],"reject":["1.39","BOGGI Milano"]}</x:v>
      </x:c>
      <x:c r="O2579" s="6" t="str">
        <x:v>{"start":"osm-way52060470-F0-S045","direction":"above"}</x:v>
      </x:c>
      <x:c r="P2579" s="6" t="str">
        <x:v>Next floor above. Greatest outline overlap. Aligned XY frame.</x:v>
      </x:c>
      <x:c r="Q2579" s="15"/>
      <x:c r="R2579" s="6"/>
      <x:c r="S2579" s="16"/>
      <x:c r="T2579" s="15"/>
      <x:c r="U2579" s="6" t="str">
        <x:v>Answer: 1.37</x:v>
      </x:c>
      <x:c r="V2579" s="6" t="str">
        <x:v>3D stacking: polygon overlap between floors</x:v>
      </x:c>
      <x:c r="W2579" s="6" t="str">
        <x:v>Missing polygon-overlap and cross-floor comparison tool.</x:v>
      </x:c>
      <x:c r="X2579" s="6" t="str">
        <x:v>data/train/osm-way52060470/questions.jsonl</x:v>
      </x:c>
      <x:c r="Y2579" s="14" t="n">
        <x:v>4</x:v>
      </x:c>
      <x:c r="Z2579" s="6" t="str">
        <x:v>https://github.com/hagenhaeussler/Industrial-Agents-Hackathon-2026/blob/f41616590b69f3ea0c1cbfb41d6c35edd9ce53df/data/train/osm-way52060470/questions.jsonl#L4</x:v>
      </x:c>
      <x:c r="AA2579" s="6" t="str">
        <x:v>osm_indoor</x:v>
      </x:c>
      <x:c r="AB2579" s="6" t="str">
        <x:v>ODbL-1.0</x:v>
      </x:c>
    </x:row>
    <x:row r="2580" ht="72" customHeight="1">
      <x:c r="A2580" s="14" t="n">
        <x:v>2575</x:v>
      </x:c>
      <x:c r="B2580" s="6" t="str">
        <x:v>room_stacked</x:v>
      </x:c>
      <x:c r="C2580" s="6" t="str">
        <x:v>There's water dripping from the ceiling in Ihle (Basement 1). Which room is directly above it? Finish with a line 'Answer: &lt;room name or number&gt;'.</x:v>
      </x:c>
      <x:c r="D2580" s="6" t="str">
        <x:v>0.58
Space ID: osm-way52060470-F0-S058</x:v>
      </x:c>
      <x:c r="E2580" s="6" t="str">
        <x:v>Reference supplied</x:v>
      </x:c>
      <x:c r="F2580" s="6" t="str">
        <x:v>train</x:v>
      </x:c>
      <x:c r="G2580" s="6" t="str">
        <x:v>osm-way52060470</x:v>
      </x:c>
      <x:c r="H2580" s="6" t="str">
        <x:v>osm-way52060470-H05</x:v>
      </x:c>
      <x:c r="I2580" s="6" t="str">
        <x:v>Spatial relationships</x:v>
      </x:c>
      <x:c r="J2580" s="6" t="str">
        <x:v>Benchmark</x:v>
      </x:c>
      <x:c r="K2580" s="6" t="str">
        <x:v>Answer: &lt;accepted room name or ref&gt;</x:v>
      </x:c>
      <x:c r="L2580" s="6" t="str">
        <x:v>T02, T09, T14</x:v>
      </x:c>
      <x:c r="M2580" s="6" t="str">
        <x:v>Identify the room directly above or below another room.</x:v>
      </x:c>
      <x:c r="N2580" s="6" t="str">
        <x:v>{"type":"space","space_id":"osm-way52060470-F0-S058","accept":["0.58","Generic room 0.58"],"reject":[]}</x:v>
      </x:c>
      <x:c r="O2580" s="6" t="str">
        <x:v>{"start":"osm-way52060470-F-1-S013","direction":"above"}</x:v>
      </x:c>
      <x:c r="P2580" s="6" t="str">
        <x:v>Next floor above. Greatest outline overlap. Aligned XY frame.</x:v>
      </x:c>
      <x:c r="Q2580" s="15"/>
      <x:c r="R2580" s="6"/>
      <x:c r="S2580" s="16"/>
      <x:c r="T2580" s="15"/>
      <x:c r="U2580" s="6" t="str">
        <x:v>Answer: 0.58</x:v>
      </x:c>
      <x:c r="V2580" s="6" t="str">
        <x:v>3D stacking: polygon overlap between floors</x:v>
      </x:c>
      <x:c r="W2580" s="6" t="str">
        <x:v>Missing polygon-overlap and cross-floor comparison tool.</x:v>
      </x:c>
      <x:c r="X2580" s="6" t="str">
        <x:v>data/train/osm-way52060470/questions.jsonl</x:v>
      </x:c>
      <x:c r="Y2580" s="14" t="n">
        <x:v>5</x:v>
      </x:c>
      <x:c r="Z2580" s="6" t="str">
        <x:v>https://github.com/hagenhaeussler/Industrial-Agents-Hackathon-2026/blob/f41616590b69f3ea0c1cbfb41d6c35edd9ce53df/data/train/osm-way52060470/questions.jsonl#L5</x:v>
      </x:c>
      <x:c r="AA2580" s="6" t="str">
        <x:v>osm_indoor</x:v>
      </x:c>
      <x:c r="AB2580" s="6" t="str">
        <x:v>ODbL-1.0</x:v>
      </x:c>
    </x:row>
    <x:row r="2581" ht="72" customHeight="1">
      <x:c r="A2581" s="14" t="n">
        <x:v>2576</x:v>
      </x:c>
      <x:c r="B2581" s="6" t="str">
        <x:v>room_stacked</x:v>
      </x:c>
      <x:c r="C2581" s="6" t="str">
        <x:v>A washing machine is leaking onto the floor of Generic room 0340B (Ground floor). Which room directly below it will the water reach? Finish with a line 'Answer: &lt;room name or number&gt;'.</x:v>
      </x:c>
      <x:c r="D2581" s="6" t="str">
        <x:v>-1332
Space ID: osm-way61408163-F-1-S056</x:v>
      </x:c>
      <x:c r="E2581" s="6" t="str">
        <x:v>Reference supplied</x:v>
      </x:c>
      <x:c r="F2581" s="6" t="str">
        <x:v>train</x:v>
      </x:c>
      <x:c r="G2581" s="6" t="str">
        <x:v>osm-way61408163</x:v>
      </x:c>
      <x:c r="H2581" s="6" t="str">
        <x:v>osm-way61408163-H04</x:v>
      </x:c>
      <x:c r="I2581" s="6" t="str">
        <x:v>Spatial relationships</x:v>
      </x:c>
      <x:c r="J2581" s="6" t="str">
        <x:v>Benchmark</x:v>
      </x:c>
      <x:c r="K2581" s="6" t="str">
        <x:v>Answer: &lt;accepted room name or ref&gt;</x:v>
      </x:c>
      <x:c r="L2581" s="6" t="str">
        <x:v>T02, T09, T14</x:v>
      </x:c>
      <x:c r="M2581" s="6" t="str">
        <x:v>Identify the room directly above or below another room.</x:v>
      </x:c>
      <x:c r="N2581" s="6" t="str">
        <x:v>{"type":"space","space_id":"osm-way61408163-F-1-S056","accept":["-1332","Generic room -1332"],"reject":["-1301D","Corridor -1301D"]}</x:v>
      </x:c>
      <x:c r="O2581" s="6" t="str">
        <x:v>{"start":"osm-way61408163-F0-S017","direction":"below"}</x:v>
      </x:c>
      <x:c r="P2581" s="6" t="str">
        <x:v>Next floor below. Greatest outline overlap. Aligned XY frame.</x:v>
      </x:c>
      <x:c r="Q2581" s="15"/>
      <x:c r="R2581" s="6"/>
      <x:c r="S2581" s="16"/>
      <x:c r="T2581" s="15"/>
      <x:c r="U2581" s="6" t="str">
        <x:v>Answer: -1332</x:v>
      </x:c>
      <x:c r="V2581" s="6" t="str">
        <x:v>3D stacking: polygon overlap between floors</x:v>
      </x:c>
      <x:c r="W2581" s="6" t="str">
        <x:v>Missing polygon-overlap and cross-floor comparison tool.</x:v>
      </x:c>
      <x:c r="X2581" s="6" t="str">
        <x:v>data/train/osm-way61408163/questions.jsonl</x:v>
      </x:c>
      <x:c r="Y2581" s="14" t="n">
        <x:v>4</x:v>
      </x:c>
      <x:c r="Z2581" s="6" t="str">
        <x:v>https://github.com/hagenhaeussler/Industrial-Agents-Hackathon-2026/blob/f41616590b69f3ea0c1cbfb41d6c35edd9ce53df/data/train/osm-way61408163/questions.jsonl#L4</x:v>
      </x:c>
      <x:c r="AA2581" s="6" t="str">
        <x:v>osm_indoor</x:v>
      </x:c>
      <x:c r="AB2581" s="6" t="str">
        <x:v>ODbL-1.0</x:v>
      </x:c>
    </x:row>
    <x:row r="2582" ht="72" customHeight="1">
      <x:c r="A2582" s="14" t="n">
        <x:v>2577</x:v>
      </x:c>
      <x:c r="B2582" s="6" t="str">
        <x:v>room_stacked</x:v>
      </x:c>
      <x:c r="C2582" s="6" t="str">
        <x:v>A washing machine is leaking onto the floor of Office 0370 (Ground floor). Which room directly below it will the water reach? Finish with a line 'Answer: &lt;room name or number&gt;'.</x:v>
      </x:c>
      <x:c r="D2582" s="6" t="str">
        <x:v>-1378
Space ID: osm-way61408163-F-1-S015</x:v>
      </x:c>
      <x:c r="E2582" s="6" t="str">
        <x:v>Reference supplied</x:v>
      </x:c>
      <x:c r="F2582" s="6" t="str">
        <x:v>train</x:v>
      </x:c>
      <x:c r="G2582" s="6" t="str">
        <x:v>osm-way61408163</x:v>
      </x:c>
      <x:c r="H2582" s="6" t="str">
        <x:v>osm-way61408163-H05</x:v>
      </x:c>
      <x:c r="I2582" s="6" t="str">
        <x:v>Spatial relationships</x:v>
      </x:c>
      <x:c r="J2582" s="6" t="str">
        <x:v>Benchmark</x:v>
      </x:c>
      <x:c r="K2582" s="6" t="str">
        <x:v>Answer: &lt;accepted room name or ref&gt;</x:v>
      </x:c>
      <x:c r="L2582" s="6" t="str">
        <x:v>T02, T09, T14</x:v>
      </x:c>
      <x:c r="M2582" s="6" t="str">
        <x:v>Identify the room directly above or below another room.</x:v>
      </x:c>
      <x:c r="N2582" s="6" t="str">
        <x:v>{"type":"space","space_id":"osm-way61408163-F-1-S015","accept":["-1378","Generic room -1378"],"reject":["-1376","Generic room -1376","-1.01","Stairwell -1.01"]}</x:v>
      </x:c>
      <x:c r="O2582" s="6" t="str">
        <x:v>{"start":"osm-way61408163-F0-S014","direction":"below"}</x:v>
      </x:c>
      <x:c r="P2582" s="6" t="str">
        <x:v>Next floor below. Greatest outline overlap. Aligned XY frame.</x:v>
      </x:c>
      <x:c r="Q2582" s="15"/>
      <x:c r="R2582" s="6"/>
      <x:c r="S2582" s="16"/>
      <x:c r="T2582" s="15"/>
      <x:c r="U2582" s="6" t="str">
        <x:v>Answer: -1378</x:v>
      </x:c>
      <x:c r="V2582" s="6" t="str">
        <x:v>3D stacking: polygon overlap between floors</x:v>
      </x:c>
      <x:c r="W2582" s="6" t="str">
        <x:v>Missing polygon-overlap and cross-floor comparison tool.</x:v>
      </x:c>
      <x:c r="X2582" s="6" t="str">
        <x:v>data/train/osm-way61408163/questions.jsonl</x:v>
      </x:c>
      <x:c r="Y2582" s="14" t="n">
        <x:v>5</x:v>
      </x:c>
      <x:c r="Z2582" s="6" t="str">
        <x:v>https://github.com/hagenhaeussler/Industrial-Agents-Hackathon-2026/blob/f41616590b69f3ea0c1cbfb41d6c35edd9ce53df/data/train/osm-way61408163/questions.jsonl#L5</x:v>
      </x:c>
      <x:c r="AA2582" s="6" t="str">
        <x:v>osm_indoor</x:v>
      </x:c>
      <x:c r="AB2582" s="6" t="str">
        <x:v>ODbL-1.0</x:v>
      </x:c>
    </x:row>
    <x:row r="2583" ht="72" customHeight="1">
      <x:c r="A2583" s="14" t="n">
        <x:v>2578</x:v>
      </x:c>
      <x:c r="B2583" s="6" t="str">
        <x:v>room_stacked</x:v>
      </x:c>
      <x:c r="C2583" s="6" t="str">
        <x:v>There's water dripping from the ceiling in Generic room -1368A (Basement 1). Which room is directly above it? Finish with a line 'Answer: &lt;room name or number&gt;'.</x:v>
      </x:c>
      <x:c r="D2583" s="6" t="str">
        <x:v>0362
Space ID: osm-way61408163-F0-S003</x:v>
      </x:c>
      <x:c r="E2583" s="6" t="str">
        <x:v>Reference supplied</x:v>
      </x:c>
      <x:c r="F2583" s="6" t="str">
        <x:v>train</x:v>
      </x:c>
      <x:c r="G2583" s="6" t="str">
        <x:v>osm-way61408163</x:v>
      </x:c>
      <x:c r="H2583" s="6" t="str">
        <x:v>osm-way61408163-H06</x:v>
      </x:c>
      <x:c r="I2583" s="6" t="str">
        <x:v>Spatial relationships</x:v>
      </x:c>
      <x:c r="J2583" s="6" t="str">
        <x:v>Benchmark</x:v>
      </x:c>
      <x:c r="K2583" s="6" t="str">
        <x:v>Answer: &lt;accepted room name or ref&gt;</x:v>
      </x:c>
      <x:c r="L2583" s="6" t="str">
        <x:v>T02, T09, T14</x:v>
      </x:c>
      <x:c r="M2583" s="6" t="str">
        <x:v>Identify the room directly above or below another room.</x:v>
      </x:c>
      <x:c r="N2583" s="6" t="str">
        <x:v>{"type":"space","space_id":"osm-way61408163-F0-S003","accept":["0362","Office 0362"],"reject":["0372","Stairwell 0372"]}</x:v>
      </x:c>
      <x:c r="O2583" s="6" t="str">
        <x:v>{"start":"osm-way61408163-F-1-S077","direction":"above"}</x:v>
      </x:c>
      <x:c r="P2583" s="6" t="str">
        <x:v>Next floor above. Greatest outline overlap. Aligned XY frame.</x:v>
      </x:c>
      <x:c r="Q2583" s="15"/>
      <x:c r="R2583" s="6"/>
      <x:c r="S2583" s="16"/>
      <x:c r="T2583" s="15"/>
      <x:c r="U2583" s="6" t="str">
        <x:v>Answer: 0362</x:v>
      </x:c>
      <x:c r="V2583" s="6" t="str">
        <x:v>3D stacking: polygon overlap between floors</x:v>
      </x:c>
      <x:c r="W2583" s="6" t="str">
        <x:v>Missing polygon-overlap and cross-floor comparison tool.</x:v>
      </x:c>
      <x:c r="X2583" s="6" t="str">
        <x:v>data/train/osm-way61408163/questions.jsonl</x:v>
      </x:c>
      <x:c r="Y2583" s="14" t="n">
        <x:v>6</x:v>
      </x:c>
      <x:c r="Z2583" s="6" t="str">
        <x:v>https://github.com/hagenhaeussler/Industrial-Agents-Hackathon-2026/blob/f41616590b69f3ea0c1cbfb41d6c35edd9ce53df/data/train/osm-way61408163/questions.jsonl#L6</x:v>
      </x:c>
      <x:c r="AA2583" s="6" t="str">
        <x:v>osm_indoor</x:v>
      </x:c>
      <x:c r="AB2583" s="6" t="str">
        <x:v>ODbL-1.0</x:v>
      </x:c>
    </x:row>
    <x:row r="2584" ht="72" customHeight="1">
      <x:c r="A2584" s="14" t="n">
        <x:v>2579</x:v>
      </x:c>
      <x:c r="B2584" s="6" t="str">
        <x:v>room_stacked</x:v>
      </x:c>
      <x:c r="C2584" s="6" t="str">
        <x:v>A washing machine is leaking onto the floor of Generic room N2324 (Floor 2). Which room directly below it will the water reach? Finish with a line 'Answer: &lt;room name or number&gt;'.</x:v>
      </x:c>
      <x:c r="D2584" s="6" t="str">
        <x:v>N1318
Space ID: osm-way22744230-F1-S026</x:v>
      </x:c>
      <x:c r="E2584" s="6" t="str">
        <x:v>Reference supplied</x:v>
      </x:c>
      <x:c r="F2584" s="6" t="str">
        <x:v>dev</x:v>
      </x:c>
      <x:c r="G2584" s="6" t="str">
        <x:v>osm-way22744230</x:v>
      </x:c>
      <x:c r="H2584" s="6" t="str">
        <x:v>osm-way22744230-H05</x:v>
      </x:c>
      <x:c r="I2584" s="6" t="str">
        <x:v>Spatial relationships</x:v>
      </x:c>
      <x:c r="J2584" s="6" t="str">
        <x:v>Benchmark</x:v>
      </x:c>
      <x:c r="K2584" s="6" t="str">
        <x:v>Answer: &lt;accepted room name or ref&gt;</x:v>
      </x:c>
      <x:c r="L2584" s="6" t="str">
        <x:v>T02, T09, T14</x:v>
      </x:c>
      <x:c r="M2584" s="6" t="str">
        <x:v>Identify the room directly above or below another room.</x:v>
      </x:c>
      <x:c r="N2584" s="6" t="str">
        <x:v>{"type":"space","space_id":"osm-way22744230-F1-S026","accept":["N1318","Generic room N1318"],"reject":["N1357","Generic room N1357","N1317","Generic room N1317"]}</x:v>
      </x:c>
      <x:c r="O2584" s="6" t="str">
        <x:v>{"start":"osm-way22744230-F2-S012","direction":"below"}</x:v>
      </x:c>
      <x:c r="P2584" s="6" t="str">
        <x:v>Next floor below. Greatest outline overlap. Aligned XY frame.</x:v>
      </x:c>
      <x:c r="Q2584" s="15"/>
      <x:c r="R2584" s="6"/>
      <x:c r="S2584" s="16"/>
      <x:c r="T2584" s="15"/>
      <x:c r="U2584" s="6" t="str">
        <x:v>Answer: N1318</x:v>
      </x:c>
      <x:c r="V2584" s="6" t="str">
        <x:v>3D stacking: polygon overlap between floors</x:v>
      </x:c>
      <x:c r="W2584" s="6" t="str">
        <x:v>Missing polygon-overlap and cross-floor comparison tool.</x:v>
      </x:c>
      <x:c r="X2584" s="6" t="str">
        <x:v>data/dev/osm-way22744230/questions.jsonl</x:v>
      </x:c>
      <x:c r="Y2584" s="14" t="n">
        <x:v>5</x:v>
      </x:c>
      <x:c r="Z2584" s="6" t="str">
        <x:v>https://github.com/hagenhaeussler/Industrial-Agents-Hackathon-2026/blob/f41616590b69f3ea0c1cbfb41d6c35edd9ce53df/data/dev/osm-way22744230/questions.jsonl#L5</x:v>
      </x:c>
      <x:c r="AA2584" s="6" t="str">
        <x:v>osm_indoor</x:v>
      </x:c>
      <x:c r="AB2584" s="6" t="str">
        <x:v>ODbL-1.0</x:v>
      </x:c>
    </x:row>
    <x:row r="2585" ht="72" customHeight="1">
      <x:c r="A2585" s="14" t="n">
        <x:v>2580</x:v>
      </x:c>
      <x:c r="B2585" s="6" t="str">
        <x:v>room_stacked</x:v>
      </x:c>
      <x:c r="C2585" s="6" t="str">
        <x:v>A washing machine is leaking onto the floor of Generic room N1316 (Floor 1). Which room directly below it will the water reach? Finish with a line 'Answer: &lt;room name or number&gt;'.</x:v>
      </x:c>
      <x:c r="D2585" s="6" t="str">
        <x:v>N0309
Space ID: osm-way22744230-F0-S005</x:v>
      </x:c>
      <x:c r="E2585" s="6" t="str">
        <x:v>Reference supplied</x:v>
      </x:c>
      <x:c r="F2585" s="6" t="str">
        <x:v>dev</x:v>
      </x:c>
      <x:c r="G2585" s="6" t="str">
        <x:v>osm-way22744230</x:v>
      </x:c>
      <x:c r="H2585" s="6" t="str">
        <x:v>osm-way22744230-H06</x:v>
      </x:c>
      <x:c r="I2585" s="6" t="str">
        <x:v>Spatial relationships</x:v>
      </x:c>
      <x:c r="J2585" s="6" t="str">
        <x:v>Benchmark</x:v>
      </x:c>
      <x:c r="K2585" s="6" t="str">
        <x:v>Answer: &lt;accepted room name or ref&gt;</x:v>
      </x:c>
      <x:c r="L2585" s="6" t="str">
        <x:v>T02, T09, T14</x:v>
      </x:c>
      <x:c r="M2585" s="6" t="str">
        <x:v>Identify the room directly above or below another room.</x:v>
      </x:c>
      <x:c r="N2585" s="6" t="str">
        <x:v>{"type":"space","space_id":"osm-way22744230-F0-S005","accept":["N0309","Generic room N0309"],"reject":["N0301","Generic room N0301","N0310","Generic room N0310","N0355","Corridor N0355"]}</x:v>
      </x:c>
      <x:c r="O2585" s="6" t="str">
        <x:v>{"start":"osm-way22744230-F1-S002","direction":"below"}</x:v>
      </x:c>
      <x:c r="P2585" s="6" t="str">
        <x:v>Next floor below. Greatest outline overlap. Aligned XY frame.</x:v>
      </x:c>
      <x:c r="Q2585" s="15"/>
      <x:c r="R2585" s="6"/>
      <x:c r="S2585" s="16"/>
      <x:c r="T2585" s="15"/>
      <x:c r="U2585" s="6" t="str">
        <x:v>Answer: N0309</x:v>
      </x:c>
      <x:c r="V2585" s="6" t="str">
        <x:v>3D stacking: polygon overlap between floors</x:v>
      </x:c>
      <x:c r="W2585" s="6" t="str">
        <x:v>Missing polygon-overlap and cross-floor comparison tool.</x:v>
      </x:c>
      <x:c r="X2585" s="6" t="str">
        <x:v>data/dev/osm-way22744230/questions.jsonl</x:v>
      </x:c>
      <x:c r="Y2585" s="14" t="n">
        <x:v>6</x:v>
      </x:c>
      <x:c r="Z2585" s="6" t="str">
        <x:v>https://github.com/hagenhaeussler/Industrial-Agents-Hackathon-2026/blob/f41616590b69f3ea0c1cbfb41d6c35edd9ce53df/data/dev/osm-way22744230/questions.jsonl#L6</x:v>
      </x:c>
      <x:c r="AA2585" s="6" t="str">
        <x:v>osm_indoor</x:v>
      </x:c>
      <x:c r="AB2585" s="6" t="str">
        <x:v>ODbL-1.0</x:v>
      </x:c>
    </x:row>
    <x:row r="2586" ht="72" customHeight="1">
      <x:c r="A2586" s="14" t="n">
        <x:v>2581</x:v>
      </x:c>
      <x:c r="B2586" s="6" t="str">
        <x:v>room_stacked</x:v>
      </x:c>
      <x:c r="C2586" s="6" t="str">
        <x:v>A washing machine is leaking onto the floor of Generic room N3320A (Floor 3). Which room directly below it will the water reach? Finish with a line 'Answer: &lt;room name or number&gt;'.</x:v>
      </x:c>
      <x:c r="D2586" s="6" t="str">
        <x:v>N2313
Space ID: osm-way22744230-F2-S029</x:v>
      </x:c>
      <x:c r="E2586" s="6" t="str">
        <x:v>Reference supplied</x:v>
      </x:c>
      <x:c r="F2586" s="6" t="str">
        <x:v>dev</x:v>
      </x:c>
      <x:c r="G2586" s="6" t="str">
        <x:v>osm-way22744230</x:v>
      </x:c>
      <x:c r="H2586" s="6" t="str">
        <x:v>osm-way22744230-H07</x:v>
      </x:c>
      <x:c r="I2586" s="6" t="str">
        <x:v>Spatial relationships</x:v>
      </x:c>
      <x:c r="J2586" s="6" t="str">
        <x:v>Benchmark</x:v>
      </x:c>
      <x:c r="K2586" s="6" t="str">
        <x:v>Answer: &lt;accepted room name or ref&gt;</x:v>
      </x:c>
      <x:c r="L2586" s="6" t="str">
        <x:v>T02, T09, T14</x:v>
      </x:c>
      <x:c r="M2586" s="6" t="str">
        <x:v>Identify the room directly above or below another room.</x:v>
      </x:c>
      <x:c r="N2586" s="6" t="str">
        <x:v>{"type":"space","space_id":"osm-way22744230-F2-S029","accept":["N2313","Generic room N2313"],"reject":[]}</x:v>
      </x:c>
      <x:c r="O2586" s="6" t="str">
        <x:v>{"start":"osm-way22744230-F3-S006","direction":"below"}</x:v>
      </x:c>
      <x:c r="P2586" s="6" t="str">
        <x:v>Next floor below. Greatest outline overlap. Aligned XY frame.</x:v>
      </x:c>
      <x:c r="Q2586" s="15"/>
      <x:c r="R2586" s="6"/>
      <x:c r="S2586" s="16"/>
      <x:c r="T2586" s="15"/>
      <x:c r="U2586" s="6" t="str">
        <x:v>Answer: N2313</x:v>
      </x:c>
      <x:c r="V2586" s="6" t="str">
        <x:v>3D stacking: polygon overlap between floors</x:v>
      </x:c>
      <x:c r="W2586" s="6" t="str">
        <x:v>Missing polygon-overlap and cross-floor comparison tool.</x:v>
      </x:c>
      <x:c r="X2586" s="6" t="str">
        <x:v>data/dev/osm-way22744230/questions.jsonl</x:v>
      </x:c>
      <x:c r="Y2586" s="14" t="n">
        <x:v>7</x:v>
      </x:c>
      <x:c r="Z2586" s="6" t="str">
        <x:v>https://github.com/hagenhaeussler/Industrial-Agents-Hackathon-2026/blob/f41616590b69f3ea0c1cbfb41d6c35edd9ce53df/data/dev/osm-way22744230/questions.jsonl#L7</x:v>
      </x:c>
      <x:c r="AA2586" s="6" t="str">
        <x:v>osm_indoor</x:v>
      </x:c>
      <x:c r="AB2586" s="6" t="str">
        <x:v>ODbL-1.0</x:v>
      </x:c>
    </x:row>
    <x:row r="2587" ht="72" customHeight="1">
      <x:c r="A2587" s="14" t="n">
        <x:v>2582</x:v>
      </x:c>
      <x:c r="B2587" s="6" t="str">
        <x:v>room_stacked</x:v>
      </x:c>
      <x:c r="C2587" s="6" t="str">
        <x:v>A washing machine is leaking onto the floor of Generic room 114 (Floor 1). Which room directly below it will the water reach? Finish with a line 'Answer: &lt;room name or number&gt;'.</x:v>
      </x:c>
      <x:c r="D2587" s="6" t="str">
        <x:v>E11A
Space ID: osm-way27326387-F0-S017</x:v>
      </x:c>
      <x:c r="E2587" s="6" t="str">
        <x:v>Reference supplied</x:v>
      </x:c>
      <x:c r="F2587" s="6" t="str">
        <x:v>dev</x:v>
      </x:c>
      <x:c r="G2587" s="6" t="str">
        <x:v>osm-way27326387</x:v>
      </x:c>
      <x:c r="H2587" s="6" t="str">
        <x:v>osm-way27326387-H04</x:v>
      </x:c>
      <x:c r="I2587" s="6" t="str">
        <x:v>Spatial relationships</x:v>
      </x:c>
      <x:c r="J2587" s="6" t="str">
        <x:v>Benchmark</x:v>
      </x:c>
      <x:c r="K2587" s="6" t="str">
        <x:v>Answer: &lt;accepted room name or ref&gt;</x:v>
      </x:c>
      <x:c r="L2587" s="6" t="str">
        <x:v>T02, T09, T14</x:v>
      </x:c>
      <x:c r="M2587" s="6" t="str">
        <x:v>Identify the room directly above or below another room.</x:v>
      </x:c>
      <x:c r="N2587" s="6" t="str">
        <x:v>{"type":"space","space_id":"osm-way27326387-F0-S017","accept":["E11A","Generic room E11A"],"reject":["E12A","Generic room E12A","E12B","Generic room E12B","E11C","Generic room E11C"]}</x:v>
      </x:c>
      <x:c r="O2587" s="6" t="str">
        <x:v>{"start":"osm-way27326387-F1-S006","direction":"below"}</x:v>
      </x:c>
      <x:c r="P2587" s="6" t="str">
        <x:v>Next floor below. Greatest outline overlap. Aligned XY frame.</x:v>
      </x:c>
      <x:c r="Q2587" s="15"/>
      <x:c r="R2587" s="6"/>
      <x:c r="S2587" s="16"/>
      <x:c r="T2587" s="15"/>
      <x:c r="U2587" s="6" t="str">
        <x:v>Answer: E11A</x:v>
      </x:c>
      <x:c r="V2587" s="6" t="str">
        <x:v>3D stacking: polygon overlap between floors</x:v>
      </x:c>
      <x:c r="W2587" s="6" t="str">
        <x:v>Missing polygon-overlap and cross-floor comparison tool.</x:v>
      </x:c>
      <x:c r="X2587" s="6" t="str">
        <x:v>data/dev/osm-way27326387/questions.jsonl</x:v>
      </x:c>
      <x:c r="Y2587" s="14" t="n">
        <x:v>4</x:v>
      </x:c>
      <x:c r="Z2587" s="6" t="str">
        <x:v>https://github.com/hagenhaeussler/Industrial-Agents-Hackathon-2026/blob/f41616590b69f3ea0c1cbfb41d6c35edd9ce53df/data/dev/osm-way27326387/questions.jsonl#L4</x:v>
      </x:c>
      <x:c r="AA2587" s="6" t="str">
        <x:v>osm_indoor</x:v>
      </x:c>
      <x:c r="AB2587" s="6" t="str">
        <x:v>ODbL-1.0</x:v>
      </x:c>
    </x:row>
    <x:row r="2588" ht="72" customHeight="1">
      <x:c r="A2588" s="14" t="n">
        <x:v>2583</x:v>
      </x:c>
      <x:c r="B2588" s="6" t="str">
        <x:v>room_stacked</x:v>
      </x:c>
      <x:c r="C2588" s="6" t="str">
        <x:v>There's water dripping from the ceiling in Generic room E11 (Ground floor). Which room is directly above it? Finish with a line 'Answer: &lt;room name or number&gt;'.</x:v>
      </x:c>
      <x:c r="D2588" s="6" t="str">
        <x:v>114A
Space ID: osm-way27326387-F1-S005</x:v>
      </x:c>
      <x:c r="E2588" s="6" t="str">
        <x:v>Reference supplied</x:v>
      </x:c>
      <x:c r="F2588" s="6" t="str">
        <x:v>dev</x:v>
      </x:c>
      <x:c r="G2588" s="6" t="str">
        <x:v>osm-way27326387</x:v>
      </x:c>
      <x:c r="H2588" s="6" t="str">
        <x:v>osm-way27326387-H05</x:v>
      </x:c>
      <x:c r="I2588" s="6" t="str">
        <x:v>Spatial relationships</x:v>
      </x:c>
      <x:c r="J2588" s="6" t="str">
        <x:v>Benchmark</x:v>
      </x:c>
      <x:c r="K2588" s="6" t="str">
        <x:v>Answer: &lt;accepted room name or ref&gt;</x:v>
      </x:c>
      <x:c r="L2588" s="6" t="str">
        <x:v>T02, T09, T14</x:v>
      </x:c>
      <x:c r="M2588" s="6" t="str">
        <x:v>Identify the room directly above or below another room.</x:v>
      </x:c>
      <x:c r="N2588" s="6" t="str">
        <x:v>{"type":"space","space_id":"osm-way27326387-F1-S005","accept":["114A","Generic room 114A"],"reject":["113","Stairwell 113"]}</x:v>
      </x:c>
      <x:c r="O2588" s="6" t="str">
        <x:v>{"start":"osm-way27326387-F0-S001","direction":"above"}</x:v>
      </x:c>
      <x:c r="P2588" s="6" t="str">
        <x:v>Next floor above. Greatest outline overlap. Aligned XY frame.</x:v>
      </x:c>
      <x:c r="Q2588" s="15"/>
      <x:c r="R2588" s="6"/>
      <x:c r="S2588" s="16"/>
      <x:c r="T2588" s="15"/>
      <x:c r="U2588" s="6" t="str">
        <x:v>Answer: 114A</x:v>
      </x:c>
      <x:c r="V2588" s="6" t="str">
        <x:v>3D stacking: polygon overlap between floors</x:v>
      </x:c>
      <x:c r="W2588" s="6" t="str">
        <x:v>Missing polygon-overlap and cross-floor comparison tool.</x:v>
      </x:c>
      <x:c r="X2588" s="6" t="str">
        <x:v>data/dev/osm-way27326387/questions.jsonl</x:v>
      </x:c>
      <x:c r="Y2588" s="14" t="n">
        <x:v>5</x:v>
      </x:c>
      <x:c r="Z2588" s="6" t="str">
        <x:v>https://github.com/hagenhaeussler/Industrial-Agents-Hackathon-2026/blob/f41616590b69f3ea0c1cbfb41d6c35edd9ce53df/data/dev/osm-way27326387/questions.jsonl#L5</x:v>
      </x:c>
      <x:c r="AA2588" s="6" t="str">
        <x:v>osm_indoor</x:v>
      </x:c>
      <x:c r="AB2588" s="6" t="str">
        <x:v>ODbL-1.0</x:v>
      </x:c>
    </x:row>
    <x:row r="2589" ht="72" customHeight="1">
      <x:c r="A2589" s="14" t="n">
        <x:v>2584</x:v>
      </x:c>
      <x:c r="B2589" s="6" t="str">
        <x:v>room_stacked</x:v>
      </x:c>
      <x:c r="C2589" s="6" t="str">
        <x:v>There's water dripping from the ceiling in Generic room E11C (Ground floor). Which room is directly above it? Finish with a line 'Answer: &lt;room name or number&gt;'.</x:v>
      </x:c>
      <x:c r="D2589" s="6" t="str">
        <x:v>114D
Space ID: osm-way27326387-F1-S004</x:v>
      </x:c>
      <x:c r="E2589" s="6" t="str">
        <x:v>Reference supplied</x:v>
      </x:c>
      <x:c r="F2589" s="6" t="str">
        <x:v>dev</x:v>
      </x:c>
      <x:c r="G2589" s="6" t="str">
        <x:v>osm-way27326387</x:v>
      </x:c>
      <x:c r="H2589" s="6" t="str">
        <x:v>osm-way27326387-H06</x:v>
      </x:c>
      <x:c r="I2589" s="6" t="str">
        <x:v>Spatial relationships</x:v>
      </x:c>
      <x:c r="J2589" s="6" t="str">
        <x:v>Benchmark</x:v>
      </x:c>
      <x:c r="K2589" s="6" t="str">
        <x:v>Answer: &lt;accepted room name or ref&gt;</x:v>
      </x:c>
      <x:c r="L2589" s="6" t="str">
        <x:v>T02, T09, T14</x:v>
      </x:c>
      <x:c r="M2589" s="6" t="str">
        <x:v>Identify the room directly above or below another room.</x:v>
      </x:c>
      <x:c r="N2589" s="6" t="str">
        <x:v>{"type":"space","space_id":"osm-way27326387-F1-S004","accept":["114D","Generic room 114D"],"reject":["114","Generic room 114","114A","Generic room 114A"]}</x:v>
      </x:c>
      <x:c r="O2589" s="6" t="str">
        <x:v>{"start":"osm-way27326387-F0-S016","direction":"above"}</x:v>
      </x:c>
      <x:c r="P2589" s="6" t="str">
        <x:v>Next floor above. Greatest outline overlap. Aligned XY frame.</x:v>
      </x:c>
      <x:c r="Q2589" s="15"/>
      <x:c r="R2589" s="6"/>
      <x:c r="S2589" s="16"/>
      <x:c r="T2589" s="15"/>
      <x:c r="U2589" s="6" t="str">
        <x:v>Answer: 114D</x:v>
      </x:c>
      <x:c r="V2589" s="6" t="str">
        <x:v>3D stacking: polygon overlap between floors</x:v>
      </x:c>
      <x:c r="W2589" s="6" t="str">
        <x:v>Missing polygon-overlap and cross-floor comparison tool.</x:v>
      </x:c>
      <x:c r="X2589" s="6" t="str">
        <x:v>data/dev/osm-way27326387/questions.jsonl</x:v>
      </x:c>
      <x:c r="Y2589" s="14" t="n">
        <x:v>6</x:v>
      </x:c>
      <x:c r="Z2589" s="6" t="str">
        <x:v>https://github.com/hagenhaeussler/Industrial-Agents-Hackathon-2026/blob/f41616590b69f3ea0c1cbfb41d6c35edd9ce53df/data/dev/osm-way27326387/questions.jsonl#L6</x:v>
      </x:c>
      <x:c r="AA2589" s="6" t="str">
        <x:v>osm_indoor</x:v>
      </x:c>
      <x:c r="AB2589" s="6" t="str">
        <x:v>ODbL-1.0</x:v>
      </x:c>
    </x:row>
    <x:row r="2590" ht="72" customHeight="1">
      <x:c r="A2590" s="14" t="n">
        <x:v>2585</x:v>
      </x:c>
      <x:c r="B2590" s="6" t="str">
        <x:v>room_stacked</x:v>
      </x:c>
      <x:c r="C2590" s="6" t="str">
        <x:v>A washing machine is leaking onto the floor of Generic room 00.04.032A (Ground floor). Which room directly below it will the water reach? Finish with a line 'Answer: &lt;room name or number&gt;'.</x:v>
      </x:c>
      <x:c r="D2590" s="6" t="str">
        <x:v>-1.04.018
Space ID: osm-way27917482-F-1-S065</x:v>
      </x:c>
      <x:c r="E2590" s="6" t="str">
        <x:v>Reference supplied</x:v>
      </x:c>
      <x:c r="F2590" s="6" t="str">
        <x:v>dev</x:v>
      </x:c>
      <x:c r="G2590" s="6" t="str">
        <x:v>osm-way27917482</x:v>
      </x:c>
      <x:c r="H2590" s="6" t="str">
        <x:v>osm-way27917482-H03</x:v>
      </x:c>
      <x:c r="I2590" s="6" t="str">
        <x:v>Spatial relationships</x:v>
      </x:c>
      <x:c r="J2590" s="6" t="str">
        <x:v>Benchmark</x:v>
      </x:c>
      <x:c r="K2590" s="6" t="str">
        <x:v>Answer: &lt;accepted room name or ref&gt;</x:v>
      </x:c>
      <x:c r="L2590" s="6" t="str">
        <x:v>T02, T09, T14</x:v>
      </x:c>
      <x:c r="M2590" s="6" t="str">
        <x:v>Identify the room directly above or below another room.</x:v>
      </x:c>
      <x:c r="N2590" s="6" t="str">
        <x:v>{"type":"space","space_id":"osm-way27917482-F-1-S065","accept":["-1.04.018","Generic room -1.04.018"],"reject":[]}</x:v>
      </x:c>
      <x:c r="O2590" s="6" t="str">
        <x:v>{"start":"osm-way27917482-F0-S155","direction":"below"}</x:v>
      </x:c>
      <x:c r="P2590" s="6" t="str">
        <x:v>Next floor below. Greatest outline overlap. Aligned XY frame.</x:v>
      </x:c>
      <x:c r="Q2590" s="15"/>
      <x:c r="R2590" s="6"/>
      <x:c r="S2590" s="16"/>
      <x:c r="T2590" s="15"/>
      <x:c r="U2590" s="6" t="str">
        <x:v>Answer: -1.04.018</x:v>
      </x:c>
      <x:c r="V2590" s="6" t="str">
        <x:v>3D stacking: polygon overlap between floors</x:v>
      </x:c>
      <x:c r="W2590" s="6" t="str">
        <x:v>Missing polygon-overlap and cross-floor comparison tool.</x:v>
      </x:c>
      <x:c r="X2590" s="6" t="str">
        <x:v>data/dev/osm-way27917482/questions.jsonl</x:v>
      </x:c>
      <x:c r="Y2590" s="14" t="n">
        <x:v>3</x:v>
      </x:c>
      <x:c r="Z2590" s="6" t="str">
        <x:v>https://github.com/hagenhaeussler/Industrial-Agents-Hackathon-2026/blob/f41616590b69f3ea0c1cbfb41d6c35edd9ce53df/data/dev/osm-way27917482/questions.jsonl#L3</x:v>
      </x:c>
      <x:c r="AA2590" s="6" t="str">
        <x:v>osm_indoor</x:v>
      </x:c>
      <x:c r="AB2590" s="6" t="str">
        <x:v>ODbL-1.0</x:v>
      </x:c>
    </x:row>
    <x:row r="2591" ht="72" customHeight="1">
      <x:c r="A2591" s="14" t="n">
        <x:v>2586</x:v>
      </x:c>
      <x:c r="B2591" s="6" t="str">
        <x:v>room_stacked</x:v>
      </x:c>
      <x:c r="C2591" s="6" t="str">
        <x:v>A washing machine is leaking onto the floor of Generic room 01.04.053 (Floor 1). Which room directly below it will the water reach? Finish with a line 'Answer: &lt;room name or number&gt;'.</x:v>
      </x:c>
      <x:c r="D2591" s="6" t="str">
        <x:v>00.04.038
Space ID: osm-way27917482-F0-S152</x:v>
      </x:c>
      <x:c r="E2591" s="6" t="str">
        <x:v>Reference supplied</x:v>
      </x:c>
      <x:c r="F2591" s="6" t="str">
        <x:v>dev</x:v>
      </x:c>
      <x:c r="G2591" s="6" t="str">
        <x:v>osm-way27917482</x:v>
      </x:c>
      <x:c r="H2591" s="6" t="str">
        <x:v>osm-way27917482-H04</x:v>
      </x:c>
      <x:c r="I2591" s="6" t="str">
        <x:v>Spatial relationships</x:v>
      </x:c>
      <x:c r="J2591" s="6" t="str">
        <x:v>Benchmark</x:v>
      </x:c>
      <x:c r="K2591" s="6" t="str">
        <x:v>Answer: &lt;accepted room name or ref&gt;</x:v>
      </x:c>
      <x:c r="L2591" s="6" t="str">
        <x:v>T02, T09, T14</x:v>
      </x:c>
      <x:c r="M2591" s="6" t="str">
        <x:v>Identify the room directly above or below another room.</x:v>
      </x:c>
      <x:c r="N2591" s="6" t="str">
        <x:v>{"type":"space","space_id":"osm-way27917482-F0-S152","accept":["00.04.038","Generic room 00.04.038"],"reject":[]}</x:v>
      </x:c>
      <x:c r="O2591" s="6" t="str">
        <x:v>{"start":"osm-way27917482-F1-S172","direction":"below"}</x:v>
      </x:c>
      <x:c r="P2591" s="6" t="str">
        <x:v>Next floor below. Greatest outline overlap. Aligned XY frame.</x:v>
      </x:c>
      <x:c r="Q2591" s="15"/>
      <x:c r="R2591" s="6"/>
      <x:c r="S2591" s="16"/>
      <x:c r="T2591" s="15"/>
      <x:c r="U2591" s="6" t="str">
        <x:v>Answer: 00.04.038</x:v>
      </x:c>
      <x:c r="V2591" s="6" t="str">
        <x:v>3D stacking: polygon overlap between floors</x:v>
      </x:c>
      <x:c r="W2591" s="6" t="str">
        <x:v>Missing polygon-overlap and cross-floor comparison tool.</x:v>
      </x:c>
      <x:c r="X2591" s="6" t="str">
        <x:v>data/dev/osm-way27917482/questions.jsonl</x:v>
      </x:c>
      <x:c r="Y2591" s="14" t="n">
        <x:v>4</x:v>
      </x:c>
      <x:c r="Z2591" s="6" t="str">
        <x:v>https://github.com/hagenhaeussler/Industrial-Agents-Hackathon-2026/blob/f41616590b69f3ea0c1cbfb41d6c35edd9ce53df/data/dev/osm-way27917482/questions.jsonl#L4</x:v>
      </x:c>
      <x:c r="AA2591" s="6" t="str">
        <x:v>osm_indoor</x:v>
      </x:c>
      <x:c r="AB2591" s="6" t="str">
        <x:v>ODbL-1.0</x:v>
      </x:c>
    </x:row>
    <x:row r="2592" ht="72" customHeight="1">
      <x:c r="A2592" s="14" t="n">
        <x:v>2587</x:v>
      </x:c>
      <x:c r="B2592" s="6" t="str">
        <x:v>room_stacked</x:v>
      </x:c>
      <x:c r="C2592" s="6" t="str">
        <x:v>A washing machine is leaking onto the floor of Generic room 01.08.036 (Floor 1). Which room directly below it will the water reach? Finish with a line 'Answer: &lt;room name or number&gt;'.</x:v>
      </x:c>
      <x:c r="D2592" s="6" t="str">
        <x:v>0.56
Space ID: osm-way27917482-F0-S056</x:v>
      </x:c>
      <x:c r="E2592" s="6" t="str">
        <x:v>Reference supplied</x:v>
      </x:c>
      <x:c r="F2592" s="6" t="str">
        <x:v>dev</x:v>
      </x:c>
      <x:c r="G2592" s="6" t="str">
        <x:v>osm-way27917482</x:v>
      </x:c>
      <x:c r="H2592" s="6" t="str">
        <x:v>osm-way27917482-H05</x:v>
      </x:c>
      <x:c r="I2592" s="6" t="str">
        <x:v>Spatial relationships</x:v>
      </x:c>
      <x:c r="J2592" s="6" t="str">
        <x:v>Benchmark</x:v>
      </x:c>
      <x:c r="K2592" s="6" t="str">
        <x:v>Answer: &lt;accepted room name or ref&gt;</x:v>
      </x:c>
      <x:c r="L2592" s="6" t="str">
        <x:v>T02, T09, T14</x:v>
      </x:c>
      <x:c r="M2592" s="6" t="str">
        <x:v>Identify the room directly above or below another room.</x:v>
      </x:c>
      <x:c r="N2592" s="6" t="str">
        <x:v>{"type":"space","space_id":"osm-way27917482-F0-S056","accept":["0.56","Generic room 0.56"],"reject":[]}</x:v>
      </x:c>
      <x:c r="O2592" s="6" t="str">
        <x:v>{"start":"osm-way27917482-F1-S022","direction":"below"}</x:v>
      </x:c>
      <x:c r="P2592" s="6" t="str">
        <x:v>Next floor below. Greatest outline overlap. Aligned XY frame.</x:v>
      </x:c>
      <x:c r="Q2592" s="15"/>
      <x:c r="R2592" s="6"/>
      <x:c r="S2592" s="16"/>
      <x:c r="T2592" s="15"/>
      <x:c r="U2592" s="6" t="str">
        <x:v>Answer: 0.56</x:v>
      </x:c>
      <x:c r="V2592" s="6" t="str">
        <x:v>3D stacking: polygon overlap between floors</x:v>
      </x:c>
      <x:c r="W2592" s="6" t="str">
        <x:v>Missing polygon-overlap and cross-floor comparison tool.</x:v>
      </x:c>
      <x:c r="X2592" s="6" t="str">
        <x:v>data/dev/osm-way27917482/questions.jsonl</x:v>
      </x:c>
      <x:c r="Y2592" s="14" t="n">
        <x:v>5</x:v>
      </x:c>
      <x:c r="Z2592" s="6" t="str">
        <x:v>https://github.com/hagenhaeussler/Industrial-Agents-Hackathon-2026/blob/f41616590b69f3ea0c1cbfb41d6c35edd9ce53df/data/dev/osm-way27917482/questions.jsonl#L5</x:v>
      </x:c>
      <x:c r="AA2592" s="6" t="str">
        <x:v>osm_indoor</x:v>
      </x:c>
      <x:c r="AB2592" s="6" t="str">
        <x:v>ODbL-1.0</x:v>
      </x:c>
    </x:row>
    <x:row r="2593" ht="72" customHeight="1">
      <x:c r="A2593" s="14" t="n">
        <x:v>2588</x:v>
      </x:c>
      <x:c r="B2593" s="6" t="str">
        <x:v>room_stacked</x:v>
      </x:c>
      <x:c r="C2593" s="6" t="str">
        <x:v>A washing machine is leaking onto the floor of Büchercorner (Floor 1). Which room directly below it will the water reach? Finish with a line 'Answer: &lt;room name or number&gt;'.</x:v>
      </x:c>
      <x:c r="D2593" s="6" t="str">
        <x:v>Withheld in public test data. No reference answer supplied.</x:v>
      </x:c>
      <x:c r="E2593" s="6" t="str">
        <x:v>Withheld</x:v>
      </x:c>
      <x:c r="F2593" s="6" t="str">
        <x:v>test</x:v>
      </x:c>
      <x:c r="G2593" s="6" t="str">
        <x:v>osm-way363805324</x:v>
      </x:c>
      <x:c r="H2593" s="6" t="str">
        <x:v>osm-way363805324-H04</x:v>
      </x:c>
      <x:c r="I2593" s="6" t="str">
        <x:v>Spatial relationships</x:v>
      </x:c>
      <x:c r="J2593" s="6" t="str">
        <x:v>Benchmark</x:v>
      </x:c>
      <x:c r="K2593" s="6" t="str">
        <x:v>Answer: &lt;accepted room name or ref&gt;</x:v>
      </x:c>
      <x:c r="L2593" s="6" t="str">
        <x:v>T02, T09, T14</x:v>
      </x:c>
      <x:c r="M2593" s="6" t="str">
        <x:v>Identify the room directly above or below another room.</x:v>
      </x:c>
      <x:c r="N2593" s="6"/>
      <x:c r="O2593" s="6"/>
      <x:c r="P2593" s="6" t="str">
        <x:v>Next floor above/below as stated. Greatest outline overlap. Aligned XY frame.</x:v>
      </x:c>
      <x:c r="Q2593" s="15"/>
      <x:c r="R2593" s="6"/>
      <x:c r="S2593" s="16"/>
      <x:c r="T2593" s="15"/>
      <x:c r="U2593" s="6"/>
      <x:c r="V2593" s="6"/>
      <x:c r="W2593" s="6" t="str">
        <x:v>Missing polygon-overlap and cross-floor comparison tool.</x:v>
      </x:c>
      <x:c r="X2593" s="6" t="str">
        <x:v>data/test/osm-way363805324/questions.jsonl</x:v>
      </x:c>
      <x:c r="Y2593" s="14" t="n">
        <x:v>4</x:v>
      </x:c>
      <x:c r="Z2593" s="6" t="str">
        <x:v>https://github.com/hagenhaeussler/Industrial-Agents-Hackathon-2026/blob/f41616590b69f3ea0c1cbfb41d6c35edd9ce53df/data/test/osm-way363805324/questions.jsonl#L4</x:v>
      </x:c>
      <x:c r="AA2593" s="6" t="str">
        <x:v>osm_indoor</x:v>
      </x:c>
      <x:c r="AB2593" s="6" t="str">
        <x:v>ODbL-1.0</x:v>
      </x:c>
    </x:row>
    <x:row r="2594" ht="72" customHeight="1">
      <x:c r="A2594" s="14" t="n">
        <x:v>2589</x:v>
      </x:c>
      <x:c r="B2594" s="6" t="str">
        <x:v>room_stacked</x:v>
      </x:c>
      <x:c r="C2594" s="6" t="str">
        <x:v>There's water dripping from the ceiling in Kitchen 0.16 (Ground floor). Which room is directly above it? Finish with a line 'Answer: &lt;room name or number&gt;'.</x:v>
      </x:c>
      <x:c r="D2594" s="6" t="str">
        <x:v>Withheld in public test data. No reference answer supplied.</x:v>
      </x:c>
      <x:c r="E2594" s="6" t="str">
        <x:v>Withheld</x:v>
      </x:c>
      <x:c r="F2594" s="6" t="str">
        <x:v>test</x:v>
      </x:c>
      <x:c r="G2594" s="6" t="str">
        <x:v>osm-way363805324</x:v>
      </x:c>
      <x:c r="H2594" s="6" t="str">
        <x:v>osm-way363805324-H07</x:v>
      </x:c>
      <x:c r="I2594" s="6" t="str">
        <x:v>Spatial relationships</x:v>
      </x:c>
      <x:c r="J2594" s="6" t="str">
        <x:v>Benchmark</x:v>
      </x:c>
      <x:c r="K2594" s="6" t="str">
        <x:v>Answer: &lt;accepted room name or ref&gt;</x:v>
      </x:c>
      <x:c r="L2594" s="6" t="str">
        <x:v>T02, T09, T14</x:v>
      </x:c>
      <x:c r="M2594" s="6" t="str">
        <x:v>Identify the room directly above or below another room.</x:v>
      </x:c>
      <x:c r="N2594" s="6"/>
      <x:c r="O2594" s="6"/>
      <x:c r="P2594" s="6" t="str">
        <x:v>Next floor above/below as stated. Greatest outline overlap. Aligned XY frame.</x:v>
      </x:c>
      <x:c r="Q2594" s="15"/>
      <x:c r="R2594" s="6"/>
      <x:c r="S2594" s="16"/>
      <x:c r="T2594" s="15"/>
      <x:c r="U2594" s="6"/>
      <x:c r="V2594" s="6"/>
      <x:c r="W2594" s="6" t="str">
        <x:v>Missing polygon-overlap and cross-floor comparison tool.</x:v>
      </x:c>
      <x:c r="X2594" s="6" t="str">
        <x:v>data/test/osm-way363805324/questions.jsonl</x:v>
      </x:c>
      <x:c r="Y2594" s="14" t="n">
        <x:v>5</x:v>
      </x:c>
      <x:c r="Z2594" s="6" t="str">
        <x:v>https://github.com/hagenhaeussler/Industrial-Agents-Hackathon-2026/blob/f41616590b69f3ea0c1cbfb41d6c35edd9ce53df/data/test/osm-way363805324/questions.jsonl#L5</x:v>
      </x:c>
      <x:c r="AA2594" s="6" t="str">
        <x:v>osm_indoor</x:v>
      </x:c>
      <x:c r="AB2594" s="6" t="str">
        <x:v>ODbL-1.0</x:v>
      </x:c>
    </x:row>
    <x:row r="2595" ht="72" customHeight="1">
      <x:c r="A2595" s="14" t="n">
        <x:v>2590</x:v>
      </x:c>
      <x:c r="B2595" s="6" t="str">
        <x:v>room_stacked</x:v>
      </x:c>
      <x:c r="C2595" s="6" t="str">
        <x:v>There's water dripping from the ceiling in Generic room -1.14 (Basement 1). Which room is directly above it? Finish with a line 'Answer: &lt;room name or number&gt;'.</x:v>
      </x:c>
      <x:c r="D2595" s="6" t="str">
        <x:v>Withheld in public test data. No reference answer supplied.</x:v>
      </x:c>
      <x:c r="E2595" s="6" t="str">
        <x:v>Withheld</x:v>
      </x:c>
      <x:c r="F2595" s="6" t="str">
        <x:v>test</x:v>
      </x:c>
      <x:c r="G2595" s="6" t="str">
        <x:v>osm-way43035346</x:v>
      </x:c>
      <x:c r="H2595" s="6" t="str">
        <x:v>osm-way43035346-H04</x:v>
      </x:c>
      <x:c r="I2595" s="6" t="str">
        <x:v>Spatial relationships</x:v>
      </x:c>
      <x:c r="J2595" s="6" t="str">
        <x:v>Benchmark</x:v>
      </x:c>
      <x:c r="K2595" s="6" t="str">
        <x:v>Answer: &lt;accepted room name or ref&gt;</x:v>
      </x:c>
      <x:c r="L2595" s="6" t="str">
        <x:v>T02, T09, T14</x:v>
      </x:c>
      <x:c r="M2595" s="6" t="str">
        <x:v>Identify the room directly above or below another room.</x:v>
      </x:c>
      <x:c r="N2595" s="6"/>
      <x:c r="O2595" s="6"/>
      <x:c r="P2595" s="6" t="str">
        <x:v>Next floor above/below as stated. Greatest outline overlap. Aligned XY frame.</x:v>
      </x:c>
      <x:c r="Q2595" s="15"/>
      <x:c r="R2595" s="6"/>
      <x:c r="S2595" s="16"/>
      <x:c r="T2595" s="15"/>
      <x:c r="U2595" s="6"/>
      <x:c r="V2595" s="6"/>
      <x:c r="W2595" s="6" t="str">
        <x:v>Missing polygon-overlap and cross-floor comparison tool.</x:v>
      </x:c>
      <x:c r="X2595" s="6" t="str">
        <x:v>data/test/osm-way43035346/questions.jsonl</x:v>
      </x:c>
      <x:c r="Y2595" s="14" t="n">
        <x:v>4</x:v>
      </x:c>
      <x:c r="Z2595" s="6" t="str">
        <x:v>https://github.com/hagenhaeussler/Industrial-Agents-Hackathon-2026/blob/f41616590b69f3ea0c1cbfb41d6c35edd9ce53df/data/test/osm-way43035346/questions.jsonl#L4</x:v>
      </x:c>
      <x:c r="AA2595" s="6" t="str">
        <x:v>osm_indoor</x:v>
      </x:c>
      <x:c r="AB2595" s="6" t="str">
        <x:v>ODbL-1.0</x:v>
      </x:c>
    </x:row>
    <x:row r="2596" ht="72" customHeight="1">
      <x:c r="A2596" s="14" t="n">
        <x:v>2591</x:v>
      </x:c>
      <x:c r="B2596" s="6" t="str">
        <x:v>room_stacked</x:v>
      </x:c>
      <x:c r="C2596" s="6" t="str">
        <x:v>There's water dripping from the ceiling in Generic room -1517 (Basement 1). Which room is directly above it? Finish with a line 'Answer: &lt;room name or number&gt;'.</x:v>
      </x:c>
      <x:c r="D2596" s="6" t="str">
        <x:v>Withheld in public test data. No reference answer supplied.</x:v>
      </x:c>
      <x:c r="E2596" s="6" t="str">
        <x:v>Withheld</x:v>
      </x:c>
      <x:c r="F2596" s="6" t="str">
        <x:v>test</x:v>
      </x:c>
      <x:c r="G2596" s="6" t="str">
        <x:v>osm-way50299584</x:v>
      </x:c>
      <x:c r="H2596" s="6" t="str">
        <x:v>osm-way50299584-H04</x:v>
      </x:c>
      <x:c r="I2596" s="6" t="str">
        <x:v>Spatial relationships</x:v>
      </x:c>
      <x:c r="J2596" s="6" t="str">
        <x:v>Benchmark</x:v>
      </x:c>
      <x:c r="K2596" s="6" t="str">
        <x:v>Answer: &lt;accepted room name or ref&gt;</x:v>
      </x:c>
      <x:c r="L2596" s="6" t="str">
        <x:v>T02, T09, T14</x:v>
      </x:c>
      <x:c r="M2596" s="6" t="str">
        <x:v>Identify the room directly above or below another room.</x:v>
      </x:c>
      <x:c r="N2596" s="6"/>
      <x:c r="O2596" s="6"/>
      <x:c r="P2596" s="6" t="str">
        <x:v>Next floor above/below as stated. Greatest outline overlap. Aligned XY frame.</x:v>
      </x:c>
      <x:c r="Q2596" s="15"/>
      <x:c r="R2596" s="6"/>
      <x:c r="S2596" s="16"/>
      <x:c r="T2596" s="15"/>
      <x:c r="U2596" s="6"/>
      <x:c r="V2596" s="6"/>
      <x:c r="W2596" s="6" t="str">
        <x:v>Missing polygon-overlap and cross-floor comparison tool.</x:v>
      </x:c>
      <x:c r="X2596" s="6" t="str">
        <x:v>data/test/osm-way50299584/questions.jsonl</x:v>
      </x:c>
      <x:c r="Y2596" s="14" t="n">
        <x:v>4</x:v>
      </x:c>
      <x:c r="Z2596" s="6" t="str">
        <x:v>https://github.com/hagenhaeussler/Industrial-Agents-Hackathon-2026/blob/f41616590b69f3ea0c1cbfb41d6c35edd9ce53df/data/test/osm-way50299584/questions.jsonl#L4</x:v>
      </x:c>
      <x:c r="AA2596" s="6" t="str">
        <x:v>osm_indoor</x:v>
      </x:c>
      <x:c r="AB2596" s="6" t="str">
        <x:v>ODbL-1.0</x:v>
      </x:c>
    </x:row>
    <x:row r="2597" ht="72" customHeight="1">
      <x:c r="A2597" s="14" t="n">
        <x:v>2592</x:v>
      </x:c>
      <x:c r="B2597" s="6" t="str">
        <x:v>room_stacked</x:v>
      </x:c>
      <x:c r="C2597" s="6" t="str">
        <x:v>A washing machine is leaking onto the floor of Generic room 0520 (Ground floor). Which room directly below it will the water reach? Finish with a line 'Answer: &lt;room name or number&gt;'.</x:v>
      </x:c>
      <x:c r="D2597" s="6" t="str">
        <x:v>Withheld in public test data. No reference answer supplied.</x:v>
      </x:c>
      <x:c r="E2597" s="6" t="str">
        <x:v>Withheld</x:v>
      </x:c>
      <x:c r="F2597" s="6" t="str">
        <x:v>test</x:v>
      </x:c>
      <x:c r="G2597" s="6" t="str">
        <x:v>osm-way50299584</x:v>
      </x:c>
      <x:c r="H2597" s="6" t="str">
        <x:v>osm-way50299584-H06</x:v>
      </x:c>
      <x:c r="I2597" s="6" t="str">
        <x:v>Spatial relationships</x:v>
      </x:c>
      <x:c r="J2597" s="6" t="str">
        <x:v>Benchmark</x:v>
      </x:c>
      <x:c r="K2597" s="6" t="str">
        <x:v>Answer: &lt;accepted room name or ref&gt;</x:v>
      </x:c>
      <x:c r="L2597" s="6" t="str">
        <x:v>T02, T09, T14</x:v>
      </x:c>
      <x:c r="M2597" s="6" t="str">
        <x:v>Identify the room directly above or below another room.</x:v>
      </x:c>
      <x:c r="N2597" s="6"/>
      <x:c r="O2597" s="6"/>
      <x:c r="P2597" s="6" t="str">
        <x:v>Next floor above/below as stated. Greatest outline overlap. Aligned XY frame.</x:v>
      </x:c>
      <x:c r="Q2597" s="15"/>
      <x:c r="R2597" s="6"/>
      <x:c r="S2597" s="16"/>
      <x:c r="T2597" s="15"/>
      <x:c r="U2597" s="6"/>
      <x:c r="V2597" s="6"/>
      <x:c r="W2597" s="6" t="str">
        <x:v>Missing polygon-overlap and cross-floor comparison tool.</x:v>
      </x:c>
      <x:c r="X2597" s="6" t="str">
        <x:v>data/test/osm-way50299584/questions.jsonl</x:v>
      </x:c>
      <x:c r="Y2597" s="14" t="n">
        <x:v>5</x:v>
      </x:c>
      <x:c r="Z2597" s="6" t="str">
        <x:v>https://github.com/hagenhaeussler/Industrial-Agents-Hackathon-2026/blob/f41616590b69f3ea0c1cbfb41d6c35edd9ce53df/data/test/osm-way50299584/questions.jsonl#L5</x:v>
      </x:c>
      <x:c r="AA2597" s="6" t="str">
        <x:v>osm_indoor</x:v>
      </x:c>
      <x:c r="AB2597" s="6" t="str">
        <x:v>ODbL-1.0</x:v>
      </x:c>
    </x:row>
    <x:row r="2598" ht="72" customHeight="1">
      <x:c r="A2598" s="14" t="n">
        <x:v>2593</x:v>
      </x:c>
      <x:c r="B2598" s="6" t="str">
        <x:v>room_stacked</x:v>
      </x:c>
      <x:c r="C2598" s="6" t="str">
        <x:v>There's water dripping from the ceiling in Generic room 0523 (Ground floor). Which room is directly above it? Finish with a line 'Answer: &lt;room name or number&gt;'.</x:v>
      </x:c>
      <x:c r="D2598" s="6" t="str">
        <x:v>Withheld in public test data. No reference answer supplied.</x:v>
      </x:c>
      <x:c r="E2598" s="6" t="str">
        <x:v>Withheld</x:v>
      </x:c>
      <x:c r="F2598" s="6" t="str">
        <x:v>test</x:v>
      </x:c>
      <x:c r="G2598" s="6" t="str">
        <x:v>osm-way50299584</x:v>
      </x:c>
      <x:c r="H2598" s="6" t="str">
        <x:v>osm-way50299584-H11</x:v>
      </x:c>
      <x:c r="I2598" s="6" t="str">
        <x:v>Spatial relationships</x:v>
      </x:c>
      <x:c r="J2598" s="6" t="str">
        <x:v>Benchmark</x:v>
      </x:c>
      <x:c r="K2598" s="6" t="str">
        <x:v>Answer: &lt;accepted room name or ref&gt;</x:v>
      </x:c>
      <x:c r="L2598" s="6" t="str">
        <x:v>T02, T09, T14</x:v>
      </x:c>
      <x:c r="M2598" s="6" t="str">
        <x:v>Identify the room directly above or below another room.</x:v>
      </x:c>
      <x:c r="N2598" s="6"/>
      <x:c r="O2598" s="6"/>
      <x:c r="P2598" s="6" t="str">
        <x:v>Next floor above/below as stated. Greatest outline overlap. Aligned XY frame.</x:v>
      </x:c>
      <x:c r="Q2598" s="15"/>
      <x:c r="R2598" s="6"/>
      <x:c r="S2598" s="16"/>
      <x:c r="T2598" s="15"/>
      <x:c r="U2598" s="6"/>
      <x:c r="V2598" s="6"/>
      <x:c r="W2598" s="6" t="str">
        <x:v>Missing polygon-overlap and cross-floor comparison tool.</x:v>
      </x:c>
      <x:c r="X2598" s="6" t="str">
        <x:v>data/test/osm-way50299584/questions.jsonl</x:v>
      </x:c>
      <x:c r="Y2598" s="14" t="n">
        <x:v>6</x:v>
      </x:c>
      <x:c r="Z2598" s="6" t="str">
        <x:v>https://github.com/hagenhaeussler/Industrial-Agents-Hackathon-2026/blob/f41616590b69f3ea0c1cbfb41d6c35edd9ce53df/data/test/osm-way50299584/questions.jsonl#L6</x:v>
      </x:c>
      <x:c r="AA2598" s="6" t="str">
        <x:v>osm_indoor</x:v>
      </x:c>
      <x:c r="AB2598" s="6" t="str">
        <x:v>ODbL-1.0</x:v>
      </x:c>
    </x:row>
    <x:row r="2599" ht="72" customHeight="1">
      <x:c r="A2599" s="14" t="n">
        <x:v>2594</x:v>
      </x:c>
      <x:c r="B2599" s="6" t="str">
        <x:v>room_stacked</x:v>
      </x:c>
      <x:c r="C2599" s="6" t="str">
        <x:v>There's water dripping from the ceiling in Generic room -1284 (Basement 1). Which room is directly above it? Finish with a line 'Answer: &lt;room name or number&gt;'.</x:v>
      </x:c>
      <x:c r="D2599" s="6" t="str">
        <x:v>Withheld in public test data. No reference answer supplied.</x:v>
      </x:c>
      <x:c r="E2599" s="6" t="str">
        <x:v>Withheld</x:v>
      </x:c>
      <x:c r="F2599" s="6" t="str">
        <x:v>test</x:v>
      </x:c>
      <x:c r="G2599" s="6" t="str">
        <x:v>osm-way50300147</x:v>
      </x:c>
      <x:c r="H2599" s="6" t="str">
        <x:v>osm-way50300147-H04</x:v>
      </x:c>
      <x:c r="I2599" s="6" t="str">
        <x:v>Spatial relationships</x:v>
      </x:c>
      <x:c r="J2599" s="6" t="str">
        <x:v>Benchmark</x:v>
      </x:c>
      <x:c r="K2599" s="6" t="str">
        <x:v>Answer: &lt;accepted room name or ref&gt;</x:v>
      </x:c>
      <x:c r="L2599" s="6" t="str">
        <x:v>T02, T09, T14</x:v>
      </x:c>
      <x:c r="M2599" s="6" t="str">
        <x:v>Identify the room directly above or below another room.</x:v>
      </x:c>
      <x:c r="N2599" s="6"/>
      <x:c r="O2599" s="6"/>
      <x:c r="P2599" s="6" t="str">
        <x:v>Next floor above/below as stated. Greatest outline overlap. Aligned XY frame.</x:v>
      </x:c>
      <x:c r="Q2599" s="15"/>
      <x:c r="R2599" s="6"/>
      <x:c r="S2599" s="16"/>
      <x:c r="T2599" s="15"/>
      <x:c r="U2599" s="6"/>
      <x:c r="V2599" s="6"/>
      <x:c r="W2599" s="6" t="str">
        <x:v>Missing polygon-overlap and cross-floor comparison tool.</x:v>
      </x:c>
      <x:c r="X2599" s="6" t="str">
        <x:v>data/test/osm-way50300147/questions.jsonl</x:v>
      </x:c>
      <x:c r="Y2599" s="14" t="n">
        <x:v>4</x:v>
      </x:c>
      <x:c r="Z2599" s="6" t="str">
        <x:v>https://github.com/hagenhaeussler/Industrial-Agents-Hackathon-2026/blob/f41616590b69f3ea0c1cbfb41d6c35edd9ce53df/data/test/osm-way50300147/questions.jsonl#L4</x:v>
      </x:c>
      <x:c r="AA2599" s="6" t="str">
        <x:v>osm_indoor</x:v>
      </x:c>
      <x:c r="AB2599" s="6" t="str">
        <x:v>ODbL-1.0</x:v>
      </x:c>
    </x:row>
    <x:row r="2600" ht="72" customHeight="1">
      <x:c r="A2600" s="14" t="n">
        <x:v>2595</x:v>
      </x:c>
      <x:c r="B2600" s="6" t="str">
        <x:v>room_stacked</x:v>
      </x:c>
      <x:c r="C2600" s="6" t="str">
        <x:v>A washing machine is leaking onto the floor of Generic room 1271C (Floor 1). Which room directly below it will the water reach? Finish with a line 'Answer: &lt;room name or number&gt;'.</x:v>
      </x:c>
      <x:c r="D2600" s="6" t="str">
        <x:v>Withheld in public test data. No reference answer supplied.</x:v>
      </x:c>
      <x:c r="E2600" s="6" t="str">
        <x:v>Withheld</x:v>
      </x:c>
      <x:c r="F2600" s="6" t="str">
        <x:v>test</x:v>
      </x:c>
      <x:c r="G2600" s="6" t="str">
        <x:v>osm-way50300147</x:v>
      </x:c>
      <x:c r="H2600" s="6" t="str">
        <x:v>osm-way50300147-H05</x:v>
      </x:c>
      <x:c r="I2600" s="6" t="str">
        <x:v>Spatial relationships</x:v>
      </x:c>
      <x:c r="J2600" s="6" t="str">
        <x:v>Benchmark</x:v>
      </x:c>
      <x:c r="K2600" s="6" t="str">
        <x:v>Answer: &lt;accepted room name or ref&gt;</x:v>
      </x:c>
      <x:c r="L2600" s="6" t="str">
        <x:v>T02, T09, T14</x:v>
      </x:c>
      <x:c r="M2600" s="6" t="str">
        <x:v>Identify the room directly above or below another room.</x:v>
      </x:c>
      <x:c r="N2600" s="6"/>
      <x:c r="O2600" s="6"/>
      <x:c r="P2600" s="6" t="str">
        <x:v>Next floor above/below as stated. Greatest outline overlap. Aligned XY frame.</x:v>
      </x:c>
      <x:c r="Q2600" s="15"/>
      <x:c r="R2600" s="6"/>
      <x:c r="S2600" s="16"/>
      <x:c r="T2600" s="15"/>
      <x:c r="U2600" s="6"/>
      <x:c r="V2600" s="6"/>
      <x:c r="W2600" s="6" t="str">
        <x:v>Missing polygon-overlap and cross-floor comparison tool.</x:v>
      </x:c>
      <x:c r="X2600" s="6" t="str">
        <x:v>data/test/osm-way50300147/questions.jsonl</x:v>
      </x:c>
      <x:c r="Y2600" s="14" t="n">
        <x:v>5</x:v>
      </x:c>
      <x:c r="Z2600" s="6" t="str">
        <x:v>https://github.com/hagenhaeussler/Industrial-Agents-Hackathon-2026/blob/f41616590b69f3ea0c1cbfb41d6c35edd9ce53df/data/test/osm-way50300147/questions.jsonl#L5</x:v>
      </x:c>
      <x:c r="AA2600" s="6" t="str">
        <x:v>osm_indoor</x:v>
      </x:c>
      <x:c r="AB2600" s="6" t="str">
        <x:v>ODbL-1.0</x:v>
      </x:c>
    </x:row>
    <x:row r="2601" ht="72" customHeight="1">
      <x:c r="A2601" s="14" t="n">
        <x:v>2596</x:v>
      </x:c>
      <x:c r="B2601" s="6" t="str">
        <x:v>room_stacked</x:v>
      </x:c>
      <x:c r="C2601" s="6" t="str">
        <x:v>There's water dripping from the ceiling in Generic room -1216 (Basement 1). Which room is directly above it? Finish with a line 'Answer: &lt;room name or number&gt;'.</x:v>
      </x:c>
      <x:c r="D2601" s="6" t="str">
        <x:v>Withheld in public test data. No reference answer supplied.</x:v>
      </x:c>
      <x:c r="E2601" s="6" t="str">
        <x:v>Withheld</x:v>
      </x:c>
      <x:c r="F2601" s="6" t="str">
        <x:v>test</x:v>
      </x:c>
      <x:c r="G2601" s="6" t="str">
        <x:v>osm-way50300147</x:v>
      </x:c>
      <x:c r="H2601" s="6" t="str">
        <x:v>osm-way50300147-H06</x:v>
      </x:c>
      <x:c r="I2601" s="6" t="str">
        <x:v>Spatial relationships</x:v>
      </x:c>
      <x:c r="J2601" s="6" t="str">
        <x:v>Benchmark</x:v>
      </x:c>
      <x:c r="K2601" s="6" t="str">
        <x:v>Answer: &lt;accepted room name or ref&gt;</x:v>
      </x:c>
      <x:c r="L2601" s="6" t="str">
        <x:v>T02, T09, T14</x:v>
      </x:c>
      <x:c r="M2601" s="6" t="str">
        <x:v>Identify the room directly above or below another room.</x:v>
      </x:c>
      <x:c r="N2601" s="6"/>
      <x:c r="O2601" s="6"/>
      <x:c r="P2601" s="6" t="str">
        <x:v>Next floor above/below as stated. Greatest outline overlap. Aligned XY frame.</x:v>
      </x:c>
      <x:c r="Q2601" s="15"/>
      <x:c r="R2601" s="6"/>
      <x:c r="S2601" s="16"/>
      <x:c r="T2601" s="15"/>
      <x:c r="U2601" s="6"/>
      <x:c r="V2601" s="6"/>
      <x:c r="W2601" s="6" t="str">
        <x:v>Missing polygon-overlap and cross-floor comparison tool.</x:v>
      </x:c>
      <x:c r="X2601" s="6" t="str">
        <x:v>data/test/osm-way50300147/questions.jsonl</x:v>
      </x:c>
      <x:c r="Y2601" s="14" t="n">
        <x:v>6</x:v>
      </x:c>
      <x:c r="Z2601" s="6" t="str">
        <x:v>https://github.com/hagenhaeussler/Industrial-Agents-Hackathon-2026/blob/f41616590b69f3ea0c1cbfb41d6c35edd9ce53df/data/test/osm-way50300147/questions.jsonl#L6</x:v>
      </x:c>
      <x:c r="AA2601" s="6" t="str">
        <x:v>osm_indoor</x:v>
      </x:c>
      <x:c r="AB2601" s="6" t="str">
        <x:v>ODbL-1.0</x:v>
      </x:c>
    </x:row>
    <x:row r="2602" ht="82" customHeight="1">
      <x:c r="A2602" s="14" t="n">
        <x:v>2597</x:v>
      </x:c>
      <x:c r="B2602" s="6" t="str">
        <x:v>shared_walls_count</x:v>
      </x:c>
      <x:c r="C2602" s="6" t="str">
        <x:v>We're soundproofing Generic room 0129 (Ground floor). How many other rooms on that floor share a wall with it? Count every room whose wall runs along it for at least 1 m, with or without a door between them; corridors, stairwells and lifts don't count. Finish with a line 'Answer: &lt;number&gt;'.</x:v>
      </x:c>
      <x:c r="D2602" s="6" t="str">
        <x:v>5 rooms</x:v>
      </x:c>
      <x:c r="E2602" s="6" t="str">
        <x:v>Reference supplied</x:v>
      </x:c>
      <x:c r="F2602" s="6" t="str">
        <x:v>train</x:v>
      </x:c>
      <x:c r="G2602" s="6" t="str">
        <x:v>osm-way10053349</x:v>
      </x:c>
      <x:c r="H2602" s="6" t="str">
        <x:v>osm-way10053349-H02</x:v>
      </x:c>
      <x:c r="I2602" s="6" t="str">
        <x:v>Spatial relationships</x:v>
      </x:c>
      <x:c r="J2602" s="6" t="str">
        <x:v>Benchmark</x:v>
      </x:c>
      <x:c r="K2602" s="6" t="str">
        <x:v>Answer: &lt;one exact integer&gt;</x:v>
      </x:c>
      <x:c r="L2602" s="6" t="str">
        <x:v>T02, T08, T14</x:v>
      </x:c>
      <x:c r="M2602" s="6" t="str">
        <x:v>Count other rooms sharing at least 1 m of wall with a room.</x:v>
      </x:c>
      <x:c r="N2602" s="6" t="str">
        <x:v>{"type":"number","value":5,"unit":"rooms","relative_tolerance":0,"absolute_tolerance":0}</x:v>
      </x:c>
      <x:c r="O2602" s="6" t="str">
        <x:v>{"start":"osm-way10053349-F0-S013"}</x:v>
      </x:c>
      <x:c r="P2602" s="6" t="str">
        <x:v>Same floor. Other type=room spaces. &gt;=1 m wall run within 0.35 m. Door not required.</x:v>
      </x:c>
      <x:c r="Q2602" s="15" t="n">
        <x:v>5</x:v>
      </x:c>
      <x:c r="R2602" s="6" t="str">
        <x:v>rooms</x:v>
      </x:c>
      <x:c r="S2602" s="16" t="n">
        <x:v>0</x:v>
      </x:c>
      <x:c r="T2602" s="15" t="n">
        <x:v>0</x:v>
      </x:c>
      <x:c r="U2602" s="6" t="str">
        <x:v>Answer: 5</x:v>
      </x:c>
      <x:c r="V2602" s="6" t="str">
        <x:v>wall adjacency from polygons</x:v>
      </x:c>
      <x:c r="W2602" s="6" t="str">
        <x:v>Missing boundary-adjacency tool. Door connectivity does not answer this question.</x:v>
      </x:c>
      <x:c r="X2602" s="6" t="str">
        <x:v>data/train/osm-way10053349/questions.jsonl</x:v>
      </x:c>
      <x:c r="Y2602" s="14" t="n">
        <x:v>2</x:v>
      </x:c>
      <x:c r="Z2602" s="6" t="str">
        <x:v>https://github.com/hagenhaeussler/Industrial-Agents-Hackathon-2026/blob/f41616590b69f3ea0c1cbfb41d6c35edd9ce53df/data/train/osm-way10053349/questions.jsonl#L2</x:v>
      </x:c>
      <x:c r="AA2602" s="6" t="str">
        <x:v>osm_indoor</x:v>
      </x:c>
      <x:c r="AB2602" s="6" t="str">
        <x:v>ODbL-1.0</x:v>
      </x:c>
    </x:row>
    <x:row r="2603" ht="82" customHeight="1">
      <x:c r="A2603" s="14" t="n">
        <x:v>2598</x:v>
      </x:c>
      <x:c r="B2603" s="6" t="str">
        <x:v>shared_walls_count</x:v>
      </x:c>
      <x:c r="C2603" s="6" t="str">
        <x:v>We're soundproofing Passage (Ground floor). How many other rooms on that floor share a wall with it? Count every room whose wall runs along it for at least 1 m, with or without a door between them; corridors, stairwells and lifts don't count. Finish with a line 'Answer: &lt;number&gt;'.</x:v>
      </x:c>
      <x:c r="D2603" s="6" t="str">
        <x:v>5 rooms</x:v>
      </x:c>
      <x:c r="E2603" s="6" t="str">
        <x:v>Reference supplied</x:v>
      </x:c>
      <x:c r="F2603" s="6" t="str">
        <x:v>train</x:v>
      </x:c>
      <x:c r="G2603" s="6" t="str">
        <x:v>osm-way13507441</x:v>
      </x:c>
      <x:c r="H2603" s="6" t="str">
        <x:v>osm-way13507441-H07</x:v>
      </x:c>
      <x:c r="I2603" s="6" t="str">
        <x:v>Spatial relationships</x:v>
      </x:c>
      <x:c r="J2603" s="6" t="str">
        <x:v>Benchmark</x:v>
      </x:c>
      <x:c r="K2603" s="6" t="str">
        <x:v>Answer: &lt;one exact integer&gt;</x:v>
      </x:c>
      <x:c r="L2603" s="6" t="str">
        <x:v>T02, T08, T14</x:v>
      </x:c>
      <x:c r="M2603" s="6" t="str">
        <x:v>Count other rooms sharing at least 1 m of wall with a room.</x:v>
      </x:c>
      <x:c r="N2603" s="6" t="str">
        <x:v>{"type":"number","value":5,"unit":"rooms","relative_tolerance":0,"absolute_tolerance":0}</x:v>
      </x:c>
      <x:c r="O2603" s="6" t="str">
        <x:v>{"start":"osm-way13507441-F0-S018"}</x:v>
      </x:c>
      <x:c r="P2603" s="6" t="str">
        <x:v>Same floor. Other type=room spaces. &gt;=1 m wall run within 0.35 m. Door not required.</x:v>
      </x:c>
      <x:c r="Q2603" s="15" t="n">
        <x:v>5</x:v>
      </x:c>
      <x:c r="R2603" s="6" t="str">
        <x:v>rooms</x:v>
      </x:c>
      <x:c r="S2603" s="16" t="n">
        <x:v>0</x:v>
      </x:c>
      <x:c r="T2603" s="15" t="n">
        <x:v>0</x:v>
      </x:c>
      <x:c r="U2603" s="6" t="str">
        <x:v>Answer: 5</x:v>
      </x:c>
      <x:c r="V2603" s="6" t="str">
        <x:v>wall adjacency from polygons</x:v>
      </x:c>
      <x:c r="W2603" s="6" t="str">
        <x:v>Missing boundary-adjacency tool. Door connectivity does not answer this question.</x:v>
      </x:c>
      <x:c r="X2603" s="6" t="str">
        <x:v>data/train/osm-way13507441/questions.jsonl</x:v>
      </x:c>
      <x:c r="Y2603" s="14" t="n">
        <x:v>7</x:v>
      </x:c>
      <x:c r="Z2603" s="6" t="str">
        <x:v>https://github.com/hagenhaeussler/Industrial-Agents-Hackathon-2026/blob/f41616590b69f3ea0c1cbfb41d6c35edd9ce53df/data/train/osm-way13507441/questions.jsonl#L7</x:v>
      </x:c>
      <x:c r="AA2603" s="6" t="str">
        <x:v>osm_indoor</x:v>
      </x:c>
      <x:c r="AB2603" s="6" t="str">
        <x:v>ODbL-1.0</x:v>
      </x:c>
    </x:row>
    <x:row r="2604" ht="82" customHeight="1">
      <x:c r="A2604" s="14" t="n">
        <x:v>2599</x:v>
      </x:c>
      <x:c r="B2604" s="6" t="str">
        <x:v>shared_walls_count</x:v>
      </x:c>
      <x:c r="C2604" s="6" t="str">
        <x:v>We're soundproofing Generic room 0.57 (Ground floor). How many other rooms on that floor share a wall with it? Count every room whose wall runs along it for at least 1 m, with or without a door between them; corridors, stairwells and lifts don't count. Finish with a line 'Answer: &lt;number&gt;'.</x:v>
      </x:c>
      <x:c r="D2604" s="6" t="str">
        <x:v>5 rooms</x:v>
      </x:c>
      <x:c r="E2604" s="6" t="str">
        <x:v>Reference supplied</x:v>
      </x:c>
      <x:c r="F2604" s="6" t="str">
        <x:v>train</x:v>
      </x:c>
      <x:c r="G2604" s="6" t="str">
        <x:v>osm-way19183732</x:v>
      </x:c>
      <x:c r="H2604" s="6" t="str">
        <x:v>osm-way19183732-H02</x:v>
      </x:c>
      <x:c r="I2604" s="6" t="str">
        <x:v>Spatial relationships</x:v>
      </x:c>
      <x:c r="J2604" s="6" t="str">
        <x:v>Benchmark</x:v>
      </x:c>
      <x:c r="K2604" s="6" t="str">
        <x:v>Answer: &lt;one exact integer&gt;</x:v>
      </x:c>
      <x:c r="L2604" s="6" t="str">
        <x:v>T02, T08, T14</x:v>
      </x:c>
      <x:c r="M2604" s="6" t="str">
        <x:v>Count other rooms sharing at least 1 m of wall with a room.</x:v>
      </x:c>
      <x:c r="N2604" s="6" t="str">
        <x:v>{"type":"number","value":5,"unit":"rooms","relative_tolerance":0,"absolute_tolerance":0}</x:v>
      </x:c>
      <x:c r="O2604" s="6" t="str">
        <x:v>{"start":"osm-way19183732-F0-S057"}</x:v>
      </x:c>
      <x:c r="P2604" s="6" t="str">
        <x:v>Same floor. Other type=room spaces. &gt;=1 m wall run within 0.35 m. Door not required.</x:v>
      </x:c>
      <x:c r="Q2604" s="15" t="n">
        <x:v>5</x:v>
      </x:c>
      <x:c r="R2604" s="6" t="str">
        <x:v>rooms</x:v>
      </x:c>
      <x:c r="S2604" s="16" t="n">
        <x:v>0</x:v>
      </x:c>
      <x:c r="T2604" s="15" t="n">
        <x:v>0</x:v>
      </x:c>
      <x:c r="U2604" s="6" t="str">
        <x:v>Answer: 5</x:v>
      </x:c>
      <x:c r="V2604" s="6" t="str">
        <x:v>wall adjacency from polygons</x:v>
      </x:c>
      <x:c r="W2604" s="6" t="str">
        <x:v>Missing boundary-adjacency tool. Door connectivity does not answer this question.</x:v>
      </x:c>
      <x:c r="X2604" s="6" t="str">
        <x:v>data/train/osm-way19183732/questions.jsonl</x:v>
      </x:c>
      <x:c r="Y2604" s="14" t="n">
        <x:v>2</x:v>
      </x:c>
      <x:c r="Z2604" s="6" t="str">
        <x:v>https://github.com/hagenhaeussler/Industrial-Agents-Hackathon-2026/blob/f41616590b69f3ea0c1cbfb41d6c35edd9ce53df/data/train/osm-way19183732/questions.jsonl#L2</x:v>
      </x:c>
      <x:c r="AA2604" s="6" t="str">
        <x:v>osm_indoor</x:v>
      </x:c>
      <x:c r="AB2604" s="6" t="str">
        <x:v>ODbL-1.0</x:v>
      </x:c>
    </x:row>
    <x:row r="2605" ht="72" customHeight="1">
      <x:c r="A2605" s="14" t="n">
        <x:v>2600</x:v>
      </x:c>
      <x:c r="B2605" s="6" t="str">
        <x:v>shared_walls_count</x:v>
      </x:c>
      <x:c r="C2605" s="6" t="str">
        <x:v>We're soundproofing Büro (Floor 1). How many other rooms on that floor share a wall with it? Count every room whose wall runs along it for at least 1 m, with or without a door between them; corridors, stairwells and lifts don't count. Finish with a line 'Answer: &lt;number&gt;'.</x:v>
      </x:c>
      <x:c r="D2605" s="6" t="str">
        <x:v>3 rooms</x:v>
      </x:c>
      <x:c r="E2605" s="6" t="str">
        <x:v>Reference supplied</x:v>
      </x:c>
      <x:c r="F2605" s="6" t="str">
        <x:v>train</x:v>
      </x:c>
      <x:c r="G2605" s="6" t="str">
        <x:v>osm-way37850565</x:v>
      </x:c>
      <x:c r="H2605" s="6" t="str">
        <x:v>osm-way37850565-H04</x:v>
      </x:c>
      <x:c r="I2605" s="6" t="str">
        <x:v>Spatial relationships</x:v>
      </x:c>
      <x:c r="J2605" s="6" t="str">
        <x:v>Benchmark</x:v>
      </x:c>
      <x:c r="K2605" s="6" t="str">
        <x:v>Answer: &lt;one exact integer&gt;</x:v>
      </x:c>
      <x:c r="L2605" s="6" t="str">
        <x:v>T02, T08, T14</x:v>
      </x:c>
      <x:c r="M2605" s="6" t="str">
        <x:v>Count other rooms sharing at least 1 m of wall with a room.</x:v>
      </x:c>
      <x:c r="N2605" s="6" t="str">
        <x:v>{"type":"number","value":3,"unit":"rooms","relative_tolerance":0,"absolute_tolerance":0}</x:v>
      </x:c>
      <x:c r="O2605" s="6" t="str">
        <x:v>{"start":"osm-way37850565-F1-S010"}</x:v>
      </x:c>
      <x:c r="P2605" s="6" t="str">
        <x:v>Same floor. Other type=room spaces. &gt;=1 m wall run within 0.35 m. Door not required.</x:v>
      </x:c>
      <x:c r="Q2605" s="15" t="n">
        <x:v>3</x:v>
      </x:c>
      <x:c r="R2605" s="6" t="str">
        <x:v>rooms</x:v>
      </x:c>
      <x:c r="S2605" s="16" t="n">
        <x:v>0</x:v>
      </x:c>
      <x:c r="T2605" s="15" t="n">
        <x:v>0</x:v>
      </x:c>
      <x:c r="U2605" s="6" t="str">
        <x:v>Answer: 3</x:v>
      </x:c>
      <x:c r="V2605" s="6" t="str">
        <x:v>wall adjacency from polygons</x:v>
      </x:c>
      <x:c r="W2605" s="6" t="str">
        <x:v>Missing boundary-adjacency tool. Door connectivity does not answer this question.</x:v>
      </x:c>
      <x:c r="X2605" s="6" t="str">
        <x:v>data/train/osm-way37850565/questions.jsonl</x:v>
      </x:c>
      <x:c r="Y2605" s="14" t="n">
        <x:v>4</x:v>
      </x:c>
      <x:c r="Z2605" s="6" t="str">
        <x:v>https://github.com/hagenhaeussler/Industrial-Agents-Hackathon-2026/blob/f41616590b69f3ea0c1cbfb41d6c35edd9ce53df/data/train/osm-way37850565/questions.jsonl#L4</x:v>
      </x:c>
      <x:c r="AA2605" s="6" t="str">
        <x:v>osm_indoor</x:v>
      </x:c>
      <x:c r="AB2605" s="6" t="str">
        <x:v>ODbL-1.0</x:v>
      </x:c>
    </x:row>
    <x:row r="2606" ht="72" customHeight="1">
      <x:c r="A2606" s="14" t="n">
        <x:v>2601</x:v>
      </x:c>
      <x:c r="B2606" s="6" t="str">
        <x:v>shared_walls_count</x:v>
      </x:c>
      <x:c r="C2606" s="6" t="str">
        <x:v>We're soundproofing Lobby 3.398 (Floor 4). How many other rooms on that floor share a wall with it? Count every room whose wall runs along it for at least 1 m, with or without a door between them; corridors, stairwells and lifts don't count. Finish with a line 'Answer: &lt;number&gt;'.</x:v>
      </x:c>
      <x:c r="D2606" s="6" t="str">
        <x:v>4 rooms</x:v>
      </x:c>
      <x:c r="E2606" s="6" t="str">
        <x:v>Reference supplied</x:v>
      </x:c>
      <x:c r="F2606" s="6" t="str">
        <x:v>train</x:v>
      </x:c>
      <x:c r="G2606" s="6" t="str">
        <x:v>osm-way476929995</x:v>
      </x:c>
      <x:c r="H2606" s="6" t="str">
        <x:v>osm-way476929995-H06</x:v>
      </x:c>
      <x:c r="I2606" s="6" t="str">
        <x:v>Spatial relationships</x:v>
      </x:c>
      <x:c r="J2606" s="6" t="str">
        <x:v>Benchmark</x:v>
      </x:c>
      <x:c r="K2606" s="6" t="str">
        <x:v>Answer: &lt;one exact integer&gt;</x:v>
      </x:c>
      <x:c r="L2606" s="6" t="str">
        <x:v>T02, T08, T14</x:v>
      </x:c>
      <x:c r="M2606" s="6" t="str">
        <x:v>Count other rooms sharing at least 1 m of wall with a room.</x:v>
      </x:c>
      <x:c r="N2606" s="6" t="str">
        <x:v>{"type":"number","value":4,"unit":"rooms","relative_tolerance":0,"absolute_tolerance":0}</x:v>
      </x:c>
      <x:c r="O2606" s="6" t="str">
        <x:v>{"start":"osm-way476929995-F4-S009"}</x:v>
      </x:c>
      <x:c r="P2606" s="6" t="str">
        <x:v>Same floor. Other type=room spaces. &gt;=1 m wall run within 0.35 m. Door not required.</x:v>
      </x:c>
      <x:c r="Q2606" s="15" t="n">
        <x:v>4</x:v>
      </x:c>
      <x:c r="R2606" s="6" t="str">
        <x:v>rooms</x:v>
      </x:c>
      <x:c r="S2606" s="16" t="n">
        <x:v>0</x:v>
      </x:c>
      <x:c r="T2606" s="15" t="n">
        <x:v>0</x:v>
      </x:c>
      <x:c r="U2606" s="6" t="str">
        <x:v>Answer: 4</x:v>
      </x:c>
      <x:c r="V2606" s="6" t="str">
        <x:v>wall adjacency from polygons</x:v>
      </x:c>
      <x:c r="W2606" s="6" t="str">
        <x:v>Missing boundary-adjacency tool. Door connectivity does not answer this question.</x:v>
      </x:c>
      <x:c r="X2606" s="6" t="str">
        <x:v>data/train/osm-way476929995/questions.jsonl</x:v>
      </x:c>
      <x:c r="Y2606" s="14" t="n">
        <x:v>5</x:v>
      </x:c>
      <x:c r="Z2606" s="6" t="str">
        <x:v>https://github.com/hagenhaeussler/Industrial-Agents-Hackathon-2026/blob/f41616590b69f3ea0c1cbfb41d6c35edd9ce53df/data/train/osm-way476929995/questions.jsonl#L5</x:v>
      </x:c>
      <x:c r="AA2606" s="6" t="str">
        <x:v>osm_indoor</x:v>
      </x:c>
      <x:c r="AB2606" s="6" t="str">
        <x:v>ODbL-1.0</x:v>
      </x:c>
    </x:row>
    <x:row r="2607" ht="82" customHeight="1">
      <x:c r="A2607" s="14" t="n">
        <x:v>2602</x:v>
      </x:c>
      <x:c r="B2607" s="6" t="str">
        <x:v>shared_walls_count</x:v>
      </x:c>
      <x:c r="C2607" s="6" t="str">
        <x:v>We're soundproofing Generic room -1406 (Basement 1). How many other rooms on that floor share a wall with it? Count every room whose wall runs along it for at least 1 m, with or without a door between them; corridors, stairwells and lifts don't count. Finish with a line 'Answer: &lt;number&gt;'.</x:v>
      </x:c>
      <x:c r="D2607" s="6" t="str">
        <x:v>4 rooms</x:v>
      </x:c>
      <x:c r="E2607" s="6" t="str">
        <x:v>Reference supplied</x:v>
      </x:c>
      <x:c r="F2607" s="6" t="str">
        <x:v>train</x:v>
      </x:c>
      <x:c r="G2607" s="6" t="str">
        <x:v>osm-way50299720</x:v>
      </x:c>
      <x:c r="H2607" s="6" t="str">
        <x:v>osm-way50299720-H07</x:v>
      </x:c>
      <x:c r="I2607" s="6" t="str">
        <x:v>Spatial relationships</x:v>
      </x:c>
      <x:c r="J2607" s="6" t="str">
        <x:v>Benchmark</x:v>
      </x:c>
      <x:c r="K2607" s="6" t="str">
        <x:v>Answer: &lt;one exact integer&gt;</x:v>
      </x:c>
      <x:c r="L2607" s="6" t="str">
        <x:v>T02, T08, T14</x:v>
      </x:c>
      <x:c r="M2607" s="6" t="str">
        <x:v>Count other rooms sharing at least 1 m of wall with a room.</x:v>
      </x:c>
      <x:c r="N2607" s="6" t="str">
        <x:v>{"type":"number","value":4,"unit":"rooms","relative_tolerance":0,"absolute_tolerance":0}</x:v>
      </x:c>
      <x:c r="O2607" s="6" t="str">
        <x:v>{"start":"osm-way50299720-F-1-S030"}</x:v>
      </x:c>
      <x:c r="P2607" s="6" t="str">
        <x:v>Same floor. Other type=room spaces. &gt;=1 m wall run within 0.35 m. Door not required.</x:v>
      </x:c>
      <x:c r="Q2607" s="15" t="n">
        <x:v>4</x:v>
      </x:c>
      <x:c r="R2607" s="6" t="str">
        <x:v>rooms</x:v>
      </x:c>
      <x:c r="S2607" s="16" t="n">
        <x:v>0</x:v>
      </x:c>
      <x:c r="T2607" s="15" t="n">
        <x:v>0</x:v>
      </x:c>
      <x:c r="U2607" s="6" t="str">
        <x:v>Answer: 4</x:v>
      </x:c>
      <x:c r="V2607" s="6" t="str">
        <x:v>wall adjacency from polygons</x:v>
      </x:c>
      <x:c r="W2607" s="6" t="str">
        <x:v>Missing boundary-adjacency tool. Door connectivity does not answer this question.</x:v>
      </x:c>
      <x:c r="X2607" s="6" t="str">
        <x:v>data/train/osm-way50299720/questions.jsonl</x:v>
      </x:c>
      <x:c r="Y2607" s="14" t="n">
        <x:v>7</x:v>
      </x:c>
      <x:c r="Z2607" s="6" t="str">
        <x:v>https://github.com/hagenhaeussler/Industrial-Agents-Hackathon-2026/blob/f41616590b69f3ea0c1cbfb41d6c35edd9ce53df/data/train/osm-way50299720/questions.jsonl#L7</x:v>
      </x:c>
      <x:c r="AA2607" s="6" t="str">
        <x:v>osm_indoor</x:v>
      </x:c>
      <x:c r="AB2607" s="6" t="str">
        <x:v>ODbL-1.0</x:v>
      </x:c>
    </x:row>
    <x:row r="2608" ht="82" customHeight="1">
      <x:c r="A2608" s="14" t="n">
        <x:v>2603</x:v>
      </x:c>
      <x:c r="B2608" s="6" t="str">
        <x:v>shared_walls_count</x:v>
      </x:c>
      <x:c r="C2608" s="6" t="str">
        <x:v>We're soundproofing Generic room N2148A (Floor 2). How many other rooms on that floor share a wall with it? Count every room whose wall runs along it for at least 1 m, with or without a door between them; corridors, stairwells and lifts don't count. Finish with a line 'Answer: &lt;number&gt;'.</x:v>
      </x:c>
      <x:c r="D2608" s="6" t="str">
        <x:v>9 rooms</x:v>
      </x:c>
      <x:c r="E2608" s="6" t="str">
        <x:v>Reference supplied</x:v>
      </x:c>
      <x:c r="F2608" s="6" t="str">
        <x:v>train</x:v>
      </x:c>
      <x:c r="G2608" s="6" t="str">
        <x:v>osm-way58216509</x:v>
      </x:c>
      <x:c r="H2608" s="6" t="str">
        <x:v>osm-way58216509-H05</x:v>
      </x:c>
      <x:c r="I2608" s="6" t="str">
        <x:v>Spatial relationships</x:v>
      </x:c>
      <x:c r="J2608" s="6" t="str">
        <x:v>Benchmark</x:v>
      </x:c>
      <x:c r="K2608" s="6" t="str">
        <x:v>Answer: &lt;one exact integer&gt;</x:v>
      </x:c>
      <x:c r="L2608" s="6" t="str">
        <x:v>T02, T08, T14</x:v>
      </x:c>
      <x:c r="M2608" s="6" t="str">
        <x:v>Count other rooms sharing at least 1 m of wall with a room.</x:v>
      </x:c>
      <x:c r="N2608" s="6" t="str">
        <x:v>{"type":"number","value":9,"unit":"rooms","relative_tolerance":0,"absolute_tolerance":0}</x:v>
      </x:c>
      <x:c r="O2608" s="6" t="str">
        <x:v>{"start":"osm-way58216509-F2-S167"}</x:v>
      </x:c>
      <x:c r="P2608" s="6" t="str">
        <x:v>Same floor. Other type=room spaces. &gt;=1 m wall run within 0.35 m. Door not required.</x:v>
      </x:c>
      <x:c r="Q2608" s="15" t="n">
        <x:v>9</x:v>
      </x:c>
      <x:c r="R2608" s="6" t="str">
        <x:v>rooms</x:v>
      </x:c>
      <x:c r="S2608" s="16" t="n">
        <x:v>0</x:v>
      </x:c>
      <x:c r="T2608" s="15" t="n">
        <x:v>0</x:v>
      </x:c>
      <x:c r="U2608" s="6" t="str">
        <x:v>Answer: 9</x:v>
      </x:c>
      <x:c r="V2608" s="6" t="str">
        <x:v>wall adjacency from polygons</x:v>
      </x:c>
      <x:c r="W2608" s="6" t="str">
        <x:v>Missing boundary-adjacency tool. Door connectivity does not answer this question.</x:v>
      </x:c>
      <x:c r="X2608" s="6" t="str">
        <x:v>data/train/osm-way58216509/questions.jsonl</x:v>
      </x:c>
      <x:c r="Y2608" s="14" t="n">
        <x:v>5</x:v>
      </x:c>
      <x:c r="Z2608" s="6" t="str">
        <x:v>https://github.com/hagenhaeussler/Industrial-Agents-Hackathon-2026/blob/f41616590b69f3ea0c1cbfb41d6c35edd9ce53df/data/train/osm-way58216509/questions.jsonl#L5</x:v>
      </x:c>
      <x:c r="AA2608" s="6" t="str">
        <x:v>osm_indoor</x:v>
      </x:c>
      <x:c r="AB2608" s="6" t="str">
        <x:v>ODbL-1.0</x:v>
      </x:c>
    </x:row>
    <x:row r="2609" ht="72" customHeight="1">
      <x:c r="A2609" s="14" t="n">
        <x:v>2604</x:v>
      </x:c>
      <x:c r="B2609" s="6" t="str">
        <x:v>shared_walls_count</x:v>
      </x:c>
      <x:c r="C2609" s="6" t="str">
        <x:v>We're soundproofing Toilet 1364 (Floor 1). How many other rooms on that floor share a wall with it? Count every room whose wall runs along it for at least 1 m, with or without a door between them; corridors, stairwells and lifts don't count. Finish with a line 'Answer: &lt;number&gt;'.</x:v>
      </x:c>
      <x:c r="D2609" s="6" t="str">
        <x:v>5 rooms</x:v>
      </x:c>
      <x:c r="E2609" s="6" t="str">
        <x:v>Reference supplied</x:v>
      </x:c>
      <x:c r="F2609" s="6" t="str">
        <x:v>train</x:v>
      </x:c>
      <x:c r="G2609" s="6" t="str">
        <x:v>osm-way61408163</x:v>
      </x:c>
      <x:c r="H2609" s="6" t="str">
        <x:v>osm-way61408163-H07</x:v>
      </x:c>
      <x:c r="I2609" s="6" t="str">
        <x:v>Spatial relationships</x:v>
      </x:c>
      <x:c r="J2609" s="6" t="str">
        <x:v>Benchmark</x:v>
      </x:c>
      <x:c r="K2609" s="6" t="str">
        <x:v>Answer: &lt;one exact integer&gt;</x:v>
      </x:c>
      <x:c r="L2609" s="6" t="str">
        <x:v>T02, T08, T14</x:v>
      </x:c>
      <x:c r="M2609" s="6" t="str">
        <x:v>Count other rooms sharing at least 1 m of wall with a room.</x:v>
      </x:c>
      <x:c r="N2609" s="6" t="str">
        <x:v>{"type":"number","value":5,"unit":"rooms","relative_tolerance":0,"absolute_tolerance":0}</x:v>
      </x:c>
      <x:c r="O2609" s="6" t="str">
        <x:v>{"start":"osm-way61408163-F1-S003"}</x:v>
      </x:c>
      <x:c r="P2609" s="6" t="str">
        <x:v>Same floor. Other type=room spaces. &gt;=1 m wall run within 0.35 m. Door not required.</x:v>
      </x:c>
      <x:c r="Q2609" s="15" t="n">
        <x:v>5</x:v>
      </x:c>
      <x:c r="R2609" s="6" t="str">
        <x:v>rooms</x:v>
      </x:c>
      <x:c r="S2609" s="16" t="n">
        <x:v>0</x:v>
      </x:c>
      <x:c r="T2609" s="15" t="n">
        <x:v>0</x:v>
      </x:c>
      <x:c r="U2609" s="6" t="str">
        <x:v>Answer: 5</x:v>
      </x:c>
      <x:c r="V2609" s="6" t="str">
        <x:v>wall adjacency from polygons</x:v>
      </x:c>
      <x:c r="W2609" s="6" t="str">
        <x:v>Missing boundary-adjacency tool. Door connectivity does not answer this question.</x:v>
      </x:c>
      <x:c r="X2609" s="6" t="str">
        <x:v>data/train/osm-way61408163/questions.jsonl</x:v>
      </x:c>
      <x:c r="Y2609" s="14" t="n">
        <x:v>7</x:v>
      </x:c>
      <x:c r="Z2609" s="6" t="str">
        <x:v>https://github.com/hagenhaeussler/Industrial-Agents-Hackathon-2026/blob/f41616590b69f3ea0c1cbfb41d6c35edd9ce53df/data/train/osm-way61408163/questions.jsonl#L7</x:v>
      </x:c>
      <x:c r="AA2609" s="6" t="str">
        <x:v>osm_indoor</x:v>
      </x:c>
      <x:c r="AB2609" s="6" t="str">
        <x:v>ODbL-1.0</x:v>
      </x:c>
    </x:row>
    <x:row r="2610" ht="82" customHeight="1">
      <x:c r="A2610" s="14" t="n">
        <x:v>2605</x:v>
      </x:c>
      <x:c r="B2610" s="6" t="str">
        <x:v>shared_walls_count</x:v>
      </x:c>
      <x:c r="C2610" s="6" t="str">
        <x:v>We're soundproofing Warehouse zone H-A2 (Ground floor). How many other rooms on that floor share a wall with it? Count every room whose wall runs along it for at least 1 m, with or without a door between them; corridors, stairwells and lifts don't count. Finish with a line 'Answer: &lt;number&gt;'.</x:v>
      </x:c>
      <x:c r="D2610" s="6" t="str">
        <x:v>7 rooms</x:v>
      </x:c>
      <x:c r="E2610" s="6" t="str">
        <x:v>Reference supplied</x:v>
      </x:c>
      <x:c r="F2610" s="6" t="str">
        <x:v>train</x:v>
      </x:c>
      <x:c r="G2610" s="6" t="str">
        <x:v>proc-factory-train-005</x:v>
      </x:c>
      <x:c r="H2610" s="6" t="str">
        <x:v>proc-factory-train-005-H05</x:v>
      </x:c>
      <x:c r="I2610" s="6" t="str">
        <x:v>Spatial relationships</x:v>
      </x:c>
      <x:c r="J2610" s="6" t="str">
        <x:v>Benchmark</x:v>
      </x:c>
      <x:c r="K2610" s="6" t="str">
        <x:v>Answer: &lt;one exact integer&gt;</x:v>
      </x:c>
      <x:c r="L2610" s="6" t="str">
        <x:v>T02, T08, T14</x:v>
      </x:c>
      <x:c r="M2610" s="6" t="str">
        <x:v>Count other rooms sharing at least 1 m of wall with a room.</x:v>
      </x:c>
      <x:c r="N2610" s="6" t="str">
        <x:v>{"type":"number","value":7,"unit":"rooms","relative_tolerance":0,"absolute_tolerance":0}</x:v>
      </x:c>
      <x:c r="O2610" s="6" t="str">
        <x:v>{"start":"proc-factory-train-005-F0-S002"}</x:v>
      </x:c>
      <x:c r="P2610" s="6" t="str">
        <x:v>Same floor. Other type=room spaces. &gt;=1 m wall run within 0.35 m. Door not required.</x:v>
      </x:c>
      <x:c r="Q2610" s="15" t="n">
        <x:v>7</x:v>
      </x:c>
      <x:c r="R2610" s="6" t="str">
        <x:v>rooms</x:v>
      </x:c>
      <x:c r="S2610" s="16" t="n">
        <x:v>0</x:v>
      </x:c>
      <x:c r="T2610" s="15" t="n">
        <x:v>0</x:v>
      </x:c>
      <x:c r="U2610" s="6" t="str">
        <x:v>Answer: 7</x:v>
      </x:c>
      <x:c r="V2610" s="6" t="str">
        <x:v>wall adjacency from polygons</x:v>
      </x:c>
      <x:c r="W2610" s="6" t="str">
        <x:v>Missing boundary-adjacency tool. Door connectivity does not answer this question.</x:v>
      </x:c>
      <x:c r="X2610" s="6" t="str">
        <x:v>data/train/proc-factory-train-005/questions.jsonl</x:v>
      </x:c>
      <x:c r="Y2610" s="14" t="n">
        <x:v>5</x:v>
      </x:c>
      <x:c r="Z2610" s="6" t="str">
        <x:v>https://github.com/hagenhaeussler/Industrial-Agents-Hackathon-2026/blob/f41616590b69f3ea0c1cbfb41d6c35edd9ce53df/data/train/proc-factory-train-005/questions.jsonl#L5</x:v>
      </x:c>
      <x:c r="AA2610" s="6" t="str">
        <x:v>procedural</x:v>
      </x:c>
      <x:c r="AB2610" s="6" t="str">
        <x:v>CC0-1.0</x:v>
      </x:c>
    </x:row>
    <x:row r="2611" ht="82" customHeight="1">
      <x:c r="A2611" s="14" t="n">
        <x:v>2606</x:v>
      </x:c>
      <x:c r="B2611" s="6" t="str">
        <x:v>shared_walls_count</x:v>
      </x:c>
      <x:c r="C2611" s="6" t="str">
        <x:v>We're soundproofing Assembly zone H-A2 (Ground floor). How many other rooms on that floor share a wall with it? Count every room whose wall runs along it for at least 1 m, with or without a door between them; corridors, stairwells and lifts don't count. Finish with a line 'Answer: &lt;number&gt;'.</x:v>
      </x:c>
      <x:c r="D2611" s="6" t="str">
        <x:v>6 rooms</x:v>
      </x:c>
      <x:c r="E2611" s="6" t="str">
        <x:v>Reference supplied</x:v>
      </x:c>
      <x:c r="F2611" s="6" t="str">
        <x:v>train</x:v>
      </x:c>
      <x:c r="G2611" s="6" t="str">
        <x:v>proc-factory-train-006</x:v>
      </x:c>
      <x:c r="H2611" s="6" t="str">
        <x:v>proc-factory-train-006-H05</x:v>
      </x:c>
      <x:c r="I2611" s="6" t="str">
        <x:v>Spatial relationships</x:v>
      </x:c>
      <x:c r="J2611" s="6" t="str">
        <x:v>Benchmark</x:v>
      </x:c>
      <x:c r="K2611" s="6" t="str">
        <x:v>Answer: &lt;one exact integer&gt;</x:v>
      </x:c>
      <x:c r="L2611" s="6" t="str">
        <x:v>T02, T08, T14</x:v>
      </x:c>
      <x:c r="M2611" s="6" t="str">
        <x:v>Count other rooms sharing at least 1 m of wall with a room.</x:v>
      </x:c>
      <x:c r="N2611" s="6" t="str">
        <x:v>{"type":"number","value":6,"unit":"rooms","relative_tolerance":0,"absolute_tolerance":0}</x:v>
      </x:c>
      <x:c r="O2611" s="6" t="str">
        <x:v>{"start":"proc-factory-train-006-F0-S002"}</x:v>
      </x:c>
      <x:c r="P2611" s="6" t="str">
        <x:v>Same floor. Other type=room spaces. &gt;=1 m wall run within 0.35 m. Door not required.</x:v>
      </x:c>
      <x:c r="Q2611" s="15" t="n">
        <x:v>6</x:v>
      </x:c>
      <x:c r="R2611" s="6" t="str">
        <x:v>rooms</x:v>
      </x:c>
      <x:c r="S2611" s="16" t="n">
        <x:v>0</x:v>
      </x:c>
      <x:c r="T2611" s="15" t="n">
        <x:v>0</x:v>
      </x:c>
      <x:c r="U2611" s="6" t="str">
        <x:v>Answer: 6</x:v>
      </x:c>
      <x:c r="V2611" s="6" t="str">
        <x:v>wall adjacency from polygons</x:v>
      </x:c>
      <x:c r="W2611" s="6" t="str">
        <x:v>Missing boundary-adjacency tool. Door connectivity does not answer this question.</x:v>
      </x:c>
      <x:c r="X2611" s="6" t="str">
        <x:v>data/train/proc-factory-train-006/questions.jsonl</x:v>
      </x:c>
      <x:c r="Y2611" s="14" t="n">
        <x:v>5</x:v>
      </x:c>
      <x:c r="Z2611" s="6" t="str">
        <x:v>https://github.com/hagenhaeussler/Industrial-Agents-Hackathon-2026/blob/f41616590b69f3ea0c1cbfb41d6c35edd9ce53df/data/train/proc-factory-train-006/questions.jsonl#L5</x:v>
      </x:c>
      <x:c r="AA2611" s="6" t="str">
        <x:v>procedural</x:v>
      </x:c>
      <x:c r="AB2611" s="6" t="str">
        <x:v>CC0-1.0</x:v>
      </x:c>
    </x:row>
    <x:row r="2612" ht="82" customHeight="1">
      <x:c r="A2612" s="14" t="n">
        <x:v>2607</x:v>
      </x:c>
      <x:c r="B2612" s="6" t="str">
        <x:v>shared_walls_count</x:v>
      </x:c>
      <x:c r="C2612" s="6" t="str">
        <x:v>We're soundproofing Assembly zone H-A3 (Ground floor). How many other rooms on that floor share a wall with it? Count every room whose wall runs along it for at least 1 m, with or without a door between them; corridors, stairwells and lifts don't count. Finish with a line 'Answer: &lt;number&gt;'.</x:v>
      </x:c>
      <x:c r="D2612" s="6" t="str">
        <x:v>6 rooms</x:v>
      </x:c>
      <x:c r="E2612" s="6" t="str">
        <x:v>Reference supplied</x:v>
      </x:c>
      <x:c r="F2612" s="6" t="str">
        <x:v>train</x:v>
      </x:c>
      <x:c r="G2612" s="6" t="str">
        <x:v>proc-factory-train-007</x:v>
      </x:c>
      <x:c r="H2612" s="6" t="str">
        <x:v>proc-factory-train-007-H05</x:v>
      </x:c>
      <x:c r="I2612" s="6" t="str">
        <x:v>Spatial relationships</x:v>
      </x:c>
      <x:c r="J2612" s="6" t="str">
        <x:v>Benchmark</x:v>
      </x:c>
      <x:c r="K2612" s="6" t="str">
        <x:v>Answer: &lt;one exact integer&gt;</x:v>
      </x:c>
      <x:c r="L2612" s="6" t="str">
        <x:v>T02, T08, T14</x:v>
      </x:c>
      <x:c r="M2612" s="6" t="str">
        <x:v>Count other rooms sharing at least 1 m of wall with a room.</x:v>
      </x:c>
      <x:c r="N2612" s="6" t="str">
        <x:v>{"type":"number","value":6,"unit":"rooms","relative_tolerance":0,"absolute_tolerance":0}</x:v>
      </x:c>
      <x:c r="O2612" s="6" t="str">
        <x:v>{"start":"proc-factory-train-007-F0-S003"}</x:v>
      </x:c>
      <x:c r="P2612" s="6" t="str">
        <x:v>Same floor. Other type=room spaces. &gt;=1 m wall run within 0.35 m. Door not required.</x:v>
      </x:c>
      <x:c r="Q2612" s="15" t="n">
        <x:v>6</x:v>
      </x:c>
      <x:c r="R2612" s="6" t="str">
        <x:v>rooms</x:v>
      </x:c>
      <x:c r="S2612" s="16" t="n">
        <x:v>0</x:v>
      </x:c>
      <x:c r="T2612" s="15" t="n">
        <x:v>0</x:v>
      </x:c>
      <x:c r="U2612" s="6" t="str">
        <x:v>Answer: 6</x:v>
      </x:c>
      <x:c r="V2612" s="6" t="str">
        <x:v>wall adjacency from polygons</x:v>
      </x:c>
      <x:c r="W2612" s="6" t="str">
        <x:v>Missing boundary-adjacency tool. Door connectivity does not answer this question.</x:v>
      </x:c>
      <x:c r="X2612" s="6" t="str">
        <x:v>data/train/proc-factory-train-007/questions.jsonl</x:v>
      </x:c>
      <x:c r="Y2612" s="14" t="n">
        <x:v>5</x:v>
      </x:c>
      <x:c r="Z2612" s="6" t="str">
        <x:v>https://github.com/hagenhaeussler/Industrial-Agents-Hackathon-2026/blob/f41616590b69f3ea0c1cbfb41d6c35edd9ce53df/data/train/proc-factory-train-007/questions.jsonl#L5</x:v>
      </x:c>
      <x:c r="AA2612" s="6" t="str">
        <x:v>procedural</x:v>
      </x:c>
      <x:c r="AB2612" s="6" t="str">
        <x:v>CC0-1.0</x:v>
      </x:c>
    </x:row>
    <x:row r="2613" ht="82" customHeight="1">
      <x:c r="A2613" s="14" t="n">
        <x:v>2608</x:v>
      </x:c>
      <x:c r="B2613" s="6" t="str">
        <x:v>shared_walls_count</x:v>
      </x:c>
      <x:c r="C2613" s="6" t="str">
        <x:v>We're soundproofing Production zone H-A2 (Ground floor). How many other rooms on that floor share a wall with it? Count every room whose wall runs along it for at least 1 m, with or without a door between them; corridors, stairwells and lifts don't count. Finish with a line 'Answer: &lt;number&gt;'.</x:v>
      </x:c>
      <x:c r="D2613" s="6" t="str">
        <x:v>6 rooms</x:v>
      </x:c>
      <x:c r="E2613" s="6" t="str">
        <x:v>Reference supplied</x:v>
      </x:c>
      <x:c r="F2613" s="6" t="str">
        <x:v>train</x:v>
      </x:c>
      <x:c r="G2613" s="6" t="str">
        <x:v>proc-factory-train-008</x:v>
      </x:c>
      <x:c r="H2613" s="6" t="str">
        <x:v>proc-factory-train-008-H03</x:v>
      </x:c>
      <x:c r="I2613" s="6" t="str">
        <x:v>Spatial relationships</x:v>
      </x:c>
      <x:c r="J2613" s="6" t="str">
        <x:v>Benchmark</x:v>
      </x:c>
      <x:c r="K2613" s="6" t="str">
        <x:v>Answer: &lt;one exact integer&gt;</x:v>
      </x:c>
      <x:c r="L2613" s="6" t="str">
        <x:v>T02, T08, T14</x:v>
      </x:c>
      <x:c r="M2613" s="6" t="str">
        <x:v>Count other rooms sharing at least 1 m of wall with a room.</x:v>
      </x:c>
      <x:c r="N2613" s="6" t="str">
        <x:v>{"type":"number","value":6,"unit":"rooms","relative_tolerance":0,"absolute_tolerance":0}</x:v>
      </x:c>
      <x:c r="O2613" s="6" t="str">
        <x:v>{"start":"proc-factory-train-008-F0-S002"}</x:v>
      </x:c>
      <x:c r="P2613" s="6" t="str">
        <x:v>Same floor. Other type=room spaces. &gt;=1 m wall run within 0.35 m. Door not required.</x:v>
      </x:c>
      <x:c r="Q2613" s="15" t="n">
        <x:v>6</x:v>
      </x:c>
      <x:c r="R2613" s="6" t="str">
        <x:v>rooms</x:v>
      </x:c>
      <x:c r="S2613" s="16" t="n">
        <x:v>0</x:v>
      </x:c>
      <x:c r="T2613" s="15" t="n">
        <x:v>0</x:v>
      </x:c>
      <x:c r="U2613" s="6" t="str">
        <x:v>Answer: 6</x:v>
      </x:c>
      <x:c r="V2613" s="6" t="str">
        <x:v>wall adjacency from polygons</x:v>
      </x:c>
      <x:c r="W2613" s="6" t="str">
        <x:v>Missing boundary-adjacency tool. Door connectivity does not answer this question.</x:v>
      </x:c>
      <x:c r="X2613" s="6" t="str">
        <x:v>data/train/proc-factory-train-008/questions.jsonl</x:v>
      </x:c>
      <x:c r="Y2613" s="14" t="n">
        <x:v>3</x:v>
      </x:c>
      <x:c r="Z2613" s="6" t="str">
        <x:v>https://github.com/hagenhaeussler/Industrial-Agents-Hackathon-2026/blob/f41616590b69f3ea0c1cbfb41d6c35edd9ce53df/data/train/proc-factory-train-008/questions.jsonl#L3</x:v>
      </x:c>
      <x:c r="AA2613" s="6" t="str">
        <x:v>procedural</x:v>
      </x:c>
      <x:c r="AB2613" s="6" t="str">
        <x:v>CC0-1.0</x:v>
      </x:c>
    </x:row>
    <x:row r="2614" ht="82" customHeight="1">
      <x:c r="A2614" s="14" t="n">
        <x:v>2609</x:v>
      </x:c>
      <x:c r="B2614" s="6" t="str">
        <x:v>shared_walls_count</x:v>
      </x:c>
      <x:c r="C2614" s="6" t="str">
        <x:v>We're soundproofing Production zone H-A3 (Ground floor). How many other rooms on that floor share a wall with it? Count every room whose wall runs along it for at least 1 m, with or without a door between them; corridors, stairwells and lifts don't count. Finish with a line 'Answer: &lt;number&gt;'.</x:v>
      </x:c>
      <x:c r="D2614" s="6" t="str">
        <x:v>6 rooms</x:v>
      </x:c>
      <x:c r="E2614" s="6" t="str">
        <x:v>Reference supplied</x:v>
      </x:c>
      <x:c r="F2614" s="6" t="str">
        <x:v>train</x:v>
      </x:c>
      <x:c r="G2614" s="6" t="str">
        <x:v>proc-factory-train-009</x:v>
      </x:c>
      <x:c r="H2614" s="6" t="str">
        <x:v>proc-factory-train-009-H05</x:v>
      </x:c>
      <x:c r="I2614" s="6" t="str">
        <x:v>Spatial relationships</x:v>
      </x:c>
      <x:c r="J2614" s="6" t="str">
        <x:v>Benchmark</x:v>
      </x:c>
      <x:c r="K2614" s="6" t="str">
        <x:v>Answer: &lt;one exact integer&gt;</x:v>
      </x:c>
      <x:c r="L2614" s="6" t="str">
        <x:v>T02, T08, T14</x:v>
      </x:c>
      <x:c r="M2614" s="6" t="str">
        <x:v>Count other rooms sharing at least 1 m of wall with a room.</x:v>
      </x:c>
      <x:c r="N2614" s="6" t="str">
        <x:v>{"type":"number","value":6,"unit":"rooms","relative_tolerance":0,"absolute_tolerance":0}</x:v>
      </x:c>
      <x:c r="O2614" s="6" t="str">
        <x:v>{"start":"proc-factory-train-009-F0-S003"}</x:v>
      </x:c>
      <x:c r="P2614" s="6" t="str">
        <x:v>Same floor. Other type=room spaces. &gt;=1 m wall run within 0.35 m. Door not required.</x:v>
      </x:c>
      <x:c r="Q2614" s="15" t="n">
        <x:v>6</x:v>
      </x:c>
      <x:c r="R2614" s="6" t="str">
        <x:v>rooms</x:v>
      </x:c>
      <x:c r="S2614" s="16" t="n">
        <x:v>0</x:v>
      </x:c>
      <x:c r="T2614" s="15" t="n">
        <x:v>0</x:v>
      </x:c>
      <x:c r="U2614" s="6" t="str">
        <x:v>Answer: 6</x:v>
      </x:c>
      <x:c r="V2614" s="6" t="str">
        <x:v>wall adjacency from polygons</x:v>
      </x:c>
      <x:c r="W2614" s="6" t="str">
        <x:v>Missing boundary-adjacency tool. Door connectivity does not answer this question.</x:v>
      </x:c>
      <x:c r="X2614" s="6" t="str">
        <x:v>data/train/proc-factory-train-009/questions.jsonl</x:v>
      </x:c>
      <x:c r="Y2614" s="14" t="n">
        <x:v>5</x:v>
      </x:c>
      <x:c r="Z2614" s="6" t="str">
        <x:v>https://github.com/hagenhaeussler/Industrial-Agents-Hackathon-2026/blob/f41616590b69f3ea0c1cbfb41d6c35edd9ce53df/data/train/proc-factory-train-009/questions.jsonl#L5</x:v>
      </x:c>
      <x:c r="AA2614" s="6" t="str">
        <x:v>procedural</x:v>
      </x:c>
      <x:c r="AB2614" s="6" t="str">
        <x:v>CC0-1.0</x:v>
      </x:c>
    </x:row>
    <x:row r="2615" ht="82" customHeight="1">
      <x:c r="A2615" s="14" t="n">
        <x:v>2610</x:v>
      </x:c>
      <x:c r="B2615" s="6" t="str">
        <x:v>shared_walls_count</x:v>
      </x:c>
      <x:c r="C2615" s="6" t="str">
        <x:v>We're soundproofing Production zone H-A2 (Ground floor). How many other rooms on that floor share a wall with it? Count every room whose wall runs along it for at least 1 m, with or without a door between them; corridors, stairwells and lifts don't count. Finish with a line 'Answer: &lt;number&gt;'.</x:v>
      </x:c>
      <x:c r="D2615" s="6" t="str">
        <x:v>6 rooms</x:v>
      </x:c>
      <x:c r="E2615" s="6" t="str">
        <x:v>Reference supplied</x:v>
      </x:c>
      <x:c r="F2615" s="6" t="str">
        <x:v>train</x:v>
      </x:c>
      <x:c r="G2615" s="6" t="str">
        <x:v>proc-factory-train-010</x:v>
      </x:c>
      <x:c r="H2615" s="6" t="str">
        <x:v>proc-factory-train-010-H03</x:v>
      </x:c>
      <x:c r="I2615" s="6" t="str">
        <x:v>Spatial relationships</x:v>
      </x:c>
      <x:c r="J2615" s="6" t="str">
        <x:v>Benchmark</x:v>
      </x:c>
      <x:c r="K2615" s="6" t="str">
        <x:v>Answer: &lt;one exact integer&gt;</x:v>
      </x:c>
      <x:c r="L2615" s="6" t="str">
        <x:v>T02, T08, T14</x:v>
      </x:c>
      <x:c r="M2615" s="6" t="str">
        <x:v>Count other rooms sharing at least 1 m of wall with a room.</x:v>
      </x:c>
      <x:c r="N2615" s="6" t="str">
        <x:v>{"type":"number","value":6,"unit":"rooms","relative_tolerance":0,"absolute_tolerance":0}</x:v>
      </x:c>
      <x:c r="O2615" s="6" t="str">
        <x:v>{"start":"proc-factory-train-010-F0-S002"}</x:v>
      </x:c>
      <x:c r="P2615" s="6" t="str">
        <x:v>Same floor. Other type=room spaces. &gt;=1 m wall run within 0.35 m. Door not required.</x:v>
      </x:c>
      <x:c r="Q2615" s="15" t="n">
        <x:v>6</x:v>
      </x:c>
      <x:c r="R2615" s="6" t="str">
        <x:v>rooms</x:v>
      </x:c>
      <x:c r="S2615" s="16" t="n">
        <x:v>0</x:v>
      </x:c>
      <x:c r="T2615" s="15" t="n">
        <x:v>0</x:v>
      </x:c>
      <x:c r="U2615" s="6" t="str">
        <x:v>Answer: 6</x:v>
      </x:c>
      <x:c r="V2615" s="6" t="str">
        <x:v>wall adjacency from polygons</x:v>
      </x:c>
      <x:c r="W2615" s="6" t="str">
        <x:v>Missing boundary-adjacency tool. Door connectivity does not answer this question.</x:v>
      </x:c>
      <x:c r="X2615" s="6" t="str">
        <x:v>data/train/proc-factory-train-010/questions.jsonl</x:v>
      </x:c>
      <x:c r="Y2615" s="14" t="n">
        <x:v>3</x:v>
      </x:c>
      <x:c r="Z2615" s="6" t="str">
        <x:v>https://github.com/hagenhaeussler/Industrial-Agents-Hackathon-2026/blob/f41616590b69f3ea0c1cbfb41d6c35edd9ce53df/data/train/proc-factory-train-010/questions.jsonl#L3</x:v>
      </x:c>
      <x:c r="AA2615" s="6" t="str">
        <x:v>procedural</x:v>
      </x:c>
      <x:c r="AB2615" s="6" t="str">
        <x:v>CC0-1.0</x:v>
      </x:c>
    </x:row>
    <x:row r="2616" ht="82" customHeight="1">
      <x:c r="A2616" s="14" t="n">
        <x:v>2611</x:v>
      </x:c>
      <x:c r="B2616" s="6" t="str">
        <x:v>shared_walls_count</x:v>
      </x:c>
      <x:c r="C2616" s="6" t="str">
        <x:v>We're soundproofing Production zone H-A2 (Ground floor). How many other rooms on that floor share a wall with it? Count every room whose wall runs along it for at least 1 m, with or without a door between them; corridors, stairwells and lifts don't count. Finish with a line 'Answer: &lt;number&gt;'.</x:v>
      </x:c>
      <x:c r="D2616" s="6" t="str">
        <x:v>6 rooms</x:v>
      </x:c>
      <x:c r="E2616" s="6" t="str">
        <x:v>Reference supplied</x:v>
      </x:c>
      <x:c r="F2616" s="6" t="str">
        <x:v>train</x:v>
      </x:c>
      <x:c r="G2616" s="6" t="str">
        <x:v>proc-factory-train-015</x:v>
      </x:c>
      <x:c r="H2616" s="6" t="str">
        <x:v>proc-factory-train-015-H05</x:v>
      </x:c>
      <x:c r="I2616" s="6" t="str">
        <x:v>Spatial relationships</x:v>
      </x:c>
      <x:c r="J2616" s="6" t="str">
        <x:v>Benchmark</x:v>
      </x:c>
      <x:c r="K2616" s="6" t="str">
        <x:v>Answer: &lt;one exact integer&gt;</x:v>
      </x:c>
      <x:c r="L2616" s="6" t="str">
        <x:v>T02, T08, T14</x:v>
      </x:c>
      <x:c r="M2616" s="6" t="str">
        <x:v>Count other rooms sharing at least 1 m of wall with a room.</x:v>
      </x:c>
      <x:c r="N2616" s="6" t="str">
        <x:v>{"type":"number","value":6,"unit":"rooms","relative_tolerance":0,"absolute_tolerance":0}</x:v>
      </x:c>
      <x:c r="O2616" s="6" t="str">
        <x:v>{"start":"proc-factory-train-015-F0-S002"}</x:v>
      </x:c>
      <x:c r="P2616" s="6" t="str">
        <x:v>Same floor. Other type=room spaces. &gt;=1 m wall run within 0.35 m. Door not required.</x:v>
      </x:c>
      <x:c r="Q2616" s="15" t="n">
        <x:v>6</x:v>
      </x:c>
      <x:c r="R2616" s="6" t="str">
        <x:v>rooms</x:v>
      </x:c>
      <x:c r="S2616" s="16" t="n">
        <x:v>0</x:v>
      </x:c>
      <x:c r="T2616" s="15" t="n">
        <x:v>0</x:v>
      </x:c>
      <x:c r="U2616" s="6" t="str">
        <x:v>Answer: 6</x:v>
      </x:c>
      <x:c r="V2616" s="6" t="str">
        <x:v>wall adjacency from polygons</x:v>
      </x:c>
      <x:c r="W2616" s="6" t="str">
        <x:v>Missing boundary-adjacency tool. Door connectivity does not answer this question.</x:v>
      </x:c>
      <x:c r="X2616" s="6" t="str">
        <x:v>data/train/proc-factory-train-015/questions.jsonl</x:v>
      </x:c>
      <x:c r="Y2616" s="14" t="n">
        <x:v>5</x:v>
      </x:c>
      <x:c r="Z2616" s="6" t="str">
        <x:v>https://github.com/hagenhaeussler/Industrial-Agents-Hackathon-2026/blob/f41616590b69f3ea0c1cbfb41d6c35edd9ce53df/data/train/proc-factory-train-015/questions.jsonl#L5</x:v>
      </x:c>
      <x:c r="AA2616" s="6" t="str">
        <x:v>procedural</x:v>
      </x:c>
      <x:c r="AB2616" s="6" t="str">
        <x:v>CC0-1.0</x:v>
      </x:c>
    </x:row>
    <x:row r="2617" ht="82" customHeight="1">
      <x:c r="A2617" s="14" t="n">
        <x:v>2612</x:v>
      </x:c>
      <x:c r="B2617" s="6" t="str">
        <x:v>shared_walls_count</x:v>
      </x:c>
      <x:c r="C2617" s="6" t="str">
        <x:v>We're soundproofing Additive zone H-A2 (Ground floor). How many other rooms on that floor share a wall with it? Count every room whose wall runs along it for at least 1 m, with or without a door between them; corridors, stairwells and lifts don't count. Finish with a line 'Answer: &lt;number&gt;'.</x:v>
      </x:c>
      <x:c r="D2617" s="6" t="str">
        <x:v>5 rooms</x:v>
      </x:c>
      <x:c r="E2617" s="6" t="str">
        <x:v>Reference supplied</x:v>
      </x:c>
      <x:c r="F2617" s="6" t="str">
        <x:v>train</x:v>
      </x:c>
      <x:c r="G2617" s="6" t="str">
        <x:v>proc-factory-train-017</x:v>
      </x:c>
      <x:c r="H2617" s="6" t="str">
        <x:v>proc-factory-train-017-H03</x:v>
      </x:c>
      <x:c r="I2617" s="6" t="str">
        <x:v>Spatial relationships</x:v>
      </x:c>
      <x:c r="J2617" s="6" t="str">
        <x:v>Benchmark</x:v>
      </x:c>
      <x:c r="K2617" s="6" t="str">
        <x:v>Answer: &lt;one exact integer&gt;</x:v>
      </x:c>
      <x:c r="L2617" s="6" t="str">
        <x:v>T02, T08, T14</x:v>
      </x:c>
      <x:c r="M2617" s="6" t="str">
        <x:v>Count other rooms sharing at least 1 m of wall with a room.</x:v>
      </x:c>
      <x:c r="N2617" s="6" t="str">
        <x:v>{"type":"number","value":5,"unit":"rooms","relative_tolerance":0,"absolute_tolerance":0}</x:v>
      </x:c>
      <x:c r="O2617" s="6" t="str">
        <x:v>{"start":"proc-factory-train-017-F0-S002"}</x:v>
      </x:c>
      <x:c r="P2617" s="6" t="str">
        <x:v>Same floor. Other type=room spaces. &gt;=1 m wall run within 0.35 m. Door not required.</x:v>
      </x:c>
      <x:c r="Q2617" s="15" t="n">
        <x:v>5</x:v>
      </x:c>
      <x:c r="R2617" s="6" t="str">
        <x:v>rooms</x:v>
      </x:c>
      <x:c r="S2617" s="16" t="n">
        <x:v>0</x:v>
      </x:c>
      <x:c r="T2617" s="15" t="n">
        <x:v>0</x:v>
      </x:c>
      <x:c r="U2617" s="6" t="str">
        <x:v>Answer: 5</x:v>
      </x:c>
      <x:c r="V2617" s="6" t="str">
        <x:v>wall adjacency from polygons</x:v>
      </x:c>
      <x:c r="W2617" s="6" t="str">
        <x:v>Missing boundary-adjacency tool. Door connectivity does not answer this question.</x:v>
      </x:c>
      <x:c r="X2617" s="6" t="str">
        <x:v>data/train/proc-factory-train-017/questions.jsonl</x:v>
      </x:c>
      <x:c r="Y2617" s="14" t="n">
        <x:v>3</x:v>
      </x:c>
      <x:c r="Z2617" s="6" t="str">
        <x:v>https://github.com/hagenhaeussler/Industrial-Agents-Hackathon-2026/blob/f41616590b69f3ea0c1cbfb41d6c35edd9ce53df/data/train/proc-factory-train-017/questions.jsonl#L3</x:v>
      </x:c>
      <x:c r="AA2617" s="6" t="str">
        <x:v>procedural</x:v>
      </x:c>
      <x:c r="AB2617" s="6" t="str">
        <x:v>CC0-1.0</x:v>
      </x:c>
    </x:row>
    <x:row r="2618" ht="82" customHeight="1">
      <x:c r="A2618" s="14" t="n">
        <x:v>2613</x:v>
      </x:c>
      <x:c r="B2618" s="6" t="str">
        <x:v>shared_walls_count</x:v>
      </x:c>
      <x:c r="C2618" s="6" t="str">
        <x:v>We're soundproofing Production zone H-A1 (Ground floor). How many other rooms on that floor share a wall with it? Count every room whose wall runs along it for at least 1 m, with or without a door between them; corridors, stairwells and lifts don't count. Finish with a line 'Answer: &lt;number&gt;'.</x:v>
      </x:c>
      <x:c r="D2618" s="6" t="str">
        <x:v>4 rooms</x:v>
      </x:c>
      <x:c r="E2618" s="6" t="str">
        <x:v>Reference supplied</x:v>
      </x:c>
      <x:c r="F2618" s="6" t="str">
        <x:v>train</x:v>
      </x:c>
      <x:c r="G2618" s="6" t="str">
        <x:v>proc-factory-train-018</x:v>
      </x:c>
      <x:c r="H2618" s="6" t="str">
        <x:v>proc-factory-train-018-H03</x:v>
      </x:c>
      <x:c r="I2618" s="6" t="str">
        <x:v>Spatial relationships</x:v>
      </x:c>
      <x:c r="J2618" s="6" t="str">
        <x:v>Benchmark</x:v>
      </x:c>
      <x:c r="K2618" s="6" t="str">
        <x:v>Answer: &lt;one exact integer&gt;</x:v>
      </x:c>
      <x:c r="L2618" s="6" t="str">
        <x:v>T02, T08, T14</x:v>
      </x:c>
      <x:c r="M2618" s="6" t="str">
        <x:v>Count other rooms sharing at least 1 m of wall with a room.</x:v>
      </x:c>
      <x:c r="N2618" s="6" t="str">
        <x:v>{"type":"number","value":4,"unit":"rooms","relative_tolerance":0,"absolute_tolerance":0}</x:v>
      </x:c>
      <x:c r="O2618" s="6" t="str">
        <x:v>{"start":"proc-factory-train-018-F0-S001"}</x:v>
      </x:c>
      <x:c r="P2618" s="6" t="str">
        <x:v>Same floor. Other type=room spaces. &gt;=1 m wall run within 0.35 m. Door not required.</x:v>
      </x:c>
      <x:c r="Q2618" s="15" t="n">
        <x:v>4</x:v>
      </x:c>
      <x:c r="R2618" s="6" t="str">
        <x:v>rooms</x:v>
      </x:c>
      <x:c r="S2618" s="16" t="n">
        <x:v>0</x:v>
      </x:c>
      <x:c r="T2618" s="15" t="n">
        <x:v>0</x:v>
      </x:c>
      <x:c r="U2618" s="6" t="str">
        <x:v>Answer: 4</x:v>
      </x:c>
      <x:c r="V2618" s="6" t="str">
        <x:v>wall adjacency from polygons</x:v>
      </x:c>
      <x:c r="W2618" s="6" t="str">
        <x:v>Missing boundary-adjacency tool. Door connectivity does not answer this question.</x:v>
      </x:c>
      <x:c r="X2618" s="6" t="str">
        <x:v>data/train/proc-factory-train-018/questions.jsonl</x:v>
      </x:c>
      <x:c r="Y2618" s="14" t="n">
        <x:v>3</x:v>
      </x:c>
      <x:c r="Z2618" s="6" t="str">
        <x:v>https://github.com/hagenhaeussler/Industrial-Agents-Hackathon-2026/blob/f41616590b69f3ea0c1cbfb41d6c35edd9ce53df/data/train/proc-factory-train-018/questions.jsonl#L3</x:v>
      </x:c>
      <x:c r="AA2618" s="6" t="str">
        <x:v>procedural</x:v>
      </x:c>
      <x:c r="AB2618" s="6" t="str">
        <x:v>CC0-1.0</x:v>
      </x:c>
    </x:row>
    <x:row r="2619" ht="82" customHeight="1">
      <x:c r="A2619" s="14" t="n">
        <x:v>2614</x:v>
      </x:c>
      <x:c r="B2619" s="6" t="str">
        <x:v>shared_walls_count</x:v>
      </x:c>
      <x:c r="C2619" s="6" t="str">
        <x:v>We're soundproofing Assembly zone H-A1 (Ground floor). How many other rooms on that floor share a wall with it? Count every room whose wall runs along it for at least 1 m, with or without a door between them; corridors, stairwells and lifts don't count. Finish with a line 'Answer: &lt;number&gt;'.</x:v>
      </x:c>
      <x:c r="D2619" s="6" t="str">
        <x:v>4 rooms</x:v>
      </x:c>
      <x:c r="E2619" s="6" t="str">
        <x:v>Reference supplied</x:v>
      </x:c>
      <x:c r="F2619" s="6" t="str">
        <x:v>train</x:v>
      </x:c>
      <x:c r="G2619" s="6" t="str">
        <x:v>proc-factory-train-020</x:v>
      </x:c>
      <x:c r="H2619" s="6" t="str">
        <x:v>proc-factory-train-020-H03</x:v>
      </x:c>
      <x:c r="I2619" s="6" t="str">
        <x:v>Spatial relationships</x:v>
      </x:c>
      <x:c r="J2619" s="6" t="str">
        <x:v>Benchmark</x:v>
      </x:c>
      <x:c r="K2619" s="6" t="str">
        <x:v>Answer: &lt;one exact integer&gt;</x:v>
      </x:c>
      <x:c r="L2619" s="6" t="str">
        <x:v>T02, T08, T14</x:v>
      </x:c>
      <x:c r="M2619" s="6" t="str">
        <x:v>Count other rooms sharing at least 1 m of wall with a room.</x:v>
      </x:c>
      <x:c r="N2619" s="6" t="str">
        <x:v>{"type":"number","value":4,"unit":"rooms","relative_tolerance":0,"absolute_tolerance":0}</x:v>
      </x:c>
      <x:c r="O2619" s="6" t="str">
        <x:v>{"start":"proc-factory-train-020-F0-S001"}</x:v>
      </x:c>
      <x:c r="P2619" s="6" t="str">
        <x:v>Same floor. Other type=room spaces. &gt;=1 m wall run within 0.35 m. Door not required.</x:v>
      </x:c>
      <x:c r="Q2619" s="15" t="n">
        <x:v>4</x:v>
      </x:c>
      <x:c r="R2619" s="6" t="str">
        <x:v>rooms</x:v>
      </x:c>
      <x:c r="S2619" s="16" t="n">
        <x:v>0</x:v>
      </x:c>
      <x:c r="T2619" s="15" t="n">
        <x:v>0</x:v>
      </x:c>
      <x:c r="U2619" s="6" t="str">
        <x:v>Answer: 4</x:v>
      </x:c>
      <x:c r="V2619" s="6" t="str">
        <x:v>wall adjacency from polygons</x:v>
      </x:c>
      <x:c r="W2619" s="6" t="str">
        <x:v>Missing boundary-adjacency tool. Door connectivity does not answer this question.</x:v>
      </x:c>
      <x:c r="X2619" s="6" t="str">
        <x:v>data/train/proc-factory-train-020/questions.jsonl</x:v>
      </x:c>
      <x:c r="Y2619" s="14" t="n">
        <x:v>3</x:v>
      </x:c>
      <x:c r="Z2619" s="6" t="str">
        <x:v>https://github.com/hagenhaeussler/Industrial-Agents-Hackathon-2026/blob/f41616590b69f3ea0c1cbfb41d6c35edd9ce53df/data/train/proc-factory-train-020/questions.jsonl#L3</x:v>
      </x:c>
      <x:c r="AA2619" s="6" t="str">
        <x:v>procedural</x:v>
      </x:c>
      <x:c r="AB2619" s="6" t="str">
        <x:v>CC0-1.0</x:v>
      </x:c>
    </x:row>
    <x:row r="2620" ht="82" customHeight="1">
      <x:c r="A2620" s="14" t="n">
        <x:v>2615</x:v>
      </x:c>
      <x:c r="B2620" s="6" t="str">
        <x:v>shared_walls_count</x:v>
      </x:c>
      <x:c r="C2620"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20" s="6" t="str">
        <x:v>3 rooms</x:v>
      </x:c>
      <x:c r="E2620" s="6" t="str">
        <x:v>Reference supplied</x:v>
      </x:c>
      <x:c r="F2620" s="6" t="str">
        <x:v>train</x:v>
      </x:c>
      <x:c r="G2620" s="6" t="str">
        <x:v>resplan-10192</x:v>
      </x:c>
      <x:c r="H2620" s="6" t="str">
        <x:v>resplan-10192-H01</x:v>
      </x:c>
      <x:c r="I2620" s="6" t="str">
        <x:v>Spatial relationships</x:v>
      </x:c>
      <x:c r="J2620" s="6" t="str">
        <x:v>Benchmark</x:v>
      </x:c>
      <x:c r="K2620" s="6" t="str">
        <x:v>Answer: &lt;one exact integer&gt;</x:v>
      </x:c>
      <x:c r="L2620" s="6" t="str">
        <x:v>T02, T08, T14</x:v>
      </x:c>
      <x:c r="M2620" s="6" t="str">
        <x:v>Count other rooms sharing at least 1 m of wall with a room.</x:v>
      </x:c>
      <x:c r="N2620" s="6" t="str">
        <x:v>{"type":"number","value":3,"unit":"rooms","relative_tolerance":0,"absolute_tolerance":0}</x:v>
      </x:c>
      <x:c r="O2620" s="6" t="str">
        <x:v>{"start":"resplan-10192-F0-S002"}</x:v>
      </x:c>
      <x:c r="P2620" s="6" t="str">
        <x:v>Same floor. Other type=room spaces. &gt;=1 m wall run within 0.35 m. Door not required.</x:v>
      </x:c>
      <x:c r="Q2620" s="15" t="n">
        <x:v>3</x:v>
      </x:c>
      <x:c r="R2620" s="6" t="str">
        <x:v>rooms</x:v>
      </x:c>
      <x:c r="S2620" s="16" t="n">
        <x:v>0</x:v>
      </x:c>
      <x:c r="T2620" s="15" t="n">
        <x:v>0</x:v>
      </x:c>
      <x:c r="U2620" s="6" t="str">
        <x:v>Answer: 3</x:v>
      </x:c>
      <x:c r="V2620" s="6" t="str">
        <x:v>wall adjacency from polygons</x:v>
      </x:c>
      <x:c r="W2620" s="6" t="str">
        <x:v>Missing boundary-adjacency tool. Door connectivity does not answer this question.</x:v>
      </x:c>
      <x:c r="X2620" s="6" t="str">
        <x:v>data/train/resplan-10192/questions.jsonl</x:v>
      </x:c>
      <x:c r="Y2620" s="14" t="n">
        <x:v>1</x:v>
      </x:c>
      <x:c r="Z2620" s="6" t="str">
        <x:v>https://github.com/hagenhaeussler/Industrial-Agents-Hackathon-2026/blob/f41616590b69f3ea0c1cbfb41d6c35edd9ce53df/data/train/resplan-10192/questions.jsonl#L1</x:v>
      </x:c>
      <x:c r="AA2620" s="6" t="str">
        <x:v>resplan</x:v>
      </x:c>
      <x:c r="AB2620" s="6" t="str">
        <x:v>CC-BY-4.0</x:v>
      </x:c>
    </x:row>
    <x:row r="2621" ht="82" customHeight="1">
      <x:c r="A2621" s="14" t="n">
        <x:v>2616</x:v>
      </x:c>
      <x:c r="B2621" s="6" t="str">
        <x:v>shared_walls_count</x:v>
      </x:c>
      <x:c r="C2621"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621" s="6" t="str">
        <x:v>4 rooms</x:v>
      </x:c>
      <x:c r="E2621" s="6" t="str">
        <x:v>Reference supplied</x:v>
      </x:c>
      <x:c r="F2621" s="6" t="str">
        <x:v>train</x:v>
      </x:c>
      <x:c r="G2621" s="6" t="str">
        <x:v>resplan-10504</x:v>
      </x:c>
      <x:c r="H2621" s="6" t="str">
        <x:v>resplan-10504-H02</x:v>
      </x:c>
      <x:c r="I2621" s="6" t="str">
        <x:v>Spatial relationships</x:v>
      </x:c>
      <x:c r="J2621" s="6" t="str">
        <x:v>Benchmark</x:v>
      </x:c>
      <x:c r="K2621" s="6" t="str">
        <x:v>Answer: &lt;one exact integer&gt;</x:v>
      </x:c>
      <x:c r="L2621" s="6" t="str">
        <x:v>T02, T08, T14</x:v>
      </x:c>
      <x:c r="M2621" s="6" t="str">
        <x:v>Count other rooms sharing at least 1 m of wall with a room.</x:v>
      </x:c>
      <x:c r="N2621" s="6" t="str">
        <x:v>{"type":"number","value":4,"unit":"rooms","relative_tolerance":0,"absolute_tolerance":0}</x:v>
      </x:c>
      <x:c r="O2621" s="6" t="str">
        <x:v>{"start":"resplan-10504-F0-S003"}</x:v>
      </x:c>
      <x:c r="P2621" s="6" t="str">
        <x:v>Same floor. Other type=room spaces. &gt;=1 m wall run within 0.35 m. Door not required.</x:v>
      </x:c>
      <x:c r="Q2621" s="15" t="n">
        <x:v>4</x:v>
      </x:c>
      <x:c r="R2621" s="6" t="str">
        <x:v>rooms</x:v>
      </x:c>
      <x:c r="S2621" s="16" t="n">
        <x:v>0</x:v>
      </x:c>
      <x:c r="T2621" s="15" t="n">
        <x:v>0</x:v>
      </x:c>
      <x:c r="U2621" s="6" t="str">
        <x:v>Answer: 4</x:v>
      </x:c>
      <x:c r="V2621" s="6" t="str">
        <x:v>wall adjacency from polygons</x:v>
      </x:c>
      <x:c r="W2621" s="6" t="str">
        <x:v>Missing boundary-adjacency tool. Door connectivity does not answer this question.</x:v>
      </x:c>
      <x:c r="X2621" s="6" t="str">
        <x:v>data/train/resplan-10504/questions.jsonl</x:v>
      </x:c>
      <x:c r="Y2621" s="14" t="n">
        <x:v>2</x:v>
      </x:c>
      <x:c r="Z2621" s="6" t="str">
        <x:v>https://github.com/hagenhaeussler/Industrial-Agents-Hackathon-2026/blob/f41616590b69f3ea0c1cbfb41d6c35edd9ce53df/data/train/resplan-10504/questions.jsonl#L2</x:v>
      </x:c>
      <x:c r="AA2621" s="6" t="str">
        <x:v>resplan</x:v>
      </x:c>
      <x:c r="AB2621" s="6" t="str">
        <x:v>CC-BY-4.0</x:v>
      </x:c>
    </x:row>
    <x:row r="2622" ht="82" customHeight="1">
      <x:c r="A2622" s="14" t="n">
        <x:v>2617</x:v>
      </x:c>
      <x:c r="B2622" s="6" t="str">
        <x:v>shared_walls_count</x:v>
      </x:c>
      <x:c r="C2622"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22" s="6" t="str">
        <x:v>5 rooms</x:v>
      </x:c>
      <x:c r="E2622" s="6" t="str">
        <x:v>Reference supplied</x:v>
      </x:c>
      <x:c r="F2622" s="6" t="str">
        <x:v>train</x:v>
      </x:c>
      <x:c r="G2622" s="6" t="str">
        <x:v>resplan-10650</x:v>
      </x:c>
      <x:c r="H2622" s="6" t="str">
        <x:v>resplan-10650-H01</x:v>
      </x:c>
      <x:c r="I2622" s="6" t="str">
        <x:v>Spatial relationships</x:v>
      </x:c>
      <x:c r="J2622" s="6" t="str">
        <x:v>Benchmark</x:v>
      </x:c>
      <x:c r="K2622" s="6" t="str">
        <x:v>Answer: &lt;one exact integer&gt;</x:v>
      </x:c>
      <x:c r="L2622" s="6" t="str">
        <x:v>T02, T08, T14</x:v>
      </x:c>
      <x:c r="M2622" s="6" t="str">
        <x:v>Count other rooms sharing at least 1 m of wall with a room.</x:v>
      </x:c>
      <x:c r="N2622" s="6" t="str">
        <x:v>{"type":"number","value":5,"unit":"rooms","relative_tolerance":0,"absolute_tolerance":0}</x:v>
      </x:c>
      <x:c r="O2622" s="6" t="str">
        <x:v>{"start":"resplan-10650-F0-S001"}</x:v>
      </x:c>
      <x:c r="P2622" s="6" t="str">
        <x:v>Same floor. Other type=room spaces. &gt;=1 m wall run within 0.35 m. Door not required.</x:v>
      </x:c>
      <x:c r="Q2622" s="15" t="n">
        <x:v>5</x:v>
      </x:c>
      <x:c r="R2622" s="6" t="str">
        <x:v>rooms</x:v>
      </x:c>
      <x:c r="S2622" s="16" t="n">
        <x:v>0</x:v>
      </x:c>
      <x:c r="T2622" s="15" t="n">
        <x:v>0</x:v>
      </x:c>
      <x:c r="U2622" s="6" t="str">
        <x:v>Answer: 5</x:v>
      </x:c>
      <x:c r="V2622" s="6" t="str">
        <x:v>wall adjacency from polygons</x:v>
      </x:c>
      <x:c r="W2622" s="6" t="str">
        <x:v>Missing boundary-adjacency tool. Door connectivity does not answer this question.</x:v>
      </x:c>
      <x:c r="X2622" s="6" t="str">
        <x:v>data/train/resplan-10650/questions.jsonl</x:v>
      </x:c>
      <x:c r="Y2622" s="14" t="n">
        <x:v>1</x:v>
      </x:c>
      <x:c r="Z2622" s="6" t="str">
        <x:v>https://github.com/hagenhaeussler/Industrial-Agents-Hackathon-2026/blob/f41616590b69f3ea0c1cbfb41d6c35edd9ce53df/data/train/resplan-10650/questions.jsonl#L1</x:v>
      </x:c>
      <x:c r="AA2622" s="6" t="str">
        <x:v>resplan</x:v>
      </x:c>
      <x:c r="AB2622" s="6" t="str">
        <x:v>CC-BY-4.0</x:v>
      </x:c>
    </x:row>
    <x:row r="2623" ht="82" customHeight="1">
      <x:c r="A2623" s="14" t="n">
        <x:v>2618</x:v>
      </x:c>
      <x:c r="B2623" s="6" t="str">
        <x:v>shared_walls_count</x:v>
      </x:c>
      <x:c r="C2623"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23" s="6" t="str">
        <x:v>7 rooms</x:v>
      </x:c>
      <x:c r="E2623" s="6" t="str">
        <x:v>Reference supplied</x:v>
      </x:c>
      <x:c r="F2623" s="6" t="str">
        <x:v>train</x:v>
      </x:c>
      <x:c r="G2623" s="6" t="str">
        <x:v>resplan-10882</x:v>
      </x:c>
      <x:c r="H2623" s="6" t="str">
        <x:v>resplan-10882-H02</x:v>
      </x:c>
      <x:c r="I2623" s="6" t="str">
        <x:v>Spatial relationships</x:v>
      </x:c>
      <x:c r="J2623" s="6" t="str">
        <x:v>Benchmark</x:v>
      </x:c>
      <x:c r="K2623" s="6" t="str">
        <x:v>Answer: &lt;one exact integer&gt;</x:v>
      </x:c>
      <x:c r="L2623" s="6" t="str">
        <x:v>T02, T08, T14</x:v>
      </x:c>
      <x:c r="M2623" s="6" t="str">
        <x:v>Count other rooms sharing at least 1 m of wall with a room.</x:v>
      </x:c>
      <x:c r="N2623" s="6" t="str">
        <x:v>{"type":"number","value":7,"unit":"rooms","relative_tolerance":0,"absolute_tolerance":0}</x:v>
      </x:c>
      <x:c r="O2623" s="6" t="str">
        <x:v>{"start":"resplan-10882-F0-S001"}</x:v>
      </x:c>
      <x:c r="P2623" s="6" t="str">
        <x:v>Same floor. Other type=room spaces. &gt;=1 m wall run within 0.35 m. Door not required.</x:v>
      </x:c>
      <x:c r="Q2623" s="15" t="n">
        <x:v>7</x:v>
      </x:c>
      <x:c r="R2623" s="6" t="str">
        <x:v>rooms</x:v>
      </x:c>
      <x:c r="S2623" s="16" t="n">
        <x:v>0</x:v>
      </x:c>
      <x:c r="T2623" s="15" t="n">
        <x:v>0</x:v>
      </x:c>
      <x:c r="U2623" s="6" t="str">
        <x:v>Answer: 7</x:v>
      </x:c>
      <x:c r="V2623" s="6" t="str">
        <x:v>wall adjacency from polygons</x:v>
      </x:c>
      <x:c r="W2623" s="6" t="str">
        <x:v>Missing boundary-adjacency tool. Door connectivity does not answer this question.</x:v>
      </x:c>
      <x:c r="X2623" s="6" t="str">
        <x:v>data/train/resplan-10882/questions.jsonl</x:v>
      </x:c>
      <x:c r="Y2623" s="14" t="n">
        <x:v>2</x:v>
      </x:c>
      <x:c r="Z2623" s="6" t="str">
        <x:v>https://github.com/hagenhaeussler/Industrial-Agents-Hackathon-2026/blob/f41616590b69f3ea0c1cbfb41d6c35edd9ce53df/data/train/resplan-10882/questions.jsonl#L2</x:v>
      </x:c>
      <x:c r="AA2623" s="6" t="str">
        <x:v>resplan</x:v>
      </x:c>
      <x:c r="AB2623" s="6" t="str">
        <x:v>CC-BY-4.0</x:v>
      </x:c>
    </x:row>
    <x:row r="2624" ht="82" customHeight="1">
      <x:c r="A2624" s="14" t="n">
        <x:v>2619</x:v>
      </x:c>
      <x:c r="B2624" s="6" t="str">
        <x:v>shared_walls_count</x:v>
      </x:c>
      <x:c r="C2624"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24" s="6" t="str">
        <x:v>6 rooms</x:v>
      </x:c>
      <x:c r="E2624" s="6" t="str">
        <x:v>Reference supplied</x:v>
      </x:c>
      <x:c r="F2624" s="6" t="str">
        <x:v>train</x:v>
      </x:c>
      <x:c r="G2624" s="6" t="str">
        <x:v>resplan-1095</x:v>
      </x:c>
      <x:c r="H2624" s="6" t="str">
        <x:v>resplan-1095-H05</x:v>
      </x:c>
      <x:c r="I2624" s="6" t="str">
        <x:v>Spatial relationships</x:v>
      </x:c>
      <x:c r="J2624" s="6" t="str">
        <x:v>Benchmark</x:v>
      </x:c>
      <x:c r="K2624" s="6" t="str">
        <x:v>Answer: &lt;one exact integer&gt;</x:v>
      </x:c>
      <x:c r="L2624" s="6" t="str">
        <x:v>T02, T08, T14</x:v>
      </x:c>
      <x:c r="M2624" s="6" t="str">
        <x:v>Count other rooms sharing at least 1 m of wall with a room.</x:v>
      </x:c>
      <x:c r="N2624" s="6" t="str">
        <x:v>{"type":"number","value":6,"unit":"rooms","relative_tolerance":0,"absolute_tolerance":0}</x:v>
      </x:c>
      <x:c r="O2624" s="6" t="str">
        <x:v>{"start":"resplan-1095-F0-S001"}</x:v>
      </x:c>
      <x:c r="P2624" s="6" t="str">
        <x:v>Same floor. Other type=room spaces. &gt;=1 m wall run within 0.35 m. Door not required.</x:v>
      </x:c>
      <x:c r="Q2624" s="15" t="n">
        <x:v>6</x:v>
      </x:c>
      <x:c r="R2624" s="6" t="str">
        <x:v>rooms</x:v>
      </x:c>
      <x:c r="S2624" s="16" t="n">
        <x:v>0</x:v>
      </x:c>
      <x:c r="T2624" s="15" t="n">
        <x:v>0</x:v>
      </x:c>
      <x:c r="U2624" s="6" t="str">
        <x:v>Answer: 6</x:v>
      </x:c>
      <x:c r="V2624" s="6" t="str">
        <x:v>wall adjacency from polygons</x:v>
      </x:c>
      <x:c r="W2624" s="6" t="str">
        <x:v>Missing boundary-adjacency tool. Door connectivity does not answer this question.</x:v>
      </x:c>
      <x:c r="X2624" s="6" t="str">
        <x:v>data/train/resplan-1095/questions.jsonl</x:v>
      </x:c>
      <x:c r="Y2624" s="14" t="n">
        <x:v>5</x:v>
      </x:c>
      <x:c r="Z2624" s="6" t="str">
        <x:v>https://github.com/hagenhaeussler/Industrial-Agents-Hackathon-2026/blob/f41616590b69f3ea0c1cbfb41d6c35edd9ce53df/data/train/resplan-1095/questions.jsonl#L5</x:v>
      </x:c>
      <x:c r="AA2624" s="6" t="str">
        <x:v>resplan</x:v>
      </x:c>
      <x:c r="AB2624" s="6" t="str">
        <x:v>CC-BY-4.0</x:v>
      </x:c>
    </x:row>
    <x:row r="2625" ht="82" customHeight="1">
      <x:c r="A2625" s="14" t="n">
        <x:v>2620</x:v>
      </x:c>
      <x:c r="B2625" s="6" t="str">
        <x:v>shared_walls_count</x:v>
      </x:c>
      <x:c r="C2625" s="6" t="str">
        <x:v>We're soundproofing Bathroom 0.04 (Ground floor). How many other rooms on that floor share a wall with it? Count every room whose wall runs along it for at least 1 m, with or without a door between them; corridors, stairwells and lifts don't count. Finish with a line 'Answer: &lt;number&gt;'.</x:v>
      </x:c>
      <x:c r="D2625" s="6" t="str">
        <x:v>3 rooms</x:v>
      </x:c>
      <x:c r="E2625" s="6" t="str">
        <x:v>Reference supplied</x:v>
      </x:c>
      <x:c r="F2625" s="6" t="str">
        <x:v>train</x:v>
      </x:c>
      <x:c r="G2625" s="6" t="str">
        <x:v>resplan-11706</x:v>
      </x:c>
      <x:c r="H2625" s="6" t="str">
        <x:v>resplan-11706-H01</x:v>
      </x:c>
      <x:c r="I2625" s="6" t="str">
        <x:v>Spatial relationships</x:v>
      </x:c>
      <x:c r="J2625" s="6" t="str">
        <x:v>Benchmark</x:v>
      </x:c>
      <x:c r="K2625" s="6" t="str">
        <x:v>Answer: &lt;one exact integer&gt;</x:v>
      </x:c>
      <x:c r="L2625" s="6" t="str">
        <x:v>T02, T08, T14</x:v>
      </x:c>
      <x:c r="M2625" s="6" t="str">
        <x:v>Count other rooms sharing at least 1 m of wall with a room.</x:v>
      </x:c>
      <x:c r="N2625" s="6" t="str">
        <x:v>{"type":"number","value":3,"unit":"rooms","relative_tolerance":0,"absolute_tolerance":0}</x:v>
      </x:c>
      <x:c r="O2625" s="6" t="str">
        <x:v>{"start":"resplan-11706-F0-S004"}</x:v>
      </x:c>
      <x:c r="P2625" s="6" t="str">
        <x:v>Same floor. Other type=room spaces. &gt;=1 m wall run within 0.35 m. Door not required.</x:v>
      </x:c>
      <x:c r="Q2625" s="15" t="n">
        <x:v>3</x:v>
      </x:c>
      <x:c r="R2625" s="6" t="str">
        <x:v>rooms</x:v>
      </x:c>
      <x:c r="S2625" s="16" t="n">
        <x:v>0</x:v>
      </x:c>
      <x:c r="T2625" s="15" t="n">
        <x:v>0</x:v>
      </x:c>
      <x:c r="U2625" s="6" t="str">
        <x:v>Answer: 3</x:v>
      </x:c>
      <x:c r="V2625" s="6" t="str">
        <x:v>wall adjacency from polygons</x:v>
      </x:c>
      <x:c r="W2625" s="6" t="str">
        <x:v>Missing boundary-adjacency tool. Door connectivity does not answer this question.</x:v>
      </x:c>
      <x:c r="X2625" s="6" t="str">
        <x:v>data/train/resplan-11706/questions.jsonl</x:v>
      </x:c>
      <x:c r="Y2625" s="14" t="n">
        <x:v>1</x:v>
      </x:c>
      <x:c r="Z2625" s="6" t="str">
        <x:v>https://github.com/hagenhaeussler/Industrial-Agents-Hackathon-2026/blob/f41616590b69f3ea0c1cbfb41d6c35edd9ce53df/data/train/resplan-11706/questions.jsonl#L1</x:v>
      </x:c>
      <x:c r="AA2625" s="6" t="str">
        <x:v>resplan</x:v>
      </x:c>
      <x:c r="AB2625" s="6" t="str">
        <x:v>CC-BY-4.0</x:v>
      </x:c>
    </x:row>
    <x:row r="2626" ht="82" customHeight="1">
      <x:c r="A2626" s="14" t="n">
        <x:v>2621</x:v>
      </x:c>
      <x:c r="B2626" s="6" t="str">
        <x:v>shared_walls_count</x:v>
      </x:c>
      <x:c r="C2626"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26" s="6" t="str">
        <x:v>3 rooms</x:v>
      </x:c>
      <x:c r="E2626" s="6" t="str">
        <x:v>Reference supplied</x:v>
      </x:c>
      <x:c r="F2626" s="6" t="str">
        <x:v>train</x:v>
      </x:c>
      <x:c r="G2626" s="6" t="str">
        <x:v>resplan-11816</x:v>
      </x:c>
      <x:c r="H2626" s="6" t="str">
        <x:v>resplan-11816-H02</x:v>
      </x:c>
      <x:c r="I2626" s="6" t="str">
        <x:v>Spatial relationships</x:v>
      </x:c>
      <x:c r="J2626" s="6" t="str">
        <x:v>Benchmark</x:v>
      </x:c>
      <x:c r="K2626" s="6" t="str">
        <x:v>Answer: &lt;one exact integer&gt;</x:v>
      </x:c>
      <x:c r="L2626" s="6" t="str">
        <x:v>T02, T08, T14</x:v>
      </x:c>
      <x:c r="M2626" s="6" t="str">
        <x:v>Count other rooms sharing at least 1 m of wall with a room.</x:v>
      </x:c>
      <x:c r="N2626" s="6" t="str">
        <x:v>{"type":"number","value":3,"unit":"rooms","relative_tolerance":0,"absolute_tolerance":0}</x:v>
      </x:c>
      <x:c r="O2626" s="6" t="str">
        <x:v>{"start":"resplan-11816-F0-S002"}</x:v>
      </x:c>
      <x:c r="P2626" s="6" t="str">
        <x:v>Same floor. Other type=room spaces. &gt;=1 m wall run within 0.35 m. Door not required.</x:v>
      </x:c>
      <x:c r="Q2626" s="15" t="n">
        <x:v>3</x:v>
      </x:c>
      <x:c r="R2626" s="6" t="str">
        <x:v>rooms</x:v>
      </x:c>
      <x:c r="S2626" s="16" t="n">
        <x:v>0</x:v>
      </x:c>
      <x:c r="T2626" s="15" t="n">
        <x:v>0</x:v>
      </x:c>
      <x:c r="U2626" s="6" t="str">
        <x:v>Answer: 3</x:v>
      </x:c>
      <x:c r="V2626" s="6" t="str">
        <x:v>wall adjacency from polygons</x:v>
      </x:c>
      <x:c r="W2626" s="6" t="str">
        <x:v>Missing boundary-adjacency tool. Door connectivity does not answer this question.</x:v>
      </x:c>
      <x:c r="X2626" s="6" t="str">
        <x:v>data/train/resplan-11816/questions.jsonl</x:v>
      </x:c>
      <x:c r="Y2626" s="14" t="n">
        <x:v>2</x:v>
      </x:c>
      <x:c r="Z2626" s="6" t="str">
        <x:v>https://github.com/hagenhaeussler/Industrial-Agents-Hackathon-2026/blob/f41616590b69f3ea0c1cbfb41d6c35edd9ce53df/data/train/resplan-11816/questions.jsonl#L2</x:v>
      </x:c>
      <x:c r="AA2626" s="6" t="str">
        <x:v>resplan</x:v>
      </x:c>
      <x:c r="AB2626" s="6" t="str">
        <x:v>CC-BY-4.0</x:v>
      </x:c>
    </x:row>
    <x:row r="2627" ht="82" customHeight="1">
      <x:c r="A2627" s="14" t="n">
        <x:v>2622</x:v>
      </x:c>
      <x:c r="B2627" s="6" t="str">
        <x:v>shared_walls_count</x:v>
      </x:c>
      <x:c r="C2627" s="6" t="str">
        <x:v>We're soundproofing Bathroom 0.06 (Ground floor). How many other rooms on that floor share a wall with it? Count every room whose wall runs along it for at least 1 m, with or without a door between them; corridors, stairwells and lifts don't count. Finish with a line 'Answer: &lt;number&gt;'.</x:v>
      </x:c>
      <x:c r="D2627" s="6" t="str">
        <x:v>3 rooms</x:v>
      </x:c>
      <x:c r="E2627" s="6" t="str">
        <x:v>Reference supplied</x:v>
      </x:c>
      <x:c r="F2627" s="6" t="str">
        <x:v>train</x:v>
      </x:c>
      <x:c r="G2627" s="6" t="str">
        <x:v>resplan-120</x:v>
      </x:c>
      <x:c r="H2627" s="6" t="str">
        <x:v>resplan-120-H05</x:v>
      </x:c>
      <x:c r="I2627" s="6" t="str">
        <x:v>Spatial relationships</x:v>
      </x:c>
      <x:c r="J2627" s="6" t="str">
        <x:v>Benchmark</x:v>
      </x:c>
      <x:c r="K2627" s="6" t="str">
        <x:v>Answer: &lt;one exact integer&gt;</x:v>
      </x:c>
      <x:c r="L2627" s="6" t="str">
        <x:v>T02, T08, T14</x:v>
      </x:c>
      <x:c r="M2627" s="6" t="str">
        <x:v>Count other rooms sharing at least 1 m of wall with a room.</x:v>
      </x:c>
      <x:c r="N2627" s="6" t="str">
        <x:v>{"type":"number","value":3,"unit":"rooms","relative_tolerance":0,"absolute_tolerance":0}</x:v>
      </x:c>
      <x:c r="O2627" s="6" t="str">
        <x:v>{"start":"resplan-120-F0-S006"}</x:v>
      </x:c>
      <x:c r="P2627" s="6" t="str">
        <x:v>Same floor. Other type=room spaces. &gt;=1 m wall run within 0.35 m. Door not required.</x:v>
      </x:c>
      <x:c r="Q2627" s="15" t="n">
        <x:v>3</x:v>
      </x:c>
      <x:c r="R2627" s="6" t="str">
        <x:v>rooms</x:v>
      </x:c>
      <x:c r="S2627" s="16" t="n">
        <x:v>0</x:v>
      </x:c>
      <x:c r="T2627" s="15" t="n">
        <x:v>0</x:v>
      </x:c>
      <x:c r="U2627" s="6" t="str">
        <x:v>Answer: 3</x:v>
      </x:c>
      <x:c r="V2627" s="6" t="str">
        <x:v>wall adjacency from polygons</x:v>
      </x:c>
      <x:c r="W2627" s="6" t="str">
        <x:v>Missing boundary-adjacency tool. Door connectivity does not answer this question.</x:v>
      </x:c>
      <x:c r="X2627" s="6" t="str">
        <x:v>data/train/resplan-120/questions.jsonl</x:v>
      </x:c>
      <x:c r="Y2627" s="14" t="n">
        <x:v>5</x:v>
      </x:c>
      <x:c r="Z2627" s="6" t="str">
        <x:v>https://github.com/hagenhaeussler/Industrial-Agents-Hackathon-2026/blob/f41616590b69f3ea0c1cbfb41d6c35edd9ce53df/data/train/resplan-120/questions.jsonl#L5</x:v>
      </x:c>
      <x:c r="AA2627" s="6" t="str">
        <x:v>resplan</x:v>
      </x:c>
      <x:c r="AB2627" s="6" t="str">
        <x:v>CC-BY-4.0</x:v>
      </x:c>
    </x:row>
    <x:row r="2628" ht="82" customHeight="1">
      <x:c r="A2628" s="14" t="n">
        <x:v>2623</x:v>
      </x:c>
      <x:c r="B2628" s="6" t="str">
        <x:v>shared_walls_count</x:v>
      </x:c>
      <x:c r="C2628"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28" s="6" t="str">
        <x:v>4 rooms</x:v>
      </x:c>
      <x:c r="E2628" s="6" t="str">
        <x:v>Reference supplied</x:v>
      </x:c>
      <x:c r="F2628" s="6" t="str">
        <x:v>train</x:v>
      </x:c>
      <x:c r="G2628" s="6" t="str">
        <x:v>resplan-1224</x:v>
      </x:c>
      <x:c r="H2628" s="6" t="str">
        <x:v>resplan-1224-H02</x:v>
      </x:c>
      <x:c r="I2628" s="6" t="str">
        <x:v>Spatial relationships</x:v>
      </x:c>
      <x:c r="J2628" s="6" t="str">
        <x:v>Benchmark</x:v>
      </x:c>
      <x:c r="K2628" s="6" t="str">
        <x:v>Answer: &lt;one exact integer&gt;</x:v>
      </x:c>
      <x:c r="L2628" s="6" t="str">
        <x:v>T02, T08, T14</x:v>
      </x:c>
      <x:c r="M2628" s="6" t="str">
        <x:v>Count other rooms sharing at least 1 m of wall with a room.</x:v>
      </x:c>
      <x:c r="N2628" s="6" t="str">
        <x:v>{"type":"number","value":4,"unit":"rooms","relative_tolerance":0,"absolute_tolerance":0}</x:v>
      </x:c>
      <x:c r="O2628" s="6" t="str">
        <x:v>{"start":"resplan-1224-F0-S002"}</x:v>
      </x:c>
      <x:c r="P2628" s="6" t="str">
        <x:v>Same floor. Other type=room spaces. &gt;=1 m wall run within 0.35 m. Door not required.</x:v>
      </x:c>
      <x:c r="Q2628" s="15" t="n">
        <x:v>4</x:v>
      </x:c>
      <x:c r="R2628" s="6" t="str">
        <x:v>rooms</x:v>
      </x:c>
      <x:c r="S2628" s="16" t="n">
        <x:v>0</x:v>
      </x:c>
      <x:c r="T2628" s="15" t="n">
        <x:v>0</x:v>
      </x:c>
      <x:c r="U2628" s="6" t="str">
        <x:v>Answer: 4</x:v>
      </x:c>
      <x:c r="V2628" s="6" t="str">
        <x:v>wall adjacency from polygons</x:v>
      </x:c>
      <x:c r="W2628" s="6" t="str">
        <x:v>Missing boundary-adjacency tool. Door connectivity does not answer this question.</x:v>
      </x:c>
      <x:c r="X2628" s="6" t="str">
        <x:v>data/train/resplan-1224/questions.jsonl</x:v>
      </x:c>
      <x:c r="Y2628" s="14" t="n">
        <x:v>2</x:v>
      </x:c>
      <x:c r="Z2628" s="6" t="str">
        <x:v>https://github.com/hagenhaeussler/Industrial-Agents-Hackathon-2026/blob/f41616590b69f3ea0c1cbfb41d6c35edd9ce53df/data/train/resplan-1224/questions.jsonl#L2</x:v>
      </x:c>
      <x:c r="AA2628" s="6" t="str">
        <x:v>resplan</x:v>
      </x:c>
      <x:c r="AB2628" s="6" t="str">
        <x:v>CC-BY-4.0</x:v>
      </x:c>
    </x:row>
    <x:row r="2629" ht="82" customHeight="1">
      <x:c r="A2629" s="14" t="n">
        <x:v>2624</x:v>
      </x:c>
      <x:c r="B2629" s="6" t="str">
        <x:v>shared_walls_count</x:v>
      </x:c>
      <x:c r="C2629"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29" s="6" t="str">
        <x:v>3 rooms</x:v>
      </x:c>
      <x:c r="E2629" s="6" t="str">
        <x:v>Reference supplied</x:v>
      </x:c>
      <x:c r="F2629" s="6" t="str">
        <x:v>train</x:v>
      </x:c>
      <x:c r="G2629" s="6" t="str">
        <x:v>resplan-12304</x:v>
      </x:c>
      <x:c r="H2629" s="6" t="str">
        <x:v>resplan-12304-H02</x:v>
      </x:c>
      <x:c r="I2629" s="6" t="str">
        <x:v>Spatial relationships</x:v>
      </x:c>
      <x:c r="J2629" s="6" t="str">
        <x:v>Benchmark</x:v>
      </x:c>
      <x:c r="K2629" s="6" t="str">
        <x:v>Answer: &lt;one exact integer&gt;</x:v>
      </x:c>
      <x:c r="L2629" s="6" t="str">
        <x:v>T02, T08, T14</x:v>
      </x:c>
      <x:c r="M2629" s="6" t="str">
        <x:v>Count other rooms sharing at least 1 m of wall with a room.</x:v>
      </x:c>
      <x:c r="N2629" s="6" t="str">
        <x:v>{"type":"number","value":3,"unit":"rooms","relative_tolerance":0,"absolute_tolerance":0}</x:v>
      </x:c>
      <x:c r="O2629" s="6" t="str">
        <x:v>{"start":"resplan-12304-F0-S002"}</x:v>
      </x:c>
      <x:c r="P2629" s="6" t="str">
        <x:v>Same floor. Other type=room spaces. &gt;=1 m wall run within 0.35 m. Door not required.</x:v>
      </x:c>
      <x:c r="Q2629" s="15" t="n">
        <x:v>3</x:v>
      </x:c>
      <x:c r="R2629" s="6" t="str">
        <x:v>rooms</x:v>
      </x:c>
      <x:c r="S2629" s="16" t="n">
        <x:v>0</x:v>
      </x:c>
      <x:c r="T2629" s="15" t="n">
        <x:v>0</x:v>
      </x:c>
      <x:c r="U2629" s="6" t="str">
        <x:v>Answer: 3</x:v>
      </x:c>
      <x:c r="V2629" s="6" t="str">
        <x:v>wall adjacency from polygons</x:v>
      </x:c>
      <x:c r="W2629" s="6" t="str">
        <x:v>Missing boundary-adjacency tool. Door connectivity does not answer this question.</x:v>
      </x:c>
      <x:c r="X2629" s="6" t="str">
        <x:v>data/train/resplan-12304/questions.jsonl</x:v>
      </x:c>
      <x:c r="Y2629" s="14" t="n">
        <x:v>2</x:v>
      </x:c>
      <x:c r="Z2629" s="6" t="str">
        <x:v>https://github.com/hagenhaeussler/Industrial-Agents-Hackathon-2026/blob/f41616590b69f3ea0c1cbfb41d6c35edd9ce53df/data/train/resplan-12304/questions.jsonl#L2</x:v>
      </x:c>
      <x:c r="AA2629" s="6" t="str">
        <x:v>resplan</x:v>
      </x:c>
      <x:c r="AB2629" s="6" t="str">
        <x:v>CC-BY-4.0</x:v>
      </x:c>
    </x:row>
    <x:row r="2630" ht="82" customHeight="1">
      <x:c r="A2630" s="14" t="n">
        <x:v>2625</x:v>
      </x:c>
      <x:c r="B2630" s="6" t="str">
        <x:v>shared_walls_count</x:v>
      </x:c>
      <x:c r="C2630"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30" s="6" t="str">
        <x:v>6 rooms</x:v>
      </x:c>
      <x:c r="E2630" s="6" t="str">
        <x:v>Reference supplied</x:v>
      </x:c>
      <x:c r="F2630" s="6" t="str">
        <x:v>train</x:v>
      </x:c>
      <x:c r="G2630" s="6" t="str">
        <x:v>resplan-12336</x:v>
      </x:c>
      <x:c r="H2630" s="6" t="str">
        <x:v>resplan-12336-H01</x:v>
      </x:c>
      <x:c r="I2630" s="6" t="str">
        <x:v>Spatial relationships</x:v>
      </x:c>
      <x:c r="J2630" s="6" t="str">
        <x:v>Benchmark</x:v>
      </x:c>
      <x:c r="K2630" s="6" t="str">
        <x:v>Answer: &lt;one exact integer&gt;</x:v>
      </x:c>
      <x:c r="L2630" s="6" t="str">
        <x:v>T02, T08, T14</x:v>
      </x:c>
      <x:c r="M2630" s="6" t="str">
        <x:v>Count other rooms sharing at least 1 m of wall with a room.</x:v>
      </x:c>
      <x:c r="N2630" s="6" t="str">
        <x:v>{"type":"number","value":6,"unit":"rooms","relative_tolerance":0,"absolute_tolerance":0}</x:v>
      </x:c>
      <x:c r="O2630" s="6" t="str">
        <x:v>{"start":"resplan-12336-F0-S001"}</x:v>
      </x:c>
      <x:c r="P2630" s="6" t="str">
        <x:v>Same floor. Other type=room spaces. &gt;=1 m wall run within 0.35 m. Door not required.</x:v>
      </x:c>
      <x:c r="Q2630" s="15" t="n">
        <x:v>6</x:v>
      </x:c>
      <x:c r="R2630" s="6" t="str">
        <x:v>rooms</x:v>
      </x:c>
      <x:c r="S2630" s="16" t="n">
        <x:v>0</x:v>
      </x:c>
      <x:c r="T2630" s="15" t="n">
        <x:v>0</x:v>
      </x:c>
      <x:c r="U2630" s="6" t="str">
        <x:v>Answer: 6</x:v>
      </x:c>
      <x:c r="V2630" s="6" t="str">
        <x:v>wall adjacency from polygons</x:v>
      </x:c>
      <x:c r="W2630" s="6" t="str">
        <x:v>Missing boundary-adjacency tool. Door connectivity does not answer this question.</x:v>
      </x:c>
      <x:c r="X2630" s="6" t="str">
        <x:v>data/train/resplan-12336/questions.jsonl</x:v>
      </x:c>
      <x:c r="Y2630" s="14" t="n">
        <x:v>1</x:v>
      </x:c>
      <x:c r="Z2630" s="6" t="str">
        <x:v>https://github.com/hagenhaeussler/Industrial-Agents-Hackathon-2026/blob/f41616590b69f3ea0c1cbfb41d6c35edd9ce53df/data/train/resplan-12336/questions.jsonl#L1</x:v>
      </x:c>
      <x:c r="AA2630" s="6" t="str">
        <x:v>resplan</x:v>
      </x:c>
      <x:c r="AB2630" s="6" t="str">
        <x:v>CC-BY-4.0</x:v>
      </x:c>
    </x:row>
    <x:row r="2631" ht="82" customHeight="1">
      <x:c r="A2631" s="14" t="n">
        <x:v>2626</x:v>
      </x:c>
      <x:c r="B2631" s="6" t="str">
        <x:v>shared_walls_count</x:v>
      </x:c>
      <x:c r="C2631"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31" s="6" t="str">
        <x:v>3 rooms</x:v>
      </x:c>
      <x:c r="E2631" s="6" t="str">
        <x:v>Reference supplied</x:v>
      </x:c>
      <x:c r="F2631" s="6" t="str">
        <x:v>train</x:v>
      </x:c>
      <x:c r="G2631" s="6" t="str">
        <x:v>resplan-12750</x:v>
      </x:c>
      <x:c r="H2631" s="6" t="str">
        <x:v>resplan-12750-H02</x:v>
      </x:c>
      <x:c r="I2631" s="6" t="str">
        <x:v>Spatial relationships</x:v>
      </x:c>
      <x:c r="J2631" s="6" t="str">
        <x:v>Benchmark</x:v>
      </x:c>
      <x:c r="K2631" s="6" t="str">
        <x:v>Answer: &lt;one exact integer&gt;</x:v>
      </x:c>
      <x:c r="L2631" s="6" t="str">
        <x:v>T02, T08, T14</x:v>
      </x:c>
      <x:c r="M2631" s="6" t="str">
        <x:v>Count other rooms sharing at least 1 m of wall with a room.</x:v>
      </x:c>
      <x:c r="N2631" s="6" t="str">
        <x:v>{"type":"number","value":3,"unit":"rooms","relative_tolerance":0,"absolute_tolerance":0}</x:v>
      </x:c>
      <x:c r="O2631" s="6" t="str">
        <x:v>{"start":"resplan-12750-F0-S002"}</x:v>
      </x:c>
      <x:c r="P2631" s="6" t="str">
        <x:v>Same floor. Other type=room spaces. &gt;=1 m wall run within 0.35 m. Door not required.</x:v>
      </x:c>
      <x:c r="Q2631" s="15" t="n">
        <x:v>3</x:v>
      </x:c>
      <x:c r="R2631" s="6" t="str">
        <x:v>rooms</x:v>
      </x:c>
      <x:c r="S2631" s="16" t="n">
        <x:v>0</x:v>
      </x:c>
      <x:c r="T2631" s="15" t="n">
        <x:v>0</x:v>
      </x:c>
      <x:c r="U2631" s="6" t="str">
        <x:v>Answer: 3</x:v>
      </x:c>
      <x:c r="V2631" s="6" t="str">
        <x:v>wall adjacency from polygons</x:v>
      </x:c>
      <x:c r="W2631" s="6" t="str">
        <x:v>Missing boundary-adjacency tool. Door connectivity does not answer this question.</x:v>
      </x:c>
      <x:c r="X2631" s="6" t="str">
        <x:v>data/train/resplan-12750/questions.jsonl</x:v>
      </x:c>
      <x:c r="Y2631" s="14" t="n">
        <x:v>2</x:v>
      </x:c>
      <x:c r="Z2631" s="6" t="str">
        <x:v>https://github.com/hagenhaeussler/Industrial-Agents-Hackathon-2026/blob/f41616590b69f3ea0c1cbfb41d6c35edd9ce53df/data/train/resplan-12750/questions.jsonl#L2</x:v>
      </x:c>
      <x:c r="AA2631" s="6" t="str">
        <x:v>resplan</x:v>
      </x:c>
      <x:c r="AB2631" s="6" t="str">
        <x:v>CC-BY-4.0</x:v>
      </x:c>
    </x:row>
    <x:row r="2632" ht="82" customHeight="1">
      <x:c r="A2632" s="14" t="n">
        <x:v>2627</x:v>
      </x:c>
      <x:c r="B2632" s="6" t="str">
        <x:v>shared_walls_count</x:v>
      </x:c>
      <x:c r="C2632"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632" s="6" t="str">
        <x:v>4 rooms</x:v>
      </x:c>
      <x:c r="E2632" s="6" t="str">
        <x:v>Reference supplied</x:v>
      </x:c>
      <x:c r="F2632" s="6" t="str">
        <x:v>train</x:v>
      </x:c>
      <x:c r="G2632" s="6" t="str">
        <x:v>resplan-12844</x:v>
      </x:c>
      <x:c r="H2632" s="6" t="str">
        <x:v>resplan-12844-H02</x:v>
      </x:c>
      <x:c r="I2632" s="6" t="str">
        <x:v>Spatial relationships</x:v>
      </x:c>
      <x:c r="J2632" s="6" t="str">
        <x:v>Benchmark</x:v>
      </x:c>
      <x:c r="K2632" s="6" t="str">
        <x:v>Answer: &lt;one exact integer&gt;</x:v>
      </x:c>
      <x:c r="L2632" s="6" t="str">
        <x:v>T02, T08, T14</x:v>
      </x:c>
      <x:c r="M2632" s="6" t="str">
        <x:v>Count other rooms sharing at least 1 m of wall with a room.</x:v>
      </x:c>
      <x:c r="N2632" s="6" t="str">
        <x:v>{"type":"number","value":4,"unit":"rooms","relative_tolerance":0,"absolute_tolerance":0}</x:v>
      </x:c>
      <x:c r="O2632" s="6" t="str">
        <x:v>{"start":"resplan-12844-F0-S003"}</x:v>
      </x:c>
      <x:c r="P2632" s="6" t="str">
        <x:v>Same floor. Other type=room spaces. &gt;=1 m wall run within 0.35 m. Door not required.</x:v>
      </x:c>
      <x:c r="Q2632" s="15" t="n">
        <x:v>4</x:v>
      </x:c>
      <x:c r="R2632" s="6" t="str">
        <x:v>rooms</x:v>
      </x:c>
      <x:c r="S2632" s="16" t="n">
        <x:v>0</x:v>
      </x:c>
      <x:c r="T2632" s="15" t="n">
        <x:v>0</x:v>
      </x:c>
      <x:c r="U2632" s="6" t="str">
        <x:v>Answer: 4</x:v>
      </x:c>
      <x:c r="V2632" s="6" t="str">
        <x:v>wall adjacency from polygons</x:v>
      </x:c>
      <x:c r="W2632" s="6" t="str">
        <x:v>Missing boundary-adjacency tool. Door connectivity does not answer this question.</x:v>
      </x:c>
      <x:c r="X2632" s="6" t="str">
        <x:v>data/train/resplan-12844/questions.jsonl</x:v>
      </x:c>
      <x:c r="Y2632" s="14" t="n">
        <x:v>2</x:v>
      </x:c>
      <x:c r="Z2632" s="6" t="str">
        <x:v>https://github.com/hagenhaeussler/Industrial-Agents-Hackathon-2026/blob/f41616590b69f3ea0c1cbfb41d6c35edd9ce53df/data/train/resplan-12844/questions.jsonl#L2</x:v>
      </x:c>
      <x:c r="AA2632" s="6" t="str">
        <x:v>resplan</x:v>
      </x:c>
      <x:c r="AB2632" s="6" t="str">
        <x:v>CC-BY-4.0</x:v>
      </x:c>
    </x:row>
    <x:row r="2633" ht="82" customHeight="1">
      <x:c r="A2633" s="14" t="n">
        <x:v>2628</x:v>
      </x:c>
      <x:c r="B2633" s="6" t="str">
        <x:v>shared_walls_count</x:v>
      </x:c>
      <x:c r="C2633" s="6" t="str">
        <x:v>We're soundproofing Bathroom 0.04 (Ground floor). How many other rooms on that floor share a wall with it? Count every room whose wall runs along it for at least 1 m, with or without a door between them; corridors, stairwells and lifts don't count. Finish with a line 'Answer: &lt;number&gt;'.</x:v>
      </x:c>
      <x:c r="D2633" s="6" t="str">
        <x:v>3 rooms</x:v>
      </x:c>
      <x:c r="E2633" s="6" t="str">
        <x:v>Reference supplied</x:v>
      </x:c>
      <x:c r="F2633" s="6" t="str">
        <x:v>train</x:v>
      </x:c>
      <x:c r="G2633" s="6" t="str">
        <x:v>resplan-12878</x:v>
      </x:c>
      <x:c r="H2633" s="6" t="str">
        <x:v>resplan-12878-H01</x:v>
      </x:c>
      <x:c r="I2633" s="6" t="str">
        <x:v>Spatial relationships</x:v>
      </x:c>
      <x:c r="J2633" s="6" t="str">
        <x:v>Benchmark</x:v>
      </x:c>
      <x:c r="K2633" s="6" t="str">
        <x:v>Answer: &lt;one exact integer&gt;</x:v>
      </x:c>
      <x:c r="L2633" s="6" t="str">
        <x:v>T02, T08, T14</x:v>
      </x:c>
      <x:c r="M2633" s="6" t="str">
        <x:v>Count other rooms sharing at least 1 m of wall with a room.</x:v>
      </x:c>
      <x:c r="N2633" s="6" t="str">
        <x:v>{"type":"number","value":3,"unit":"rooms","relative_tolerance":0,"absolute_tolerance":0}</x:v>
      </x:c>
      <x:c r="O2633" s="6" t="str">
        <x:v>{"start":"resplan-12878-F0-S004"}</x:v>
      </x:c>
      <x:c r="P2633" s="6" t="str">
        <x:v>Same floor. Other type=room spaces. &gt;=1 m wall run within 0.35 m. Door not required.</x:v>
      </x:c>
      <x:c r="Q2633" s="15" t="n">
        <x:v>3</x:v>
      </x:c>
      <x:c r="R2633" s="6" t="str">
        <x:v>rooms</x:v>
      </x:c>
      <x:c r="S2633" s="16" t="n">
        <x:v>0</x:v>
      </x:c>
      <x:c r="T2633" s="15" t="n">
        <x:v>0</x:v>
      </x:c>
      <x:c r="U2633" s="6" t="str">
        <x:v>Answer: 3</x:v>
      </x:c>
      <x:c r="V2633" s="6" t="str">
        <x:v>wall adjacency from polygons</x:v>
      </x:c>
      <x:c r="W2633" s="6" t="str">
        <x:v>Missing boundary-adjacency tool. Door connectivity does not answer this question.</x:v>
      </x:c>
      <x:c r="X2633" s="6" t="str">
        <x:v>data/train/resplan-12878/questions.jsonl</x:v>
      </x:c>
      <x:c r="Y2633" s="14" t="n">
        <x:v>1</x:v>
      </x:c>
      <x:c r="Z2633" s="6" t="str">
        <x:v>https://github.com/hagenhaeussler/Industrial-Agents-Hackathon-2026/blob/f41616590b69f3ea0c1cbfb41d6c35edd9ce53df/data/train/resplan-12878/questions.jsonl#L1</x:v>
      </x:c>
      <x:c r="AA2633" s="6" t="str">
        <x:v>resplan</x:v>
      </x:c>
      <x:c r="AB2633" s="6" t="str">
        <x:v>CC-BY-4.0</x:v>
      </x:c>
    </x:row>
    <x:row r="2634" ht="82" customHeight="1">
      <x:c r="A2634" s="14" t="n">
        <x:v>2629</x:v>
      </x:c>
      <x:c r="B2634" s="6" t="str">
        <x:v>shared_walls_count</x:v>
      </x:c>
      <x:c r="C2634" s="6" t="str">
        <x:v>We're soundproofing Bedroom 0.04 (Ground floor). How many other rooms on that floor share a wall with it? Count every room whose wall runs along it for at least 1 m, with or without a door between them; corridors, stairwells and lifts don't count. Finish with a line 'Answer: &lt;number&gt;'.</x:v>
      </x:c>
      <x:c r="D2634" s="6" t="str">
        <x:v>4 rooms</x:v>
      </x:c>
      <x:c r="E2634" s="6" t="str">
        <x:v>Reference supplied</x:v>
      </x:c>
      <x:c r="F2634" s="6" t="str">
        <x:v>train</x:v>
      </x:c>
      <x:c r="G2634" s="6" t="str">
        <x:v>resplan-12985</x:v>
      </x:c>
      <x:c r="H2634" s="6" t="str">
        <x:v>resplan-12985-H04</x:v>
      </x:c>
      <x:c r="I2634" s="6" t="str">
        <x:v>Spatial relationships</x:v>
      </x:c>
      <x:c r="J2634" s="6" t="str">
        <x:v>Benchmark</x:v>
      </x:c>
      <x:c r="K2634" s="6" t="str">
        <x:v>Answer: &lt;one exact integer&gt;</x:v>
      </x:c>
      <x:c r="L2634" s="6" t="str">
        <x:v>T02, T08, T14</x:v>
      </x:c>
      <x:c r="M2634" s="6" t="str">
        <x:v>Count other rooms sharing at least 1 m of wall with a room.</x:v>
      </x:c>
      <x:c r="N2634" s="6" t="str">
        <x:v>{"type":"number","value":4,"unit":"rooms","relative_tolerance":0,"absolute_tolerance":0}</x:v>
      </x:c>
      <x:c r="O2634" s="6" t="str">
        <x:v>{"start":"resplan-12985-F0-S004"}</x:v>
      </x:c>
      <x:c r="P2634" s="6" t="str">
        <x:v>Same floor. Other type=room spaces. &gt;=1 m wall run within 0.35 m. Door not required.</x:v>
      </x:c>
      <x:c r="Q2634" s="15" t="n">
        <x:v>4</x:v>
      </x:c>
      <x:c r="R2634" s="6" t="str">
        <x:v>rooms</x:v>
      </x:c>
      <x:c r="S2634" s="16" t="n">
        <x:v>0</x:v>
      </x:c>
      <x:c r="T2634" s="15" t="n">
        <x:v>0</x:v>
      </x:c>
      <x:c r="U2634" s="6" t="str">
        <x:v>Answer: 4</x:v>
      </x:c>
      <x:c r="V2634" s="6" t="str">
        <x:v>wall adjacency from polygons</x:v>
      </x:c>
      <x:c r="W2634" s="6" t="str">
        <x:v>Missing boundary-adjacency tool. Door connectivity does not answer this question.</x:v>
      </x:c>
      <x:c r="X2634" s="6" t="str">
        <x:v>data/train/resplan-12985/questions.jsonl</x:v>
      </x:c>
      <x:c r="Y2634" s="14" t="n">
        <x:v>4</x:v>
      </x:c>
      <x:c r="Z2634" s="6" t="str">
        <x:v>https://github.com/hagenhaeussler/Industrial-Agents-Hackathon-2026/blob/f41616590b69f3ea0c1cbfb41d6c35edd9ce53df/data/train/resplan-12985/questions.jsonl#L4</x:v>
      </x:c>
      <x:c r="AA2634" s="6" t="str">
        <x:v>resplan</x:v>
      </x:c>
      <x:c r="AB2634" s="6" t="str">
        <x:v>CC-BY-4.0</x:v>
      </x:c>
    </x:row>
    <x:row r="2635" ht="82" customHeight="1">
      <x:c r="A2635" s="14" t="n">
        <x:v>2630</x:v>
      </x:c>
      <x:c r="B2635" s="6" t="str">
        <x:v>shared_walls_count</x:v>
      </x:c>
      <x:c r="C2635"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35" s="6" t="str">
        <x:v>3 rooms</x:v>
      </x:c>
      <x:c r="E2635" s="6" t="str">
        <x:v>Reference supplied</x:v>
      </x:c>
      <x:c r="F2635" s="6" t="str">
        <x:v>train</x:v>
      </x:c>
      <x:c r="G2635" s="6" t="str">
        <x:v>resplan-13024</x:v>
      </x:c>
      <x:c r="H2635" s="6" t="str">
        <x:v>resplan-13024-H04</x:v>
      </x:c>
      <x:c r="I2635" s="6" t="str">
        <x:v>Spatial relationships</x:v>
      </x:c>
      <x:c r="J2635" s="6" t="str">
        <x:v>Benchmark</x:v>
      </x:c>
      <x:c r="K2635" s="6" t="str">
        <x:v>Answer: &lt;one exact integer&gt;</x:v>
      </x:c>
      <x:c r="L2635" s="6" t="str">
        <x:v>T02, T08, T14</x:v>
      </x:c>
      <x:c r="M2635" s="6" t="str">
        <x:v>Count other rooms sharing at least 1 m of wall with a room.</x:v>
      </x:c>
      <x:c r="N2635" s="6" t="str">
        <x:v>{"type":"number","value":3,"unit":"rooms","relative_tolerance":0,"absolute_tolerance":0}</x:v>
      </x:c>
      <x:c r="O2635" s="6" t="str">
        <x:v>{"start":"resplan-13024-F0-S002"}</x:v>
      </x:c>
      <x:c r="P2635" s="6" t="str">
        <x:v>Same floor. Other type=room spaces. &gt;=1 m wall run within 0.35 m. Door not required.</x:v>
      </x:c>
      <x:c r="Q2635" s="15" t="n">
        <x:v>3</x:v>
      </x:c>
      <x:c r="R2635" s="6" t="str">
        <x:v>rooms</x:v>
      </x:c>
      <x:c r="S2635" s="16" t="n">
        <x:v>0</x:v>
      </x:c>
      <x:c r="T2635" s="15" t="n">
        <x:v>0</x:v>
      </x:c>
      <x:c r="U2635" s="6" t="str">
        <x:v>Answer: 3</x:v>
      </x:c>
      <x:c r="V2635" s="6" t="str">
        <x:v>wall adjacency from polygons</x:v>
      </x:c>
      <x:c r="W2635" s="6" t="str">
        <x:v>Missing boundary-adjacency tool. Door connectivity does not answer this question.</x:v>
      </x:c>
      <x:c r="X2635" s="6" t="str">
        <x:v>data/train/resplan-13024/questions.jsonl</x:v>
      </x:c>
      <x:c r="Y2635" s="14" t="n">
        <x:v>4</x:v>
      </x:c>
      <x:c r="Z2635" s="6" t="str">
        <x:v>https://github.com/hagenhaeussler/Industrial-Agents-Hackathon-2026/blob/f41616590b69f3ea0c1cbfb41d6c35edd9ce53df/data/train/resplan-13024/questions.jsonl#L4</x:v>
      </x:c>
      <x:c r="AA2635" s="6" t="str">
        <x:v>resplan</x:v>
      </x:c>
      <x:c r="AB2635" s="6" t="str">
        <x:v>CC-BY-4.0</x:v>
      </x:c>
    </x:row>
    <x:row r="2636" ht="82" customHeight="1">
      <x:c r="A2636" s="14" t="n">
        <x:v>2631</x:v>
      </x:c>
      <x:c r="B2636" s="6" t="str">
        <x:v>shared_walls_count</x:v>
      </x:c>
      <x:c r="C2636" s="6" t="str">
        <x:v>We're soundproofing Bathroom 0.07 (Ground floor). How many other rooms on that floor share a wall with it? Count every room whose wall runs along it for at least 1 m, with or without a door between them; corridors, stairwells and lifts don't count. Finish with a line 'Answer: &lt;number&gt;'.</x:v>
      </x:c>
      <x:c r="D2636" s="6" t="str">
        <x:v>3 rooms</x:v>
      </x:c>
      <x:c r="E2636" s="6" t="str">
        <x:v>Reference supplied</x:v>
      </x:c>
      <x:c r="F2636" s="6" t="str">
        <x:v>train</x:v>
      </x:c>
      <x:c r="G2636" s="6" t="str">
        <x:v>resplan-13846</x:v>
      </x:c>
      <x:c r="H2636" s="6" t="str">
        <x:v>resplan-13846-H03</x:v>
      </x:c>
      <x:c r="I2636" s="6" t="str">
        <x:v>Spatial relationships</x:v>
      </x:c>
      <x:c r="J2636" s="6" t="str">
        <x:v>Benchmark</x:v>
      </x:c>
      <x:c r="K2636" s="6" t="str">
        <x:v>Answer: &lt;one exact integer&gt;</x:v>
      </x:c>
      <x:c r="L2636" s="6" t="str">
        <x:v>T02, T08, T14</x:v>
      </x:c>
      <x:c r="M2636" s="6" t="str">
        <x:v>Count other rooms sharing at least 1 m of wall with a room.</x:v>
      </x:c>
      <x:c r="N2636" s="6" t="str">
        <x:v>{"type":"number","value":3,"unit":"rooms","relative_tolerance":0,"absolute_tolerance":0}</x:v>
      </x:c>
      <x:c r="O2636" s="6" t="str">
        <x:v>{"start":"resplan-13846-F0-S007"}</x:v>
      </x:c>
      <x:c r="P2636" s="6" t="str">
        <x:v>Same floor. Other type=room spaces. &gt;=1 m wall run within 0.35 m. Door not required.</x:v>
      </x:c>
      <x:c r="Q2636" s="15" t="n">
        <x:v>3</x:v>
      </x:c>
      <x:c r="R2636" s="6" t="str">
        <x:v>rooms</x:v>
      </x:c>
      <x:c r="S2636" s="16" t="n">
        <x:v>0</x:v>
      </x:c>
      <x:c r="T2636" s="15" t="n">
        <x:v>0</x:v>
      </x:c>
      <x:c r="U2636" s="6" t="str">
        <x:v>Answer: 3</x:v>
      </x:c>
      <x:c r="V2636" s="6" t="str">
        <x:v>wall adjacency from polygons</x:v>
      </x:c>
      <x:c r="W2636" s="6" t="str">
        <x:v>Missing boundary-adjacency tool. Door connectivity does not answer this question.</x:v>
      </x:c>
      <x:c r="X2636" s="6" t="str">
        <x:v>data/train/resplan-13846/questions.jsonl</x:v>
      </x:c>
      <x:c r="Y2636" s="14" t="n">
        <x:v>3</x:v>
      </x:c>
      <x:c r="Z2636" s="6" t="str">
        <x:v>https://github.com/hagenhaeussler/Industrial-Agents-Hackathon-2026/blob/f41616590b69f3ea0c1cbfb41d6c35edd9ce53df/data/train/resplan-13846/questions.jsonl#L3</x:v>
      </x:c>
      <x:c r="AA2636" s="6" t="str">
        <x:v>resplan</x:v>
      </x:c>
      <x:c r="AB2636" s="6" t="str">
        <x:v>CC-BY-4.0</x:v>
      </x:c>
    </x:row>
    <x:row r="2637" ht="82" customHeight="1">
      <x:c r="A2637" s="14" t="n">
        <x:v>2632</x:v>
      </x:c>
      <x:c r="B2637" s="6" t="str">
        <x:v>shared_walls_count</x:v>
      </x:c>
      <x:c r="C2637"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37" s="6" t="str">
        <x:v>3 rooms</x:v>
      </x:c>
      <x:c r="E2637" s="6" t="str">
        <x:v>Reference supplied</x:v>
      </x:c>
      <x:c r="F2637" s="6" t="str">
        <x:v>train</x:v>
      </x:c>
      <x:c r="G2637" s="6" t="str">
        <x:v>resplan-14211</x:v>
      </x:c>
      <x:c r="H2637" s="6" t="str">
        <x:v>resplan-14211-H02</x:v>
      </x:c>
      <x:c r="I2637" s="6" t="str">
        <x:v>Spatial relationships</x:v>
      </x:c>
      <x:c r="J2637" s="6" t="str">
        <x:v>Benchmark</x:v>
      </x:c>
      <x:c r="K2637" s="6" t="str">
        <x:v>Answer: &lt;one exact integer&gt;</x:v>
      </x:c>
      <x:c r="L2637" s="6" t="str">
        <x:v>T02, T08, T14</x:v>
      </x:c>
      <x:c r="M2637" s="6" t="str">
        <x:v>Count other rooms sharing at least 1 m of wall with a room.</x:v>
      </x:c>
      <x:c r="N2637" s="6" t="str">
        <x:v>{"type":"number","value":3,"unit":"rooms","relative_tolerance":0,"absolute_tolerance":0}</x:v>
      </x:c>
      <x:c r="O2637" s="6" t="str">
        <x:v>{"start":"resplan-14211-F0-S002"}</x:v>
      </x:c>
      <x:c r="P2637" s="6" t="str">
        <x:v>Same floor. Other type=room spaces. &gt;=1 m wall run within 0.35 m. Door not required.</x:v>
      </x:c>
      <x:c r="Q2637" s="15" t="n">
        <x:v>3</x:v>
      </x:c>
      <x:c r="R2637" s="6" t="str">
        <x:v>rooms</x:v>
      </x:c>
      <x:c r="S2637" s="16" t="n">
        <x:v>0</x:v>
      </x:c>
      <x:c r="T2637" s="15" t="n">
        <x:v>0</x:v>
      </x:c>
      <x:c r="U2637" s="6" t="str">
        <x:v>Answer: 3</x:v>
      </x:c>
      <x:c r="V2637" s="6" t="str">
        <x:v>wall adjacency from polygons</x:v>
      </x:c>
      <x:c r="W2637" s="6" t="str">
        <x:v>Missing boundary-adjacency tool. Door connectivity does not answer this question.</x:v>
      </x:c>
      <x:c r="X2637" s="6" t="str">
        <x:v>data/train/resplan-14211/questions.jsonl</x:v>
      </x:c>
      <x:c r="Y2637" s="14" t="n">
        <x:v>2</x:v>
      </x:c>
      <x:c r="Z2637" s="6" t="str">
        <x:v>https://github.com/hagenhaeussler/Industrial-Agents-Hackathon-2026/blob/f41616590b69f3ea0c1cbfb41d6c35edd9ce53df/data/train/resplan-14211/questions.jsonl#L2</x:v>
      </x:c>
      <x:c r="AA2637" s="6" t="str">
        <x:v>resplan</x:v>
      </x:c>
      <x:c r="AB2637" s="6" t="str">
        <x:v>CC-BY-4.0</x:v>
      </x:c>
    </x:row>
    <x:row r="2638" ht="82" customHeight="1">
      <x:c r="A2638" s="14" t="n">
        <x:v>2633</x:v>
      </x:c>
      <x:c r="B2638" s="6" t="str">
        <x:v>shared_walls_count</x:v>
      </x:c>
      <x:c r="C2638"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38" s="6" t="str">
        <x:v>7 rooms</x:v>
      </x:c>
      <x:c r="E2638" s="6" t="str">
        <x:v>Reference supplied</x:v>
      </x:c>
      <x:c r="F2638" s="6" t="str">
        <x:v>train</x:v>
      </x:c>
      <x:c r="G2638" s="6" t="str">
        <x:v>resplan-14407</x:v>
      </x:c>
      <x:c r="H2638" s="6" t="str">
        <x:v>resplan-14407-H02</x:v>
      </x:c>
      <x:c r="I2638" s="6" t="str">
        <x:v>Spatial relationships</x:v>
      </x:c>
      <x:c r="J2638" s="6" t="str">
        <x:v>Benchmark</x:v>
      </x:c>
      <x:c r="K2638" s="6" t="str">
        <x:v>Answer: &lt;one exact integer&gt;</x:v>
      </x:c>
      <x:c r="L2638" s="6" t="str">
        <x:v>T02, T08, T14</x:v>
      </x:c>
      <x:c r="M2638" s="6" t="str">
        <x:v>Count other rooms sharing at least 1 m of wall with a room.</x:v>
      </x:c>
      <x:c r="N2638" s="6" t="str">
        <x:v>{"type":"number","value":7,"unit":"rooms","relative_tolerance":0,"absolute_tolerance":0}</x:v>
      </x:c>
      <x:c r="O2638" s="6" t="str">
        <x:v>{"start":"resplan-14407-F0-S001"}</x:v>
      </x:c>
      <x:c r="P2638" s="6" t="str">
        <x:v>Same floor. Other type=room spaces. &gt;=1 m wall run within 0.35 m. Door not required.</x:v>
      </x:c>
      <x:c r="Q2638" s="15" t="n">
        <x:v>7</x:v>
      </x:c>
      <x:c r="R2638" s="6" t="str">
        <x:v>rooms</x:v>
      </x:c>
      <x:c r="S2638" s="16" t="n">
        <x:v>0</x:v>
      </x:c>
      <x:c r="T2638" s="15" t="n">
        <x:v>0</x:v>
      </x:c>
      <x:c r="U2638" s="6" t="str">
        <x:v>Answer: 7</x:v>
      </x:c>
      <x:c r="V2638" s="6" t="str">
        <x:v>wall adjacency from polygons</x:v>
      </x:c>
      <x:c r="W2638" s="6" t="str">
        <x:v>Missing boundary-adjacency tool. Door connectivity does not answer this question.</x:v>
      </x:c>
      <x:c r="X2638" s="6" t="str">
        <x:v>data/train/resplan-14407/questions.jsonl</x:v>
      </x:c>
      <x:c r="Y2638" s="14" t="n">
        <x:v>2</x:v>
      </x:c>
      <x:c r="Z2638" s="6" t="str">
        <x:v>https://github.com/hagenhaeussler/Industrial-Agents-Hackathon-2026/blob/f41616590b69f3ea0c1cbfb41d6c35edd9ce53df/data/train/resplan-14407/questions.jsonl#L2</x:v>
      </x:c>
      <x:c r="AA2638" s="6" t="str">
        <x:v>resplan</x:v>
      </x:c>
      <x:c r="AB2638" s="6" t="str">
        <x:v>CC-BY-4.0</x:v>
      </x:c>
    </x:row>
    <x:row r="2639" ht="82" customHeight="1">
      <x:c r="A2639" s="14" t="n">
        <x:v>2634</x:v>
      </x:c>
      <x:c r="B2639" s="6" t="str">
        <x:v>shared_walls_count</x:v>
      </x:c>
      <x:c r="C2639"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639" s="6" t="str">
        <x:v>4 rooms</x:v>
      </x:c>
      <x:c r="E2639" s="6" t="str">
        <x:v>Reference supplied</x:v>
      </x:c>
      <x:c r="F2639" s="6" t="str">
        <x:v>train</x:v>
      </x:c>
      <x:c r="G2639" s="6" t="str">
        <x:v>resplan-14602</x:v>
      </x:c>
      <x:c r="H2639" s="6" t="str">
        <x:v>resplan-14602-H05</x:v>
      </x:c>
      <x:c r="I2639" s="6" t="str">
        <x:v>Spatial relationships</x:v>
      </x:c>
      <x:c r="J2639" s="6" t="str">
        <x:v>Benchmark</x:v>
      </x:c>
      <x:c r="K2639" s="6" t="str">
        <x:v>Answer: &lt;one exact integer&gt;</x:v>
      </x:c>
      <x:c r="L2639" s="6" t="str">
        <x:v>T02, T08, T14</x:v>
      </x:c>
      <x:c r="M2639" s="6" t="str">
        <x:v>Count other rooms sharing at least 1 m of wall with a room.</x:v>
      </x:c>
      <x:c r="N2639" s="6" t="str">
        <x:v>{"type":"number","value":4,"unit":"rooms","relative_tolerance":0,"absolute_tolerance":0}</x:v>
      </x:c>
      <x:c r="O2639" s="6" t="str">
        <x:v>{"start":"resplan-14602-F0-S003"}</x:v>
      </x:c>
      <x:c r="P2639" s="6" t="str">
        <x:v>Same floor. Other type=room spaces. &gt;=1 m wall run within 0.35 m. Door not required.</x:v>
      </x:c>
      <x:c r="Q2639" s="15" t="n">
        <x:v>4</x:v>
      </x:c>
      <x:c r="R2639" s="6" t="str">
        <x:v>rooms</x:v>
      </x:c>
      <x:c r="S2639" s="16" t="n">
        <x:v>0</x:v>
      </x:c>
      <x:c r="T2639" s="15" t="n">
        <x:v>0</x:v>
      </x:c>
      <x:c r="U2639" s="6" t="str">
        <x:v>Answer: 4</x:v>
      </x:c>
      <x:c r="V2639" s="6" t="str">
        <x:v>wall adjacency from polygons</x:v>
      </x:c>
      <x:c r="W2639" s="6" t="str">
        <x:v>Missing boundary-adjacency tool. Door connectivity does not answer this question.</x:v>
      </x:c>
      <x:c r="X2639" s="6" t="str">
        <x:v>data/train/resplan-14602/questions.jsonl</x:v>
      </x:c>
      <x:c r="Y2639" s="14" t="n">
        <x:v>5</x:v>
      </x:c>
      <x:c r="Z2639" s="6" t="str">
        <x:v>https://github.com/hagenhaeussler/Industrial-Agents-Hackathon-2026/blob/f41616590b69f3ea0c1cbfb41d6c35edd9ce53df/data/train/resplan-14602/questions.jsonl#L5</x:v>
      </x:c>
      <x:c r="AA2639" s="6" t="str">
        <x:v>resplan</x:v>
      </x:c>
      <x:c r="AB2639" s="6" t="str">
        <x:v>CC-BY-4.0</x:v>
      </x:c>
    </x:row>
    <x:row r="2640" ht="82" customHeight="1">
      <x:c r="A2640" s="14" t="n">
        <x:v>2635</x:v>
      </x:c>
      <x:c r="B2640" s="6" t="str">
        <x:v>shared_walls_count</x:v>
      </x:c>
      <x:c r="C2640"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640" s="6" t="str">
        <x:v>3 rooms</x:v>
      </x:c>
      <x:c r="E2640" s="6" t="str">
        <x:v>Reference supplied</x:v>
      </x:c>
      <x:c r="F2640" s="6" t="str">
        <x:v>train</x:v>
      </x:c>
      <x:c r="G2640" s="6" t="str">
        <x:v>resplan-15074</x:v>
      </x:c>
      <x:c r="H2640" s="6" t="str">
        <x:v>resplan-15074-H02</x:v>
      </x:c>
      <x:c r="I2640" s="6" t="str">
        <x:v>Spatial relationships</x:v>
      </x:c>
      <x:c r="J2640" s="6" t="str">
        <x:v>Benchmark</x:v>
      </x:c>
      <x:c r="K2640" s="6" t="str">
        <x:v>Answer: &lt;one exact integer&gt;</x:v>
      </x:c>
      <x:c r="L2640" s="6" t="str">
        <x:v>T02, T08, T14</x:v>
      </x:c>
      <x:c r="M2640" s="6" t="str">
        <x:v>Count other rooms sharing at least 1 m of wall with a room.</x:v>
      </x:c>
      <x:c r="N2640" s="6" t="str">
        <x:v>{"type":"number","value":3,"unit":"rooms","relative_tolerance":0,"absolute_tolerance":0}</x:v>
      </x:c>
      <x:c r="O2640" s="6" t="str">
        <x:v>{"start":"resplan-15074-F0-S003"}</x:v>
      </x:c>
      <x:c r="P2640" s="6" t="str">
        <x:v>Same floor. Other type=room spaces. &gt;=1 m wall run within 0.35 m. Door not required.</x:v>
      </x:c>
      <x:c r="Q2640" s="15" t="n">
        <x:v>3</x:v>
      </x:c>
      <x:c r="R2640" s="6" t="str">
        <x:v>rooms</x:v>
      </x:c>
      <x:c r="S2640" s="16" t="n">
        <x:v>0</x:v>
      </x:c>
      <x:c r="T2640" s="15" t="n">
        <x:v>0</x:v>
      </x:c>
      <x:c r="U2640" s="6" t="str">
        <x:v>Answer: 3</x:v>
      </x:c>
      <x:c r="V2640" s="6" t="str">
        <x:v>wall adjacency from polygons</x:v>
      </x:c>
      <x:c r="W2640" s="6" t="str">
        <x:v>Missing boundary-adjacency tool. Door connectivity does not answer this question.</x:v>
      </x:c>
      <x:c r="X2640" s="6" t="str">
        <x:v>data/train/resplan-15074/questions.jsonl</x:v>
      </x:c>
      <x:c r="Y2640" s="14" t="n">
        <x:v>2</x:v>
      </x:c>
      <x:c r="Z2640" s="6" t="str">
        <x:v>https://github.com/hagenhaeussler/Industrial-Agents-Hackathon-2026/blob/f41616590b69f3ea0c1cbfb41d6c35edd9ce53df/data/train/resplan-15074/questions.jsonl#L2</x:v>
      </x:c>
      <x:c r="AA2640" s="6" t="str">
        <x:v>resplan</x:v>
      </x:c>
      <x:c r="AB2640" s="6" t="str">
        <x:v>CC-BY-4.0</x:v>
      </x:c>
    </x:row>
    <x:row r="2641" ht="82" customHeight="1">
      <x:c r="A2641" s="14" t="n">
        <x:v>2636</x:v>
      </x:c>
      <x:c r="B2641" s="6" t="str">
        <x:v>shared_walls_count</x:v>
      </x:c>
      <x:c r="C2641"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41" s="6" t="str">
        <x:v>5 rooms</x:v>
      </x:c>
      <x:c r="E2641" s="6" t="str">
        <x:v>Reference supplied</x:v>
      </x:c>
      <x:c r="F2641" s="6" t="str">
        <x:v>train</x:v>
      </x:c>
      <x:c r="G2641" s="6" t="str">
        <x:v>resplan-15183</x:v>
      </x:c>
      <x:c r="H2641" s="6" t="str">
        <x:v>resplan-15183-H02</x:v>
      </x:c>
      <x:c r="I2641" s="6" t="str">
        <x:v>Spatial relationships</x:v>
      </x:c>
      <x:c r="J2641" s="6" t="str">
        <x:v>Benchmark</x:v>
      </x:c>
      <x:c r="K2641" s="6" t="str">
        <x:v>Answer: &lt;one exact integer&gt;</x:v>
      </x:c>
      <x:c r="L2641" s="6" t="str">
        <x:v>T02, T08, T14</x:v>
      </x:c>
      <x:c r="M2641" s="6" t="str">
        <x:v>Count other rooms sharing at least 1 m of wall with a room.</x:v>
      </x:c>
      <x:c r="N2641" s="6" t="str">
        <x:v>{"type":"number","value":5,"unit":"rooms","relative_tolerance":0,"absolute_tolerance":0}</x:v>
      </x:c>
      <x:c r="O2641" s="6" t="str">
        <x:v>{"start":"resplan-15183-F0-S001"}</x:v>
      </x:c>
      <x:c r="P2641" s="6" t="str">
        <x:v>Same floor. Other type=room spaces. &gt;=1 m wall run within 0.35 m. Door not required.</x:v>
      </x:c>
      <x:c r="Q2641" s="15" t="n">
        <x:v>5</x:v>
      </x:c>
      <x:c r="R2641" s="6" t="str">
        <x:v>rooms</x:v>
      </x:c>
      <x:c r="S2641" s="16" t="n">
        <x:v>0</x:v>
      </x:c>
      <x:c r="T2641" s="15" t="n">
        <x:v>0</x:v>
      </x:c>
      <x:c r="U2641" s="6" t="str">
        <x:v>Answer: 5</x:v>
      </x:c>
      <x:c r="V2641" s="6" t="str">
        <x:v>wall adjacency from polygons</x:v>
      </x:c>
      <x:c r="W2641" s="6" t="str">
        <x:v>Missing boundary-adjacency tool. Door connectivity does not answer this question.</x:v>
      </x:c>
      <x:c r="X2641" s="6" t="str">
        <x:v>data/train/resplan-15183/questions.jsonl</x:v>
      </x:c>
      <x:c r="Y2641" s="14" t="n">
        <x:v>2</x:v>
      </x:c>
      <x:c r="Z2641" s="6" t="str">
        <x:v>https://github.com/hagenhaeussler/Industrial-Agents-Hackathon-2026/blob/f41616590b69f3ea0c1cbfb41d6c35edd9ce53df/data/train/resplan-15183/questions.jsonl#L2</x:v>
      </x:c>
      <x:c r="AA2641" s="6" t="str">
        <x:v>resplan</x:v>
      </x:c>
      <x:c r="AB2641" s="6" t="str">
        <x:v>CC-BY-4.0</x:v>
      </x:c>
    </x:row>
    <x:row r="2642" ht="82" customHeight="1">
      <x:c r="A2642" s="14" t="n">
        <x:v>2637</x:v>
      </x:c>
      <x:c r="B2642" s="6" t="str">
        <x:v>shared_walls_count</x:v>
      </x:c>
      <x:c r="C2642"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42" s="6" t="str">
        <x:v>3 rooms</x:v>
      </x:c>
      <x:c r="E2642" s="6" t="str">
        <x:v>Reference supplied</x:v>
      </x:c>
      <x:c r="F2642" s="6" t="str">
        <x:v>train</x:v>
      </x:c>
      <x:c r="G2642" s="6" t="str">
        <x:v>resplan-15550</x:v>
      </x:c>
      <x:c r="H2642" s="6" t="str">
        <x:v>resplan-15550-H01</x:v>
      </x:c>
      <x:c r="I2642" s="6" t="str">
        <x:v>Spatial relationships</x:v>
      </x:c>
      <x:c r="J2642" s="6" t="str">
        <x:v>Benchmark</x:v>
      </x:c>
      <x:c r="K2642" s="6" t="str">
        <x:v>Answer: &lt;one exact integer&gt;</x:v>
      </x:c>
      <x:c r="L2642" s="6" t="str">
        <x:v>T02, T08, T14</x:v>
      </x:c>
      <x:c r="M2642" s="6" t="str">
        <x:v>Count other rooms sharing at least 1 m of wall with a room.</x:v>
      </x:c>
      <x:c r="N2642" s="6" t="str">
        <x:v>{"type":"number","value":3,"unit":"rooms","relative_tolerance":0,"absolute_tolerance":0}</x:v>
      </x:c>
      <x:c r="O2642" s="6" t="str">
        <x:v>{"start":"resplan-15550-F0-S002"}</x:v>
      </x:c>
      <x:c r="P2642" s="6" t="str">
        <x:v>Same floor. Other type=room spaces. &gt;=1 m wall run within 0.35 m. Door not required.</x:v>
      </x:c>
      <x:c r="Q2642" s="15" t="n">
        <x:v>3</x:v>
      </x:c>
      <x:c r="R2642" s="6" t="str">
        <x:v>rooms</x:v>
      </x:c>
      <x:c r="S2642" s="16" t="n">
        <x:v>0</x:v>
      </x:c>
      <x:c r="T2642" s="15" t="n">
        <x:v>0</x:v>
      </x:c>
      <x:c r="U2642" s="6" t="str">
        <x:v>Answer: 3</x:v>
      </x:c>
      <x:c r="V2642" s="6" t="str">
        <x:v>wall adjacency from polygons</x:v>
      </x:c>
      <x:c r="W2642" s="6" t="str">
        <x:v>Missing boundary-adjacency tool. Door connectivity does not answer this question.</x:v>
      </x:c>
      <x:c r="X2642" s="6" t="str">
        <x:v>data/train/resplan-15550/questions.jsonl</x:v>
      </x:c>
      <x:c r="Y2642" s="14" t="n">
        <x:v>1</x:v>
      </x:c>
      <x:c r="Z2642" s="6" t="str">
        <x:v>https://github.com/hagenhaeussler/Industrial-Agents-Hackathon-2026/blob/f41616590b69f3ea0c1cbfb41d6c35edd9ce53df/data/train/resplan-15550/questions.jsonl#L1</x:v>
      </x:c>
      <x:c r="AA2642" s="6" t="str">
        <x:v>resplan</x:v>
      </x:c>
      <x:c r="AB2642" s="6" t="str">
        <x:v>CC-BY-4.0</x:v>
      </x:c>
    </x:row>
    <x:row r="2643" ht="82" customHeight="1">
      <x:c r="A2643" s="14" t="n">
        <x:v>2638</x:v>
      </x:c>
      <x:c r="B2643" s="6" t="str">
        <x:v>shared_walls_count</x:v>
      </x:c>
      <x:c r="C2643" s="6" t="str">
        <x:v>We're soundproofing Bathroom 0.04 (Ground floor). How many other rooms on that floor share a wall with it? Count every room whose wall runs along it for at least 1 m, with or without a door between them; corridors, stairwells and lifts don't count. Finish with a line 'Answer: &lt;number&gt;'.</x:v>
      </x:c>
      <x:c r="D2643" s="6" t="str">
        <x:v>4 rooms</x:v>
      </x:c>
      <x:c r="E2643" s="6" t="str">
        <x:v>Reference supplied</x:v>
      </x:c>
      <x:c r="F2643" s="6" t="str">
        <x:v>train</x:v>
      </x:c>
      <x:c r="G2643" s="6" t="str">
        <x:v>resplan-15793</x:v>
      </x:c>
      <x:c r="H2643" s="6" t="str">
        <x:v>resplan-15793-H01</x:v>
      </x:c>
      <x:c r="I2643" s="6" t="str">
        <x:v>Spatial relationships</x:v>
      </x:c>
      <x:c r="J2643" s="6" t="str">
        <x:v>Benchmark</x:v>
      </x:c>
      <x:c r="K2643" s="6" t="str">
        <x:v>Answer: &lt;one exact integer&gt;</x:v>
      </x:c>
      <x:c r="L2643" s="6" t="str">
        <x:v>T02, T08, T14</x:v>
      </x:c>
      <x:c r="M2643" s="6" t="str">
        <x:v>Count other rooms sharing at least 1 m of wall with a room.</x:v>
      </x:c>
      <x:c r="N2643" s="6" t="str">
        <x:v>{"type":"number","value":4,"unit":"rooms","relative_tolerance":0,"absolute_tolerance":0}</x:v>
      </x:c>
      <x:c r="O2643" s="6" t="str">
        <x:v>{"start":"resplan-15793-F0-S004"}</x:v>
      </x:c>
      <x:c r="P2643" s="6" t="str">
        <x:v>Same floor. Other type=room spaces. &gt;=1 m wall run within 0.35 m. Door not required.</x:v>
      </x:c>
      <x:c r="Q2643" s="15" t="n">
        <x:v>4</x:v>
      </x:c>
      <x:c r="R2643" s="6" t="str">
        <x:v>rooms</x:v>
      </x:c>
      <x:c r="S2643" s="16" t="n">
        <x:v>0</x:v>
      </x:c>
      <x:c r="T2643" s="15" t="n">
        <x:v>0</x:v>
      </x:c>
      <x:c r="U2643" s="6" t="str">
        <x:v>Answer: 4</x:v>
      </x:c>
      <x:c r="V2643" s="6" t="str">
        <x:v>wall adjacency from polygons</x:v>
      </x:c>
      <x:c r="W2643" s="6" t="str">
        <x:v>Missing boundary-adjacency tool. Door connectivity does not answer this question.</x:v>
      </x:c>
      <x:c r="X2643" s="6" t="str">
        <x:v>data/train/resplan-15793/questions.jsonl</x:v>
      </x:c>
      <x:c r="Y2643" s="14" t="n">
        <x:v>1</x:v>
      </x:c>
      <x:c r="Z2643" s="6" t="str">
        <x:v>https://github.com/hagenhaeussler/Industrial-Agents-Hackathon-2026/blob/f41616590b69f3ea0c1cbfb41d6c35edd9ce53df/data/train/resplan-15793/questions.jsonl#L1</x:v>
      </x:c>
      <x:c r="AA2643" s="6" t="str">
        <x:v>resplan</x:v>
      </x:c>
      <x:c r="AB2643" s="6" t="str">
        <x:v>CC-BY-4.0</x:v>
      </x:c>
    </x:row>
    <x:row r="2644" ht="82" customHeight="1">
      <x:c r="A2644" s="14" t="n">
        <x:v>2639</x:v>
      </x:c>
      <x:c r="B2644" s="6" t="str">
        <x:v>shared_walls_count</x:v>
      </x:c>
      <x:c r="C2644"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644" s="6" t="str">
        <x:v>3 rooms</x:v>
      </x:c>
      <x:c r="E2644" s="6" t="str">
        <x:v>Reference supplied</x:v>
      </x:c>
      <x:c r="F2644" s="6" t="str">
        <x:v>train</x:v>
      </x:c>
      <x:c r="G2644" s="6" t="str">
        <x:v>resplan-16407</x:v>
      </x:c>
      <x:c r="H2644" s="6" t="str">
        <x:v>resplan-16407-H02</x:v>
      </x:c>
      <x:c r="I2644" s="6" t="str">
        <x:v>Spatial relationships</x:v>
      </x:c>
      <x:c r="J2644" s="6" t="str">
        <x:v>Benchmark</x:v>
      </x:c>
      <x:c r="K2644" s="6" t="str">
        <x:v>Answer: &lt;one exact integer&gt;</x:v>
      </x:c>
      <x:c r="L2644" s="6" t="str">
        <x:v>T02, T08, T14</x:v>
      </x:c>
      <x:c r="M2644" s="6" t="str">
        <x:v>Count other rooms sharing at least 1 m of wall with a room.</x:v>
      </x:c>
      <x:c r="N2644" s="6" t="str">
        <x:v>{"type":"number","value":3,"unit":"rooms","relative_tolerance":0,"absolute_tolerance":0}</x:v>
      </x:c>
      <x:c r="O2644" s="6" t="str">
        <x:v>{"start":"resplan-16407-F0-S003"}</x:v>
      </x:c>
      <x:c r="P2644" s="6" t="str">
        <x:v>Same floor. Other type=room spaces. &gt;=1 m wall run within 0.35 m. Door not required.</x:v>
      </x:c>
      <x:c r="Q2644" s="15" t="n">
        <x:v>3</x:v>
      </x:c>
      <x:c r="R2644" s="6" t="str">
        <x:v>rooms</x:v>
      </x:c>
      <x:c r="S2644" s="16" t="n">
        <x:v>0</x:v>
      </x:c>
      <x:c r="T2644" s="15" t="n">
        <x:v>0</x:v>
      </x:c>
      <x:c r="U2644" s="6" t="str">
        <x:v>Answer: 3</x:v>
      </x:c>
      <x:c r="V2644" s="6" t="str">
        <x:v>wall adjacency from polygons</x:v>
      </x:c>
      <x:c r="W2644" s="6" t="str">
        <x:v>Missing boundary-adjacency tool. Door connectivity does not answer this question.</x:v>
      </x:c>
      <x:c r="X2644" s="6" t="str">
        <x:v>data/train/resplan-16407/questions.jsonl</x:v>
      </x:c>
      <x:c r="Y2644" s="14" t="n">
        <x:v>2</x:v>
      </x:c>
      <x:c r="Z2644" s="6" t="str">
        <x:v>https://github.com/hagenhaeussler/Industrial-Agents-Hackathon-2026/blob/f41616590b69f3ea0c1cbfb41d6c35edd9ce53df/data/train/resplan-16407/questions.jsonl#L2</x:v>
      </x:c>
      <x:c r="AA2644" s="6" t="str">
        <x:v>resplan</x:v>
      </x:c>
      <x:c r="AB2644" s="6" t="str">
        <x:v>CC-BY-4.0</x:v>
      </x:c>
    </x:row>
    <x:row r="2645" ht="82" customHeight="1">
      <x:c r="A2645" s="14" t="n">
        <x:v>2640</x:v>
      </x:c>
      <x:c r="B2645" s="6" t="str">
        <x:v>shared_walls_count</x:v>
      </x:c>
      <x:c r="C2645" s="6" t="str">
        <x:v>We're soundproofing Bathroom 0.05 (Ground floor). How many other rooms on that floor share a wall with it? Count every room whose wall runs along it for at least 1 m, with or without a door between them; corridors, stairwells and lifts don't count. Finish with a line 'Answer: &lt;number&gt;'.</x:v>
      </x:c>
      <x:c r="D2645" s="6" t="str">
        <x:v>4 rooms</x:v>
      </x:c>
      <x:c r="E2645" s="6" t="str">
        <x:v>Reference supplied</x:v>
      </x:c>
      <x:c r="F2645" s="6" t="str">
        <x:v>train</x:v>
      </x:c>
      <x:c r="G2645" s="6" t="str">
        <x:v>resplan-16484</x:v>
      </x:c>
      <x:c r="H2645" s="6" t="str">
        <x:v>resplan-16484-H05</x:v>
      </x:c>
      <x:c r="I2645" s="6" t="str">
        <x:v>Spatial relationships</x:v>
      </x:c>
      <x:c r="J2645" s="6" t="str">
        <x:v>Benchmark</x:v>
      </x:c>
      <x:c r="K2645" s="6" t="str">
        <x:v>Answer: &lt;one exact integer&gt;</x:v>
      </x:c>
      <x:c r="L2645" s="6" t="str">
        <x:v>T02, T08, T14</x:v>
      </x:c>
      <x:c r="M2645" s="6" t="str">
        <x:v>Count other rooms sharing at least 1 m of wall with a room.</x:v>
      </x:c>
      <x:c r="N2645" s="6" t="str">
        <x:v>{"type":"number","value":4,"unit":"rooms","relative_tolerance":0,"absolute_tolerance":0}</x:v>
      </x:c>
      <x:c r="O2645" s="6" t="str">
        <x:v>{"start":"resplan-16484-F0-S005"}</x:v>
      </x:c>
      <x:c r="P2645" s="6" t="str">
        <x:v>Same floor. Other type=room spaces. &gt;=1 m wall run within 0.35 m. Door not required.</x:v>
      </x:c>
      <x:c r="Q2645" s="15" t="n">
        <x:v>4</x:v>
      </x:c>
      <x:c r="R2645" s="6" t="str">
        <x:v>rooms</x:v>
      </x:c>
      <x:c r="S2645" s="16" t="n">
        <x:v>0</x:v>
      </x:c>
      <x:c r="T2645" s="15" t="n">
        <x:v>0</x:v>
      </x:c>
      <x:c r="U2645" s="6" t="str">
        <x:v>Answer: 4</x:v>
      </x:c>
      <x:c r="V2645" s="6" t="str">
        <x:v>wall adjacency from polygons</x:v>
      </x:c>
      <x:c r="W2645" s="6" t="str">
        <x:v>Missing boundary-adjacency tool. Door connectivity does not answer this question.</x:v>
      </x:c>
      <x:c r="X2645" s="6" t="str">
        <x:v>data/train/resplan-16484/questions.jsonl</x:v>
      </x:c>
      <x:c r="Y2645" s="14" t="n">
        <x:v>5</x:v>
      </x:c>
      <x:c r="Z2645" s="6" t="str">
        <x:v>https://github.com/hagenhaeussler/Industrial-Agents-Hackathon-2026/blob/f41616590b69f3ea0c1cbfb41d6c35edd9ce53df/data/train/resplan-16484/questions.jsonl#L5</x:v>
      </x:c>
      <x:c r="AA2645" s="6" t="str">
        <x:v>resplan</x:v>
      </x:c>
      <x:c r="AB2645" s="6" t="str">
        <x:v>CC-BY-4.0</x:v>
      </x:c>
    </x:row>
    <x:row r="2646" ht="82" customHeight="1">
      <x:c r="A2646" s="14" t="n">
        <x:v>2641</x:v>
      </x:c>
      <x:c r="B2646" s="6" t="str">
        <x:v>shared_walls_count</x:v>
      </x:c>
      <x:c r="C2646"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46" s="6" t="str">
        <x:v>6 rooms</x:v>
      </x:c>
      <x:c r="E2646" s="6" t="str">
        <x:v>Reference supplied</x:v>
      </x:c>
      <x:c r="F2646" s="6" t="str">
        <x:v>train</x:v>
      </x:c>
      <x:c r="G2646" s="6" t="str">
        <x:v>resplan-16778</x:v>
      </x:c>
      <x:c r="H2646" s="6" t="str">
        <x:v>resplan-16778-H04</x:v>
      </x:c>
      <x:c r="I2646" s="6" t="str">
        <x:v>Spatial relationships</x:v>
      </x:c>
      <x:c r="J2646" s="6" t="str">
        <x:v>Benchmark</x:v>
      </x:c>
      <x:c r="K2646" s="6" t="str">
        <x:v>Answer: &lt;one exact integer&gt;</x:v>
      </x:c>
      <x:c r="L2646" s="6" t="str">
        <x:v>T02, T08, T14</x:v>
      </x:c>
      <x:c r="M2646" s="6" t="str">
        <x:v>Count other rooms sharing at least 1 m of wall with a room.</x:v>
      </x:c>
      <x:c r="N2646" s="6" t="str">
        <x:v>{"type":"number","value":6,"unit":"rooms","relative_tolerance":0,"absolute_tolerance":0}</x:v>
      </x:c>
      <x:c r="O2646" s="6" t="str">
        <x:v>{"start":"resplan-16778-F0-S001"}</x:v>
      </x:c>
      <x:c r="P2646" s="6" t="str">
        <x:v>Same floor. Other type=room spaces. &gt;=1 m wall run within 0.35 m. Door not required.</x:v>
      </x:c>
      <x:c r="Q2646" s="15" t="n">
        <x:v>6</x:v>
      </x:c>
      <x:c r="R2646" s="6" t="str">
        <x:v>rooms</x:v>
      </x:c>
      <x:c r="S2646" s="16" t="n">
        <x:v>0</x:v>
      </x:c>
      <x:c r="T2646" s="15" t="n">
        <x:v>0</x:v>
      </x:c>
      <x:c r="U2646" s="6" t="str">
        <x:v>Answer: 6</x:v>
      </x:c>
      <x:c r="V2646" s="6" t="str">
        <x:v>wall adjacency from polygons</x:v>
      </x:c>
      <x:c r="W2646" s="6" t="str">
        <x:v>Missing boundary-adjacency tool. Door connectivity does not answer this question.</x:v>
      </x:c>
      <x:c r="X2646" s="6" t="str">
        <x:v>data/train/resplan-16778/questions.jsonl</x:v>
      </x:c>
      <x:c r="Y2646" s="14" t="n">
        <x:v>4</x:v>
      </x:c>
      <x:c r="Z2646" s="6" t="str">
        <x:v>https://github.com/hagenhaeussler/Industrial-Agents-Hackathon-2026/blob/f41616590b69f3ea0c1cbfb41d6c35edd9ce53df/data/train/resplan-16778/questions.jsonl#L4</x:v>
      </x:c>
      <x:c r="AA2646" s="6" t="str">
        <x:v>resplan</x:v>
      </x:c>
      <x:c r="AB2646" s="6" t="str">
        <x:v>CC-BY-4.0</x:v>
      </x:c>
    </x:row>
    <x:row r="2647" ht="82" customHeight="1">
      <x:c r="A2647" s="14" t="n">
        <x:v>2642</x:v>
      </x:c>
      <x:c r="B2647" s="6" t="str">
        <x:v>shared_walls_count</x:v>
      </x:c>
      <x:c r="C2647"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47" s="6" t="str">
        <x:v>3 rooms</x:v>
      </x:c>
      <x:c r="E2647" s="6" t="str">
        <x:v>Reference supplied</x:v>
      </x:c>
      <x:c r="F2647" s="6" t="str">
        <x:v>train</x:v>
      </x:c>
      <x:c r="G2647" s="6" t="str">
        <x:v>resplan-1702</x:v>
      </x:c>
      <x:c r="H2647" s="6" t="str">
        <x:v>resplan-1702-H01</x:v>
      </x:c>
      <x:c r="I2647" s="6" t="str">
        <x:v>Spatial relationships</x:v>
      </x:c>
      <x:c r="J2647" s="6" t="str">
        <x:v>Benchmark</x:v>
      </x:c>
      <x:c r="K2647" s="6" t="str">
        <x:v>Answer: &lt;one exact integer&gt;</x:v>
      </x:c>
      <x:c r="L2647" s="6" t="str">
        <x:v>T02, T08, T14</x:v>
      </x:c>
      <x:c r="M2647" s="6" t="str">
        <x:v>Count other rooms sharing at least 1 m of wall with a room.</x:v>
      </x:c>
      <x:c r="N2647" s="6" t="str">
        <x:v>{"type":"number","value":3,"unit":"rooms","relative_tolerance":0,"absolute_tolerance":0}</x:v>
      </x:c>
      <x:c r="O2647" s="6" t="str">
        <x:v>{"start":"resplan-1702-F0-S002"}</x:v>
      </x:c>
      <x:c r="P2647" s="6" t="str">
        <x:v>Same floor. Other type=room spaces. &gt;=1 m wall run within 0.35 m. Door not required.</x:v>
      </x:c>
      <x:c r="Q2647" s="15" t="n">
        <x:v>3</x:v>
      </x:c>
      <x:c r="R2647" s="6" t="str">
        <x:v>rooms</x:v>
      </x:c>
      <x:c r="S2647" s="16" t="n">
        <x:v>0</x:v>
      </x:c>
      <x:c r="T2647" s="15" t="n">
        <x:v>0</x:v>
      </x:c>
      <x:c r="U2647" s="6" t="str">
        <x:v>Answer: 3</x:v>
      </x:c>
      <x:c r="V2647" s="6" t="str">
        <x:v>wall adjacency from polygons</x:v>
      </x:c>
      <x:c r="W2647" s="6" t="str">
        <x:v>Missing boundary-adjacency tool. Door connectivity does not answer this question.</x:v>
      </x:c>
      <x:c r="X2647" s="6" t="str">
        <x:v>data/train/resplan-1702/questions.jsonl</x:v>
      </x:c>
      <x:c r="Y2647" s="14" t="n">
        <x:v>1</x:v>
      </x:c>
      <x:c r="Z2647" s="6" t="str">
        <x:v>https://github.com/hagenhaeussler/Industrial-Agents-Hackathon-2026/blob/f41616590b69f3ea0c1cbfb41d6c35edd9ce53df/data/train/resplan-1702/questions.jsonl#L1</x:v>
      </x:c>
      <x:c r="AA2647" s="6" t="str">
        <x:v>resplan</x:v>
      </x:c>
      <x:c r="AB2647" s="6" t="str">
        <x:v>CC-BY-4.0</x:v>
      </x:c>
    </x:row>
    <x:row r="2648" ht="82" customHeight="1">
      <x:c r="A2648" s="14" t="n">
        <x:v>2643</x:v>
      </x:c>
      <x:c r="B2648" s="6" t="str">
        <x:v>shared_walls_count</x:v>
      </x:c>
      <x:c r="C2648"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48" s="6" t="str">
        <x:v>5 rooms</x:v>
      </x:c>
      <x:c r="E2648" s="6" t="str">
        <x:v>Reference supplied</x:v>
      </x:c>
      <x:c r="F2648" s="6" t="str">
        <x:v>train</x:v>
      </x:c>
      <x:c r="G2648" s="6" t="str">
        <x:v>resplan-1804</x:v>
      </x:c>
      <x:c r="H2648" s="6" t="str">
        <x:v>resplan-1804-H01</x:v>
      </x:c>
      <x:c r="I2648" s="6" t="str">
        <x:v>Spatial relationships</x:v>
      </x:c>
      <x:c r="J2648" s="6" t="str">
        <x:v>Benchmark</x:v>
      </x:c>
      <x:c r="K2648" s="6" t="str">
        <x:v>Answer: &lt;one exact integer&gt;</x:v>
      </x:c>
      <x:c r="L2648" s="6" t="str">
        <x:v>T02, T08, T14</x:v>
      </x:c>
      <x:c r="M2648" s="6" t="str">
        <x:v>Count other rooms sharing at least 1 m of wall with a room.</x:v>
      </x:c>
      <x:c r="N2648" s="6" t="str">
        <x:v>{"type":"number","value":5,"unit":"rooms","relative_tolerance":0,"absolute_tolerance":0}</x:v>
      </x:c>
      <x:c r="O2648" s="6" t="str">
        <x:v>{"start":"resplan-1804-F0-S001"}</x:v>
      </x:c>
      <x:c r="P2648" s="6" t="str">
        <x:v>Same floor. Other type=room spaces. &gt;=1 m wall run within 0.35 m. Door not required.</x:v>
      </x:c>
      <x:c r="Q2648" s="15" t="n">
        <x:v>5</x:v>
      </x:c>
      <x:c r="R2648" s="6" t="str">
        <x:v>rooms</x:v>
      </x:c>
      <x:c r="S2648" s="16" t="n">
        <x:v>0</x:v>
      </x:c>
      <x:c r="T2648" s="15" t="n">
        <x:v>0</x:v>
      </x:c>
      <x:c r="U2648" s="6" t="str">
        <x:v>Answer: 5</x:v>
      </x:c>
      <x:c r="V2648" s="6" t="str">
        <x:v>wall adjacency from polygons</x:v>
      </x:c>
      <x:c r="W2648" s="6" t="str">
        <x:v>Missing boundary-adjacency tool. Door connectivity does not answer this question.</x:v>
      </x:c>
      <x:c r="X2648" s="6" t="str">
        <x:v>data/train/resplan-1804/questions.jsonl</x:v>
      </x:c>
      <x:c r="Y2648" s="14" t="n">
        <x:v>1</x:v>
      </x:c>
      <x:c r="Z2648" s="6" t="str">
        <x:v>https://github.com/hagenhaeussler/Industrial-Agents-Hackathon-2026/blob/f41616590b69f3ea0c1cbfb41d6c35edd9ce53df/data/train/resplan-1804/questions.jsonl#L1</x:v>
      </x:c>
      <x:c r="AA2648" s="6" t="str">
        <x:v>resplan</x:v>
      </x:c>
      <x:c r="AB2648" s="6" t="str">
        <x:v>CC-BY-4.0</x:v>
      </x:c>
    </x:row>
    <x:row r="2649" ht="82" customHeight="1">
      <x:c r="A2649" s="14" t="n">
        <x:v>2644</x:v>
      </x:c>
      <x:c r="B2649" s="6" t="str">
        <x:v>shared_walls_count</x:v>
      </x:c>
      <x:c r="C2649"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49" s="6" t="str">
        <x:v>6 rooms</x:v>
      </x:c>
      <x:c r="E2649" s="6" t="str">
        <x:v>Reference supplied</x:v>
      </x:c>
      <x:c r="F2649" s="6" t="str">
        <x:v>train</x:v>
      </x:c>
      <x:c r="G2649" s="6" t="str">
        <x:v>resplan-2100</x:v>
      </x:c>
      <x:c r="H2649" s="6" t="str">
        <x:v>resplan-2100-H03</x:v>
      </x:c>
      <x:c r="I2649" s="6" t="str">
        <x:v>Spatial relationships</x:v>
      </x:c>
      <x:c r="J2649" s="6" t="str">
        <x:v>Benchmark</x:v>
      </x:c>
      <x:c r="K2649" s="6" t="str">
        <x:v>Answer: &lt;one exact integer&gt;</x:v>
      </x:c>
      <x:c r="L2649" s="6" t="str">
        <x:v>T02, T08, T14</x:v>
      </x:c>
      <x:c r="M2649" s="6" t="str">
        <x:v>Count other rooms sharing at least 1 m of wall with a room.</x:v>
      </x:c>
      <x:c r="N2649" s="6" t="str">
        <x:v>{"type":"number","value":6,"unit":"rooms","relative_tolerance":0,"absolute_tolerance":0}</x:v>
      </x:c>
      <x:c r="O2649" s="6" t="str">
        <x:v>{"start":"resplan-2100-F0-S001"}</x:v>
      </x:c>
      <x:c r="P2649" s="6" t="str">
        <x:v>Same floor. Other type=room spaces. &gt;=1 m wall run within 0.35 m. Door not required.</x:v>
      </x:c>
      <x:c r="Q2649" s="15" t="n">
        <x:v>6</x:v>
      </x:c>
      <x:c r="R2649" s="6" t="str">
        <x:v>rooms</x:v>
      </x:c>
      <x:c r="S2649" s="16" t="n">
        <x:v>0</x:v>
      </x:c>
      <x:c r="T2649" s="15" t="n">
        <x:v>0</x:v>
      </x:c>
      <x:c r="U2649" s="6" t="str">
        <x:v>Answer: 6</x:v>
      </x:c>
      <x:c r="V2649" s="6" t="str">
        <x:v>wall adjacency from polygons</x:v>
      </x:c>
      <x:c r="W2649" s="6" t="str">
        <x:v>Missing boundary-adjacency tool. Door connectivity does not answer this question.</x:v>
      </x:c>
      <x:c r="X2649" s="6" t="str">
        <x:v>data/train/resplan-2100/questions.jsonl</x:v>
      </x:c>
      <x:c r="Y2649" s="14" t="n">
        <x:v>3</x:v>
      </x:c>
      <x:c r="Z2649" s="6" t="str">
        <x:v>https://github.com/hagenhaeussler/Industrial-Agents-Hackathon-2026/blob/f41616590b69f3ea0c1cbfb41d6c35edd9ce53df/data/train/resplan-2100/questions.jsonl#L3</x:v>
      </x:c>
      <x:c r="AA2649" s="6" t="str">
        <x:v>resplan</x:v>
      </x:c>
      <x:c r="AB2649" s="6" t="str">
        <x:v>CC-BY-4.0</x:v>
      </x:c>
    </x:row>
    <x:row r="2650" ht="82" customHeight="1">
      <x:c r="A2650" s="14" t="n">
        <x:v>2645</x:v>
      </x:c>
      <x:c r="B2650" s="6" t="str">
        <x:v>shared_walls_count</x:v>
      </x:c>
      <x:c r="C2650"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50" s="6" t="str">
        <x:v>3 rooms</x:v>
      </x:c>
      <x:c r="E2650" s="6" t="str">
        <x:v>Reference supplied</x:v>
      </x:c>
      <x:c r="F2650" s="6" t="str">
        <x:v>train</x:v>
      </x:c>
      <x:c r="G2650" s="6" t="str">
        <x:v>resplan-2247</x:v>
      </x:c>
      <x:c r="H2650" s="6" t="str">
        <x:v>resplan-2247-H02</x:v>
      </x:c>
      <x:c r="I2650" s="6" t="str">
        <x:v>Spatial relationships</x:v>
      </x:c>
      <x:c r="J2650" s="6" t="str">
        <x:v>Benchmark</x:v>
      </x:c>
      <x:c r="K2650" s="6" t="str">
        <x:v>Answer: &lt;one exact integer&gt;</x:v>
      </x:c>
      <x:c r="L2650" s="6" t="str">
        <x:v>T02, T08, T14</x:v>
      </x:c>
      <x:c r="M2650" s="6" t="str">
        <x:v>Count other rooms sharing at least 1 m of wall with a room.</x:v>
      </x:c>
      <x:c r="N2650" s="6" t="str">
        <x:v>{"type":"number","value":3,"unit":"rooms","relative_tolerance":0,"absolute_tolerance":0}</x:v>
      </x:c>
      <x:c r="O2650" s="6" t="str">
        <x:v>{"start":"resplan-2247-F0-S002"}</x:v>
      </x:c>
      <x:c r="P2650" s="6" t="str">
        <x:v>Same floor. Other type=room spaces. &gt;=1 m wall run within 0.35 m. Door not required.</x:v>
      </x:c>
      <x:c r="Q2650" s="15" t="n">
        <x:v>3</x:v>
      </x:c>
      <x:c r="R2650" s="6" t="str">
        <x:v>rooms</x:v>
      </x:c>
      <x:c r="S2650" s="16" t="n">
        <x:v>0</x:v>
      </x:c>
      <x:c r="T2650" s="15" t="n">
        <x:v>0</x:v>
      </x:c>
      <x:c r="U2650" s="6" t="str">
        <x:v>Answer: 3</x:v>
      </x:c>
      <x:c r="V2650" s="6" t="str">
        <x:v>wall adjacency from polygons</x:v>
      </x:c>
      <x:c r="W2650" s="6" t="str">
        <x:v>Missing boundary-adjacency tool. Door connectivity does not answer this question.</x:v>
      </x:c>
      <x:c r="X2650" s="6" t="str">
        <x:v>data/train/resplan-2247/questions.jsonl</x:v>
      </x:c>
      <x:c r="Y2650" s="14" t="n">
        <x:v>2</x:v>
      </x:c>
      <x:c r="Z2650" s="6" t="str">
        <x:v>https://github.com/hagenhaeussler/Industrial-Agents-Hackathon-2026/blob/f41616590b69f3ea0c1cbfb41d6c35edd9ce53df/data/train/resplan-2247/questions.jsonl#L2</x:v>
      </x:c>
      <x:c r="AA2650" s="6" t="str">
        <x:v>resplan</x:v>
      </x:c>
      <x:c r="AB2650" s="6" t="str">
        <x:v>CC-BY-4.0</x:v>
      </x:c>
    </x:row>
    <x:row r="2651" ht="82" customHeight="1">
      <x:c r="A2651" s="14" t="n">
        <x:v>2646</x:v>
      </x:c>
      <x:c r="B2651" s="6" t="str">
        <x:v>shared_walls_count</x:v>
      </x:c>
      <x:c r="C2651"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651" s="6" t="str">
        <x:v>3 rooms</x:v>
      </x:c>
      <x:c r="E2651" s="6" t="str">
        <x:v>Reference supplied</x:v>
      </x:c>
      <x:c r="F2651" s="6" t="str">
        <x:v>train</x:v>
      </x:c>
      <x:c r="G2651" s="6" t="str">
        <x:v>resplan-2478</x:v>
      </x:c>
      <x:c r="H2651" s="6" t="str">
        <x:v>resplan-2478-H02</x:v>
      </x:c>
      <x:c r="I2651" s="6" t="str">
        <x:v>Spatial relationships</x:v>
      </x:c>
      <x:c r="J2651" s="6" t="str">
        <x:v>Benchmark</x:v>
      </x:c>
      <x:c r="K2651" s="6" t="str">
        <x:v>Answer: &lt;one exact integer&gt;</x:v>
      </x:c>
      <x:c r="L2651" s="6" t="str">
        <x:v>T02, T08, T14</x:v>
      </x:c>
      <x:c r="M2651" s="6" t="str">
        <x:v>Count other rooms sharing at least 1 m of wall with a room.</x:v>
      </x:c>
      <x:c r="N2651" s="6" t="str">
        <x:v>{"type":"number","value":3,"unit":"rooms","relative_tolerance":0,"absolute_tolerance":0}</x:v>
      </x:c>
      <x:c r="O2651" s="6" t="str">
        <x:v>{"start":"resplan-2478-F0-S003"}</x:v>
      </x:c>
      <x:c r="P2651" s="6" t="str">
        <x:v>Same floor. Other type=room spaces. &gt;=1 m wall run within 0.35 m. Door not required.</x:v>
      </x:c>
      <x:c r="Q2651" s="15" t="n">
        <x:v>3</x:v>
      </x:c>
      <x:c r="R2651" s="6" t="str">
        <x:v>rooms</x:v>
      </x:c>
      <x:c r="S2651" s="16" t="n">
        <x:v>0</x:v>
      </x:c>
      <x:c r="T2651" s="15" t="n">
        <x:v>0</x:v>
      </x:c>
      <x:c r="U2651" s="6" t="str">
        <x:v>Answer: 3</x:v>
      </x:c>
      <x:c r="V2651" s="6" t="str">
        <x:v>wall adjacency from polygons</x:v>
      </x:c>
      <x:c r="W2651" s="6" t="str">
        <x:v>Missing boundary-adjacency tool. Door connectivity does not answer this question.</x:v>
      </x:c>
      <x:c r="X2651" s="6" t="str">
        <x:v>data/train/resplan-2478/questions.jsonl</x:v>
      </x:c>
      <x:c r="Y2651" s="14" t="n">
        <x:v>2</x:v>
      </x:c>
      <x:c r="Z2651" s="6" t="str">
        <x:v>https://github.com/hagenhaeussler/Industrial-Agents-Hackathon-2026/blob/f41616590b69f3ea0c1cbfb41d6c35edd9ce53df/data/train/resplan-2478/questions.jsonl#L2</x:v>
      </x:c>
      <x:c r="AA2651" s="6" t="str">
        <x:v>resplan</x:v>
      </x:c>
      <x:c r="AB2651" s="6" t="str">
        <x:v>CC-BY-4.0</x:v>
      </x:c>
    </x:row>
    <x:row r="2652" ht="82" customHeight="1">
      <x:c r="A2652" s="14" t="n">
        <x:v>2647</x:v>
      </x:c>
      <x:c r="B2652" s="6" t="str">
        <x:v>shared_walls_count</x:v>
      </x:c>
      <x:c r="C2652"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52" s="6" t="str">
        <x:v>3 rooms</x:v>
      </x:c>
      <x:c r="E2652" s="6" t="str">
        <x:v>Reference supplied</x:v>
      </x:c>
      <x:c r="F2652" s="6" t="str">
        <x:v>train</x:v>
      </x:c>
      <x:c r="G2652" s="6" t="str">
        <x:v>resplan-2515</x:v>
      </x:c>
      <x:c r="H2652" s="6" t="str">
        <x:v>resplan-2515-H04</x:v>
      </x:c>
      <x:c r="I2652" s="6" t="str">
        <x:v>Spatial relationships</x:v>
      </x:c>
      <x:c r="J2652" s="6" t="str">
        <x:v>Benchmark</x:v>
      </x:c>
      <x:c r="K2652" s="6" t="str">
        <x:v>Answer: &lt;one exact integer&gt;</x:v>
      </x:c>
      <x:c r="L2652" s="6" t="str">
        <x:v>T02, T08, T14</x:v>
      </x:c>
      <x:c r="M2652" s="6" t="str">
        <x:v>Count other rooms sharing at least 1 m of wall with a room.</x:v>
      </x:c>
      <x:c r="N2652" s="6" t="str">
        <x:v>{"type":"number","value":3,"unit":"rooms","relative_tolerance":0,"absolute_tolerance":0}</x:v>
      </x:c>
      <x:c r="O2652" s="6" t="str">
        <x:v>{"start":"resplan-2515-F0-S002"}</x:v>
      </x:c>
      <x:c r="P2652" s="6" t="str">
        <x:v>Same floor. Other type=room spaces. &gt;=1 m wall run within 0.35 m. Door not required.</x:v>
      </x:c>
      <x:c r="Q2652" s="15" t="n">
        <x:v>3</x:v>
      </x:c>
      <x:c r="R2652" s="6" t="str">
        <x:v>rooms</x:v>
      </x:c>
      <x:c r="S2652" s="16" t="n">
        <x:v>0</x:v>
      </x:c>
      <x:c r="T2652" s="15" t="n">
        <x:v>0</x:v>
      </x:c>
      <x:c r="U2652" s="6" t="str">
        <x:v>Answer: 3</x:v>
      </x:c>
      <x:c r="V2652" s="6" t="str">
        <x:v>wall adjacency from polygons</x:v>
      </x:c>
      <x:c r="W2652" s="6" t="str">
        <x:v>Missing boundary-adjacency tool. Door connectivity does not answer this question.</x:v>
      </x:c>
      <x:c r="X2652" s="6" t="str">
        <x:v>data/train/resplan-2515/questions.jsonl</x:v>
      </x:c>
      <x:c r="Y2652" s="14" t="n">
        <x:v>4</x:v>
      </x:c>
      <x:c r="Z2652" s="6" t="str">
        <x:v>https://github.com/hagenhaeussler/Industrial-Agents-Hackathon-2026/blob/f41616590b69f3ea0c1cbfb41d6c35edd9ce53df/data/train/resplan-2515/questions.jsonl#L4</x:v>
      </x:c>
      <x:c r="AA2652" s="6" t="str">
        <x:v>resplan</x:v>
      </x:c>
      <x:c r="AB2652" s="6" t="str">
        <x:v>CC-BY-4.0</x:v>
      </x:c>
    </x:row>
    <x:row r="2653" ht="82" customHeight="1">
      <x:c r="A2653" s="14" t="n">
        <x:v>2648</x:v>
      </x:c>
      <x:c r="B2653" s="6" t="str">
        <x:v>shared_walls_count</x:v>
      </x:c>
      <x:c r="C2653"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53" s="6" t="str">
        <x:v>5 rooms</x:v>
      </x:c>
      <x:c r="E2653" s="6" t="str">
        <x:v>Reference supplied</x:v>
      </x:c>
      <x:c r="F2653" s="6" t="str">
        <x:v>train</x:v>
      </x:c>
      <x:c r="G2653" s="6" t="str">
        <x:v>resplan-2587</x:v>
      </x:c>
      <x:c r="H2653" s="6" t="str">
        <x:v>resplan-2587-H01</x:v>
      </x:c>
      <x:c r="I2653" s="6" t="str">
        <x:v>Spatial relationships</x:v>
      </x:c>
      <x:c r="J2653" s="6" t="str">
        <x:v>Benchmark</x:v>
      </x:c>
      <x:c r="K2653" s="6" t="str">
        <x:v>Answer: &lt;one exact integer&gt;</x:v>
      </x:c>
      <x:c r="L2653" s="6" t="str">
        <x:v>T02, T08, T14</x:v>
      </x:c>
      <x:c r="M2653" s="6" t="str">
        <x:v>Count other rooms sharing at least 1 m of wall with a room.</x:v>
      </x:c>
      <x:c r="N2653" s="6" t="str">
        <x:v>{"type":"number","value":5,"unit":"rooms","relative_tolerance":0,"absolute_tolerance":0}</x:v>
      </x:c>
      <x:c r="O2653" s="6" t="str">
        <x:v>{"start":"resplan-2587-F0-S001"}</x:v>
      </x:c>
      <x:c r="P2653" s="6" t="str">
        <x:v>Same floor. Other type=room spaces. &gt;=1 m wall run within 0.35 m. Door not required.</x:v>
      </x:c>
      <x:c r="Q2653" s="15" t="n">
        <x:v>5</x:v>
      </x:c>
      <x:c r="R2653" s="6" t="str">
        <x:v>rooms</x:v>
      </x:c>
      <x:c r="S2653" s="16" t="n">
        <x:v>0</x:v>
      </x:c>
      <x:c r="T2653" s="15" t="n">
        <x:v>0</x:v>
      </x:c>
      <x:c r="U2653" s="6" t="str">
        <x:v>Answer: 5</x:v>
      </x:c>
      <x:c r="V2653" s="6" t="str">
        <x:v>wall adjacency from polygons</x:v>
      </x:c>
      <x:c r="W2653" s="6" t="str">
        <x:v>Missing boundary-adjacency tool. Door connectivity does not answer this question.</x:v>
      </x:c>
      <x:c r="X2653" s="6" t="str">
        <x:v>data/train/resplan-2587/questions.jsonl</x:v>
      </x:c>
      <x:c r="Y2653" s="14" t="n">
        <x:v>1</x:v>
      </x:c>
      <x:c r="Z2653" s="6" t="str">
        <x:v>https://github.com/hagenhaeussler/Industrial-Agents-Hackathon-2026/blob/f41616590b69f3ea0c1cbfb41d6c35edd9ce53df/data/train/resplan-2587/questions.jsonl#L1</x:v>
      </x:c>
      <x:c r="AA2653" s="6" t="str">
        <x:v>resplan</x:v>
      </x:c>
      <x:c r="AB2653" s="6" t="str">
        <x:v>CC-BY-4.0</x:v>
      </x:c>
    </x:row>
    <x:row r="2654" ht="82" customHeight="1">
      <x:c r="A2654" s="14" t="n">
        <x:v>2649</x:v>
      </x:c>
      <x:c r="B2654" s="6" t="str">
        <x:v>shared_walls_count</x:v>
      </x:c>
      <x:c r="C2654" s="6" t="str">
        <x:v>We're soundproofing Bedroom 0.04 (Ground floor). How many other rooms on that floor share a wall with it? Count every room whose wall runs along it for at least 1 m, with or without a door between them; corridors, stairwells and lifts don't count. Finish with a line 'Answer: &lt;number&gt;'.</x:v>
      </x:c>
      <x:c r="D2654" s="6" t="str">
        <x:v>3 rooms</x:v>
      </x:c>
      <x:c r="E2654" s="6" t="str">
        <x:v>Reference supplied</x:v>
      </x:c>
      <x:c r="F2654" s="6" t="str">
        <x:v>train</x:v>
      </x:c>
      <x:c r="G2654" s="6" t="str">
        <x:v>resplan-3207</x:v>
      </x:c>
      <x:c r="H2654" s="6" t="str">
        <x:v>resplan-3207-H03</x:v>
      </x:c>
      <x:c r="I2654" s="6" t="str">
        <x:v>Spatial relationships</x:v>
      </x:c>
      <x:c r="J2654" s="6" t="str">
        <x:v>Benchmark</x:v>
      </x:c>
      <x:c r="K2654" s="6" t="str">
        <x:v>Answer: &lt;one exact integer&gt;</x:v>
      </x:c>
      <x:c r="L2654" s="6" t="str">
        <x:v>T02, T08, T14</x:v>
      </x:c>
      <x:c r="M2654" s="6" t="str">
        <x:v>Count other rooms sharing at least 1 m of wall with a room.</x:v>
      </x:c>
      <x:c r="N2654" s="6" t="str">
        <x:v>{"type":"number","value":3,"unit":"rooms","relative_tolerance":0,"absolute_tolerance":0}</x:v>
      </x:c>
      <x:c r="O2654" s="6" t="str">
        <x:v>{"start":"resplan-3207-F0-S004"}</x:v>
      </x:c>
      <x:c r="P2654" s="6" t="str">
        <x:v>Same floor. Other type=room spaces. &gt;=1 m wall run within 0.35 m. Door not required.</x:v>
      </x:c>
      <x:c r="Q2654" s="15" t="n">
        <x:v>3</x:v>
      </x:c>
      <x:c r="R2654" s="6" t="str">
        <x:v>rooms</x:v>
      </x:c>
      <x:c r="S2654" s="16" t="n">
        <x:v>0</x:v>
      </x:c>
      <x:c r="T2654" s="15" t="n">
        <x:v>0</x:v>
      </x:c>
      <x:c r="U2654" s="6" t="str">
        <x:v>Answer: 3</x:v>
      </x:c>
      <x:c r="V2654" s="6" t="str">
        <x:v>wall adjacency from polygons</x:v>
      </x:c>
      <x:c r="W2654" s="6" t="str">
        <x:v>Missing boundary-adjacency tool. Door connectivity does not answer this question.</x:v>
      </x:c>
      <x:c r="X2654" s="6" t="str">
        <x:v>data/train/resplan-3207/questions.jsonl</x:v>
      </x:c>
      <x:c r="Y2654" s="14" t="n">
        <x:v>3</x:v>
      </x:c>
      <x:c r="Z2654" s="6" t="str">
        <x:v>https://github.com/hagenhaeussler/Industrial-Agents-Hackathon-2026/blob/f41616590b69f3ea0c1cbfb41d6c35edd9ce53df/data/train/resplan-3207/questions.jsonl#L3</x:v>
      </x:c>
      <x:c r="AA2654" s="6" t="str">
        <x:v>resplan</x:v>
      </x:c>
      <x:c r="AB2654" s="6" t="str">
        <x:v>CC-BY-4.0</x:v>
      </x:c>
    </x:row>
    <x:row r="2655" ht="82" customHeight="1">
      <x:c r="A2655" s="14" t="n">
        <x:v>2650</x:v>
      </x:c>
      <x:c r="B2655" s="6" t="str">
        <x:v>shared_walls_count</x:v>
      </x:c>
      <x:c r="C2655" s="6" t="str">
        <x:v>We're soundproofing Bedroom 0.05 (Ground floor). How many other rooms on that floor share a wall with it? Count every room whose wall runs along it for at least 1 m, with or without a door between them; corridors, stairwells and lifts don't count. Finish with a line 'Answer: &lt;number&gt;'.</x:v>
      </x:c>
      <x:c r="D2655" s="6" t="str">
        <x:v>3 rooms</x:v>
      </x:c>
      <x:c r="E2655" s="6" t="str">
        <x:v>Reference supplied</x:v>
      </x:c>
      <x:c r="F2655" s="6" t="str">
        <x:v>train</x:v>
      </x:c>
      <x:c r="G2655" s="6" t="str">
        <x:v>resplan-3221</x:v>
      </x:c>
      <x:c r="H2655" s="6" t="str">
        <x:v>resplan-3221-H04</x:v>
      </x:c>
      <x:c r="I2655" s="6" t="str">
        <x:v>Spatial relationships</x:v>
      </x:c>
      <x:c r="J2655" s="6" t="str">
        <x:v>Benchmark</x:v>
      </x:c>
      <x:c r="K2655" s="6" t="str">
        <x:v>Answer: &lt;one exact integer&gt;</x:v>
      </x:c>
      <x:c r="L2655" s="6" t="str">
        <x:v>T02, T08, T14</x:v>
      </x:c>
      <x:c r="M2655" s="6" t="str">
        <x:v>Count other rooms sharing at least 1 m of wall with a room.</x:v>
      </x:c>
      <x:c r="N2655" s="6" t="str">
        <x:v>{"type":"number","value":3,"unit":"rooms","relative_tolerance":0,"absolute_tolerance":0}</x:v>
      </x:c>
      <x:c r="O2655" s="6" t="str">
        <x:v>{"start":"resplan-3221-F0-S005"}</x:v>
      </x:c>
      <x:c r="P2655" s="6" t="str">
        <x:v>Same floor. Other type=room spaces. &gt;=1 m wall run within 0.35 m. Door not required.</x:v>
      </x:c>
      <x:c r="Q2655" s="15" t="n">
        <x:v>3</x:v>
      </x:c>
      <x:c r="R2655" s="6" t="str">
        <x:v>rooms</x:v>
      </x:c>
      <x:c r="S2655" s="16" t="n">
        <x:v>0</x:v>
      </x:c>
      <x:c r="T2655" s="15" t="n">
        <x:v>0</x:v>
      </x:c>
      <x:c r="U2655" s="6" t="str">
        <x:v>Answer: 3</x:v>
      </x:c>
      <x:c r="V2655" s="6" t="str">
        <x:v>wall adjacency from polygons</x:v>
      </x:c>
      <x:c r="W2655" s="6" t="str">
        <x:v>Missing boundary-adjacency tool. Door connectivity does not answer this question.</x:v>
      </x:c>
      <x:c r="X2655" s="6" t="str">
        <x:v>data/train/resplan-3221/questions.jsonl</x:v>
      </x:c>
      <x:c r="Y2655" s="14" t="n">
        <x:v>4</x:v>
      </x:c>
      <x:c r="Z2655" s="6" t="str">
        <x:v>https://github.com/hagenhaeussler/Industrial-Agents-Hackathon-2026/blob/f41616590b69f3ea0c1cbfb41d6c35edd9ce53df/data/train/resplan-3221/questions.jsonl#L4</x:v>
      </x:c>
      <x:c r="AA2655" s="6" t="str">
        <x:v>resplan</x:v>
      </x:c>
      <x:c r="AB2655" s="6" t="str">
        <x:v>CC-BY-4.0</x:v>
      </x:c>
    </x:row>
    <x:row r="2656" ht="82" customHeight="1">
      <x:c r="A2656" s="14" t="n">
        <x:v>2651</x:v>
      </x:c>
      <x:c r="B2656" s="6" t="str">
        <x:v>shared_walls_count</x:v>
      </x:c>
      <x:c r="C2656"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656" s="6" t="str">
        <x:v>5 rooms</x:v>
      </x:c>
      <x:c r="E2656" s="6" t="str">
        <x:v>Reference supplied</x:v>
      </x:c>
      <x:c r="F2656" s="6" t="str">
        <x:v>train</x:v>
      </x:c>
      <x:c r="G2656" s="6" t="str">
        <x:v>resplan-3806</x:v>
      </x:c>
      <x:c r="H2656" s="6" t="str">
        <x:v>resplan-3806-H03</x:v>
      </x:c>
      <x:c r="I2656" s="6" t="str">
        <x:v>Spatial relationships</x:v>
      </x:c>
      <x:c r="J2656" s="6" t="str">
        <x:v>Benchmark</x:v>
      </x:c>
      <x:c r="K2656" s="6" t="str">
        <x:v>Answer: &lt;one exact integer&gt;</x:v>
      </x:c>
      <x:c r="L2656" s="6" t="str">
        <x:v>T02, T08, T14</x:v>
      </x:c>
      <x:c r="M2656" s="6" t="str">
        <x:v>Count other rooms sharing at least 1 m of wall with a room.</x:v>
      </x:c>
      <x:c r="N2656" s="6" t="str">
        <x:v>{"type":"number","value":5,"unit":"rooms","relative_tolerance":0,"absolute_tolerance":0}</x:v>
      </x:c>
      <x:c r="O2656" s="6" t="str">
        <x:v>{"start":"resplan-3806-F0-S003"}</x:v>
      </x:c>
      <x:c r="P2656" s="6" t="str">
        <x:v>Same floor. Other type=room spaces. &gt;=1 m wall run within 0.35 m. Door not required.</x:v>
      </x:c>
      <x:c r="Q2656" s="15" t="n">
        <x:v>5</x:v>
      </x:c>
      <x:c r="R2656" s="6" t="str">
        <x:v>rooms</x:v>
      </x:c>
      <x:c r="S2656" s="16" t="n">
        <x:v>0</x:v>
      </x:c>
      <x:c r="T2656" s="15" t="n">
        <x:v>0</x:v>
      </x:c>
      <x:c r="U2656" s="6" t="str">
        <x:v>Answer: 5</x:v>
      </x:c>
      <x:c r="V2656" s="6" t="str">
        <x:v>wall adjacency from polygons</x:v>
      </x:c>
      <x:c r="W2656" s="6" t="str">
        <x:v>Missing boundary-adjacency tool. Door connectivity does not answer this question.</x:v>
      </x:c>
      <x:c r="X2656" s="6" t="str">
        <x:v>data/train/resplan-3806/questions.jsonl</x:v>
      </x:c>
      <x:c r="Y2656" s="14" t="n">
        <x:v>3</x:v>
      </x:c>
      <x:c r="Z2656" s="6" t="str">
        <x:v>https://github.com/hagenhaeussler/Industrial-Agents-Hackathon-2026/blob/f41616590b69f3ea0c1cbfb41d6c35edd9ce53df/data/train/resplan-3806/questions.jsonl#L3</x:v>
      </x:c>
      <x:c r="AA2656" s="6" t="str">
        <x:v>resplan</x:v>
      </x:c>
      <x:c r="AB2656" s="6" t="str">
        <x:v>CC-BY-4.0</x:v>
      </x:c>
    </x:row>
    <x:row r="2657" ht="82" customHeight="1">
      <x:c r="A2657" s="14" t="n">
        <x:v>2652</x:v>
      </x:c>
      <x:c r="B2657" s="6" t="str">
        <x:v>shared_walls_count</x:v>
      </x:c>
      <x:c r="C2657"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657" s="6" t="str">
        <x:v>3 rooms</x:v>
      </x:c>
      <x:c r="E2657" s="6" t="str">
        <x:v>Reference supplied</x:v>
      </x:c>
      <x:c r="F2657" s="6" t="str">
        <x:v>train</x:v>
      </x:c>
      <x:c r="G2657" s="6" t="str">
        <x:v>resplan-3971</x:v>
      </x:c>
      <x:c r="H2657" s="6" t="str">
        <x:v>resplan-3971-H02</x:v>
      </x:c>
      <x:c r="I2657" s="6" t="str">
        <x:v>Spatial relationships</x:v>
      </x:c>
      <x:c r="J2657" s="6" t="str">
        <x:v>Benchmark</x:v>
      </x:c>
      <x:c r="K2657" s="6" t="str">
        <x:v>Answer: &lt;one exact integer&gt;</x:v>
      </x:c>
      <x:c r="L2657" s="6" t="str">
        <x:v>T02, T08, T14</x:v>
      </x:c>
      <x:c r="M2657" s="6" t="str">
        <x:v>Count other rooms sharing at least 1 m of wall with a room.</x:v>
      </x:c>
      <x:c r="N2657" s="6" t="str">
        <x:v>{"type":"number","value":3,"unit":"rooms","relative_tolerance":0,"absolute_tolerance":0}</x:v>
      </x:c>
      <x:c r="O2657" s="6" t="str">
        <x:v>{"start":"resplan-3971-F0-S003"}</x:v>
      </x:c>
      <x:c r="P2657" s="6" t="str">
        <x:v>Same floor. Other type=room spaces. &gt;=1 m wall run within 0.35 m. Door not required.</x:v>
      </x:c>
      <x:c r="Q2657" s="15" t="n">
        <x:v>3</x:v>
      </x:c>
      <x:c r="R2657" s="6" t="str">
        <x:v>rooms</x:v>
      </x:c>
      <x:c r="S2657" s="16" t="n">
        <x:v>0</x:v>
      </x:c>
      <x:c r="T2657" s="15" t="n">
        <x:v>0</x:v>
      </x:c>
      <x:c r="U2657" s="6" t="str">
        <x:v>Answer: 3</x:v>
      </x:c>
      <x:c r="V2657" s="6" t="str">
        <x:v>wall adjacency from polygons</x:v>
      </x:c>
      <x:c r="W2657" s="6" t="str">
        <x:v>Missing boundary-adjacency tool. Door connectivity does not answer this question.</x:v>
      </x:c>
      <x:c r="X2657" s="6" t="str">
        <x:v>data/train/resplan-3971/questions.jsonl</x:v>
      </x:c>
      <x:c r="Y2657" s="14" t="n">
        <x:v>2</x:v>
      </x:c>
      <x:c r="Z2657" s="6" t="str">
        <x:v>https://github.com/hagenhaeussler/Industrial-Agents-Hackathon-2026/blob/f41616590b69f3ea0c1cbfb41d6c35edd9ce53df/data/train/resplan-3971/questions.jsonl#L2</x:v>
      </x:c>
      <x:c r="AA2657" s="6" t="str">
        <x:v>resplan</x:v>
      </x:c>
      <x:c r="AB2657" s="6" t="str">
        <x:v>CC-BY-4.0</x:v>
      </x:c>
    </x:row>
    <x:row r="2658" ht="82" customHeight="1">
      <x:c r="A2658" s="14" t="n">
        <x:v>2653</x:v>
      </x:c>
      <x:c r="B2658" s="6" t="str">
        <x:v>shared_walls_count</x:v>
      </x:c>
      <x:c r="C2658"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58" s="6" t="str">
        <x:v>4 rooms</x:v>
      </x:c>
      <x:c r="E2658" s="6" t="str">
        <x:v>Reference supplied</x:v>
      </x:c>
      <x:c r="F2658" s="6" t="str">
        <x:v>train</x:v>
      </x:c>
      <x:c r="G2658" s="6" t="str">
        <x:v>resplan-4303</x:v>
      </x:c>
      <x:c r="H2658" s="6" t="str">
        <x:v>resplan-4303-H01</x:v>
      </x:c>
      <x:c r="I2658" s="6" t="str">
        <x:v>Spatial relationships</x:v>
      </x:c>
      <x:c r="J2658" s="6" t="str">
        <x:v>Benchmark</x:v>
      </x:c>
      <x:c r="K2658" s="6" t="str">
        <x:v>Answer: &lt;one exact integer&gt;</x:v>
      </x:c>
      <x:c r="L2658" s="6" t="str">
        <x:v>T02, T08, T14</x:v>
      </x:c>
      <x:c r="M2658" s="6" t="str">
        <x:v>Count other rooms sharing at least 1 m of wall with a room.</x:v>
      </x:c>
      <x:c r="N2658" s="6" t="str">
        <x:v>{"type":"number","value":4,"unit":"rooms","relative_tolerance":0,"absolute_tolerance":0}</x:v>
      </x:c>
      <x:c r="O2658" s="6" t="str">
        <x:v>{"start":"resplan-4303-F0-S002"}</x:v>
      </x:c>
      <x:c r="P2658" s="6" t="str">
        <x:v>Same floor. Other type=room spaces. &gt;=1 m wall run within 0.35 m. Door not required.</x:v>
      </x:c>
      <x:c r="Q2658" s="15" t="n">
        <x:v>4</x:v>
      </x:c>
      <x:c r="R2658" s="6" t="str">
        <x:v>rooms</x:v>
      </x:c>
      <x:c r="S2658" s="16" t="n">
        <x:v>0</x:v>
      </x:c>
      <x:c r="T2658" s="15" t="n">
        <x:v>0</x:v>
      </x:c>
      <x:c r="U2658" s="6" t="str">
        <x:v>Answer: 4</x:v>
      </x:c>
      <x:c r="V2658" s="6" t="str">
        <x:v>wall adjacency from polygons</x:v>
      </x:c>
      <x:c r="W2658" s="6" t="str">
        <x:v>Missing boundary-adjacency tool. Door connectivity does not answer this question.</x:v>
      </x:c>
      <x:c r="X2658" s="6" t="str">
        <x:v>data/train/resplan-4303/questions.jsonl</x:v>
      </x:c>
      <x:c r="Y2658" s="14" t="n">
        <x:v>1</x:v>
      </x:c>
      <x:c r="Z2658" s="6" t="str">
        <x:v>https://github.com/hagenhaeussler/Industrial-Agents-Hackathon-2026/blob/f41616590b69f3ea0c1cbfb41d6c35edd9ce53df/data/train/resplan-4303/questions.jsonl#L1</x:v>
      </x:c>
      <x:c r="AA2658" s="6" t="str">
        <x:v>resplan</x:v>
      </x:c>
      <x:c r="AB2658" s="6" t="str">
        <x:v>CC-BY-4.0</x:v>
      </x:c>
    </x:row>
    <x:row r="2659" ht="82" customHeight="1">
      <x:c r="A2659" s="14" t="n">
        <x:v>2654</x:v>
      </x:c>
      <x:c r="B2659" s="6" t="str">
        <x:v>shared_walls_count</x:v>
      </x:c>
      <x:c r="C2659"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59" s="6" t="str">
        <x:v>5 rooms</x:v>
      </x:c>
      <x:c r="E2659" s="6" t="str">
        <x:v>Reference supplied</x:v>
      </x:c>
      <x:c r="F2659" s="6" t="str">
        <x:v>train</x:v>
      </x:c>
      <x:c r="G2659" s="6" t="str">
        <x:v>resplan-4378</x:v>
      </x:c>
      <x:c r="H2659" s="6" t="str">
        <x:v>resplan-4378-H01</x:v>
      </x:c>
      <x:c r="I2659" s="6" t="str">
        <x:v>Spatial relationships</x:v>
      </x:c>
      <x:c r="J2659" s="6" t="str">
        <x:v>Benchmark</x:v>
      </x:c>
      <x:c r="K2659" s="6" t="str">
        <x:v>Answer: &lt;one exact integer&gt;</x:v>
      </x:c>
      <x:c r="L2659" s="6" t="str">
        <x:v>T02, T08, T14</x:v>
      </x:c>
      <x:c r="M2659" s="6" t="str">
        <x:v>Count other rooms sharing at least 1 m of wall with a room.</x:v>
      </x:c>
      <x:c r="N2659" s="6" t="str">
        <x:v>{"type":"number","value":5,"unit":"rooms","relative_tolerance":0,"absolute_tolerance":0}</x:v>
      </x:c>
      <x:c r="O2659" s="6" t="str">
        <x:v>{"start":"resplan-4378-F0-S001"}</x:v>
      </x:c>
      <x:c r="P2659" s="6" t="str">
        <x:v>Same floor. Other type=room spaces. &gt;=1 m wall run within 0.35 m. Door not required.</x:v>
      </x:c>
      <x:c r="Q2659" s="15" t="n">
        <x:v>5</x:v>
      </x:c>
      <x:c r="R2659" s="6" t="str">
        <x:v>rooms</x:v>
      </x:c>
      <x:c r="S2659" s="16" t="n">
        <x:v>0</x:v>
      </x:c>
      <x:c r="T2659" s="15" t="n">
        <x:v>0</x:v>
      </x:c>
      <x:c r="U2659" s="6" t="str">
        <x:v>Answer: 5</x:v>
      </x:c>
      <x:c r="V2659" s="6" t="str">
        <x:v>wall adjacency from polygons</x:v>
      </x:c>
      <x:c r="W2659" s="6" t="str">
        <x:v>Missing boundary-adjacency tool. Door connectivity does not answer this question.</x:v>
      </x:c>
      <x:c r="X2659" s="6" t="str">
        <x:v>data/train/resplan-4378/questions.jsonl</x:v>
      </x:c>
      <x:c r="Y2659" s="14" t="n">
        <x:v>1</x:v>
      </x:c>
      <x:c r="Z2659" s="6" t="str">
        <x:v>https://github.com/hagenhaeussler/Industrial-Agents-Hackathon-2026/blob/f41616590b69f3ea0c1cbfb41d6c35edd9ce53df/data/train/resplan-4378/questions.jsonl#L1</x:v>
      </x:c>
      <x:c r="AA2659" s="6" t="str">
        <x:v>resplan</x:v>
      </x:c>
      <x:c r="AB2659" s="6" t="str">
        <x:v>CC-BY-4.0</x:v>
      </x:c>
    </x:row>
    <x:row r="2660" ht="82" customHeight="1">
      <x:c r="A2660" s="14" t="n">
        <x:v>2655</x:v>
      </x:c>
      <x:c r="B2660" s="6" t="str">
        <x:v>shared_walls_count</x:v>
      </x:c>
      <x:c r="C2660"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60" s="6" t="str">
        <x:v>5 rooms</x:v>
      </x:c>
      <x:c r="E2660" s="6" t="str">
        <x:v>Reference supplied</x:v>
      </x:c>
      <x:c r="F2660" s="6" t="str">
        <x:v>train</x:v>
      </x:c>
      <x:c r="G2660" s="6" t="str">
        <x:v>resplan-4429</x:v>
      </x:c>
      <x:c r="H2660" s="6" t="str">
        <x:v>resplan-4429-H02</x:v>
      </x:c>
      <x:c r="I2660" s="6" t="str">
        <x:v>Spatial relationships</x:v>
      </x:c>
      <x:c r="J2660" s="6" t="str">
        <x:v>Benchmark</x:v>
      </x:c>
      <x:c r="K2660" s="6" t="str">
        <x:v>Answer: &lt;one exact integer&gt;</x:v>
      </x:c>
      <x:c r="L2660" s="6" t="str">
        <x:v>T02, T08, T14</x:v>
      </x:c>
      <x:c r="M2660" s="6" t="str">
        <x:v>Count other rooms sharing at least 1 m of wall with a room.</x:v>
      </x:c>
      <x:c r="N2660" s="6" t="str">
        <x:v>{"type":"number","value":5,"unit":"rooms","relative_tolerance":0,"absolute_tolerance":0}</x:v>
      </x:c>
      <x:c r="O2660" s="6" t="str">
        <x:v>{"start":"resplan-4429-F0-S001"}</x:v>
      </x:c>
      <x:c r="P2660" s="6" t="str">
        <x:v>Same floor. Other type=room spaces. &gt;=1 m wall run within 0.35 m. Door not required.</x:v>
      </x:c>
      <x:c r="Q2660" s="15" t="n">
        <x:v>5</x:v>
      </x:c>
      <x:c r="R2660" s="6" t="str">
        <x:v>rooms</x:v>
      </x:c>
      <x:c r="S2660" s="16" t="n">
        <x:v>0</x:v>
      </x:c>
      <x:c r="T2660" s="15" t="n">
        <x:v>0</x:v>
      </x:c>
      <x:c r="U2660" s="6" t="str">
        <x:v>Answer: 5</x:v>
      </x:c>
      <x:c r="V2660" s="6" t="str">
        <x:v>wall adjacency from polygons</x:v>
      </x:c>
      <x:c r="W2660" s="6" t="str">
        <x:v>Missing boundary-adjacency tool. Door connectivity does not answer this question.</x:v>
      </x:c>
      <x:c r="X2660" s="6" t="str">
        <x:v>data/train/resplan-4429/questions.jsonl</x:v>
      </x:c>
      <x:c r="Y2660" s="14" t="n">
        <x:v>2</x:v>
      </x:c>
      <x:c r="Z2660" s="6" t="str">
        <x:v>https://github.com/hagenhaeussler/Industrial-Agents-Hackathon-2026/blob/f41616590b69f3ea0c1cbfb41d6c35edd9ce53df/data/train/resplan-4429/questions.jsonl#L2</x:v>
      </x:c>
      <x:c r="AA2660" s="6" t="str">
        <x:v>resplan</x:v>
      </x:c>
      <x:c r="AB2660" s="6" t="str">
        <x:v>CC-BY-4.0</x:v>
      </x:c>
    </x:row>
    <x:row r="2661" ht="82" customHeight="1">
      <x:c r="A2661" s="14" t="n">
        <x:v>2656</x:v>
      </x:c>
      <x:c r="B2661" s="6" t="str">
        <x:v>shared_walls_count</x:v>
      </x:c>
      <x:c r="C2661"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61" s="6" t="str">
        <x:v>6 rooms</x:v>
      </x:c>
      <x:c r="E2661" s="6" t="str">
        <x:v>Reference supplied</x:v>
      </x:c>
      <x:c r="F2661" s="6" t="str">
        <x:v>train</x:v>
      </x:c>
      <x:c r="G2661" s="6" t="str">
        <x:v>resplan-4453</x:v>
      </x:c>
      <x:c r="H2661" s="6" t="str">
        <x:v>resplan-4453-H04</x:v>
      </x:c>
      <x:c r="I2661" s="6" t="str">
        <x:v>Spatial relationships</x:v>
      </x:c>
      <x:c r="J2661" s="6" t="str">
        <x:v>Benchmark</x:v>
      </x:c>
      <x:c r="K2661" s="6" t="str">
        <x:v>Answer: &lt;one exact integer&gt;</x:v>
      </x:c>
      <x:c r="L2661" s="6" t="str">
        <x:v>T02, T08, T14</x:v>
      </x:c>
      <x:c r="M2661" s="6" t="str">
        <x:v>Count other rooms sharing at least 1 m of wall with a room.</x:v>
      </x:c>
      <x:c r="N2661" s="6" t="str">
        <x:v>{"type":"number","value":6,"unit":"rooms","relative_tolerance":0,"absolute_tolerance":0}</x:v>
      </x:c>
      <x:c r="O2661" s="6" t="str">
        <x:v>{"start":"resplan-4453-F0-S001"}</x:v>
      </x:c>
      <x:c r="P2661" s="6" t="str">
        <x:v>Same floor. Other type=room spaces. &gt;=1 m wall run within 0.35 m. Door not required.</x:v>
      </x:c>
      <x:c r="Q2661" s="15" t="n">
        <x:v>6</x:v>
      </x:c>
      <x:c r="R2661" s="6" t="str">
        <x:v>rooms</x:v>
      </x:c>
      <x:c r="S2661" s="16" t="n">
        <x:v>0</x:v>
      </x:c>
      <x:c r="T2661" s="15" t="n">
        <x:v>0</x:v>
      </x:c>
      <x:c r="U2661" s="6" t="str">
        <x:v>Answer: 6</x:v>
      </x:c>
      <x:c r="V2661" s="6" t="str">
        <x:v>wall adjacency from polygons</x:v>
      </x:c>
      <x:c r="W2661" s="6" t="str">
        <x:v>Missing boundary-adjacency tool. Door connectivity does not answer this question.</x:v>
      </x:c>
      <x:c r="X2661" s="6" t="str">
        <x:v>data/train/resplan-4453/questions.jsonl</x:v>
      </x:c>
      <x:c r="Y2661" s="14" t="n">
        <x:v>4</x:v>
      </x:c>
      <x:c r="Z2661" s="6" t="str">
        <x:v>https://github.com/hagenhaeussler/Industrial-Agents-Hackathon-2026/blob/f41616590b69f3ea0c1cbfb41d6c35edd9ce53df/data/train/resplan-4453/questions.jsonl#L4</x:v>
      </x:c>
      <x:c r="AA2661" s="6" t="str">
        <x:v>resplan</x:v>
      </x:c>
      <x:c r="AB2661" s="6" t="str">
        <x:v>CC-BY-4.0</x:v>
      </x:c>
    </x:row>
    <x:row r="2662" ht="82" customHeight="1">
      <x:c r="A2662" s="14" t="n">
        <x:v>2657</x:v>
      </x:c>
      <x:c r="B2662" s="6" t="str">
        <x:v>shared_walls_count</x:v>
      </x:c>
      <x:c r="C2662"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62" s="6" t="str">
        <x:v>7 rooms</x:v>
      </x:c>
      <x:c r="E2662" s="6" t="str">
        <x:v>Reference supplied</x:v>
      </x:c>
      <x:c r="F2662" s="6" t="str">
        <x:v>train</x:v>
      </x:c>
      <x:c r="G2662" s="6" t="str">
        <x:v>resplan-47</x:v>
      </x:c>
      <x:c r="H2662" s="6" t="str">
        <x:v>resplan-47-H04</x:v>
      </x:c>
      <x:c r="I2662" s="6" t="str">
        <x:v>Spatial relationships</x:v>
      </x:c>
      <x:c r="J2662" s="6" t="str">
        <x:v>Benchmark</x:v>
      </x:c>
      <x:c r="K2662" s="6" t="str">
        <x:v>Answer: &lt;one exact integer&gt;</x:v>
      </x:c>
      <x:c r="L2662" s="6" t="str">
        <x:v>T02, T08, T14</x:v>
      </x:c>
      <x:c r="M2662" s="6" t="str">
        <x:v>Count other rooms sharing at least 1 m of wall with a room.</x:v>
      </x:c>
      <x:c r="N2662" s="6" t="str">
        <x:v>{"type":"number","value":7,"unit":"rooms","relative_tolerance":0,"absolute_tolerance":0}</x:v>
      </x:c>
      <x:c r="O2662" s="6" t="str">
        <x:v>{"start":"resplan-47-F0-S001"}</x:v>
      </x:c>
      <x:c r="P2662" s="6" t="str">
        <x:v>Same floor. Other type=room spaces. &gt;=1 m wall run within 0.35 m. Door not required.</x:v>
      </x:c>
      <x:c r="Q2662" s="15" t="n">
        <x:v>7</x:v>
      </x:c>
      <x:c r="R2662" s="6" t="str">
        <x:v>rooms</x:v>
      </x:c>
      <x:c r="S2662" s="16" t="n">
        <x:v>0</x:v>
      </x:c>
      <x:c r="T2662" s="15" t="n">
        <x:v>0</x:v>
      </x:c>
      <x:c r="U2662" s="6" t="str">
        <x:v>Answer: 7</x:v>
      </x:c>
      <x:c r="V2662" s="6" t="str">
        <x:v>wall adjacency from polygons</x:v>
      </x:c>
      <x:c r="W2662" s="6" t="str">
        <x:v>Missing boundary-adjacency tool. Door connectivity does not answer this question.</x:v>
      </x:c>
      <x:c r="X2662" s="6" t="str">
        <x:v>data/train/resplan-47/questions.jsonl</x:v>
      </x:c>
      <x:c r="Y2662" s="14" t="n">
        <x:v>4</x:v>
      </x:c>
      <x:c r="Z2662" s="6" t="str">
        <x:v>https://github.com/hagenhaeussler/Industrial-Agents-Hackathon-2026/blob/f41616590b69f3ea0c1cbfb41d6c35edd9ce53df/data/train/resplan-47/questions.jsonl#L4</x:v>
      </x:c>
      <x:c r="AA2662" s="6" t="str">
        <x:v>resplan</x:v>
      </x:c>
      <x:c r="AB2662" s="6" t="str">
        <x:v>CC-BY-4.0</x:v>
      </x:c>
    </x:row>
    <x:row r="2663" ht="82" customHeight="1">
      <x:c r="A2663" s="14" t="n">
        <x:v>2658</x:v>
      </x:c>
      <x:c r="B2663" s="6" t="str">
        <x:v>shared_walls_count</x:v>
      </x:c>
      <x:c r="C2663"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63" s="6" t="str">
        <x:v>3 rooms</x:v>
      </x:c>
      <x:c r="E2663" s="6" t="str">
        <x:v>Reference supplied</x:v>
      </x:c>
      <x:c r="F2663" s="6" t="str">
        <x:v>train</x:v>
      </x:c>
      <x:c r="G2663" s="6" t="str">
        <x:v>resplan-5277</x:v>
      </x:c>
      <x:c r="H2663" s="6" t="str">
        <x:v>resplan-5277-H02</x:v>
      </x:c>
      <x:c r="I2663" s="6" t="str">
        <x:v>Spatial relationships</x:v>
      </x:c>
      <x:c r="J2663" s="6" t="str">
        <x:v>Benchmark</x:v>
      </x:c>
      <x:c r="K2663" s="6" t="str">
        <x:v>Answer: &lt;one exact integer&gt;</x:v>
      </x:c>
      <x:c r="L2663" s="6" t="str">
        <x:v>T02, T08, T14</x:v>
      </x:c>
      <x:c r="M2663" s="6" t="str">
        <x:v>Count other rooms sharing at least 1 m of wall with a room.</x:v>
      </x:c>
      <x:c r="N2663" s="6" t="str">
        <x:v>{"type":"number","value":3,"unit":"rooms","relative_tolerance":0,"absolute_tolerance":0}</x:v>
      </x:c>
      <x:c r="O2663" s="6" t="str">
        <x:v>{"start":"resplan-5277-F0-S002"}</x:v>
      </x:c>
      <x:c r="P2663" s="6" t="str">
        <x:v>Same floor. Other type=room spaces. &gt;=1 m wall run within 0.35 m. Door not required.</x:v>
      </x:c>
      <x:c r="Q2663" s="15" t="n">
        <x:v>3</x:v>
      </x:c>
      <x:c r="R2663" s="6" t="str">
        <x:v>rooms</x:v>
      </x:c>
      <x:c r="S2663" s="16" t="n">
        <x:v>0</x:v>
      </x:c>
      <x:c r="T2663" s="15" t="n">
        <x:v>0</x:v>
      </x:c>
      <x:c r="U2663" s="6" t="str">
        <x:v>Answer: 3</x:v>
      </x:c>
      <x:c r="V2663" s="6" t="str">
        <x:v>wall adjacency from polygons</x:v>
      </x:c>
      <x:c r="W2663" s="6" t="str">
        <x:v>Missing boundary-adjacency tool. Door connectivity does not answer this question.</x:v>
      </x:c>
      <x:c r="X2663" s="6" t="str">
        <x:v>data/train/resplan-5277/questions.jsonl</x:v>
      </x:c>
      <x:c r="Y2663" s="14" t="n">
        <x:v>2</x:v>
      </x:c>
      <x:c r="Z2663" s="6" t="str">
        <x:v>https://github.com/hagenhaeussler/Industrial-Agents-Hackathon-2026/blob/f41616590b69f3ea0c1cbfb41d6c35edd9ce53df/data/train/resplan-5277/questions.jsonl#L2</x:v>
      </x:c>
      <x:c r="AA2663" s="6" t="str">
        <x:v>resplan</x:v>
      </x:c>
      <x:c r="AB2663" s="6" t="str">
        <x:v>CC-BY-4.0</x:v>
      </x:c>
    </x:row>
    <x:row r="2664" ht="82" customHeight="1">
      <x:c r="A2664" s="14" t="n">
        <x:v>2659</x:v>
      </x:c>
      <x:c r="B2664" s="6" t="str">
        <x:v>shared_walls_count</x:v>
      </x:c>
      <x:c r="C2664"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64" s="6" t="str">
        <x:v>4 rooms</x:v>
      </x:c>
      <x:c r="E2664" s="6" t="str">
        <x:v>Reference supplied</x:v>
      </x:c>
      <x:c r="F2664" s="6" t="str">
        <x:v>train</x:v>
      </x:c>
      <x:c r="G2664" s="6" t="str">
        <x:v>resplan-553</x:v>
      </x:c>
      <x:c r="H2664" s="6" t="str">
        <x:v>resplan-553-H01</x:v>
      </x:c>
      <x:c r="I2664" s="6" t="str">
        <x:v>Spatial relationships</x:v>
      </x:c>
      <x:c r="J2664" s="6" t="str">
        <x:v>Benchmark</x:v>
      </x:c>
      <x:c r="K2664" s="6" t="str">
        <x:v>Answer: &lt;one exact integer&gt;</x:v>
      </x:c>
      <x:c r="L2664" s="6" t="str">
        <x:v>T02, T08, T14</x:v>
      </x:c>
      <x:c r="M2664" s="6" t="str">
        <x:v>Count other rooms sharing at least 1 m of wall with a room.</x:v>
      </x:c>
      <x:c r="N2664" s="6" t="str">
        <x:v>{"type":"number","value":4,"unit":"rooms","relative_tolerance":0,"absolute_tolerance":0}</x:v>
      </x:c>
      <x:c r="O2664" s="6" t="str">
        <x:v>{"start":"resplan-553-F0-S001"}</x:v>
      </x:c>
      <x:c r="P2664" s="6" t="str">
        <x:v>Same floor. Other type=room spaces. &gt;=1 m wall run within 0.35 m. Door not required.</x:v>
      </x:c>
      <x:c r="Q2664" s="15" t="n">
        <x:v>4</x:v>
      </x:c>
      <x:c r="R2664" s="6" t="str">
        <x:v>rooms</x:v>
      </x:c>
      <x:c r="S2664" s="16" t="n">
        <x:v>0</x:v>
      </x:c>
      <x:c r="T2664" s="15" t="n">
        <x:v>0</x:v>
      </x:c>
      <x:c r="U2664" s="6" t="str">
        <x:v>Answer: 4</x:v>
      </x:c>
      <x:c r="V2664" s="6" t="str">
        <x:v>wall adjacency from polygons</x:v>
      </x:c>
      <x:c r="W2664" s="6" t="str">
        <x:v>Missing boundary-adjacency tool. Door connectivity does not answer this question.</x:v>
      </x:c>
      <x:c r="X2664" s="6" t="str">
        <x:v>data/train/resplan-553/questions.jsonl</x:v>
      </x:c>
      <x:c r="Y2664" s="14" t="n">
        <x:v>1</x:v>
      </x:c>
      <x:c r="Z2664" s="6" t="str">
        <x:v>https://github.com/hagenhaeussler/Industrial-Agents-Hackathon-2026/blob/f41616590b69f3ea0c1cbfb41d6c35edd9ce53df/data/train/resplan-553/questions.jsonl#L1</x:v>
      </x:c>
      <x:c r="AA2664" s="6" t="str">
        <x:v>resplan</x:v>
      </x:c>
      <x:c r="AB2664" s="6" t="str">
        <x:v>CC-BY-4.0</x:v>
      </x:c>
    </x:row>
    <x:row r="2665" ht="82" customHeight="1">
      <x:c r="A2665" s="14" t="n">
        <x:v>2660</x:v>
      </x:c>
      <x:c r="B2665" s="6" t="str">
        <x:v>shared_walls_count</x:v>
      </x:c>
      <x:c r="C2665"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65" s="6" t="str">
        <x:v>4 rooms</x:v>
      </x:c>
      <x:c r="E2665" s="6" t="str">
        <x:v>Reference supplied</x:v>
      </x:c>
      <x:c r="F2665" s="6" t="str">
        <x:v>train</x:v>
      </x:c>
      <x:c r="G2665" s="6" t="str">
        <x:v>resplan-56</x:v>
      </x:c>
      <x:c r="H2665" s="6" t="str">
        <x:v>resplan-56-H01</x:v>
      </x:c>
      <x:c r="I2665" s="6" t="str">
        <x:v>Spatial relationships</x:v>
      </x:c>
      <x:c r="J2665" s="6" t="str">
        <x:v>Benchmark</x:v>
      </x:c>
      <x:c r="K2665" s="6" t="str">
        <x:v>Answer: &lt;one exact integer&gt;</x:v>
      </x:c>
      <x:c r="L2665" s="6" t="str">
        <x:v>T02, T08, T14</x:v>
      </x:c>
      <x:c r="M2665" s="6" t="str">
        <x:v>Count other rooms sharing at least 1 m of wall with a room.</x:v>
      </x:c>
      <x:c r="N2665" s="6" t="str">
        <x:v>{"type":"number","value":4,"unit":"rooms","relative_tolerance":0,"absolute_tolerance":0}</x:v>
      </x:c>
      <x:c r="O2665" s="6" t="str">
        <x:v>{"start":"resplan-56-F0-S001"}</x:v>
      </x:c>
      <x:c r="P2665" s="6" t="str">
        <x:v>Same floor. Other type=room spaces. &gt;=1 m wall run within 0.35 m. Door not required.</x:v>
      </x:c>
      <x:c r="Q2665" s="15" t="n">
        <x:v>4</x:v>
      </x:c>
      <x:c r="R2665" s="6" t="str">
        <x:v>rooms</x:v>
      </x:c>
      <x:c r="S2665" s="16" t="n">
        <x:v>0</x:v>
      </x:c>
      <x:c r="T2665" s="15" t="n">
        <x:v>0</x:v>
      </x:c>
      <x:c r="U2665" s="6" t="str">
        <x:v>Answer: 4</x:v>
      </x:c>
      <x:c r="V2665" s="6" t="str">
        <x:v>wall adjacency from polygons</x:v>
      </x:c>
      <x:c r="W2665" s="6" t="str">
        <x:v>Missing boundary-adjacency tool. Door connectivity does not answer this question.</x:v>
      </x:c>
      <x:c r="X2665" s="6" t="str">
        <x:v>data/train/resplan-56/questions.jsonl</x:v>
      </x:c>
      <x:c r="Y2665" s="14" t="n">
        <x:v>1</x:v>
      </x:c>
      <x:c r="Z2665" s="6" t="str">
        <x:v>https://github.com/hagenhaeussler/Industrial-Agents-Hackathon-2026/blob/f41616590b69f3ea0c1cbfb41d6c35edd9ce53df/data/train/resplan-56/questions.jsonl#L1</x:v>
      </x:c>
      <x:c r="AA2665" s="6" t="str">
        <x:v>resplan</x:v>
      </x:c>
      <x:c r="AB2665" s="6" t="str">
        <x:v>CC-BY-4.0</x:v>
      </x:c>
    </x:row>
    <x:row r="2666" ht="82" customHeight="1">
      <x:c r="A2666" s="14" t="n">
        <x:v>2661</x:v>
      </x:c>
      <x:c r="B2666" s="6" t="str">
        <x:v>shared_walls_count</x:v>
      </x:c>
      <x:c r="C2666"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66" s="6" t="str">
        <x:v>4 rooms</x:v>
      </x:c>
      <x:c r="E2666" s="6" t="str">
        <x:v>Reference supplied</x:v>
      </x:c>
      <x:c r="F2666" s="6" t="str">
        <x:v>train</x:v>
      </x:c>
      <x:c r="G2666" s="6" t="str">
        <x:v>resplan-5783</x:v>
      </x:c>
      <x:c r="H2666" s="6" t="str">
        <x:v>resplan-5783-H01</x:v>
      </x:c>
      <x:c r="I2666" s="6" t="str">
        <x:v>Spatial relationships</x:v>
      </x:c>
      <x:c r="J2666" s="6" t="str">
        <x:v>Benchmark</x:v>
      </x:c>
      <x:c r="K2666" s="6" t="str">
        <x:v>Answer: &lt;one exact integer&gt;</x:v>
      </x:c>
      <x:c r="L2666" s="6" t="str">
        <x:v>T02, T08, T14</x:v>
      </x:c>
      <x:c r="M2666" s="6" t="str">
        <x:v>Count other rooms sharing at least 1 m of wall with a room.</x:v>
      </x:c>
      <x:c r="N2666" s="6" t="str">
        <x:v>{"type":"number","value":4,"unit":"rooms","relative_tolerance":0,"absolute_tolerance":0}</x:v>
      </x:c>
      <x:c r="O2666" s="6" t="str">
        <x:v>{"start":"resplan-5783-F0-S002"}</x:v>
      </x:c>
      <x:c r="P2666" s="6" t="str">
        <x:v>Same floor. Other type=room spaces. &gt;=1 m wall run within 0.35 m. Door not required.</x:v>
      </x:c>
      <x:c r="Q2666" s="15" t="n">
        <x:v>4</x:v>
      </x:c>
      <x:c r="R2666" s="6" t="str">
        <x:v>rooms</x:v>
      </x:c>
      <x:c r="S2666" s="16" t="n">
        <x:v>0</x:v>
      </x:c>
      <x:c r="T2666" s="15" t="n">
        <x:v>0</x:v>
      </x:c>
      <x:c r="U2666" s="6" t="str">
        <x:v>Answer: 4</x:v>
      </x:c>
      <x:c r="V2666" s="6" t="str">
        <x:v>wall adjacency from polygons</x:v>
      </x:c>
      <x:c r="W2666" s="6" t="str">
        <x:v>Missing boundary-adjacency tool. Door connectivity does not answer this question.</x:v>
      </x:c>
      <x:c r="X2666" s="6" t="str">
        <x:v>data/train/resplan-5783/questions.jsonl</x:v>
      </x:c>
      <x:c r="Y2666" s="14" t="n">
        <x:v>1</x:v>
      </x:c>
      <x:c r="Z2666" s="6" t="str">
        <x:v>https://github.com/hagenhaeussler/Industrial-Agents-Hackathon-2026/blob/f41616590b69f3ea0c1cbfb41d6c35edd9ce53df/data/train/resplan-5783/questions.jsonl#L1</x:v>
      </x:c>
      <x:c r="AA2666" s="6" t="str">
        <x:v>resplan</x:v>
      </x:c>
      <x:c r="AB2666" s="6" t="str">
        <x:v>CC-BY-4.0</x:v>
      </x:c>
    </x:row>
    <x:row r="2667" ht="82" customHeight="1">
      <x:c r="A2667" s="14" t="n">
        <x:v>2662</x:v>
      </x:c>
      <x:c r="B2667" s="6" t="str">
        <x:v>shared_walls_count</x:v>
      </x:c>
      <x:c r="C2667"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667" s="6" t="str">
        <x:v>3 rooms</x:v>
      </x:c>
      <x:c r="E2667" s="6" t="str">
        <x:v>Reference supplied</x:v>
      </x:c>
      <x:c r="F2667" s="6" t="str">
        <x:v>train</x:v>
      </x:c>
      <x:c r="G2667" s="6" t="str">
        <x:v>resplan-5871</x:v>
      </x:c>
      <x:c r="H2667" s="6" t="str">
        <x:v>resplan-5871-H02</x:v>
      </x:c>
      <x:c r="I2667" s="6" t="str">
        <x:v>Spatial relationships</x:v>
      </x:c>
      <x:c r="J2667" s="6" t="str">
        <x:v>Benchmark</x:v>
      </x:c>
      <x:c r="K2667" s="6" t="str">
        <x:v>Answer: &lt;one exact integer&gt;</x:v>
      </x:c>
      <x:c r="L2667" s="6" t="str">
        <x:v>T02, T08, T14</x:v>
      </x:c>
      <x:c r="M2667" s="6" t="str">
        <x:v>Count other rooms sharing at least 1 m of wall with a room.</x:v>
      </x:c>
      <x:c r="N2667" s="6" t="str">
        <x:v>{"type":"number","value":3,"unit":"rooms","relative_tolerance":0,"absolute_tolerance":0}</x:v>
      </x:c>
      <x:c r="O2667" s="6" t="str">
        <x:v>{"start":"resplan-5871-F0-S003"}</x:v>
      </x:c>
      <x:c r="P2667" s="6" t="str">
        <x:v>Same floor. Other type=room spaces. &gt;=1 m wall run within 0.35 m. Door not required.</x:v>
      </x:c>
      <x:c r="Q2667" s="15" t="n">
        <x:v>3</x:v>
      </x:c>
      <x:c r="R2667" s="6" t="str">
        <x:v>rooms</x:v>
      </x:c>
      <x:c r="S2667" s="16" t="n">
        <x:v>0</x:v>
      </x:c>
      <x:c r="T2667" s="15" t="n">
        <x:v>0</x:v>
      </x:c>
      <x:c r="U2667" s="6" t="str">
        <x:v>Answer: 3</x:v>
      </x:c>
      <x:c r="V2667" s="6" t="str">
        <x:v>wall adjacency from polygons</x:v>
      </x:c>
      <x:c r="W2667" s="6" t="str">
        <x:v>Missing boundary-adjacency tool. Door connectivity does not answer this question.</x:v>
      </x:c>
      <x:c r="X2667" s="6" t="str">
        <x:v>data/train/resplan-5871/questions.jsonl</x:v>
      </x:c>
      <x:c r="Y2667" s="14" t="n">
        <x:v>2</x:v>
      </x:c>
      <x:c r="Z2667" s="6" t="str">
        <x:v>https://github.com/hagenhaeussler/Industrial-Agents-Hackathon-2026/blob/f41616590b69f3ea0c1cbfb41d6c35edd9ce53df/data/train/resplan-5871/questions.jsonl#L2</x:v>
      </x:c>
      <x:c r="AA2667" s="6" t="str">
        <x:v>resplan</x:v>
      </x:c>
      <x:c r="AB2667" s="6" t="str">
        <x:v>CC-BY-4.0</x:v>
      </x:c>
    </x:row>
    <x:row r="2668" ht="82" customHeight="1">
      <x:c r="A2668" s="14" t="n">
        <x:v>2663</x:v>
      </x:c>
      <x:c r="B2668" s="6" t="str">
        <x:v>shared_walls_count</x:v>
      </x:c>
      <x:c r="C2668"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68" s="6" t="str">
        <x:v>4 rooms</x:v>
      </x:c>
      <x:c r="E2668" s="6" t="str">
        <x:v>Reference supplied</x:v>
      </x:c>
      <x:c r="F2668" s="6" t="str">
        <x:v>train</x:v>
      </x:c>
      <x:c r="G2668" s="6" t="str">
        <x:v>resplan-6565</x:v>
      </x:c>
      <x:c r="H2668" s="6" t="str">
        <x:v>resplan-6565-H02</x:v>
      </x:c>
      <x:c r="I2668" s="6" t="str">
        <x:v>Spatial relationships</x:v>
      </x:c>
      <x:c r="J2668" s="6" t="str">
        <x:v>Benchmark</x:v>
      </x:c>
      <x:c r="K2668" s="6" t="str">
        <x:v>Answer: &lt;one exact integer&gt;</x:v>
      </x:c>
      <x:c r="L2668" s="6" t="str">
        <x:v>T02, T08, T14</x:v>
      </x:c>
      <x:c r="M2668" s="6" t="str">
        <x:v>Count other rooms sharing at least 1 m of wall with a room.</x:v>
      </x:c>
      <x:c r="N2668" s="6" t="str">
        <x:v>{"type":"number","value":4,"unit":"rooms","relative_tolerance":0,"absolute_tolerance":0}</x:v>
      </x:c>
      <x:c r="O2668" s="6" t="str">
        <x:v>{"start":"resplan-6565-F0-S002"}</x:v>
      </x:c>
      <x:c r="P2668" s="6" t="str">
        <x:v>Same floor. Other type=room spaces. &gt;=1 m wall run within 0.35 m. Door not required.</x:v>
      </x:c>
      <x:c r="Q2668" s="15" t="n">
        <x:v>4</x:v>
      </x:c>
      <x:c r="R2668" s="6" t="str">
        <x:v>rooms</x:v>
      </x:c>
      <x:c r="S2668" s="16" t="n">
        <x:v>0</x:v>
      </x:c>
      <x:c r="T2668" s="15" t="n">
        <x:v>0</x:v>
      </x:c>
      <x:c r="U2668" s="6" t="str">
        <x:v>Answer: 4</x:v>
      </x:c>
      <x:c r="V2668" s="6" t="str">
        <x:v>wall adjacency from polygons</x:v>
      </x:c>
      <x:c r="W2668" s="6" t="str">
        <x:v>Missing boundary-adjacency tool. Door connectivity does not answer this question.</x:v>
      </x:c>
      <x:c r="X2668" s="6" t="str">
        <x:v>data/train/resplan-6565/questions.jsonl</x:v>
      </x:c>
      <x:c r="Y2668" s="14" t="n">
        <x:v>2</x:v>
      </x:c>
      <x:c r="Z2668" s="6" t="str">
        <x:v>https://github.com/hagenhaeussler/Industrial-Agents-Hackathon-2026/blob/f41616590b69f3ea0c1cbfb41d6c35edd9ce53df/data/train/resplan-6565/questions.jsonl#L2</x:v>
      </x:c>
      <x:c r="AA2668" s="6" t="str">
        <x:v>resplan</x:v>
      </x:c>
      <x:c r="AB2668" s="6" t="str">
        <x:v>CC-BY-4.0</x:v>
      </x:c>
    </x:row>
    <x:row r="2669" ht="82" customHeight="1">
      <x:c r="A2669" s="14" t="n">
        <x:v>2664</x:v>
      </x:c>
      <x:c r="B2669" s="6" t="str">
        <x:v>shared_walls_count</x:v>
      </x:c>
      <x:c r="C2669"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69" s="6" t="str">
        <x:v>3 rooms</x:v>
      </x:c>
      <x:c r="E2669" s="6" t="str">
        <x:v>Reference supplied</x:v>
      </x:c>
      <x:c r="F2669" s="6" t="str">
        <x:v>train</x:v>
      </x:c>
      <x:c r="G2669" s="6" t="str">
        <x:v>resplan-666</x:v>
      </x:c>
      <x:c r="H2669" s="6" t="str">
        <x:v>resplan-666-H03</x:v>
      </x:c>
      <x:c r="I2669" s="6" t="str">
        <x:v>Spatial relationships</x:v>
      </x:c>
      <x:c r="J2669" s="6" t="str">
        <x:v>Benchmark</x:v>
      </x:c>
      <x:c r="K2669" s="6" t="str">
        <x:v>Answer: &lt;one exact integer&gt;</x:v>
      </x:c>
      <x:c r="L2669" s="6" t="str">
        <x:v>T02, T08, T14</x:v>
      </x:c>
      <x:c r="M2669" s="6" t="str">
        <x:v>Count other rooms sharing at least 1 m of wall with a room.</x:v>
      </x:c>
      <x:c r="N2669" s="6" t="str">
        <x:v>{"type":"number","value":3,"unit":"rooms","relative_tolerance":0,"absolute_tolerance":0}</x:v>
      </x:c>
      <x:c r="O2669" s="6" t="str">
        <x:v>{"start":"resplan-666-F0-S002"}</x:v>
      </x:c>
      <x:c r="P2669" s="6" t="str">
        <x:v>Same floor. Other type=room spaces. &gt;=1 m wall run within 0.35 m. Door not required.</x:v>
      </x:c>
      <x:c r="Q2669" s="15" t="n">
        <x:v>3</x:v>
      </x:c>
      <x:c r="R2669" s="6" t="str">
        <x:v>rooms</x:v>
      </x:c>
      <x:c r="S2669" s="16" t="n">
        <x:v>0</x:v>
      </x:c>
      <x:c r="T2669" s="15" t="n">
        <x:v>0</x:v>
      </x:c>
      <x:c r="U2669" s="6" t="str">
        <x:v>Answer: 3</x:v>
      </x:c>
      <x:c r="V2669" s="6" t="str">
        <x:v>wall adjacency from polygons</x:v>
      </x:c>
      <x:c r="W2669" s="6" t="str">
        <x:v>Missing boundary-adjacency tool. Door connectivity does not answer this question.</x:v>
      </x:c>
      <x:c r="X2669" s="6" t="str">
        <x:v>data/train/resplan-666/questions.jsonl</x:v>
      </x:c>
      <x:c r="Y2669" s="14" t="n">
        <x:v>3</x:v>
      </x:c>
      <x:c r="Z2669" s="6" t="str">
        <x:v>https://github.com/hagenhaeussler/Industrial-Agents-Hackathon-2026/blob/f41616590b69f3ea0c1cbfb41d6c35edd9ce53df/data/train/resplan-666/questions.jsonl#L3</x:v>
      </x:c>
      <x:c r="AA2669" s="6" t="str">
        <x:v>resplan</x:v>
      </x:c>
      <x:c r="AB2669" s="6" t="str">
        <x:v>CC-BY-4.0</x:v>
      </x:c>
    </x:row>
    <x:row r="2670" ht="82" customHeight="1">
      <x:c r="A2670" s="14" t="n">
        <x:v>2665</x:v>
      </x:c>
      <x:c r="B2670" s="6" t="str">
        <x:v>shared_walls_count</x:v>
      </x:c>
      <x:c r="C2670" s="6" t="str">
        <x:v>We're soundproofing Bedroom 0.04 (Ground floor). How many other rooms on that floor share a wall with it? Count every room whose wall runs along it for at least 1 m, with or without a door between them; corridors, stairwells and lifts don't count. Finish with a line 'Answer: &lt;number&gt;'.</x:v>
      </x:c>
      <x:c r="D2670" s="6" t="str">
        <x:v>3 rooms</x:v>
      </x:c>
      <x:c r="E2670" s="6" t="str">
        <x:v>Reference supplied</x:v>
      </x:c>
      <x:c r="F2670" s="6" t="str">
        <x:v>train</x:v>
      </x:c>
      <x:c r="G2670" s="6" t="str">
        <x:v>resplan-6994</x:v>
      </x:c>
      <x:c r="H2670" s="6" t="str">
        <x:v>resplan-6994-H04</x:v>
      </x:c>
      <x:c r="I2670" s="6" t="str">
        <x:v>Spatial relationships</x:v>
      </x:c>
      <x:c r="J2670" s="6" t="str">
        <x:v>Benchmark</x:v>
      </x:c>
      <x:c r="K2670" s="6" t="str">
        <x:v>Answer: &lt;one exact integer&gt;</x:v>
      </x:c>
      <x:c r="L2670" s="6" t="str">
        <x:v>T02, T08, T14</x:v>
      </x:c>
      <x:c r="M2670" s="6" t="str">
        <x:v>Count other rooms sharing at least 1 m of wall with a room.</x:v>
      </x:c>
      <x:c r="N2670" s="6" t="str">
        <x:v>{"type":"number","value":3,"unit":"rooms","relative_tolerance":0,"absolute_tolerance":0}</x:v>
      </x:c>
      <x:c r="O2670" s="6" t="str">
        <x:v>{"start":"resplan-6994-F0-S004"}</x:v>
      </x:c>
      <x:c r="P2670" s="6" t="str">
        <x:v>Same floor. Other type=room spaces. &gt;=1 m wall run within 0.35 m. Door not required.</x:v>
      </x:c>
      <x:c r="Q2670" s="15" t="n">
        <x:v>3</x:v>
      </x:c>
      <x:c r="R2670" s="6" t="str">
        <x:v>rooms</x:v>
      </x:c>
      <x:c r="S2670" s="16" t="n">
        <x:v>0</x:v>
      </x:c>
      <x:c r="T2670" s="15" t="n">
        <x:v>0</x:v>
      </x:c>
      <x:c r="U2670" s="6" t="str">
        <x:v>Answer: 3</x:v>
      </x:c>
      <x:c r="V2670" s="6" t="str">
        <x:v>wall adjacency from polygons</x:v>
      </x:c>
      <x:c r="W2670" s="6" t="str">
        <x:v>Missing boundary-adjacency tool. Door connectivity does not answer this question.</x:v>
      </x:c>
      <x:c r="X2670" s="6" t="str">
        <x:v>data/train/resplan-6994/questions.jsonl</x:v>
      </x:c>
      <x:c r="Y2670" s="14" t="n">
        <x:v>4</x:v>
      </x:c>
      <x:c r="Z2670" s="6" t="str">
        <x:v>https://github.com/hagenhaeussler/Industrial-Agents-Hackathon-2026/blob/f41616590b69f3ea0c1cbfb41d6c35edd9ce53df/data/train/resplan-6994/questions.jsonl#L4</x:v>
      </x:c>
      <x:c r="AA2670" s="6" t="str">
        <x:v>resplan</x:v>
      </x:c>
      <x:c r="AB2670" s="6" t="str">
        <x:v>CC-BY-4.0</x:v>
      </x:c>
    </x:row>
    <x:row r="2671" ht="82" customHeight="1">
      <x:c r="A2671" s="14" t="n">
        <x:v>2666</x:v>
      </x:c>
      <x:c r="B2671" s="6" t="str">
        <x:v>shared_walls_count</x:v>
      </x:c>
      <x:c r="C2671"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71" s="6" t="str">
        <x:v>5 rooms</x:v>
      </x:c>
      <x:c r="E2671" s="6" t="str">
        <x:v>Reference supplied</x:v>
      </x:c>
      <x:c r="F2671" s="6" t="str">
        <x:v>train</x:v>
      </x:c>
      <x:c r="G2671" s="6" t="str">
        <x:v>resplan-7151</x:v>
      </x:c>
      <x:c r="H2671" s="6" t="str">
        <x:v>resplan-7151-H02</x:v>
      </x:c>
      <x:c r="I2671" s="6" t="str">
        <x:v>Spatial relationships</x:v>
      </x:c>
      <x:c r="J2671" s="6" t="str">
        <x:v>Benchmark</x:v>
      </x:c>
      <x:c r="K2671" s="6" t="str">
        <x:v>Answer: &lt;one exact integer&gt;</x:v>
      </x:c>
      <x:c r="L2671" s="6" t="str">
        <x:v>T02, T08, T14</x:v>
      </x:c>
      <x:c r="M2671" s="6" t="str">
        <x:v>Count other rooms sharing at least 1 m of wall with a room.</x:v>
      </x:c>
      <x:c r="N2671" s="6" t="str">
        <x:v>{"type":"number","value":5,"unit":"rooms","relative_tolerance":0,"absolute_tolerance":0}</x:v>
      </x:c>
      <x:c r="O2671" s="6" t="str">
        <x:v>{"start":"resplan-7151-F0-S001"}</x:v>
      </x:c>
      <x:c r="P2671" s="6" t="str">
        <x:v>Same floor. Other type=room spaces. &gt;=1 m wall run within 0.35 m. Door not required.</x:v>
      </x:c>
      <x:c r="Q2671" s="15" t="n">
        <x:v>5</x:v>
      </x:c>
      <x:c r="R2671" s="6" t="str">
        <x:v>rooms</x:v>
      </x:c>
      <x:c r="S2671" s="16" t="n">
        <x:v>0</x:v>
      </x:c>
      <x:c r="T2671" s="15" t="n">
        <x:v>0</x:v>
      </x:c>
      <x:c r="U2671" s="6" t="str">
        <x:v>Answer: 5</x:v>
      </x:c>
      <x:c r="V2671" s="6" t="str">
        <x:v>wall adjacency from polygons</x:v>
      </x:c>
      <x:c r="W2671" s="6" t="str">
        <x:v>Missing boundary-adjacency tool. Door connectivity does not answer this question.</x:v>
      </x:c>
      <x:c r="X2671" s="6" t="str">
        <x:v>data/train/resplan-7151/questions.jsonl</x:v>
      </x:c>
      <x:c r="Y2671" s="14" t="n">
        <x:v>2</x:v>
      </x:c>
      <x:c r="Z2671" s="6" t="str">
        <x:v>https://github.com/hagenhaeussler/Industrial-Agents-Hackathon-2026/blob/f41616590b69f3ea0c1cbfb41d6c35edd9ce53df/data/train/resplan-7151/questions.jsonl#L2</x:v>
      </x:c>
      <x:c r="AA2671" s="6" t="str">
        <x:v>resplan</x:v>
      </x:c>
      <x:c r="AB2671" s="6" t="str">
        <x:v>CC-BY-4.0</x:v>
      </x:c>
    </x:row>
    <x:row r="2672" ht="82" customHeight="1">
      <x:c r="A2672" s="14" t="n">
        <x:v>2667</x:v>
      </x:c>
      <x:c r="B2672" s="6" t="str">
        <x:v>shared_walls_count</x:v>
      </x:c>
      <x:c r="C2672" s="6" t="str">
        <x:v>We're soundproofing Bathroom 0.04 (Ground floor). How many other rooms on that floor share a wall with it? Count every room whose wall runs along it for at least 1 m, with or without a door between them; corridors, stairwells and lifts don't count. Finish with a line 'Answer: &lt;number&gt;'.</x:v>
      </x:c>
      <x:c r="D2672" s="6" t="str">
        <x:v>3 rooms</x:v>
      </x:c>
      <x:c r="E2672" s="6" t="str">
        <x:v>Reference supplied</x:v>
      </x:c>
      <x:c r="F2672" s="6" t="str">
        <x:v>train</x:v>
      </x:c>
      <x:c r="G2672" s="6" t="str">
        <x:v>resplan-7471</x:v>
      </x:c>
      <x:c r="H2672" s="6" t="str">
        <x:v>resplan-7471-H02</x:v>
      </x:c>
      <x:c r="I2672" s="6" t="str">
        <x:v>Spatial relationships</x:v>
      </x:c>
      <x:c r="J2672" s="6" t="str">
        <x:v>Benchmark</x:v>
      </x:c>
      <x:c r="K2672" s="6" t="str">
        <x:v>Answer: &lt;one exact integer&gt;</x:v>
      </x:c>
      <x:c r="L2672" s="6" t="str">
        <x:v>T02, T08, T14</x:v>
      </x:c>
      <x:c r="M2672" s="6" t="str">
        <x:v>Count other rooms sharing at least 1 m of wall with a room.</x:v>
      </x:c>
      <x:c r="N2672" s="6" t="str">
        <x:v>{"type":"number","value":3,"unit":"rooms","relative_tolerance":0,"absolute_tolerance":0}</x:v>
      </x:c>
      <x:c r="O2672" s="6" t="str">
        <x:v>{"start":"resplan-7471-F0-S004"}</x:v>
      </x:c>
      <x:c r="P2672" s="6" t="str">
        <x:v>Same floor. Other type=room spaces. &gt;=1 m wall run within 0.35 m. Door not required.</x:v>
      </x:c>
      <x:c r="Q2672" s="15" t="n">
        <x:v>3</x:v>
      </x:c>
      <x:c r="R2672" s="6" t="str">
        <x:v>rooms</x:v>
      </x:c>
      <x:c r="S2672" s="16" t="n">
        <x:v>0</x:v>
      </x:c>
      <x:c r="T2672" s="15" t="n">
        <x:v>0</x:v>
      </x:c>
      <x:c r="U2672" s="6" t="str">
        <x:v>Answer: 3</x:v>
      </x:c>
      <x:c r="V2672" s="6" t="str">
        <x:v>wall adjacency from polygons</x:v>
      </x:c>
      <x:c r="W2672" s="6" t="str">
        <x:v>Missing boundary-adjacency tool. Door connectivity does not answer this question.</x:v>
      </x:c>
      <x:c r="X2672" s="6" t="str">
        <x:v>data/train/resplan-7471/questions.jsonl</x:v>
      </x:c>
      <x:c r="Y2672" s="14" t="n">
        <x:v>2</x:v>
      </x:c>
      <x:c r="Z2672" s="6" t="str">
        <x:v>https://github.com/hagenhaeussler/Industrial-Agents-Hackathon-2026/blob/f41616590b69f3ea0c1cbfb41d6c35edd9ce53df/data/train/resplan-7471/questions.jsonl#L2</x:v>
      </x:c>
      <x:c r="AA2672" s="6" t="str">
        <x:v>resplan</x:v>
      </x:c>
      <x:c r="AB2672" s="6" t="str">
        <x:v>CC-BY-4.0</x:v>
      </x:c>
    </x:row>
    <x:row r="2673" ht="82" customHeight="1">
      <x:c r="A2673" s="14" t="n">
        <x:v>2668</x:v>
      </x:c>
      <x:c r="B2673" s="6" t="str">
        <x:v>shared_walls_count</x:v>
      </x:c>
      <x:c r="C2673"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73" s="6" t="str">
        <x:v>4 rooms</x:v>
      </x:c>
      <x:c r="E2673" s="6" t="str">
        <x:v>Reference supplied</x:v>
      </x:c>
      <x:c r="F2673" s="6" t="str">
        <x:v>train</x:v>
      </x:c>
      <x:c r="G2673" s="6" t="str">
        <x:v>resplan-7667</x:v>
      </x:c>
      <x:c r="H2673" s="6" t="str">
        <x:v>resplan-7667-H02</x:v>
      </x:c>
      <x:c r="I2673" s="6" t="str">
        <x:v>Spatial relationships</x:v>
      </x:c>
      <x:c r="J2673" s="6" t="str">
        <x:v>Benchmark</x:v>
      </x:c>
      <x:c r="K2673" s="6" t="str">
        <x:v>Answer: &lt;one exact integer&gt;</x:v>
      </x:c>
      <x:c r="L2673" s="6" t="str">
        <x:v>T02, T08, T14</x:v>
      </x:c>
      <x:c r="M2673" s="6" t="str">
        <x:v>Count other rooms sharing at least 1 m of wall with a room.</x:v>
      </x:c>
      <x:c r="N2673" s="6" t="str">
        <x:v>{"type":"number","value":4,"unit":"rooms","relative_tolerance":0,"absolute_tolerance":0}</x:v>
      </x:c>
      <x:c r="O2673" s="6" t="str">
        <x:v>{"start":"resplan-7667-F0-S002"}</x:v>
      </x:c>
      <x:c r="P2673" s="6" t="str">
        <x:v>Same floor. Other type=room spaces. &gt;=1 m wall run within 0.35 m. Door not required.</x:v>
      </x:c>
      <x:c r="Q2673" s="15" t="n">
        <x:v>4</x:v>
      </x:c>
      <x:c r="R2673" s="6" t="str">
        <x:v>rooms</x:v>
      </x:c>
      <x:c r="S2673" s="16" t="n">
        <x:v>0</x:v>
      </x:c>
      <x:c r="T2673" s="15" t="n">
        <x:v>0</x:v>
      </x:c>
      <x:c r="U2673" s="6" t="str">
        <x:v>Answer: 4</x:v>
      </x:c>
      <x:c r="V2673" s="6" t="str">
        <x:v>wall adjacency from polygons</x:v>
      </x:c>
      <x:c r="W2673" s="6" t="str">
        <x:v>Missing boundary-adjacency tool. Door connectivity does not answer this question.</x:v>
      </x:c>
      <x:c r="X2673" s="6" t="str">
        <x:v>data/train/resplan-7667/questions.jsonl</x:v>
      </x:c>
      <x:c r="Y2673" s="14" t="n">
        <x:v>2</x:v>
      </x:c>
      <x:c r="Z2673" s="6" t="str">
        <x:v>https://github.com/hagenhaeussler/Industrial-Agents-Hackathon-2026/blob/f41616590b69f3ea0c1cbfb41d6c35edd9ce53df/data/train/resplan-7667/questions.jsonl#L2</x:v>
      </x:c>
      <x:c r="AA2673" s="6" t="str">
        <x:v>resplan</x:v>
      </x:c>
      <x:c r="AB2673" s="6" t="str">
        <x:v>CC-BY-4.0</x:v>
      </x:c>
    </x:row>
    <x:row r="2674" ht="82" customHeight="1">
      <x:c r="A2674" s="14" t="n">
        <x:v>2669</x:v>
      </x:c>
      <x:c r="B2674" s="6" t="str">
        <x:v>shared_walls_count</x:v>
      </x:c>
      <x:c r="C2674"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74" s="6" t="str">
        <x:v>5 rooms</x:v>
      </x:c>
      <x:c r="E2674" s="6" t="str">
        <x:v>Reference supplied</x:v>
      </x:c>
      <x:c r="F2674" s="6" t="str">
        <x:v>train</x:v>
      </x:c>
      <x:c r="G2674" s="6" t="str">
        <x:v>resplan-7709</x:v>
      </x:c>
      <x:c r="H2674" s="6" t="str">
        <x:v>resplan-7709-H01</x:v>
      </x:c>
      <x:c r="I2674" s="6" t="str">
        <x:v>Spatial relationships</x:v>
      </x:c>
      <x:c r="J2674" s="6" t="str">
        <x:v>Benchmark</x:v>
      </x:c>
      <x:c r="K2674" s="6" t="str">
        <x:v>Answer: &lt;one exact integer&gt;</x:v>
      </x:c>
      <x:c r="L2674" s="6" t="str">
        <x:v>T02, T08, T14</x:v>
      </x:c>
      <x:c r="M2674" s="6" t="str">
        <x:v>Count other rooms sharing at least 1 m of wall with a room.</x:v>
      </x:c>
      <x:c r="N2674" s="6" t="str">
        <x:v>{"type":"number","value":5,"unit":"rooms","relative_tolerance":0,"absolute_tolerance":0}</x:v>
      </x:c>
      <x:c r="O2674" s="6" t="str">
        <x:v>{"start":"resplan-7709-F0-S001"}</x:v>
      </x:c>
      <x:c r="P2674" s="6" t="str">
        <x:v>Same floor. Other type=room spaces. &gt;=1 m wall run within 0.35 m. Door not required.</x:v>
      </x:c>
      <x:c r="Q2674" s="15" t="n">
        <x:v>5</x:v>
      </x:c>
      <x:c r="R2674" s="6" t="str">
        <x:v>rooms</x:v>
      </x:c>
      <x:c r="S2674" s="16" t="n">
        <x:v>0</x:v>
      </x:c>
      <x:c r="T2674" s="15" t="n">
        <x:v>0</x:v>
      </x:c>
      <x:c r="U2674" s="6" t="str">
        <x:v>Answer: 5</x:v>
      </x:c>
      <x:c r="V2674" s="6" t="str">
        <x:v>wall adjacency from polygons</x:v>
      </x:c>
      <x:c r="W2674" s="6" t="str">
        <x:v>Missing boundary-adjacency tool. Door connectivity does not answer this question.</x:v>
      </x:c>
      <x:c r="X2674" s="6" t="str">
        <x:v>data/train/resplan-7709/questions.jsonl</x:v>
      </x:c>
      <x:c r="Y2674" s="14" t="n">
        <x:v>1</x:v>
      </x:c>
      <x:c r="Z2674" s="6" t="str">
        <x:v>https://github.com/hagenhaeussler/Industrial-Agents-Hackathon-2026/blob/f41616590b69f3ea0c1cbfb41d6c35edd9ce53df/data/train/resplan-7709/questions.jsonl#L1</x:v>
      </x:c>
      <x:c r="AA2674" s="6" t="str">
        <x:v>resplan</x:v>
      </x:c>
      <x:c r="AB2674" s="6" t="str">
        <x:v>CC-BY-4.0</x:v>
      </x:c>
    </x:row>
    <x:row r="2675" ht="82" customHeight="1">
      <x:c r="A2675" s="14" t="n">
        <x:v>2670</x:v>
      </x:c>
      <x:c r="B2675" s="6" t="str">
        <x:v>shared_walls_count</x:v>
      </x:c>
      <x:c r="C2675" s="6" t="str">
        <x:v>We're soundproofing Bathroom 0.04 (Ground floor). How many other rooms on that floor share a wall with it? Count every room whose wall runs along it for at least 1 m, with or without a door between them; corridors, stairwells and lifts don't count. Finish with a line 'Answer: &lt;number&gt;'.</x:v>
      </x:c>
      <x:c r="D2675" s="6" t="str">
        <x:v>3 rooms</x:v>
      </x:c>
      <x:c r="E2675" s="6" t="str">
        <x:v>Reference supplied</x:v>
      </x:c>
      <x:c r="F2675" s="6" t="str">
        <x:v>train</x:v>
      </x:c>
      <x:c r="G2675" s="6" t="str">
        <x:v>resplan-8006</x:v>
      </x:c>
      <x:c r="H2675" s="6" t="str">
        <x:v>resplan-8006-H01</x:v>
      </x:c>
      <x:c r="I2675" s="6" t="str">
        <x:v>Spatial relationships</x:v>
      </x:c>
      <x:c r="J2675" s="6" t="str">
        <x:v>Benchmark</x:v>
      </x:c>
      <x:c r="K2675" s="6" t="str">
        <x:v>Answer: &lt;one exact integer&gt;</x:v>
      </x:c>
      <x:c r="L2675" s="6" t="str">
        <x:v>T02, T08, T14</x:v>
      </x:c>
      <x:c r="M2675" s="6" t="str">
        <x:v>Count other rooms sharing at least 1 m of wall with a room.</x:v>
      </x:c>
      <x:c r="N2675" s="6" t="str">
        <x:v>{"type":"number","value":3,"unit":"rooms","relative_tolerance":0,"absolute_tolerance":0}</x:v>
      </x:c>
      <x:c r="O2675" s="6" t="str">
        <x:v>{"start":"resplan-8006-F0-S004"}</x:v>
      </x:c>
      <x:c r="P2675" s="6" t="str">
        <x:v>Same floor. Other type=room spaces. &gt;=1 m wall run within 0.35 m. Door not required.</x:v>
      </x:c>
      <x:c r="Q2675" s="15" t="n">
        <x:v>3</x:v>
      </x:c>
      <x:c r="R2675" s="6" t="str">
        <x:v>rooms</x:v>
      </x:c>
      <x:c r="S2675" s="16" t="n">
        <x:v>0</x:v>
      </x:c>
      <x:c r="T2675" s="15" t="n">
        <x:v>0</x:v>
      </x:c>
      <x:c r="U2675" s="6" t="str">
        <x:v>Answer: 3</x:v>
      </x:c>
      <x:c r="V2675" s="6" t="str">
        <x:v>wall adjacency from polygons</x:v>
      </x:c>
      <x:c r="W2675" s="6" t="str">
        <x:v>Missing boundary-adjacency tool. Door connectivity does not answer this question.</x:v>
      </x:c>
      <x:c r="X2675" s="6" t="str">
        <x:v>data/train/resplan-8006/questions.jsonl</x:v>
      </x:c>
      <x:c r="Y2675" s="14" t="n">
        <x:v>1</x:v>
      </x:c>
      <x:c r="Z2675" s="6" t="str">
        <x:v>https://github.com/hagenhaeussler/Industrial-Agents-Hackathon-2026/blob/f41616590b69f3ea0c1cbfb41d6c35edd9ce53df/data/train/resplan-8006/questions.jsonl#L1</x:v>
      </x:c>
      <x:c r="AA2675" s="6" t="str">
        <x:v>resplan</x:v>
      </x:c>
      <x:c r="AB2675" s="6" t="str">
        <x:v>CC-BY-4.0</x:v>
      </x:c>
    </x:row>
    <x:row r="2676" ht="82" customHeight="1">
      <x:c r="A2676" s="14" t="n">
        <x:v>2671</x:v>
      </x:c>
      <x:c r="B2676" s="6" t="str">
        <x:v>shared_walls_count</x:v>
      </x:c>
      <x:c r="C2676"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76" s="6" t="str">
        <x:v>5 rooms</x:v>
      </x:c>
      <x:c r="E2676" s="6" t="str">
        <x:v>Reference supplied</x:v>
      </x:c>
      <x:c r="F2676" s="6" t="str">
        <x:v>train</x:v>
      </x:c>
      <x:c r="G2676" s="6" t="str">
        <x:v>resplan-8080</x:v>
      </x:c>
      <x:c r="H2676" s="6" t="str">
        <x:v>resplan-8080-H02</x:v>
      </x:c>
      <x:c r="I2676" s="6" t="str">
        <x:v>Spatial relationships</x:v>
      </x:c>
      <x:c r="J2676" s="6" t="str">
        <x:v>Benchmark</x:v>
      </x:c>
      <x:c r="K2676" s="6" t="str">
        <x:v>Answer: &lt;one exact integer&gt;</x:v>
      </x:c>
      <x:c r="L2676" s="6" t="str">
        <x:v>T02, T08, T14</x:v>
      </x:c>
      <x:c r="M2676" s="6" t="str">
        <x:v>Count other rooms sharing at least 1 m of wall with a room.</x:v>
      </x:c>
      <x:c r="N2676" s="6" t="str">
        <x:v>{"type":"number","value":5,"unit":"rooms","relative_tolerance":0,"absolute_tolerance":0}</x:v>
      </x:c>
      <x:c r="O2676" s="6" t="str">
        <x:v>{"start":"resplan-8080-F0-S001"}</x:v>
      </x:c>
      <x:c r="P2676" s="6" t="str">
        <x:v>Same floor. Other type=room spaces. &gt;=1 m wall run within 0.35 m. Door not required.</x:v>
      </x:c>
      <x:c r="Q2676" s="15" t="n">
        <x:v>5</x:v>
      </x:c>
      <x:c r="R2676" s="6" t="str">
        <x:v>rooms</x:v>
      </x:c>
      <x:c r="S2676" s="16" t="n">
        <x:v>0</x:v>
      </x:c>
      <x:c r="T2676" s="15" t="n">
        <x:v>0</x:v>
      </x:c>
      <x:c r="U2676" s="6" t="str">
        <x:v>Answer: 5</x:v>
      </x:c>
      <x:c r="V2676" s="6" t="str">
        <x:v>wall adjacency from polygons</x:v>
      </x:c>
      <x:c r="W2676" s="6" t="str">
        <x:v>Missing boundary-adjacency tool. Door connectivity does not answer this question.</x:v>
      </x:c>
      <x:c r="X2676" s="6" t="str">
        <x:v>data/train/resplan-8080/questions.jsonl</x:v>
      </x:c>
      <x:c r="Y2676" s="14" t="n">
        <x:v>2</x:v>
      </x:c>
      <x:c r="Z2676" s="6" t="str">
        <x:v>https://github.com/hagenhaeussler/Industrial-Agents-Hackathon-2026/blob/f41616590b69f3ea0c1cbfb41d6c35edd9ce53df/data/train/resplan-8080/questions.jsonl#L2</x:v>
      </x:c>
      <x:c r="AA2676" s="6" t="str">
        <x:v>resplan</x:v>
      </x:c>
      <x:c r="AB2676" s="6" t="str">
        <x:v>CC-BY-4.0</x:v>
      </x:c>
    </x:row>
    <x:row r="2677" ht="82" customHeight="1">
      <x:c r="A2677" s="14" t="n">
        <x:v>2672</x:v>
      </x:c>
      <x:c r="B2677" s="6" t="str">
        <x:v>shared_walls_count</x:v>
      </x:c>
      <x:c r="C2677"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77" s="6" t="str">
        <x:v>7 rooms</x:v>
      </x:c>
      <x:c r="E2677" s="6" t="str">
        <x:v>Reference supplied</x:v>
      </x:c>
      <x:c r="F2677" s="6" t="str">
        <x:v>train</x:v>
      </x:c>
      <x:c r="G2677" s="6" t="str">
        <x:v>resplan-8174</x:v>
      </x:c>
      <x:c r="H2677" s="6" t="str">
        <x:v>resplan-8174-H04</x:v>
      </x:c>
      <x:c r="I2677" s="6" t="str">
        <x:v>Spatial relationships</x:v>
      </x:c>
      <x:c r="J2677" s="6" t="str">
        <x:v>Benchmark</x:v>
      </x:c>
      <x:c r="K2677" s="6" t="str">
        <x:v>Answer: &lt;one exact integer&gt;</x:v>
      </x:c>
      <x:c r="L2677" s="6" t="str">
        <x:v>T02, T08, T14</x:v>
      </x:c>
      <x:c r="M2677" s="6" t="str">
        <x:v>Count other rooms sharing at least 1 m of wall with a room.</x:v>
      </x:c>
      <x:c r="N2677" s="6" t="str">
        <x:v>{"type":"number","value":7,"unit":"rooms","relative_tolerance":0,"absolute_tolerance":0}</x:v>
      </x:c>
      <x:c r="O2677" s="6" t="str">
        <x:v>{"start":"resplan-8174-F0-S001"}</x:v>
      </x:c>
      <x:c r="P2677" s="6" t="str">
        <x:v>Same floor. Other type=room spaces. &gt;=1 m wall run within 0.35 m. Door not required.</x:v>
      </x:c>
      <x:c r="Q2677" s="15" t="n">
        <x:v>7</x:v>
      </x:c>
      <x:c r="R2677" s="6" t="str">
        <x:v>rooms</x:v>
      </x:c>
      <x:c r="S2677" s="16" t="n">
        <x:v>0</x:v>
      </x:c>
      <x:c r="T2677" s="15" t="n">
        <x:v>0</x:v>
      </x:c>
      <x:c r="U2677" s="6" t="str">
        <x:v>Answer: 7</x:v>
      </x:c>
      <x:c r="V2677" s="6" t="str">
        <x:v>wall adjacency from polygons</x:v>
      </x:c>
      <x:c r="W2677" s="6" t="str">
        <x:v>Missing boundary-adjacency tool. Door connectivity does not answer this question.</x:v>
      </x:c>
      <x:c r="X2677" s="6" t="str">
        <x:v>data/train/resplan-8174/questions.jsonl</x:v>
      </x:c>
      <x:c r="Y2677" s="14" t="n">
        <x:v>4</x:v>
      </x:c>
      <x:c r="Z2677" s="6" t="str">
        <x:v>https://github.com/hagenhaeussler/Industrial-Agents-Hackathon-2026/blob/f41616590b69f3ea0c1cbfb41d6c35edd9ce53df/data/train/resplan-8174/questions.jsonl#L4</x:v>
      </x:c>
      <x:c r="AA2677" s="6" t="str">
        <x:v>resplan</x:v>
      </x:c>
      <x:c r="AB2677" s="6" t="str">
        <x:v>CC-BY-4.0</x:v>
      </x:c>
    </x:row>
    <x:row r="2678" ht="82" customHeight="1">
      <x:c r="A2678" s="14" t="n">
        <x:v>2673</x:v>
      </x:c>
      <x:c r="B2678" s="6" t="str">
        <x:v>shared_walls_count</x:v>
      </x:c>
      <x:c r="C2678"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78" s="6" t="str">
        <x:v>3 rooms</x:v>
      </x:c>
      <x:c r="E2678" s="6" t="str">
        <x:v>Reference supplied</x:v>
      </x:c>
      <x:c r="F2678" s="6" t="str">
        <x:v>train</x:v>
      </x:c>
      <x:c r="G2678" s="6" t="str">
        <x:v>resplan-8449</x:v>
      </x:c>
      <x:c r="H2678" s="6" t="str">
        <x:v>resplan-8449-H01</x:v>
      </x:c>
      <x:c r="I2678" s="6" t="str">
        <x:v>Spatial relationships</x:v>
      </x:c>
      <x:c r="J2678" s="6" t="str">
        <x:v>Benchmark</x:v>
      </x:c>
      <x:c r="K2678" s="6" t="str">
        <x:v>Answer: &lt;one exact integer&gt;</x:v>
      </x:c>
      <x:c r="L2678" s="6" t="str">
        <x:v>T02, T08, T14</x:v>
      </x:c>
      <x:c r="M2678" s="6" t="str">
        <x:v>Count other rooms sharing at least 1 m of wall with a room.</x:v>
      </x:c>
      <x:c r="N2678" s="6" t="str">
        <x:v>{"type":"number","value":3,"unit":"rooms","relative_tolerance":0,"absolute_tolerance":0}</x:v>
      </x:c>
      <x:c r="O2678" s="6" t="str">
        <x:v>{"start":"resplan-8449-F0-S002"}</x:v>
      </x:c>
      <x:c r="P2678" s="6" t="str">
        <x:v>Same floor. Other type=room spaces. &gt;=1 m wall run within 0.35 m. Door not required.</x:v>
      </x:c>
      <x:c r="Q2678" s="15" t="n">
        <x:v>3</x:v>
      </x:c>
      <x:c r="R2678" s="6" t="str">
        <x:v>rooms</x:v>
      </x:c>
      <x:c r="S2678" s="16" t="n">
        <x:v>0</x:v>
      </x:c>
      <x:c r="T2678" s="15" t="n">
        <x:v>0</x:v>
      </x:c>
      <x:c r="U2678" s="6" t="str">
        <x:v>Answer: 3</x:v>
      </x:c>
      <x:c r="V2678" s="6" t="str">
        <x:v>wall adjacency from polygons</x:v>
      </x:c>
      <x:c r="W2678" s="6" t="str">
        <x:v>Missing boundary-adjacency tool. Door connectivity does not answer this question.</x:v>
      </x:c>
      <x:c r="X2678" s="6" t="str">
        <x:v>data/train/resplan-8449/questions.jsonl</x:v>
      </x:c>
      <x:c r="Y2678" s="14" t="n">
        <x:v>1</x:v>
      </x:c>
      <x:c r="Z2678" s="6" t="str">
        <x:v>https://github.com/hagenhaeussler/Industrial-Agents-Hackathon-2026/blob/f41616590b69f3ea0c1cbfb41d6c35edd9ce53df/data/train/resplan-8449/questions.jsonl#L1</x:v>
      </x:c>
      <x:c r="AA2678" s="6" t="str">
        <x:v>resplan</x:v>
      </x:c>
      <x:c r="AB2678" s="6" t="str">
        <x:v>CC-BY-4.0</x:v>
      </x:c>
    </x:row>
    <x:row r="2679" ht="82" customHeight="1">
      <x:c r="A2679" s="14" t="n">
        <x:v>2674</x:v>
      </x:c>
      <x:c r="B2679" s="6" t="str">
        <x:v>shared_walls_count</x:v>
      </x:c>
      <x:c r="C2679" s="6" t="str">
        <x:v>We're soundproofing Bathroom 0.09 (Ground floor). How many other rooms on that floor share a wall with it? Count every room whose wall runs along it for at least 1 m, with or without a door between them; corridors, stairwells and lifts don't count. Finish with a line 'Answer: &lt;number&gt;'.</x:v>
      </x:c>
      <x:c r="D2679" s="6" t="str">
        <x:v>3 rooms</x:v>
      </x:c>
      <x:c r="E2679" s="6" t="str">
        <x:v>Reference supplied</x:v>
      </x:c>
      <x:c r="F2679" s="6" t="str">
        <x:v>train</x:v>
      </x:c>
      <x:c r="G2679" s="6" t="str">
        <x:v>resplan-8565</x:v>
      </x:c>
      <x:c r="H2679" s="6" t="str">
        <x:v>resplan-8565-H05</x:v>
      </x:c>
      <x:c r="I2679" s="6" t="str">
        <x:v>Spatial relationships</x:v>
      </x:c>
      <x:c r="J2679" s="6" t="str">
        <x:v>Benchmark</x:v>
      </x:c>
      <x:c r="K2679" s="6" t="str">
        <x:v>Answer: &lt;one exact integer&gt;</x:v>
      </x:c>
      <x:c r="L2679" s="6" t="str">
        <x:v>T02, T08, T14</x:v>
      </x:c>
      <x:c r="M2679" s="6" t="str">
        <x:v>Count other rooms sharing at least 1 m of wall with a room.</x:v>
      </x:c>
      <x:c r="N2679" s="6" t="str">
        <x:v>{"type":"number","value":3,"unit":"rooms","relative_tolerance":0,"absolute_tolerance":0}</x:v>
      </x:c>
      <x:c r="O2679" s="6" t="str">
        <x:v>{"start":"resplan-8565-F0-S009"}</x:v>
      </x:c>
      <x:c r="P2679" s="6" t="str">
        <x:v>Same floor. Other type=room spaces. &gt;=1 m wall run within 0.35 m. Door not required.</x:v>
      </x:c>
      <x:c r="Q2679" s="15" t="n">
        <x:v>3</x:v>
      </x:c>
      <x:c r="R2679" s="6" t="str">
        <x:v>rooms</x:v>
      </x:c>
      <x:c r="S2679" s="16" t="n">
        <x:v>0</x:v>
      </x:c>
      <x:c r="T2679" s="15" t="n">
        <x:v>0</x:v>
      </x:c>
      <x:c r="U2679" s="6" t="str">
        <x:v>Answer: 3</x:v>
      </x:c>
      <x:c r="V2679" s="6" t="str">
        <x:v>wall adjacency from polygons</x:v>
      </x:c>
      <x:c r="W2679" s="6" t="str">
        <x:v>Missing boundary-adjacency tool. Door connectivity does not answer this question.</x:v>
      </x:c>
      <x:c r="X2679" s="6" t="str">
        <x:v>data/train/resplan-8565/questions.jsonl</x:v>
      </x:c>
      <x:c r="Y2679" s="14" t="n">
        <x:v>5</x:v>
      </x:c>
      <x:c r="Z2679" s="6" t="str">
        <x:v>https://github.com/hagenhaeussler/Industrial-Agents-Hackathon-2026/blob/f41616590b69f3ea0c1cbfb41d6c35edd9ce53df/data/train/resplan-8565/questions.jsonl#L5</x:v>
      </x:c>
      <x:c r="AA2679" s="6" t="str">
        <x:v>resplan</x:v>
      </x:c>
      <x:c r="AB2679" s="6" t="str">
        <x:v>CC-BY-4.0</x:v>
      </x:c>
    </x:row>
    <x:row r="2680" ht="82" customHeight="1">
      <x:c r="A2680" s="14" t="n">
        <x:v>2675</x:v>
      </x:c>
      <x:c r="B2680" s="6" t="str">
        <x:v>shared_walls_count</x:v>
      </x:c>
      <x:c r="C2680"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80" s="6" t="str">
        <x:v>6 rooms</x:v>
      </x:c>
      <x:c r="E2680" s="6" t="str">
        <x:v>Reference supplied</x:v>
      </x:c>
      <x:c r="F2680" s="6" t="str">
        <x:v>train</x:v>
      </x:c>
      <x:c r="G2680" s="6" t="str">
        <x:v>resplan-8889</x:v>
      </x:c>
      <x:c r="H2680" s="6" t="str">
        <x:v>resplan-8889-H02</x:v>
      </x:c>
      <x:c r="I2680" s="6" t="str">
        <x:v>Spatial relationships</x:v>
      </x:c>
      <x:c r="J2680" s="6" t="str">
        <x:v>Benchmark</x:v>
      </x:c>
      <x:c r="K2680" s="6" t="str">
        <x:v>Answer: &lt;one exact integer&gt;</x:v>
      </x:c>
      <x:c r="L2680" s="6" t="str">
        <x:v>T02, T08, T14</x:v>
      </x:c>
      <x:c r="M2680" s="6" t="str">
        <x:v>Count other rooms sharing at least 1 m of wall with a room.</x:v>
      </x:c>
      <x:c r="N2680" s="6" t="str">
        <x:v>{"type":"number","value":6,"unit":"rooms","relative_tolerance":0,"absolute_tolerance":0}</x:v>
      </x:c>
      <x:c r="O2680" s="6" t="str">
        <x:v>{"start":"resplan-8889-F0-S001"}</x:v>
      </x:c>
      <x:c r="P2680" s="6" t="str">
        <x:v>Same floor. Other type=room spaces. &gt;=1 m wall run within 0.35 m. Door not required.</x:v>
      </x:c>
      <x:c r="Q2680" s="15" t="n">
        <x:v>6</x:v>
      </x:c>
      <x:c r="R2680" s="6" t="str">
        <x:v>rooms</x:v>
      </x:c>
      <x:c r="S2680" s="16" t="n">
        <x:v>0</x:v>
      </x:c>
      <x:c r="T2680" s="15" t="n">
        <x:v>0</x:v>
      </x:c>
      <x:c r="U2680" s="6" t="str">
        <x:v>Answer: 6</x:v>
      </x:c>
      <x:c r="V2680" s="6" t="str">
        <x:v>wall adjacency from polygons</x:v>
      </x:c>
      <x:c r="W2680" s="6" t="str">
        <x:v>Missing boundary-adjacency tool. Door connectivity does not answer this question.</x:v>
      </x:c>
      <x:c r="X2680" s="6" t="str">
        <x:v>data/train/resplan-8889/questions.jsonl</x:v>
      </x:c>
      <x:c r="Y2680" s="14" t="n">
        <x:v>2</x:v>
      </x:c>
      <x:c r="Z2680" s="6" t="str">
        <x:v>https://github.com/hagenhaeussler/Industrial-Agents-Hackathon-2026/blob/f41616590b69f3ea0c1cbfb41d6c35edd9ce53df/data/train/resplan-8889/questions.jsonl#L2</x:v>
      </x:c>
      <x:c r="AA2680" s="6" t="str">
        <x:v>resplan</x:v>
      </x:c>
      <x:c r="AB2680" s="6" t="str">
        <x:v>CC-BY-4.0</x:v>
      </x:c>
    </x:row>
    <x:row r="2681" ht="82" customHeight="1">
      <x:c r="A2681" s="14" t="n">
        <x:v>2676</x:v>
      </x:c>
      <x:c r="B2681" s="6" t="str">
        <x:v>shared_walls_count</x:v>
      </x:c>
      <x:c r="C2681" s="6" t="str">
        <x:v>We're soundproofing Bathroom 0.07 (Ground floor). How many other rooms on that floor share a wall with it? Count every room whose wall runs along it for at least 1 m, with or without a door between them; corridors, stairwells and lifts don't count. Finish with a line 'Answer: &lt;number&gt;'.</x:v>
      </x:c>
      <x:c r="D2681" s="6" t="str">
        <x:v>3 rooms</x:v>
      </x:c>
      <x:c r="E2681" s="6" t="str">
        <x:v>Reference supplied</x:v>
      </x:c>
      <x:c r="F2681" s="6" t="str">
        <x:v>train</x:v>
      </x:c>
      <x:c r="G2681" s="6" t="str">
        <x:v>resplan-9082</x:v>
      </x:c>
      <x:c r="H2681" s="6" t="str">
        <x:v>resplan-9082-H05</x:v>
      </x:c>
      <x:c r="I2681" s="6" t="str">
        <x:v>Spatial relationships</x:v>
      </x:c>
      <x:c r="J2681" s="6" t="str">
        <x:v>Benchmark</x:v>
      </x:c>
      <x:c r="K2681" s="6" t="str">
        <x:v>Answer: &lt;one exact integer&gt;</x:v>
      </x:c>
      <x:c r="L2681" s="6" t="str">
        <x:v>T02, T08, T14</x:v>
      </x:c>
      <x:c r="M2681" s="6" t="str">
        <x:v>Count other rooms sharing at least 1 m of wall with a room.</x:v>
      </x:c>
      <x:c r="N2681" s="6" t="str">
        <x:v>{"type":"number","value":3,"unit":"rooms","relative_tolerance":0,"absolute_tolerance":0}</x:v>
      </x:c>
      <x:c r="O2681" s="6" t="str">
        <x:v>{"start":"resplan-9082-F0-S007"}</x:v>
      </x:c>
      <x:c r="P2681" s="6" t="str">
        <x:v>Same floor. Other type=room spaces. &gt;=1 m wall run within 0.35 m. Door not required.</x:v>
      </x:c>
      <x:c r="Q2681" s="15" t="n">
        <x:v>3</x:v>
      </x:c>
      <x:c r="R2681" s="6" t="str">
        <x:v>rooms</x:v>
      </x:c>
      <x:c r="S2681" s="16" t="n">
        <x:v>0</x:v>
      </x:c>
      <x:c r="T2681" s="15" t="n">
        <x:v>0</x:v>
      </x:c>
      <x:c r="U2681" s="6" t="str">
        <x:v>Answer: 3</x:v>
      </x:c>
      <x:c r="V2681" s="6" t="str">
        <x:v>wall adjacency from polygons</x:v>
      </x:c>
      <x:c r="W2681" s="6" t="str">
        <x:v>Missing boundary-adjacency tool. Door connectivity does not answer this question.</x:v>
      </x:c>
      <x:c r="X2681" s="6" t="str">
        <x:v>data/train/resplan-9082/questions.jsonl</x:v>
      </x:c>
      <x:c r="Y2681" s="14" t="n">
        <x:v>5</x:v>
      </x:c>
      <x:c r="Z2681" s="6" t="str">
        <x:v>https://github.com/hagenhaeussler/Industrial-Agents-Hackathon-2026/blob/f41616590b69f3ea0c1cbfb41d6c35edd9ce53df/data/train/resplan-9082/questions.jsonl#L5</x:v>
      </x:c>
      <x:c r="AA2681" s="6" t="str">
        <x:v>resplan</x:v>
      </x:c>
      <x:c r="AB2681" s="6" t="str">
        <x:v>CC-BY-4.0</x:v>
      </x:c>
    </x:row>
    <x:row r="2682" ht="82" customHeight="1">
      <x:c r="A2682" s="14" t="n">
        <x:v>2677</x:v>
      </x:c>
      <x:c r="B2682" s="6" t="str">
        <x:v>shared_walls_count</x:v>
      </x:c>
      <x:c r="C2682"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82" s="6" t="str">
        <x:v>6 rooms</x:v>
      </x:c>
      <x:c r="E2682" s="6" t="str">
        <x:v>Reference supplied</x:v>
      </x:c>
      <x:c r="F2682" s="6" t="str">
        <x:v>train</x:v>
      </x:c>
      <x:c r="G2682" s="6" t="str">
        <x:v>resplan-9204</x:v>
      </x:c>
      <x:c r="H2682" s="6" t="str">
        <x:v>resplan-9204-H03</x:v>
      </x:c>
      <x:c r="I2682" s="6" t="str">
        <x:v>Spatial relationships</x:v>
      </x:c>
      <x:c r="J2682" s="6" t="str">
        <x:v>Benchmark</x:v>
      </x:c>
      <x:c r="K2682" s="6" t="str">
        <x:v>Answer: &lt;one exact integer&gt;</x:v>
      </x:c>
      <x:c r="L2682" s="6" t="str">
        <x:v>T02, T08, T14</x:v>
      </x:c>
      <x:c r="M2682" s="6" t="str">
        <x:v>Count other rooms sharing at least 1 m of wall with a room.</x:v>
      </x:c>
      <x:c r="N2682" s="6" t="str">
        <x:v>{"type":"number","value":6,"unit":"rooms","relative_tolerance":0,"absolute_tolerance":0}</x:v>
      </x:c>
      <x:c r="O2682" s="6" t="str">
        <x:v>{"start":"resplan-9204-F0-S001"}</x:v>
      </x:c>
      <x:c r="P2682" s="6" t="str">
        <x:v>Same floor. Other type=room spaces. &gt;=1 m wall run within 0.35 m. Door not required.</x:v>
      </x:c>
      <x:c r="Q2682" s="15" t="n">
        <x:v>6</x:v>
      </x:c>
      <x:c r="R2682" s="6" t="str">
        <x:v>rooms</x:v>
      </x:c>
      <x:c r="S2682" s="16" t="n">
        <x:v>0</x:v>
      </x:c>
      <x:c r="T2682" s="15" t="n">
        <x:v>0</x:v>
      </x:c>
      <x:c r="U2682" s="6" t="str">
        <x:v>Answer: 6</x:v>
      </x:c>
      <x:c r="V2682" s="6" t="str">
        <x:v>wall adjacency from polygons</x:v>
      </x:c>
      <x:c r="W2682" s="6" t="str">
        <x:v>Missing boundary-adjacency tool. Door connectivity does not answer this question.</x:v>
      </x:c>
      <x:c r="X2682" s="6" t="str">
        <x:v>data/train/resplan-9204/questions.jsonl</x:v>
      </x:c>
      <x:c r="Y2682" s="14" t="n">
        <x:v>3</x:v>
      </x:c>
      <x:c r="Z2682" s="6" t="str">
        <x:v>https://github.com/hagenhaeussler/Industrial-Agents-Hackathon-2026/blob/f41616590b69f3ea0c1cbfb41d6c35edd9ce53df/data/train/resplan-9204/questions.jsonl#L3</x:v>
      </x:c>
      <x:c r="AA2682" s="6" t="str">
        <x:v>resplan</x:v>
      </x:c>
      <x:c r="AB2682" s="6" t="str">
        <x:v>CC-BY-4.0</x:v>
      </x:c>
    </x:row>
    <x:row r="2683" ht="82" customHeight="1">
      <x:c r="A2683" s="14" t="n">
        <x:v>2678</x:v>
      </x:c>
      <x:c r="B2683" s="6" t="str">
        <x:v>shared_walls_count</x:v>
      </x:c>
      <x:c r="C2683"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683" s="6" t="str">
        <x:v>3 rooms</x:v>
      </x:c>
      <x:c r="E2683" s="6" t="str">
        <x:v>Reference supplied</x:v>
      </x:c>
      <x:c r="F2683" s="6" t="str">
        <x:v>train</x:v>
      </x:c>
      <x:c r="G2683" s="6" t="str">
        <x:v>resplan-9416</x:v>
      </x:c>
      <x:c r="H2683" s="6" t="str">
        <x:v>resplan-9416-H02</x:v>
      </x:c>
      <x:c r="I2683" s="6" t="str">
        <x:v>Spatial relationships</x:v>
      </x:c>
      <x:c r="J2683" s="6" t="str">
        <x:v>Benchmark</x:v>
      </x:c>
      <x:c r="K2683" s="6" t="str">
        <x:v>Answer: &lt;one exact integer&gt;</x:v>
      </x:c>
      <x:c r="L2683" s="6" t="str">
        <x:v>T02, T08, T14</x:v>
      </x:c>
      <x:c r="M2683" s="6" t="str">
        <x:v>Count other rooms sharing at least 1 m of wall with a room.</x:v>
      </x:c>
      <x:c r="N2683" s="6" t="str">
        <x:v>{"type":"number","value":3,"unit":"rooms","relative_tolerance":0,"absolute_tolerance":0}</x:v>
      </x:c>
      <x:c r="O2683" s="6" t="str">
        <x:v>{"start":"resplan-9416-F0-S002"}</x:v>
      </x:c>
      <x:c r="P2683" s="6" t="str">
        <x:v>Same floor. Other type=room spaces. &gt;=1 m wall run within 0.35 m. Door not required.</x:v>
      </x:c>
      <x:c r="Q2683" s="15" t="n">
        <x:v>3</x:v>
      </x:c>
      <x:c r="R2683" s="6" t="str">
        <x:v>rooms</x:v>
      </x:c>
      <x:c r="S2683" s="16" t="n">
        <x:v>0</x:v>
      </x:c>
      <x:c r="T2683" s="15" t="n">
        <x:v>0</x:v>
      </x:c>
      <x:c r="U2683" s="6" t="str">
        <x:v>Answer: 3</x:v>
      </x:c>
      <x:c r="V2683" s="6" t="str">
        <x:v>wall adjacency from polygons</x:v>
      </x:c>
      <x:c r="W2683" s="6" t="str">
        <x:v>Missing boundary-adjacency tool. Door connectivity does not answer this question.</x:v>
      </x:c>
      <x:c r="X2683" s="6" t="str">
        <x:v>data/train/resplan-9416/questions.jsonl</x:v>
      </x:c>
      <x:c r="Y2683" s="14" t="n">
        <x:v>2</x:v>
      </x:c>
      <x:c r="Z2683" s="6" t="str">
        <x:v>https://github.com/hagenhaeussler/Industrial-Agents-Hackathon-2026/blob/f41616590b69f3ea0c1cbfb41d6c35edd9ce53df/data/train/resplan-9416/questions.jsonl#L2</x:v>
      </x:c>
      <x:c r="AA2683" s="6" t="str">
        <x:v>resplan</x:v>
      </x:c>
      <x:c r="AB2683" s="6" t="str">
        <x:v>CC-BY-4.0</x:v>
      </x:c>
    </x:row>
    <x:row r="2684" ht="82" customHeight="1">
      <x:c r="A2684" s="14" t="n">
        <x:v>2679</x:v>
      </x:c>
      <x:c r="B2684" s="6" t="str">
        <x:v>shared_walls_count</x:v>
      </x:c>
      <x:c r="C2684"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684" s="6" t="str">
        <x:v>7 rooms</x:v>
      </x:c>
      <x:c r="E2684" s="6" t="str">
        <x:v>Reference supplied</x:v>
      </x:c>
      <x:c r="F2684" s="6" t="str">
        <x:v>train</x:v>
      </x:c>
      <x:c r="G2684" s="6" t="str">
        <x:v>resplan-9809</x:v>
      </x:c>
      <x:c r="H2684" s="6" t="str">
        <x:v>resplan-9809-H04</x:v>
      </x:c>
      <x:c r="I2684" s="6" t="str">
        <x:v>Spatial relationships</x:v>
      </x:c>
      <x:c r="J2684" s="6" t="str">
        <x:v>Benchmark</x:v>
      </x:c>
      <x:c r="K2684" s="6" t="str">
        <x:v>Answer: &lt;one exact integer&gt;</x:v>
      </x:c>
      <x:c r="L2684" s="6" t="str">
        <x:v>T02, T08, T14</x:v>
      </x:c>
      <x:c r="M2684" s="6" t="str">
        <x:v>Count other rooms sharing at least 1 m of wall with a room.</x:v>
      </x:c>
      <x:c r="N2684" s="6" t="str">
        <x:v>{"type":"number","value":7,"unit":"rooms","relative_tolerance":0,"absolute_tolerance":0}</x:v>
      </x:c>
      <x:c r="O2684" s="6" t="str">
        <x:v>{"start":"resplan-9809-F0-S001"}</x:v>
      </x:c>
      <x:c r="P2684" s="6" t="str">
        <x:v>Same floor. Other type=room spaces. &gt;=1 m wall run within 0.35 m. Door not required.</x:v>
      </x:c>
      <x:c r="Q2684" s="15" t="n">
        <x:v>7</x:v>
      </x:c>
      <x:c r="R2684" s="6" t="str">
        <x:v>rooms</x:v>
      </x:c>
      <x:c r="S2684" s="16" t="n">
        <x:v>0</x:v>
      </x:c>
      <x:c r="T2684" s="15" t="n">
        <x:v>0</x:v>
      </x:c>
      <x:c r="U2684" s="6" t="str">
        <x:v>Answer: 7</x:v>
      </x:c>
      <x:c r="V2684" s="6" t="str">
        <x:v>wall adjacency from polygons</x:v>
      </x:c>
      <x:c r="W2684" s="6" t="str">
        <x:v>Missing boundary-adjacency tool. Door connectivity does not answer this question.</x:v>
      </x:c>
      <x:c r="X2684" s="6" t="str">
        <x:v>data/train/resplan-9809/questions.jsonl</x:v>
      </x:c>
      <x:c r="Y2684" s="14" t="n">
        <x:v>4</x:v>
      </x:c>
      <x:c r="Z2684" s="6" t="str">
        <x:v>https://github.com/hagenhaeussler/Industrial-Agents-Hackathon-2026/blob/f41616590b69f3ea0c1cbfb41d6c35edd9ce53df/data/train/resplan-9809/questions.jsonl#L4</x:v>
      </x:c>
      <x:c r="AA2684" s="6" t="str">
        <x:v>resplan</x:v>
      </x:c>
      <x:c r="AB2684" s="6" t="str">
        <x:v>CC-BY-4.0</x:v>
      </x:c>
    </x:row>
    <x:row r="2685" ht="82" customHeight="1">
      <x:c r="A2685" s="14" t="n">
        <x:v>2680</x:v>
      </x:c>
      <x:c r="B2685" s="6" t="str">
        <x:v>shared_walls_count</x:v>
      </x:c>
      <x:c r="C2685" s="6" t="str">
        <x:v>We're soundproofing Bathroom 0.05 (Ground floor). How many other rooms on that floor share a wall with it? Count every room whose wall runs along it for at least 1 m, with or without a door between them; corridors, stairwells and lifts don't count. Finish with a line 'Answer: &lt;number&gt;'.</x:v>
      </x:c>
      <x:c r="D2685" s="6" t="str">
        <x:v>3 rooms</x:v>
      </x:c>
      <x:c r="E2685" s="6" t="str">
        <x:v>Reference supplied</x:v>
      </x:c>
      <x:c r="F2685" s="6" t="str">
        <x:v>train</x:v>
      </x:c>
      <x:c r="G2685" s="6" t="str">
        <x:v>resplan-9872</x:v>
      </x:c>
      <x:c r="H2685" s="6" t="str">
        <x:v>resplan-9872-H02</x:v>
      </x:c>
      <x:c r="I2685" s="6" t="str">
        <x:v>Spatial relationships</x:v>
      </x:c>
      <x:c r="J2685" s="6" t="str">
        <x:v>Benchmark</x:v>
      </x:c>
      <x:c r="K2685" s="6" t="str">
        <x:v>Answer: &lt;one exact integer&gt;</x:v>
      </x:c>
      <x:c r="L2685" s="6" t="str">
        <x:v>T02, T08, T14</x:v>
      </x:c>
      <x:c r="M2685" s="6" t="str">
        <x:v>Count other rooms sharing at least 1 m of wall with a room.</x:v>
      </x:c>
      <x:c r="N2685" s="6" t="str">
        <x:v>{"type":"number","value":3,"unit":"rooms","relative_tolerance":0,"absolute_tolerance":0}</x:v>
      </x:c>
      <x:c r="O2685" s="6" t="str">
        <x:v>{"start":"resplan-9872-F0-S005"}</x:v>
      </x:c>
      <x:c r="P2685" s="6" t="str">
        <x:v>Same floor. Other type=room spaces. &gt;=1 m wall run within 0.35 m. Door not required.</x:v>
      </x:c>
      <x:c r="Q2685" s="15" t="n">
        <x:v>3</x:v>
      </x:c>
      <x:c r="R2685" s="6" t="str">
        <x:v>rooms</x:v>
      </x:c>
      <x:c r="S2685" s="16" t="n">
        <x:v>0</x:v>
      </x:c>
      <x:c r="T2685" s="15" t="n">
        <x:v>0</x:v>
      </x:c>
      <x:c r="U2685" s="6" t="str">
        <x:v>Answer: 3</x:v>
      </x:c>
      <x:c r="V2685" s="6" t="str">
        <x:v>wall adjacency from polygons</x:v>
      </x:c>
      <x:c r="W2685" s="6" t="str">
        <x:v>Missing boundary-adjacency tool. Door connectivity does not answer this question.</x:v>
      </x:c>
      <x:c r="X2685" s="6" t="str">
        <x:v>data/train/resplan-9872/questions.jsonl</x:v>
      </x:c>
      <x:c r="Y2685" s="14" t="n">
        <x:v>2</x:v>
      </x:c>
      <x:c r="Z2685" s="6" t="str">
        <x:v>https://github.com/hagenhaeussler/Industrial-Agents-Hackathon-2026/blob/f41616590b69f3ea0c1cbfb41d6c35edd9ce53df/data/train/resplan-9872/questions.jsonl#L2</x:v>
      </x:c>
      <x:c r="AA2685" s="6" t="str">
        <x:v>resplan</x:v>
      </x:c>
      <x:c r="AB2685" s="6" t="str">
        <x:v>CC-BY-4.0</x:v>
      </x:c>
    </x:row>
    <x:row r="2686" ht="82" customHeight="1">
      <x:c r="A2686" s="14" t="n">
        <x:v>2681</x:v>
      </x:c>
      <x:c r="B2686" s="6" t="str">
        <x:v>shared_walls_count</x:v>
      </x:c>
      <x:c r="C2686" s="6" t="str">
        <x:v>We're soundproofing Living room 0.06 (apartment 1) (Ground floor). How many other rooms on that floor share a wall with it? Count every room whose wall runs along it for at least 1 m, with or without a door between them; corridors, stairwells and lifts don't count. Finish with a line 'Answer: &lt;number&gt;'.</x:v>
      </x:c>
      <x:c r="D2686" s="6" t="str">
        <x:v>3 rooms</x:v>
      </x:c>
      <x:c r="E2686" s="6" t="str">
        <x:v>Reference supplied</x:v>
      </x:c>
      <x:c r="F2686" s="6" t="str">
        <x:v>train</x:v>
      </x:c>
      <x:c r="G2686" s="6" t="str">
        <x:v>swiss-1075</x:v>
      </x:c>
      <x:c r="H2686" s="6" t="str">
        <x:v>swiss-1075-H04</x:v>
      </x:c>
      <x:c r="I2686" s="6" t="str">
        <x:v>Spatial relationships</x:v>
      </x:c>
      <x:c r="J2686" s="6" t="str">
        <x:v>Benchmark</x:v>
      </x:c>
      <x:c r="K2686" s="6" t="str">
        <x:v>Answer: &lt;one exact integer&gt;</x:v>
      </x:c>
      <x:c r="L2686" s="6" t="str">
        <x:v>T02, T08, T14</x:v>
      </x:c>
      <x:c r="M2686" s="6" t="str">
        <x:v>Count other rooms sharing at least 1 m of wall with a room.</x:v>
      </x:c>
      <x:c r="N2686" s="6" t="str">
        <x:v>{"type":"number","value":3,"unit":"rooms","relative_tolerance":0,"absolute_tolerance":0}</x:v>
      </x:c>
      <x:c r="O2686" s="6" t="str">
        <x:v>{"start":"swiss-1075-F0-S006"}</x:v>
      </x:c>
      <x:c r="P2686" s="6" t="str">
        <x:v>Same floor. Other type=room spaces. &gt;=1 m wall run within 0.35 m. Door not required.</x:v>
      </x:c>
      <x:c r="Q2686" s="15" t="n">
        <x:v>3</x:v>
      </x:c>
      <x:c r="R2686" s="6" t="str">
        <x:v>rooms</x:v>
      </x:c>
      <x:c r="S2686" s="16" t="n">
        <x:v>0</x:v>
      </x:c>
      <x:c r="T2686" s="15" t="n">
        <x:v>0</x:v>
      </x:c>
      <x:c r="U2686" s="6" t="str">
        <x:v>Answer: 3</x:v>
      </x:c>
      <x:c r="V2686" s="6" t="str">
        <x:v>wall adjacency from polygons</x:v>
      </x:c>
      <x:c r="W2686" s="6" t="str">
        <x:v>Missing boundary-adjacency tool. Door connectivity does not answer this question.</x:v>
      </x:c>
      <x:c r="X2686" s="6" t="str">
        <x:v>data/train/swiss-1075/questions.jsonl</x:v>
      </x:c>
      <x:c r="Y2686" s="14" t="n">
        <x:v>4</x:v>
      </x:c>
      <x:c r="Z2686" s="6" t="str">
        <x:v>https://github.com/hagenhaeussler/Industrial-Agents-Hackathon-2026/blob/f41616590b69f3ea0c1cbfb41d6c35edd9ce53df/data/train/swiss-1075/questions.jsonl#L4</x:v>
      </x:c>
      <x:c r="AA2686" s="6" t="str">
        <x:v>swiss_dwellings</x:v>
      </x:c>
      <x:c r="AB2686" s="6" t="str">
        <x:v>CC-BY-4.0</x:v>
      </x:c>
    </x:row>
    <x:row r="2687" ht="82" customHeight="1">
      <x:c r="A2687" s="14" t="n">
        <x:v>2682</x:v>
      </x:c>
      <x:c r="B2687" s="6" t="str">
        <x:v>shared_walls_count</x:v>
      </x:c>
      <x:c r="C2687" s="6" t="str">
        <x:v>We're soundproofing Living room 3.25 (apartment 19) (Floor 3). How many other rooms on that floor share a wall with it? Count every room whose wall runs along it for at least 1 m, with or without a door between them; corridors, stairwells and lifts don't count. Finish with a line 'Answer: &lt;number&gt;'.</x:v>
      </x:c>
      <x:c r="D2687" s="6" t="str">
        <x:v>4 rooms</x:v>
      </x:c>
      <x:c r="E2687" s="6" t="str">
        <x:v>Reference supplied</x:v>
      </x:c>
      <x:c r="F2687" s="6" t="str">
        <x:v>train</x:v>
      </x:c>
      <x:c r="G2687" s="6" t="str">
        <x:v>swiss-1110</x:v>
      </x:c>
      <x:c r="H2687" s="6" t="str">
        <x:v>swiss-1110-H04</x:v>
      </x:c>
      <x:c r="I2687" s="6" t="str">
        <x:v>Spatial relationships</x:v>
      </x:c>
      <x:c r="J2687" s="6" t="str">
        <x:v>Benchmark</x:v>
      </x:c>
      <x:c r="K2687" s="6" t="str">
        <x:v>Answer: &lt;one exact integer&gt;</x:v>
      </x:c>
      <x:c r="L2687" s="6" t="str">
        <x:v>T02, T08, T14</x:v>
      </x:c>
      <x:c r="M2687" s="6" t="str">
        <x:v>Count other rooms sharing at least 1 m of wall with a room.</x:v>
      </x:c>
      <x:c r="N2687" s="6" t="str">
        <x:v>{"type":"number","value":4,"unit":"rooms","relative_tolerance":0,"absolute_tolerance":0}</x:v>
      </x:c>
      <x:c r="O2687" s="6" t="str">
        <x:v>{"start":"swiss-1110-F3-S025"}</x:v>
      </x:c>
      <x:c r="P2687" s="6" t="str">
        <x:v>Same floor. Other type=room spaces. &gt;=1 m wall run within 0.35 m. Door not required.</x:v>
      </x:c>
      <x:c r="Q2687" s="15" t="n">
        <x:v>4</x:v>
      </x:c>
      <x:c r="R2687" s="6" t="str">
        <x:v>rooms</x:v>
      </x:c>
      <x:c r="S2687" s="16" t="n">
        <x:v>0</x:v>
      </x:c>
      <x:c r="T2687" s="15" t="n">
        <x:v>0</x:v>
      </x:c>
      <x:c r="U2687" s="6" t="str">
        <x:v>Answer: 4</x:v>
      </x:c>
      <x:c r="V2687" s="6" t="str">
        <x:v>wall adjacency from polygons</x:v>
      </x:c>
      <x:c r="W2687" s="6" t="str">
        <x:v>Missing boundary-adjacency tool. Door connectivity does not answer this question.</x:v>
      </x:c>
      <x:c r="X2687" s="6" t="str">
        <x:v>data/train/swiss-1110/questions.jsonl</x:v>
      </x:c>
      <x:c r="Y2687" s="14" t="n">
        <x:v>4</x:v>
      </x:c>
      <x:c r="Z2687" s="6" t="str">
        <x:v>https://github.com/hagenhaeussler/Industrial-Agents-Hackathon-2026/blob/f41616590b69f3ea0c1cbfb41d6c35edd9ce53df/data/train/swiss-1110/questions.jsonl#L4</x:v>
      </x:c>
      <x:c r="AA2687" s="6" t="str">
        <x:v>swiss_dwellings</x:v>
      </x:c>
      <x:c r="AB2687" s="6" t="str">
        <x:v>CC-BY-4.0</x:v>
      </x:c>
    </x:row>
    <x:row r="2688" ht="82" customHeight="1">
      <x:c r="A2688" s="14" t="n">
        <x:v>2683</x:v>
      </x:c>
      <x:c r="B2688" s="6" t="str">
        <x:v>shared_walls_count</x:v>
      </x:c>
      <x:c r="C2688" s="6" t="str">
        <x:v>We're soundproofing Bedroom 1.22 (apartment 7) (Floor 1). How many other rooms on that floor share a wall with it? Count every room whose wall runs along it for at least 1 m, with or without a door between them; corridors, stairwells and lifts don't count. Finish with a line 'Answer: &lt;number&gt;'.</x:v>
      </x:c>
      <x:c r="D2688" s="6" t="str">
        <x:v>4 rooms</x:v>
      </x:c>
      <x:c r="E2688" s="6" t="str">
        <x:v>Reference supplied</x:v>
      </x:c>
      <x:c r="F2688" s="6" t="str">
        <x:v>train</x:v>
      </x:c>
      <x:c r="G2688" s="6" t="str">
        <x:v>swiss-1390</x:v>
      </x:c>
      <x:c r="H2688" s="6" t="str">
        <x:v>swiss-1390-H04</x:v>
      </x:c>
      <x:c r="I2688" s="6" t="str">
        <x:v>Spatial relationships</x:v>
      </x:c>
      <x:c r="J2688" s="6" t="str">
        <x:v>Benchmark</x:v>
      </x:c>
      <x:c r="K2688" s="6" t="str">
        <x:v>Answer: &lt;one exact integer&gt;</x:v>
      </x:c>
      <x:c r="L2688" s="6" t="str">
        <x:v>T02, T08, T14</x:v>
      </x:c>
      <x:c r="M2688" s="6" t="str">
        <x:v>Count other rooms sharing at least 1 m of wall with a room.</x:v>
      </x:c>
      <x:c r="N2688" s="6" t="str">
        <x:v>{"type":"number","value":4,"unit":"rooms","relative_tolerance":0,"absolute_tolerance":0}</x:v>
      </x:c>
      <x:c r="O2688" s="6" t="str">
        <x:v>{"start":"swiss-1390-F1-S022"}</x:v>
      </x:c>
      <x:c r="P2688" s="6" t="str">
        <x:v>Same floor. Other type=room spaces. &gt;=1 m wall run within 0.35 m. Door not required.</x:v>
      </x:c>
      <x:c r="Q2688" s="15" t="n">
        <x:v>4</x:v>
      </x:c>
      <x:c r="R2688" s="6" t="str">
        <x:v>rooms</x:v>
      </x:c>
      <x:c r="S2688" s="16" t="n">
        <x:v>0</x:v>
      </x:c>
      <x:c r="T2688" s="15" t="n">
        <x:v>0</x:v>
      </x:c>
      <x:c r="U2688" s="6" t="str">
        <x:v>Answer: 4</x:v>
      </x:c>
      <x:c r="V2688" s="6" t="str">
        <x:v>wall adjacency from polygons</x:v>
      </x:c>
      <x:c r="W2688" s="6" t="str">
        <x:v>Missing boundary-adjacency tool. Door connectivity does not answer this question.</x:v>
      </x:c>
      <x:c r="X2688" s="6" t="str">
        <x:v>data/train/swiss-1390/questions.jsonl</x:v>
      </x:c>
      <x:c r="Y2688" s="14" t="n">
        <x:v>4</x:v>
      </x:c>
      <x:c r="Z2688" s="6" t="str">
        <x:v>https://github.com/hagenhaeussler/Industrial-Agents-Hackathon-2026/blob/f41616590b69f3ea0c1cbfb41d6c35edd9ce53df/data/train/swiss-1390/questions.jsonl#L4</x:v>
      </x:c>
      <x:c r="AA2688" s="6" t="str">
        <x:v>swiss_dwellings</x:v>
      </x:c>
      <x:c r="AB2688" s="6" t="str">
        <x:v>CC-BY-4.0</x:v>
      </x:c>
    </x:row>
    <x:row r="2689" ht="82" customHeight="1">
      <x:c r="A2689" s="14" t="n">
        <x:v>2684</x:v>
      </x:c>
      <x:c r="B2689" s="6" t="str">
        <x:v>shared_walls_count</x:v>
      </x:c>
      <x:c r="C2689" s="6" t="str">
        <x:v>We're soundproofing Bedroom 2.01 (apartment 9) (Floor 2). How many other rooms on that floor share a wall with it? Count every room whose wall runs along it for at least 1 m, with or without a door between them; corridors, stairwells and lifts don't count. Finish with a line 'Answer: &lt;number&gt;'.</x:v>
      </x:c>
      <x:c r="D2689" s="6" t="str">
        <x:v>4 rooms</x:v>
      </x:c>
      <x:c r="E2689" s="6" t="str">
        <x:v>Reference supplied</x:v>
      </x:c>
      <x:c r="F2689" s="6" t="str">
        <x:v>train</x:v>
      </x:c>
      <x:c r="G2689" s="6" t="str">
        <x:v>swiss-1444</x:v>
      </x:c>
      <x:c r="H2689" s="6" t="str">
        <x:v>swiss-1444-H03</x:v>
      </x:c>
      <x:c r="I2689" s="6" t="str">
        <x:v>Spatial relationships</x:v>
      </x:c>
      <x:c r="J2689" s="6" t="str">
        <x:v>Benchmark</x:v>
      </x:c>
      <x:c r="K2689" s="6" t="str">
        <x:v>Answer: &lt;one exact integer&gt;</x:v>
      </x:c>
      <x:c r="L2689" s="6" t="str">
        <x:v>T02, T08, T14</x:v>
      </x:c>
      <x:c r="M2689" s="6" t="str">
        <x:v>Count other rooms sharing at least 1 m of wall with a room.</x:v>
      </x:c>
      <x:c r="N2689" s="6" t="str">
        <x:v>{"type":"number","value":4,"unit":"rooms","relative_tolerance":0,"absolute_tolerance":0}</x:v>
      </x:c>
      <x:c r="O2689" s="6" t="str">
        <x:v>{"start":"swiss-1444-F2-S001"}</x:v>
      </x:c>
      <x:c r="P2689" s="6" t="str">
        <x:v>Same floor. Other type=room spaces. &gt;=1 m wall run within 0.35 m. Door not required.</x:v>
      </x:c>
      <x:c r="Q2689" s="15" t="n">
        <x:v>4</x:v>
      </x:c>
      <x:c r="R2689" s="6" t="str">
        <x:v>rooms</x:v>
      </x:c>
      <x:c r="S2689" s="16" t="n">
        <x:v>0</x:v>
      </x:c>
      <x:c r="T2689" s="15" t="n">
        <x:v>0</x:v>
      </x:c>
      <x:c r="U2689" s="6" t="str">
        <x:v>Answer: 4</x:v>
      </x:c>
      <x:c r="V2689" s="6" t="str">
        <x:v>wall adjacency from polygons</x:v>
      </x:c>
      <x:c r="W2689" s="6" t="str">
        <x:v>Missing boundary-adjacency tool. Door connectivity does not answer this question.</x:v>
      </x:c>
      <x:c r="X2689" s="6" t="str">
        <x:v>data/train/swiss-1444/questions.jsonl</x:v>
      </x:c>
      <x:c r="Y2689" s="14" t="n">
        <x:v>3</x:v>
      </x:c>
      <x:c r="Z2689" s="6" t="str">
        <x:v>https://github.com/hagenhaeussler/Industrial-Agents-Hackathon-2026/blob/f41616590b69f3ea0c1cbfb41d6c35edd9ce53df/data/train/swiss-1444/questions.jsonl#L3</x:v>
      </x:c>
      <x:c r="AA2689" s="6" t="str">
        <x:v>swiss_dwellings</x:v>
      </x:c>
      <x:c r="AB2689" s="6" t="str">
        <x:v>CC-BY-4.0</x:v>
      </x:c>
    </x:row>
    <x:row r="2690" ht="82" customHeight="1">
      <x:c r="A2690" s="14" t="n">
        <x:v>2685</x:v>
      </x:c>
      <x:c r="B2690" s="6" t="str">
        <x:v>shared_walls_count</x:v>
      </x:c>
      <x:c r="C2690" s="6" t="str">
        <x:v>We're soundproofing Kitchen 3.04 (apartment 7) (Floor 3). How many other rooms on that floor share a wall with it? Count every room whose wall runs along it for at least 1 m, with or without a door between them; corridors, stairwells and lifts don't count. Finish with a line 'Answer: &lt;number&gt;'.</x:v>
      </x:c>
      <x:c r="D2690" s="6" t="str">
        <x:v>3 rooms</x:v>
      </x:c>
      <x:c r="E2690" s="6" t="str">
        <x:v>Reference supplied</x:v>
      </x:c>
      <x:c r="F2690" s="6" t="str">
        <x:v>train</x:v>
      </x:c>
      <x:c r="G2690" s="6" t="str">
        <x:v>swiss-1457</x:v>
      </x:c>
      <x:c r="H2690" s="6" t="str">
        <x:v>swiss-1457-H04</x:v>
      </x:c>
      <x:c r="I2690" s="6" t="str">
        <x:v>Spatial relationships</x:v>
      </x:c>
      <x:c r="J2690" s="6" t="str">
        <x:v>Benchmark</x:v>
      </x:c>
      <x:c r="K2690" s="6" t="str">
        <x:v>Answer: &lt;one exact integer&gt;</x:v>
      </x:c>
      <x:c r="L2690" s="6" t="str">
        <x:v>T02, T08, T14</x:v>
      </x:c>
      <x:c r="M2690" s="6" t="str">
        <x:v>Count other rooms sharing at least 1 m of wall with a room.</x:v>
      </x:c>
      <x:c r="N2690" s="6" t="str">
        <x:v>{"type":"number","value":3,"unit":"rooms","relative_tolerance":0,"absolute_tolerance":0}</x:v>
      </x:c>
      <x:c r="O2690" s="6" t="str">
        <x:v>{"start":"swiss-1457-F3-S004"}</x:v>
      </x:c>
      <x:c r="P2690" s="6" t="str">
        <x:v>Same floor. Other type=room spaces. &gt;=1 m wall run within 0.35 m. Door not required.</x:v>
      </x:c>
      <x:c r="Q2690" s="15" t="n">
        <x:v>3</x:v>
      </x:c>
      <x:c r="R2690" s="6" t="str">
        <x:v>rooms</x:v>
      </x:c>
      <x:c r="S2690" s="16" t="n">
        <x:v>0</x:v>
      </x:c>
      <x:c r="T2690" s="15" t="n">
        <x:v>0</x:v>
      </x:c>
      <x:c r="U2690" s="6" t="str">
        <x:v>Answer: 3</x:v>
      </x:c>
      <x:c r="V2690" s="6" t="str">
        <x:v>wall adjacency from polygons</x:v>
      </x:c>
      <x:c r="W2690" s="6" t="str">
        <x:v>Missing boundary-adjacency tool. Door connectivity does not answer this question.</x:v>
      </x:c>
      <x:c r="X2690" s="6" t="str">
        <x:v>data/train/swiss-1457/questions.jsonl</x:v>
      </x:c>
      <x:c r="Y2690" s="14" t="n">
        <x:v>4</x:v>
      </x:c>
      <x:c r="Z2690" s="6" t="str">
        <x:v>https://github.com/hagenhaeussler/Industrial-Agents-Hackathon-2026/blob/f41616590b69f3ea0c1cbfb41d6c35edd9ce53df/data/train/swiss-1457/questions.jsonl#L4</x:v>
      </x:c>
      <x:c r="AA2690" s="6" t="str">
        <x:v>swiss_dwellings</x:v>
      </x:c>
      <x:c r="AB2690" s="6" t="str">
        <x:v>CC-BY-4.0</x:v>
      </x:c>
    </x:row>
    <x:row r="2691" ht="82" customHeight="1">
      <x:c r="A2691" s="14" t="n">
        <x:v>2686</x:v>
      </x:c>
      <x:c r="B2691" s="6" t="str">
        <x:v>shared_walls_count</x:v>
      </x:c>
      <x:c r="C2691" s="6" t="str">
        <x:v>We're soundproofing Bedroom 1.11 (apartment 3) (Floor 1). How many other rooms on that floor share a wall with it? Count every room whose wall runs along it for at least 1 m, with or without a door between them; corridors, stairwells and lifts don't count. Finish with a line 'Answer: &lt;number&gt;'.</x:v>
      </x:c>
      <x:c r="D2691" s="6" t="str">
        <x:v>4 rooms</x:v>
      </x:c>
      <x:c r="E2691" s="6" t="str">
        <x:v>Reference supplied</x:v>
      </x:c>
      <x:c r="F2691" s="6" t="str">
        <x:v>train</x:v>
      </x:c>
      <x:c r="G2691" s="6" t="str">
        <x:v>swiss-1470</x:v>
      </x:c>
      <x:c r="H2691" s="6" t="str">
        <x:v>swiss-1470-H04</x:v>
      </x:c>
      <x:c r="I2691" s="6" t="str">
        <x:v>Spatial relationships</x:v>
      </x:c>
      <x:c r="J2691" s="6" t="str">
        <x:v>Benchmark</x:v>
      </x:c>
      <x:c r="K2691" s="6" t="str">
        <x:v>Answer: &lt;one exact integer&gt;</x:v>
      </x:c>
      <x:c r="L2691" s="6" t="str">
        <x:v>T02, T08, T14</x:v>
      </x:c>
      <x:c r="M2691" s="6" t="str">
        <x:v>Count other rooms sharing at least 1 m of wall with a room.</x:v>
      </x:c>
      <x:c r="N2691" s="6" t="str">
        <x:v>{"type":"number","value":4,"unit":"rooms","relative_tolerance":0,"absolute_tolerance":0}</x:v>
      </x:c>
      <x:c r="O2691" s="6" t="str">
        <x:v>{"start":"swiss-1470-F1-S011"}</x:v>
      </x:c>
      <x:c r="P2691" s="6" t="str">
        <x:v>Same floor. Other type=room spaces. &gt;=1 m wall run within 0.35 m. Door not required.</x:v>
      </x:c>
      <x:c r="Q2691" s="15" t="n">
        <x:v>4</x:v>
      </x:c>
      <x:c r="R2691" s="6" t="str">
        <x:v>rooms</x:v>
      </x:c>
      <x:c r="S2691" s="16" t="n">
        <x:v>0</x:v>
      </x:c>
      <x:c r="T2691" s="15" t="n">
        <x:v>0</x:v>
      </x:c>
      <x:c r="U2691" s="6" t="str">
        <x:v>Answer: 4</x:v>
      </x:c>
      <x:c r="V2691" s="6" t="str">
        <x:v>wall adjacency from polygons</x:v>
      </x:c>
      <x:c r="W2691" s="6" t="str">
        <x:v>Missing boundary-adjacency tool. Door connectivity does not answer this question.</x:v>
      </x:c>
      <x:c r="X2691" s="6" t="str">
        <x:v>data/train/swiss-1470/questions.jsonl</x:v>
      </x:c>
      <x:c r="Y2691" s="14" t="n">
        <x:v>4</x:v>
      </x:c>
      <x:c r="Z2691" s="6" t="str">
        <x:v>https://github.com/hagenhaeussler/Industrial-Agents-Hackathon-2026/blob/f41616590b69f3ea0c1cbfb41d6c35edd9ce53df/data/train/swiss-1470/questions.jsonl#L4</x:v>
      </x:c>
      <x:c r="AA2691" s="6" t="str">
        <x:v>swiss_dwellings</x:v>
      </x:c>
      <x:c r="AB2691" s="6" t="str">
        <x:v>CC-BY-4.0</x:v>
      </x:c>
    </x:row>
    <x:row r="2692" ht="82" customHeight="1">
      <x:c r="A2692" s="14" t="n">
        <x:v>2687</x:v>
      </x:c>
      <x:c r="B2692" s="6" t="str">
        <x:v>shared_walls_count</x:v>
      </x:c>
      <x:c r="C2692" s="6" t="str">
        <x:v>We're soundproofing Bedroom 1.10 (apartment 3) (Floor 1). How many other rooms on that floor share a wall with it? Count every room whose wall runs along it for at least 1 m, with or without a door between them; corridors, stairwells and lifts don't count. Finish with a line 'Answer: &lt;number&gt;'.</x:v>
      </x:c>
      <x:c r="D2692" s="6" t="str">
        <x:v>5 rooms</x:v>
      </x:c>
      <x:c r="E2692" s="6" t="str">
        <x:v>Reference supplied</x:v>
      </x:c>
      <x:c r="F2692" s="6" t="str">
        <x:v>train</x:v>
      </x:c>
      <x:c r="G2692" s="6" t="str">
        <x:v>swiss-148</x:v>
      </x:c>
      <x:c r="H2692" s="6" t="str">
        <x:v>swiss-148-H04</x:v>
      </x:c>
      <x:c r="I2692" s="6" t="str">
        <x:v>Spatial relationships</x:v>
      </x:c>
      <x:c r="J2692" s="6" t="str">
        <x:v>Benchmark</x:v>
      </x:c>
      <x:c r="K2692" s="6" t="str">
        <x:v>Answer: &lt;one exact integer&gt;</x:v>
      </x:c>
      <x:c r="L2692" s="6" t="str">
        <x:v>T02, T08, T14</x:v>
      </x:c>
      <x:c r="M2692" s="6" t="str">
        <x:v>Count other rooms sharing at least 1 m of wall with a room.</x:v>
      </x:c>
      <x:c r="N2692" s="6" t="str">
        <x:v>{"type":"number","value":5,"unit":"rooms","relative_tolerance":0,"absolute_tolerance":0}</x:v>
      </x:c>
      <x:c r="O2692" s="6" t="str">
        <x:v>{"start":"swiss-148-F1-S010"}</x:v>
      </x:c>
      <x:c r="P2692" s="6" t="str">
        <x:v>Same floor. Other type=room spaces. &gt;=1 m wall run within 0.35 m. Door not required.</x:v>
      </x:c>
      <x:c r="Q2692" s="15" t="n">
        <x:v>5</x:v>
      </x:c>
      <x:c r="R2692" s="6" t="str">
        <x:v>rooms</x:v>
      </x:c>
      <x:c r="S2692" s="16" t="n">
        <x:v>0</x:v>
      </x:c>
      <x:c r="T2692" s="15" t="n">
        <x:v>0</x:v>
      </x:c>
      <x:c r="U2692" s="6" t="str">
        <x:v>Answer: 5</x:v>
      </x:c>
      <x:c r="V2692" s="6" t="str">
        <x:v>wall adjacency from polygons</x:v>
      </x:c>
      <x:c r="W2692" s="6" t="str">
        <x:v>Missing boundary-adjacency tool. Door connectivity does not answer this question.</x:v>
      </x:c>
      <x:c r="X2692" s="6" t="str">
        <x:v>data/train/swiss-148/questions.jsonl</x:v>
      </x:c>
      <x:c r="Y2692" s="14" t="n">
        <x:v>4</x:v>
      </x:c>
      <x:c r="Z2692" s="6" t="str">
        <x:v>https://github.com/hagenhaeussler/Industrial-Agents-Hackathon-2026/blob/f41616590b69f3ea0c1cbfb41d6c35edd9ce53df/data/train/swiss-148/questions.jsonl#L4</x:v>
      </x:c>
      <x:c r="AA2692" s="6" t="str">
        <x:v>swiss_dwellings</x:v>
      </x:c>
      <x:c r="AB2692" s="6" t="str">
        <x:v>CC-BY-4.0</x:v>
      </x:c>
    </x:row>
    <x:row r="2693" ht="82" customHeight="1">
      <x:c r="A2693" s="14" t="n">
        <x:v>2688</x:v>
      </x:c>
      <x:c r="B2693" s="6" t="str">
        <x:v>shared_walls_count</x:v>
      </x:c>
      <x:c r="C2693" s="6" t="str">
        <x:v>We're soundproofing Living room 0.20 (apartment 3) (Ground floor). How many other rooms on that floor share a wall with it? Count every room whose wall runs along it for at least 1 m, with or without a door between them; corridors, stairwells and lifts don't count. Finish with a line 'Answer: &lt;number&gt;'.</x:v>
      </x:c>
      <x:c r="D2693" s="6" t="str">
        <x:v>3 rooms</x:v>
      </x:c>
      <x:c r="E2693" s="6" t="str">
        <x:v>Reference supplied</x:v>
      </x:c>
      <x:c r="F2693" s="6" t="str">
        <x:v>train</x:v>
      </x:c>
      <x:c r="G2693" s="6" t="str">
        <x:v>swiss-1571</x:v>
      </x:c>
      <x:c r="H2693" s="6" t="str">
        <x:v>swiss-1571-H02</x:v>
      </x:c>
      <x:c r="I2693" s="6" t="str">
        <x:v>Spatial relationships</x:v>
      </x:c>
      <x:c r="J2693" s="6" t="str">
        <x:v>Benchmark</x:v>
      </x:c>
      <x:c r="K2693" s="6" t="str">
        <x:v>Answer: &lt;one exact integer&gt;</x:v>
      </x:c>
      <x:c r="L2693" s="6" t="str">
        <x:v>T02, T08, T14</x:v>
      </x:c>
      <x:c r="M2693" s="6" t="str">
        <x:v>Count other rooms sharing at least 1 m of wall with a room.</x:v>
      </x:c>
      <x:c r="N2693" s="6" t="str">
        <x:v>{"type":"number","value":3,"unit":"rooms","relative_tolerance":0,"absolute_tolerance":0}</x:v>
      </x:c>
      <x:c r="O2693" s="6" t="str">
        <x:v>{"start":"swiss-1571-F0-S020"}</x:v>
      </x:c>
      <x:c r="P2693" s="6" t="str">
        <x:v>Same floor. Other type=room spaces. &gt;=1 m wall run within 0.35 m. Door not required.</x:v>
      </x:c>
      <x:c r="Q2693" s="15" t="n">
        <x:v>3</x:v>
      </x:c>
      <x:c r="R2693" s="6" t="str">
        <x:v>rooms</x:v>
      </x:c>
      <x:c r="S2693" s="16" t="n">
        <x:v>0</x:v>
      </x:c>
      <x:c r="T2693" s="15" t="n">
        <x:v>0</x:v>
      </x:c>
      <x:c r="U2693" s="6" t="str">
        <x:v>Answer: 3</x:v>
      </x:c>
      <x:c r="V2693" s="6" t="str">
        <x:v>wall adjacency from polygons</x:v>
      </x:c>
      <x:c r="W2693" s="6" t="str">
        <x:v>Missing boundary-adjacency tool. Door connectivity does not answer this question.</x:v>
      </x:c>
      <x:c r="X2693" s="6" t="str">
        <x:v>data/train/swiss-1571/questions.jsonl</x:v>
      </x:c>
      <x:c r="Y2693" s="14" t="n">
        <x:v>2</x:v>
      </x:c>
      <x:c r="Z2693" s="6" t="str">
        <x:v>https://github.com/hagenhaeussler/Industrial-Agents-Hackathon-2026/blob/f41616590b69f3ea0c1cbfb41d6c35edd9ce53df/data/train/swiss-1571/questions.jsonl#L2</x:v>
      </x:c>
      <x:c r="AA2693" s="6" t="str">
        <x:v>swiss_dwellings</x:v>
      </x:c>
      <x:c r="AB2693" s="6" t="str">
        <x:v>CC-BY-4.0</x:v>
      </x:c>
    </x:row>
    <x:row r="2694" ht="82" customHeight="1">
      <x:c r="A2694" s="14" t="n">
        <x:v>2689</x:v>
      </x:c>
      <x:c r="B2694" s="6" t="str">
        <x:v>shared_walls_count</x:v>
      </x:c>
      <x:c r="C2694" s="6" t="str">
        <x:v>We're soundproofing Kitchen 3.18 (apartment 7) (Floor 3). How many other rooms on that floor share a wall with it? Count every room whose wall runs along it for at least 1 m, with or without a door between them; corridors, stairwells and lifts don't count. Finish with a line 'Answer: &lt;number&gt;'.</x:v>
      </x:c>
      <x:c r="D2694" s="6" t="str">
        <x:v>3 rooms</x:v>
      </x:c>
      <x:c r="E2694" s="6" t="str">
        <x:v>Reference supplied</x:v>
      </x:c>
      <x:c r="F2694" s="6" t="str">
        <x:v>train</x:v>
      </x:c>
      <x:c r="G2694" s="6" t="str">
        <x:v>swiss-1650</x:v>
      </x:c>
      <x:c r="H2694" s="6" t="str">
        <x:v>swiss-1650-H04</x:v>
      </x:c>
      <x:c r="I2694" s="6" t="str">
        <x:v>Spatial relationships</x:v>
      </x:c>
      <x:c r="J2694" s="6" t="str">
        <x:v>Benchmark</x:v>
      </x:c>
      <x:c r="K2694" s="6" t="str">
        <x:v>Answer: &lt;one exact integer&gt;</x:v>
      </x:c>
      <x:c r="L2694" s="6" t="str">
        <x:v>T02, T08, T14</x:v>
      </x:c>
      <x:c r="M2694" s="6" t="str">
        <x:v>Count other rooms sharing at least 1 m of wall with a room.</x:v>
      </x:c>
      <x:c r="N2694" s="6" t="str">
        <x:v>{"type":"number","value":3,"unit":"rooms","relative_tolerance":0,"absolute_tolerance":0}</x:v>
      </x:c>
      <x:c r="O2694" s="6" t="str">
        <x:v>{"start":"swiss-1650-F3-S018"}</x:v>
      </x:c>
      <x:c r="P2694" s="6" t="str">
        <x:v>Same floor. Other type=room spaces. &gt;=1 m wall run within 0.35 m. Door not required.</x:v>
      </x:c>
      <x:c r="Q2694" s="15" t="n">
        <x:v>3</x:v>
      </x:c>
      <x:c r="R2694" s="6" t="str">
        <x:v>rooms</x:v>
      </x:c>
      <x:c r="S2694" s="16" t="n">
        <x:v>0</x:v>
      </x:c>
      <x:c r="T2694" s="15" t="n">
        <x:v>0</x:v>
      </x:c>
      <x:c r="U2694" s="6" t="str">
        <x:v>Answer: 3</x:v>
      </x:c>
      <x:c r="V2694" s="6" t="str">
        <x:v>wall adjacency from polygons</x:v>
      </x:c>
      <x:c r="W2694" s="6" t="str">
        <x:v>Missing boundary-adjacency tool. Door connectivity does not answer this question.</x:v>
      </x:c>
      <x:c r="X2694" s="6" t="str">
        <x:v>data/train/swiss-1650/questions.jsonl</x:v>
      </x:c>
      <x:c r="Y2694" s="14" t="n">
        <x:v>4</x:v>
      </x:c>
      <x:c r="Z2694" s="6" t="str">
        <x:v>https://github.com/hagenhaeussler/Industrial-Agents-Hackathon-2026/blob/f41616590b69f3ea0c1cbfb41d6c35edd9ce53df/data/train/swiss-1650/questions.jsonl#L4</x:v>
      </x:c>
      <x:c r="AA2694" s="6" t="str">
        <x:v>swiss_dwellings</x:v>
      </x:c>
      <x:c r="AB2694" s="6" t="str">
        <x:v>CC-BY-4.0</x:v>
      </x:c>
    </x:row>
    <x:row r="2695" ht="82" customHeight="1">
      <x:c r="A2695" s="14" t="n">
        <x:v>2690</x:v>
      </x:c>
      <x:c r="B2695" s="6" t="str">
        <x:v>shared_walls_count</x:v>
      </x:c>
      <x:c r="C2695" s="6" t="str">
        <x:v>We're soundproofing Kitchen 3.07 (apartment 9) (Floor 3). How many other rooms on that floor share a wall with it? Count every room whose wall runs along it for at least 1 m, with or without a door between them; corridors, stairwells and lifts don't count. Finish with a line 'Answer: &lt;number&gt;'.</x:v>
      </x:c>
      <x:c r="D2695" s="6" t="str">
        <x:v>3 rooms</x:v>
      </x:c>
      <x:c r="E2695" s="6" t="str">
        <x:v>Reference supplied</x:v>
      </x:c>
      <x:c r="F2695" s="6" t="str">
        <x:v>train</x:v>
      </x:c>
      <x:c r="G2695" s="6" t="str">
        <x:v>swiss-18196</x:v>
      </x:c>
      <x:c r="H2695" s="6" t="str">
        <x:v>swiss-18196-H04</x:v>
      </x:c>
      <x:c r="I2695" s="6" t="str">
        <x:v>Spatial relationships</x:v>
      </x:c>
      <x:c r="J2695" s="6" t="str">
        <x:v>Benchmark</x:v>
      </x:c>
      <x:c r="K2695" s="6" t="str">
        <x:v>Answer: &lt;one exact integer&gt;</x:v>
      </x:c>
      <x:c r="L2695" s="6" t="str">
        <x:v>T02, T08, T14</x:v>
      </x:c>
      <x:c r="M2695" s="6" t="str">
        <x:v>Count other rooms sharing at least 1 m of wall with a room.</x:v>
      </x:c>
      <x:c r="N2695" s="6" t="str">
        <x:v>{"type":"number","value":3,"unit":"rooms","relative_tolerance":0,"absolute_tolerance":0}</x:v>
      </x:c>
      <x:c r="O2695" s="6" t="str">
        <x:v>{"start":"swiss-18196-F3-S007"}</x:v>
      </x:c>
      <x:c r="P2695" s="6" t="str">
        <x:v>Same floor. Other type=room spaces. &gt;=1 m wall run within 0.35 m. Door not required.</x:v>
      </x:c>
      <x:c r="Q2695" s="15" t="n">
        <x:v>3</x:v>
      </x:c>
      <x:c r="R2695" s="6" t="str">
        <x:v>rooms</x:v>
      </x:c>
      <x:c r="S2695" s="16" t="n">
        <x:v>0</x:v>
      </x:c>
      <x:c r="T2695" s="15" t="n">
        <x:v>0</x:v>
      </x:c>
      <x:c r="U2695" s="6" t="str">
        <x:v>Answer: 3</x:v>
      </x:c>
      <x:c r="V2695" s="6" t="str">
        <x:v>wall adjacency from polygons</x:v>
      </x:c>
      <x:c r="W2695" s="6" t="str">
        <x:v>Missing boundary-adjacency tool. Door connectivity does not answer this question.</x:v>
      </x:c>
      <x:c r="X2695" s="6" t="str">
        <x:v>data/train/swiss-18196/questions.jsonl</x:v>
      </x:c>
      <x:c r="Y2695" s="14" t="n">
        <x:v>4</x:v>
      </x:c>
      <x:c r="Z2695" s="6" t="str">
        <x:v>https://github.com/hagenhaeussler/Industrial-Agents-Hackathon-2026/blob/f41616590b69f3ea0c1cbfb41d6c35edd9ce53df/data/train/swiss-18196/questions.jsonl#L4</x:v>
      </x:c>
      <x:c r="AA2695" s="6" t="str">
        <x:v>swiss_dwellings</x:v>
      </x:c>
      <x:c r="AB2695" s="6" t="str">
        <x:v>CC-BY-4.0</x:v>
      </x:c>
    </x:row>
    <x:row r="2696" ht="82" customHeight="1">
      <x:c r="A2696" s="14" t="n">
        <x:v>2691</x:v>
      </x:c>
      <x:c r="B2696" s="6" t="str">
        <x:v>shared_walls_count</x:v>
      </x:c>
      <x:c r="C2696" s="6" t="str">
        <x:v>We're soundproofing Bedroom 4.12 (apartment 16) (Floor 4). How many other rooms on that floor share a wall with it? Count every room whose wall runs along it for at least 1 m, with or without a door between them; corridors, stairwells and lifts don't count. Finish with a line 'Answer: &lt;number&gt;'.</x:v>
      </x:c>
      <x:c r="D2696" s="6" t="str">
        <x:v>3 rooms</x:v>
      </x:c>
      <x:c r="E2696" s="6" t="str">
        <x:v>Reference supplied</x:v>
      </x:c>
      <x:c r="F2696" s="6" t="str">
        <x:v>train</x:v>
      </x:c>
      <x:c r="G2696" s="6" t="str">
        <x:v>swiss-1860</x:v>
      </x:c>
      <x:c r="H2696" s="6" t="str">
        <x:v>swiss-1860-H02</x:v>
      </x:c>
      <x:c r="I2696" s="6" t="str">
        <x:v>Spatial relationships</x:v>
      </x:c>
      <x:c r="J2696" s="6" t="str">
        <x:v>Benchmark</x:v>
      </x:c>
      <x:c r="K2696" s="6" t="str">
        <x:v>Answer: &lt;one exact integer&gt;</x:v>
      </x:c>
      <x:c r="L2696" s="6" t="str">
        <x:v>T02, T08, T14</x:v>
      </x:c>
      <x:c r="M2696" s="6" t="str">
        <x:v>Count other rooms sharing at least 1 m of wall with a room.</x:v>
      </x:c>
      <x:c r="N2696" s="6" t="str">
        <x:v>{"type":"number","value":3,"unit":"rooms","relative_tolerance":0,"absolute_tolerance":0}</x:v>
      </x:c>
      <x:c r="O2696" s="6" t="str">
        <x:v>{"start":"swiss-1860-F4-S012"}</x:v>
      </x:c>
      <x:c r="P2696" s="6" t="str">
        <x:v>Same floor. Other type=room spaces. &gt;=1 m wall run within 0.35 m. Door not required.</x:v>
      </x:c>
      <x:c r="Q2696" s="15" t="n">
        <x:v>3</x:v>
      </x:c>
      <x:c r="R2696" s="6" t="str">
        <x:v>rooms</x:v>
      </x:c>
      <x:c r="S2696" s="16" t="n">
        <x:v>0</x:v>
      </x:c>
      <x:c r="T2696" s="15" t="n">
        <x:v>0</x:v>
      </x:c>
      <x:c r="U2696" s="6" t="str">
        <x:v>Answer: 3</x:v>
      </x:c>
      <x:c r="V2696" s="6" t="str">
        <x:v>wall adjacency from polygons</x:v>
      </x:c>
      <x:c r="W2696" s="6" t="str">
        <x:v>Missing boundary-adjacency tool. Door connectivity does not answer this question.</x:v>
      </x:c>
      <x:c r="X2696" s="6" t="str">
        <x:v>data/train/swiss-1860/questions.jsonl</x:v>
      </x:c>
      <x:c r="Y2696" s="14" t="n">
        <x:v>2</x:v>
      </x:c>
      <x:c r="Z2696" s="6" t="str">
        <x:v>https://github.com/hagenhaeussler/Industrial-Agents-Hackathon-2026/blob/f41616590b69f3ea0c1cbfb41d6c35edd9ce53df/data/train/swiss-1860/questions.jsonl#L2</x:v>
      </x:c>
      <x:c r="AA2696" s="6" t="str">
        <x:v>swiss_dwellings</x:v>
      </x:c>
      <x:c r="AB2696" s="6" t="str">
        <x:v>CC-BY-4.0</x:v>
      </x:c>
    </x:row>
    <x:row r="2697" ht="82" customHeight="1">
      <x:c r="A2697" s="14" t="n">
        <x:v>2692</x:v>
      </x:c>
      <x:c r="B2697" s="6" t="str">
        <x:v>shared_walls_count</x:v>
      </x:c>
      <x:c r="C2697" s="6" t="str">
        <x:v>We're soundproofing Kitchen 2.24 (apartment 11) (Floor 2). How many other rooms on that floor share a wall with it? Count every room whose wall runs along it for at least 1 m, with or without a door between them; corridors, stairwells and lifts don't count. Finish with a line 'Answer: &lt;number&gt;'.</x:v>
      </x:c>
      <x:c r="D2697" s="6" t="str">
        <x:v>3 rooms</x:v>
      </x:c>
      <x:c r="E2697" s="6" t="str">
        <x:v>Reference supplied</x:v>
      </x:c>
      <x:c r="F2697" s="6" t="str">
        <x:v>train</x:v>
      </x:c>
      <x:c r="G2697" s="6" t="str">
        <x:v>swiss-1883</x:v>
      </x:c>
      <x:c r="H2697" s="6" t="str">
        <x:v>swiss-1883-H04</x:v>
      </x:c>
      <x:c r="I2697" s="6" t="str">
        <x:v>Spatial relationships</x:v>
      </x:c>
      <x:c r="J2697" s="6" t="str">
        <x:v>Benchmark</x:v>
      </x:c>
      <x:c r="K2697" s="6" t="str">
        <x:v>Answer: &lt;one exact integer&gt;</x:v>
      </x:c>
      <x:c r="L2697" s="6" t="str">
        <x:v>T02, T08, T14</x:v>
      </x:c>
      <x:c r="M2697" s="6" t="str">
        <x:v>Count other rooms sharing at least 1 m of wall with a room.</x:v>
      </x:c>
      <x:c r="N2697" s="6" t="str">
        <x:v>{"type":"number","value":3,"unit":"rooms","relative_tolerance":0,"absolute_tolerance":0}</x:v>
      </x:c>
      <x:c r="O2697" s="6" t="str">
        <x:v>{"start":"swiss-1883-F2-S024"}</x:v>
      </x:c>
      <x:c r="P2697" s="6" t="str">
        <x:v>Same floor. Other type=room spaces. &gt;=1 m wall run within 0.35 m. Door not required.</x:v>
      </x:c>
      <x:c r="Q2697" s="15" t="n">
        <x:v>3</x:v>
      </x:c>
      <x:c r="R2697" s="6" t="str">
        <x:v>rooms</x:v>
      </x:c>
      <x:c r="S2697" s="16" t="n">
        <x:v>0</x:v>
      </x:c>
      <x:c r="T2697" s="15" t="n">
        <x:v>0</x:v>
      </x:c>
      <x:c r="U2697" s="6" t="str">
        <x:v>Answer: 3</x:v>
      </x:c>
      <x:c r="V2697" s="6" t="str">
        <x:v>wall adjacency from polygons</x:v>
      </x:c>
      <x:c r="W2697" s="6" t="str">
        <x:v>Missing boundary-adjacency tool. Door connectivity does not answer this question.</x:v>
      </x:c>
      <x:c r="X2697" s="6" t="str">
        <x:v>data/train/swiss-1883/questions.jsonl</x:v>
      </x:c>
      <x:c r="Y2697" s="14" t="n">
        <x:v>4</x:v>
      </x:c>
      <x:c r="Z2697" s="6" t="str">
        <x:v>https://github.com/hagenhaeussler/Industrial-Agents-Hackathon-2026/blob/f41616590b69f3ea0c1cbfb41d6c35edd9ce53df/data/train/swiss-1883/questions.jsonl#L4</x:v>
      </x:c>
      <x:c r="AA2697" s="6" t="str">
        <x:v>swiss_dwellings</x:v>
      </x:c>
      <x:c r="AB2697" s="6" t="str">
        <x:v>CC-BY-4.0</x:v>
      </x:c>
    </x:row>
    <x:row r="2698" ht="82" customHeight="1">
      <x:c r="A2698" s="14" t="n">
        <x:v>2693</x:v>
      </x:c>
      <x:c r="B2698" s="6" t="str">
        <x:v>shared_walls_count</x:v>
      </x:c>
      <x:c r="C2698" s="6" t="str">
        <x:v>We're soundproofing Bedroom 2.56 (apartment 26) (Floor 2). How many other rooms on that floor share a wall with it? Count every room whose wall runs along it for at least 1 m, with or without a door between them; corridors, stairwells and lifts don't count. Finish with a line 'Answer: &lt;number&gt;'.</x:v>
      </x:c>
      <x:c r="D2698" s="6" t="str">
        <x:v>4 rooms</x:v>
      </x:c>
      <x:c r="E2698" s="6" t="str">
        <x:v>Reference supplied</x:v>
      </x:c>
      <x:c r="F2698" s="6" t="str">
        <x:v>train</x:v>
      </x:c>
      <x:c r="G2698" s="6" t="str">
        <x:v>swiss-1922</x:v>
      </x:c>
      <x:c r="H2698" s="6" t="str">
        <x:v>swiss-1922-H04</x:v>
      </x:c>
      <x:c r="I2698" s="6" t="str">
        <x:v>Spatial relationships</x:v>
      </x:c>
      <x:c r="J2698" s="6" t="str">
        <x:v>Benchmark</x:v>
      </x:c>
      <x:c r="K2698" s="6" t="str">
        <x:v>Answer: &lt;one exact integer&gt;</x:v>
      </x:c>
      <x:c r="L2698" s="6" t="str">
        <x:v>T02, T08, T14</x:v>
      </x:c>
      <x:c r="M2698" s="6" t="str">
        <x:v>Count other rooms sharing at least 1 m of wall with a room.</x:v>
      </x:c>
      <x:c r="N2698" s="6" t="str">
        <x:v>{"type":"number","value":4,"unit":"rooms","relative_tolerance":0,"absolute_tolerance":0}</x:v>
      </x:c>
      <x:c r="O2698" s="6" t="str">
        <x:v>{"start":"swiss-1922-F2-S056"}</x:v>
      </x:c>
      <x:c r="P2698" s="6" t="str">
        <x:v>Same floor. Other type=room spaces. &gt;=1 m wall run within 0.35 m. Door not required.</x:v>
      </x:c>
      <x:c r="Q2698" s="15" t="n">
        <x:v>4</x:v>
      </x:c>
      <x:c r="R2698" s="6" t="str">
        <x:v>rooms</x:v>
      </x:c>
      <x:c r="S2698" s="16" t="n">
        <x:v>0</x:v>
      </x:c>
      <x:c r="T2698" s="15" t="n">
        <x:v>0</x:v>
      </x:c>
      <x:c r="U2698" s="6" t="str">
        <x:v>Answer: 4</x:v>
      </x:c>
      <x:c r="V2698" s="6" t="str">
        <x:v>wall adjacency from polygons</x:v>
      </x:c>
      <x:c r="W2698" s="6" t="str">
        <x:v>Missing boundary-adjacency tool. Door connectivity does not answer this question.</x:v>
      </x:c>
      <x:c r="X2698" s="6" t="str">
        <x:v>data/train/swiss-1922/questions.jsonl</x:v>
      </x:c>
      <x:c r="Y2698" s="14" t="n">
        <x:v>4</x:v>
      </x:c>
      <x:c r="Z2698" s="6" t="str">
        <x:v>https://github.com/hagenhaeussler/Industrial-Agents-Hackathon-2026/blob/f41616590b69f3ea0c1cbfb41d6c35edd9ce53df/data/train/swiss-1922/questions.jsonl#L4</x:v>
      </x:c>
      <x:c r="AA2698" s="6" t="str">
        <x:v>swiss_dwellings</x:v>
      </x:c>
      <x:c r="AB2698" s="6" t="str">
        <x:v>CC-BY-4.0</x:v>
      </x:c>
    </x:row>
    <x:row r="2699" ht="82" customHeight="1">
      <x:c r="A2699" s="14" t="n">
        <x:v>2694</x:v>
      </x:c>
      <x:c r="B2699" s="6" t="str">
        <x:v>shared_walls_count</x:v>
      </x:c>
      <x:c r="C2699" s="6" t="str">
        <x:v>We're soundproofing Bedroom 3.13 (apartment 8) (Floor 3). How many other rooms on that floor share a wall with it? Count every room whose wall runs along it for at least 1 m, with or without a door between them; corridors, stairwells and lifts don't count. Finish with a line 'Answer: &lt;number&gt;'.</x:v>
      </x:c>
      <x:c r="D2699" s="6" t="str">
        <x:v>3 rooms</x:v>
      </x:c>
      <x:c r="E2699" s="6" t="str">
        <x:v>Reference supplied</x:v>
      </x:c>
      <x:c r="F2699" s="6" t="str">
        <x:v>train</x:v>
      </x:c>
      <x:c r="G2699" s="6" t="str">
        <x:v>swiss-1936</x:v>
      </x:c>
      <x:c r="H2699" s="6" t="str">
        <x:v>swiss-1936-H04</x:v>
      </x:c>
      <x:c r="I2699" s="6" t="str">
        <x:v>Spatial relationships</x:v>
      </x:c>
      <x:c r="J2699" s="6" t="str">
        <x:v>Benchmark</x:v>
      </x:c>
      <x:c r="K2699" s="6" t="str">
        <x:v>Answer: &lt;one exact integer&gt;</x:v>
      </x:c>
      <x:c r="L2699" s="6" t="str">
        <x:v>T02, T08, T14</x:v>
      </x:c>
      <x:c r="M2699" s="6" t="str">
        <x:v>Count other rooms sharing at least 1 m of wall with a room.</x:v>
      </x:c>
      <x:c r="N2699" s="6" t="str">
        <x:v>{"type":"number","value":3,"unit":"rooms","relative_tolerance":0,"absolute_tolerance":0}</x:v>
      </x:c>
      <x:c r="O2699" s="6" t="str">
        <x:v>{"start":"swiss-1936-F3-S013"}</x:v>
      </x:c>
      <x:c r="P2699" s="6" t="str">
        <x:v>Same floor. Other type=room spaces. &gt;=1 m wall run within 0.35 m. Door not required.</x:v>
      </x:c>
      <x:c r="Q2699" s="15" t="n">
        <x:v>3</x:v>
      </x:c>
      <x:c r="R2699" s="6" t="str">
        <x:v>rooms</x:v>
      </x:c>
      <x:c r="S2699" s="16" t="n">
        <x:v>0</x:v>
      </x:c>
      <x:c r="T2699" s="15" t="n">
        <x:v>0</x:v>
      </x:c>
      <x:c r="U2699" s="6" t="str">
        <x:v>Answer: 3</x:v>
      </x:c>
      <x:c r="V2699" s="6" t="str">
        <x:v>wall adjacency from polygons</x:v>
      </x:c>
      <x:c r="W2699" s="6" t="str">
        <x:v>Missing boundary-adjacency tool. Door connectivity does not answer this question.</x:v>
      </x:c>
      <x:c r="X2699" s="6" t="str">
        <x:v>data/train/swiss-1936/questions.jsonl</x:v>
      </x:c>
      <x:c r="Y2699" s="14" t="n">
        <x:v>4</x:v>
      </x:c>
      <x:c r="Z2699" s="6" t="str">
        <x:v>https://github.com/hagenhaeussler/Industrial-Agents-Hackathon-2026/blob/f41616590b69f3ea0c1cbfb41d6c35edd9ce53df/data/train/swiss-1936/questions.jsonl#L4</x:v>
      </x:c>
      <x:c r="AA2699" s="6" t="str">
        <x:v>swiss_dwellings</x:v>
      </x:c>
      <x:c r="AB2699" s="6" t="str">
        <x:v>CC-BY-4.0</x:v>
      </x:c>
    </x:row>
    <x:row r="2700" ht="82" customHeight="1">
      <x:c r="A2700" s="14" t="n">
        <x:v>2695</x:v>
      </x:c>
      <x:c r="B2700" s="6" t="str">
        <x:v>shared_walls_count</x:v>
      </x:c>
      <x:c r="C2700" s="6" t="str">
        <x:v>We're soundproofing Bedroom 1.21 (apartment 4) (Floor 1). How many other rooms on that floor share a wall with it? Count every room whose wall runs along it for at least 1 m, with or without a door between them; corridors, stairwells and lifts don't count. Finish with a line 'Answer: &lt;number&gt;'.</x:v>
      </x:c>
      <x:c r="D2700" s="6" t="str">
        <x:v>3 rooms</x:v>
      </x:c>
      <x:c r="E2700" s="6" t="str">
        <x:v>Reference supplied</x:v>
      </x:c>
      <x:c r="F2700" s="6" t="str">
        <x:v>train</x:v>
      </x:c>
      <x:c r="G2700" s="6" t="str">
        <x:v>swiss-2084</x:v>
      </x:c>
      <x:c r="H2700" s="6" t="str">
        <x:v>swiss-2084-H05</x:v>
      </x:c>
      <x:c r="I2700" s="6" t="str">
        <x:v>Spatial relationships</x:v>
      </x:c>
      <x:c r="J2700" s="6" t="str">
        <x:v>Benchmark</x:v>
      </x:c>
      <x:c r="K2700" s="6" t="str">
        <x:v>Answer: &lt;one exact integer&gt;</x:v>
      </x:c>
      <x:c r="L2700" s="6" t="str">
        <x:v>T02, T08, T14</x:v>
      </x:c>
      <x:c r="M2700" s="6" t="str">
        <x:v>Count other rooms sharing at least 1 m of wall with a room.</x:v>
      </x:c>
      <x:c r="N2700" s="6" t="str">
        <x:v>{"type":"number","value":3,"unit":"rooms","relative_tolerance":0,"absolute_tolerance":0}</x:v>
      </x:c>
      <x:c r="O2700" s="6" t="str">
        <x:v>{"start":"swiss-2084-F1-S021"}</x:v>
      </x:c>
      <x:c r="P2700" s="6" t="str">
        <x:v>Same floor. Other type=room spaces. &gt;=1 m wall run within 0.35 m. Door not required.</x:v>
      </x:c>
      <x:c r="Q2700" s="15" t="n">
        <x:v>3</x:v>
      </x:c>
      <x:c r="R2700" s="6" t="str">
        <x:v>rooms</x:v>
      </x:c>
      <x:c r="S2700" s="16" t="n">
        <x:v>0</x:v>
      </x:c>
      <x:c r="T2700" s="15" t="n">
        <x:v>0</x:v>
      </x:c>
      <x:c r="U2700" s="6" t="str">
        <x:v>Answer: 3</x:v>
      </x:c>
      <x:c r="V2700" s="6" t="str">
        <x:v>wall adjacency from polygons</x:v>
      </x:c>
      <x:c r="W2700" s="6" t="str">
        <x:v>Missing boundary-adjacency tool. Door connectivity does not answer this question.</x:v>
      </x:c>
      <x:c r="X2700" s="6" t="str">
        <x:v>data/train/swiss-2084/questions.jsonl</x:v>
      </x:c>
      <x:c r="Y2700" s="14" t="n">
        <x:v>5</x:v>
      </x:c>
      <x:c r="Z2700" s="6" t="str">
        <x:v>https://github.com/hagenhaeussler/Industrial-Agents-Hackathon-2026/blob/f41616590b69f3ea0c1cbfb41d6c35edd9ce53df/data/train/swiss-2084/questions.jsonl#L5</x:v>
      </x:c>
      <x:c r="AA2700" s="6" t="str">
        <x:v>swiss_dwellings</x:v>
      </x:c>
      <x:c r="AB2700" s="6" t="str">
        <x:v>CC-BY-4.0</x:v>
      </x:c>
    </x:row>
    <x:row r="2701" ht="82" customHeight="1">
      <x:c r="A2701" s="14" t="n">
        <x:v>2696</x:v>
      </x:c>
      <x:c r="B2701" s="6" t="str">
        <x:v>shared_walls_count</x:v>
      </x:c>
      <x:c r="C2701" s="6" t="str">
        <x:v>We're soundproofing Bedroom 1.13 (apartment 8) (Floor 1). How many other rooms on that floor share a wall with it? Count every room whose wall runs along it for at least 1 m, with or without a door between them; corridors, stairwells and lifts don't count. Finish with a line 'Answer: &lt;number&gt;'.</x:v>
      </x:c>
      <x:c r="D2701" s="6" t="str">
        <x:v>3 rooms</x:v>
      </x:c>
      <x:c r="E2701" s="6" t="str">
        <x:v>Reference supplied</x:v>
      </x:c>
      <x:c r="F2701" s="6" t="str">
        <x:v>train</x:v>
      </x:c>
      <x:c r="G2701" s="6" t="str">
        <x:v>swiss-210</x:v>
      </x:c>
      <x:c r="H2701" s="6" t="str">
        <x:v>swiss-210-H04</x:v>
      </x:c>
      <x:c r="I2701" s="6" t="str">
        <x:v>Spatial relationships</x:v>
      </x:c>
      <x:c r="J2701" s="6" t="str">
        <x:v>Benchmark</x:v>
      </x:c>
      <x:c r="K2701" s="6" t="str">
        <x:v>Answer: &lt;one exact integer&gt;</x:v>
      </x:c>
      <x:c r="L2701" s="6" t="str">
        <x:v>T02, T08, T14</x:v>
      </x:c>
      <x:c r="M2701" s="6" t="str">
        <x:v>Count other rooms sharing at least 1 m of wall with a room.</x:v>
      </x:c>
      <x:c r="N2701" s="6" t="str">
        <x:v>{"type":"number","value":3,"unit":"rooms","relative_tolerance":0,"absolute_tolerance":0}</x:v>
      </x:c>
      <x:c r="O2701" s="6" t="str">
        <x:v>{"start":"swiss-210-F1-S013"}</x:v>
      </x:c>
      <x:c r="P2701" s="6" t="str">
        <x:v>Same floor. Other type=room spaces. &gt;=1 m wall run within 0.35 m. Door not required.</x:v>
      </x:c>
      <x:c r="Q2701" s="15" t="n">
        <x:v>3</x:v>
      </x:c>
      <x:c r="R2701" s="6" t="str">
        <x:v>rooms</x:v>
      </x:c>
      <x:c r="S2701" s="16" t="n">
        <x:v>0</x:v>
      </x:c>
      <x:c r="T2701" s="15" t="n">
        <x:v>0</x:v>
      </x:c>
      <x:c r="U2701" s="6" t="str">
        <x:v>Answer: 3</x:v>
      </x:c>
      <x:c r="V2701" s="6" t="str">
        <x:v>wall adjacency from polygons</x:v>
      </x:c>
      <x:c r="W2701" s="6" t="str">
        <x:v>Missing boundary-adjacency tool. Door connectivity does not answer this question.</x:v>
      </x:c>
      <x:c r="X2701" s="6" t="str">
        <x:v>data/train/swiss-210/questions.jsonl</x:v>
      </x:c>
      <x:c r="Y2701" s="14" t="n">
        <x:v>4</x:v>
      </x:c>
      <x:c r="Z2701" s="6" t="str">
        <x:v>https://github.com/hagenhaeussler/Industrial-Agents-Hackathon-2026/blob/f41616590b69f3ea0c1cbfb41d6c35edd9ce53df/data/train/swiss-210/questions.jsonl#L4</x:v>
      </x:c>
      <x:c r="AA2701" s="6" t="str">
        <x:v>swiss_dwellings</x:v>
      </x:c>
      <x:c r="AB2701" s="6" t="str">
        <x:v>CC-BY-4.0</x:v>
      </x:c>
    </x:row>
    <x:row r="2702" ht="82" customHeight="1">
      <x:c r="A2702" s="14" t="n">
        <x:v>2697</x:v>
      </x:c>
      <x:c r="B2702" s="6" t="str">
        <x:v>shared_walls_count</x:v>
      </x:c>
      <x:c r="C2702" s="6" t="str">
        <x:v>We're soundproofing Living room 4.01 (apartment 27) (Floor 4). How many other rooms on that floor share a wall with it? Count every room whose wall runs along it for at least 1 m, with or without a door between them; corridors, stairwells and lifts don't count. Finish with a line 'Answer: &lt;number&gt;'.</x:v>
      </x:c>
      <x:c r="D2702" s="6" t="str">
        <x:v>3 rooms</x:v>
      </x:c>
      <x:c r="E2702" s="6" t="str">
        <x:v>Reference supplied</x:v>
      </x:c>
      <x:c r="F2702" s="6" t="str">
        <x:v>train</x:v>
      </x:c>
      <x:c r="G2702" s="6" t="str">
        <x:v>swiss-2214</x:v>
      </x:c>
      <x:c r="H2702" s="6" t="str">
        <x:v>swiss-2214-H04</x:v>
      </x:c>
      <x:c r="I2702" s="6" t="str">
        <x:v>Spatial relationships</x:v>
      </x:c>
      <x:c r="J2702" s="6" t="str">
        <x:v>Benchmark</x:v>
      </x:c>
      <x:c r="K2702" s="6" t="str">
        <x:v>Answer: &lt;one exact integer&gt;</x:v>
      </x:c>
      <x:c r="L2702" s="6" t="str">
        <x:v>T02, T08, T14</x:v>
      </x:c>
      <x:c r="M2702" s="6" t="str">
        <x:v>Count other rooms sharing at least 1 m of wall with a room.</x:v>
      </x:c>
      <x:c r="N2702" s="6" t="str">
        <x:v>{"type":"number","value":3,"unit":"rooms","relative_tolerance":0,"absolute_tolerance":0}</x:v>
      </x:c>
      <x:c r="O2702" s="6" t="str">
        <x:v>{"start":"swiss-2214-F4-S001"}</x:v>
      </x:c>
      <x:c r="P2702" s="6" t="str">
        <x:v>Same floor. Other type=room spaces. &gt;=1 m wall run within 0.35 m. Door not required.</x:v>
      </x:c>
      <x:c r="Q2702" s="15" t="n">
        <x:v>3</x:v>
      </x:c>
      <x:c r="R2702" s="6" t="str">
        <x:v>rooms</x:v>
      </x:c>
      <x:c r="S2702" s="16" t="n">
        <x:v>0</x:v>
      </x:c>
      <x:c r="T2702" s="15" t="n">
        <x:v>0</x:v>
      </x:c>
      <x:c r="U2702" s="6" t="str">
        <x:v>Answer: 3</x:v>
      </x:c>
      <x:c r="V2702" s="6" t="str">
        <x:v>wall adjacency from polygons</x:v>
      </x:c>
      <x:c r="W2702" s="6" t="str">
        <x:v>Missing boundary-adjacency tool. Door connectivity does not answer this question.</x:v>
      </x:c>
      <x:c r="X2702" s="6" t="str">
        <x:v>data/train/swiss-2214/questions.jsonl</x:v>
      </x:c>
      <x:c r="Y2702" s="14" t="n">
        <x:v>4</x:v>
      </x:c>
      <x:c r="Z2702" s="6" t="str">
        <x:v>https://github.com/hagenhaeussler/Industrial-Agents-Hackathon-2026/blob/f41616590b69f3ea0c1cbfb41d6c35edd9ce53df/data/train/swiss-2214/questions.jsonl#L4</x:v>
      </x:c>
      <x:c r="AA2702" s="6" t="str">
        <x:v>swiss_dwellings</x:v>
      </x:c>
      <x:c r="AB2702" s="6" t="str">
        <x:v>CC-BY-4.0</x:v>
      </x:c>
    </x:row>
    <x:row r="2703" ht="82" customHeight="1">
      <x:c r="A2703" s="14" t="n">
        <x:v>2698</x:v>
      </x:c>
      <x:c r="B2703" s="6" t="str">
        <x:v>shared_walls_count</x:v>
      </x:c>
      <x:c r="C2703" s="6" t="str">
        <x:v>We're soundproofing Bedroom 1.16 (apartment 9) (Floor 1). How many other rooms on that floor share a wall with it? Count every room whose wall runs along it for at least 1 m, with or without a door between them; corridors, stairwells and lifts don't count. Finish with a line 'Answer: &lt;number&gt;'.</x:v>
      </x:c>
      <x:c r="D2703" s="6" t="str">
        <x:v>3 rooms</x:v>
      </x:c>
      <x:c r="E2703" s="6" t="str">
        <x:v>Reference supplied</x:v>
      </x:c>
      <x:c r="F2703" s="6" t="str">
        <x:v>train</x:v>
      </x:c>
      <x:c r="G2703" s="6" t="str">
        <x:v>swiss-2274</x:v>
      </x:c>
      <x:c r="H2703" s="6" t="str">
        <x:v>swiss-2274-H04</x:v>
      </x:c>
      <x:c r="I2703" s="6" t="str">
        <x:v>Spatial relationships</x:v>
      </x:c>
      <x:c r="J2703" s="6" t="str">
        <x:v>Benchmark</x:v>
      </x:c>
      <x:c r="K2703" s="6" t="str">
        <x:v>Answer: &lt;one exact integer&gt;</x:v>
      </x:c>
      <x:c r="L2703" s="6" t="str">
        <x:v>T02, T08, T14</x:v>
      </x:c>
      <x:c r="M2703" s="6" t="str">
        <x:v>Count other rooms sharing at least 1 m of wall with a room.</x:v>
      </x:c>
      <x:c r="N2703" s="6" t="str">
        <x:v>{"type":"number","value":3,"unit":"rooms","relative_tolerance":0,"absolute_tolerance":0}</x:v>
      </x:c>
      <x:c r="O2703" s="6" t="str">
        <x:v>{"start":"swiss-2274-F1-S016"}</x:v>
      </x:c>
      <x:c r="P2703" s="6" t="str">
        <x:v>Same floor. Other type=room spaces. &gt;=1 m wall run within 0.35 m. Door not required.</x:v>
      </x:c>
      <x:c r="Q2703" s="15" t="n">
        <x:v>3</x:v>
      </x:c>
      <x:c r="R2703" s="6" t="str">
        <x:v>rooms</x:v>
      </x:c>
      <x:c r="S2703" s="16" t="n">
        <x:v>0</x:v>
      </x:c>
      <x:c r="T2703" s="15" t="n">
        <x:v>0</x:v>
      </x:c>
      <x:c r="U2703" s="6" t="str">
        <x:v>Answer: 3</x:v>
      </x:c>
      <x:c r="V2703" s="6" t="str">
        <x:v>wall adjacency from polygons</x:v>
      </x:c>
      <x:c r="W2703" s="6" t="str">
        <x:v>Missing boundary-adjacency tool. Door connectivity does not answer this question.</x:v>
      </x:c>
      <x:c r="X2703" s="6" t="str">
        <x:v>data/train/swiss-2274/questions.jsonl</x:v>
      </x:c>
      <x:c r="Y2703" s="14" t="n">
        <x:v>4</x:v>
      </x:c>
      <x:c r="Z2703" s="6" t="str">
        <x:v>https://github.com/hagenhaeussler/Industrial-Agents-Hackathon-2026/blob/f41616590b69f3ea0c1cbfb41d6c35edd9ce53df/data/train/swiss-2274/questions.jsonl#L4</x:v>
      </x:c>
      <x:c r="AA2703" s="6" t="str">
        <x:v>swiss_dwellings</x:v>
      </x:c>
      <x:c r="AB2703" s="6" t="str">
        <x:v>CC-BY-4.0</x:v>
      </x:c>
    </x:row>
    <x:row r="2704" ht="82" customHeight="1">
      <x:c r="A2704" s="14" t="n">
        <x:v>2699</x:v>
      </x:c>
      <x:c r="B2704" s="6" t="str">
        <x:v>shared_walls_count</x:v>
      </x:c>
      <x:c r="C2704" s="6" t="str">
        <x:v>We're soundproofing Bedroom 1.20 (apartment 6) (Floor 1). How many other rooms on that floor share a wall with it? Count every room whose wall runs along it for at least 1 m, with or without a door between them; corridors, stairwells and lifts don't count. Finish with a line 'Answer: &lt;number&gt;'.</x:v>
      </x:c>
      <x:c r="D2704" s="6" t="str">
        <x:v>4 rooms</x:v>
      </x:c>
      <x:c r="E2704" s="6" t="str">
        <x:v>Reference supplied</x:v>
      </x:c>
      <x:c r="F2704" s="6" t="str">
        <x:v>train</x:v>
      </x:c>
      <x:c r="G2704" s="6" t="str">
        <x:v>swiss-2476</x:v>
      </x:c>
      <x:c r="H2704" s="6" t="str">
        <x:v>swiss-2476-H02</x:v>
      </x:c>
      <x:c r="I2704" s="6" t="str">
        <x:v>Spatial relationships</x:v>
      </x:c>
      <x:c r="J2704" s="6" t="str">
        <x:v>Benchmark</x:v>
      </x:c>
      <x:c r="K2704" s="6" t="str">
        <x:v>Answer: &lt;one exact integer&gt;</x:v>
      </x:c>
      <x:c r="L2704" s="6" t="str">
        <x:v>T02, T08, T14</x:v>
      </x:c>
      <x:c r="M2704" s="6" t="str">
        <x:v>Count other rooms sharing at least 1 m of wall with a room.</x:v>
      </x:c>
      <x:c r="N2704" s="6" t="str">
        <x:v>{"type":"number","value":4,"unit":"rooms","relative_tolerance":0,"absolute_tolerance":0}</x:v>
      </x:c>
      <x:c r="O2704" s="6" t="str">
        <x:v>{"start":"swiss-2476-F1-S020"}</x:v>
      </x:c>
      <x:c r="P2704" s="6" t="str">
        <x:v>Same floor. Other type=room spaces. &gt;=1 m wall run within 0.35 m. Door not required.</x:v>
      </x:c>
      <x:c r="Q2704" s="15" t="n">
        <x:v>4</x:v>
      </x:c>
      <x:c r="R2704" s="6" t="str">
        <x:v>rooms</x:v>
      </x:c>
      <x:c r="S2704" s="16" t="n">
        <x:v>0</x:v>
      </x:c>
      <x:c r="T2704" s="15" t="n">
        <x:v>0</x:v>
      </x:c>
      <x:c r="U2704" s="6" t="str">
        <x:v>Answer: 4</x:v>
      </x:c>
      <x:c r="V2704" s="6" t="str">
        <x:v>wall adjacency from polygons</x:v>
      </x:c>
      <x:c r="W2704" s="6" t="str">
        <x:v>Missing boundary-adjacency tool. Door connectivity does not answer this question.</x:v>
      </x:c>
      <x:c r="X2704" s="6" t="str">
        <x:v>data/train/swiss-2476/questions.jsonl</x:v>
      </x:c>
      <x:c r="Y2704" s="14" t="n">
        <x:v>2</x:v>
      </x:c>
      <x:c r="Z2704" s="6" t="str">
        <x:v>https://github.com/hagenhaeussler/Industrial-Agents-Hackathon-2026/blob/f41616590b69f3ea0c1cbfb41d6c35edd9ce53df/data/train/swiss-2476/questions.jsonl#L2</x:v>
      </x:c>
      <x:c r="AA2704" s="6" t="str">
        <x:v>swiss_dwellings</x:v>
      </x:c>
      <x:c r="AB2704" s="6" t="str">
        <x:v>CC-BY-4.0</x:v>
      </x:c>
    </x:row>
    <x:row r="2705" ht="82" customHeight="1">
      <x:c r="A2705" s="14" t="n">
        <x:v>2700</x:v>
      </x:c>
      <x:c r="B2705" s="6" t="str">
        <x:v>shared_walls_count</x:v>
      </x:c>
      <x:c r="C2705" s="6" t="str">
        <x:v>We're soundproofing Kitchen 2.13 (apartment 8) (Floor 2). How many other rooms on that floor share a wall with it? Count every room whose wall runs along it for at least 1 m, with or without a door between them; corridors, stairwells and lifts don't count. Finish with a line 'Answer: &lt;number&gt;'.</x:v>
      </x:c>
      <x:c r="D2705" s="6" t="str">
        <x:v>3 rooms</x:v>
      </x:c>
      <x:c r="E2705" s="6" t="str">
        <x:v>Reference supplied</x:v>
      </x:c>
      <x:c r="F2705" s="6" t="str">
        <x:v>train</x:v>
      </x:c>
      <x:c r="G2705" s="6" t="str">
        <x:v>swiss-2482</x:v>
      </x:c>
      <x:c r="H2705" s="6" t="str">
        <x:v>swiss-2482-H04</x:v>
      </x:c>
      <x:c r="I2705" s="6" t="str">
        <x:v>Spatial relationships</x:v>
      </x:c>
      <x:c r="J2705" s="6" t="str">
        <x:v>Benchmark</x:v>
      </x:c>
      <x:c r="K2705" s="6" t="str">
        <x:v>Answer: &lt;one exact integer&gt;</x:v>
      </x:c>
      <x:c r="L2705" s="6" t="str">
        <x:v>T02, T08, T14</x:v>
      </x:c>
      <x:c r="M2705" s="6" t="str">
        <x:v>Count other rooms sharing at least 1 m of wall with a room.</x:v>
      </x:c>
      <x:c r="N2705" s="6" t="str">
        <x:v>{"type":"number","value":3,"unit":"rooms","relative_tolerance":0,"absolute_tolerance":0}</x:v>
      </x:c>
      <x:c r="O2705" s="6" t="str">
        <x:v>{"start":"swiss-2482-F2-S013"}</x:v>
      </x:c>
      <x:c r="P2705" s="6" t="str">
        <x:v>Same floor. Other type=room spaces. &gt;=1 m wall run within 0.35 m. Door not required.</x:v>
      </x:c>
      <x:c r="Q2705" s="15" t="n">
        <x:v>3</x:v>
      </x:c>
      <x:c r="R2705" s="6" t="str">
        <x:v>rooms</x:v>
      </x:c>
      <x:c r="S2705" s="16" t="n">
        <x:v>0</x:v>
      </x:c>
      <x:c r="T2705" s="15" t="n">
        <x:v>0</x:v>
      </x:c>
      <x:c r="U2705" s="6" t="str">
        <x:v>Answer: 3</x:v>
      </x:c>
      <x:c r="V2705" s="6" t="str">
        <x:v>wall adjacency from polygons</x:v>
      </x:c>
      <x:c r="W2705" s="6" t="str">
        <x:v>Missing boundary-adjacency tool. Door connectivity does not answer this question.</x:v>
      </x:c>
      <x:c r="X2705" s="6" t="str">
        <x:v>data/train/swiss-2482/questions.jsonl</x:v>
      </x:c>
      <x:c r="Y2705" s="14" t="n">
        <x:v>4</x:v>
      </x:c>
      <x:c r="Z2705" s="6" t="str">
        <x:v>https://github.com/hagenhaeussler/Industrial-Agents-Hackathon-2026/blob/f41616590b69f3ea0c1cbfb41d6c35edd9ce53df/data/train/swiss-2482/questions.jsonl#L4</x:v>
      </x:c>
      <x:c r="AA2705" s="6" t="str">
        <x:v>swiss_dwellings</x:v>
      </x:c>
      <x:c r="AB2705" s="6" t="str">
        <x:v>CC-BY-4.0</x:v>
      </x:c>
    </x:row>
    <x:row r="2706" ht="82" customHeight="1">
      <x:c r="A2706" s="14" t="n">
        <x:v>2701</x:v>
      </x:c>
      <x:c r="B2706" s="6" t="str">
        <x:v>shared_walls_count</x:v>
      </x:c>
      <x:c r="C2706" s="6" t="str">
        <x:v>We're soundproofing Bathroom 2.01 (apartment 9) (Floor 2). How many other rooms on that floor share a wall with it? Count every room whose wall runs along it for at least 1 m, with or without a door between them; corridors, stairwells and lifts don't count. Finish with a line 'Answer: &lt;number&gt;'.</x:v>
      </x:c>
      <x:c r="D2706" s="6" t="str">
        <x:v>3 rooms</x:v>
      </x:c>
      <x:c r="E2706" s="6" t="str">
        <x:v>Reference supplied</x:v>
      </x:c>
      <x:c r="F2706" s="6" t="str">
        <x:v>train</x:v>
      </x:c>
      <x:c r="G2706" s="6" t="str">
        <x:v>swiss-256</x:v>
      </x:c>
      <x:c r="H2706" s="6" t="str">
        <x:v>swiss-256-H02</x:v>
      </x:c>
      <x:c r="I2706" s="6" t="str">
        <x:v>Spatial relationships</x:v>
      </x:c>
      <x:c r="J2706" s="6" t="str">
        <x:v>Benchmark</x:v>
      </x:c>
      <x:c r="K2706" s="6" t="str">
        <x:v>Answer: &lt;one exact integer&gt;</x:v>
      </x:c>
      <x:c r="L2706" s="6" t="str">
        <x:v>T02, T08, T14</x:v>
      </x:c>
      <x:c r="M2706" s="6" t="str">
        <x:v>Count other rooms sharing at least 1 m of wall with a room.</x:v>
      </x:c>
      <x:c r="N2706" s="6" t="str">
        <x:v>{"type":"number","value":3,"unit":"rooms","relative_tolerance":0,"absolute_tolerance":0}</x:v>
      </x:c>
      <x:c r="O2706" s="6" t="str">
        <x:v>{"start":"swiss-256-F2-S001"}</x:v>
      </x:c>
      <x:c r="P2706" s="6" t="str">
        <x:v>Same floor. Other type=room spaces. &gt;=1 m wall run within 0.35 m. Door not required.</x:v>
      </x:c>
      <x:c r="Q2706" s="15" t="n">
        <x:v>3</x:v>
      </x:c>
      <x:c r="R2706" s="6" t="str">
        <x:v>rooms</x:v>
      </x:c>
      <x:c r="S2706" s="16" t="n">
        <x:v>0</x:v>
      </x:c>
      <x:c r="T2706" s="15" t="n">
        <x:v>0</x:v>
      </x:c>
      <x:c r="U2706" s="6" t="str">
        <x:v>Answer: 3</x:v>
      </x:c>
      <x:c r="V2706" s="6" t="str">
        <x:v>wall adjacency from polygons</x:v>
      </x:c>
      <x:c r="W2706" s="6" t="str">
        <x:v>Missing boundary-adjacency tool. Door connectivity does not answer this question.</x:v>
      </x:c>
      <x:c r="X2706" s="6" t="str">
        <x:v>data/train/swiss-256/questions.jsonl</x:v>
      </x:c>
      <x:c r="Y2706" s="14" t="n">
        <x:v>2</x:v>
      </x:c>
      <x:c r="Z2706" s="6" t="str">
        <x:v>https://github.com/hagenhaeussler/Industrial-Agents-Hackathon-2026/blob/f41616590b69f3ea0c1cbfb41d6c35edd9ce53df/data/train/swiss-256/questions.jsonl#L2</x:v>
      </x:c>
      <x:c r="AA2706" s="6" t="str">
        <x:v>swiss_dwellings</x:v>
      </x:c>
      <x:c r="AB2706" s="6" t="str">
        <x:v>CC-BY-4.0</x:v>
      </x:c>
    </x:row>
    <x:row r="2707" ht="82" customHeight="1">
      <x:c r="A2707" s="14" t="n">
        <x:v>2702</x:v>
      </x:c>
      <x:c r="B2707" s="6" t="str">
        <x:v>shared_walls_count</x:v>
      </x:c>
      <x:c r="C2707" s="6" t="str">
        <x:v>We're soundproofing Living room 1.13 (apartment 4) (Floor 1). How many other rooms on that floor share a wall with it? Count every room whose wall runs along it for at least 1 m, with or without a door between them; corridors, stairwells and lifts don't count. Finish with a line 'Answer: &lt;number&gt;'.</x:v>
      </x:c>
      <x:c r="D2707" s="6" t="str">
        <x:v>4 rooms</x:v>
      </x:c>
      <x:c r="E2707" s="6" t="str">
        <x:v>Reference supplied</x:v>
      </x:c>
      <x:c r="F2707" s="6" t="str">
        <x:v>train</x:v>
      </x:c>
      <x:c r="G2707" s="6" t="str">
        <x:v>swiss-28</x:v>
      </x:c>
      <x:c r="H2707" s="6" t="str">
        <x:v>swiss-28-H04</x:v>
      </x:c>
      <x:c r="I2707" s="6" t="str">
        <x:v>Spatial relationships</x:v>
      </x:c>
      <x:c r="J2707" s="6" t="str">
        <x:v>Benchmark</x:v>
      </x:c>
      <x:c r="K2707" s="6" t="str">
        <x:v>Answer: &lt;one exact integer&gt;</x:v>
      </x:c>
      <x:c r="L2707" s="6" t="str">
        <x:v>T02, T08, T14</x:v>
      </x:c>
      <x:c r="M2707" s="6" t="str">
        <x:v>Count other rooms sharing at least 1 m of wall with a room.</x:v>
      </x:c>
      <x:c r="N2707" s="6" t="str">
        <x:v>{"type":"number","value":4,"unit":"rooms","relative_tolerance":0,"absolute_tolerance":0}</x:v>
      </x:c>
      <x:c r="O2707" s="6" t="str">
        <x:v>{"start":"swiss-28-F1-S013"}</x:v>
      </x:c>
      <x:c r="P2707" s="6" t="str">
        <x:v>Same floor. Other type=room spaces. &gt;=1 m wall run within 0.35 m. Door not required.</x:v>
      </x:c>
      <x:c r="Q2707" s="15" t="n">
        <x:v>4</x:v>
      </x:c>
      <x:c r="R2707" s="6" t="str">
        <x:v>rooms</x:v>
      </x:c>
      <x:c r="S2707" s="16" t="n">
        <x:v>0</x:v>
      </x:c>
      <x:c r="T2707" s="15" t="n">
        <x:v>0</x:v>
      </x:c>
      <x:c r="U2707" s="6" t="str">
        <x:v>Answer: 4</x:v>
      </x:c>
      <x:c r="V2707" s="6" t="str">
        <x:v>wall adjacency from polygons</x:v>
      </x:c>
      <x:c r="W2707" s="6" t="str">
        <x:v>Missing boundary-adjacency tool. Door connectivity does not answer this question.</x:v>
      </x:c>
      <x:c r="X2707" s="6" t="str">
        <x:v>data/train/swiss-28/questions.jsonl</x:v>
      </x:c>
      <x:c r="Y2707" s="14" t="n">
        <x:v>4</x:v>
      </x:c>
      <x:c r="Z2707" s="6" t="str">
        <x:v>https://github.com/hagenhaeussler/Industrial-Agents-Hackathon-2026/blob/f41616590b69f3ea0c1cbfb41d6c35edd9ce53df/data/train/swiss-28/questions.jsonl#L4</x:v>
      </x:c>
      <x:c r="AA2707" s="6" t="str">
        <x:v>swiss_dwellings</x:v>
      </x:c>
      <x:c r="AB2707" s="6" t="str">
        <x:v>CC-BY-4.0</x:v>
      </x:c>
    </x:row>
    <x:row r="2708" ht="82" customHeight="1">
      <x:c r="A2708" s="14" t="n">
        <x:v>2703</x:v>
      </x:c>
      <x:c r="B2708" s="6" t="str">
        <x:v>shared_walls_count</x:v>
      </x:c>
      <x:c r="C2708" s="6" t="str">
        <x:v>We're soundproofing Living room 1.24 (apartment 8) (Floor 1). How many other rooms on that floor share a wall with it? Count every room whose wall runs along it for at least 1 m, with or without a door between them; corridors, stairwells and lifts don't count. Finish with a line 'Answer: &lt;number&gt;'.</x:v>
      </x:c>
      <x:c r="D2708" s="6" t="str">
        <x:v>3 rooms</x:v>
      </x:c>
      <x:c r="E2708" s="6" t="str">
        <x:v>Reference supplied</x:v>
      </x:c>
      <x:c r="F2708" s="6" t="str">
        <x:v>train</x:v>
      </x:c>
      <x:c r="G2708" s="6" t="str">
        <x:v>swiss-2974</x:v>
      </x:c>
      <x:c r="H2708" s="6" t="str">
        <x:v>swiss-2974-H04</x:v>
      </x:c>
      <x:c r="I2708" s="6" t="str">
        <x:v>Spatial relationships</x:v>
      </x:c>
      <x:c r="J2708" s="6" t="str">
        <x:v>Benchmark</x:v>
      </x:c>
      <x:c r="K2708" s="6" t="str">
        <x:v>Answer: &lt;one exact integer&gt;</x:v>
      </x:c>
      <x:c r="L2708" s="6" t="str">
        <x:v>T02, T08, T14</x:v>
      </x:c>
      <x:c r="M2708" s="6" t="str">
        <x:v>Count other rooms sharing at least 1 m of wall with a room.</x:v>
      </x:c>
      <x:c r="N2708" s="6" t="str">
        <x:v>{"type":"number","value":3,"unit":"rooms","relative_tolerance":0,"absolute_tolerance":0}</x:v>
      </x:c>
      <x:c r="O2708" s="6" t="str">
        <x:v>{"start":"swiss-2974-F1-S024"}</x:v>
      </x:c>
      <x:c r="P2708" s="6" t="str">
        <x:v>Same floor. Other type=room spaces. &gt;=1 m wall run within 0.35 m. Door not required.</x:v>
      </x:c>
      <x:c r="Q2708" s="15" t="n">
        <x:v>3</x:v>
      </x:c>
      <x:c r="R2708" s="6" t="str">
        <x:v>rooms</x:v>
      </x:c>
      <x:c r="S2708" s="16" t="n">
        <x:v>0</x:v>
      </x:c>
      <x:c r="T2708" s="15" t="n">
        <x:v>0</x:v>
      </x:c>
      <x:c r="U2708" s="6" t="str">
        <x:v>Answer: 3</x:v>
      </x:c>
      <x:c r="V2708" s="6" t="str">
        <x:v>wall adjacency from polygons</x:v>
      </x:c>
      <x:c r="W2708" s="6" t="str">
        <x:v>Missing boundary-adjacency tool. Door connectivity does not answer this question.</x:v>
      </x:c>
      <x:c r="X2708" s="6" t="str">
        <x:v>data/train/swiss-2974/questions.jsonl</x:v>
      </x:c>
      <x:c r="Y2708" s="14" t="n">
        <x:v>4</x:v>
      </x:c>
      <x:c r="Z2708" s="6" t="str">
        <x:v>https://github.com/hagenhaeussler/Industrial-Agents-Hackathon-2026/blob/f41616590b69f3ea0c1cbfb41d6c35edd9ce53df/data/train/swiss-2974/questions.jsonl#L4</x:v>
      </x:c>
      <x:c r="AA2708" s="6" t="str">
        <x:v>swiss_dwellings</x:v>
      </x:c>
      <x:c r="AB2708" s="6" t="str">
        <x:v>CC-BY-4.0</x:v>
      </x:c>
    </x:row>
    <x:row r="2709" ht="82" customHeight="1">
      <x:c r="A2709" s="14" t="n">
        <x:v>2704</x:v>
      </x:c>
      <x:c r="B2709" s="6" t="str">
        <x:v>shared_walls_count</x:v>
      </x:c>
      <x:c r="C2709" s="6" t="str">
        <x:v>We're soundproofing Bedroom 0.05 (apartment 1) (Ground floor). How many other rooms on that floor share a wall with it? Count every room whose wall runs along it for at least 1 m, with or without a door between them; corridors, stairwells and lifts don't count. Finish with a line 'Answer: &lt;number&gt;'.</x:v>
      </x:c>
      <x:c r="D2709" s="6" t="str">
        <x:v>3 rooms</x:v>
      </x:c>
      <x:c r="E2709" s="6" t="str">
        <x:v>Reference supplied</x:v>
      </x:c>
      <x:c r="F2709" s="6" t="str">
        <x:v>train</x:v>
      </x:c>
      <x:c r="G2709" s="6" t="str">
        <x:v>swiss-2975</x:v>
      </x:c>
      <x:c r="H2709" s="6" t="str">
        <x:v>swiss-2975-H04</x:v>
      </x:c>
      <x:c r="I2709" s="6" t="str">
        <x:v>Spatial relationships</x:v>
      </x:c>
      <x:c r="J2709" s="6" t="str">
        <x:v>Benchmark</x:v>
      </x:c>
      <x:c r="K2709" s="6" t="str">
        <x:v>Answer: &lt;one exact integer&gt;</x:v>
      </x:c>
      <x:c r="L2709" s="6" t="str">
        <x:v>T02, T08, T14</x:v>
      </x:c>
      <x:c r="M2709" s="6" t="str">
        <x:v>Count other rooms sharing at least 1 m of wall with a room.</x:v>
      </x:c>
      <x:c r="N2709" s="6" t="str">
        <x:v>{"type":"number","value":3,"unit":"rooms","relative_tolerance":0,"absolute_tolerance":0}</x:v>
      </x:c>
      <x:c r="O2709" s="6" t="str">
        <x:v>{"start":"swiss-2975-F0-S005"}</x:v>
      </x:c>
      <x:c r="P2709" s="6" t="str">
        <x:v>Same floor. Other type=room spaces. &gt;=1 m wall run within 0.35 m. Door not required.</x:v>
      </x:c>
      <x:c r="Q2709" s="15" t="n">
        <x:v>3</x:v>
      </x:c>
      <x:c r="R2709" s="6" t="str">
        <x:v>rooms</x:v>
      </x:c>
      <x:c r="S2709" s="16" t="n">
        <x:v>0</x:v>
      </x:c>
      <x:c r="T2709" s="15" t="n">
        <x:v>0</x:v>
      </x:c>
      <x:c r="U2709" s="6" t="str">
        <x:v>Answer: 3</x:v>
      </x:c>
      <x:c r="V2709" s="6" t="str">
        <x:v>wall adjacency from polygons</x:v>
      </x:c>
      <x:c r="W2709" s="6" t="str">
        <x:v>Missing boundary-adjacency tool. Door connectivity does not answer this question.</x:v>
      </x:c>
      <x:c r="X2709" s="6" t="str">
        <x:v>data/train/swiss-2975/questions.jsonl</x:v>
      </x:c>
      <x:c r="Y2709" s="14" t="n">
        <x:v>4</x:v>
      </x:c>
      <x:c r="Z2709" s="6" t="str">
        <x:v>https://github.com/hagenhaeussler/Industrial-Agents-Hackathon-2026/blob/f41616590b69f3ea0c1cbfb41d6c35edd9ce53df/data/train/swiss-2975/questions.jsonl#L4</x:v>
      </x:c>
      <x:c r="AA2709" s="6" t="str">
        <x:v>swiss_dwellings</x:v>
      </x:c>
      <x:c r="AB2709" s="6" t="str">
        <x:v>CC-BY-4.0</x:v>
      </x:c>
    </x:row>
    <x:row r="2710" ht="82" customHeight="1">
      <x:c r="A2710" s="14" t="n">
        <x:v>2705</x:v>
      </x:c>
      <x:c r="B2710" s="6" t="str">
        <x:v>shared_walls_count</x:v>
      </x:c>
      <x:c r="C2710" s="6" t="str">
        <x:v>We're soundproofing Kitchen 0.19 (apartment 2) (Ground floor). How many other rooms on that floor share a wall with it? Count every room whose wall runs along it for at least 1 m, with or without a door between them; corridors, stairwells and lifts don't count. Finish with a line 'Answer: &lt;number&gt;'.</x:v>
      </x:c>
      <x:c r="D2710" s="6" t="str">
        <x:v>3 rooms</x:v>
      </x:c>
      <x:c r="E2710" s="6" t="str">
        <x:v>Reference supplied</x:v>
      </x:c>
      <x:c r="F2710" s="6" t="str">
        <x:v>train</x:v>
      </x:c>
      <x:c r="G2710" s="6" t="str">
        <x:v>swiss-3096</x:v>
      </x:c>
      <x:c r="H2710" s="6" t="str">
        <x:v>swiss-3096-H04</x:v>
      </x:c>
      <x:c r="I2710" s="6" t="str">
        <x:v>Spatial relationships</x:v>
      </x:c>
      <x:c r="J2710" s="6" t="str">
        <x:v>Benchmark</x:v>
      </x:c>
      <x:c r="K2710" s="6" t="str">
        <x:v>Answer: &lt;one exact integer&gt;</x:v>
      </x:c>
      <x:c r="L2710" s="6" t="str">
        <x:v>T02, T08, T14</x:v>
      </x:c>
      <x:c r="M2710" s="6" t="str">
        <x:v>Count other rooms sharing at least 1 m of wall with a room.</x:v>
      </x:c>
      <x:c r="N2710" s="6" t="str">
        <x:v>{"type":"number","value":3,"unit":"rooms","relative_tolerance":0,"absolute_tolerance":0}</x:v>
      </x:c>
      <x:c r="O2710" s="6" t="str">
        <x:v>{"start":"swiss-3096-F0-S019"}</x:v>
      </x:c>
      <x:c r="P2710" s="6" t="str">
        <x:v>Same floor. Other type=room spaces. &gt;=1 m wall run within 0.35 m. Door not required.</x:v>
      </x:c>
      <x:c r="Q2710" s="15" t="n">
        <x:v>3</x:v>
      </x:c>
      <x:c r="R2710" s="6" t="str">
        <x:v>rooms</x:v>
      </x:c>
      <x:c r="S2710" s="16" t="n">
        <x:v>0</x:v>
      </x:c>
      <x:c r="T2710" s="15" t="n">
        <x:v>0</x:v>
      </x:c>
      <x:c r="U2710" s="6" t="str">
        <x:v>Answer: 3</x:v>
      </x:c>
      <x:c r="V2710" s="6" t="str">
        <x:v>wall adjacency from polygons</x:v>
      </x:c>
      <x:c r="W2710" s="6" t="str">
        <x:v>Missing boundary-adjacency tool. Door connectivity does not answer this question.</x:v>
      </x:c>
      <x:c r="X2710" s="6" t="str">
        <x:v>data/train/swiss-3096/questions.jsonl</x:v>
      </x:c>
      <x:c r="Y2710" s="14" t="n">
        <x:v>4</x:v>
      </x:c>
      <x:c r="Z2710" s="6" t="str">
        <x:v>https://github.com/hagenhaeussler/Industrial-Agents-Hackathon-2026/blob/f41616590b69f3ea0c1cbfb41d6c35edd9ce53df/data/train/swiss-3096/questions.jsonl#L4</x:v>
      </x:c>
      <x:c r="AA2710" s="6" t="str">
        <x:v>swiss_dwellings</x:v>
      </x:c>
      <x:c r="AB2710" s="6" t="str">
        <x:v>CC-BY-4.0</x:v>
      </x:c>
    </x:row>
    <x:row r="2711" ht="82" customHeight="1">
      <x:c r="A2711" s="14" t="n">
        <x:v>2706</x:v>
      </x:c>
      <x:c r="B2711" s="6" t="str">
        <x:v>shared_walls_count</x:v>
      </x:c>
      <x:c r="C2711" s="6" t="str">
        <x:v>We're soundproofing Bedroom 2.23 (apartment 10) (Floor 2). How many other rooms on that floor share a wall with it? Count every room whose wall runs along it for at least 1 m, with or without a door between them; corridors, stairwells and lifts don't count. Finish with a line 'Answer: &lt;number&gt;'.</x:v>
      </x:c>
      <x:c r="D2711" s="6" t="str">
        <x:v>5 rooms</x:v>
      </x:c>
      <x:c r="E2711" s="6" t="str">
        <x:v>Reference supplied</x:v>
      </x:c>
      <x:c r="F2711" s="6" t="str">
        <x:v>train</x:v>
      </x:c>
      <x:c r="G2711" s="6" t="str">
        <x:v>swiss-3355</x:v>
      </x:c>
      <x:c r="H2711" s="6" t="str">
        <x:v>swiss-3355-H04</x:v>
      </x:c>
      <x:c r="I2711" s="6" t="str">
        <x:v>Spatial relationships</x:v>
      </x:c>
      <x:c r="J2711" s="6" t="str">
        <x:v>Benchmark</x:v>
      </x:c>
      <x:c r="K2711" s="6" t="str">
        <x:v>Answer: &lt;one exact integer&gt;</x:v>
      </x:c>
      <x:c r="L2711" s="6" t="str">
        <x:v>T02, T08, T14</x:v>
      </x:c>
      <x:c r="M2711" s="6" t="str">
        <x:v>Count other rooms sharing at least 1 m of wall with a room.</x:v>
      </x:c>
      <x:c r="N2711" s="6" t="str">
        <x:v>{"type":"number","value":5,"unit":"rooms","relative_tolerance":0,"absolute_tolerance":0}</x:v>
      </x:c>
      <x:c r="O2711" s="6" t="str">
        <x:v>{"start":"swiss-3355-F2-S023"}</x:v>
      </x:c>
      <x:c r="P2711" s="6" t="str">
        <x:v>Same floor. Other type=room spaces. &gt;=1 m wall run within 0.35 m. Door not required.</x:v>
      </x:c>
      <x:c r="Q2711" s="15" t="n">
        <x:v>5</x:v>
      </x:c>
      <x:c r="R2711" s="6" t="str">
        <x:v>rooms</x:v>
      </x:c>
      <x:c r="S2711" s="16" t="n">
        <x:v>0</x:v>
      </x:c>
      <x:c r="T2711" s="15" t="n">
        <x:v>0</x:v>
      </x:c>
      <x:c r="U2711" s="6" t="str">
        <x:v>Answer: 5</x:v>
      </x:c>
      <x:c r="V2711" s="6" t="str">
        <x:v>wall adjacency from polygons</x:v>
      </x:c>
      <x:c r="W2711" s="6" t="str">
        <x:v>Missing boundary-adjacency tool. Door connectivity does not answer this question.</x:v>
      </x:c>
      <x:c r="X2711" s="6" t="str">
        <x:v>data/train/swiss-3355/questions.jsonl</x:v>
      </x:c>
      <x:c r="Y2711" s="14" t="n">
        <x:v>4</x:v>
      </x:c>
      <x:c r="Z2711" s="6" t="str">
        <x:v>https://github.com/hagenhaeussler/Industrial-Agents-Hackathon-2026/blob/f41616590b69f3ea0c1cbfb41d6c35edd9ce53df/data/train/swiss-3355/questions.jsonl#L4</x:v>
      </x:c>
      <x:c r="AA2711" s="6" t="str">
        <x:v>swiss_dwellings</x:v>
      </x:c>
      <x:c r="AB2711" s="6" t="str">
        <x:v>CC-BY-4.0</x:v>
      </x:c>
    </x:row>
    <x:row r="2712" ht="82" customHeight="1">
      <x:c r="A2712" s="14" t="n">
        <x:v>2707</x:v>
      </x:c>
      <x:c r="B2712" s="6" t="str">
        <x:v>shared_walls_count</x:v>
      </x:c>
      <x:c r="C2712" s="6" t="str">
        <x:v>We're soundproofing Living room 3.06 (apartment 7) (Floor 3). How many other rooms on that floor share a wall with it? Count every room whose wall runs along it for at least 1 m, with or without a door between them; corridors, stairwells and lifts don't count. Finish with a line 'Answer: &lt;number&gt;'.</x:v>
      </x:c>
      <x:c r="D2712" s="6" t="str">
        <x:v>3 rooms</x:v>
      </x:c>
      <x:c r="E2712" s="6" t="str">
        <x:v>Reference supplied</x:v>
      </x:c>
      <x:c r="F2712" s="6" t="str">
        <x:v>train</x:v>
      </x:c>
      <x:c r="G2712" s="6" t="str">
        <x:v>swiss-3418</x:v>
      </x:c>
      <x:c r="H2712" s="6" t="str">
        <x:v>swiss-3418-H02</x:v>
      </x:c>
      <x:c r="I2712" s="6" t="str">
        <x:v>Spatial relationships</x:v>
      </x:c>
      <x:c r="J2712" s="6" t="str">
        <x:v>Benchmark</x:v>
      </x:c>
      <x:c r="K2712" s="6" t="str">
        <x:v>Answer: &lt;one exact integer&gt;</x:v>
      </x:c>
      <x:c r="L2712" s="6" t="str">
        <x:v>T02, T08, T14</x:v>
      </x:c>
      <x:c r="M2712" s="6" t="str">
        <x:v>Count other rooms sharing at least 1 m of wall with a room.</x:v>
      </x:c>
      <x:c r="N2712" s="6" t="str">
        <x:v>{"type":"number","value":3,"unit":"rooms","relative_tolerance":0,"absolute_tolerance":0}</x:v>
      </x:c>
      <x:c r="O2712" s="6" t="str">
        <x:v>{"start":"swiss-3418-F3-S006"}</x:v>
      </x:c>
      <x:c r="P2712" s="6" t="str">
        <x:v>Same floor. Other type=room spaces. &gt;=1 m wall run within 0.35 m. Door not required.</x:v>
      </x:c>
      <x:c r="Q2712" s="15" t="n">
        <x:v>3</x:v>
      </x:c>
      <x:c r="R2712" s="6" t="str">
        <x:v>rooms</x:v>
      </x:c>
      <x:c r="S2712" s="16" t="n">
        <x:v>0</x:v>
      </x:c>
      <x:c r="T2712" s="15" t="n">
        <x:v>0</x:v>
      </x:c>
      <x:c r="U2712" s="6" t="str">
        <x:v>Answer: 3</x:v>
      </x:c>
      <x:c r="V2712" s="6" t="str">
        <x:v>wall adjacency from polygons</x:v>
      </x:c>
      <x:c r="W2712" s="6" t="str">
        <x:v>Missing boundary-adjacency tool. Door connectivity does not answer this question.</x:v>
      </x:c>
      <x:c r="X2712" s="6" t="str">
        <x:v>data/train/swiss-3418/questions.jsonl</x:v>
      </x:c>
      <x:c r="Y2712" s="14" t="n">
        <x:v>2</x:v>
      </x:c>
      <x:c r="Z2712" s="6" t="str">
        <x:v>https://github.com/hagenhaeussler/Industrial-Agents-Hackathon-2026/blob/f41616590b69f3ea0c1cbfb41d6c35edd9ce53df/data/train/swiss-3418/questions.jsonl#L2</x:v>
      </x:c>
      <x:c r="AA2712" s="6" t="str">
        <x:v>swiss_dwellings</x:v>
      </x:c>
      <x:c r="AB2712" s="6" t="str">
        <x:v>CC-BY-4.0</x:v>
      </x:c>
    </x:row>
    <x:row r="2713" ht="82" customHeight="1">
      <x:c r="A2713" s="14" t="n">
        <x:v>2708</x:v>
      </x:c>
      <x:c r="B2713" s="6" t="str">
        <x:v>shared_walls_count</x:v>
      </x:c>
      <x:c r="C2713" s="6" t="str">
        <x:v>We're soundproofing Bedroom 1.04 (apartment 3) (Floor 1). How many other rooms on that floor share a wall with it? Count every room whose wall runs along it for at least 1 m, with or without a door between them; corridors, stairwells and lifts don't count. Finish with a line 'Answer: &lt;number&gt;'.</x:v>
      </x:c>
      <x:c r="D2713" s="6" t="str">
        <x:v>3 rooms</x:v>
      </x:c>
      <x:c r="E2713" s="6" t="str">
        <x:v>Reference supplied</x:v>
      </x:c>
      <x:c r="F2713" s="6" t="str">
        <x:v>train</x:v>
      </x:c>
      <x:c r="G2713" s="6" t="str">
        <x:v>swiss-401</x:v>
      </x:c>
      <x:c r="H2713" s="6" t="str">
        <x:v>swiss-401-H02</x:v>
      </x:c>
      <x:c r="I2713" s="6" t="str">
        <x:v>Spatial relationships</x:v>
      </x:c>
      <x:c r="J2713" s="6" t="str">
        <x:v>Benchmark</x:v>
      </x:c>
      <x:c r="K2713" s="6" t="str">
        <x:v>Answer: &lt;one exact integer&gt;</x:v>
      </x:c>
      <x:c r="L2713" s="6" t="str">
        <x:v>T02, T08, T14</x:v>
      </x:c>
      <x:c r="M2713" s="6" t="str">
        <x:v>Count other rooms sharing at least 1 m of wall with a room.</x:v>
      </x:c>
      <x:c r="N2713" s="6" t="str">
        <x:v>{"type":"number","value":3,"unit":"rooms","relative_tolerance":0,"absolute_tolerance":0}</x:v>
      </x:c>
      <x:c r="O2713" s="6" t="str">
        <x:v>{"start":"swiss-401-F1-S004"}</x:v>
      </x:c>
      <x:c r="P2713" s="6" t="str">
        <x:v>Same floor. Other type=room spaces. &gt;=1 m wall run within 0.35 m. Door not required.</x:v>
      </x:c>
      <x:c r="Q2713" s="15" t="n">
        <x:v>3</x:v>
      </x:c>
      <x:c r="R2713" s="6" t="str">
        <x:v>rooms</x:v>
      </x:c>
      <x:c r="S2713" s="16" t="n">
        <x:v>0</x:v>
      </x:c>
      <x:c r="T2713" s="15" t="n">
        <x:v>0</x:v>
      </x:c>
      <x:c r="U2713" s="6" t="str">
        <x:v>Answer: 3</x:v>
      </x:c>
      <x:c r="V2713" s="6" t="str">
        <x:v>wall adjacency from polygons</x:v>
      </x:c>
      <x:c r="W2713" s="6" t="str">
        <x:v>Missing boundary-adjacency tool. Door connectivity does not answer this question.</x:v>
      </x:c>
      <x:c r="X2713" s="6" t="str">
        <x:v>data/train/swiss-401/questions.jsonl</x:v>
      </x:c>
      <x:c r="Y2713" s="14" t="n">
        <x:v>2</x:v>
      </x:c>
      <x:c r="Z2713" s="6" t="str">
        <x:v>https://github.com/hagenhaeussler/Industrial-Agents-Hackathon-2026/blob/f41616590b69f3ea0c1cbfb41d6c35edd9ce53df/data/train/swiss-401/questions.jsonl#L2</x:v>
      </x:c>
      <x:c r="AA2713" s="6" t="str">
        <x:v>swiss_dwellings</x:v>
      </x:c>
      <x:c r="AB2713" s="6" t="str">
        <x:v>CC-BY-4.0</x:v>
      </x:c>
    </x:row>
    <x:row r="2714" ht="82" customHeight="1">
      <x:c r="A2714" s="14" t="n">
        <x:v>2709</x:v>
      </x:c>
      <x:c r="B2714" s="6" t="str">
        <x:v>shared_walls_count</x:v>
      </x:c>
      <x:c r="C2714" s="6" t="str">
        <x:v>We're soundproofing Living room 1.07 (apartment 4) (Floor 1). How many other rooms on that floor share a wall with it? Count every room whose wall runs along it for at least 1 m, with or without a door between them; corridors, stairwells and lifts don't count. Finish with a line 'Answer: &lt;number&gt;'.</x:v>
      </x:c>
      <x:c r="D2714" s="6" t="str">
        <x:v>3 rooms</x:v>
      </x:c>
      <x:c r="E2714" s="6" t="str">
        <x:v>Reference supplied</x:v>
      </x:c>
      <x:c r="F2714" s="6" t="str">
        <x:v>train</x:v>
      </x:c>
      <x:c r="G2714" s="6" t="str">
        <x:v>swiss-433</x:v>
      </x:c>
      <x:c r="H2714" s="6" t="str">
        <x:v>swiss-433-H04</x:v>
      </x:c>
      <x:c r="I2714" s="6" t="str">
        <x:v>Spatial relationships</x:v>
      </x:c>
      <x:c r="J2714" s="6" t="str">
        <x:v>Benchmark</x:v>
      </x:c>
      <x:c r="K2714" s="6" t="str">
        <x:v>Answer: &lt;one exact integer&gt;</x:v>
      </x:c>
      <x:c r="L2714" s="6" t="str">
        <x:v>T02, T08, T14</x:v>
      </x:c>
      <x:c r="M2714" s="6" t="str">
        <x:v>Count other rooms sharing at least 1 m of wall with a room.</x:v>
      </x:c>
      <x:c r="N2714" s="6" t="str">
        <x:v>{"type":"number","value":3,"unit":"rooms","relative_tolerance":0,"absolute_tolerance":0}</x:v>
      </x:c>
      <x:c r="O2714" s="6" t="str">
        <x:v>{"start":"swiss-433-F1-S007"}</x:v>
      </x:c>
      <x:c r="P2714" s="6" t="str">
        <x:v>Same floor. Other type=room spaces. &gt;=1 m wall run within 0.35 m. Door not required.</x:v>
      </x:c>
      <x:c r="Q2714" s="15" t="n">
        <x:v>3</x:v>
      </x:c>
      <x:c r="R2714" s="6" t="str">
        <x:v>rooms</x:v>
      </x:c>
      <x:c r="S2714" s="16" t="n">
        <x:v>0</x:v>
      </x:c>
      <x:c r="T2714" s="15" t="n">
        <x:v>0</x:v>
      </x:c>
      <x:c r="U2714" s="6" t="str">
        <x:v>Answer: 3</x:v>
      </x:c>
      <x:c r="V2714" s="6" t="str">
        <x:v>wall adjacency from polygons</x:v>
      </x:c>
      <x:c r="W2714" s="6" t="str">
        <x:v>Missing boundary-adjacency tool. Door connectivity does not answer this question.</x:v>
      </x:c>
      <x:c r="X2714" s="6" t="str">
        <x:v>data/train/swiss-433/questions.jsonl</x:v>
      </x:c>
      <x:c r="Y2714" s="14" t="n">
        <x:v>4</x:v>
      </x:c>
      <x:c r="Z2714" s="6" t="str">
        <x:v>https://github.com/hagenhaeussler/Industrial-Agents-Hackathon-2026/blob/f41616590b69f3ea0c1cbfb41d6c35edd9ce53df/data/train/swiss-433/questions.jsonl#L4</x:v>
      </x:c>
      <x:c r="AA2714" s="6" t="str">
        <x:v>swiss_dwellings</x:v>
      </x:c>
      <x:c r="AB2714" s="6" t="str">
        <x:v>CC-BY-4.0</x:v>
      </x:c>
    </x:row>
    <x:row r="2715" ht="82" customHeight="1">
      <x:c r="A2715" s="14" t="n">
        <x:v>2710</x:v>
      </x:c>
      <x:c r="B2715" s="6" t="str">
        <x:v>shared_walls_count</x:v>
      </x:c>
      <x:c r="C2715" s="6" t="str">
        <x:v>We're soundproofing Living room 2.32 (apartment 12) (Floor 2). How many other rooms on that floor share a wall with it? Count every room whose wall runs along it for at least 1 m, with or without a door between them; corridors, stairwells and lifts don't count. Finish with a line 'Answer: &lt;number&gt;'.</x:v>
      </x:c>
      <x:c r="D2715" s="6" t="str">
        <x:v>4 rooms</x:v>
      </x:c>
      <x:c r="E2715" s="6" t="str">
        <x:v>Reference supplied</x:v>
      </x:c>
      <x:c r="F2715" s="6" t="str">
        <x:v>train</x:v>
      </x:c>
      <x:c r="G2715" s="6" t="str">
        <x:v>swiss-437</x:v>
      </x:c>
      <x:c r="H2715" s="6" t="str">
        <x:v>swiss-437-H02</x:v>
      </x:c>
      <x:c r="I2715" s="6" t="str">
        <x:v>Spatial relationships</x:v>
      </x:c>
      <x:c r="J2715" s="6" t="str">
        <x:v>Benchmark</x:v>
      </x:c>
      <x:c r="K2715" s="6" t="str">
        <x:v>Answer: &lt;one exact integer&gt;</x:v>
      </x:c>
      <x:c r="L2715" s="6" t="str">
        <x:v>T02, T08, T14</x:v>
      </x:c>
      <x:c r="M2715" s="6" t="str">
        <x:v>Count other rooms sharing at least 1 m of wall with a room.</x:v>
      </x:c>
      <x:c r="N2715" s="6" t="str">
        <x:v>{"type":"number","value":4,"unit":"rooms","relative_tolerance":0,"absolute_tolerance":0}</x:v>
      </x:c>
      <x:c r="O2715" s="6" t="str">
        <x:v>{"start":"swiss-437-F2-S032"}</x:v>
      </x:c>
      <x:c r="P2715" s="6" t="str">
        <x:v>Same floor. Other type=room spaces. &gt;=1 m wall run within 0.35 m. Door not required.</x:v>
      </x:c>
      <x:c r="Q2715" s="15" t="n">
        <x:v>4</x:v>
      </x:c>
      <x:c r="R2715" s="6" t="str">
        <x:v>rooms</x:v>
      </x:c>
      <x:c r="S2715" s="16" t="n">
        <x:v>0</x:v>
      </x:c>
      <x:c r="T2715" s="15" t="n">
        <x:v>0</x:v>
      </x:c>
      <x:c r="U2715" s="6" t="str">
        <x:v>Answer: 4</x:v>
      </x:c>
      <x:c r="V2715" s="6" t="str">
        <x:v>wall adjacency from polygons</x:v>
      </x:c>
      <x:c r="W2715" s="6" t="str">
        <x:v>Missing boundary-adjacency tool. Door connectivity does not answer this question.</x:v>
      </x:c>
      <x:c r="X2715" s="6" t="str">
        <x:v>data/train/swiss-437/questions.jsonl</x:v>
      </x:c>
      <x:c r="Y2715" s="14" t="n">
        <x:v>2</x:v>
      </x:c>
      <x:c r="Z2715" s="6" t="str">
        <x:v>https://github.com/hagenhaeussler/Industrial-Agents-Hackathon-2026/blob/f41616590b69f3ea0c1cbfb41d6c35edd9ce53df/data/train/swiss-437/questions.jsonl#L2</x:v>
      </x:c>
      <x:c r="AA2715" s="6" t="str">
        <x:v>swiss_dwellings</x:v>
      </x:c>
      <x:c r="AB2715" s="6" t="str">
        <x:v>CC-BY-4.0</x:v>
      </x:c>
    </x:row>
    <x:row r="2716" ht="82" customHeight="1">
      <x:c r="A2716" s="14" t="n">
        <x:v>2711</x:v>
      </x:c>
      <x:c r="B2716" s="6" t="str">
        <x:v>shared_walls_count</x:v>
      </x:c>
      <x:c r="C2716" s="6" t="str">
        <x:v>We're soundproofing Kitchen 3.20 (apartment 21) (Floor 3). How many other rooms on that floor share a wall with it? Count every room whose wall runs along it for at least 1 m, with or without a door between them; corridors, stairwells and lifts don't count. Finish with a line 'Answer: &lt;number&gt;'.</x:v>
      </x:c>
      <x:c r="D2716" s="6" t="str">
        <x:v>3 rooms</x:v>
      </x:c>
      <x:c r="E2716" s="6" t="str">
        <x:v>Reference supplied</x:v>
      </x:c>
      <x:c r="F2716" s="6" t="str">
        <x:v>train</x:v>
      </x:c>
      <x:c r="G2716" s="6" t="str">
        <x:v>swiss-442</x:v>
      </x:c>
      <x:c r="H2716" s="6" t="str">
        <x:v>swiss-442-H04</x:v>
      </x:c>
      <x:c r="I2716" s="6" t="str">
        <x:v>Spatial relationships</x:v>
      </x:c>
      <x:c r="J2716" s="6" t="str">
        <x:v>Benchmark</x:v>
      </x:c>
      <x:c r="K2716" s="6" t="str">
        <x:v>Answer: &lt;one exact integer&gt;</x:v>
      </x:c>
      <x:c r="L2716" s="6" t="str">
        <x:v>T02, T08, T14</x:v>
      </x:c>
      <x:c r="M2716" s="6" t="str">
        <x:v>Count other rooms sharing at least 1 m of wall with a room.</x:v>
      </x:c>
      <x:c r="N2716" s="6" t="str">
        <x:v>{"type":"number","value":3,"unit":"rooms","relative_tolerance":0,"absolute_tolerance":0}</x:v>
      </x:c>
      <x:c r="O2716" s="6" t="str">
        <x:v>{"start":"swiss-442-F3-S020"}</x:v>
      </x:c>
      <x:c r="P2716" s="6" t="str">
        <x:v>Same floor. Other type=room spaces. &gt;=1 m wall run within 0.35 m. Door not required.</x:v>
      </x:c>
      <x:c r="Q2716" s="15" t="n">
        <x:v>3</x:v>
      </x:c>
      <x:c r="R2716" s="6" t="str">
        <x:v>rooms</x:v>
      </x:c>
      <x:c r="S2716" s="16" t="n">
        <x:v>0</x:v>
      </x:c>
      <x:c r="T2716" s="15" t="n">
        <x:v>0</x:v>
      </x:c>
      <x:c r="U2716" s="6" t="str">
        <x:v>Answer: 3</x:v>
      </x:c>
      <x:c r="V2716" s="6" t="str">
        <x:v>wall adjacency from polygons</x:v>
      </x:c>
      <x:c r="W2716" s="6" t="str">
        <x:v>Missing boundary-adjacency tool. Door connectivity does not answer this question.</x:v>
      </x:c>
      <x:c r="X2716" s="6" t="str">
        <x:v>data/train/swiss-442/questions.jsonl</x:v>
      </x:c>
      <x:c r="Y2716" s="14" t="n">
        <x:v>4</x:v>
      </x:c>
      <x:c r="Z2716" s="6" t="str">
        <x:v>https://github.com/hagenhaeussler/Industrial-Agents-Hackathon-2026/blob/f41616590b69f3ea0c1cbfb41d6c35edd9ce53df/data/train/swiss-442/questions.jsonl#L4</x:v>
      </x:c>
      <x:c r="AA2716" s="6" t="str">
        <x:v>swiss_dwellings</x:v>
      </x:c>
      <x:c r="AB2716" s="6" t="str">
        <x:v>CC-BY-4.0</x:v>
      </x:c>
    </x:row>
    <x:row r="2717" ht="82" customHeight="1">
      <x:c r="A2717" s="14" t="n">
        <x:v>2712</x:v>
      </x:c>
      <x:c r="B2717" s="6" t="str">
        <x:v>shared_walls_count</x:v>
      </x:c>
      <x:c r="C2717" s="6" t="str">
        <x:v>We're soundproofing Living room 2.11 (apartment 7) (Floor 2). How many other rooms on that floor share a wall with it? Count every room whose wall runs along it for at least 1 m, with or without a door between them; corridors, stairwells and lifts don't count. Finish with a line 'Answer: &lt;number&gt;'.</x:v>
      </x:c>
      <x:c r="D2717" s="6" t="str">
        <x:v>3 rooms</x:v>
      </x:c>
      <x:c r="E2717" s="6" t="str">
        <x:v>Reference supplied</x:v>
      </x:c>
      <x:c r="F2717" s="6" t="str">
        <x:v>train</x:v>
      </x:c>
      <x:c r="G2717" s="6" t="str">
        <x:v>swiss-6456</x:v>
      </x:c>
      <x:c r="H2717" s="6" t="str">
        <x:v>swiss-6456-H02</x:v>
      </x:c>
      <x:c r="I2717" s="6" t="str">
        <x:v>Spatial relationships</x:v>
      </x:c>
      <x:c r="J2717" s="6" t="str">
        <x:v>Benchmark</x:v>
      </x:c>
      <x:c r="K2717" s="6" t="str">
        <x:v>Answer: &lt;one exact integer&gt;</x:v>
      </x:c>
      <x:c r="L2717" s="6" t="str">
        <x:v>T02, T08, T14</x:v>
      </x:c>
      <x:c r="M2717" s="6" t="str">
        <x:v>Count other rooms sharing at least 1 m of wall with a room.</x:v>
      </x:c>
      <x:c r="N2717" s="6" t="str">
        <x:v>{"type":"number","value":3,"unit":"rooms","relative_tolerance":0,"absolute_tolerance":0}</x:v>
      </x:c>
      <x:c r="O2717" s="6" t="str">
        <x:v>{"start":"swiss-6456-F2-S011"}</x:v>
      </x:c>
      <x:c r="P2717" s="6" t="str">
        <x:v>Same floor. Other type=room spaces. &gt;=1 m wall run within 0.35 m. Door not required.</x:v>
      </x:c>
      <x:c r="Q2717" s="15" t="n">
        <x:v>3</x:v>
      </x:c>
      <x:c r="R2717" s="6" t="str">
        <x:v>rooms</x:v>
      </x:c>
      <x:c r="S2717" s="16" t="n">
        <x:v>0</x:v>
      </x:c>
      <x:c r="T2717" s="15" t="n">
        <x:v>0</x:v>
      </x:c>
      <x:c r="U2717" s="6" t="str">
        <x:v>Answer: 3</x:v>
      </x:c>
      <x:c r="V2717" s="6" t="str">
        <x:v>wall adjacency from polygons</x:v>
      </x:c>
      <x:c r="W2717" s="6" t="str">
        <x:v>Missing boundary-adjacency tool. Door connectivity does not answer this question.</x:v>
      </x:c>
      <x:c r="X2717" s="6" t="str">
        <x:v>data/train/swiss-6456/questions.jsonl</x:v>
      </x:c>
      <x:c r="Y2717" s="14" t="n">
        <x:v>2</x:v>
      </x:c>
      <x:c r="Z2717" s="6" t="str">
        <x:v>https://github.com/hagenhaeussler/Industrial-Agents-Hackathon-2026/blob/f41616590b69f3ea0c1cbfb41d6c35edd9ce53df/data/train/swiss-6456/questions.jsonl#L2</x:v>
      </x:c>
      <x:c r="AA2717" s="6" t="str">
        <x:v>swiss_dwellings</x:v>
      </x:c>
      <x:c r="AB2717" s="6" t="str">
        <x:v>CC-BY-4.0</x:v>
      </x:c>
    </x:row>
    <x:row r="2718" ht="82" customHeight="1">
      <x:c r="A2718" s="14" t="n">
        <x:v>2713</x:v>
      </x:c>
      <x:c r="B2718" s="6" t="str">
        <x:v>shared_walls_count</x:v>
      </x:c>
      <x:c r="C2718" s="6" t="str">
        <x:v>We're soundproofing Kitchen 3.16 (apartment 12) (Floor 3). How many other rooms on that floor share a wall with it? Count every room whose wall runs along it for at least 1 m, with or without a door between them; corridors, stairwells and lifts don't count. Finish with a line 'Answer: &lt;number&gt;'.</x:v>
      </x:c>
      <x:c r="D2718" s="6" t="str">
        <x:v>3 rooms</x:v>
      </x:c>
      <x:c r="E2718" s="6" t="str">
        <x:v>Reference supplied</x:v>
      </x:c>
      <x:c r="F2718" s="6" t="str">
        <x:v>train</x:v>
      </x:c>
      <x:c r="G2718" s="6" t="str">
        <x:v>swiss-668</x:v>
      </x:c>
      <x:c r="H2718" s="6" t="str">
        <x:v>swiss-668-H04</x:v>
      </x:c>
      <x:c r="I2718" s="6" t="str">
        <x:v>Spatial relationships</x:v>
      </x:c>
      <x:c r="J2718" s="6" t="str">
        <x:v>Benchmark</x:v>
      </x:c>
      <x:c r="K2718" s="6" t="str">
        <x:v>Answer: &lt;one exact integer&gt;</x:v>
      </x:c>
      <x:c r="L2718" s="6" t="str">
        <x:v>T02, T08, T14</x:v>
      </x:c>
      <x:c r="M2718" s="6" t="str">
        <x:v>Count other rooms sharing at least 1 m of wall with a room.</x:v>
      </x:c>
      <x:c r="N2718" s="6" t="str">
        <x:v>{"type":"number","value":3,"unit":"rooms","relative_tolerance":0,"absolute_tolerance":0}</x:v>
      </x:c>
      <x:c r="O2718" s="6" t="str">
        <x:v>{"start":"swiss-668-F3-S016"}</x:v>
      </x:c>
      <x:c r="P2718" s="6" t="str">
        <x:v>Same floor. Other type=room spaces. &gt;=1 m wall run within 0.35 m. Door not required.</x:v>
      </x:c>
      <x:c r="Q2718" s="15" t="n">
        <x:v>3</x:v>
      </x:c>
      <x:c r="R2718" s="6" t="str">
        <x:v>rooms</x:v>
      </x:c>
      <x:c r="S2718" s="16" t="n">
        <x:v>0</x:v>
      </x:c>
      <x:c r="T2718" s="15" t="n">
        <x:v>0</x:v>
      </x:c>
      <x:c r="U2718" s="6" t="str">
        <x:v>Answer: 3</x:v>
      </x:c>
      <x:c r="V2718" s="6" t="str">
        <x:v>wall adjacency from polygons</x:v>
      </x:c>
      <x:c r="W2718" s="6" t="str">
        <x:v>Missing boundary-adjacency tool. Door connectivity does not answer this question.</x:v>
      </x:c>
      <x:c r="X2718" s="6" t="str">
        <x:v>data/train/swiss-668/questions.jsonl</x:v>
      </x:c>
      <x:c r="Y2718" s="14" t="n">
        <x:v>4</x:v>
      </x:c>
      <x:c r="Z2718" s="6" t="str">
        <x:v>https://github.com/hagenhaeussler/Industrial-Agents-Hackathon-2026/blob/f41616590b69f3ea0c1cbfb41d6c35edd9ce53df/data/train/swiss-668/questions.jsonl#L4</x:v>
      </x:c>
      <x:c r="AA2718" s="6" t="str">
        <x:v>swiss_dwellings</x:v>
      </x:c>
      <x:c r="AB2718" s="6" t="str">
        <x:v>CC-BY-4.0</x:v>
      </x:c>
    </x:row>
    <x:row r="2719" ht="82" customHeight="1">
      <x:c r="A2719" s="14" t="n">
        <x:v>2714</x:v>
      </x:c>
      <x:c r="B2719" s="6" t="str">
        <x:v>shared_walls_count</x:v>
      </x:c>
      <x:c r="C2719" s="6" t="str">
        <x:v>We're soundproofing Bedroom 2.15 (apartment 12) (Floor 2). How many other rooms on that floor share a wall with it? Count every room whose wall runs along it for at least 1 m, with or without a door between them; corridors, stairwells and lifts don't count. Finish with a line 'Answer: &lt;number&gt;'.</x:v>
      </x:c>
      <x:c r="D2719" s="6" t="str">
        <x:v>3 rooms</x:v>
      </x:c>
      <x:c r="E2719" s="6" t="str">
        <x:v>Reference supplied</x:v>
      </x:c>
      <x:c r="F2719" s="6" t="str">
        <x:v>train</x:v>
      </x:c>
      <x:c r="G2719" s="6" t="str">
        <x:v>swiss-685</x:v>
      </x:c>
      <x:c r="H2719" s="6" t="str">
        <x:v>swiss-685-H02</x:v>
      </x:c>
      <x:c r="I2719" s="6" t="str">
        <x:v>Spatial relationships</x:v>
      </x:c>
      <x:c r="J2719" s="6" t="str">
        <x:v>Benchmark</x:v>
      </x:c>
      <x:c r="K2719" s="6" t="str">
        <x:v>Answer: &lt;one exact integer&gt;</x:v>
      </x:c>
      <x:c r="L2719" s="6" t="str">
        <x:v>T02, T08, T14</x:v>
      </x:c>
      <x:c r="M2719" s="6" t="str">
        <x:v>Count other rooms sharing at least 1 m of wall with a room.</x:v>
      </x:c>
      <x:c r="N2719" s="6" t="str">
        <x:v>{"type":"number","value":3,"unit":"rooms","relative_tolerance":0,"absolute_tolerance":0}</x:v>
      </x:c>
      <x:c r="O2719" s="6" t="str">
        <x:v>{"start":"swiss-685-F2-S015"}</x:v>
      </x:c>
      <x:c r="P2719" s="6" t="str">
        <x:v>Same floor. Other type=room spaces. &gt;=1 m wall run within 0.35 m. Door not required.</x:v>
      </x:c>
      <x:c r="Q2719" s="15" t="n">
        <x:v>3</x:v>
      </x:c>
      <x:c r="R2719" s="6" t="str">
        <x:v>rooms</x:v>
      </x:c>
      <x:c r="S2719" s="16" t="n">
        <x:v>0</x:v>
      </x:c>
      <x:c r="T2719" s="15" t="n">
        <x:v>0</x:v>
      </x:c>
      <x:c r="U2719" s="6" t="str">
        <x:v>Answer: 3</x:v>
      </x:c>
      <x:c r="V2719" s="6" t="str">
        <x:v>wall adjacency from polygons</x:v>
      </x:c>
      <x:c r="W2719" s="6" t="str">
        <x:v>Missing boundary-adjacency tool. Door connectivity does not answer this question.</x:v>
      </x:c>
      <x:c r="X2719" s="6" t="str">
        <x:v>data/train/swiss-685/questions.jsonl</x:v>
      </x:c>
      <x:c r="Y2719" s="14" t="n">
        <x:v>2</x:v>
      </x:c>
      <x:c r="Z2719" s="6" t="str">
        <x:v>https://github.com/hagenhaeussler/Industrial-Agents-Hackathon-2026/blob/f41616590b69f3ea0c1cbfb41d6c35edd9ce53df/data/train/swiss-685/questions.jsonl#L2</x:v>
      </x:c>
      <x:c r="AA2719" s="6" t="str">
        <x:v>swiss_dwellings</x:v>
      </x:c>
      <x:c r="AB2719" s="6" t="str">
        <x:v>CC-BY-4.0</x:v>
      </x:c>
    </x:row>
    <x:row r="2720" ht="82" customHeight="1">
      <x:c r="A2720" s="14" t="n">
        <x:v>2715</x:v>
      </x:c>
      <x:c r="B2720" s="6" t="str">
        <x:v>shared_walls_count</x:v>
      </x:c>
      <x:c r="C2720" s="6" t="str">
        <x:v>We're soundproofing Living room 1.02 (apartment 3) (Floor 1). How many other rooms on that floor share a wall with it? Count every room whose wall runs along it for at least 1 m, with or without a door between them; corridors, stairwells and lifts don't count. Finish with a line 'Answer: &lt;number&gt;'.</x:v>
      </x:c>
      <x:c r="D2720" s="6" t="str">
        <x:v>3 rooms</x:v>
      </x:c>
      <x:c r="E2720" s="6" t="str">
        <x:v>Reference supplied</x:v>
      </x:c>
      <x:c r="F2720" s="6" t="str">
        <x:v>train</x:v>
      </x:c>
      <x:c r="G2720" s="6" t="str">
        <x:v>swiss-920</x:v>
      </x:c>
      <x:c r="H2720" s="6" t="str">
        <x:v>swiss-920-H02</x:v>
      </x:c>
      <x:c r="I2720" s="6" t="str">
        <x:v>Spatial relationships</x:v>
      </x:c>
      <x:c r="J2720" s="6" t="str">
        <x:v>Benchmark</x:v>
      </x:c>
      <x:c r="K2720" s="6" t="str">
        <x:v>Answer: &lt;one exact integer&gt;</x:v>
      </x:c>
      <x:c r="L2720" s="6" t="str">
        <x:v>T02, T08, T14</x:v>
      </x:c>
      <x:c r="M2720" s="6" t="str">
        <x:v>Count other rooms sharing at least 1 m of wall with a room.</x:v>
      </x:c>
      <x:c r="N2720" s="6" t="str">
        <x:v>{"type":"number","value":3,"unit":"rooms","relative_tolerance":0,"absolute_tolerance":0}</x:v>
      </x:c>
      <x:c r="O2720" s="6" t="str">
        <x:v>{"start":"swiss-920-F1-S002"}</x:v>
      </x:c>
      <x:c r="P2720" s="6" t="str">
        <x:v>Same floor. Other type=room spaces. &gt;=1 m wall run within 0.35 m. Door not required.</x:v>
      </x:c>
      <x:c r="Q2720" s="15" t="n">
        <x:v>3</x:v>
      </x:c>
      <x:c r="R2720" s="6" t="str">
        <x:v>rooms</x:v>
      </x:c>
      <x:c r="S2720" s="16" t="n">
        <x:v>0</x:v>
      </x:c>
      <x:c r="T2720" s="15" t="n">
        <x:v>0</x:v>
      </x:c>
      <x:c r="U2720" s="6" t="str">
        <x:v>Answer: 3</x:v>
      </x:c>
      <x:c r="V2720" s="6" t="str">
        <x:v>wall adjacency from polygons</x:v>
      </x:c>
      <x:c r="W2720" s="6" t="str">
        <x:v>Missing boundary-adjacency tool. Door connectivity does not answer this question.</x:v>
      </x:c>
      <x:c r="X2720" s="6" t="str">
        <x:v>data/train/swiss-920/questions.jsonl</x:v>
      </x:c>
      <x:c r="Y2720" s="14" t="n">
        <x:v>2</x:v>
      </x:c>
      <x:c r="Z2720" s="6" t="str">
        <x:v>https://github.com/hagenhaeussler/Industrial-Agents-Hackathon-2026/blob/f41616590b69f3ea0c1cbfb41d6c35edd9ce53df/data/train/swiss-920/questions.jsonl#L2</x:v>
      </x:c>
      <x:c r="AA2720" s="6" t="str">
        <x:v>swiss_dwellings</x:v>
      </x:c>
      <x:c r="AB2720" s="6" t="str">
        <x:v>CC-BY-4.0</x:v>
      </x:c>
    </x:row>
    <x:row r="2721" ht="82" customHeight="1">
      <x:c r="A2721" s="14" t="n">
        <x:v>2716</x:v>
      </x:c>
      <x:c r="B2721" s="6" t="str">
        <x:v>shared_walls_count</x:v>
      </x:c>
      <x:c r="C2721" s="6" t="str">
        <x:v>We're soundproofing Generic room -1364 (Basement 1). How many other rooms on that floor share a wall with it? Count every room whose wall runs along it for at least 1 m, with or without a door between them; corridors, stairwells and lifts don't count. Finish with a line 'Answer: &lt;number&gt;'.</x:v>
      </x:c>
      <x:c r="D2721" s="6" t="str">
        <x:v>6 rooms</x:v>
      </x:c>
      <x:c r="E2721" s="6" t="str">
        <x:v>Reference supplied</x:v>
      </x:c>
      <x:c r="F2721" s="6" t="str">
        <x:v>dev</x:v>
      </x:c>
      <x:c r="G2721" s="6" t="str">
        <x:v>osm-way22744230</x:v>
      </x:c>
      <x:c r="H2721" s="6" t="str">
        <x:v>osm-way22744230-H08</x:v>
      </x:c>
      <x:c r="I2721" s="6" t="str">
        <x:v>Spatial relationships</x:v>
      </x:c>
      <x:c r="J2721" s="6" t="str">
        <x:v>Benchmark</x:v>
      </x:c>
      <x:c r="K2721" s="6" t="str">
        <x:v>Answer: &lt;one exact integer&gt;</x:v>
      </x:c>
      <x:c r="L2721" s="6" t="str">
        <x:v>T02, T08, T14</x:v>
      </x:c>
      <x:c r="M2721" s="6" t="str">
        <x:v>Count other rooms sharing at least 1 m of wall with a room.</x:v>
      </x:c>
      <x:c r="N2721" s="6" t="str">
        <x:v>{"type":"number","value":6,"unit":"rooms","relative_tolerance":0,"absolute_tolerance":0}</x:v>
      </x:c>
      <x:c r="O2721" s="6" t="str">
        <x:v>{"start":"osm-way22744230-F-1-S051"}</x:v>
      </x:c>
      <x:c r="P2721" s="6" t="str">
        <x:v>Same floor. Other type=room spaces. &gt;=1 m wall run within 0.35 m. Door not required.</x:v>
      </x:c>
      <x:c r="Q2721" s="15" t="n">
        <x:v>6</x:v>
      </x:c>
      <x:c r="R2721" s="6" t="str">
        <x:v>rooms</x:v>
      </x:c>
      <x:c r="S2721" s="16" t="n">
        <x:v>0</x:v>
      </x:c>
      <x:c r="T2721" s="15" t="n">
        <x:v>0</x:v>
      </x:c>
      <x:c r="U2721" s="6" t="str">
        <x:v>Answer: 6</x:v>
      </x:c>
      <x:c r="V2721" s="6" t="str">
        <x:v>wall adjacency from polygons</x:v>
      </x:c>
      <x:c r="W2721" s="6" t="str">
        <x:v>Missing boundary-adjacency tool. Door connectivity does not answer this question.</x:v>
      </x:c>
      <x:c r="X2721" s="6" t="str">
        <x:v>data/dev/osm-way22744230/questions.jsonl</x:v>
      </x:c>
      <x:c r="Y2721" s="14" t="n">
        <x:v>8</x:v>
      </x:c>
      <x:c r="Z2721" s="6" t="str">
        <x:v>https://github.com/hagenhaeussler/Industrial-Agents-Hackathon-2026/blob/f41616590b69f3ea0c1cbfb41d6c35edd9ce53df/data/dev/osm-way22744230/questions.jsonl#L8</x:v>
      </x:c>
      <x:c r="AA2721" s="6" t="str">
        <x:v>osm_indoor</x:v>
      </x:c>
      <x:c r="AB2721" s="6" t="str">
        <x:v>ODbL-1.0</x:v>
      </x:c>
    </x:row>
    <x:row r="2722" ht="82" customHeight="1">
      <x:c r="A2722" s="14" t="n">
        <x:v>2717</x:v>
      </x:c>
      <x:c r="B2722" s="6" t="str">
        <x:v>shared_walls_count</x:v>
      </x:c>
      <x:c r="C2722" s="6" t="str">
        <x:v>We're soundproofing Generic room E11A (Ground floor). How many other rooms on that floor share a wall with it? Count every room whose wall runs along it for at least 1 m, with or without a door between them; corridors, stairwells and lifts don't count. Finish with a line 'Answer: &lt;number&gt;'.</x:v>
      </x:c>
      <x:c r="D2722" s="6" t="str">
        <x:v>5 rooms</x:v>
      </x:c>
      <x:c r="E2722" s="6" t="str">
        <x:v>Reference supplied</x:v>
      </x:c>
      <x:c r="F2722" s="6" t="str">
        <x:v>dev</x:v>
      </x:c>
      <x:c r="G2722" s="6" t="str">
        <x:v>osm-way27326387</x:v>
      </x:c>
      <x:c r="H2722" s="6" t="str">
        <x:v>osm-way27326387-H07</x:v>
      </x:c>
      <x:c r="I2722" s="6" t="str">
        <x:v>Spatial relationships</x:v>
      </x:c>
      <x:c r="J2722" s="6" t="str">
        <x:v>Benchmark</x:v>
      </x:c>
      <x:c r="K2722" s="6" t="str">
        <x:v>Answer: &lt;one exact integer&gt;</x:v>
      </x:c>
      <x:c r="L2722" s="6" t="str">
        <x:v>T02, T08, T14</x:v>
      </x:c>
      <x:c r="M2722" s="6" t="str">
        <x:v>Count other rooms sharing at least 1 m of wall with a room.</x:v>
      </x:c>
      <x:c r="N2722" s="6" t="str">
        <x:v>{"type":"number","value":5,"unit":"rooms","relative_tolerance":0,"absolute_tolerance":0}</x:v>
      </x:c>
      <x:c r="O2722" s="6" t="str">
        <x:v>{"start":"osm-way27326387-F0-S017"}</x:v>
      </x:c>
      <x:c r="P2722" s="6" t="str">
        <x:v>Same floor. Other type=room spaces. &gt;=1 m wall run within 0.35 m. Door not required.</x:v>
      </x:c>
      <x:c r="Q2722" s="15" t="n">
        <x:v>5</x:v>
      </x:c>
      <x:c r="R2722" s="6" t="str">
        <x:v>rooms</x:v>
      </x:c>
      <x:c r="S2722" s="16" t="n">
        <x:v>0</x:v>
      </x:c>
      <x:c r="T2722" s="15" t="n">
        <x:v>0</x:v>
      </x:c>
      <x:c r="U2722" s="6" t="str">
        <x:v>Answer: 5</x:v>
      </x:c>
      <x:c r="V2722" s="6" t="str">
        <x:v>wall adjacency from polygons</x:v>
      </x:c>
      <x:c r="W2722" s="6" t="str">
        <x:v>Missing boundary-adjacency tool. Door connectivity does not answer this question.</x:v>
      </x:c>
      <x:c r="X2722" s="6" t="str">
        <x:v>data/dev/osm-way27326387/questions.jsonl</x:v>
      </x:c>
      <x:c r="Y2722" s="14" t="n">
        <x:v>7</x:v>
      </x:c>
      <x:c r="Z2722" s="6" t="str">
        <x:v>https://github.com/hagenhaeussler/Industrial-Agents-Hackathon-2026/blob/f41616590b69f3ea0c1cbfb41d6c35edd9ce53df/data/dev/osm-way27326387/questions.jsonl#L7</x:v>
      </x:c>
      <x:c r="AA2722" s="6" t="str">
        <x:v>osm_indoor</x:v>
      </x:c>
      <x:c r="AB2722" s="6" t="str">
        <x:v>ODbL-1.0</x:v>
      </x:c>
    </x:row>
    <x:row r="2723" ht="82" customHeight="1">
      <x:c r="A2723" s="14" t="n">
        <x:v>2718</x:v>
      </x:c>
      <x:c r="B2723" s="6" t="str">
        <x:v>shared_walls_count</x:v>
      </x:c>
      <x:c r="C2723" s="6" t="str">
        <x:v>We're soundproofing Generic room 01.06.018 (Floor 1). How many other rooms on that floor share a wall with it? Count every room whose wall runs along it for at least 1 m, with or without a door between them; corridors, stairwells and lifts don't count. Finish with a line 'Answer: &lt;number&gt;'.</x:v>
      </x:c>
      <x:c r="D2723" s="6" t="str">
        <x:v>4 rooms</x:v>
      </x:c>
      <x:c r="E2723" s="6" t="str">
        <x:v>Reference supplied</x:v>
      </x:c>
      <x:c r="F2723" s="6" t="str">
        <x:v>dev</x:v>
      </x:c>
      <x:c r="G2723" s="6" t="str">
        <x:v>osm-way27917482</x:v>
      </x:c>
      <x:c r="H2723" s="6" t="str">
        <x:v>osm-way27917482-H06</x:v>
      </x:c>
      <x:c r="I2723" s="6" t="str">
        <x:v>Spatial relationships</x:v>
      </x:c>
      <x:c r="J2723" s="6" t="str">
        <x:v>Benchmark</x:v>
      </x:c>
      <x:c r="K2723" s="6" t="str">
        <x:v>Answer: &lt;one exact integer&gt;</x:v>
      </x:c>
      <x:c r="L2723" s="6" t="str">
        <x:v>T02, T08, T14</x:v>
      </x:c>
      <x:c r="M2723" s="6" t="str">
        <x:v>Count other rooms sharing at least 1 m of wall with a room.</x:v>
      </x:c>
      <x:c r="N2723" s="6" t="str">
        <x:v>{"type":"number","value":4,"unit":"rooms","relative_tolerance":0,"absolute_tolerance":0}</x:v>
      </x:c>
      <x:c r="O2723" s="6" t="str">
        <x:v>{"start":"osm-way27917482-F1-S153"}</x:v>
      </x:c>
      <x:c r="P2723" s="6" t="str">
        <x:v>Same floor. Other type=room spaces. &gt;=1 m wall run within 0.35 m. Door not required.</x:v>
      </x:c>
      <x:c r="Q2723" s="15" t="n">
        <x:v>4</x:v>
      </x:c>
      <x:c r="R2723" s="6" t="str">
        <x:v>rooms</x:v>
      </x:c>
      <x:c r="S2723" s="16" t="n">
        <x:v>0</x:v>
      </x:c>
      <x:c r="T2723" s="15" t="n">
        <x:v>0</x:v>
      </x:c>
      <x:c r="U2723" s="6" t="str">
        <x:v>Answer: 4</x:v>
      </x:c>
      <x:c r="V2723" s="6" t="str">
        <x:v>wall adjacency from polygons</x:v>
      </x:c>
      <x:c r="W2723" s="6" t="str">
        <x:v>Missing boundary-adjacency tool. Door connectivity does not answer this question.</x:v>
      </x:c>
      <x:c r="X2723" s="6" t="str">
        <x:v>data/dev/osm-way27917482/questions.jsonl</x:v>
      </x:c>
      <x:c r="Y2723" s="14" t="n">
        <x:v>6</x:v>
      </x:c>
      <x:c r="Z2723" s="6" t="str">
        <x:v>https://github.com/hagenhaeussler/Industrial-Agents-Hackathon-2026/blob/f41616590b69f3ea0c1cbfb41d6c35edd9ce53df/data/dev/osm-way27917482/questions.jsonl#L6</x:v>
      </x:c>
      <x:c r="AA2723" s="6" t="str">
        <x:v>osm_indoor</x:v>
      </x:c>
      <x:c r="AB2723" s="6" t="str">
        <x:v>ODbL-1.0</x:v>
      </x:c>
    </x:row>
    <x:row r="2724" ht="82" customHeight="1">
      <x:c r="A2724" s="14" t="n">
        <x:v>2719</x:v>
      </x:c>
      <x:c r="B2724" s="6" t="str">
        <x:v>shared_walls_count</x:v>
      </x:c>
      <x:c r="C2724" s="6" t="str">
        <x:v>We're soundproofing Assembly zone H-A2 (Ground floor). How many other rooms on that floor share a wall with it? Count every room whose wall runs along it for at least 1 m, with or without a door between them; corridors, stairwells and lifts don't count. Finish with a line 'Answer: &lt;number&gt;'.</x:v>
      </x:c>
      <x:c r="D2724" s="6" t="str">
        <x:v>7 rooms</x:v>
      </x:c>
      <x:c r="E2724" s="6" t="str">
        <x:v>Reference supplied</x:v>
      </x:c>
      <x:c r="F2724" s="6" t="str">
        <x:v>dev</x:v>
      </x:c>
      <x:c r="G2724" s="6" t="str">
        <x:v>proc-factory-dev-003</x:v>
      </x:c>
      <x:c r="H2724" s="6" t="str">
        <x:v>proc-factory-dev-003-H05</x:v>
      </x:c>
      <x:c r="I2724" s="6" t="str">
        <x:v>Spatial relationships</x:v>
      </x:c>
      <x:c r="J2724" s="6" t="str">
        <x:v>Benchmark</x:v>
      </x:c>
      <x:c r="K2724" s="6" t="str">
        <x:v>Answer: &lt;one exact integer&gt;</x:v>
      </x:c>
      <x:c r="L2724" s="6" t="str">
        <x:v>T02, T08, T14</x:v>
      </x:c>
      <x:c r="M2724" s="6" t="str">
        <x:v>Count other rooms sharing at least 1 m of wall with a room.</x:v>
      </x:c>
      <x:c r="N2724" s="6" t="str">
        <x:v>{"type":"number","value":7,"unit":"rooms","relative_tolerance":0,"absolute_tolerance":0}</x:v>
      </x:c>
      <x:c r="O2724" s="6" t="str">
        <x:v>{"start":"proc-factory-dev-003-F0-S002"}</x:v>
      </x:c>
      <x:c r="P2724" s="6" t="str">
        <x:v>Same floor. Other type=room spaces. &gt;=1 m wall run within 0.35 m. Door not required.</x:v>
      </x:c>
      <x:c r="Q2724" s="15" t="n">
        <x:v>7</x:v>
      </x:c>
      <x:c r="R2724" s="6" t="str">
        <x:v>rooms</x:v>
      </x:c>
      <x:c r="S2724" s="16" t="n">
        <x:v>0</x:v>
      </x:c>
      <x:c r="T2724" s="15" t="n">
        <x:v>0</x:v>
      </x:c>
      <x:c r="U2724" s="6" t="str">
        <x:v>Answer: 7</x:v>
      </x:c>
      <x:c r="V2724" s="6" t="str">
        <x:v>wall adjacency from polygons</x:v>
      </x:c>
      <x:c r="W2724" s="6" t="str">
        <x:v>Missing boundary-adjacency tool. Door connectivity does not answer this question.</x:v>
      </x:c>
      <x:c r="X2724" s="6" t="str">
        <x:v>data/dev/proc-factory-dev-003/questions.jsonl</x:v>
      </x:c>
      <x:c r="Y2724" s="14" t="n">
        <x:v>5</x:v>
      </x:c>
      <x:c r="Z2724" s="6" t="str">
        <x:v>https://github.com/hagenhaeussler/Industrial-Agents-Hackathon-2026/blob/f41616590b69f3ea0c1cbfb41d6c35edd9ce53df/data/dev/proc-factory-dev-003/questions.jsonl#L5</x:v>
      </x:c>
      <x:c r="AA2724" s="6" t="str">
        <x:v>procedural</x:v>
      </x:c>
      <x:c r="AB2724" s="6" t="str">
        <x:v>CC0-1.0</x:v>
      </x:c>
    </x:row>
    <x:row r="2725" ht="82" customHeight="1">
      <x:c r="A2725" s="14" t="n">
        <x:v>2720</x:v>
      </x:c>
      <x:c r="B2725" s="6" t="str">
        <x:v>shared_walls_count</x:v>
      </x:c>
      <x:c r="C2725" s="6" t="str">
        <x:v>We're soundproofing Assembly zone H-A1 (Ground floor). How many other rooms on that floor share a wall with it? Count every room whose wall runs along it for at least 1 m, with or without a door between them; corridors, stairwells and lifts don't count. Finish with a line 'Answer: &lt;number&gt;'.</x:v>
      </x:c>
      <x:c r="D2725" s="6" t="str">
        <x:v>4 rooms</x:v>
      </x:c>
      <x:c r="E2725" s="6" t="str">
        <x:v>Reference supplied</x:v>
      </x:c>
      <x:c r="F2725" s="6" t="str">
        <x:v>dev</x:v>
      </x:c>
      <x:c r="G2725" s="6" t="str">
        <x:v>proc-factory-dev-004</x:v>
      </x:c>
      <x:c r="H2725" s="6" t="str">
        <x:v>proc-factory-dev-004-H03</x:v>
      </x:c>
      <x:c r="I2725" s="6" t="str">
        <x:v>Spatial relationships</x:v>
      </x:c>
      <x:c r="J2725" s="6" t="str">
        <x:v>Benchmark</x:v>
      </x:c>
      <x:c r="K2725" s="6" t="str">
        <x:v>Answer: &lt;one exact integer&gt;</x:v>
      </x:c>
      <x:c r="L2725" s="6" t="str">
        <x:v>T02, T08, T14</x:v>
      </x:c>
      <x:c r="M2725" s="6" t="str">
        <x:v>Count other rooms sharing at least 1 m of wall with a room.</x:v>
      </x:c>
      <x:c r="N2725" s="6" t="str">
        <x:v>{"type":"number","value":4,"unit":"rooms","relative_tolerance":0,"absolute_tolerance":0}</x:v>
      </x:c>
      <x:c r="O2725" s="6" t="str">
        <x:v>{"start":"proc-factory-dev-004-F0-S001"}</x:v>
      </x:c>
      <x:c r="P2725" s="6" t="str">
        <x:v>Same floor. Other type=room spaces. &gt;=1 m wall run within 0.35 m. Door not required.</x:v>
      </x:c>
      <x:c r="Q2725" s="15" t="n">
        <x:v>4</x:v>
      </x:c>
      <x:c r="R2725" s="6" t="str">
        <x:v>rooms</x:v>
      </x:c>
      <x:c r="S2725" s="16" t="n">
        <x:v>0</x:v>
      </x:c>
      <x:c r="T2725" s="15" t="n">
        <x:v>0</x:v>
      </x:c>
      <x:c r="U2725" s="6" t="str">
        <x:v>Answer: 4</x:v>
      </x:c>
      <x:c r="V2725" s="6" t="str">
        <x:v>wall adjacency from polygons</x:v>
      </x:c>
      <x:c r="W2725" s="6" t="str">
        <x:v>Missing boundary-adjacency tool. Door connectivity does not answer this question.</x:v>
      </x:c>
      <x:c r="X2725" s="6" t="str">
        <x:v>data/dev/proc-factory-dev-004/questions.jsonl</x:v>
      </x:c>
      <x:c r="Y2725" s="14" t="n">
        <x:v>3</x:v>
      </x:c>
      <x:c r="Z2725" s="6" t="str">
        <x:v>https://github.com/hagenhaeussler/Industrial-Agents-Hackathon-2026/blob/f41616590b69f3ea0c1cbfb41d6c35edd9ce53df/data/dev/proc-factory-dev-004/questions.jsonl#L3</x:v>
      </x:c>
      <x:c r="AA2725" s="6" t="str">
        <x:v>procedural</x:v>
      </x:c>
      <x:c r="AB2725" s="6" t="str">
        <x:v>CC0-1.0</x:v>
      </x:c>
    </x:row>
    <x:row r="2726" ht="82" customHeight="1">
      <x:c r="A2726" s="14" t="n">
        <x:v>2721</x:v>
      </x:c>
      <x:c r="B2726" s="6" t="str">
        <x:v>shared_walls_count</x:v>
      </x:c>
      <x:c r="C2726" s="6" t="str">
        <x:v>We're soundproofing Production zone H-A3 (Ground floor). How many other rooms on that floor share a wall with it? Count every room whose wall runs along it for at least 1 m, with or without a door between them; corridors, stairwells and lifts don't count. Finish with a line 'Answer: &lt;number&gt;'.</x:v>
      </x:c>
      <x:c r="D2726" s="6" t="str">
        <x:v>7 rooms</x:v>
      </x:c>
      <x:c r="E2726" s="6" t="str">
        <x:v>Reference supplied</x:v>
      </x:c>
      <x:c r="F2726" s="6" t="str">
        <x:v>dev</x:v>
      </x:c>
      <x:c r="G2726" s="6" t="str">
        <x:v>proc-factory-dev-005</x:v>
      </x:c>
      <x:c r="H2726" s="6" t="str">
        <x:v>proc-factory-dev-005-H05</x:v>
      </x:c>
      <x:c r="I2726" s="6" t="str">
        <x:v>Spatial relationships</x:v>
      </x:c>
      <x:c r="J2726" s="6" t="str">
        <x:v>Benchmark</x:v>
      </x:c>
      <x:c r="K2726" s="6" t="str">
        <x:v>Answer: &lt;one exact integer&gt;</x:v>
      </x:c>
      <x:c r="L2726" s="6" t="str">
        <x:v>T02, T08, T14</x:v>
      </x:c>
      <x:c r="M2726" s="6" t="str">
        <x:v>Count other rooms sharing at least 1 m of wall with a room.</x:v>
      </x:c>
      <x:c r="N2726" s="6" t="str">
        <x:v>{"type":"number","value":7,"unit":"rooms","relative_tolerance":0,"absolute_tolerance":0}</x:v>
      </x:c>
      <x:c r="O2726" s="6" t="str">
        <x:v>{"start":"proc-factory-dev-005-F0-S003"}</x:v>
      </x:c>
      <x:c r="P2726" s="6" t="str">
        <x:v>Same floor. Other type=room spaces. &gt;=1 m wall run within 0.35 m. Door not required.</x:v>
      </x:c>
      <x:c r="Q2726" s="15" t="n">
        <x:v>7</x:v>
      </x:c>
      <x:c r="R2726" s="6" t="str">
        <x:v>rooms</x:v>
      </x:c>
      <x:c r="S2726" s="16" t="n">
        <x:v>0</x:v>
      </x:c>
      <x:c r="T2726" s="15" t="n">
        <x:v>0</x:v>
      </x:c>
      <x:c r="U2726" s="6" t="str">
        <x:v>Answer: 7</x:v>
      </x:c>
      <x:c r="V2726" s="6" t="str">
        <x:v>wall adjacency from polygons</x:v>
      </x:c>
      <x:c r="W2726" s="6" t="str">
        <x:v>Missing boundary-adjacency tool. Door connectivity does not answer this question.</x:v>
      </x:c>
      <x:c r="X2726" s="6" t="str">
        <x:v>data/dev/proc-factory-dev-005/questions.jsonl</x:v>
      </x:c>
      <x:c r="Y2726" s="14" t="n">
        <x:v>5</x:v>
      </x:c>
      <x:c r="Z2726" s="6" t="str">
        <x:v>https://github.com/hagenhaeussler/Industrial-Agents-Hackathon-2026/blob/f41616590b69f3ea0c1cbfb41d6c35edd9ce53df/data/dev/proc-factory-dev-005/questions.jsonl#L5</x:v>
      </x:c>
      <x:c r="AA2726" s="6" t="str">
        <x:v>procedural</x:v>
      </x:c>
      <x:c r="AB2726" s="6" t="str">
        <x:v>CC0-1.0</x:v>
      </x:c>
    </x:row>
    <x:row r="2727" ht="82" customHeight="1">
      <x:c r="A2727" s="14" t="n">
        <x:v>2722</x:v>
      </x:c>
      <x:c r="B2727" s="6" t="str">
        <x:v>shared_walls_count</x:v>
      </x:c>
      <x:c r="C2727" s="6" t="str">
        <x:v>We're soundproofing Warehouse zone H-A2 (Ground floor). How many other rooms on that floor share a wall with it? Count every room whose wall runs along it for at least 1 m, with or without a door between them; corridors, stairwells and lifts don't count. Finish with a line 'Answer: &lt;number&gt;'.</x:v>
      </x:c>
      <x:c r="D2727" s="6" t="str">
        <x:v>6 rooms</x:v>
      </x:c>
      <x:c r="E2727" s="6" t="str">
        <x:v>Reference supplied</x:v>
      </x:c>
      <x:c r="F2727" s="6" t="str">
        <x:v>dev</x:v>
      </x:c>
      <x:c r="G2727" s="6" t="str">
        <x:v>proc-factory-dev-007</x:v>
      </x:c>
      <x:c r="H2727" s="6" t="str">
        <x:v>proc-factory-dev-007-H05</x:v>
      </x:c>
      <x:c r="I2727" s="6" t="str">
        <x:v>Spatial relationships</x:v>
      </x:c>
      <x:c r="J2727" s="6" t="str">
        <x:v>Benchmark</x:v>
      </x:c>
      <x:c r="K2727" s="6" t="str">
        <x:v>Answer: &lt;one exact integer&gt;</x:v>
      </x:c>
      <x:c r="L2727" s="6" t="str">
        <x:v>T02, T08, T14</x:v>
      </x:c>
      <x:c r="M2727" s="6" t="str">
        <x:v>Count other rooms sharing at least 1 m of wall with a room.</x:v>
      </x:c>
      <x:c r="N2727" s="6" t="str">
        <x:v>{"type":"number","value":6,"unit":"rooms","relative_tolerance":0,"absolute_tolerance":0}</x:v>
      </x:c>
      <x:c r="O2727" s="6" t="str">
        <x:v>{"start":"proc-factory-dev-007-F0-S002"}</x:v>
      </x:c>
      <x:c r="P2727" s="6" t="str">
        <x:v>Same floor. Other type=room spaces. &gt;=1 m wall run within 0.35 m. Door not required.</x:v>
      </x:c>
      <x:c r="Q2727" s="15" t="n">
        <x:v>6</x:v>
      </x:c>
      <x:c r="R2727" s="6" t="str">
        <x:v>rooms</x:v>
      </x:c>
      <x:c r="S2727" s="16" t="n">
        <x:v>0</x:v>
      </x:c>
      <x:c r="T2727" s="15" t="n">
        <x:v>0</x:v>
      </x:c>
      <x:c r="U2727" s="6" t="str">
        <x:v>Answer: 6</x:v>
      </x:c>
      <x:c r="V2727" s="6" t="str">
        <x:v>wall adjacency from polygons</x:v>
      </x:c>
      <x:c r="W2727" s="6" t="str">
        <x:v>Missing boundary-adjacency tool. Door connectivity does not answer this question.</x:v>
      </x:c>
      <x:c r="X2727" s="6" t="str">
        <x:v>data/dev/proc-factory-dev-007/questions.jsonl</x:v>
      </x:c>
      <x:c r="Y2727" s="14" t="n">
        <x:v>5</x:v>
      </x:c>
      <x:c r="Z2727" s="6" t="str">
        <x:v>https://github.com/hagenhaeussler/Industrial-Agents-Hackathon-2026/blob/f41616590b69f3ea0c1cbfb41d6c35edd9ce53df/data/dev/proc-factory-dev-007/questions.jsonl#L5</x:v>
      </x:c>
      <x:c r="AA2727" s="6" t="str">
        <x:v>procedural</x:v>
      </x:c>
      <x:c r="AB2727" s="6" t="str">
        <x:v>CC0-1.0</x:v>
      </x:c>
    </x:row>
    <x:row r="2728" ht="82" customHeight="1">
      <x:c r="A2728" s="14" t="n">
        <x:v>2723</x:v>
      </x:c>
      <x:c r="B2728" s="6" t="str">
        <x:v>shared_walls_count</x:v>
      </x:c>
      <x:c r="C2728" s="6" t="str">
        <x:v>We're soundproofing Meeting room 0.31 (Ground floor). How many other rooms on that floor share a wall with it? Count every room whose wall runs along it for at least 1 m, with or without a door between them; corridors, stairwells and lifts don't count. Finish with a line 'Answer: &lt;number&gt;'.</x:v>
      </x:c>
      <x:c r="D2728" s="6" t="str">
        <x:v>4 rooms</x:v>
      </x:c>
      <x:c r="E2728" s="6" t="str">
        <x:v>Reference supplied</x:v>
      </x:c>
      <x:c r="F2728" s="6" t="str">
        <x:v>dev</x:v>
      </x:c>
      <x:c r="G2728" s="6" t="str">
        <x:v>proc-factory-dev-008</x:v>
      </x:c>
      <x:c r="H2728" s="6" t="str">
        <x:v>proc-factory-dev-008-H05</x:v>
      </x:c>
      <x:c r="I2728" s="6" t="str">
        <x:v>Spatial relationships</x:v>
      </x:c>
      <x:c r="J2728" s="6" t="str">
        <x:v>Benchmark</x:v>
      </x:c>
      <x:c r="K2728" s="6" t="str">
        <x:v>Answer: &lt;one exact integer&gt;</x:v>
      </x:c>
      <x:c r="L2728" s="6" t="str">
        <x:v>T02, T08, T14</x:v>
      </x:c>
      <x:c r="M2728" s="6" t="str">
        <x:v>Count other rooms sharing at least 1 m of wall with a room.</x:v>
      </x:c>
      <x:c r="N2728" s="6" t="str">
        <x:v>{"type":"number","value":4,"unit":"rooms","relative_tolerance":0,"absolute_tolerance":0}</x:v>
      </x:c>
      <x:c r="O2728" s="6" t="str">
        <x:v>{"start":"proc-factory-dev-008-F0-S031"}</x:v>
      </x:c>
      <x:c r="P2728" s="6" t="str">
        <x:v>Same floor. Other type=room spaces. &gt;=1 m wall run within 0.35 m. Door not required.</x:v>
      </x:c>
      <x:c r="Q2728" s="15" t="n">
        <x:v>4</x:v>
      </x:c>
      <x:c r="R2728" s="6" t="str">
        <x:v>rooms</x:v>
      </x:c>
      <x:c r="S2728" s="16" t="n">
        <x:v>0</x:v>
      </x:c>
      <x:c r="T2728" s="15" t="n">
        <x:v>0</x:v>
      </x:c>
      <x:c r="U2728" s="6" t="str">
        <x:v>Answer: 4</x:v>
      </x:c>
      <x:c r="V2728" s="6" t="str">
        <x:v>wall adjacency from polygons</x:v>
      </x:c>
      <x:c r="W2728" s="6" t="str">
        <x:v>Missing boundary-adjacency tool. Door connectivity does not answer this question.</x:v>
      </x:c>
      <x:c r="X2728" s="6" t="str">
        <x:v>data/dev/proc-factory-dev-008/questions.jsonl</x:v>
      </x:c>
      <x:c r="Y2728" s="14" t="n">
        <x:v>5</x:v>
      </x:c>
      <x:c r="Z2728" s="6" t="str">
        <x:v>https://github.com/hagenhaeussler/Industrial-Agents-Hackathon-2026/blob/f41616590b69f3ea0c1cbfb41d6c35edd9ce53df/data/dev/proc-factory-dev-008/questions.jsonl#L5</x:v>
      </x:c>
      <x:c r="AA2728" s="6" t="str">
        <x:v>procedural</x:v>
      </x:c>
      <x:c r="AB2728" s="6" t="str">
        <x:v>CC0-1.0</x:v>
      </x:c>
    </x:row>
    <x:row r="2729" ht="82" customHeight="1">
      <x:c r="A2729" s="14" t="n">
        <x:v>2724</x:v>
      </x:c>
      <x:c r="B2729" s="6" t="str">
        <x:v>shared_walls_count</x:v>
      </x:c>
      <x:c r="C2729" s="6" t="str">
        <x:v>We're soundproofing Production zone H-A1 (Ground floor). How many other rooms on that floor share a wall with it? Count every room whose wall runs along it for at least 1 m, with or without a door between them; corridors, stairwells and lifts don't count. Finish with a line 'Answer: &lt;number&gt;'.</x:v>
      </x:c>
      <x:c r="D2729" s="6" t="str">
        <x:v>5 rooms</x:v>
      </x:c>
      <x:c r="E2729" s="6" t="str">
        <x:v>Reference supplied</x:v>
      </x:c>
      <x:c r="F2729" s="6" t="str">
        <x:v>dev</x:v>
      </x:c>
      <x:c r="G2729" s="6" t="str">
        <x:v>proc-factory-dev-010</x:v>
      </x:c>
      <x:c r="H2729" s="6" t="str">
        <x:v>proc-factory-dev-010-H05</x:v>
      </x:c>
      <x:c r="I2729" s="6" t="str">
        <x:v>Spatial relationships</x:v>
      </x:c>
      <x:c r="J2729" s="6" t="str">
        <x:v>Benchmark</x:v>
      </x:c>
      <x:c r="K2729" s="6" t="str">
        <x:v>Answer: &lt;one exact integer&gt;</x:v>
      </x:c>
      <x:c r="L2729" s="6" t="str">
        <x:v>T02, T08, T14</x:v>
      </x:c>
      <x:c r="M2729" s="6" t="str">
        <x:v>Count other rooms sharing at least 1 m of wall with a room.</x:v>
      </x:c>
      <x:c r="N2729" s="6" t="str">
        <x:v>{"type":"number","value":5,"unit":"rooms","relative_tolerance":0,"absolute_tolerance":0}</x:v>
      </x:c>
      <x:c r="O2729" s="6" t="str">
        <x:v>{"start":"proc-factory-dev-010-F0-S001"}</x:v>
      </x:c>
      <x:c r="P2729" s="6" t="str">
        <x:v>Same floor. Other type=room spaces. &gt;=1 m wall run within 0.35 m. Door not required.</x:v>
      </x:c>
      <x:c r="Q2729" s="15" t="n">
        <x:v>5</x:v>
      </x:c>
      <x:c r="R2729" s="6" t="str">
        <x:v>rooms</x:v>
      </x:c>
      <x:c r="S2729" s="16" t="n">
        <x:v>0</x:v>
      </x:c>
      <x:c r="T2729" s="15" t="n">
        <x:v>0</x:v>
      </x:c>
      <x:c r="U2729" s="6" t="str">
        <x:v>Answer: 5</x:v>
      </x:c>
      <x:c r="V2729" s="6" t="str">
        <x:v>wall adjacency from polygons</x:v>
      </x:c>
      <x:c r="W2729" s="6" t="str">
        <x:v>Missing boundary-adjacency tool. Door connectivity does not answer this question.</x:v>
      </x:c>
      <x:c r="X2729" s="6" t="str">
        <x:v>data/dev/proc-factory-dev-010/questions.jsonl</x:v>
      </x:c>
      <x:c r="Y2729" s="14" t="n">
        <x:v>5</x:v>
      </x:c>
      <x:c r="Z2729" s="6" t="str">
        <x:v>https://github.com/hagenhaeussler/Industrial-Agents-Hackathon-2026/blob/f41616590b69f3ea0c1cbfb41d6c35edd9ce53df/data/dev/proc-factory-dev-010/questions.jsonl#L5</x:v>
      </x:c>
      <x:c r="AA2729" s="6" t="str">
        <x:v>procedural</x:v>
      </x:c>
      <x:c r="AB2729" s="6" t="str">
        <x:v>CC0-1.0</x:v>
      </x:c>
    </x:row>
    <x:row r="2730" ht="82" customHeight="1">
      <x:c r="A2730" s="14" t="n">
        <x:v>2725</x:v>
      </x:c>
      <x:c r="B2730" s="6" t="str">
        <x:v>shared_walls_count</x:v>
      </x:c>
      <x:c r="C2730" s="6" t="str">
        <x:v>We're soundproofing Kitchen 0.28 (Ground floor). How many other rooms on that floor share a wall with it? Count every room whose wall runs along it for at least 1 m, with or without a door between them; corridors, stairwells and lifts don't count. Finish with a line 'Answer: &lt;number&gt;'.</x:v>
      </x:c>
      <x:c r="D2730" s="6" t="str">
        <x:v>4 rooms</x:v>
      </x:c>
      <x:c r="E2730" s="6" t="str">
        <x:v>Reference supplied</x:v>
      </x:c>
      <x:c r="F2730" s="6" t="str">
        <x:v>dev</x:v>
      </x:c>
      <x:c r="G2730" s="6" t="str">
        <x:v>proc-factory-dev-011</x:v>
      </x:c>
      <x:c r="H2730" s="6" t="str">
        <x:v>proc-factory-dev-011-H05</x:v>
      </x:c>
      <x:c r="I2730" s="6" t="str">
        <x:v>Spatial relationships</x:v>
      </x:c>
      <x:c r="J2730" s="6" t="str">
        <x:v>Benchmark</x:v>
      </x:c>
      <x:c r="K2730" s="6" t="str">
        <x:v>Answer: &lt;one exact integer&gt;</x:v>
      </x:c>
      <x:c r="L2730" s="6" t="str">
        <x:v>T02, T08, T14</x:v>
      </x:c>
      <x:c r="M2730" s="6" t="str">
        <x:v>Count other rooms sharing at least 1 m of wall with a room.</x:v>
      </x:c>
      <x:c r="N2730" s="6" t="str">
        <x:v>{"type":"number","value":4,"unit":"rooms","relative_tolerance":0,"absolute_tolerance":0}</x:v>
      </x:c>
      <x:c r="O2730" s="6" t="str">
        <x:v>{"start":"proc-factory-dev-011-F0-S028"}</x:v>
      </x:c>
      <x:c r="P2730" s="6" t="str">
        <x:v>Same floor. Other type=room spaces. &gt;=1 m wall run within 0.35 m. Door not required.</x:v>
      </x:c>
      <x:c r="Q2730" s="15" t="n">
        <x:v>4</x:v>
      </x:c>
      <x:c r="R2730" s="6" t="str">
        <x:v>rooms</x:v>
      </x:c>
      <x:c r="S2730" s="16" t="n">
        <x:v>0</x:v>
      </x:c>
      <x:c r="T2730" s="15" t="n">
        <x:v>0</x:v>
      </x:c>
      <x:c r="U2730" s="6" t="str">
        <x:v>Answer: 4</x:v>
      </x:c>
      <x:c r="V2730" s="6" t="str">
        <x:v>wall adjacency from polygons</x:v>
      </x:c>
      <x:c r="W2730" s="6" t="str">
        <x:v>Missing boundary-adjacency tool. Door connectivity does not answer this question.</x:v>
      </x:c>
      <x:c r="X2730" s="6" t="str">
        <x:v>data/dev/proc-factory-dev-011/questions.jsonl</x:v>
      </x:c>
      <x:c r="Y2730" s="14" t="n">
        <x:v>5</x:v>
      </x:c>
      <x:c r="Z2730" s="6" t="str">
        <x:v>https://github.com/hagenhaeussler/Industrial-Agents-Hackathon-2026/blob/f41616590b69f3ea0c1cbfb41d6c35edd9ce53df/data/dev/proc-factory-dev-011/questions.jsonl#L5</x:v>
      </x:c>
      <x:c r="AA2730" s="6" t="str">
        <x:v>procedural</x:v>
      </x:c>
      <x:c r="AB2730" s="6" t="str">
        <x:v>CC0-1.0</x:v>
      </x:c>
    </x:row>
    <x:row r="2731" ht="82" customHeight="1">
      <x:c r="A2731" s="14" t="n">
        <x:v>2726</x:v>
      </x:c>
      <x:c r="B2731" s="6" t="str">
        <x:v>shared_walls_count</x:v>
      </x:c>
      <x:c r="C2731" s="6" t="str">
        <x:v>We're soundproofing Office 0.34 (Ground floor). How many other rooms on that floor share a wall with it? Count every room whose wall runs along it for at least 1 m, with or without a door between them; corridors, stairwells and lifts don't count. Finish with a line 'Answer: &lt;number&gt;'.</x:v>
      </x:c>
      <x:c r="D2731" s="6" t="str">
        <x:v>4 rooms</x:v>
      </x:c>
      <x:c r="E2731" s="6" t="str">
        <x:v>Reference supplied</x:v>
      </x:c>
      <x:c r="F2731" s="6" t="str">
        <x:v>dev</x:v>
      </x:c>
      <x:c r="G2731" s="6" t="str">
        <x:v>proc-factory-dev-012</x:v>
      </x:c>
      <x:c r="H2731" s="6" t="str">
        <x:v>proc-factory-dev-012-H05</x:v>
      </x:c>
      <x:c r="I2731" s="6" t="str">
        <x:v>Spatial relationships</x:v>
      </x:c>
      <x:c r="J2731" s="6" t="str">
        <x:v>Benchmark</x:v>
      </x:c>
      <x:c r="K2731" s="6" t="str">
        <x:v>Answer: &lt;one exact integer&gt;</x:v>
      </x:c>
      <x:c r="L2731" s="6" t="str">
        <x:v>T02, T08, T14</x:v>
      </x:c>
      <x:c r="M2731" s="6" t="str">
        <x:v>Count other rooms sharing at least 1 m of wall with a room.</x:v>
      </x:c>
      <x:c r="N2731" s="6" t="str">
        <x:v>{"type":"number","value":4,"unit":"rooms","relative_tolerance":0,"absolute_tolerance":0}</x:v>
      </x:c>
      <x:c r="O2731" s="6" t="str">
        <x:v>{"start":"proc-factory-dev-012-F0-S034"}</x:v>
      </x:c>
      <x:c r="P2731" s="6" t="str">
        <x:v>Same floor. Other type=room spaces. &gt;=1 m wall run within 0.35 m. Door not required.</x:v>
      </x:c>
      <x:c r="Q2731" s="15" t="n">
        <x:v>4</x:v>
      </x:c>
      <x:c r="R2731" s="6" t="str">
        <x:v>rooms</x:v>
      </x:c>
      <x:c r="S2731" s="16" t="n">
        <x:v>0</x:v>
      </x:c>
      <x:c r="T2731" s="15" t="n">
        <x:v>0</x:v>
      </x:c>
      <x:c r="U2731" s="6" t="str">
        <x:v>Answer: 4</x:v>
      </x:c>
      <x:c r="V2731" s="6" t="str">
        <x:v>wall adjacency from polygons</x:v>
      </x:c>
      <x:c r="W2731" s="6" t="str">
        <x:v>Missing boundary-adjacency tool. Door connectivity does not answer this question.</x:v>
      </x:c>
      <x:c r="X2731" s="6" t="str">
        <x:v>data/dev/proc-factory-dev-012/questions.jsonl</x:v>
      </x:c>
      <x:c r="Y2731" s="14" t="n">
        <x:v>5</x:v>
      </x:c>
      <x:c r="Z2731" s="6" t="str">
        <x:v>https://github.com/hagenhaeussler/Industrial-Agents-Hackathon-2026/blob/f41616590b69f3ea0c1cbfb41d6c35edd9ce53df/data/dev/proc-factory-dev-012/questions.jsonl#L5</x:v>
      </x:c>
      <x:c r="AA2731" s="6" t="str">
        <x:v>procedural</x:v>
      </x:c>
      <x:c r="AB2731" s="6" t="str">
        <x:v>CC0-1.0</x:v>
      </x:c>
    </x:row>
    <x:row r="2732" ht="82" customHeight="1">
      <x:c r="A2732" s="14" t="n">
        <x:v>2727</x:v>
      </x:c>
      <x:c r="B2732" s="6" t="str">
        <x:v>shared_walls_count</x:v>
      </x:c>
      <x:c r="C2732" s="6" t="str">
        <x:v>We're soundproofing Bathroom 0.05 (Ground floor). How many other rooms on that floor share a wall with it? Count every room whose wall runs along it for at least 1 m, with or without a door between them; corridors, stairwells and lifts don't count. Finish with a line 'Answer: &lt;number&gt;'.</x:v>
      </x:c>
      <x:c r="D2732" s="6" t="str">
        <x:v>3 rooms</x:v>
      </x:c>
      <x:c r="E2732" s="6" t="str">
        <x:v>Reference supplied</x:v>
      </x:c>
      <x:c r="F2732" s="6" t="str">
        <x:v>dev</x:v>
      </x:c>
      <x:c r="G2732" s="6" t="str">
        <x:v>resplan-14509</x:v>
      </x:c>
      <x:c r="H2732" s="6" t="str">
        <x:v>resplan-14509-H02</x:v>
      </x:c>
      <x:c r="I2732" s="6" t="str">
        <x:v>Spatial relationships</x:v>
      </x:c>
      <x:c r="J2732" s="6" t="str">
        <x:v>Benchmark</x:v>
      </x:c>
      <x:c r="K2732" s="6" t="str">
        <x:v>Answer: &lt;one exact integer&gt;</x:v>
      </x:c>
      <x:c r="L2732" s="6" t="str">
        <x:v>T02, T08, T14</x:v>
      </x:c>
      <x:c r="M2732" s="6" t="str">
        <x:v>Count other rooms sharing at least 1 m of wall with a room.</x:v>
      </x:c>
      <x:c r="N2732" s="6" t="str">
        <x:v>{"type":"number","value":3,"unit":"rooms","relative_tolerance":0,"absolute_tolerance":0}</x:v>
      </x:c>
      <x:c r="O2732" s="6" t="str">
        <x:v>{"start":"resplan-14509-F0-S005"}</x:v>
      </x:c>
      <x:c r="P2732" s="6" t="str">
        <x:v>Same floor. Other type=room spaces. &gt;=1 m wall run within 0.35 m. Door not required.</x:v>
      </x:c>
      <x:c r="Q2732" s="15" t="n">
        <x:v>3</x:v>
      </x:c>
      <x:c r="R2732" s="6" t="str">
        <x:v>rooms</x:v>
      </x:c>
      <x:c r="S2732" s="16" t="n">
        <x:v>0</x:v>
      </x:c>
      <x:c r="T2732" s="15" t="n">
        <x:v>0</x:v>
      </x:c>
      <x:c r="U2732" s="6" t="str">
        <x:v>Answer: 3</x:v>
      </x:c>
      <x:c r="V2732" s="6" t="str">
        <x:v>wall adjacency from polygons</x:v>
      </x:c>
      <x:c r="W2732" s="6" t="str">
        <x:v>Missing boundary-adjacency tool. Door connectivity does not answer this question.</x:v>
      </x:c>
      <x:c r="X2732" s="6" t="str">
        <x:v>data/dev/resplan-14509/questions.jsonl</x:v>
      </x:c>
      <x:c r="Y2732" s="14" t="n">
        <x:v>2</x:v>
      </x:c>
      <x:c r="Z2732" s="6" t="str">
        <x:v>https://github.com/hagenhaeussler/Industrial-Agents-Hackathon-2026/blob/f41616590b69f3ea0c1cbfb41d6c35edd9ce53df/data/dev/resplan-14509/questions.jsonl#L2</x:v>
      </x:c>
      <x:c r="AA2732" s="6" t="str">
        <x:v>resplan</x:v>
      </x:c>
      <x:c r="AB2732" s="6" t="str">
        <x:v>CC-BY-4.0</x:v>
      </x:c>
    </x:row>
    <x:row r="2733" ht="82" customHeight="1">
      <x:c r="A2733" s="14" t="n">
        <x:v>2728</x:v>
      </x:c>
      <x:c r="B2733" s="6" t="str">
        <x:v>shared_walls_count</x:v>
      </x:c>
      <x:c r="C2733" s="6" t="str">
        <x:v>We're soundproofing Bathroom 0.08 (Ground floor). How many other rooms on that floor share a wall with it? Count every room whose wall runs along it for at least 1 m, with or without a door between them; corridors, stairwells and lifts don't count. Finish with a line 'Answer: &lt;number&gt;'.</x:v>
      </x:c>
      <x:c r="D2733" s="6" t="str">
        <x:v>3 rooms</x:v>
      </x:c>
      <x:c r="E2733" s="6" t="str">
        <x:v>Reference supplied</x:v>
      </x:c>
      <x:c r="F2733" s="6" t="str">
        <x:v>dev</x:v>
      </x:c>
      <x:c r="G2733" s="6" t="str">
        <x:v>resplan-15179</x:v>
      </x:c>
      <x:c r="H2733" s="6" t="str">
        <x:v>resplan-15179-H03</x:v>
      </x:c>
      <x:c r="I2733" s="6" t="str">
        <x:v>Spatial relationships</x:v>
      </x:c>
      <x:c r="J2733" s="6" t="str">
        <x:v>Benchmark</x:v>
      </x:c>
      <x:c r="K2733" s="6" t="str">
        <x:v>Answer: &lt;one exact integer&gt;</x:v>
      </x:c>
      <x:c r="L2733" s="6" t="str">
        <x:v>T02, T08, T14</x:v>
      </x:c>
      <x:c r="M2733" s="6" t="str">
        <x:v>Count other rooms sharing at least 1 m of wall with a room.</x:v>
      </x:c>
      <x:c r="N2733" s="6" t="str">
        <x:v>{"type":"number","value":3,"unit":"rooms","relative_tolerance":0,"absolute_tolerance":0}</x:v>
      </x:c>
      <x:c r="O2733" s="6" t="str">
        <x:v>{"start":"resplan-15179-F0-S008"}</x:v>
      </x:c>
      <x:c r="P2733" s="6" t="str">
        <x:v>Same floor. Other type=room spaces. &gt;=1 m wall run within 0.35 m. Door not required.</x:v>
      </x:c>
      <x:c r="Q2733" s="15" t="n">
        <x:v>3</x:v>
      </x:c>
      <x:c r="R2733" s="6" t="str">
        <x:v>rooms</x:v>
      </x:c>
      <x:c r="S2733" s="16" t="n">
        <x:v>0</x:v>
      </x:c>
      <x:c r="T2733" s="15" t="n">
        <x:v>0</x:v>
      </x:c>
      <x:c r="U2733" s="6" t="str">
        <x:v>Answer: 3</x:v>
      </x:c>
      <x:c r="V2733" s="6" t="str">
        <x:v>wall adjacency from polygons</x:v>
      </x:c>
      <x:c r="W2733" s="6" t="str">
        <x:v>Missing boundary-adjacency tool. Door connectivity does not answer this question.</x:v>
      </x:c>
      <x:c r="X2733" s="6" t="str">
        <x:v>data/dev/resplan-15179/questions.jsonl</x:v>
      </x:c>
      <x:c r="Y2733" s="14" t="n">
        <x:v>3</x:v>
      </x:c>
      <x:c r="Z2733" s="6" t="str">
        <x:v>https://github.com/hagenhaeussler/Industrial-Agents-Hackathon-2026/blob/f41616590b69f3ea0c1cbfb41d6c35edd9ce53df/data/dev/resplan-15179/questions.jsonl#L3</x:v>
      </x:c>
      <x:c r="AA2733" s="6" t="str">
        <x:v>resplan</x:v>
      </x:c>
      <x:c r="AB2733" s="6" t="str">
        <x:v>CC-BY-4.0</x:v>
      </x:c>
    </x:row>
    <x:row r="2734" ht="82" customHeight="1">
      <x:c r="A2734" s="14" t="n">
        <x:v>2729</x:v>
      </x:c>
      <x:c r="B2734" s="6" t="str">
        <x:v>shared_walls_count</x:v>
      </x:c>
      <x:c r="C2734" s="6" t="str">
        <x:v>We're soundproofing Bathroom 0.04 (Ground floor). How many other rooms on that floor share a wall with it? Count every room whose wall runs along it for at least 1 m, with or without a door between them; corridors, stairwells and lifts don't count. Finish with a line 'Answer: &lt;number&gt;'.</x:v>
      </x:c>
      <x:c r="D2734" s="6" t="str">
        <x:v>3 rooms</x:v>
      </x:c>
      <x:c r="E2734" s="6" t="str">
        <x:v>Reference supplied</x:v>
      </x:c>
      <x:c r="F2734" s="6" t="str">
        <x:v>dev</x:v>
      </x:c>
      <x:c r="G2734" s="6" t="str">
        <x:v>resplan-16154</x:v>
      </x:c>
      <x:c r="H2734" s="6" t="str">
        <x:v>resplan-16154-H02</x:v>
      </x:c>
      <x:c r="I2734" s="6" t="str">
        <x:v>Spatial relationships</x:v>
      </x:c>
      <x:c r="J2734" s="6" t="str">
        <x:v>Benchmark</x:v>
      </x:c>
      <x:c r="K2734" s="6" t="str">
        <x:v>Answer: &lt;one exact integer&gt;</x:v>
      </x:c>
      <x:c r="L2734" s="6" t="str">
        <x:v>T02, T08, T14</x:v>
      </x:c>
      <x:c r="M2734" s="6" t="str">
        <x:v>Count other rooms sharing at least 1 m of wall with a room.</x:v>
      </x:c>
      <x:c r="N2734" s="6" t="str">
        <x:v>{"type":"number","value":3,"unit":"rooms","relative_tolerance":0,"absolute_tolerance":0}</x:v>
      </x:c>
      <x:c r="O2734" s="6" t="str">
        <x:v>{"start":"resplan-16154-F0-S004"}</x:v>
      </x:c>
      <x:c r="P2734" s="6" t="str">
        <x:v>Same floor. Other type=room spaces. &gt;=1 m wall run within 0.35 m. Door not required.</x:v>
      </x:c>
      <x:c r="Q2734" s="15" t="n">
        <x:v>3</x:v>
      </x:c>
      <x:c r="R2734" s="6" t="str">
        <x:v>rooms</x:v>
      </x:c>
      <x:c r="S2734" s="16" t="n">
        <x:v>0</x:v>
      </x:c>
      <x:c r="T2734" s="15" t="n">
        <x:v>0</x:v>
      </x:c>
      <x:c r="U2734" s="6" t="str">
        <x:v>Answer: 3</x:v>
      </x:c>
      <x:c r="V2734" s="6" t="str">
        <x:v>wall adjacency from polygons</x:v>
      </x:c>
      <x:c r="W2734" s="6" t="str">
        <x:v>Missing boundary-adjacency tool. Door connectivity does not answer this question.</x:v>
      </x:c>
      <x:c r="X2734" s="6" t="str">
        <x:v>data/dev/resplan-16154/questions.jsonl</x:v>
      </x:c>
      <x:c r="Y2734" s="14" t="n">
        <x:v>2</x:v>
      </x:c>
      <x:c r="Z2734" s="6" t="str">
        <x:v>https://github.com/hagenhaeussler/Industrial-Agents-Hackathon-2026/blob/f41616590b69f3ea0c1cbfb41d6c35edd9ce53df/data/dev/resplan-16154/questions.jsonl#L2</x:v>
      </x:c>
      <x:c r="AA2734" s="6" t="str">
        <x:v>resplan</x:v>
      </x:c>
      <x:c r="AB2734" s="6" t="str">
        <x:v>CC-BY-4.0</x:v>
      </x:c>
    </x:row>
    <x:row r="2735" ht="82" customHeight="1">
      <x:c r="A2735" s="14" t="n">
        <x:v>2730</x:v>
      </x:c>
      <x:c r="B2735" s="6" t="str">
        <x:v>shared_walls_count</x:v>
      </x:c>
      <x:c r="C2735"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735" s="6" t="str">
        <x:v>3 rooms</x:v>
      </x:c>
      <x:c r="E2735" s="6" t="str">
        <x:v>Reference supplied</x:v>
      </x:c>
      <x:c r="F2735" s="6" t="str">
        <x:v>dev</x:v>
      </x:c>
      <x:c r="G2735" s="6" t="str">
        <x:v>resplan-1677</x:v>
      </x:c>
      <x:c r="H2735" s="6" t="str">
        <x:v>resplan-1677-H04</x:v>
      </x:c>
      <x:c r="I2735" s="6" t="str">
        <x:v>Spatial relationships</x:v>
      </x:c>
      <x:c r="J2735" s="6" t="str">
        <x:v>Benchmark</x:v>
      </x:c>
      <x:c r="K2735" s="6" t="str">
        <x:v>Answer: &lt;one exact integer&gt;</x:v>
      </x:c>
      <x:c r="L2735" s="6" t="str">
        <x:v>T02, T08, T14</x:v>
      </x:c>
      <x:c r="M2735" s="6" t="str">
        <x:v>Count other rooms sharing at least 1 m of wall with a room.</x:v>
      </x:c>
      <x:c r="N2735" s="6" t="str">
        <x:v>{"type":"number","value":3,"unit":"rooms","relative_tolerance":0,"absolute_tolerance":0}</x:v>
      </x:c>
      <x:c r="O2735" s="6" t="str">
        <x:v>{"start":"resplan-1677-F0-S003"}</x:v>
      </x:c>
      <x:c r="P2735" s="6" t="str">
        <x:v>Same floor. Other type=room spaces. &gt;=1 m wall run within 0.35 m. Door not required.</x:v>
      </x:c>
      <x:c r="Q2735" s="15" t="n">
        <x:v>3</x:v>
      </x:c>
      <x:c r="R2735" s="6" t="str">
        <x:v>rooms</x:v>
      </x:c>
      <x:c r="S2735" s="16" t="n">
        <x:v>0</x:v>
      </x:c>
      <x:c r="T2735" s="15" t="n">
        <x:v>0</x:v>
      </x:c>
      <x:c r="U2735" s="6" t="str">
        <x:v>Answer: 3</x:v>
      </x:c>
      <x:c r="V2735" s="6" t="str">
        <x:v>wall adjacency from polygons</x:v>
      </x:c>
      <x:c r="W2735" s="6" t="str">
        <x:v>Missing boundary-adjacency tool. Door connectivity does not answer this question.</x:v>
      </x:c>
      <x:c r="X2735" s="6" t="str">
        <x:v>data/dev/resplan-1677/questions.jsonl</x:v>
      </x:c>
      <x:c r="Y2735" s="14" t="n">
        <x:v>4</x:v>
      </x:c>
      <x:c r="Z2735" s="6" t="str">
        <x:v>https://github.com/hagenhaeussler/Industrial-Agents-Hackathon-2026/blob/f41616590b69f3ea0c1cbfb41d6c35edd9ce53df/data/dev/resplan-1677/questions.jsonl#L4</x:v>
      </x:c>
      <x:c r="AA2735" s="6" t="str">
        <x:v>resplan</x:v>
      </x:c>
      <x:c r="AB2735" s="6" t="str">
        <x:v>CC-BY-4.0</x:v>
      </x:c>
    </x:row>
    <x:row r="2736" ht="82" customHeight="1">
      <x:c r="A2736" s="14" t="n">
        <x:v>2731</x:v>
      </x:c>
      <x:c r="B2736" s="6" t="str">
        <x:v>shared_walls_count</x:v>
      </x:c>
      <x:c r="C2736"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736" s="6" t="str">
        <x:v>6 rooms</x:v>
      </x:c>
      <x:c r="E2736" s="6" t="str">
        <x:v>Reference supplied</x:v>
      </x:c>
      <x:c r="F2736" s="6" t="str">
        <x:v>dev</x:v>
      </x:c>
      <x:c r="G2736" s="6" t="str">
        <x:v>resplan-3832</x:v>
      </x:c>
      <x:c r="H2736" s="6" t="str">
        <x:v>resplan-3832-H02</x:v>
      </x:c>
      <x:c r="I2736" s="6" t="str">
        <x:v>Spatial relationships</x:v>
      </x:c>
      <x:c r="J2736" s="6" t="str">
        <x:v>Benchmark</x:v>
      </x:c>
      <x:c r="K2736" s="6" t="str">
        <x:v>Answer: &lt;one exact integer&gt;</x:v>
      </x:c>
      <x:c r="L2736" s="6" t="str">
        <x:v>T02, T08, T14</x:v>
      </x:c>
      <x:c r="M2736" s="6" t="str">
        <x:v>Count other rooms sharing at least 1 m of wall with a room.</x:v>
      </x:c>
      <x:c r="N2736" s="6" t="str">
        <x:v>{"type":"number","value":6,"unit":"rooms","relative_tolerance":0,"absolute_tolerance":0}</x:v>
      </x:c>
      <x:c r="O2736" s="6" t="str">
        <x:v>{"start":"resplan-3832-F0-S001"}</x:v>
      </x:c>
      <x:c r="P2736" s="6" t="str">
        <x:v>Same floor. Other type=room spaces. &gt;=1 m wall run within 0.35 m. Door not required.</x:v>
      </x:c>
      <x:c r="Q2736" s="15" t="n">
        <x:v>6</x:v>
      </x:c>
      <x:c r="R2736" s="6" t="str">
        <x:v>rooms</x:v>
      </x:c>
      <x:c r="S2736" s="16" t="n">
        <x:v>0</x:v>
      </x:c>
      <x:c r="T2736" s="15" t="n">
        <x:v>0</x:v>
      </x:c>
      <x:c r="U2736" s="6" t="str">
        <x:v>Answer: 6</x:v>
      </x:c>
      <x:c r="V2736" s="6" t="str">
        <x:v>wall adjacency from polygons</x:v>
      </x:c>
      <x:c r="W2736" s="6" t="str">
        <x:v>Missing boundary-adjacency tool. Door connectivity does not answer this question.</x:v>
      </x:c>
      <x:c r="X2736" s="6" t="str">
        <x:v>data/dev/resplan-3832/questions.jsonl</x:v>
      </x:c>
      <x:c r="Y2736" s="14" t="n">
        <x:v>2</x:v>
      </x:c>
      <x:c r="Z2736" s="6" t="str">
        <x:v>https://github.com/hagenhaeussler/Industrial-Agents-Hackathon-2026/blob/f41616590b69f3ea0c1cbfb41d6c35edd9ce53df/data/dev/resplan-3832/questions.jsonl#L2</x:v>
      </x:c>
      <x:c r="AA2736" s="6" t="str">
        <x:v>resplan</x:v>
      </x:c>
      <x:c r="AB2736" s="6" t="str">
        <x:v>CC-BY-4.0</x:v>
      </x:c>
    </x:row>
    <x:row r="2737" ht="82" customHeight="1">
      <x:c r="A2737" s="14" t="n">
        <x:v>2732</x:v>
      </x:c>
      <x:c r="B2737" s="6" t="str">
        <x:v>shared_walls_count</x:v>
      </x:c>
      <x:c r="C2737"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737" s="6" t="str">
        <x:v>5 rooms</x:v>
      </x:c>
      <x:c r="E2737" s="6" t="str">
        <x:v>Reference supplied</x:v>
      </x:c>
      <x:c r="F2737" s="6" t="str">
        <x:v>dev</x:v>
      </x:c>
      <x:c r="G2737" s="6" t="str">
        <x:v>resplan-439</x:v>
      </x:c>
      <x:c r="H2737" s="6" t="str">
        <x:v>resplan-439-H01</x:v>
      </x:c>
      <x:c r="I2737" s="6" t="str">
        <x:v>Spatial relationships</x:v>
      </x:c>
      <x:c r="J2737" s="6" t="str">
        <x:v>Benchmark</x:v>
      </x:c>
      <x:c r="K2737" s="6" t="str">
        <x:v>Answer: &lt;one exact integer&gt;</x:v>
      </x:c>
      <x:c r="L2737" s="6" t="str">
        <x:v>T02, T08, T14</x:v>
      </x:c>
      <x:c r="M2737" s="6" t="str">
        <x:v>Count other rooms sharing at least 1 m of wall with a room.</x:v>
      </x:c>
      <x:c r="N2737" s="6" t="str">
        <x:v>{"type":"number","value":5,"unit":"rooms","relative_tolerance":0,"absolute_tolerance":0}</x:v>
      </x:c>
      <x:c r="O2737" s="6" t="str">
        <x:v>{"start":"resplan-439-F0-S001"}</x:v>
      </x:c>
      <x:c r="P2737" s="6" t="str">
        <x:v>Same floor. Other type=room spaces. &gt;=1 m wall run within 0.35 m. Door not required.</x:v>
      </x:c>
      <x:c r="Q2737" s="15" t="n">
        <x:v>5</x:v>
      </x:c>
      <x:c r="R2737" s="6" t="str">
        <x:v>rooms</x:v>
      </x:c>
      <x:c r="S2737" s="16" t="n">
        <x:v>0</x:v>
      </x:c>
      <x:c r="T2737" s="15" t="n">
        <x:v>0</x:v>
      </x:c>
      <x:c r="U2737" s="6" t="str">
        <x:v>Answer: 5</x:v>
      </x:c>
      <x:c r="V2737" s="6" t="str">
        <x:v>wall adjacency from polygons</x:v>
      </x:c>
      <x:c r="W2737" s="6" t="str">
        <x:v>Missing boundary-adjacency tool. Door connectivity does not answer this question.</x:v>
      </x:c>
      <x:c r="X2737" s="6" t="str">
        <x:v>data/dev/resplan-439/questions.jsonl</x:v>
      </x:c>
      <x:c r="Y2737" s="14" t="n">
        <x:v>1</x:v>
      </x:c>
      <x:c r="Z2737" s="6" t="str">
        <x:v>https://github.com/hagenhaeussler/Industrial-Agents-Hackathon-2026/blob/f41616590b69f3ea0c1cbfb41d6c35edd9ce53df/data/dev/resplan-439/questions.jsonl#L1</x:v>
      </x:c>
      <x:c r="AA2737" s="6" t="str">
        <x:v>resplan</x:v>
      </x:c>
      <x:c r="AB2737" s="6" t="str">
        <x:v>CC-BY-4.0</x:v>
      </x:c>
    </x:row>
    <x:row r="2738" ht="82" customHeight="1">
      <x:c r="A2738" s="14" t="n">
        <x:v>2733</x:v>
      </x:c>
      <x:c r="B2738" s="6" t="str">
        <x:v>shared_walls_count</x:v>
      </x:c>
      <x:c r="C2738"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738" s="6" t="str">
        <x:v>4 rooms</x:v>
      </x:c>
      <x:c r="E2738" s="6" t="str">
        <x:v>Reference supplied</x:v>
      </x:c>
      <x:c r="F2738" s="6" t="str">
        <x:v>dev</x:v>
      </x:c>
      <x:c r="G2738" s="6" t="str">
        <x:v>resplan-7336</x:v>
      </x:c>
      <x:c r="H2738" s="6" t="str">
        <x:v>resplan-7336-H01</x:v>
      </x:c>
      <x:c r="I2738" s="6" t="str">
        <x:v>Spatial relationships</x:v>
      </x:c>
      <x:c r="J2738" s="6" t="str">
        <x:v>Benchmark</x:v>
      </x:c>
      <x:c r="K2738" s="6" t="str">
        <x:v>Answer: &lt;one exact integer&gt;</x:v>
      </x:c>
      <x:c r="L2738" s="6" t="str">
        <x:v>T02, T08, T14</x:v>
      </x:c>
      <x:c r="M2738" s="6" t="str">
        <x:v>Count other rooms sharing at least 1 m of wall with a room.</x:v>
      </x:c>
      <x:c r="N2738" s="6" t="str">
        <x:v>{"type":"number","value":4,"unit":"rooms","relative_tolerance":0,"absolute_tolerance":0}</x:v>
      </x:c>
      <x:c r="O2738" s="6" t="str">
        <x:v>{"start":"resplan-7336-F0-S001"}</x:v>
      </x:c>
      <x:c r="P2738" s="6" t="str">
        <x:v>Same floor. Other type=room spaces. &gt;=1 m wall run within 0.35 m. Door not required.</x:v>
      </x:c>
      <x:c r="Q2738" s="15" t="n">
        <x:v>4</x:v>
      </x:c>
      <x:c r="R2738" s="6" t="str">
        <x:v>rooms</x:v>
      </x:c>
      <x:c r="S2738" s="16" t="n">
        <x:v>0</x:v>
      </x:c>
      <x:c r="T2738" s="15" t="n">
        <x:v>0</x:v>
      </x:c>
      <x:c r="U2738" s="6" t="str">
        <x:v>Answer: 4</x:v>
      </x:c>
      <x:c r="V2738" s="6" t="str">
        <x:v>wall adjacency from polygons</x:v>
      </x:c>
      <x:c r="W2738" s="6" t="str">
        <x:v>Missing boundary-adjacency tool. Door connectivity does not answer this question.</x:v>
      </x:c>
      <x:c r="X2738" s="6" t="str">
        <x:v>data/dev/resplan-7336/questions.jsonl</x:v>
      </x:c>
      <x:c r="Y2738" s="14" t="n">
        <x:v>1</x:v>
      </x:c>
      <x:c r="Z2738" s="6" t="str">
        <x:v>https://github.com/hagenhaeussler/Industrial-Agents-Hackathon-2026/blob/f41616590b69f3ea0c1cbfb41d6c35edd9ce53df/data/dev/resplan-7336/questions.jsonl#L1</x:v>
      </x:c>
      <x:c r="AA2738" s="6" t="str">
        <x:v>resplan</x:v>
      </x:c>
      <x:c r="AB2738" s="6" t="str">
        <x:v>CC-BY-4.0</x:v>
      </x:c>
    </x:row>
    <x:row r="2739" ht="82" customHeight="1">
      <x:c r="A2739" s="14" t="n">
        <x:v>2734</x:v>
      </x:c>
      <x:c r="B2739" s="6" t="str">
        <x:v>shared_walls_count</x:v>
      </x:c>
      <x:c r="C2739"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739" s="6" t="str">
        <x:v>5 rooms</x:v>
      </x:c>
      <x:c r="E2739" s="6" t="str">
        <x:v>Reference supplied</x:v>
      </x:c>
      <x:c r="F2739" s="6" t="str">
        <x:v>dev</x:v>
      </x:c>
      <x:c r="G2739" s="6" t="str">
        <x:v>resplan-8169</x:v>
      </x:c>
      <x:c r="H2739" s="6" t="str">
        <x:v>resplan-8169-H01</x:v>
      </x:c>
      <x:c r="I2739" s="6" t="str">
        <x:v>Spatial relationships</x:v>
      </x:c>
      <x:c r="J2739" s="6" t="str">
        <x:v>Benchmark</x:v>
      </x:c>
      <x:c r="K2739" s="6" t="str">
        <x:v>Answer: &lt;one exact integer&gt;</x:v>
      </x:c>
      <x:c r="L2739" s="6" t="str">
        <x:v>T02, T08, T14</x:v>
      </x:c>
      <x:c r="M2739" s="6" t="str">
        <x:v>Count other rooms sharing at least 1 m of wall with a room.</x:v>
      </x:c>
      <x:c r="N2739" s="6" t="str">
        <x:v>{"type":"number","value":5,"unit":"rooms","relative_tolerance":0,"absolute_tolerance":0}</x:v>
      </x:c>
      <x:c r="O2739" s="6" t="str">
        <x:v>{"start":"resplan-8169-F0-S001"}</x:v>
      </x:c>
      <x:c r="P2739" s="6" t="str">
        <x:v>Same floor. Other type=room spaces. &gt;=1 m wall run within 0.35 m. Door not required.</x:v>
      </x:c>
      <x:c r="Q2739" s="15" t="n">
        <x:v>5</x:v>
      </x:c>
      <x:c r="R2739" s="6" t="str">
        <x:v>rooms</x:v>
      </x:c>
      <x:c r="S2739" s="16" t="n">
        <x:v>0</x:v>
      </x:c>
      <x:c r="T2739" s="15" t="n">
        <x:v>0</x:v>
      </x:c>
      <x:c r="U2739" s="6" t="str">
        <x:v>Answer: 5</x:v>
      </x:c>
      <x:c r="V2739" s="6" t="str">
        <x:v>wall adjacency from polygons</x:v>
      </x:c>
      <x:c r="W2739" s="6" t="str">
        <x:v>Missing boundary-adjacency tool. Door connectivity does not answer this question.</x:v>
      </x:c>
      <x:c r="X2739" s="6" t="str">
        <x:v>data/dev/resplan-8169/questions.jsonl</x:v>
      </x:c>
      <x:c r="Y2739" s="14" t="n">
        <x:v>1</x:v>
      </x:c>
      <x:c r="Z2739" s="6" t="str">
        <x:v>https://github.com/hagenhaeussler/Industrial-Agents-Hackathon-2026/blob/f41616590b69f3ea0c1cbfb41d6c35edd9ce53df/data/dev/resplan-8169/questions.jsonl#L1</x:v>
      </x:c>
      <x:c r="AA2739" s="6" t="str">
        <x:v>resplan</x:v>
      </x:c>
      <x:c r="AB2739" s="6" t="str">
        <x:v>CC-BY-4.0</x:v>
      </x:c>
    </x:row>
    <x:row r="2740" ht="82" customHeight="1">
      <x:c r="A2740" s="14" t="n">
        <x:v>2735</x:v>
      </x:c>
      <x:c r="B2740" s="6" t="str">
        <x:v>shared_walls_count</x:v>
      </x:c>
      <x:c r="C2740" s="6" t="str">
        <x:v>We're soundproofing Bathroom 0.04 (Ground floor). How many other rooms on that floor share a wall with it? Count every room whose wall runs along it for at least 1 m, with or without a door between them; corridors, stairwells and lifts don't count. Finish with a line 'Answer: &lt;number&gt;'.</x:v>
      </x:c>
      <x:c r="D2740" s="6" t="str">
        <x:v>3 rooms</x:v>
      </x:c>
      <x:c r="E2740" s="6" t="str">
        <x:v>Reference supplied</x:v>
      </x:c>
      <x:c r="F2740" s="6" t="str">
        <x:v>dev</x:v>
      </x:c>
      <x:c r="G2740" s="6" t="str">
        <x:v>resplan-8269</x:v>
      </x:c>
      <x:c r="H2740" s="6" t="str">
        <x:v>resplan-8269-H02</x:v>
      </x:c>
      <x:c r="I2740" s="6" t="str">
        <x:v>Spatial relationships</x:v>
      </x:c>
      <x:c r="J2740" s="6" t="str">
        <x:v>Benchmark</x:v>
      </x:c>
      <x:c r="K2740" s="6" t="str">
        <x:v>Answer: &lt;one exact integer&gt;</x:v>
      </x:c>
      <x:c r="L2740" s="6" t="str">
        <x:v>T02, T08, T14</x:v>
      </x:c>
      <x:c r="M2740" s="6" t="str">
        <x:v>Count other rooms sharing at least 1 m of wall with a room.</x:v>
      </x:c>
      <x:c r="N2740" s="6" t="str">
        <x:v>{"type":"number","value":3,"unit":"rooms","relative_tolerance":0,"absolute_tolerance":0}</x:v>
      </x:c>
      <x:c r="O2740" s="6" t="str">
        <x:v>{"start":"resplan-8269-F0-S004"}</x:v>
      </x:c>
      <x:c r="P2740" s="6" t="str">
        <x:v>Same floor. Other type=room spaces. &gt;=1 m wall run within 0.35 m. Door not required.</x:v>
      </x:c>
      <x:c r="Q2740" s="15" t="n">
        <x:v>3</x:v>
      </x:c>
      <x:c r="R2740" s="6" t="str">
        <x:v>rooms</x:v>
      </x:c>
      <x:c r="S2740" s="16" t="n">
        <x:v>0</x:v>
      </x:c>
      <x:c r="T2740" s="15" t="n">
        <x:v>0</x:v>
      </x:c>
      <x:c r="U2740" s="6" t="str">
        <x:v>Answer: 3</x:v>
      </x:c>
      <x:c r="V2740" s="6" t="str">
        <x:v>wall adjacency from polygons</x:v>
      </x:c>
      <x:c r="W2740" s="6" t="str">
        <x:v>Missing boundary-adjacency tool. Door connectivity does not answer this question.</x:v>
      </x:c>
      <x:c r="X2740" s="6" t="str">
        <x:v>data/dev/resplan-8269/questions.jsonl</x:v>
      </x:c>
      <x:c r="Y2740" s="14" t="n">
        <x:v>2</x:v>
      </x:c>
      <x:c r="Z2740" s="6" t="str">
        <x:v>https://github.com/hagenhaeussler/Industrial-Agents-Hackathon-2026/blob/f41616590b69f3ea0c1cbfb41d6c35edd9ce53df/data/dev/resplan-8269/questions.jsonl#L2</x:v>
      </x:c>
      <x:c r="AA2740" s="6" t="str">
        <x:v>resplan</x:v>
      </x:c>
      <x:c r="AB2740" s="6" t="str">
        <x:v>CC-BY-4.0</x:v>
      </x:c>
    </x:row>
    <x:row r="2741" ht="82" customHeight="1">
      <x:c r="A2741" s="14" t="n">
        <x:v>2736</x:v>
      </x:c>
      <x:c r="B2741" s="6" t="str">
        <x:v>shared_walls_count</x:v>
      </x:c>
      <x:c r="C2741" s="6" t="str">
        <x:v>We're soundproofing Bedroom 2.12 (apartment 10) (Floor 2). How many other rooms on that floor share a wall with it? Count every room whose wall runs along it for at least 1 m, with or without a door between them; corridors, stairwells and lifts don't count. Finish with a line 'Answer: &lt;number&gt;'.</x:v>
      </x:c>
      <x:c r="D2741" s="6" t="str">
        <x:v>3 rooms</x:v>
      </x:c>
      <x:c r="E2741" s="6" t="str">
        <x:v>Reference supplied</x:v>
      </x:c>
      <x:c r="F2741" s="6" t="str">
        <x:v>dev</x:v>
      </x:c>
      <x:c r="G2741" s="6" t="str">
        <x:v>swiss-203</x:v>
      </x:c>
      <x:c r="H2741" s="6" t="str">
        <x:v>swiss-203-H02</x:v>
      </x:c>
      <x:c r="I2741" s="6" t="str">
        <x:v>Spatial relationships</x:v>
      </x:c>
      <x:c r="J2741" s="6" t="str">
        <x:v>Benchmark</x:v>
      </x:c>
      <x:c r="K2741" s="6" t="str">
        <x:v>Answer: &lt;one exact integer&gt;</x:v>
      </x:c>
      <x:c r="L2741" s="6" t="str">
        <x:v>T02, T08, T14</x:v>
      </x:c>
      <x:c r="M2741" s="6" t="str">
        <x:v>Count other rooms sharing at least 1 m of wall with a room.</x:v>
      </x:c>
      <x:c r="N2741" s="6" t="str">
        <x:v>{"type":"number","value":3,"unit":"rooms","relative_tolerance":0,"absolute_tolerance":0}</x:v>
      </x:c>
      <x:c r="O2741" s="6" t="str">
        <x:v>{"start":"swiss-203-F2-S012"}</x:v>
      </x:c>
      <x:c r="P2741" s="6" t="str">
        <x:v>Same floor. Other type=room spaces. &gt;=1 m wall run within 0.35 m. Door not required.</x:v>
      </x:c>
      <x:c r="Q2741" s="15" t="n">
        <x:v>3</x:v>
      </x:c>
      <x:c r="R2741" s="6" t="str">
        <x:v>rooms</x:v>
      </x:c>
      <x:c r="S2741" s="16" t="n">
        <x:v>0</x:v>
      </x:c>
      <x:c r="T2741" s="15" t="n">
        <x:v>0</x:v>
      </x:c>
      <x:c r="U2741" s="6" t="str">
        <x:v>Answer: 3</x:v>
      </x:c>
      <x:c r="V2741" s="6" t="str">
        <x:v>wall adjacency from polygons</x:v>
      </x:c>
      <x:c r="W2741" s="6" t="str">
        <x:v>Missing boundary-adjacency tool. Door connectivity does not answer this question.</x:v>
      </x:c>
      <x:c r="X2741" s="6" t="str">
        <x:v>data/dev/swiss-203/questions.jsonl</x:v>
      </x:c>
      <x:c r="Y2741" s="14" t="n">
        <x:v>2</x:v>
      </x:c>
      <x:c r="Z2741" s="6" t="str">
        <x:v>https://github.com/hagenhaeussler/Industrial-Agents-Hackathon-2026/blob/f41616590b69f3ea0c1cbfb41d6c35edd9ce53df/data/dev/swiss-203/questions.jsonl#L2</x:v>
      </x:c>
      <x:c r="AA2741" s="6" t="str">
        <x:v>swiss_dwellings</x:v>
      </x:c>
      <x:c r="AB2741" s="6" t="str">
        <x:v>CC-BY-4.0</x:v>
      </x:c>
    </x:row>
    <x:row r="2742" ht="82" customHeight="1">
      <x:c r="A2742" s="14" t="n">
        <x:v>2737</x:v>
      </x:c>
      <x:c r="B2742" s="6" t="str">
        <x:v>shared_walls_count</x:v>
      </x:c>
      <x:c r="C2742" s="6" t="str">
        <x:v>We're soundproofing Living room 2.08 (apartment 5) (Floor 2). How many other rooms on that floor share a wall with it? Count every room whose wall runs along it for at least 1 m, with or without a door between them; corridors, stairwells and lifts don't count. Finish with a line 'Answer: &lt;number&gt;'.</x:v>
      </x:c>
      <x:c r="D2742" s="6" t="str">
        <x:v>3 rooms</x:v>
      </x:c>
      <x:c r="E2742" s="6" t="str">
        <x:v>Reference supplied</x:v>
      </x:c>
      <x:c r="F2742" s="6" t="str">
        <x:v>dev</x:v>
      </x:c>
      <x:c r="G2742" s="6" t="str">
        <x:v>swiss-3254</x:v>
      </x:c>
      <x:c r="H2742" s="6" t="str">
        <x:v>swiss-3254-H02</x:v>
      </x:c>
      <x:c r="I2742" s="6" t="str">
        <x:v>Spatial relationships</x:v>
      </x:c>
      <x:c r="J2742" s="6" t="str">
        <x:v>Benchmark</x:v>
      </x:c>
      <x:c r="K2742" s="6" t="str">
        <x:v>Answer: &lt;one exact integer&gt;</x:v>
      </x:c>
      <x:c r="L2742" s="6" t="str">
        <x:v>T02, T08, T14</x:v>
      </x:c>
      <x:c r="M2742" s="6" t="str">
        <x:v>Count other rooms sharing at least 1 m of wall with a room.</x:v>
      </x:c>
      <x:c r="N2742" s="6" t="str">
        <x:v>{"type":"number","value":3,"unit":"rooms","relative_tolerance":0,"absolute_tolerance":0}</x:v>
      </x:c>
      <x:c r="O2742" s="6" t="str">
        <x:v>{"start":"swiss-3254-F2-S008"}</x:v>
      </x:c>
      <x:c r="P2742" s="6" t="str">
        <x:v>Same floor. Other type=room spaces. &gt;=1 m wall run within 0.35 m. Door not required.</x:v>
      </x:c>
      <x:c r="Q2742" s="15" t="n">
        <x:v>3</x:v>
      </x:c>
      <x:c r="R2742" s="6" t="str">
        <x:v>rooms</x:v>
      </x:c>
      <x:c r="S2742" s="16" t="n">
        <x:v>0</x:v>
      </x:c>
      <x:c r="T2742" s="15" t="n">
        <x:v>0</x:v>
      </x:c>
      <x:c r="U2742" s="6" t="str">
        <x:v>Answer: 3</x:v>
      </x:c>
      <x:c r="V2742" s="6" t="str">
        <x:v>wall adjacency from polygons</x:v>
      </x:c>
      <x:c r="W2742" s="6" t="str">
        <x:v>Missing boundary-adjacency tool. Door connectivity does not answer this question.</x:v>
      </x:c>
      <x:c r="X2742" s="6" t="str">
        <x:v>data/dev/swiss-3254/questions.jsonl</x:v>
      </x:c>
      <x:c r="Y2742" s="14" t="n">
        <x:v>2</x:v>
      </x:c>
      <x:c r="Z2742" s="6" t="str">
        <x:v>https://github.com/hagenhaeussler/Industrial-Agents-Hackathon-2026/blob/f41616590b69f3ea0c1cbfb41d6c35edd9ce53df/data/dev/swiss-3254/questions.jsonl#L2</x:v>
      </x:c>
      <x:c r="AA2742" s="6" t="str">
        <x:v>swiss_dwellings</x:v>
      </x:c>
      <x:c r="AB2742" s="6" t="str">
        <x:v>CC-BY-4.0</x:v>
      </x:c>
    </x:row>
    <x:row r="2743" ht="82" customHeight="1">
      <x:c r="A2743" s="14" t="n">
        <x:v>2738</x:v>
      </x:c>
      <x:c r="B2743" s="6" t="str">
        <x:v>shared_walls_count</x:v>
      </x:c>
      <x:c r="C2743" s="6" t="str">
        <x:v>We're soundproofing Bedroom 2.07 (apartment 5) (Floor 2). How many other rooms on that floor share a wall with it? Count every room whose wall runs along it for at least 1 m, with or without a door between them; corridors, stairwells and lifts don't count. Finish with a line 'Answer: &lt;number&gt;'.</x:v>
      </x:c>
      <x:c r="D2743" s="6" t="str">
        <x:v>4 rooms</x:v>
      </x:c>
      <x:c r="E2743" s="6" t="str">
        <x:v>Reference supplied</x:v>
      </x:c>
      <x:c r="F2743" s="6" t="str">
        <x:v>dev</x:v>
      </x:c>
      <x:c r="G2743" s="6" t="str">
        <x:v>swiss-450</x:v>
      </x:c>
      <x:c r="H2743" s="6" t="str">
        <x:v>swiss-450-H04</x:v>
      </x:c>
      <x:c r="I2743" s="6" t="str">
        <x:v>Spatial relationships</x:v>
      </x:c>
      <x:c r="J2743" s="6" t="str">
        <x:v>Benchmark</x:v>
      </x:c>
      <x:c r="K2743" s="6" t="str">
        <x:v>Answer: &lt;one exact integer&gt;</x:v>
      </x:c>
      <x:c r="L2743" s="6" t="str">
        <x:v>T02, T08, T14</x:v>
      </x:c>
      <x:c r="M2743" s="6" t="str">
        <x:v>Count other rooms sharing at least 1 m of wall with a room.</x:v>
      </x:c>
      <x:c r="N2743" s="6" t="str">
        <x:v>{"type":"number","value":4,"unit":"rooms","relative_tolerance":0,"absolute_tolerance":0}</x:v>
      </x:c>
      <x:c r="O2743" s="6" t="str">
        <x:v>{"start":"swiss-450-F2-S007"}</x:v>
      </x:c>
      <x:c r="P2743" s="6" t="str">
        <x:v>Same floor. Other type=room spaces. &gt;=1 m wall run within 0.35 m. Door not required.</x:v>
      </x:c>
      <x:c r="Q2743" s="15" t="n">
        <x:v>4</x:v>
      </x:c>
      <x:c r="R2743" s="6" t="str">
        <x:v>rooms</x:v>
      </x:c>
      <x:c r="S2743" s="16" t="n">
        <x:v>0</x:v>
      </x:c>
      <x:c r="T2743" s="15" t="n">
        <x:v>0</x:v>
      </x:c>
      <x:c r="U2743" s="6" t="str">
        <x:v>Answer: 4</x:v>
      </x:c>
      <x:c r="V2743" s="6" t="str">
        <x:v>wall adjacency from polygons</x:v>
      </x:c>
      <x:c r="W2743" s="6" t="str">
        <x:v>Missing boundary-adjacency tool. Door connectivity does not answer this question.</x:v>
      </x:c>
      <x:c r="X2743" s="6" t="str">
        <x:v>data/dev/swiss-450/questions.jsonl</x:v>
      </x:c>
      <x:c r="Y2743" s="14" t="n">
        <x:v>4</x:v>
      </x:c>
      <x:c r="Z2743" s="6" t="str">
        <x:v>https://github.com/hagenhaeussler/Industrial-Agents-Hackathon-2026/blob/f41616590b69f3ea0c1cbfb41d6c35edd9ce53df/data/dev/swiss-450/questions.jsonl#L4</x:v>
      </x:c>
      <x:c r="AA2743" s="6" t="str">
        <x:v>swiss_dwellings</x:v>
      </x:c>
      <x:c r="AB2743" s="6" t="str">
        <x:v>CC-BY-4.0</x:v>
      </x:c>
    </x:row>
    <x:row r="2744" ht="82" customHeight="1">
      <x:c r="A2744" s="14" t="n">
        <x:v>2739</x:v>
      </x:c>
      <x:c r="B2744" s="6" t="str">
        <x:v>shared_walls_count</x:v>
      </x:c>
      <x:c r="C2744" s="6" t="str">
        <x:v>We're soundproofing Living room 1.107 (apartment 34) (Floor 1). How many other rooms on that floor share a wall with it? Count every room whose wall runs along it for at least 1 m, with or without a door between them; corridors, stairwells and lifts don't count. Finish with a line 'Answer: &lt;number&gt;'.</x:v>
      </x:c>
      <x:c r="D2744" s="6" t="str">
        <x:v>3 rooms</x:v>
      </x:c>
      <x:c r="E2744" s="6" t="str">
        <x:v>Reference supplied</x:v>
      </x:c>
      <x:c r="F2744" s="6" t="str">
        <x:v>dev</x:v>
      </x:c>
      <x:c r="G2744" s="6" t="str">
        <x:v>swiss-5097</x:v>
      </x:c>
      <x:c r="H2744" s="6" t="str">
        <x:v>swiss-5097-H04</x:v>
      </x:c>
      <x:c r="I2744" s="6" t="str">
        <x:v>Spatial relationships</x:v>
      </x:c>
      <x:c r="J2744" s="6" t="str">
        <x:v>Benchmark</x:v>
      </x:c>
      <x:c r="K2744" s="6" t="str">
        <x:v>Answer: &lt;one exact integer&gt;</x:v>
      </x:c>
      <x:c r="L2744" s="6" t="str">
        <x:v>T02, T08, T14</x:v>
      </x:c>
      <x:c r="M2744" s="6" t="str">
        <x:v>Count other rooms sharing at least 1 m of wall with a room.</x:v>
      </x:c>
      <x:c r="N2744" s="6" t="str">
        <x:v>{"type":"number","value":3,"unit":"rooms","relative_tolerance":0,"absolute_tolerance":0}</x:v>
      </x:c>
      <x:c r="O2744" s="6" t="str">
        <x:v>{"start":"swiss-5097-F1-S107"}</x:v>
      </x:c>
      <x:c r="P2744" s="6" t="str">
        <x:v>Same floor. Other type=room spaces. &gt;=1 m wall run within 0.35 m. Door not required.</x:v>
      </x:c>
      <x:c r="Q2744" s="15" t="n">
        <x:v>3</x:v>
      </x:c>
      <x:c r="R2744" s="6" t="str">
        <x:v>rooms</x:v>
      </x:c>
      <x:c r="S2744" s="16" t="n">
        <x:v>0</x:v>
      </x:c>
      <x:c r="T2744" s="15" t="n">
        <x:v>0</x:v>
      </x:c>
      <x:c r="U2744" s="6" t="str">
        <x:v>Answer: 3</x:v>
      </x:c>
      <x:c r="V2744" s="6" t="str">
        <x:v>wall adjacency from polygons</x:v>
      </x:c>
      <x:c r="W2744" s="6" t="str">
        <x:v>Missing boundary-adjacency tool. Door connectivity does not answer this question.</x:v>
      </x:c>
      <x:c r="X2744" s="6" t="str">
        <x:v>data/dev/swiss-5097/questions.jsonl</x:v>
      </x:c>
      <x:c r="Y2744" s="14" t="n">
        <x:v>4</x:v>
      </x:c>
      <x:c r="Z2744" s="6" t="str">
        <x:v>https://github.com/hagenhaeussler/Industrial-Agents-Hackathon-2026/blob/f41616590b69f3ea0c1cbfb41d6c35edd9ce53df/data/dev/swiss-5097/questions.jsonl#L4</x:v>
      </x:c>
      <x:c r="AA2744" s="6" t="str">
        <x:v>swiss_dwellings</x:v>
      </x:c>
      <x:c r="AB2744" s="6" t="str">
        <x:v>CC-BY-4.0</x:v>
      </x:c>
    </x:row>
    <x:row r="2745" ht="82" customHeight="1">
      <x:c r="A2745" s="14" t="n">
        <x:v>2740</x:v>
      </x:c>
      <x:c r="B2745" s="6" t="str">
        <x:v>shared_walls_count</x:v>
      </x:c>
      <x:c r="C2745" s="6" t="str">
        <x:v>We're soundproofing Generic room U20 (Basement 1). How many other rooms on that floor share a wall with it? Count every room whose wall runs along it for at least 1 m, with or without a door between them; corridors, stairwells and lifts don't count. Finish with a line 'Answer: &lt;number&gt;'.</x:v>
      </x:c>
      <x:c r="D2745" s="6" t="str">
        <x:v>Withheld in public test data. No reference answer supplied.</x:v>
      </x:c>
      <x:c r="E2745" s="6" t="str">
        <x:v>Withheld</x:v>
      </x:c>
      <x:c r="F2745" s="6" t="str">
        <x:v>test</x:v>
      </x:c>
      <x:c r="G2745" s="6" t="str">
        <x:v>osm-way363805324</x:v>
      </x:c>
      <x:c r="H2745" s="6" t="str">
        <x:v>osm-way363805324-H10</x:v>
      </x:c>
      <x:c r="I2745" s="6" t="str">
        <x:v>Spatial relationships</x:v>
      </x:c>
      <x:c r="J2745" s="6" t="str">
        <x:v>Benchmark</x:v>
      </x:c>
      <x:c r="K2745" s="6" t="str">
        <x:v>Answer: &lt;one exact integer&gt;</x:v>
      </x:c>
      <x:c r="L2745" s="6" t="str">
        <x:v>T02, T08, T14</x:v>
      </x:c>
      <x:c r="M2745" s="6" t="str">
        <x:v>Count other rooms sharing at least 1 m of wall with a room.</x:v>
      </x:c>
      <x:c r="N2745" s="6"/>
      <x:c r="O2745" s="6"/>
      <x:c r="P2745" s="6" t="str">
        <x:v>Same floor. Other type=room spaces. &gt;=1 m wall run within 0.35 m. Door not required.</x:v>
      </x:c>
      <x:c r="Q2745" s="15"/>
      <x:c r="R2745" s="6"/>
      <x:c r="S2745" s="16"/>
      <x:c r="T2745" s="15"/>
      <x:c r="U2745" s="6"/>
      <x:c r="V2745" s="6"/>
      <x:c r="W2745" s="6" t="str">
        <x:v>Missing boundary-adjacency tool. Door connectivity does not answer this question.</x:v>
      </x:c>
      <x:c r="X2745" s="6" t="str">
        <x:v>data/test/osm-way363805324/questions.jsonl</x:v>
      </x:c>
      <x:c r="Y2745" s="14" t="n">
        <x:v>6</x:v>
      </x:c>
      <x:c r="Z2745" s="6" t="str">
        <x:v>https://github.com/hagenhaeussler/Industrial-Agents-Hackathon-2026/blob/f41616590b69f3ea0c1cbfb41d6c35edd9ce53df/data/test/osm-way363805324/questions.jsonl#L6</x:v>
      </x:c>
      <x:c r="AA2745" s="6" t="str">
        <x:v>osm_indoor</x:v>
      </x:c>
      <x:c r="AB2745" s="6" t="str">
        <x:v>ODbL-1.0</x:v>
      </x:c>
    </x:row>
    <x:row r="2746" ht="82" customHeight="1">
      <x:c r="A2746" s="14" t="n">
        <x:v>2741</x:v>
      </x:c>
      <x:c r="B2746" s="6" t="str">
        <x:v>shared_walls_count</x:v>
      </x:c>
      <x:c r="C2746" s="6" t="str">
        <x:v>We're soundproofing Generic room N-1840 (Basement 1). How many other rooms on that floor share a wall with it? Count every room whose wall runs along it for at least 1 m, with or without a door between them; corridors, stairwells and lifts don't count. Finish with a line 'Answer: &lt;number&gt;'.</x:v>
      </x:c>
      <x:c r="D2746" s="6" t="str">
        <x:v>Withheld in public test data. No reference answer supplied.</x:v>
      </x:c>
      <x:c r="E2746" s="6" t="str">
        <x:v>Withheld</x:v>
      </x:c>
      <x:c r="F2746" s="6" t="str">
        <x:v>test</x:v>
      </x:c>
      <x:c r="G2746" s="6" t="str">
        <x:v>osm-way43035346</x:v>
      </x:c>
      <x:c r="H2746" s="6" t="str">
        <x:v>osm-way43035346-H05</x:v>
      </x:c>
      <x:c r="I2746" s="6" t="str">
        <x:v>Spatial relationships</x:v>
      </x:c>
      <x:c r="J2746" s="6" t="str">
        <x:v>Benchmark</x:v>
      </x:c>
      <x:c r="K2746" s="6" t="str">
        <x:v>Answer: &lt;one exact integer&gt;</x:v>
      </x:c>
      <x:c r="L2746" s="6" t="str">
        <x:v>T02, T08, T14</x:v>
      </x:c>
      <x:c r="M2746" s="6" t="str">
        <x:v>Count other rooms sharing at least 1 m of wall with a room.</x:v>
      </x:c>
      <x:c r="N2746" s="6"/>
      <x:c r="O2746" s="6"/>
      <x:c r="P2746" s="6" t="str">
        <x:v>Same floor. Other type=room spaces. &gt;=1 m wall run within 0.35 m. Door not required.</x:v>
      </x:c>
      <x:c r="Q2746" s="15"/>
      <x:c r="R2746" s="6"/>
      <x:c r="S2746" s="16"/>
      <x:c r="T2746" s="15"/>
      <x:c r="U2746" s="6"/>
      <x:c r="V2746" s="6"/>
      <x:c r="W2746" s="6" t="str">
        <x:v>Missing boundary-adjacency tool. Door connectivity does not answer this question.</x:v>
      </x:c>
      <x:c r="X2746" s="6" t="str">
        <x:v>data/test/osm-way43035346/questions.jsonl</x:v>
      </x:c>
      <x:c r="Y2746" s="14" t="n">
        <x:v>5</x:v>
      </x:c>
      <x:c r="Z2746" s="6" t="str">
        <x:v>https://github.com/hagenhaeussler/Industrial-Agents-Hackathon-2026/blob/f41616590b69f3ea0c1cbfb41d6c35edd9ce53df/data/test/osm-way43035346/questions.jsonl#L5</x:v>
      </x:c>
      <x:c r="AA2746" s="6" t="str">
        <x:v>osm_indoor</x:v>
      </x:c>
      <x:c r="AB2746" s="6" t="str">
        <x:v>ODbL-1.0</x:v>
      </x:c>
    </x:row>
    <x:row r="2747" ht="82" customHeight="1">
      <x:c r="A2747" s="14" t="n">
        <x:v>2742</x:v>
      </x:c>
      <x:c r="B2747" s="6" t="str">
        <x:v>shared_walls_count</x:v>
      </x:c>
      <x:c r="C2747" s="6" t="str">
        <x:v>We're soundproofing Generic room 2522 (Floor 2). How many other rooms on that floor share a wall with it? Count every room whose wall runs along it for at least 1 m, with or without a door between them; corridors, stairwells and lifts don't count. Finish with a line 'Answer: &lt;number&gt;'.</x:v>
      </x:c>
      <x:c r="D2747" s="6" t="str">
        <x:v>Withheld in public test data. No reference answer supplied.</x:v>
      </x:c>
      <x:c r="E2747" s="6" t="str">
        <x:v>Withheld</x:v>
      </x:c>
      <x:c r="F2747" s="6" t="str">
        <x:v>test</x:v>
      </x:c>
      <x:c r="G2747" s="6" t="str">
        <x:v>osm-way50299584</x:v>
      </x:c>
      <x:c r="H2747" s="6" t="str">
        <x:v>osm-way50299584-H12</x:v>
      </x:c>
      <x:c r="I2747" s="6" t="str">
        <x:v>Spatial relationships</x:v>
      </x:c>
      <x:c r="J2747" s="6" t="str">
        <x:v>Benchmark</x:v>
      </x:c>
      <x:c r="K2747" s="6" t="str">
        <x:v>Answer: &lt;one exact integer&gt;</x:v>
      </x:c>
      <x:c r="L2747" s="6" t="str">
        <x:v>T02, T08, T14</x:v>
      </x:c>
      <x:c r="M2747" s="6" t="str">
        <x:v>Count other rooms sharing at least 1 m of wall with a room.</x:v>
      </x:c>
      <x:c r="N2747" s="6"/>
      <x:c r="O2747" s="6"/>
      <x:c r="P2747" s="6" t="str">
        <x:v>Same floor. Other type=room spaces. &gt;=1 m wall run within 0.35 m. Door not required.</x:v>
      </x:c>
      <x:c r="Q2747" s="15"/>
      <x:c r="R2747" s="6"/>
      <x:c r="S2747" s="16"/>
      <x:c r="T2747" s="15"/>
      <x:c r="U2747" s="6"/>
      <x:c r="V2747" s="6"/>
      <x:c r="W2747" s="6" t="str">
        <x:v>Missing boundary-adjacency tool. Door connectivity does not answer this question.</x:v>
      </x:c>
      <x:c r="X2747" s="6" t="str">
        <x:v>data/test/osm-way50299584/questions.jsonl</x:v>
      </x:c>
      <x:c r="Y2747" s="14" t="n">
        <x:v>7</x:v>
      </x:c>
      <x:c r="Z2747" s="6" t="str">
        <x:v>https://github.com/hagenhaeussler/Industrial-Agents-Hackathon-2026/blob/f41616590b69f3ea0c1cbfb41d6c35edd9ce53df/data/test/osm-way50299584/questions.jsonl#L7</x:v>
      </x:c>
      <x:c r="AA2747" s="6" t="str">
        <x:v>osm_indoor</x:v>
      </x:c>
      <x:c r="AB2747" s="6" t="str">
        <x:v>ODbL-1.0</x:v>
      </x:c>
    </x:row>
    <x:row r="2748" ht="82" customHeight="1">
      <x:c r="A2748" s="14" t="n">
        <x:v>2743</x:v>
      </x:c>
      <x:c r="B2748" s="6" t="str">
        <x:v>shared_walls_count</x:v>
      </x:c>
      <x:c r="C2748" s="6" t="str">
        <x:v>We're soundproofing Generic room -1208 (Basement 1). How many other rooms on that floor share a wall with it? Count every room whose wall runs along it for at least 1 m, with or without a door between them; corridors, stairwells and lifts don't count. Finish with a line 'Answer: &lt;number&gt;'.</x:v>
      </x:c>
      <x:c r="D2748" s="6" t="str">
        <x:v>Withheld in public test data. No reference answer supplied.</x:v>
      </x:c>
      <x:c r="E2748" s="6" t="str">
        <x:v>Withheld</x:v>
      </x:c>
      <x:c r="F2748" s="6" t="str">
        <x:v>test</x:v>
      </x:c>
      <x:c r="G2748" s="6" t="str">
        <x:v>osm-way50300147</x:v>
      </x:c>
      <x:c r="H2748" s="6" t="str">
        <x:v>osm-way50300147-H07</x:v>
      </x:c>
      <x:c r="I2748" s="6" t="str">
        <x:v>Spatial relationships</x:v>
      </x:c>
      <x:c r="J2748" s="6" t="str">
        <x:v>Benchmark</x:v>
      </x:c>
      <x:c r="K2748" s="6" t="str">
        <x:v>Answer: &lt;one exact integer&gt;</x:v>
      </x:c>
      <x:c r="L2748" s="6" t="str">
        <x:v>T02, T08, T14</x:v>
      </x:c>
      <x:c r="M2748" s="6" t="str">
        <x:v>Count other rooms sharing at least 1 m of wall with a room.</x:v>
      </x:c>
      <x:c r="N2748" s="6"/>
      <x:c r="O2748" s="6"/>
      <x:c r="P2748" s="6" t="str">
        <x:v>Same floor. Other type=room spaces. &gt;=1 m wall run within 0.35 m. Door not required.</x:v>
      </x:c>
      <x:c r="Q2748" s="15"/>
      <x:c r="R2748" s="6"/>
      <x:c r="S2748" s="16"/>
      <x:c r="T2748" s="15"/>
      <x:c r="U2748" s="6"/>
      <x:c r="V2748" s="6"/>
      <x:c r="W2748" s="6" t="str">
        <x:v>Missing boundary-adjacency tool. Door connectivity does not answer this question.</x:v>
      </x:c>
      <x:c r="X2748" s="6" t="str">
        <x:v>data/test/osm-way50300147/questions.jsonl</x:v>
      </x:c>
      <x:c r="Y2748" s="14" t="n">
        <x:v>7</x:v>
      </x:c>
      <x:c r="Z2748" s="6" t="str">
        <x:v>https://github.com/hagenhaeussler/Industrial-Agents-Hackathon-2026/blob/f41616590b69f3ea0c1cbfb41d6c35edd9ce53df/data/test/osm-way50300147/questions.jsonl#L7</x:v>
      </x:c>
      <x:c r="AA2748" s="6" t="str">
        <x:v>osm_indoor</x:v>
      </x:c>
      <x:c r="AB2748" s="6" t="str">
        <x:v>ODbL-1.0</x:v>
      </x:c>
    </x:row>
    <x:row r="2749" ht="82" customHeight="1">
      <x:c r="A2749" s="14" t="n">
        <x:v>2744</x:v>
      </x:c>
      <x:c r="B2749" s="6" t="str">
        <x:v>shared_walls_count</x:v>
      </x:c>
      <x:c r="C2749" s="6" t="str">
        <x:v>We're soundproofing Toilet -1.31 (Basement 1). How many other rooms on that floor share a wall with it? Count every room whose wall runs along it for at least 1 m, with or without a door between them; corridors, stairwells and lifts don't count. Finish with a line 'Answer: &lt;number&gt;'.</x:v>
      </x:c>
      <x:c r="D2749" s="6" t="str">
        <x:v>Withheld in public test data. No reference answer supplied.</x:v>
      </x:c>
      <x:c r="E2749" s="6" t="str">
        <x:v>Withheld</x:v>
      </x:c>
      <x:c r="F2749" s="6" t="str">
        <x:v>test</x:v>
      </x:c>
      <x:c r="G2749" s="6" t="str">
        <x:v>proc-campus-test-005</x:v>
      </x:c>
      <x:c r="H2749" s="6" t="str">
        <x:v>proc-campus-test-005-H05</x:v>
      </x:c>
      <x:c r="I2749" s="6" t="str">
        <x:v>Spatial relationships</x:v>
      </x:c>
      <x:c r="J2749" s="6" t="str">
        <x:v>Benchmark</x:v>
      </x:c>
      <x:c r="K2749" s="6" t="str">
        <x:v>Answer: &lt;one exact integer&gt;</x:v>
      </x:c>
      <x:c r="L2749" s="6" t="str">
        <x:v>T02, T08, T14</x:v>
      </x:c>
      <x:c r="M2749" s="6" t="str">
        <x:v>Count other rooms sharing at least 1 m of wall with a room.</x:v>
      </x:c>
      <x:c r="N2749" s="6"/>
      <x:c r="O2749" s="6"/>
      <x:c r="P2749" s="6" t="str">
        <x:v>Same floor. Other type=room spaces. &gt;=1 m wall run within 0.35 m. Door not required.</x:v>
      </x:c>
      <x:c r="Q2749" s="15"/>
      <x:c r="R2749" s="6"/>
      <x:c r="S2749" s="16"/>
      <x:c r="T2749" s="15"/>
      <x:c r="U2749" s="6"/>
      <x:c r="V2749" s="6"/>
      <x:c r="W2749" s="6" t="str">
        <x:v>Missing boundary-adjacency tool. Door connectivity does not answer this question.</x:v>
      </x:c>
      <x:c r="X2749" s="6" t="str">
        <x:v>data/test/proc-campus-test-005/questions.jsonl</x:v>
      </x:c>
      <x:c r="Y2749" s="14" t="n">
        <x:v>5</x:v>
      </x:c>
      <x:c r="Z2749" s="6" t="str">
        <x:v>https://github.com/hagenhaeussler/Industrial-Agents-Hackathon-2026/blob/f41616590b69f3ea0c1cbfb41d6c35edd9ce53df/data/test/proc-campus-test-005/questions.jsonl#L5</x:v>
      </x:c>
      <x:c r="AA2749" s="6" t="str">
        <x:v>procedural</x:v>
      </x:c>
      <x:c r="AB2749" s="6" t="str">
        <x:v>CC0-1.0</x:v>
      </x:c>
    </x:row>
    <x:row r="2750" ht="82" customHeight="1">
      <x:c r="A2750" s="14" t="n">
        <x:v>2745</x:v>
      </x:c>
      <x:c r="B2750" s="6" t="str">
        <x:v>shared_walls_count</x:v>
      </x:c>
      <x:c r="C2750" s="6" t="str">
        <x:v>We're soundproofing Production zone H-A2 (Ground floor). How many other rooms on that floor share a wall with it? Count every room whose wall runs along it for at least 1 m, with or without a door between them; corridors, stairwells and lifts don't count. Finish with a line 'Answer: &lt;number&gt;'.</x:v>
      </x:c>
      <x:c r="D2750" s="6" t="str">
        <x:v>Withheld in public test data. No reference answer supplied.</x:v>
      </x:c>
      <x:c r="E2750" s="6" t="str">
        <x:v>Withheld</x:v>
      </x:c>
      <x:c r="F2750" s="6" t="str">
        <x:v>test</x:v>
      </x:c>
      <x:c r="G2750" s="6" t="str">
        <x:v>proc-factory-test-001</x:v>
      </x:c>
      <x:c r="H2750" s="6" t="str">
        <x:v>proc-factory-test-001-H03</x:v>
      </x:c>
      <x:c r="I2750" s="6" t="str">
        <x:v>Spatial relationships</x:v>
      </x:c>
      <x:c r="J2750" s="6" t="str">
        <x:v>Benchmark</x:v>
      </x:c>
      <x:c r="K2750" s="6" t="str">
        <x:v>Answer: &lt;one exact integer&gt;</x:v>
      </x:c>
      <x:c r="L2750" s="6" t="str">
        <x:v>T02, T08, T14</x:v>
      </x:c>
      <x:c r="M2750" s="6" t="str">
        <x:v>Count other rooms sharing at least 1 m of wall with a room.</x:v>
      </x:c>
      <x:c r="N2750" s="6"/>
      <x:c r="O2750" s="6"/>
      <x:c r="P2750" s="6" t="str">
        <x:v>Same floor. Other type=room spaces. &gt;=1 m wall run within 0.35 m. Door not required.</x:v>
      </x:c>
      <x:c r="Q2750" s="15"/>
      <x:c r="R2750" s="6"/>
      <x:c r="S2750" s="16"/>
      <x:c r="T2750" s="15"/>
      <x:c r="U2750" s="6"/>
      <x:c r="V2750" s="6"/>
      <x:c r="W2750" s="6" t="str">
        <x:v>Missing boundary-adjacency tool. Door connectivity does not answer this question.</x:v>
      </x:c>
      <x:c r="X2750" s="6" t="str">
        <x:v>data/test/proc-factory-test-001/questions.jsonl</x:v>
      </x:c>
      <x:c r="Y2750" s="14" t="n">
        <x:v>3</x:v>
      </x:c>
      <x:c r="Z2750" s="6" t="str">
        <x:v>https://github.com/hagenhaeussler/Industrial-Agents-Hackathon-2026/blob/f41616590b69f3ea0c1cbfb41d6c35edd9ce53df/data/test/proc-factory-test-001/questions.jsonl#L3</x:v>
      </x:c>
      <x:c r="AA2750" s="6" t="str">
        <x:v>procedural</x:v>
      </x:c>
      <x:c r="AB2750" s="6" t="str">
        <x:v>CC0-1.0</x:v>
      </x:c>
    </x:row>
    <x:row r="2751" ht="82" customHeight="1">
      <x:c r="A2751" s="14" t="n">
        <x:v>2746</x:v>
      </x:c>
      <x:c r="B2751" s="6" t="str">
        <x:v>shared_walls_count</x:v>
      </x:c>
      <x:c r="C2751" s="6" t="str">
        <x:v>We're soundproofing Office 0.38 (Ground floor). How many other rooms on that floor share a wall with it? Count every room whose wall runs along it for at least 1 m, with or without a door between them; corridors, stairwells and lifts don't count. Finish with a line 'Answer: &lt;number&gt;'.</x:v>
      </x:c>
      <x:c r="D2751" s="6" t="str">
        <x:v>Withheld in public test data. No reference answer supplied.</x:v>
      </x:c>
      <x:c r="E2751" s="6" t="str">
        <x:v>Withheld</x:v>
      </x:c>
      <x:c r="F2751" s="6" t="str">
        <x:v>test</x:v>
      </x:c>
      <x:c r="G2751" s="6" t="str">
        <x:v>proc-factory-test-002</x:v>
      </x:c>
      <x:c r="H2751" s="6" t="str">
        <x:v>proc-factory-test-002-H03</x:v>
      </x:c>
      <x:c r="I2751" s="6" t="str">
        <x:v>Spatial relationships</x:v>
      </x:c>
      <x:c r="J2751" s="6" t="str">
        <x:v>Benchmark</x:v>
      </x:c>
      <x:c r="K2751" s="6" t="str">
        <x:v>Answer: &lt;one exact integer&gt;</x:v>
      </x:c>
      <x:c r="L2751" s="6" t="str">
        <x:v>T02, T08, T14</x:v>
      </x:c>
      <x:c r="M2751" s="6" t="str">
        <x:v>Count other rooms sharing at least 1 m of wall with a room.</x:v>
      </x:c>
      <x:c r="N2751" s="6"/>
      <x:c r="O2751" s="6"/>
      <x:c r="P2751" s="6" t="str">
        <x:v>Same floor. Other type=room spaces. &gt;=1 m wall run within 0.35 m. Door not required.</x:v>
      </x:c>
      <x:c r="Q2751" s="15"/>
      <x:c r="R2751" s="6"/>
      <x:c r="S2751" s="16"/>
      <x:c r="T2751" s="15"/>
      <x:c r="U2751" s="6"/>
      <x:c r="V2751" s="6"/>
      <x:c r="W2751" s="6" t="str">
        <x:v>Missing boundary-adjacency tool. Door connectivity does not answer this question.</x:v>
      </x:c>
      <x:c r="X2751" s="6" t="str">
        <x:v>data/test/proc-factory-test-002/questions.jsonl</x:v>
      </x:c>
      <x:c r="Y2751" s="14" t="n">
        <x:v>3</x:v>
      </x:c>
      <x:c r="Z2751" s="6" t="str">
        <x:v>https://github.com/hagenhaeussler/Industrial-Agents-Hackathon-2026/blob/f41616590b69f3ea0c1cbfb41d6c35edd9ce53df/data/test/proc-factory-test-002/questions.jsonl#L3</x:v>
      </x:c>
      <x:c r="AA2751" s="6" t="str">
        <x:v>procedural</x:v>
      </x:c>
      <x:c r="AB2751" s="6" t="str">
        <x:v>CC0-1.0</x:v>
      </x:c>
    </x:row>
    <x:row r="2752" ht="82" customHeight="1">
      <x:c r="A2752" s="14" t="n">
        <x:v>2747</x:v>
      </x:c>
      <x:c r="B2752" s="6" t="str">
        <x:v>shared_walls_count</x:v>
      </x:c>
      <x:c r="C2752" s="6" t="str">
        <x:v>We're soundproofing Office 0.33 (Ground floor). How many other rooms on that floor share a wall with it? Count every room whose wall runs along it for at least 1 m, with or without a door between them; corridors, stairwells and lifts don't count. Finish with a line 'Answer: &lt;number&gt;'.</x:v>
      </x:c>
      <x:c r="D2752" s="6" t="str">
        <x:v>Withheld in public test data. No reference answer supplied.</x:v>
      </x:c>
      <x:c r="E2752" s="6" t="str">
        <x:v>Withheld</x:v>
      </x:c>
      <x:c r="F2752" s="6" t="str">
        <x:v>test</x:v>
      </x:c>
      <x:c r="G2752" s="6" t="str">
        <x:v>proc-factory-test-003</x:v>
      </x:c>
      <x:c r="H2752" s="6" t="str">
        <x:v>proc-factory-test-003-H05</x:v>
      </x:c>
      <x:c r="I2752" s="6" t="str">
        <x:v>Spatial relationships</x:v>
      </x:c>
      <x:c r="J2752" s="6" t="str">
        <x:v>Benchmark</x:v>
      </x:c>
      <x:c r="K2752" s="6" t="str">
        <x:v>Answer: &lt;one exact integer&gt;</x:v>
      </x:c>
      <x:c r="L2752" s="6" t="str">
        <x:v>T02, T08, T14</x:v>
      </x:c>
      <x:c r="M2752" s="6" t="str">
        <x:v>Count other rooms sharing at least 1 m of wall with a room.</x:v>
      </x:c>
      <x:c r="N2752" s="6"/>
      <x:c r="O2752" s="6"/>
      <x:c r="P2752" s="6" t="str">
        <x:v>Same floor. Other type=room spaces. &gt;=1 m wall run within 0.35 m. Door not required.</x:v>
      </x:c>
      <x:c r="Q2752" s="15"/>
      <x:c r="R2752" s="6"/>
      <x:c r="S2752" s="16"/>
      <x:c r="T2752" s="15"/>
      <x:c r="U2752" s="6"/>
      <x:c r="V2752" s="6"/>
      <x:c r="W2752" s="6" t="str">
        <x:v>Missing boundary-adjacency tool. Door connectivity does not answer this question.</x:v>
      </x:c>
      <x:c r="X2752" s="6" t="str">
        <x:v>data/test/proc-factory-test-003/questions.jsonl</x:v>
      </x:c>
      <x:c r="Y2752" s="14" t="n">
        <x:v>5</x:v>
      </x:c>
      <x:c r="Z2752" s="6" t="str">
        <x:v>https://github.com/hagenhaeussler/Industrial-Agents-Hackathon-2026/blob/f41616590b69f3ea0c1cbfb41d6c35edd9ce53df/data/test/proc-factory-test-003/questions.jsonl#L5</x:v>
      </x:c>
      <x:c r="AA2752" s="6" t="str">
        <x:v>procedural</x:v>
      </x:c>
      <x:c r="AB2752" s="6" t="str">
        <x:v>CC0-1.0</x:v>
      </x:c>
    </x:row>
    <x:row r="2753" ht="82" customHeight="1">
      <x:c r="A2753" s="14" t="n">
        <x:v>2748</x:v>
      </x:c>
      <x:c r="B2753" s="6" t="str">
        <x:v>shared_walls_count</x:v>
      </x:c>
      <x:c r="C2753" s="6" t="str">
        <x:v>We're soundproofing Office 0.20 (Ground floor). How many other rooms on that floor share a wall with it? Count every room whose wall runs along it for at least 1 m, with or without a door between them; corridors, stairwells and lifts don't count. Finish with a line 'Answer: &lt;number&gt;'.</x:v>
      </x:c>
      <x:c r="D2753" s="6" t="str">
        <x:v>Withheld in public test data. No reference answer supplied.</x:v>
      </x:c>
      <x:c r="E2753" s="6" t="str">
        <x:v>Withheld</x:v>
      </x:c>
      <x:c r="F2753" s="6" t="str">
        <x:v>test</x:v>
      </x:c>
      <x:c r="G2753" s="6" t="str">
        <x:v>proc-factory-test-006</x:v>
      </x:c>
      <x:c r="H2753" s="6" t="str">
        <x:v>proc-factory-test-006-H03</x:v>
      </x:c>
      <x:c r="I2753" s="6" t="str">
        <x:v>Spatial relationships</x:v>
      </x:c>
      <x:c r="J2753" s="6" t="str">
        <x:v>Benchmark</x:v>
      </x:c>
      <x:c r="K2753" s="6" t="str">
        <x:v>Answer: &lt;one exact integer&gt;</x:v>
      </x:c>
      <x:c r="L2753" s="6" t="str">
        <x:v>T02, T08, T14</x:v>
      </x:c>
      <x:c r="M2753" s="6" t="str">
        <x:v>Count other rooms sharing at least 1 m of wall with a room.</x:v>
      </x:c>
      <x:c r="N2753" s="6"/>
      <x:c r="O2753" s="6"/>
      <x:c r="P2753" s="6" t="str">
        <x:v>Same floor. Other type=room spaces. &gt;=1 m wall run within 0.35 m. Door not required.</x:v>
      </x:c>
      <x:c r="Q2753" s="15"/>
      <x:c r="R2753" s="6"/>
      <x:c r="S2753" s="16"/>
      <x:c r="T2753" s="15"/>
      <x:c r="U2753" s="6"/>
      <x:c r="V2753" s="6"/>
      <x:c r="W2753" s="6" t="str">
        <x:v>Missing boundary-adjacency tool. Door connectivity does not answer this question.</x:v>
      </x:c>
      <x:c r="X2753" s="6" t="str">
        <x:v>data/test/proc-factory-test-006/questions.jsonl</x:v>
      </x:c>
      <x:c r="Y2753" s="14" t="n">
        <x:v>3</x:v>
      </x:c>
      <x:c r="Z2753" s="6" t="str">
        <x:v>https://github.com/hagenhaeussler/Industrial-Agents-Hackathon-2026/blob/f41616590b69f3ea0c1cbfb41d6c35edd9ce53df/data/test/proc-factory-test-006/questions.jsonl#L3</x:v>
      </x:c>
      <x:c r="AA2753" s="6" t="str">
        <x:v>procedural</x:v>
      </x:c>
      <x:c r="AB2753" s="6" t="str">
        <x:v>CC0-1.0</x:v>
      </x:c>
    </x:row>
    <x:row r="2754" ht="82" customHeight="1">
      <x:c r="A2754" s="14" t="n">
        <x:v>2749</x:v>
      </x:c>
      <x:c r="B2754" s="6" t="str">
        <x:v>shared_walls_count</x:v>
      </x:c>
      <x:c r="C2754" s="6" t="str">
        <x:v>We're soundproofing Kitchen 0.43 (Ground floor). How many other rooms on that floor share a wall with it? Count every room whose wall runs along it for at least 1 m, with or without a door between them; corridors, stairwells and lifts don't count. Finish with a line 'Answer: &lt;number&gt;'.</x:v>
      </x:c>
      <x:c r="D2754" s="6" t="str">
        <x:v>Withheld in public test data. No reference answer supplied.</x:v>
      </x:c>
      <x:c r="E2754" s="6" t="str">
        <x:v>Withheld</x:v>
      </x:c>
      <x:c r="F2754" s="6" t="str">
        <x:v>test</x:v>
      </x:c>
      <x:c r="G2754" s="6" t="str">
        <x:v>proc-factory-test-007</x:v>
      </x:c>
      <x:c r="H2754" s="6" t="str">
        <x:v>proc-factory-test-007-H05</x:v>
      </x:c>
      <x:c r="I2754" s="6" t="str">
        <x:v>Spatial relationships</x:v>
      </x:c>
      <x:c r="J2754" s="6" t="str">
        <x:v>Benchmark</x:v>
      </x:c>
      <x:c r="K2754" s="6" t="str">
        <x:v>Answer: &lt;one exact integer&gt;</x:v>
      </x:c>
      <x:c r="L2754" s="6" t="str">
        <x:v>T02, T08, T14</x:v>
      </x:c>
      <x:c r="M2754" s="6" t="str">
        <x:v>Count other rooms sharing at least 1 m of wall with a room.</x:v>
      </x:c>
      <x:c r="N2754" s="6"/>
      <x:c r="O2754" s="6"/>
      <x:c r="P2754" s="6" t="str">
        <x:v>Same floor. Other type=room spaces. &gt;=1 m wall run within 0.35 m. Door not required.</x:v>
      </x:c>
      <x:c r="Q2754" s="15"/>
      <x:c r="R2754" s="6"/>
      <x:c r="S2754" s="16"/>
      <x:c r="T2754" s="15"/>
      <x:c r="U2754" s="6"/>
      <x:c r="V2754" s="6"/>
      <x:c r="W2754" s="6" t="str">
        <x:v>Missing boundary-adjacency tool. Door connectivity does not answer this question.</x:v>
      </x:c>
      <x:c r="X2754" s="6" t="str">
        <x:v>data/test/proc-factory-test-007/questions.jsonl</x:v>
      </x:c>
      <x:c r="Y2754" s="14" t="n">
        <x:v>5</x:v>
      </x:c>
      <x:c r="Z2754" s="6" t="str">
        <x:v>https://github.com/hagenhaeussler/Industrial-Agents-Hackathon-2026/blob/f41616590b69f3ea0c1cbfb41d6c35edd9ce53df/data/test/proc-factory-test-007/questions.jsonl#L5</x:v>
      </x:c>
      <x:c r="AA2754" s="6" t="str">
        <x:v>procedural</x:v>
      </x:c>
      <x:c r="AB2754" s="6" t="str">
        <x:v>CC0-1.0</x:v>
      </x:c>
    </x:row>
    <x:row r="2755" ht="82" customHeight="1">
      <x:c r="A2755" s="14" t="n">
        <x:v>2750</x:v>
      </x:c>
      <x:c r="B2755" s="6" t="str">
        <x:v>shared_walls_count</x:v>
      </x:c>
      <x:c r="C2755" s="6" t="str">
        <x:v>We're soundproofing Office 0.27 (Ground floor). How many other rooms on that floor share a wall with it? Count every room whose wall runs along it for at least 1 m, with or without a door between them; corridors, stairwells and lifts don't count. Finish with a line 'Answer: &lt;number&gt;'.</x:v>
      </x:c>
      <x:c r="D2755" s="6" t="str">
        <x:v>Withheld in public test data. No reference answer supplied.</x:v>
      </x:c>
      <x:c r="E2755" s="6" t="str">
        <x:v>Withheld</x:v>
      </x:c>
      <x:c r="F2755" s="6" t="str">
        <x:v>test</x:v>
      </x:c>
      <x:c r="G2755" s="6" t="str">
        <x:v>proc-factory-test-009</x:v>
      </x:c>
      <x:c r="H2755" s="6" t="str">
        <x:v>proc-factory-test-009-H03</x:v>
      </x:c>
      <x:c r="I2755" s="6" t="str">
        <x:v>Spatial relationships</x:v>
      </x:c>
      <x:c r="J2755" s="6" t="str">
        <x:v>Benchmark</x:v>
      </x:c>
      <x:c r="K2755" s="6" t="str">
        <x:v>Answer: &lt;one exact integer&gt;</x:v>
      </x:c>
      <x:c r="L2755" s="6" t="str">
        <x:v>T02, T08, T14</x:v>
      </x:c>
      <x:c r="M2755" s="6" t="str">
        <x:v>Count other rooms sharing at least 1 m of wall with a room.</x:v>
      </x:c>
      <x:c r="N2755" s="6"/>
      <x:c r="O2755" s="6"/>
      <x:c r="P2755" s="6" t="str">
        <x:v>Same floor. Other type=room spaces. &gt;=1 m wall run within 0.35 m. Door not required.</x:v>
      </x:c>
      <x:c r="Q2755" s="15"/>
      <x:c r="R2755" s="6"/>
      <x:c r="S2755" s="16"/>
      <x:c r="T2755" s="15"/>
      <x:c r="U2755" s="6"/>
      <x:c r="V2755" s="6"/>
      <x:c r="W2755" s="6" t="str">
        <x:v>Missing boundary-adjacency tool. Door connectivity does not answer this question.</x:v>
      </x:c>
      <x:c r="X2755" s="6" t="str">
        <x:v>data/test/proc-factory-test-009/questions.jsonl</x:v>
      </x:c>
      <x:c r="Y2755" s="14" t="n">
        <x:v>3</x:v>
      </x:c>
      <x:c r="Z2755" s="6" t="str">
        <x:v>https://github.com/hagenhaeussler/Industrial-Agents-Hackathon-2026/blob/f41616590b69f3ea0c1cbfb41d6c35edd9ce53df/data/test/proc-factory-test-009/questions.jsonl#L3</x:v>
      </x:c>
      <x:c r="AA2755" s="6" t="str">
        <x:v>procedural</x:v>
      </x:c>
      <x:c r="AB2755" s="6" t="str">
        <x:v>CC0-1.0</x:v>
      </x:c>
    </x:row>
    <x:row r="2756" ht="82" customHeight="1">
      <x:c r="A2756" s="14" t="n">
        <x:v>2751</x:v>
      </x:c>
      <x:c r="B2756" s="6" t="str">
        <x:v>shared_walls_count</x:v>
      </x:c>
      <x:c r="C2756" s="6" t="str">
        <x:v>We're soundproofing Quality lab 0.27 (Ground floor). How many other rooms on that floor share a wall with it? Count every room whose wall runs along it for at least 1 m, with or without a door between them; corridors, stairwells and lifts don't count. Finish with a line 'Answer: &lt;number&gt;'.</x:v>
      </x:c>
      <x:c r="D2756" s="6" t="str">
        <x:v>Withheld in public test data. No reference answer supplied.</x:v>
      </x:c>
      <x:c r="E2756" s="6" t="str">
        <x:v>Withheld</x:v>
      </x:c>
      <x:c r="F2756" s="6" t="str">
        <x:v>test</x:v>
      </x:c>
      <x:c r="G2756" s="6" t="str">
        <x:v>proc-factory-test-010</x:v>
      </x:c>
      <x:c r="H2756" s="6" t="str">
        <x:v>proc-factory-test-010-H05</x:v>
      </x:c>
      <x:c r="I2756" s="6" t="str">
        <x:v>Spatial relationships</x:v>
      </x:c>
      <x:c r="J2756" s="6" t="str">
        <x:v>Benchmark</x:v>
      </x:c>
      <x:c r="K2756" s="6" t="str">
        <x:v>Answer: &lt;one exact integer&gt;</x:v>
      </x:c>
      <x:c r="L2756" s="6" t="str">
        <x:v>T02, T08, T14</x:v>
      </x:c>
      <x:c r="M2756" s="6" t="str">
        <x:v>Count other rooms sharing at least 1 m of wall with a room.</x:v>
      </x:c>
      <x:c r="N2756" s="6"/>
      <x:c r="O2756" s="6"/>
      <x:c r="P2756" s="6" t="str">
        <x:v>Same floor. Other type=room spaces. &gt;=1 m wall run within 0.35 m. Door not required.</x:v>
      </x:c>
      <x:c r="Q2756" s="15"/>
      <x:c r="R2756" s="6"/>
      <x:c r="S2756" s="16"/>
      <x:c r="T2756" s="15"/>
      <x:c r="U2756" s="6"/>
      <x:c r="V2756" s="6"/>
      <x:c r="W2756" s="6" t="str">
        <x:v>Missing boundary-adjacency tool. Door connectivity does not answer this question.</x:v>
      </x:c>
      <x:c r="X2756" s="6" t="str">
        <x:v>data/test/proc-factory-test-010/questions.jsonl</x:v>
      </x:c>
      <x:c r="Y2756" s="14" t="n">
        <x:v>5</x:v>
      </x:c>
      <x:c r="Z2756" s="6" t="str">
        <x:v>https://github.com/hagenhaeussler/Industrial-Agents-Hackathon-2026/blob/f41616590b69f3ea0c1cbfb41d6c35edd9ce53df/data/test/proc-factory-test-010/questions.jsonl#L5</x:v>
      </x:c>
      <x:c r="AA2756" s="6" t="str">
        <x:v>procedural</x:v>
      </x:c>
      <x:c r="AB2756" s="6" t="str">
        <x:v>CC0-1.0</x:v>
      </x:c>
    </x:row>
    <x:row r="2757" ht="82" customHeight="1">
      <x:c r="A2757" s="14" t="n">
        <x:v>2752</x:v>
      </x:c>
      <x:c r="B2757" s="6" t="str">
        <x:v>shared_walls_count</x:v>
      </x:c>
      <x:c r="C2757" s="6" t="str">
        <x:v>We're soundproofing Locker room 0.41 (Ground floor). How many other rooms on that floor share a wall with it? Count every room whose wall runs along it for at least 1 m, with or without a door between them; corridors, stairwells and lifts don't count. Finish with a line 'Answer: &lt;number&gt;'.</x:v>
      </x:c>
      <x:c r="D2757" s="6" t="str">
        <x:v>Withheld in public test data. No reference answer supplied.</x:v>
      </x:c>
      <x:c r="E2757" s="6" t="str">
        <x:v>Withheld</x:v>
      </x:c>
      <x:c r="F2757" s="6" t="str">
        <x:v>test</x:v>
      </x:c>
      <x:c r="G2757" s="6" t="str">
        <x:v>proc-factory-test-011</x:v>
      </x:c>
      <x:c r="H2757" s="6" t="str">
        <x:v>proc-factory-test-011-H03</x:v>
      </x:c>
      <x:c r="I2757" s="6" t="str">
        <x:v>Spatial relationships</x:v>
      </x:c>
      <x:c r="J2757" s="6" t="str">
        <x:v>Benchmark</x:v>
      </x:c>
      <x:c r="K2757" s="6" t="str">
        <x:v>Answer: &lt;one exact integer&gt;</x:v>
      </x:c>
      <x:c r="L2757" s="6" t="str">
        <x:v>T02, T08, T14</x:v>
      </x:c>
      <x:c r="M2757" s="6" t="str">
        <x:v>Count other rooms sharing at least 1 m of wall with a room.</x:v>
      </x:c>
      <x:c r="N2757" s="6"/>
      <x:c r="O2757" s="6"/>
      <x:c r="P2757" s="6" t="str">
        <x:v>Same floor. Other type=room spaces. &gt;=1 m wall run within 0.35 m. Door not required.</x:v>
      </x:c>
      <x:c r="Q2757" s="15"/>
      <x:c r="R2757" s="6"/>
      <x:c r="S2757" s="16"/>
      <x:c r="T2757" s="15"/>
      <x:c r="U2757" s="6"/>
      <x:c r="V2757" s="6"/>
      <x:c r="W2757" s="6" t="str">
        <x:v>Missing boundary-adjacency tool. Door connectivity does not answer this question.</x:v>
      </x:c>
      <x:c r="X2757" s="6" t="str">
        <x:v>data/test/proc-factory-test-011/questions.jsonl</x:v>
      </x:c>
      <x:c r="Y2757" s="14" t="n">
        <x:v>3</x:v>
      </x:c>
      <x:c r="Z2757" s="6" t="str">
        <x:v>https://github.com/hagenhaeussler/Industrial-Agents-Hackathon-2026/blob/f41616590b69f3ea0c1cbfb41d6c35edd9ce53df/data/test/proc-factory-test-011/questions.jsonl#L3</x:v>
      </x:c>
      <x:c r="AA2757" s="6" t="str">
        <x:v>procedural</x:v>
      </x:c>
      <x:c r="AB2757" s="6" t="str">
        <x:v>CC0-1.0</x:v>
      </x:c>
    </x:row>
    <x:row r="2758" ht="82" customHeight="1">
      <x:c r="A2758" s="14" t="n">
        <x:v>2753</x:v>
      </x:c>
      <x:c r="B2758" s="6" t="str">
        <x:v>shared_walls_count</x:v>
      </x:c>
      <x:c r="C2758"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758" s="6" t="str">
        <x:v>Withheld in public test data. No reference answer supplied.</x:v>
      </x:c>
      <x:c r="E2758" s="6" t="str">
        <x:v>Withheld</x:v>
      </x:c>
      <x:c r="F2758" s="6" t="str">
        <x:v>test</x:v>
      </x:c>
      <x:c r="G2758" s="6" t="str">
        <x:v>resplan-1153</x:v>
      </x:c>
      <x:c r="H2758" s="6" t="str">
        <x:v>resplan-1153-H02</x:v>
      </x:c>
      <x:c r="I2758" s="6" t="str">
        <x:v>Spatial relationships</x:v>
      </x:c>
      <x:c r="J2758" s="6" t="str">
        <x:v>Benchmark</x:v>
      </x:c>
      <x:c r="K2758" s="6" t="str">
        <x:v>Answer: &lt;one exact integer&gt;</x:v>
      </x:c>
      <x:c r="L2758" s="6" t="str">
        <x:v>T02, T08, T14</x:v>
      </x:c>
      <x:c r="M2758" s="6" t="str">
        <x:v>Count other rooms sharing at least 1 m of wall with a room.</x:v>
      </x:c>
      <x:c r="N2758" s="6"/>
      <x:c r="O2758" s="6"/>
      <x:c r="P2758" s="6" t="str">
        <x:v>Same floor. Other type=room spaces. &gt;=1 m wall run within 0.35 m. Door not required.</x:v>
      </x:c>
      <x:c r="Q2758" s="15"/>
      <x:c r="R2758" s="6"/>
      <x:c r="S2758" s="16"/>
      <x:c r="T2758" s="15"/>
      <x:c r="U2758" s="6"/>
      <x:c r="V2758" s="6"/>
      <x:c r="W2758" s="6" t="str">
        <x:v>Missing boundary-adjacency tool. Door connectivity does not answer this question.</x:v>
      </x:c>
      <x:c r="X2758" s="6" t="str">
        <x:v>data/test/resplan-1153/questions.jsonl</x:v>
      </x:c>
      <x:c r="Y2758" s="14" t="n">
        <x:v>2</x:v>
      </x:c>
      <x:c r="Z2758" s="6" t="str">
        <x:v>https://github.com/hagenhaeussler/Industrial-Agents-Hackathon-2026/blob/f41616590b69f3ea0c1cbfb41d6c35edd9ce53df/data/test/resplan-1153/questions.jsonl#L2</x:v>
      </x:c>
      <x:c r="AA2758" s="6" t="str">
        <x:v>resplan</x:v>
      </x:c>
      <x:c r="AB2758" s="6" t="str">
        <x:v>CC-BY-4.0</x:v>
      </x:c>
    </x:row>
    <x:row r="2759" ht="82" customHeight="1">
      <x:c r="A2759" s="14" t="n">
        <x:v>2754</x:v>
      </x:c>
      <x:c r="B2759" s="6" t="str">
        <x:v>shared_walls_count</x:v>
      </x:c>
      <x:c r="C2759" s="6" t="str">
        <x:v>We're soundproofing Bedroom 0.05 (Ground floor). How many other rooms on that floor share a wall with it? Count every room whose wall runs along it for at least 1 m, with or without a door between them; corridors, stairwells and lifts don't count. Finish with a line 'Answer: &lt;number&gt;'.</x:v>
      </x:c>
      <x:c r="D2759" s="6" t="str">
        <x:v>Withheld in public test data. No reference answer supplied.</x:v>
      </x:c>
      <x:c r="E2759" s="6" t="str">
        <x:v>Withheld</x:v>
      </x:c>
      <x:c r="F2759" s="6" t="str">
        <x:v>test</x:v>
      </x:c>
      <x:c r="G2759" s="6" t="str">
        <x:v>resplan-12469</x:v>
      </x:c>
      <x:c r="H2759" s="6" t="str">
        <x:v>resplan-12469-H03</x:v>
      </x:c>
      <x:c r="I2759" s="6" t="str">
        <x:v>Spatial relationships</x:v>
      </x:c>
      <x:c r="J2759" s="6" t="str">
        <x:v>Benchmark</x:v>
      </x:c>
      <x:c r="K2759" s="6" t="str">
        <x:v>Answer: &lt;one exact integer&gt;</x:v>
      </x:c>
      <x:c r="L2759" s="6" t="str">
        <x:v>T02, T08, T14</x:v>
      </x:c>
      <x:c r="M2759" s="6" t="str">
        <x:v>Count other rooms sharing at least 1 m of wall with a room.</x:v>
      </x:c>
      <x:c r="N2759" s="6"/>
      <x:c r="O2759" s="6"/>
      <x:c r="P2759" s="6" t="str">
        <x:v>Same floor. Other type=room spaces. &gt;=1 m wall run within 0.35 m. Door not required.</x:v>
      </x:c>
      <x:c r="Q2759" s="15"/>
      <x:c r="R2759" s="6"/>
      <x:c r="S2759" s="16"/>
      <x:c r="T2759" s="15"/>
      <x:c r="U2759" s="6"/>
      <x:c r="V2759" s="6"/>
      <x:c r="W2759" s="6" t="str">
        <x:v>Missing boundary-adjacency tool. Door connectivity does not answer this question.</x:v>
      </x:c>
      <x:c r="X2759" s="6" t="str">
        <x:v>data/test/resplan-12469/questions.jsonl</x:v>
      </x:c>
      <x:c r="Y2759" s="14" t="n">
        <x:v>3</x:v>
      </x:c>
      <x:c r="Z2759" s="6" t="str">
        <x:v>https://github.com/hagenhaeussler/Industrial-Agents-Hackathon-2026/blob/f41616590b69f3ea0c1cbfb41d6c35edd9ce53df/data/test/resplan-12469/questions.jsonl#L3</x:v>
      </x:c>
      <x:c r="AA2759" s="6" t="str">
        <x:v>resplan</x:v>
      </x:c>
      <x:c r="AB2759" s="6" t="str">
        <x:v>CC-BY-4.0</x:v>
      </x:c>
    </x:row>
    <x:row r="2760" ht="82" customHeight="1">
      <x:c r="A2760" s="14" t="n">
        <x:v>2755</x:v>
      </x:c>
      <x:c r="B2760" s="6" t="str">
        <x:v>shared_walls_count</x:v>
      </x:c>
      <x:c r="C2760"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760" s="6" t="str">
        <x:v>Withheld in public test data. No reference answer supplied.</x:v>
      </x:c>
      <x:c r="E2760" s="6" t="str">
        <x:v>Withheld</x:v>
      </x:c>
      <x:c r="F2760" s="6" t="str">
        <x:v>test</x:v>
      </x:c>
      <x:c r="G2760" s="6" t="str">
        <x:v>resplan-12962</x:v>
      </x:c>
      <x:c r="H2760" s="6" t="str">
        <x:v>resplan-12962-H01</x:v>
      </x:c>
      <x:c r="I2760" s="6" t="str">
        <x:v>Spatial relationships</x:v>
      </x:c>
      <x:c r="J2760" s="6" t="str">
        <x:v>Benchmark</x:v>
      </x:c>
      <x:c r="K2760" s="6" t="str">
        <x:v>Answer: &lt;one exact integer&gt;</x:v>
      </x:c>
      <x:c r="L2760" s="6" t="str">
        <x:v>T02, T08, T14</x:v>
      </x:c>
      <x:c r="M2760" s="6" t="str">
        <x:v>Count other rooms sharing at least 1 m of wall with a room.</x:v>
      </x:c>
      <x:c r="N2760" s="6"/>
      <x:c r="O2760" s="6"/>
      <x:c r="P2760" s="6" t="str">
        <x:v>Same floor. Other type=room spaces. &gt;=1 m wall run within 0.35 m. Door not required.</x:v>
      </x:c>
      <x:c r="Q2760" s="15"/>
      <x:c r="R2760" s="6"/>
      <x:c r="S2760" s="16"/>
      <x:c r="T2760" s="15"/>
      <x:c r="U2760" s="6"/>
      <x:c r="V2760" s="6"/>
      <x:c r="W2760" s="6" t="str">
        <x:v>Missing boundary-adjacency tool. Door connectivity does not answer this question.</x:v>
      </x:c>
      <x:c r="X2760" s="6" t="str">
        <x:v>data/test/resplan-12962/questions.jsonl</x:v>
      </x:c>
      <x:c r="Y2760" s="14" t="n">
        <x:v>1</x:v>
      </x:c>
      <x:c r="Z2760" s="6" t="str">
        <x:v>https://github.com/hagenhaeussler/Industrial-Agents-Hackathon-2026/blob/f41616590b69f3ea0c1cbfb41d6c35edd9ce53df/data/test/resplan-12962/questions.jsonl#L1</x:v>
      </x:c>
      <x:c r="AA2760" s="6" t="str">
        <x:v>resplan</x:v>
      </x:c>
      <x:c r="AB2760" s="6" t="str">
        <x:v>CC-BY-4.0</x:v>
      </x:c>
    </x:row>
    <x:row r="2761" ht="82" customHeight="1">
      <x:c r="A2761" s="14" t="n">
        <x:v>2756</x:v>
      </x:c>
      <x:c r="B2761" s="6" t="str">
        <x:v>shared_walls_count</x:v>
      </x:c>
      <x:c r="C2761" s="6" t="str">
        <x:v>We're soundproofing Bedroom 0.02 (Ground floor). How many other rooms on that floor share a wall with it? Count every room whose wall runs along it for at least 1 m, with or without a door between them; corridors, stairwells and lifts don't count. Finish with a line 'Answer: &lt;number&gt;'.</x:v>
      </x:c>
      <x:c r="D2761" s="6" t="str">
        <x:v>Withheld in public test data. No reference answer supplied.</x:v>
      </x:c>
      <x:c r="E2761" s="6" t="str">
        <x:v>Withheld</x:v>
      </x:c>
      <x:c r="F2761" s="6" t="str">
        <x:v>test</x:v>
      </x:c>
      <x:c r="G2761" s="6" t="str">
        <x:v>resplan-14307</x:v>
      </x:c>
      <x:c r="H2761" s="6" t="str">
        <x:v>resplan-14307-H01</x:v>
      </x:c>
      <x:c r="I2761" s="6" t="str">
        <x:v>Spatial relationships</x:v>
      </x:c>
      <x:c r="J2761" s="6" t="str">
        <x:v>Benchmark</x:v>
      </x:c>
      <x:c r="K2761" s="6" t="str">
        <x:v>Answer: &lt;one exact integer&gt;</x:v>
      </x:c>
      <x:c r="L2761" s="6" t="str">
        <x:v>T02, T08, T14</x:v>
      </x:c>
      <x:c r="M2761" s="6" t="str">
        <x:v>Count other rooms sharing at least 1 m of wall with a room.</x:v>
      </x:c>
      <x:c r="N2761" s="6"/>
      <x:c r="O2761" s="6"/>
      <x:c r="P2761" s="6" t="str">
        <x:v>Same floor. Other type=room spaces. &gt;=1 m wall run within 0.35 m. Door not required.</x:v>
      </x:c>
      <x:c r="Q2761" s="15"/>
      <x:c r="R2761" s="6"/>
      <x:c r="S2761" s="16"/>
      <x:c r="T2761" s="15"/>
      <x:c r="U2761" s="6"/>
      <x:c r="V2761" s="6"/>
      <x:c r="W2761" s="6" t="str">
        <x:v>Missing boundary-adjacency tool. Door connectivity does not answer this question.</x:v>
      </x:c>
      <x:c r="X2761" s="6" t="str">
        <x:v>data/test/resplan-14307/questions.jsonl</x:v>
      </x:c>
      <x:c r="Y2761" s="14" t="n">
        <x:v>1</x:v>
      </x:c>
      <x:c r="Z2761" s="6" t="str">
        <x:v>https://github.com/hagenhaeussler/Industrial-Agents-Hackathon-2026/blob/f41616590b69f3ea0c1cbfb41d6c35edd9ce53df/data/test/resplan-14307/questions.jsonl#L1</x:v>
      </x:c>
      <x:c r="AA2761" s="6" t="str">
        <x:v>resplan</x:v>
      </x:c>
      <x:c r="AB2761" s="6" t="str">
        <x:v>CC-BY-4.0</x:v>
      </x:c>
    </x:row>
    <x:row r="2762" ht="82" customHeight="1">
      <x:c r="A2762" s="14" t="n">
        <x:v>2757</x:v>
      </x:c>
      <x:c r="B2762" s="6" t="str">
        <x:v>shared_walls_count</x:v>
      </x:c>
      <x:c r="C2762"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762" s="6" t="str">
        <x:v>Withheld in public test data. No reference answer supplied.</x:v>
      </x:c>
      <x:c r="E2762" s="6" t="str">
        <x:v>Withheld</x:v>
      </x:c>
      <x:c r="F2762" s="6" t="str">
        <x:v>test</x:v>
      </x:c>
      <x:c r="G2762" s="6" t="str">
        <x:v>resplan-3573</x:v>
      </x:c>
      <x:c r="H2762" s="6" t="str">
        <x:v>resplan-3573-H05</x:v>
      </x:c>
      <x:c r="I2762" s="6" t="str">
        <x:v>Spatial relationships</x:v>
      </x:c>
      <x:c r="J2762" s="6" t="str">
        <x:v>Benchmark</x:v>
      </x:c>
      <x:c r="K2762" s="6" t="str">
        <x:v>Answer: &lt;one exact integer&gt;</x:v>
      </x:c>
      <x:c r="L2762" s="6" t="str">
        <x:v>T02, T08, T14</x:v>
      </x:c>
      <x:c r="M2762" s="6" t="str">
        <x:v>Count other rooms sharing at least 1 m of wall with a room.</x:v>
      </x:c>
      <x:c r="N2762" s="6"/>
      <x:c r="O2762" s="6"/>
      <x:c r="P2762" s="6" t="str">
        <x:v>Same floor. Other type=room spaces. &gt;=1 m wall run within 0.35 m. Door not required.</x:v>
      </x:c>
      <x:c r="Q2762" s="15"/>
      <x:c r="R2762" s="6"/>
      <x:c r="S2762" s="16"/>
      <x:c r="T2762" s="15"/>
      <x:c r="U2762" s="6"/>
      <x:c r="V2762" s="6"/>
      <x:c r="W2762" s="6" t="str">
        <x:v>Missing boundary-adjacency tool. Door connectivity does not answer this question.</x:v>
      </x:c>
      <x:c r="X2762" s="6" t="str">
        <x:v>data/test/resplan-3573/questions.jsonl</x:v>
      </x:c>
      <x:c r="Y2762" s="14" t="n">
        <x:v>5</x:v>
      </x:c>
      <x:c r="Z2762" s="6" t="str">
        <x:v>https://github.com/hagenhaeussler/Industrial-Agents-Hackathon-2026/blob/f41616590b69f3ea0c1cbfb41d6c35edd9ce53df/data/test/resplan-3573/questions.jsonl#L5</x:v>
      </x:c>
      <x:c r="AA2762" s="6" t="str">
        <x:v>resplan</x:v>
      </x:c>
      <x:c r="AB2762" s="6" t="str">
        <x:v>CC-BY-4.0</x:v>
      </x:c>
    </x:row>
    <x:row r="2763" ht="82" customHeight="1">
      <x:c r="A2763" s="14" t="n">
        <x:v>2758</x:v>
      </x:c>
      <x:c r="B2763" s="6" t="str">
        <x:v>shared_walls_count</x:v>
      </x:c>
      <x:c r="C2763" s="6" t="str">
        <x:v>We're soundproofing Bedroom 0.03 (Ground floor). How many other rooms on that floor share a wall with it? Count every room whose wall runs along it for at least 1 m, with or without a door between them; corridors, stairwells and lifts don't count. Finish with a line 'Answer: &lt;number&gt;'.</x:v>
      </x:c>
      <x:c r="D2763" s="6" t="str">
        <x:v>Withheld in public test data. No reference answer supplied.</x:v>
      </x:c>
      <x:c r="E2763" s="6" t="str">
        <x:v>Withheld</x:v>
      </x:c>
      <x:c r="F2763" s="6" t="str">
        <x:v>test</x:v>
      </x:c>
      <x:c r="G2763" s="6" t="str">
        <x:v>resplan-6532</x:v>
      </x:c>
      <x:c r="H2763" s="6" t="str">
        <x:v>resplan-6532-H02</x:v>
      </x:c>
      <x:c r="I2763" s="6" t="str">
        <x:v>Spatial relationships</x:v>
      </x:c>
      <x:c r="J2763" s="6" t="str">
        <x:v>Benchmark</x:v>
      </x:c>
      <x:c r="K2763" s="6" t="str">
        <x:v>Answer: &lt;one exact integer&gt;</x:v>
      </x:c>
      <x:c r="L2763" s="6" t="str">
        <x:v>T02, T08, T14</x:v>
      </x:c>
      <x:c r="M2763" s="6" t="str">
        <x:v>Count other rooms sharing at least 1 m of wall with a room.</x:v>
      </x:c>
      <x:c r="N2763" s="6"/>
      <x:c r="O2763" s="6"/>
      <x:c r="P2763" s="6" t="str">
        <x:v>Same floor. Other type=room spaces. &gt;=1 m wall run within 0.35 m. Door not required.</x:v>
      </x:c>
      <x:c r="Q2763" s="15"/>
      <x:c r="R2763" s="6"/>
      <x:c r="S2763" s="16"/>
      <x:c r="T2763" s="15"/>
      <x:c r="U2763" s="6"/>
      <x:c r="V2763" s="6"/>
      <x:c r="W2763" s="6" t="str">
        <x:v>Missing boundary-adjacency tool. Door connectivity does not answer this question.</x:v>
      </x:c>
      <x:c r="X2763" s="6" t="str">
        <x:v>data/test/resplan-6532/questions.jsonl</x:v>
      </x:c>
      <x:c r="Y2763" s="14" t="n">
        <x:v>2</x:v>
      </x:c>
      <x:c r="Z2763" s="6" t="str">
        <x:v>https://github.com/hagenhaeussler/Industrial-Agents-Hackathon-2026/blob/f41616590b69f3ea0c1cbfb41d6c35edd9ce53df/data/test/resplan-6532/questions.jsonl#L2</x:v>
      </x:c>
      <x:c r="AA2763" s="6" t="str">
        <x:v>resplan</x:v>
      </x:c>
      <x:c r="AB2763" s="6" t="str">
        <x:v>CC-BY-4.0</x:v>
      </x:c>
    </x:row>
    <x:row r="2764" ht="82" customHeight="1">
      <x:c r="A2764" s="14" t="n">
        <x:v>2759</x:v>
      </x:c>
      <x:c r="B2764" s="6" t="str">
        <x:v>shared_walls_count</x:v>
      </x:c>
      <x:c r="C2764"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764" s="6" t="str">
        <x:v>Withheld in public test data. No reference answer supplied.</x:v>
      </x:c>
      <x:c r="E2764" s="6" t="str">
        <x:v>Withheld</x:v>
      </x:c>
      <x:c r="F2764" s="6" t="str">
        <x:v>test</x:v>
      </x:c>
      <x:c r="G2764" s="6" t="str">
        <x:v>resplan-8357</x:v>
      </x:c>
      <x:c r="H2764" s="6" t="str">
        <x:v>resplan-8357-H02</x:v>
      </x:c>
      <x:c r="I2764" s="6" t="str">
        <x:v>Spatial relationships</x:v>
      </x:c>
      <x:c r="J2764" s="6" t="str">
        <x:v>Benchmark</x:v>
      </x:c>
      <x:c r="K2764" s="6" t="str">
        <x:v>Answer: &lt;one exact integer&gt;</x:v>
      </x:c>
      <x:c r="L2764" s="6" t="str">
        <x:v>T02, T08, T14</x:v>
      </x:c>
      <x:c r="M2764" s="6" t="str">
        <x:v>Count other rooms sharing at least 1 m of wall with a room.</x:v>
      </x:c>
      <x:c r="N2764" s="6"/>
      <x:c r="O2764" s="6"/>
      <x:c r="P2764" s="6" t="str">
        <x:v>Same floor. Other type=room spaces. &gt;=1 m wall run within 0.35 m. Door not required.</x:v>
      </x:c>
      <x:c r="Q2764" s="15"/>
      <x:c r="R2764" s="6"/>
      <x:c r="S2764" s="16"/>
      <x:c r="T2764" s="15"/>
      <x:c r="U2764" s="6"/>
      <x:c r="V2764" s="6"/>
      <x:c r="W2764" s="6" t="str">
        <x:v>Missing boundary-adjacency tool. Door connectivity does not answer this question.</x:v>
      </x:c>
      <x:c r="X2764" s="6" t="str">
        <x:v>data/test/resplan-8357/questions.jsonl</x:v>
      </x:c>
      <x:c r="Y2764" s="14" t="n">
        <x:v>2</x:v>
      </x:c>
      <x:c r="Z2764" s="6" t="str">
        <x:v>https://github.com/hagenhaeussler/Industrial-Agents-Hackathon-2026/blob/f41616590b69f3ea0c1cbfb41d6c35edd9ce53df/data/test/resplan-8357/questions.jsonl#L2</x:v>
      </x:c>
      <x:c r="AA2764" s="6" t="str">
        <x:v>resplan</x:v>
      </x:c>
      <x:c r="AB2764" s="6" t="str">
        <x:v>CC-BY-4.0</x:v>
      </x:c>
    </x:row>
    <x:row r="2765" ht="82" customHeight="1">
      <x:c r="A2765" s="14" t="n">
        <x:v>2760</x:v>
      </x:c>
      <x:c r="B2765" s="6" t="str">
        <x:v>shared_walls_count</x:v>
      </x:c>
      <x:c r="C2765" s="6" t="str">
        <x:v>We're soundproofing Living room 0.01 (Ground floor). How many other rooms on that floor share a wall with it? Count every room whose wall runs along it for at least 1 m, with or without a door between them; corridors, stairwells and lifts don't count. Finish with a line 'Answer: &lt;number&gt;'.</x:v>
      </x:c>
      <x:c r="D2765" s="6" t="str">
        <x:v>Withheld in public test data. No reference answer supplied.</x:v>
      </x:c>
      <x:c r="E2765" s="6" t="str">
        <x:v>Withheld</x:v>
      </x:c>
      <x:c r="F2765" s="6" t="str">
        <x:v>test</x:v>
      </x:c>
      <x:c r="G2765" s="6" t="str">
        <x:v>resplan-9751</x:v>
      </x:c>
      <x:c r="H2765" s="6" t="str">
        <x:v>resplan-9751-H01</x:v>
      </x:c>
      <x:c r="I2765" s="6" t="str">
        <x:v>Spatial relationships</x:v>
      </x:c>
      <x:c r="J2765" s="6" t="str">
        <x:v>Benchmark</x:v>
      </x:c>
      <x:c r="K2765" s="6" t="str">
        <x:v>Answer: &lt;one exact integer&gt;</x:v>
      </x:c>
      <x:c r="L2765" s="6" t="str">
        <x:v>T02, T08, T14</x:v>
      </x:c>
      <x:c r="M2765" s="6" t="str">
        <x:v>Count other rooms sharing at least 1 m of wall with a room.</x:v>
      </x:c>
      <x:c r="N2765" s="6"/>
      <x:c r="O2765" s="6"/>
      <x:c r="P2765" s="6" t="str">
        <x:v>Same floor. Other type=room spaces. &gt;=1 m wall run within 0.35 m. Door not required.</x:v>
      </x:c>
      <x:c r="Q2765" s="15"/>
      <x:c r="R2765" s="6"/>
      <x:c r="S2765" s="16"/>
      <x:c r="T2765" s="15"/>
      <x:c r="U2765" s="6"/>
      <x:c r="V2765" s="6"/>
      <x:c r="W2765" s="6" t="str">
        <x:v>Missing boundary-adjacency tool. Door connectivity does not answer this question.</x:v>
      </x:c>
      <x:c r="X2765" s="6" t="str">
        <x:v>data/test/resplan-9751/questions.jsonl</x:v>
      </x:c>
      <x:c r="Y2765" s="14" t="n">
        <x:v>1</x:v>
      </x:c>
      <x:c r="Z2765" s="6" t="str">
        <x:v>https://github.com/hagenhaeussler/Industrial-Agents-Hackathon-2026/blob/f41616590b69f3ea0c1cbfb41d6c35edd9ce53df/data/test/resplan-9751/questions.jsonl#L1</x:v>
      </x:c>
      <x:c r="AA2765" s="6" t="str">
        <x:v>resplan</x:v>
      </x:c>
      <x:c r="AB2765" s="6" t="str">
        <x:v>CC-BY-4.0</x:v>
      </x:c>
    </x:row>
    <x:row r="2766" ht="82" customHeight="1">
      <x:c r="A2766" s="14" t="n">
        <x:v>2761</x:v>
      </x:c>
      <x:c r="B2766" s="6" t="str">
        <x:v>shared_walls_count</x:v>
      </x:c>
      <x:c r="C2766" s="6" t="str">
        <x:v>We're soundproofing Bedroom 1.34 (apartment 10) (Floor 1). How many other rooms on that floor share a wall with it? Count every room whose wall runs along it for at least 1 m, with or without a door between them; corridors, stairwells and lifts don't count. Finish with a line 'Answer: &lt;number&gt;'.</x:v>
      </x:c>
      <x:c r="D2766" s="6" t="str">
        <x:v>Withheld in public test data. No reference answer supplied.</x:v>
      </x:c>
      <x:c r="E2766" s="6" t="str">
        <x:v>Withheld</x:v>
      </x:c>
      <x:c r="F2766" s="6" t="str">
        <x:v>test</x:v>
      </x:c>
      <x:c r="G2766" s="6" t="str">
        <x:v>swiss-1195</x:v>
      </x:c>
      <x:c r="H2766" s="6" t="str">
        <x:v>swiss-1195-H02</x:v>
      </x:c>
      <x:c r="I2766" s="6" t="str">
        <x:v>Spatial relationships</x:v>
      </x:c>
      <x:c r="J2766" s="6" t="str">
        <x:v>Benchmark</x:v>
      </x:c>
      <x:c r="K2766" s="6" t="str">
        <x:v>Answer: &lt;one exact integer&gt;</x:v>
      </x:c>
      <x:c r="L2766" s="6" t="str">
        <x:v>T02, T08, T14</x:v>
      </x:c>
      <x:c r="M2766" s="6" t="str">
        <x:v>Count other rooms sharing at least 1 m of wall with a room.</x:v>
      </x:c>
      <x:c r="N2766" s="6"/>
      <x:c r="O2766" s="6"/>
      <x:c r="P2766" s="6" t="str">
        <x:v>Same floor. Other type=room spaces. &gt;=1 m wall run within 0.35 m. Door not required.</x:v>
      </x:c>
      <x:c r="Q2766" s="15"/>
      <x:c r="R2766" s="6"/>
      <x:c r="S2766" s="16"/>
      <x:c r="T2766" s="15"/>
      <x:c r="U2766" s="6"/>
      <x:c r="V2766" s="6"/>
      <x:c r="W2766" s="6" t="str">
        <x:v>Missing boundary-adjacency tool. Door connectivity does not answer this question.</x:v>
      </x:c>
      <x:c r="X2766" s="6" t="str">
        <x:v>data/test/swiss-1195/questions.jsonl</x:v>
      </x:c>
      <x:c r="Y2766" s="14" t="n">
        <x:v>2</x:v>
      </x:c>
      <x:c r="Z2766" s="6" t="str">
        <x:v>https://github.com/hagenhaeussler/Industrial-Agents-Hackathon-2026/blob/f41616590b69f3ea0c1cbfb41d6c35edd9ce53df/data/test/swiss-1195/questions.jsonl#L2</x:v>
      </x:c>
      <x:c r="AA2766" s="6" t="str">
        <x:v>swiss_dwellings</x:v>
      </x:c>
      <x:c r="AB2766" s="6" t="str">
        <x:v>CC-BY-4.0</x:v>
      </x:c>
    </x:row>
    <x:row r="2767" ht="82" customHeight="1">
      <x:c r="A2767" s="14" t="n">
        <x:v>2762</x:v>
      </x:c>
      <x:c r="B2767" s="6" t="str">
        <x:v>shared_walls_count</x:v>
      </x:c>
      <x:c r="C2767" s="6" t="str">
        <x:v>We're soundproofing Kitchen 2.09 (apartment 6) (Floor 2). How many other rooms on that floor share a wall with it? Count every room whose wall runs along it for at least 1 m, with or without a door between them; corridors, stairwells and lifts don't count. Finish with a line 'Answer: &lt;number&gt;'.</x:v>
      </x:c>
      <x:c r="D2767" s="6" t="str">
        <x:v>Withheld in public test data. No reference answer supplied.</x:v>
      </x:c>
      <x:c r="E2767" s="6" t="str">
        <x:v>Withheld</x:v>
      </x:c>
      <x:c r="F2767" s="6" t="str">
        <x:v>test</x:v>
      </x:c>
      <x:c r="G2767" s="6" t="str">
        <x:v>swiss-1671</x:v>
      </x:c>
      <x:c r="H2767" s="6" t="str">
        <x:v>swiss-1671-H04</x:v>
      </x:c>
      <x:c r="I2767" s="6" t="str">
        <x:v>Spatial relationships</x:v>
      </x:c>
      <x:c r="J2767" s="6" t="str">
        <x:v>Benchmark</x:v>
      </x:c>
      <x:c r="K2767" s="6" t="str">
        <x:v>Answer: &lt;one exact integer&gt;</x:v>
      </x:c>
      <x:c r="L2767" s="6" t="str">
        <x:v>T02, T08, T14</x:v>
      </x:c>
      <x:c r="M2767" s="6" t="str">
        <x:v>Count other rooms sharing at least 1 m of wall with a room.</x:v>
      </x:c>
      <x:c r="N2767" s="6"/>
      <x:c r="O2767" s="6"/>
      <x:c r="P2767" s="6" t="str">
        <x:v>Same floor. Other type=room spaces. &gt;=1 m wall run within 0.35 m. Door not required.</x:v>
      </x:c>
      <x:c r="Q2767" s="15"/>
      <x:c r="R2767" s="6"/>
      <x:c r="S2767" s="16"/>
      <x:c r="T2767" s="15"/>
      <x:c r="U2767" s="6"/>
      <x:c r="V2767" s="6"/>
      <x:c r="W2767" s="6" t="str">
        <x:v>Missing boundary-adjacency tool. Door connectivity does not answer this question.</x:v>
      </x:c>
      <x:c r="X2767" s="6" t="str">
        <x:v>data/test/swiss-1671/questions.jsonl</x:v>
      </x:c>
      <x:c r="Y2767" s="14" t="n">
        <x:v>4</x:v>
      </x:c>
      <x:c r="Z2767" s="6" t="str">
        <x:v>https://github.com/hagenhaeussler/Industrial-Agents-Hackathon-2026/blob/f41616590b69f3ea0c1cbfb41d6c35edd9ce53df/data/test/swiss-1671/questions.jsonl#L4</x:v>
      </x:c>
      <x:c r="AA2767" s="6" t="str">
        <x:v>swiss_dwellings</x:v>
      </x:c>
      <x:c r="AB2767" s="6" t="str">
        <x:v>CC-BY-4.0</x:v>
      </x:c>
    </x:row>
    <x:row r="2768" ht="82" customHeight="1">
      <x:c r="A2768" s="14" t="n">
        <x:v>2763</x:v>
      </x:c>
      <x:c r="B2768" s="6" t="str">
        <x:v>shared_walls_count</x:v>
      </x:c>
      <x:c r="C2768" s="6" t="str">
        <x:v>We're soundproofing Bedroom 2.20 (apartment 9) (Floor 2). How many other rooms on that floor share a wall with it? Count every room whose wall runs along it for at least 1 m, with or without a door between them; corridors, stairwells and lifts don't count. Finish with a line 'Answer: &lt;number&gt;'.</x:v>
      </x:c>
      <x:c r="D2768" s="6" t="str">
        <x:v>Withheld in public test data. No reference answer supplied.</x:v>
      </x:c>
      <x:c r="E2768" s="6" t="str">
        <x:v>Withheld</x:v>
      </x:c>
      <x:c r="F2768" s="6" t="str">
        <x:v>test</x:v>
      </x:c>
      <x:c r="G2768" s="6" t="str">
        <x:v>swiss-2080</x:v>
      </x:c>
      <x:c r="H2768" s="6" t="str">
        <x:v>swiss-2080-H04</x:v>
      </x:c>
      <x:c r="I2768" s="6" t="str">
        <x:v>Spatial relationships</x:v>
      </x:c>
      <x:c r="J2768" s="6" t="str">
        <x:v>Benchmark</x:v>
      </x:c>
      <x:c r="K2768" s="6" t="str">
        <x:v>Answer: &lt;one exact integer&gt;</x:v>
      </x:c>
      <x:c r="L2768" s="6" t="str">
        <x:v>T02, T08, T14</x:v>
      </x:c>
      <x:c r="M2768" s="6" t="str">
        <x:v>Count other rooms sharing at least 1 m of wall with a room.</x:v>
      </x:c>
      <x:c r="N2768" s="6"/>
      <x:c r="O2768" s="6"/>
      <x:c r="P2768" s="6" t="str">
        <x:v>Same floor. Other type=room spaces. &gt;=1 m wall run within 0.35 m. Door not required.</x:v>
      </x:c>
      <x:c r="Q2768" s="15"/>
      <x:c r="R2768" s="6"/>
      <x:c r="S2768" s="16"/>
      <x:c r="T2768" s="15"/>
      <x:c r="U2768" s="6"/>
      <x:c r="V2768" s="6"/>
      <x:c r="W2768" s="6" t="str">
        <x:v>Missing boundary-adjacency tool. Door connectivity does not answer this question.</x:v>
      </x:c>
      <x:c r="X2768" s="6" t="str">
        <x:v>data/test/swiss-2080/questions.jsonl</x:v>
      </x:c>
      <x:c r="Y2768" s="14" t="n">
        <x:v>4</x:v>
      </x:c>
      <x:c r="Z2768" s="6" t="str">
        <x:v>https://github.com/hagenhaeussler/Industrial-Agents-Hackathon-2026/blob/f41616590b69f3ea0c1cbfb41d6c35edd9ce53df/data/test/swiss-2080/questions.jsonl#L4</x:v>
      </x:c>
      <x:c r="AA2768" s="6" t="str">
        <x:v>swiss_dwellings</x:v>
      </x:c>
      <x:c r="AB2768" s="6" t="str">
        <x:v>CC-BY-4.0</x:v>
      </x:c>
    </x:row>
    <x:row r="2769" ht="82" customHeight="1">
      <x:c r="A2769" s="14" t="n">
        <x:v>2764</x:v>
      </x:c>
      <x:c r="B2769" s="6" t="str">
        <x:v>shared_walls_count</x:v>
      </x:c>
      <x:c r="C2769" s="6" t="str">
        <x:v>We're soundproofing Bedroom 2.07 (apartment 9) (Floor 2). How many other rooms on that floor share a wall with it? Count every room whose wall runs along it for at least 1 m, with or without a door between them; corridors, stairwells and lifts don't count. Finish with a line 'Answer: &lt;number&gt;'.</x:v>
      </x:c>
      <x:c r="D2769" s="6" t="str">
        <x:v>Withheld in public test data. No reference answer supplied.</x:v>
      </x:c>
      <x:c r="E2769" s="6" t="str">
        <x:v>Withheld</x:v>
      </x:c>
      <x:c r="F2769" s="6" t="str">
        <x:v>test</x:v>
      </x:c>
      <x:c r="G2769" s="6" t="str">
        <x:v>swiss-2873</x:v>
      </x:c>
      <x:c r="H2769" s="6" t="str">
        <x:v>swiss-2873-H04</x:v>
      </x:c>
      <x:c r="I2769" s="6" t="str">
        <x:v>Spatial relationships</x:v>
      </x:c>
      <x:c r="J2769" s="6" t="str">
        <x:v>Benchmark</x:v>
      </x:c>
      <x:c r="K2769" s="6" t="str">
        <x:v>Answer: &lt;one exact integer&gt;</x:v>
      </x:c>
      <x:c r="L2769" s="6" t="str">
        <x:v>T02, T08, T14</x:v>
      </x:c>
      <x:c r="M2769" s="6" t="str">
        <x:v>Count other rooms sharing at least 1 m of wall with a room.</x:v>
      </x:c>
      <x:c r="N2769" s="6"/>
      <x:c r="O2769" s="6"/>
      <x:c r="P2769" s="6" t="str">
        <x:v>Same floor. Other type=room spaces. &gt;=1 m wall run within 0.35 m. Door not required.</x:v>
      </x:c>
      <x:c r="Q2769" s="15"/>
      <x:c r="R2769" s="6"/>
      <x:c r="S2769" s="16"/>
      <x:c r="T2769" s="15"/>
      <x:c r="U2769" s="6"/>
      <x:c r="V2769" s="6"/>
      <x:c r="W2769" s="6" t="str">
        <x:v>Missing boundary-adjacency tool. Door connectivity does not answer this question.</x:v>
      </x:c>
      <x:c r="X2769" s="6" t="str">
        <x:v>data/test/swiss-2873/questions.jsonl</x:v>
      </x:c>
      <x:c r="Y2769" s="14" t="n">
        <x:v>4</x:v>
      </x:c>
      <x:c r="Z2769" s="6" t="str">
        <x:v>https://github.com/hagenhaeussler/Industrial-Agents-Hackathon-2026/blob/f41616590b69f3ea0c1cbfb41d6c35edd9ce53df/data/test/swiss-2873/questions.jsonl#L4</x:v>
      </x:c>
      <x:c r="AA2769" s="6" t="str">
        <x:v>swiss_dwellings</x:v>
      </x:c>
      <x:c r="AB2769" s="6" t="str">
        <x:v>CC-BY-4.0</x:v>
      </x:c>
    </x:row>
    <x:row r="2770" ht="82" customHeight="1">
      <x:c r="A2770" s="14" t="n">
        <x:v>2765</x:v>
      </x:c>
      <x:c r="B2770" s="6" t="str">
        <x:v>shared_walls_count</x:v>
      </x:c>
      <x:c r="C2770" s="6" t="str">
        <x:v>We're soundproofing Bedroom 7.22 (apartment 31) (Floor 7). How many other rooms on that floor share a wall with it? Count every room whose wall runs along it for at least 1 m, with or without a door between them; corridors, stairwells and lifts don't count. Finish with a line 'Answer: &lt;number&gt;'.</x:v>
      </x:c>
      <x:c r="D2770" s="6" t="str">
        <x:v>Withheld in public test data. No reference answer supplied.</x:v>
      </x:c>
      <x:c r="E2770" s="6" t="str">
        <x:v>Withheld</x:v>
      </x:c>
      <x:c r="F2770" s="6" t="str">
        <x:v>test</x:v>
      </x:c>
      <x:c r="G2770" s="6" t="str">
        <x:v>swiss-482</x:v>
      </x:c>
      <x:c r="H2770" s="6" t="str">
        <x:v>swiss-482-H04</x:v>
      </x:c>
      <x:c r="I2770" s="6" t="str">
        <x:v>Spatial relationships</x:v>
      </x:c>
      <x:c r="J2770" s="6" t="str">
        <x:v>Benchmark</x:v>
      </x:c>
      <x:c r="K2770" s="6" t="str">
        <x:v>Answer: &lt;one exact integer&gt;</x:v>
      </x:c>
      <x:c r="L2770" s="6" t="str">
        <x:v>T02, T08, T14</x:v>
      </x:c>
      <x:c r="M2770" s="6" t="str">
        <x:v>Count other rooms sharing at least 1 m of wall with a room.</x:v>
      </x:c>
      <x:c r="N2770" s="6"/>
      <x:c r="O2770" s="6"/>
      <x:c r="P2770" s="6" t="str">
        <x:v>Same floor. Other type=room spaces. &gt;=1 m wall run within 0.35 m. Door not required.</x:v>
      </x:c>
      <x:c r="Q2770" s="15"/>
      <x:c r="R2770" s="6"/>
      <x:c r="S2770" s="16"/>
      <x:c r="T2770" s="15"/>
      <x:c r="U2770" s="6"/>
      <x:c r="V2770" s="6"/>
      <x:c r="W2770" s="6" t="str">
        <x:v>Missing boundary-adjacency tool. Door connectivity does not answer this question.</x:v>
      </x:c>
      <x:c r="X2770" s="6" t="str">
        <x:v>data/test/swiss-482/questions.jsonl</x:v>
      </x:c>
      <x:c r="Y2770" s="14" t="n">
        <x:v>4</x:v>
      </x:c>
      <x:c r="Z2770" s="6" t="str">
        <x:v>https://github.com/hagenhaeussler/Industrial-Agents-Hackathon-2026/blob/f41616590b69f3ea0c1cbfb41d6c35edd9ce53df/data/test/swiss-482/questions.jsonl#L4</x:v>
      </x:c>
      <x:c r="AA2770" s="6" t="str">
        <x:v>swiss_dwellings</x:v>
      </x:c>
      <x:c r="AB2770" s="6" t="str">
        <x:v>CC-BY-4.0</x:v>
      </x:c>
    </x:row>
    <x:row r="2771" ht="72" customHeight="1">
      <x:c r="A2771" s="14" t="n">
        <x:v>2766</x:v>
      </x:c>
      <x:c r="B2771" s="6" t="str">
        <x:v>straight_line_3d</x:v>
      </x:c>
      <x:c r="C2771" s="6" t="str">
        <x:v>We're planning a wireless sensor link between Foyer (Floor 2) and Toilet 0.04 (Ground floor). What is the straight-line distance in metres between the centres of the two rooms (each room's floor-plan centroid, at its floor's elevation)? Finish with a line 'Answer: &lt;number&gt;'.</x:v>
      </x:c>
      <x:c r="D2771" s="6" t="str">
        <x:v>14.38 m</x:v>
      </x:c>
      <x:c r="E2771" s="6" t="str">
        <x:v>Reference supplied</x:v>
      </x:c>
      <x:c r="F2771" s="6" t="str">
        <x:v>train</x:v>
      </x:c>
      <x:c r="G2771" s="6" t="str">
        <x:v>osm-way37850565</x:v>
      </x:c>
      <x:c r="H2771" s="6" t="str">
        <x:v>osm-way37850565-H05</x:v>
      </x:c>
      <x:c r="I2771" s="6" t="str">
        <x:v>Spatial relationships</x:v>
      </x:c>
      <x:c r="J2771" s="6" t="str">
        <x:v>Benchmark</x:v>
      </x:c>
      <x:c r="K2771" s="6" t="str">
        <x:v>Answer: &lt;one number&gt;</x:v>
      </x:c>
      <x:c r="L2771" s="6" t="str">
        <x:v>T02, T04, T10, T14</x:v>
      </x:c>
      <x:c r="M2771" s="6" t="str">
        <x:v>Measure the 3D straight-line distance between room polygon centroids at floor elevation.</x:v>
      </x:c>
      <x:c r="N2771" s="6" t="str">
        <x:v>{"type":"number","value":14.38,"unit":"m","relative_tolerance":0.02,"absolute_tolerance":0}</x:v>
      </x:c>
      <x:c r="O2771" s="6" t="str">
        <x:v>{"first":"osm-way37850565-F2-S002","second":"osm-way37850565-F0-S004"}</x:v>
      </x:c>
      <x:c r="P2771" s="6" t="str">
        <x:v>Polygon centroid at floor.elevation_m. Straight-line 3D distance.</x:v>
      </x:c>
      <x:c r="Q2771" s="15" t="n">
        <x:v>14.38</x:v>
      </x:c>
      <x:c r="R2771" s="6" t="str">
        <x:v>m</x:v>
      </x:c>
      <x:c r="S2771" s="16" t="n">
        <x:v>0.02</x:v>
      </x:c>
      <x:c r="T2771" s="15" t="n">
        <x:v>0</x:v>
      </x:c>
      <x:c r="U2771" s="6" t="str">
        <x:v>Answer: 14.38</x:v>
      </x:c>
      <x:c r="V2771" s="6" t="str">
        <x:v>3D geometry: centroids and floor elevations</x:v>
      </x:c>
      <x:c r="W2771" s="6" t="str">
        <x:v>Missing centroid/elevation distance tool.</x:v>
      </x:c>
      <x:c r="X2771" s="6" t="str">
        <x:v>data/train/osm-way37850565/questions.jsonl</x:v>
      </x:c>
      <x:c r="Y2771" s="14" t="n">
        <x:v>5</x:v>
      </x:c>
      <x:c r="Z2771" s="6" t="str">
        <x:v>https://github.com/hagenhaeussler/Industrial-Agents-Hackathon-2026/blob/f41616590b69f3ea0c1cbfb41d6c35edd9ce53df/data/train/osm-way37850565/questions.jsonl#L5</x:v>
      </x:c>
      <x:c r="AA2771" s="6" t="str">
        <x:v>osm_indoor</x:v>
      </x:c>
      <x:c r="AB2771" s="6" t="str">
        <x:v>ODbL-1.0</x:v>
      </x:c>
    </x:row>
    <x:row r="2772" ht="72" customHeight="1">
      <x:c r="A2772" s="14" t="n">
        <x:v>2767</x:v>
      </x:c>
      <x:c r="B2772" s="6" t="str">
        <x:v>straight_line_3d</x:v>
      </x:c>
      <x:c r="C2772" s="6" t="str">
        <x:v>We're planning a wireless sensor link between Library 1.101 (Floor 2) and Library 3.302 (Floor 4). What is the straight-line distance in metres between the centres of the two rooms (each room's floor-plan centroid, at its floor's elevation)? Finish with a line 'Answer: &lt;number&gt;'.</x:v>
      </x:c>
      <x:c r="D2772" s="6" t="str">
        <x:v>7.05 m</x:v>
      </x:c>
      <x:c r="E2772" s="6" t="str">
        <x:v>Reference supplied</x:v>
      </x:c>
      <x:c r="F2772" s="6" t="str">
        <x:v>train</x:v>
      </x:c>
      <x:c r="G2772" s="6" t="str">
        <x:v>osm-way476929995</x:v>
      </x:c>
      <x:c r="H2772" s="6" t="str">
        <x:v>osm-way476929995-H07</x:v>
      </x:c>
      <x:c r="I2772" s="6" t="str">
        <x:v>Spatial relationships</x:v>
      </x:c>
      <x:c r="J2772" s="6" t="str">
        <x:v>Benchmark</x:v>
      </x:c>
      <x:c r="K2772" s="6" t="str">
        <x:v>Answer: &lt;one number&gt;</x:v>
      </x:c>
      <x:c r="L2772" s="6" t="str">
        <x:v>T02, T04, T10, T14</x:v>
      </x:c>
      <x:c r="M2772" s="6" t="str">
        <x:v>Measure the 3D straight-line distance between room polygon centroids at floor elevation.</x:v>
      </x:c>
      <x:c r="N2772" s="6" t="str">
        <x:v>{"type":"number","value":7.05,"unit":"m","relative_tolerance":0.02,"absolute_tolerance":0}</x:v>
      </x:c>
      <x:c r="O2772" s="6" t="str">
        <x:v>{"first":"osm-way476929995-F2-S004","second":"osm-way476929995-F4-S003"}</x:v>
      </x:c>
      <x:c r="P2772" s="6" t="str">
        <x:v>Polygon centroid at floor.elevation_m. Straight-line 3D distance.</x:v>
      </x:c>
      <x:c r="Q2772" s="15" t="n">
        <x:v>7.05</x:v>
      </x:c>
      <x:c r="R2772" s="6" t="str">
        <x:v>m</x:v>
      </x:c>
      <x:c r="S2772" s="16" t="n">
        <x:v>0.02</x:v>
      </x:c>
      <x:c r="T2772" s="15" t="n">
        <x:v>0</x:v>
      </x:c>
      <x:c r="U2772" s="6" t="str">
        <x:v>Answer: 7.05</x:v>
      </x:c>
      <x:c r="V2772" s="6" t="str">
        <x:v>3D geometry: centroids and floor elevations</x:v>
      </x:c>
      <x:c r="W2772" s="6" t="str">
        <x:v>Missing centroid/elevation distance tool.</x:v>
      </x:c>
      <x:c r="X2772" s="6" t="str">
        <x:v>data/train/osm-way476929995/questions.jsonl</x:v>
      </x:c>
      <x:c r="Y2772" s="14" t="n">
        <x:v>6</x:v>
      </x:c>
      <x:c r="Z2772" s="6" t="str">
        <x:v>https://github.com/hagenhaeussler/Industrial-Agents-Hackathon-2026/blob/f41616590b69f3ea0c1cbfb41d6c35edd9ce53df/data/train/osm-way476929995/questions.jsonl#L6</x:v>
      </x:c>
      <x:c r="AA2772" s="6" t="str">
        <x:v>osm_indoor</x:v>
      </x:c>
      <x:c r="AB2772" s="6" t="str">
        <x:v>ODbL-1.0</x:v>
      </x:c>
    </x:row>
    <x:row r="2773" ht="82" customHeight="1">
      <x:c r="A2773" s="14" t="n">
        <x:v>2768</x:v>
      </x:c>
      <x:c r="B2773" s="6" t="str">
        <x:v>straight_line_3d</x:v>
      </x:c>
      <x:c r="C2773" s="6" t="str">
        <x:v>We're planning a wireless sensor link between Generic room 1420 (Floor 1) and Generic room 3403 (Floor 3). What is the straight-line distance in metres between the centres of the two rooms (each room's floor-plan centroid, at its floor's elevation)? Finish with a line 'Answer: &lt;number&gt;'.</x:v>
      </x:c>
      <x:c r="D2773" s="6" t="str">
        <x:v>40.65 m</x:v>
      </x:c>
      <x:c r="E2773" s="6" t="str">
        <x:v>Reference supplied</x:v>
      </x:c>
      <x:c r="F2773" s="6" t="str">
        <x:v>train</x:v>
      </x:c>
      <x:c r="G2773" s="6" t="str">
        <x:v>osm-way50299720</x:v>
      </x:c>
      <x:c r="H2773" s="6" t="str">
        <x:v>osm-way50299720-H08</x:v>
      </x:c>
      <x:c r="I2773" s="6" t="str">
        <x:v>Spatial relationships</x:v>
      </x:c>
      <x:c r="J2773" s="6" t="str">
        <x:v>Benchmark</x:v>
      </x:c>
      <x:c r="K2773" s="6" t="str">
        <x:v>Answer: &lt;one number&gt;</x:v>
      </x:c>
      <x:c r="L2773" s="6" t="str">
        <x:v>T02, T04, T10, T14</x:v>
      </x:c>
      <x:c r="M2773" s="6" t="str">
        <x:v>Measure the 3D straight-line distance between room polygon centroids at floor elevation.</x:v>
      </x:c>
      <x:c r="N2773" s="6" t="str">
        <x:v>{"type":"number","value":40.65,"unit":"m","relative_tolerance":0.02,"absolute_tolerance":0}</x:v>
      </x:c>
      <x:c r="O2773" s="6" t="str">
        <x:v>{"first":"osm-way50299720-F1-S016","second":"osm-way50299720-F3-S032"}</x:v>
      </x:c>
      <x:c r="P2773" s="6" t="str">
        <x:v>Polygon centroid at floor.elevation_m. Straight-line 3D distance.</x:v>
      </x:c>
      <x:c r="Q2773" s="15" t="n">
        <x:v>40.65</x:v>
      </x:c>
      <x:c r="R2773" s="6" t="str">
        <x:v>m</x:v>
      </x:c>
      <x:c r="S2773" s="16" t="n">
        <x:v>0.02</x:v>
      </x:c>
      <x:c r="T2773" s="15" t="n">
        <x:v>0</x:v>
      </x:c>
      <x:c r="U2773" s="6" t="str">
        <x:v>Answer: 40.65</x:v>
      </x:c>
      <x:c r="V2773" s="6" t="str">
        <x:v>3D geometry: centroids and floor elevations</x:v>
      </x:c>
      <x:c r="W2773" s="6" t="str">
        <x:v>Missing centroid/elevation distance tool.</x:v>
      </x:c>
      <x:c r="X2773" s="6" t="str">
        <x:v>data/train/osm-way50299720/questions.jsonl</x:v>
      </x:c>
      <x:c r="Y2773" s="14" t="n">
        <x:v>8</x:v>
      </x:c>
      <x:c r="Z2773" s="6" t="str">
        <x:v>https://github.com/hagenhaeussler/Industrial-Agents-Hackathon-2026/blob/f41616590b69f3ea0c1cbfb41d6c35edd9ce53df/data/train/osm-way50299720/questions.jsonl#L8</x:v>
      </x:c>
      <x:c r="AA2773" s="6" t="str">
        <x:v>osm_indoor</x:v>
      </x:c>
      <x:c r="AB2773" s="6" t="str">
        <x:v>ODbL-1.0</x:v>
      </x:c>
    </x:row>
    <x:row r="2774" ht="82" customHeight="1">
      <x:c r="A2774" s="14" t="n">
        <x:v>2769</x:v>
      </x:c>
      <x:c r="B2774" s="6" t="str">
        <x:v>straight_line_3d</x:v>
      </x:c>
      <x:c r="C2774" s="6" t="str">
        <x:v>We're planning a wireless sensor link between Genusswerk (Floor 1) and Generic room -1.14 (Basement 1). What is the straight-line distance in metres between the centres of the two rooms (each room's floor-plan centroid, at its floor's elevation)? Finish with a line 'Answer: &lt;number&gt;'.</x:v>
      </x:c>
      <x:c r="D2774" s="6" t="str">
        <x:v>159.87 m</x:v>
      </x:c>
      <x:c r="E2774" s="6" t="str">
        <x:v>Reference supplied</x:v>
      </x:c>
      <x:c r="F2774" s="6" t="str">
        <x:v>train</x:v>
      </x:c>
      <x:c r="G2774" s="6" t="str">
        <x:v>osm-way52060470</x:v>
      </x:c>
      <x:c r="H2774" s="6" t="str">
        <x:v>osm-way52060470-H06</x:v>
      </x:c>
      <x:c r="I2774" s="6" t="str">
        <x:v>Spatial relationships</x:v>
      </x:c>
      <x:c r="J2774" s="6" t="str">
        <x:v>Benchmark</x:v>
      </x:c>
      <x:c r="K2774" s="6" t="str">
        <x:v>Answer: &lt;one number&gt;</x:v>
      </x:c>
      <x:c r="L2774" s="6" t="str">
        <x:v>T02, T04, T10, T14</x:v>
      </x:c>
      <x:c r="M2774" s="6" t="str">
        <x:v>Measure the 3D straight-line distance between room polygon centroids at floor elevation.</x:v>
      </x:c>
      <x:c r="N2774" s="6" t="str">
        <x:v>{"type":"number","value":159.87,"unit":"m","relative_tolerance":0.02,"absolute_tolerance":0}</x:v>
      </x:c>
      <x:c r="O2774" s="6" t="str">
        <x:v>{"first":"osm-way52060470-F1-S034","second":"osm-way52060470-F-1-S014"}</x:v>
      </x:c>
      <x:c r="P2774" s="6" t="str">
        <x:v>Polygon centroid at floor.elevation_m. Straight-line 3D distance.</x:v>
      </x:c>
      <x:c r="Q2774" s="15" t="n">
        <x:v>159.87</x:v>
      </x:c>
      <x:c r="R2774" s="6" t="str">
        <x:v>m</x:v>
      </x:c>
      <x:c r="S2774" s="16" t="n">
        <x:v>0.02</x:v>
      </x:c>
      <x:c r="T2774" s="15" t="n">
        <x:v>0</x:v>
      </x:c>
      <x:c r="U2774" s="6" t="str">
        <x:v>Answer: 159.87</x:v>
      </x:c>
      <x:c r="V2774" s="6" t="str">
        <x:v>3D geometry: centroids and floor elevations</x:v>
      </x:c>
      <x:c r="W2774" s="6" t="str">
        <x:v>Missing centroid/elevation distance tool.</x:v>
      </x:c>
      <x:c r="X2774" s="6" t="str">
        <x:v>data/train/osm-way52060470/questions.jsonl</x:v>
      </x:c>
      <x:c r="Y2774" s="14" t="n">
        <x:v>6</x:v>
      </x:c>
      <x:c r="Z2774" s="6" t="str">
        <x:v>https://github.com/hagenhaeussler/Industrial-Agents-Hackathon-2026/blob/f41616590b69f3ea0c1cbfb41d6c35edd9ce53df/data/train/osm-way52060470/questions.jsonl#L6</x:v>
      </x:c>
      <x:c r="AA2774" s="6" t="str">
        <x:v>osm_indoor</x:v>
      </x:c>
      <x:c r="AB2774" s="6" t="str">
        <x:v>ODbL-1.0</x:v>
      </x:c>
    </x:row>
    <x:row r="2775" ht="82" customHeight="1">
      <x:c r="A2775" s="14" t="n">
        <x:v>2770</x:v>
      </x:c>
      <x:c r="B2775" s="6" t="str">
        <x:v>straight_line_3d</x:v>
      </x:c>
      <x:c r="C2775" s="6" t="str">
        <x:v>We're planning a wireless sensor link between Generic room N0122X (Ground floor) and Generic room N2197D (Floor 2). What is the straight-line distance in metres between the centres of the two rooms (each room's floor-plan centroid, at its floor's elevation)? Finish with a line 'Answer: &lt;number&gt;'.</x:v>
      </x:c>
      <x:c r="D2775" s="6" t="str">
        <x:v>16.64 m</x:v>
      </x:c>
      <x:c r="E2775" s="6" t="str">
        <x:v>Reference supplied</x:v>
      </x:c>
      <x:c r="F2775" s="6" t="str">
        <x:v>train</x:v>
      </x:c>
      <x:c r="G2775" s="6" t="str">
        <x:v>osm-way58216509</x:v>
      </x:c>
      <x:c r="H2775" s="6" t="str">
        <x:v>osm-way58216509-H06</x:v>
      </x:c>
      <x:c r="I2775" s="6" t="str">
        <x:v>Spatial relationships</x:v>
      </x:c>
      <x:c r="J2775" s="6" t="str">
        <x:v>Benchmark</x:v>
      </x:c>
      <x:c r="K2775" s="6" t="str">
        <x:v>Answer: &lt;one number&gt;</x:v>
      </x:c>
      <x:c r="L2775" s="6" t="str">
        <x:v>T02, T04, T10, T14</x:v>
      </x:c>
      <x:c r="M2775" s="6" t="str">
        <x:v>Measure the 3D straight-line distance between room polygon centroids at floor elevation.</x:v>
      </x:c>
      <x:c r="N2775" s="6" t="str">
        <x:v>{"type":"number","value":16.64,"unit":"m","relative_tolerance":0.02,"absolute_tolerance":0}</x:v>
      </x:c>
      <x:c r="O2775" s="6" t="str">
        <x:v>{"first":"osm-way58216509-F0-S102","second":"osm-way58216509-F2-S016"}</x:v>
      </x:c>
      <x:c r="P2775" s="6" t="str">
        <x:v>Polygon centroid at floor.elevation_m. Straight-line 3D distance.</x:v>
      </x:c>
      <x:c r="Q2775" s="15" t="n">
        <x:v>16.64</x:v>
      </x:c>
      <x:c r="R2775" s="6" t="str">
        <x:v>m</x:v>
      </x:c>
      <x:c r="S2775" s="16" t="n">
        <x:v>0.02</x:v>
      </x:c>
      <x:c r="T2775" s="15" t="n">
        <x:v>0</x:v>
      </x:c>
      <x:c r="U2775" s="6" t="str">
        <x:v>Answer: 16.64</x:v>
      </x:c>
      <x:c r="V2775" s="6" t="str">
        <x:v>3D geometry: centroids and floor elevations</x:v>
      </x:c>
      <x:c r="W2775" s="6" t="str">
        <x:v>Missing centroid/elevation distance tool.</x:v>
      </x:c>
      <x:c r="X2775" s="6" t="str">
        <x:v>data/train/osm-way58216509/questions.jsonl</x:v>
      </x:c>
      <x:c r="Y2775" s="14" t="n">
        <x:v>6</x:v>
      </x:c>
      <x:c r="Z2775" s="6" t="str">
        <x:v>https://github.com/hagenhaeussler/Industrial-Agents-Hackathon-2026/blob/f41616590b69f3ea0c1cbfb41d6c35edd9ce53df/data/train/osm-way58216509/questions.jsonl#L6</x:v>
      </x:c>
      <x:c r="AA2775" s="6" t="str">
        <x:v>osm_indoor</x:v>
      </x:c>
      <x:c r="AB2775" s="6" t="str">
        <x:v>ODbL-1.0</x:v>
      </x:c>
    </x:row>
    <x:row r="2776" ht="82" customHeight="1">
      <x:c r="A2776" s="14" t="n">
        <x:v>2771</x:v>
      </x:c>
      <x:c r="B2776" s="6" t="str">
        <x:v>straight_line_3d</x:v>
      </x:c>
      <x:c r="C2776" s="6" t="str">
        <x:v>We're planning a wireless sensor link between Generic room 1325 (Floor 1) and Generic room -1305 (Basement 1). What is the straight-line distance in metres between the centres of the two rooms (each room's floor-plan centroid, at its floor's elevation)? Finish with a line 'Answer: &lt;number&gt;'.</x:v>
      </x:c>
      <x:c r="D2776" s="6" t="str">
        <x:v>38.52 m</x:v>
      </x:c>
      <x:c r="E2776" s="6" t="str">
        <x:v>Reference supplied</x:v>
      </x:c>
      <x:c r="F2776" s="6" t="str">
        <x:v>train</x:v>
      </x:c>
      <x:c r="G2776" s="6" t="str">
        <x:v>osm-way61408163</x:v>
      </x:c>
      <x:c r="H2776" s="6" t="str">
        <x:v>osm-way61408163-H08</x:v>
      </x:c>
      <x:c r="I2776" s="6" t="str">
        <x:v>Spatial relationships</x:v>
      </x:c>
      <x:c r="J2776" s="6" t="str">
        <x:v>Benchmark</x:v>
      </x:c>
      <x:c r="K2776" s="6" t="str">
        <x:v>Answer: &lt;one number&gt;</x:v>
      </x:c>
      <x:c r="L2776" s="6" t="str">
        <x:v>T02, T04, T10, T14</x:v>
      </x:c>
      <x:c r="M2776" s="6" t="str">
        <x:v>Measure the 3D straight-line distance between room polygon centroids at floor elevation.</x:v>
      </x:c>
      <x:c r="N2776" s="6" t="str">
        <x:v>{"type":"number","value":38.52,"unit":"m","relative_tolerance":0.02,"absolute_tolerance":0}</x:v>
      </x:c>
      <x:c r="O2776" s="6" t="str">
        <x:v>{"first":"osm-way61408163-F1-S047","second":"osm-way61408163-F-1-S006"}</x:v>
      </x:c>
      <x:c r="P2776" s="6" t="str">
        <x:v>Polygon centroid at floor.elevation_m. Straight-line 3D distance.</x:v>
      </x:c>
      <x:c r="Q2776" s="15" t="n">
        <x:v>38.52</x:v>
      </x:c>
      <x:c r="R2776" s="6" t="str">
        <x:v>m</x:v>
      </x:c>
      <x:c r="S2776" s="16" t="n">
        <x:v>0.02</x:v>
      </x:c>
      <x:c r="T2776" s="15" t="n">
        <x:v>0</x:v>
      </x:c>
      <x:c r="U2776" s="6" t="str">
        <x:v>Answer: 38.52</x:v>
      </x:c>
      <x:c r="V2776" s="6" t="str">
        <x:v>3D geometry: centroids and floor elevations</x:v>
      </x:c>
      <x:c r="W2776" s="6" t="str">
        <x:v>Missing centroid/elevation distance tool.</x:v>
      </x:c>
      <x:c r="X2776" s="6" t="str">
        <x:v>data/train/osm-way61408163/questions.jsonl</x:v>
      </x:c>
      <x:c r="Y2776" s="14" t="n">
        <x:v>8</x:v>
      </x:c>
      <x:c r="Z2776" s="6" t="str">
        <x:v>https://github.com/hagenhaeussler/Industrial-Agents-Hackathon-2026/blob/f41616590b69f3ea0c1cbfb41d6c35edd9ce53df/data/train/osm-way61408163/questions.jsonl#L8</x:v>
      </x:c>
      <x:c r="AA2776" s="6" t="str">
        <x:v>osm_indoor</x:v>
      </x:c>
      <x:c r="AB2776" s="6" t="str">
        <x:v>ODbL-1.0</x:v>
      </x:c>
    </x:row>
    <x:row r="2777" ht="72" customHeight="1">
      <x:c r="A2777" s="14" t="n">
        <x:v>2772</x:v>
      </x:c>
      <x:c r="B2777" s="6" t="str">
        <x:v>straight_line_3d</x:v>
      </x:c>
      <x:c r="C2777" s="6" t="str">
        <x:v>We're planning a wireless sensor link between Office 3.20 (Floor 3) and Main lobby (Ground floor). What is the straight-line distance in metres between the centres of the two rooms (each room's floor-plan centroid, at its floor's elevation)? Finish with a line 'Answer: &lt;number&gt;'.</x:v>
      </x:c>
      <x:c r="D2777" s="6" t="str">
        <x:v>34.48 m</x:v>
      </x:c>
      <x:c r="E2777" s="6" t="str">
        <x:v>Reference supplied</x:v>
      </x:c>
      <x:c r="F2777" s="6" t="str">
        <x:v>train</x:v>
      </x:c>
      <x:c r="G2777" s="6" t="str">
        <x:v>proc-campus-train-000</x:v>
      </x:c>
      <x:c r="H2777" s="6" t="str">
        <x:v>proc-campus-train-000-H05</x:v>
      </x:c>
      <x:c r="I2777" s="6" t="str">
        <x:v>Spatial relationships</x:v>
      </x:c>
      <x:c r="J2777" s="6" t="str">
        <x:v>Benchmark</x:v>
      </x:c>
      <x:c r="K2777" s="6" t="str">
        <x:v>Answer: &lt;one number&gt;</x:v>
      </x:c>
      <x:c r="L2777" s="6" t="str">
        <x:v>T02, T04, T10, T14</x:v>
      </x:c>
      <x:c r="M2777" s="6" t="str">
        <x:v>Measure the 3D straight-line distance between room polygon centroids at floor elevation.</x:v>
      </x:c>
      <x:c r="N2777" s="6" t="str">
        <x:v>{"type":"number","value":34.48,"unit":"m","relative_tolerance":0.02,"absolute_tolerance":0}</x:v>
      </x:c>
      <x:c r="O2777" s="6" t="str">
        <x:v>{"first":"proc-campus-train-000-F3-S020","second":"proc-campus-train-000-F0-S012"}</x:v>
      </x:c>
      <x:c r="P2777" s="6" t="str">
        <x:v>Polygon centroid at floor.elevation_m. Straight-line 3D distance.</x:v>
      </x:c>
      <x:c r="Q2777" s="15" t="n">
        <x:v>34.48</x:v>
      </x:c>
      <x:c r="R2777" s="6" t="str">
        <x:v>m</x:v>
      </x:c>
      <x:c r="S2777" s="16" t="n">
        <x:v>0.02</x:v>
      </x:c>
      <x:c r="T2777" s="15" t="n">
        <x:v>0</x:v>
      </x:c>
      <x:c r="U2777" s="6" t="str">
        <x:v>Answer: 34.48</x:v>
      </x:c>
      <x:c r="V2777" s="6" t="str">
        <x:v>3D geometry: centroids and floor elevations</x:v>
      </x:c>
      <x:c r="W2777" s="6" t="str">
        <x:v>Missing centroid/elevation distance tool.</x:v>
      </x:c>
      <x:c r="X2777" s="6" t="str">
        <x:v>data/train/proc-campus-train-000/questions.jsonl</x:v>
      </x:c>
      <x:c r="Y2777" s="14" t="n">
        <x:v>5</x:v>
      </x:c>
      <x:c r="Z2777" s="6" t="str">
        <x:v>https://github.com/hagenhaeussler/Industrial-Agents-Hackathon-2026/blob/f41616590b69f3ea0c1cbfb41d6c35edd9ce53df/data/train/proc-campus-train-000/questions.jsonl#L5</x:v>
      </x:c>
      <x:c r="AA2777" s="6" t="str">
        <x:v>procedural</x:v>
      </x:c>
      <x:c r="AB2777" s="6" t="str">
        <x:v>CC0-1.0</x:v>
      </x:c>
    </x:row>
    <x:row r="2778" ht="82" customHeight="1">
      <x:c r="A2778" s="14" t="n">
        <x:v>2773</x:v>
      </x:c>
      <x:c r="B2778" s="6" t="str">
        <x:v>straight_line_3d</x:v>
      </x:c>
      <x:c r="C2778" s="6" t="str">
        <x:v>We're planning a wireless sensor link between Office 0.16 (Ground floor) and Storage 2.11 (Floor 2). What is the straight-line distance in metres between the centres of the two rooms (each room's floor-plan centroid, at its floor's elevation)? Finish with a line 'Answer: &lt;number&gt;'.</x:v>
      </x:c>
      <x:c r="D2778" s="6" t="str">
        <x:v>11.33 m</x:v>
      </x:c>
      <x:c r="E2778" s="6" t="str">
        <x:v>Reference supplied</x:v>
      </x:c>
      <x:c r="F2778" s="6" t="str">
        <x:v>train</x:v>
      </x:c>
      <x:c r="G2778" s="6" t="str">
        <x:v>proc-campus-train-001</x:v>
      </x:c>
      <x:c r="H2778" s="6" t="str">
        <x:v>proc-campus-train-001-H05</x:v>
      </x:c>
      <x:c r="I2778" s="6" t="str">
        <x:v>Spatial relationships</x:v>
      </x:c>
      <x:c r="J2778" s="6" t="str">
        <x:v>Benchmark</x:v>
      </x:c>
      <x:c r="K2778" s="6" t="str">
        <x:v>Answer: &lt;one number&gt;</x:v>
      </x:c>
      <x:c r="L2778" s="6" t="str">
        <x:v>T02, T04, T10, T14</x:v>
      </x:c>
      <x:c r="M2778" s="6" t="str">
        <x:v>Measure the 3D straight-line distance between room polygon centroids at floor elevation.</x:v>
      </x:c>
      <x:c r="N2778" s="6" t="str">
        <x:v>{"type":"number","value":11.33,"unit":"m","relative_tolerance":0.02,"absolute_tolerance":0}</x:v>
      </x:c>
      <x:c r="O2778" s="6" t="str">
        <x:v>{"first":"proc-campus-train-001-F0-S016","second":"proc-campus-train-001-F2-S011"}</x:v>
      </x:c>
      <x:c r="P2778" s="6" t="str">
        <x:v>Polygon centroid at floor.elevation_m. Straight-line 3D distance.</x:v>
      </x:c>
      <x:c r="Q2778" s="15" t="n">
        <x:v>11.33</x:v>
      </x:c>
      <x:c r="R2778" s="6" t="str">
        <x:v>m</x:v>
      </x:c>
      <x:c r="S2778" s="16" t="n">
        <x:v>0.02</x:v>
      </x:c>
      <x:c r="T2778" s="15" t="n">
        <x:v>0</x:v>
      </x:c>
      <x:c r="U2778" s="6" t="str">
        <x:v>Answer: 11.33</x:v>
      </x:c>
      <x:c r="V2778" s="6" t="str">
        <x:v>3D geometry: centroids and floor elevations</x:v>
      </x:c>
      <x:c r="W2778" s="6" t="str">
        <x:v>Missing centroid/elevation distance tool.</x:v>
      </x:c>
      <x:c r="X2778" s="6" t="str">
        <x:v>data/train/proc-campus-train-001/questions.jsonl</x:v>
      </x:c>
      <x:c r="Y2778" s="14" t="n">
        <x:v>5</x:v>
      </x:c>
      <x:c r="Z2778" s="6" t="str">
        <x:v>https://github.com/hagenhaeussler/Industrial-Agents-Hackathon-2026/blob/f41616590b69f3ea0c1cbfb41d6c35edd9ce53df/data/train/proc-campus-train-001/questions.jsonl#L5</x:v>
      </x:c>
      <x:c r="AA2778" s="6" t="str">
        <x:v>procedural</x:v>
      </x:c>
      <x:c r="AB2778" s="6" t="str">
        <x:v>CC0-1.0</x:v>
      </x:c>
    </x:row>
    <x:row r="2779" ht="82" customHeight="1">
      <x:c r="A2779" s="14" t="n">
        <x:v>2774</x:v>
      </x:c>
      <x:c r="B2779" s="6" t="str">
        <x:v>straight_line_3d</x:v>
      </x:c>
      <x:c r="C2779" s="6" t="str">
        <x:v>We're planning a wireless sensor link between Library 1.17 (Floor 1) and Seminar room 3.08 (Floor 3). What is the straight-line distance in metres between the centres of the two rooms (each room's floor-plan centroid, at its floor's elevation)? Finish with a line 'Answer: &lt;number&gt;'.</x:v>
      </x:c>
      <x:c r="D2779" s="6" t="str">
        <x:v>12.46 m</x:v>
      </x:c>
      <x:c r="E2779" s="6" t="str">
        <x:v>Reference supplied</x:v>
      </x:c>
      <x:c r="F2779" s="6" t="str">
        <x:v>train</x:v>
      </x:c>
      <x:c r="G2779" s="6" t="str">
        <x:v>proc-campus-train-002</x:v>
      </x:c>
      <x:c r="H2779" s="6" t="str">
        <x:v>proc-campus-train-002-H05</x:v>
      </x:c>
      <x:c r="I2779" s="6" t="str">
        <x:v>Spatial relationships</x:v>
      </x:c>
      <x:c r="J2779" s="6" t="str">
        <x:v>Benchmark</x:v>
      </x:c>
      <x:c r="K2779" s="6" t="str">
        <x:v>Answer: &lt;one number&gt;</x:v>
      </x:c>
      <x:c r="L2779" s="6" t="str">
        <x:v>T02, T04, T10, T14</x:v>
      </x:c>
      <x:c r="M2779" s="6" t="str">
        <x:v>Measure the 3D straight-line distance between room polygon centroids at floor elevation.</x:v>
      </x:c>
      <x:c r="N2779" s="6" t="str">
        <x:v>{"type":"number","value":12.46,"unit":"m","relative_tolerance":0.02,"absolute_tolerance":0}</x:v>
      </x:c>
      <x:c r="O2779" s="6" t="str">
        <x:v>{"first":"proc-campus-train-002-F1-S017","second":"proc-campus-train-002-F3-S008"}</x:v>
      </x:c>
      <x:c r="P2779" s="6" t="str">
        <x:v>Polygon centroid at floor.elevation_m. Straight-line 3D distance.</x:v>
      </x:c>
      <x:c r="Q2779" s="15" t="n">
        <x:v>12.46</x:v>
      </x:c>
      <x:c r="R2779" s="6" t="str">
        <x:v>m</x:v>
      </x:c>
      <x:c r="S2779" s="16" t="n">
        <x:v>0.02</x:v>
      </x:c>
      <x:c r="T2779" s="15" t="n">
        <x:v>0</x:v>
      </x:c>
      <x:c r="U2779" s="6" t="str">
        <x:v>Answer: 12.46</x:v>
      </x:c>
      <x:c r="V2779" s="6" t="str">
        <x:v>3D geometry: centroids and floor elevations</x:v>
      </x:c>
      <x:c r="W2779" s="6" t="str">
        <x:v>Missing centroid/elevation distance tool.</x:v>
      </x:c>
      <x:c r="X2779" s="6" t="str">
        <x:v>data/train/proc-campus-train-002/questions.jsonl</x:v>
      </x:c>
      <x:c r="Y2779" s="14" t="n">
        <x:v>5</x:v>
      </x:c>
      <x:c r="Z2779" s="6" t="str">
        <x:v>https://github.com/hagenhaeussler/Industrial-Agents-Hackathon-2026/blob/f41616590b69f3ea0c1cbfb41d6c35edd9ce53df/data/train/proc-campus-train-002/questions.jsonl#L5</x:v>
      </x:c>
      <x:c r="AA2779" s="6" t="str">
        <x:v>procedural</x:v>
      </x:c>
      <x:c r="AB2779" s="6" t="str">
        <x:v>CC0-1.0</x:v>
      </x:c>
    </x:row>
    <x:row r="2780" ht="82" customHeight="1">
      <x:c r="A2780" s="14" t="n">
        <x:v>2775</x:v>
      </x:c>
      <x:c r="B2780" s="6" t="str">
        <x:v>straight_line_3d</x:v>
      </x:c>
      <x:c r="C2780" s="6" t="str">
        <x:v>We're planning a wireless sensor link between Toilet 2.16 (Floor 2) and Canteen 0.17 (Ground floor). What is the straight-line distance in metres between the centres of the two rooms (each room's floor-plan centroid, at its floor's elevation)? Finish with a line 'Answer: &lt;number&gt;'.</x:v>
      </x:c>
      <x:c r="D2780" s="6" t="str">
        <x:v>12.88 m</x:v>
      </x:c>
      <x:c r="E2780" s="6" t="str">
        <x:v>Reference supplied</x:v>
      </x:c>
      <x:c r="F2780" s="6" t="str">
        <x:v>train</x:v>
      </x:c>
      <x:c r="G2780" s="6" t="str">
        <x:v>proc-campus-train-003</x:v>
      </x:c>
      <x:c r="H2780" s="6" t="str">
        <x:v>proc-campus-train-003-H03</x:v>
      </x:c>
      <x:c r="I2780" s="6" t="str">
        <x:v>Spatial relationships</x:v>
      </x:c>
      <x:c r="J2780" s="6" t="str">
        <x:v>Benchmark</x:v>
      </x:c>
      <x:c r="K2780" s="6" t="str">
        <x:v>Answer: &lt;one number&gt;</x:v>
      </x:c>
      <x:c r="L2780" s="6" t="str">
        <x:v>T02, T04, T10, T14</x:v>
      </x:c>
      <x:c r="M2780" s="6" t="str">
        <x:v>Measure the 3D straight-line distance between room polygon centroids at floor elevation.</x:v>
      </x:c>
      <x:c r="N2780" s="6" t="str">
        <x:v>{"type":"number","value":12.88,"unit":"m","relative_tolerance":0.02,"absolute_tolerance":0}</x:v>
      </x:c>
      <x:c r="O2780" s="6" t="str">
        <x:v>{"first":"proc-campus-train-003-F2-S016","second":"proc-campus-train-003-F0-S017"}</x:v>
      </x:c>
      <x:c r="P2780" s="6" t="str">
        <x:v>Polygon centroid at floor.elevation_m. Straight-line 3D distance.</x:v>
      </x:c>
      <x:c r="Q2780" s="15" t="n">
        <x:v>12.88</x:v>
      </x:c>
      <x:c r="R2780" s="6" t="str">
        <x:v>m</x:v>
      </x:c>
      <x:c r="S2780" s="16" t="n">
        <x:v>0.02</x:v>
      </x:c>
      <x:c r="T2780" s="15" t="n">
        <x:v>0</x:v>
      </x:c>
      <x:c r="U2780" s="6" t="str">
        <x:v>Answer: 12.88</x:v>
      </x:c>
      <x:c r="V2780" s="6" t="str">
        <x:v>3D geometry: centroids and floor elevations</x:v>
      </x:c>
      <x:c r="W2780" s="6" t="str">
        <x:v>Missing centroid/elevation distance tool.</x:v>
      </x:c>
      <x:c r="X2780" s="6" t="str">
        <x:v>data/train/proc-campus-train-003/questions.jsonl</x:v>
      </x:c>
      <x:c r="Y2780" s="14" t="n">
        <x:v>3</x:v>
      </x:c>
      <x:c r="Z2780" s="6" t="str">
        <x:v>https://github.com/hagenhaeussler/Industrial-Agents-Hackathon-2026/blob/f41616590b69f3ea0c1cbfb41d6c35edd9ce53df/data/train/proc-campus-train-003/questions.jsonl#L3</x:v>
      </x:c>
      <x:c r="AA2780" s="6" t="str">
        <x:v>procedural</x:v>
      </x:c>
      <x:c r="AB2780" s="6" t="str">
        <x:v>CC0-1.0</x:v>
      </x:c>
    </x:row>
    <x:row r="2781" ht="82" customHeight="1">
      <x:c r="A2781" s="14" t="n">
        <x:v>2776</x:v>
      </x:c>
      <x:c r="B2781" s="6" t="str">
        <x:v>straight_line_3d</x:v>
      </x:c>
      <x:c r="C2781" s="6" t="str">
        <x:v>We're planning a wireless sensor link between Office 2.02 (Floor 2) and Office 0.21 (Ground floor). What is the straight-line distance in metres between the centres of the two rooms (each room's floor-plan centroid, at its floor's elevation)? Finish with a line 'Answer: &lt;number&gt;'.</x:v>
      </x:c>
      <x:c r="D2781" s="6" t="str">
        <x:v>55.65 m</x:v>
      </x:c>
      <x:c r="E2781" s="6" t="str">
        <x:v>Reference supplied</x:v>
      </x:c>
      <x:c r="F2781" s="6" t="str">
        <x:v>train</x:v>
      </x:c>
      <x:c r="G2781" s="6" t="str">
        <x:v>proc-campus-train-004</x:v>
      </x:c>
      <x:c r="H2781" s="6" t="str">
        <x:v>proc-campus-train-004-H05</x:v>
      </x:c>
      <x:c r="I2781" s="6" t="str">
        <x:v>Spatial relationships</x:v>
      </x:c>
      <x:c r="J2781" s="6" t="str">
        <x:v>Benchmark</x:v>
      </x:c>
      <x:c r="K2781" s="6" t="str">
        <x:v>Answer: &lt;one number&gt;</x:v>
      </x:c>
      <x:c r="L2781" s="6" t="str">
        <x:v>T02, T04, T10, T14</x:v>
      </x:c>
      <x:c r="M2781" s="6" t="str">
        <x:v>Measure the 3D straight-line distance between room polygon centroids at floor elevation.</x:v>
      </x:c>
      <x:c r="N2781" s="6" t="str">
        <x:v>{"type":"number","value":55.65,"unit":"m","relative_tolerance":0.02,"absolute_tolerance":0}</x:v>
      </x:c>
      <x:c r="O2781" s="6" t="str">
        <x:v>{"first":"proc-campus-train-004-F2-S002","second":"proc-campus-train-004-F0-S021"}</x:v>
      </x:c>
      <x:c r="P2781" s="6" t="str">
        <x:v>Polygon centroid at floor.elevation_m. Straight-line 3D distance.</x:v>
      </x:c>
      <x:c r="Q2781" s="15" t="n">
        <x:v>55.65</x:v>
      </x:c>
      <x:c r="R2781" s="6" t="str">
        <x:v>m</x:v>
      </x:c>
      <x:c r="S2781" s="16" t="n">
        <x:v>0.02</x:v>
      </x:c>
      <x:c r="T2781" s="15" t="n">
        <x:v>0</x:v>
      </x:c>
      <x:c r="U2781" s="6" t="str">
        <x:v>Answer: 55.65</x:v>
      </x:c>
      <x:c r="V2781" s="6" t="str">
        <x:v>3D geometry: centroids and floor elevations</x:v>
      </x:c>
      <x:c r="W2781" s="6" t="str">
        <x:v>Missing centroid/elevation distance tool.</x:v>
      </x:c>
      <x:c r="X2781" s="6" t="str">
        <x:v>data/train/proc-campus-train-004/questions.jsonl</x:v>
      </x:c>
      <x:c r="Y2781" s="14" t="n">
        <x:v>5</x:v>
      </x:c>
      <x:c r="Z2781" s="6" t="str">
        <x:v>https://github.com/hagenhaeussler/Industrial-Agents-Hackathon-2026/blob/f41616590b69f3ea0c1cbfb41d6c35edd9ce53df/data/train/proc-campus-train-004/questions.jsonl#L5</x:v>
      </x:c>
      <x:c r="AA2781" s="6" t="str">
        <x:v>procedural</x:v>
      </x:c>
      <x:c r="AB2781" s="6" t="str">
        <x:v>CC0-1.0</x:v>
      </x:c>
    </x:row>
    <x:row r="2782" ht="82" customHeight="1">
      <x:c r="A2782" s="14" t="n">
        <x:v>2777</x:v>
      </x:c>
      <x:c r="B2782" s="6" t="str">
        <x:v>straight_line_3d</x:v>
      </x:c>
      <x:c r="C2782" s="6" t="str">
        <x:v>We're planning a wireless sensor link between Main lobby (Ground floor) and Storage 2.11 (Floor 2). What is the straight-line distance in metres between the centres of the two rooms (each room's floor-plan centroid, at its floor's elevation)? Finish with a line 'Answer: &lt;number&gt;'.</x:v>
      </x:c>
      <x:c r="D2782" s="6" t="str">
        <x:v>43.67 m</x:v>
      </x:c>
      <x:c r="E2782" s="6" t="str">
        <x:v>Reference supplied</x:v>
      </x:c>
      <x:c r="F2782" s="6" t="str">
        <x:v>train</x:v>
      </x:c>
      <x:c r="G2782" s="6" t="str">
        <x:v>proc-campus-train-011</x:v>
      </x:c>
      <x:c r="H2782" s="6" t="str">
        <x:v>proc-campus-train-011-H05</x:v>
      </x:c>
      <x:c r="I2782" s="6" t="str">
        <x:v>Spatial relationships</x:v>
      </x:c>
      <x:c r="J2782" s="6" t="str">
        <x:v>Benchmark</x:v>
      </x:c>
      <x:c r="K2782" s="6" t="str">
        <x:v>Answer: &lt;one number&gt;</x:v>
      </x:c>
      <x:c r="L2782" s="6" t="str">
        <x:v>T02, T04, T10, T14</x:v>
      </x:c>
      <x:c r="M2782" s="6" t="str">
        <x:v>Measure the 3D straight-line distance between room polygon centroids at floor elevation.</x:v>
      </x:c>
      <x:c r="N2782" s="6" t="str">
        <x:v>{"type":"number","value":43.67,"unit":"m","relative_tolerance":0.02,"absolute_tolerance":0}</x:v>
      </x:c>
      <x:c r="O2782" s="6" t="str">
        <x:v>{"first":"proc-campus-train-011-F0-S007","second":"proc-campus-train-011-F2-S011"}</x:v>
      </x:c>
      <x:c r="P2782" s="6" t="str">
        <x:v>Polygon centroid at floor.elevation_m. Straight-line 3D distance.</x:v>
      </x:c>
      <x:c r="Q2782" s="15" t="n">
        <x:v>43.67</x:v>
      </x:c>
      <x:c r="R2782" s="6" t="str">
        <x:v>m</x:v>
      </x:c>
      <x:c r="S2782" s="16" t="n">
        <x:v>0.02</x:v>
      </x:c>
      <x:c r="T2782" s="15" t="n">
        <x:v>0</x:v>
      </x:c>
      <x:c r="U2782" s="6" t="str">
        <x:v>Answer: 43.67</x:v>
      </x:c>
      <x:c r="V2782" s="6" t="str">
        <x:v>3D geometry: centroids and floor elevations</x:v>
      </x:c>
      <x:c r="W2782" s="6" t="str">
        <x:v>Missing centroid/elevation distance tool.</x:v>
      </x:c>
      <x:c r="X2782" s="6" t="str">
        <x:v>data/train/proc-campus-train-011/questions.jsonl</x:v>
      </x:c>
      <x:c r="Y2782" s="14" t="n">
        <x:v>5</x:v>
      </x:c>
      <x:c r="Z2782" s="6" t="str">
        <x:v>https://github.com/hagenhaeussler/Industrial-Agents-Hackathon-2026/blob/f41616590b69f3ea0c1cbfb41d6c35edd9ce53df/data/train/proc-campus-train-011/questions.jsonl#L5</x:v>
      </x:c>
      <x:c r="AA2782" s="6" t="str">
        <x:v>procedural</x:v>
      </x:c>
      <x:c r="AB2782" s="6" t="str">
        <x:v>CC0-1.0</x:v>
      </x:c>
    </x:row>
    <x:row r="2783" ht="82" customHeight="1">
      <x:c r="A2783" s="14" t="n">
        <x:v>2778</x:v>
      </x:c>
      <x:c r="B2783" s="6" t="str">
        <x:v>straight_line_3d</x:v>
      </x:c>
      <x:c r="C2783" s="6" t="str">
        <x:v>We're planning a wireless sensor link between Lab 0.13 (Ground floor) and Seminar room 2.05 (Floor 2). What is the straight-line distance in metres between the centres of the two rooms (each room's floor-plan centroid, at its floor's elevation)? Finish with a line 'Answer: &lt;number&gt;'.</x:v>
      </x:c>
      <x:c r="D2783" s="6" t="str">
        <x:v>23.61 m</x:v>
      </x:c>
      <x:c r="E2783" s="6" t="str">
        <x:v>Reference supplied</x:v>
      </x:c>
      <x:c r="F2783" s="6" t="str">
        <x:v>train</x:v>
      </x:c>
      <x:c r="G2783" s="6" t="str">
        <x:v>proc-campus-train-012</x:v>
      </x:c>
      <x:c r="H2783" s="6" t="str">
        <x:v>proc-campus-train-012-H03</x:v>
      </x:c>
      <x:c r="I2783" s="6" t="str">
        <x:v>Spatial relationships</x:v>
      </x:c>
      <x:c r="J2783" s="6" t="str">
        <x:v>Benchmark</x:v>
      </x:c>
      <x:c r="K2783" s="6" t="str">
        <x:v>Answer: &lt;one number&gt;</x:v>
      </x:c>
      <x:c r="L2783" s="6" t="str">
        <x:v>T02, T04, T10, T14</x:v>
      </x:c>
      <x:c r="M2783" s="6" t="str">
        <x:v>Measure the 3D straight-line distance between room polygon centroids at floor elevation.</x:v>
      </x:c>
      <x:c r="N2783" s="6" t="str">
        <x:v>{"type":"number","value":23.61,"unit":"m","relative_tolerance":0.02,"absolute_tolerance":0}</x:v>
      </x:c>
      <x:c r="O2783" s="6" t="str">
        <x:v>{"first":"proc-campus-train-012-F0-S013","second":"proc-campus-train-012-F2-S005"}</x:v>
      </x:c>
      <x:c r="P2783" s="6" t="str">
        <x:v>Polygon centroid at floor.elevation_m. Straight-line 3D distance.</x:v>
      </x:c>
      <x:c r="Q2783" s="15" t="n">
        <x:v>23.61</x:v>
      </x:c>
      <x:c r="R2783" s="6" t="str">
        <x:v>m</x:v>
      </x:c>
      <x:c r="S2783" s="16" t="n">
        <x:v>0.02</x:v>
      </x:c>
      <x:c r="T2783" s="15" t="n">
        <x:v>0</x:v>
      </x:c>
      <x:c r="U2783" s="6" t="str">
        <x:v>Answer: 23.61</x:v>
      </x:c>
      <x:c r="V2783" s="6" t="str">
        <x:v>3D geometry: centroids and floor elevations</x:v>
      </x:c>
      <x:c r="W2783" s="6" t="str">
        <x:v>Missing centroid/elevation distance tool.</x:v>
      </x:c>
      <x:c r="X2783" s="6" t="str">
        <x:v>data/train/proc-campus-train-012/questions.jsonl</x:v>
      </x:c>
      <x:c r="Y2783" s="14" t="n">
        <x:v>3</x:v>
      </x:c>
      <x:c r="Z2783" s="6" t="str">
        <x:v>https://github.com/hagenhaeussler/Industrial-Agents-Hackathon-2026/blob/f41616590b69f3ea0c1cbfb41d6c35edd9ce53df/data/train/proc-campus-train-012/questions.jsonl#L3</x:v>
      </x:c>
      <x:c r="AA2783" s="6" t="str">
        <x:v>procedural</x:v>
      </x:c>
      <x:c r="AB2783" s="6" t="str">
        <x:v>CC0-1.0</x:v>
      </x:c>
    </x:row>
    <x:row r="2784" ht="72" customHeight="1">
      <x:c r="A2784" s="14" t="n">
        <x:v>2779</x:v>
      </x:c>
      <x:c r="B2784" s="6" t="str">
        <x:v>straight_line_3d</x:v>
      </x:c>
      <x:c r="C2784" s="6" t="str">
        <x:v>We're planning a wireless sensor link between Kitchen 1.15 (Floor 1) and Office 3.06 (Floor 3). What is the straight-line distance in metres between the centres of the two rooms (each room's floor-plan centroid, at its floor's elevation)? Finish with a line 'Answer: &lt;number&gt;'.</x:v>
      </x:c>
      <x:c r="D2784" s="6" t="str">
        <x:v>19.58 m</x:v>
      </x:c>
      <x:c r="E2784" s="6" t="str">
        <x:v>Reference supplied</x:v>
      </x:c>
      <x:c r="F2784" s="6" t="str">
        <x:v>train</x:v>
      </x:c>
      <x:c r="G2784" s="6" t="str">
        <x:v>proc-campus-train-013</x:v>
      </x:c>
      <x:c r="H2784" s="6" t="str">
        <x:v>proc-campus-train-013-H03</x:v>
      </x:c>
      <x:c r="I2784" s="6" t="str">
        <x:v>Spatial relationships</x:v>
      </x:c>
      <x:c r="J2784" s="6" t="str">
        <x:v>Benchmark</x:v>
      </x:c>
      <x:c r="K2784" s="6" t="str">
        <x:v>Answer: &lt;one number&gt;</x:v>
      </x:c>
      <x:c r="L2784" s="6" t="str">
        <x:v>T02, T04, T10, T14</x:v>
      </x:c>
      <x:c r="M2784" s="6" t="str">
        <x:v>Measure the 3D straight-line distance between room polygon centroids at floor elevation.</x:v>
      </x:c>
      <x:c r="N2784" s="6" t="str">
        <x:v>{"type":"number","value":19.58,"unit":"m","relative_tolerance":0.02,"absolute_tolerance":0}</x:v>
      </x:c>
      <x:c r="O2784" s="6" t="str">
        <x:v>{"first":"proc-campus-train-013-F1-S015","second":"proc-campus-train-013-F3-S006"}</x:v>
      </x:c>
      <x:c r="P2784" s="6" t="str">
        <x:v>Polygon centroid at floor.elevation_m. Straight-line 3D distance.</x:v>
      </x:c>
      <x:c r="Q2784" s="15" t="n">
        <x:v>19.58</x:v>
      </x:c>
      <x:c r="R2784" s="6" t="str">
        <x:v>m</x:v>
      </x:c>
      <x:c r="S2784" s="16" t="n">
        <x:v>0.02</x:v>
      </x:c>
      <x:c r="T2784" s="15" t="n">
        <x:v>0</x:v>
      </x:c>
      <x:c r="U2784" s="6" t="str">
        <x:v>Answer: 19.58</x:v>
      </x:c>
      <x:c r="V2784" s="6" t="str">
        <x:v>3D geometry: centroids and floor elevations</x:v>
      </x:c>
      <x:c r="W2784" s="6" t="str">
        <x:v>Missing centroid/elevation distance tool.</x:v>
      </x:c>
      <x:c r="X2784" s="6" t="str">
        <x:v>data/train/proc-campus-train-013/questions.jsonl</x:v>
      </x:c>
      <x:c r="Y2784" s="14" t="n">
        <x:v>3</x:v>
      </x:c>
      <x:c r="Z2784" s="6" t="str">
        <x:v>https://github.com/hagenhaeussler/Industrial-Agents-Hackathon-2026/blob/f41616590b69f3ea0c1cbfb41d6c35edd9ce53df/data/train/proc-campus-train-013/questions.jsonl#L3</x:v>
      </x:c>
      <x:c r="AA2784" s="6" t="str">
        <x:v>procedural</x:v>
      </x:c>
      <x:c r="AB2784" s="6" t="str">
        <x:v>CC0-1.0</x:v>
      </x:c>
    </x:row>
    <x:row r="2785" ht="82" customHeight="1">
      <x:c r="A2785" s="14" t="n">
        <x:v>2780</x:v>
      </x:c>
      <x:c r="B2785" s="6" t="str">
        <x:v>straight_line_3d</x:v>
      </x:c>
      <x:c r="C2785" s="6" t="str">
        <x:v>We're planning a wireless sensor link between Office 0.21 (Ground floor) and Office 2.14 (Floor 2). What is the straight-line distance in metres between the centres of the two rooms (each room's floor-plan centroid, at its floor's elevation)? Finish with a line 'Answer: &lt;number&gt;'.</x:v>
      </x:c>
      <x:c r="D2785" s="6" t="str">
        <x:v>12.43 m</x:v>
      </x:c>
      <x:c r="E2785" s="6" t="str">
        <x:v>Reference supplied</x:v>
      </x:c>
      <x:c r="F2785" s="6" t="str">
        <x:v>train</x:v>
      </x:c>
      <x:c r="G2785" s="6" t="str">
        <x:v>proc-campus-train-014</x:v>
      </x:c>
      <x:c r="H2785" s="6" t="str">
        <x:v>proc-campus-train-014-H05</x:v>
      </x:c>
      <x:c r="I2785" s="6" t="str">
        <x:v>Spatial relationships</x:v>
      </x:c>
      <x:c r="J2785" s="6" t="str">
        <x:v>Benchmark</x:v>
      </x:c>
      <x:c r="K2785" s="6" t="str">
        <x:v>Answer: &lt;one number&gt;</x:v>
      </x:c>
      <x:c r="L2785" s="6" t="str">
        <x:v>T02, T04, T10, T14</x:v>
      </x:c>
      <x:c r="M2785" s="6" t="str">
        <x:v>Measure the 3D straight-line distance between room polygon centroids at floor elevation.</x:v>
      </x:c>
      <x:c r="N2785" s="6" t="str">
        <x:v>{"type":"number","value":12.43,"unit":"m","relative_tolerance":0.02,"absolute_tolerance":0}</x:v>
      </x:c>
      <x:c r="O2785" s="6" t="str">
        <x:v>{"first":"proc-campus-train-014-F0-S021","second":"proc-campus-train-014-F2-S014"}</x:v>
      </x:c>
      <x:c r="P2785" s="6" t="str">
        <x:v>Polygon centroid at floor.elevation_m. Straight-line 3D distance.</x:v>
      </x:c>
      <x:c r="Q2785" s="15" t="n">
        <x:v>12.43</x:v>
      </x:c>
      <x:c r="R2785" s="6" t="str">
        <x:v>m</x:v>
      </x:c>
      <x:c r="S2785" s="16" t="n">
        <x:v>0.02</x:v>
      </x:c>
      <x:c r="T2785" s="15" t="n">
        <x:v>0</x:v>
      </x:c>
      <x:c r="U2785" s="6" t="str">
        <x:v>Answer: 12.43</x:v>
      </x:c>
      <x:c r="V2785" s="6" t="str">
        <x:v>3D geometry: centroids and floor elevations</x:v>
      </x:c>
      <x:c r="W2785" s="6" t="str">
        <x:v>Missing centroid/elevation distance tool.</x:v>
      </x:c>
      <x:c r="X2785" s="6" t="str">
        <x:v>data/train/proc-campus-train-014/questions.jsonl</x:v>
      </x:c>
      <x:c r="Y2785" s="14" t="n">
        <x:v>5</x:v>
      </x:c>
      <x:c r="Z2785" s="6" t="str">
        <x:v>https://github.com/hagenhaeussler/Industrial-Agents-Hackathon-2026/blob/f41616590b69f3ea0c1cbfb41d6c35edd9ce53df/data/train/proc-campus-train-014/questions.jsonl#L5</x:v>
      </x:c>
      <x:c r="AA2785" s="6" t="str">
        <x:v>procedural</x:v>
      </x:c>
      <x:c r="AB2785" s="6" t="str">
        <x:v>CC0-1.0</x:v>
      </x:c>
    </x:row>
    <x:row r="2786" ht="72" customHeight="1">
      <x:c r="A2786" s="14" t="n">
        <x:v>2781</x:v>
      </x:c>
      <x:c r="B2786" s="6" t="str">
        <x:v>straight_line_3d</x:v>
      </x:c>
      <x:c r="C2786" s="6" t="str">
        <x:v>We're planning a wireless sensor link between Office 2.22 (Floor 2) and Main lobby (Ground floor). What is the straight-line distance in metres between the centres of the two rooms (each room's floor-plan centroid, at its floor's elevation)? Finish with a line 'Answer: &lt;number&gt;'.</x:v>
      </x:c>
      <x:c r="D2786" s="6" t="str">
        <x:v>35.02 m</x:v>
      </x:c>
      <x:c r="E2786" s="6" t="str">
        <x:v>Reference supplied</x:v>
      </x:c>
      <x:c r="F2786" s="6" t="str">
        <x:v>train</x:v>
      </x:c>
      <x:c r="G2786" s="6" t="str">
        <x:v>proc-campus-train-016</x:v>
      </x:c>
      <x:c r="H2786" s="6" t="str">
        <x:v>proc-campus-train-016-H03</x:v>
      </x:c>
      <x:c r="I2786" s="6" t="str">
        <x:v>Spatial relationships</x:v>
      </x:c>
      <x:c r="J2786" s="6" t="str">
        <x:v>Benchmark</x:v>
      </x:c>
      <x:c r="K2786" s="6" t="str">
        <x:v>Answer: &lt;one number&gt;</x:v>
      </x:c>
      <x:c r="L2786" s="6" t="str">
        <x:v>T02, T04, T10, T14</x:v>
      </x:c>
      <x:c r="M2786" s="6" t="str">
        <x:v>Measure the 3D straight-line distance between room polygon centroids at floor elevation.</x:v>
      </x:c>
      <x:c r="N2786" s="6" t="str">
        <x:v>{"type":"number","value":35.02,"unit":"m","relative_tolerance":0.02,"absolute_tolerance":0}</x:v>
      </x:c>
      <x:c r="O2786" s="6" t="str">
        <x:v>{"first":"proc-campus-train-016-F2-S022","second":"proc-campus-train-016-F0-S014"}</x:v>
      </x:c>
      <x:c r="P2786" s="6" t="str">
        <x:v>Polygon centroid at floor.elevation_m. Straight-line 3D distance.</x:v>
      </x:c>
      <x:c r="Q2786" s="15" t="n">
        <x:v>35.02</x:v>
      </x:c>
      <x:c r="R2786" s="6" t="str">
        <x:v>m</x:v>
      </x:c>
      <x:c r="S2786" s="16" t="n">
        <x:v>0.02</x:v>
      </x:c>
      <x:c r="T2786" s="15" t="n">
        <x:v>0</x:v>
      </x:c>
      <x:c r="U2786" s="6" t="str">
        <x:v>Answer: 35.02</x:v>
      </x:c>
      <x:c r="V2786" s="6" t="str">
        <x:v>3D geometry: centroids and floor elevations</x:v>
      </x:c>
      <x:c r="W2786" s="6" t="str">
        <x:v>Missing centroid/elevation distance tool.</x:v>
      </x:c>
      <x:c r="X2786" s="6" t="str">
        <x:v>data/train/proc-campus-train-016/questions.jsonl</x:v>
      </x:c>
      <x:c r="Y2786" s="14" t="n">
        <x:v>3</x:v>
      </x:c>
      <x:c r="Z2786" s="6" t="str">
        <x:v>https://github.com/hagenhaeussler/Industrial-Agents-Hackathon-2026/blob/f41616590b69f3ea0c1cbfb41d6c35edd9ce53df/data/train/proc-campus-train-016/questions.jsonl#L3</x:v>
      </x:c>
      <x:c r="AA2786" s="6" t="str">
        <x:v>procedural</x:v>
      </x:c>
      <x:c r="AB2786" s="6" t="str">
        <x:v>CC0-1.0</x:v>
      </x:c>
    </x:row>
    <x:row r="2787" ht="72" customHeight="1">
      <x:c r="A2787" s="14" t="n">
        <x:v>2782</x:v>
      </x:c>
      <x:c r="B2787" s="6" t="str">
        <x:v>straight_line_3d</x:v>
      </x:c>
      <x:c r="C2787" s="6" t="str">
        <x:v>We're planning a wireless sensor link between Office 2.16 (Floor 2) and Main lobby (Ground floor). What is the straight-line distance in metres between the centres of the two rooms (each room's floor-plan centroid, at its floor's elevation)? Finish with a line 'Answer: &lt;number&gt;'.</x:v>
      </x:c>
      <x:c r="D2787" s="6" t="str">
        <x:v>16.22 m</x:v>
      </x:c>
      <x:c r="E2787" s="6" t="str">
        <x:v>Reference supplied</x:v>
      </x:c>
      <x:c r="F2787" s="6" t="str">
        <x:v>train</x:v>
      </x:c>
      <x:c r="G2787" s="6" t="str">
        <x:v>proc-campus-train-019</x:v>
      </x:c>
      <x:c r="H2787" s="6" t="str">
        <x:v>proc-campus-train-019-H05</x:v>
      </x:c>
      <x:c r="I2787" s="6" t="str">
        <x:v>Spatial relationships</x:v>
      </x:c>
      <x:c r="J2787" s="6" t="str">
        <x:v>Benchmark</x:v>
      </x:c>
      <x:c r="K2787" s="6" t="str">
        <x:v>Answer: &lt;one number&gt;</x:v>
      </x:c>
      <x:c r="L2787" s="6" t="str">
        <x:v>T02, T04, T10, T14</x:v>
      </x:c>
      <x:c r="M2787" s="6" t="str">
        <x:v>Measure the 3D straight-line distance between room polygon centroids at floor elevation.</x:v>
      </x:c>
      <x:c r="N2787" s="6" t="str">
        <x:v>{"type":"number","value":16.22,"unit":"m","relative_tolerance":0.02,"absolute_tolerance":0}</x:v>
      </x:c>
      <x:c r="O2787" s="6" t="str">
        <x:v>{"first":"proc-campus-train-019-F2-S016","second":"proc-campus-train-019-F0-S010"}</x:v>
      </x:c>
      <x:c r="P2787" s="6" t="str">
        <x:v>Polygon centroid at floor.elevation_m. Straight-line 3D distance.</x:v>
      </x:c>
      <x:c r="Q2787" s="15" t="n">
        <x:v>16.22</x:v>
      </x:c>
      <x:c r="R2787" s="6" t="str">
        <x:v>m</x:v>
      </x:c>
      <x:c r="S2787" s="16" t="n">
        <x:v>0.02</x:v>
      </x:c>
      <x:c r="T2787" s="15" t="n">
        <x:v>0</x:v>
      </x:c>
      <x:c r="U2787" s="6" t="str">
        <x:v>Answer: 16.22</x:v>
      </x:c>
      <x:c r="V2787" s="6" t="str">
        <x:v>3D geometry: centroids and floor elevations</x:v>
      </x:c>
      <x:c r="W2787" s="6" t="str">
        <x:v>Missing centroid/elevation distance tool.</x:v>
      </x:c>
      <x:c r="X2787" s="6" t="str">
        <x:v>data/train/proc-campus-train-019/questions.jsonl</x:v>
      </x:c>
      <x:c r="Y2787" s="14" t="n">
        <x:v>5</x:v>
      </x:c>
      <x:c r="Z2787" s="6" t="str">
        <x:v>https://github.com/hagenhaeussler/Industrial-Agents-Hackathon-2026/blob/f41616590b69f3ea0c1cbfb41d6c35edd9ce53df/data/train/proc-campus-train-019/questions.jsonl#L5</x:v>
      </x:c>
      <x:c r="AA2787" s="6" t="str">
        <x:v>procedural</x:v>
      </x:c>
      <x:c r="AB2787" s="6" t="str">
        <x:v>CC0-1.0</x:v>
      </x:c>
    </x:row>
    <x:row r="2788" ht="82" customHeight="1">
      <x:c r="A2788" s="14" t="n">
        <x:v>2783</x:v>
      </x:c>
      <x:c r="B2788" s="6" t="str">
        <x:v>straight_line_3d</x:v>
      </x:c>
      <x:c r="C2788" s="6" t="str">
        <x:v>We're planning a wireless sensor link between Generic room N0304 (Ground floor) and Generic room N2323 (Floor 2). What is the straight-line distance in metres between the centres of the two rooms (each room's floor-plan centroid, at its floor's elevation)? Finish with a line 'Answer: &lt;number&gt;'.</x:v>
      </x:c>
      <x:c r="D2788" s="6" t="str">
        <x:v>13.06 m</x:v>
      </x:c>
      <x:c r="E2788" s="6" t="str">
        <x:v>Reference supplied</x:v>
      </x:c>
      <x:c r="F2788" s="6" t="str">
        <x:v>dev</x:v>
      </x:c>
      <x:c r="G2788" s="6" t="str">
        <x:v>osm-way22744230</x:v>
      </x:c>
      <x:c r="H2788" s="6" t="str">
        <x:v>osm-way22744230-H09</x:v>
      </x:c>
      <x:c r="I2788" s="6" t="str">
        <x:v>Spatial relationships</x:v>
      </x:c>
      <x:c r="J2788" s="6" t="str">
        <x:v>Benchmark</x:v>
      </x:c>
      <x:c r="K2788" s="6" t="str">
        <x:v>Answer: &lt;one number&gt;</x:v>
      </x:c>
      <x:c r="L2788" s="6" t="str">
        <x:v>T02, T04, T10, T14</x:v>
      </x:c>
      <x:c r="M2788" s="6" t="str">
        <x:v>Measure the 3D straight-line distance between room polygon centroids at floor elevation.</x:v>
      </x:c>
      <x:c r="N2788" s="6" t="str">
        <x:v>{"type":"number","value":13.06,"unit":"m","relative_tolerance":0.02,"absolute_tolerance":0}</x:v>
      </x:c>
      <x:c r="O2788" s="6" t="str">
        <x:v>{"first":"osm-way22744230-F0-S027","second":"osm-way22744230-F2-S045"}</x:v>
      </x:c>
      <x:c r="P2788" s="6" t="str">
        <x:v>Polygon centroid at floor.elevation_m. Straight-line 3D distance.</x:v>
      </x:c>
      <x:c r="Q2788" s="15" t="n">
        <x:v>13.06</x:v>
      </x:c>
      <x:c r="R2788" s="6" t="str">
        <x:v>m</x:v>
      </x:c>
      <x:c r="S2788" s="16" t="n">
        <x:v>0.02</x:v>
      </x:c>
      <x:c r="T2788" s="15" t="n">
        <x:v>0</x:v>
      </x:c>
      <x:c r="U2788" s="6" t="str">
        <x:v>Answer: 13.06</x:v>
      </x:c>
      <x:c r="V2788" s="6" t="str">
        <x:v>3D geometry: centroids and floor elevations</x:v>
      </x:c>
      <x:c r="W2788" s="6" t="str">
        <x:v>Missing centroid/elevation distance tool.</x:v>
      </x:c>
      <x:c r="X2788" s="6" t="str">
        <x:v>data/dev/osm-way22744230/questions.jsonl</x:v>
      </x:c>
      <x:c r="Y2788" s="14" t="n">
        <x:v>9</x:v>
      </x:c>
      <x:c r="Z2788" s="6" t="str">
        <x:v>https://github.com/hagenhaeussler/Industrial-Agents-Hackathon-2026/blob/f41616590b69f3ea0c1cbfb41d6c35edd9ce53df/data/dev/osm-way22744230/questions.jsonl#L9</x:v>
      </x:c>
      <x:c r="AA2788" s="6" t="str">
        <x:v>osm_indoor</x:v>
      </x:c>
      <x:c r="AB2788" s="6" t="str">
        <x:v>ODbL-1.0</x:v>
      </x:c>
    </x:row>
    <x:row r="2789" ht="82" customHeight="1">
      <x:c r="A2789" s="14" t="n">
        <x:v>2784</x:v>
      </x:c>
      <x:c r="B2789" s="6" t="str">
        <x:v>straight_line_3d</x:v>
      </x:c>
      <x:c r="C2789" s="6" t="str">
        <x:v>We're planning a wireless sensor link between Generic room 110 (Floor 1) and Generic room K12 (Basement 2). What is the straight-line distance in metres between the centres of the two rooms (each room's floor-plan centroid, at its floor's elevation)? Finish with a line 'Answer: &lt;number&gt;'.</x:v>
      </x:c>
      <x:c r="D2789" s="6" t="str">
        <x:v>9.3 m</x:v>
      </x:c>
      <x:c r="E2789" s="6" t="str">
        <x:v>Reference supplied</x:v>
      </x:c>
      <x:c r="F2789" s="6" t="str">
        <x:v>dev</x:v>
      </x:c>
      <x:c r="G2789" s="6" t="str">
        <x:v>osm-way27326387</x:v>
      </x:c>
      <x:c r="H2789" s="6" t="str">
        <x:v>osm-way27326387-H08</x:v>
      </x:c>
      <x:c r="I2789" s="6" t="str">
        <x:v>Spatial relationships</x:v>
      </x:c>
      <x:c r="J2789" s="6" t="str">
        <x:v>Benchmark</x:v>
      </x:c>
      <x:c r="K2789" s="6" t="str">
        <x:v>Answer: &lt;one number&gt;</x:v>
      </x:c>
      <x:c r="L2789" s="6" t="str">
        <x:v>T02, T04, T10, T14</x:v>
      </x:c>
      <x:c r="M2789" s="6" t="str">
        <x:v>Measure the 3D straight-line distance between room polygon centroids at floor elevation.</x:v>
      </x:c>
      <x:c r="N2789" s="6" t="str">
        <x:v>{"type":"number","value":9.3,"unit":"m","relative_tolerance":0.02,"absolute_tolerance":0}</x:v>
      </x:c>
      <x:c r="O2789" s="6" t="str">
        <x:v>{"first":"osm-way27326387-F1-S009","second":"osm-way27326387-F-2-S012"}</x:v>
      </x:c>
      <x:c r="P2789" s="6" t="str">
        <x:v>Polygon centroid at floor.elevation_m. Straight-line 3D distance.</x:v>
      </x:c>
      <x:c r="Q2789" s="15" t="n">
        <x:v>9.3</x:v>
      </x:c>
      <x:c r="R2789" s="6" t="str">
        <x:v>m</x:v>
      </x:c>
      <x:c r="S2789" s="16" t="n">
        <x:v>0.02</x:v>
      </x:c>
      <x:c r="T2789" s="15" t="n">
        <x:v>0</x:v>
      </x:c>
      <x:c r="U2789" s="6" t="str">
        <x:v>Answer: 9.3</x:v>
      </x:c>
      <x:c r="V2789" s="6" t="str">
        <x:v>3D geometry: centroids and floor elevations</x:v>
      </x:c>
      <x:c r="W2789" s="6" t="str">
        <x:v>Missing centroid/elevation distance tool.</x:v>
      </x:c>
      <x:c r="X2789" s="6" t="str">
        <x:v>data/dev/osm-way27326387/questions.jsonl</x:v>
      </x:c>
      <x:c r="Y2789" s="14" t="n">
        <x:v>8</x:v>
      </x:c>
      <x:c r="Z2789" s="6" t="str">
        <x:v>https://github.com/hagenhaeussler/Industrial-Agents-Hackathon-2026/blob/f41616590b69f3ea0c1cbfb41d6c35edd9ce53df/data/dev/osm-way27326387/questions.jsonl#L8</x:v>
      </x:c>
      <x:c r="AA2789" s="6" t="str">
        <x:v>osm_indoor</x:v>
      </x:c>
      <x:c r="AB2789" s="6" t="str">
        <x:v>ODbL-1.0</x:v>
      </x:c>
    </x:row>
    <x:row r="2790" ht="82" customHeight="1">
      <x:c r="A2790" s="14" t="n">
        <x:v>2785</x:v>
      </x:c>
      <x:c r="B2790" s="6" t="str">
        <x:v>straight_line_3d</x:v>
      </x:c>
      <x:c r="C2790" s="6" t="str">
        <x:v>We're planning a wireless sensor link between Generic room 00.13.031B (Ground floor) and Generic room 02.04.033 (Floor 2). What is the straight-line distance in metres between the centres of the two rooms (each room's floor-plan centroid, at its floor's elevation)? Finish with a line 'Answer: &lt;number&gt;'.</x:v>
      </x:c>
      <x:c r="D2790" s="6" t="str">
        <x:v>189.29 m</x:v>
      </x:c>
      <x:c r="E2790" s="6" t="str">
        <x:v>Reference supplied</x:v>
      </x:c>
      <x:c r="F2790" s="6" t="str">
        <x:v>dev</x:v>
      </x:c>
      <x:c r="G2790" s="6" t="str">
        <x:v>osm-way27917482</x:v>
      </x:c>
      <x:c r="H2790" s="6" t="str">
        <x:v>osm-way27917482-H07</x:v>
      </x:c>
      <x:c r="I2790" s="6" t="str">
        <x:v>Spatial relationships</x:v>
      </x:c>
      <x:c r="J2790" s="6" t="str">
        <x:v>Benchmark</x:v>
      </x:c>
      <x:c r="K2790" s="6" t="str">
        <x:v>Answer: &lt;one number&gt;</x:v>
      </x:c>
      <x:c r="L2790" s="6" t="str">
        <x:v>T02, T04, T10, T14</x:v>
      </x:c>
      <x:c r="M2790" s="6" t="str">
        <x:v>Measure the 3D straight-line distance between room polygon centroids at floor elevation.</x:v>
      </x:c>
      <x:c r="N2790" s="6" t="str">
        <x:v>{"type":"number","value":189.29,"unit":"m","relative_tolerance":0.02,"absolute_tolerance":0}</x:v>
      </x:c>
      <x:c r="O2790" s="6" t="str">
        <x:v>{"first":"osm-way27917482-F0-S181","second":"osm-way27917482-F2-S163"}</x:v>
      </x:c>
      <x:c r="P2790" s="6" t="str">
        <x:v>Polygon centroid at floor.elevation_m. Straight-line 3D distance.</x:v>
      </x:c>
      <x:c r="Q2790" s="15" t="n">
        <x:v>189.29</x:v>
      </x:c>
      <x:c r="R2790" s="6" t="str">
        <x:v>m</x:v>
      </x:c>
      <x:c r="S2790" s="16" t="n">
        <x:v>0.02</x:v>
      </x:c>
      <x:c r="T2790" s="15" t="n">
        <x:v>0</x:v>
      </x:c>
      <x:c r="U2790" s="6" t="str">
        <x:v>Answer: 189.29</x:v>
      </x:c>
      <x:c r="V2790" s="6" t="str">
        <x:v>3D geometry: centroids and floor elevations</x:v>
      </x:c>
      <x:c r="W2790" s="6" t="str">
        <x:v>Missing centroid/elevation distance tool.</x:v>
      </x:c>
      <x:c r="X2790" s="6" t="str">
        <x:v>data/dev/osm-way27917482/questions.jsonl</x:v>
      </x:c>
      <x:c r="Y2790" s="14" t="n">
        <x:v>7</x:v>
      </x:c>
      <x:c r="Z2790" s="6" t="str">
        <x:v>https://github.com/hagenhaeussler/Industrial-Agents-Hackathon-2026/blob/f41616590b69f3ea0c1cbfb41d6c35edd9ce53df/data/dev/osm-way27917482/questions.jsonl#L7</x:v>
      </x:c>
      <x:c r="AA2790" s="6" t="str">
        <x:v>osm_indoor</x:v>
      </x:c>
      <x:c r="AB2790" s="6" t="str">
        <x:v>ODbL-1.0</x:v>
      </x:c>
    </x:row>
    <x:row r="2791" ht="72" customHeight="1">
      <x:c r="A2791" s="14" t="n">
        <x:v>2786</x:v>
      </x:c>
      <x:c r="B2791" s="6" t="str">
        <x:v>straight_line_3d</x:v>
      </x:c>
      <x:c r="C2791" s="6" t="str">
        <x:v>We're planning a wireless sensor link between Ferragamo (Floor 2) and Starbucks (Ground floor). What is the straight-line distance in metres between the centres of the two rooms (each room's floor-plan centroid, at its floor's elevation)? Finish with a line 'Answer: &lt;number&gt;'.</x:v>
      </x:c>
      <x:c r="D2791" s="6" t="str">
        <x:v>160.51 m</x:v>
      </x:c>
      <x:c r="E2791" s="6" t="str">
        <x:v>Reference supplied</x:v>
      </x:c>
      <x:c r="F2791" s="6" t="str">
        <x:v>dev</x:v>
      </x:c>
      <x:c r="G2791" s="6" t="str">
        <x:v>osm-way360544293</x:v>
      </x:c>
      <x:c r="H2791" s="6" t="str">
        <x:v>osm-way360544293-H04</x:v>
      </x:c>
      <x:c r="I2791" s="6" t="str">
        <x:v>Spatial relationships</x:v>
      </x:c>
      <x:c r="J2791" s="6" t="str">
        <x:v>Benchmark</x:v>
      </x:c>
      <x:c r="K2791" s="6" t="str">
        <x:v>Answer: &lt;one number&gt;</x:v>
      </x:c>
      <x:c r="L2791" s="6" t="str">
        <x:v>T02, T04, T10, T14</x:v>
      </x:c>
      <x:c r="M2791" s="6" t="str">
        <x:v>Measure the 3D straight-line distance between room polygon centroids at floor elevation.</x:v>
      </x:c>
      <x:c r="N2791" s="6" t="str">
        <x:v>{"type":"number","value":160.51,"unit":"m","relative_tolerance":0.02,"absolute_tolerance":0}</x:v>
      </x:c>
      <x:c r="O2791" s="6" t="str">
        <x:v>{"first":"osm-way360544293-F2-S005","second":"osm-way360544293-F0-S010"}</x:v>
      </x:c>
      <x:c r="P2791" s="6" t="str">
        <x:v>Polygon centroid at floor.elevation_m. Straight-line 3D distance.</x:v>
      </x:c>
      <x:c r="Q2791" s="15" t="n">
        <x:v>160.51</x:v>
      </x:c>
      <x:c r="R2791" s="6" t="str">
        <x:v>m</x:v>
      </x:c>
      <x:c r="S2791" s="16" t="n">
        <x:v>0.02</x:v>
      </x:c>
      <x:c r="T2791" s="15" t="n">
        <x:v>0</x:v>
      </x:c>
      <x:c r="U2791" s="6" t="str">
        <x:v>Answer: 160.51</x:v>
      </x:c>
      <x:c r="V2791" s="6" t="str">
        <x:v>3D geometry: centroids and floor elevations</x:v>
      </x:c>
      <x:c r="W2791" s="6" t="str">
        <x:v>Missing centroid/elevation distance tool.</x:v>
      </x:c>
      <x:c r="X2791" s="6" t="str">
        <x:v>data/dev/osm-way360544293/questions.jsonl</x:v>
      </x:c>
      <x:c r="Y2791" s="14" t="n">
        <x:v>4</x:v>
      </x:c>
      <x:c r="Z2791" s="6" t="str">
        <x:v>https://github.com/hagenhaeussler/Industrial-Agents-Hackathon-2026/blob/f41616590b69f3ea0c1cbfb41d6c35edd9ce53df/data/dev/osm-way360544293/questions.jsonl#L4</x:v>
      </x:c>
      <x:c r="AA2791" s="6" t="str">
        <x:v>osm_indoor</x:v>
      </x:c>
      <x:c r="AB2791" s="6" t="str">
        <x:v>ODbL-1.0</x:v>
      </x:c>
    </x:row>
    <x:row r="2792" ht="72" customHeight="1">
      <x:c r="A2792" s="14" t="n">
        <x:v>2787</x:v>
      </x:c>
      <x:c r="B2792" s="6" t="str">
        <x:v>straight_line_3d</x:v>
      </x:c>
      <x:c r="C2792" s="6" t="str">
        <x:v>We're planning a wireless sensor link between Lab 1.24 (Floor 1) and Office 4.31 (Floor 4). What is the straight-line distance in metres between the centres of the two rooms (each room's floor-plan centroid, at its floor's elevation)? Finish with a line 'Answer: &lt;number&gt;'.</x:v>
      </x:c>
      <x:c r="D2792" s="6" t="str">
        <x:v>37.27 m</x:v>
      </x:c>
      <x:c r="E2792" s="6" t="str">
        <x:v>Reference supplied</x:v>
      </x:c>
      <x:c r="F2792" s="6" t="str">
        <x:v>dev</x:v>
      </x:c>
      <x:c r="G2792" s="6" t="str">
        <x:v>proc-campus-dev-000</x:v>
      </x:c>
      <x:c r="H2792" s="6" t="str">
        <x:v>proc-campus-dev-000-H05</x:v>
      </x:c>
      <x:c r="I2792" s="6" t="str">
        <x:v>Spatial relationships</x:v>
      </x:c>
      <x:c r="J2792" s="6" t="str">
        <x:v>Benchmark</x:v>
      </x:c>
      <x:c r="K2792" s="6" t="str">
        <x:v>Answer: &lt;one number&gt;</x:v>
      </x:c>
      <x:c r="L2792" s="6" t="str">
        <x:v>T02, T04, T10, T14</x:v>
      </x:c>
      <x:c r="M2792" s="6" t="str">
        <x:v>Measure the 3D straight-line distance between room polygon centroids at floor elevation.</x:v>
      </x:c>
      <x:c r="N2792" s="6" t="str">
        <x:v>{"type":"number","value":37.27,"unit":"m","relative_tolerance":0.02,"absolute_tolerance":0}</x:v>
      </x:c>
      <x:c r="O2792" s="6" t="str">
        <x:v>{"first":"proc-campus-dev-000-F1-S024","second":"proc-campus-dev-000-F4-S031"}</x:v>
      </x:c>
      <x:c r="P2792" s="6" t="str">
        <x:v>Polygon centroid at floor.elevation_m. Straight-line 3D distance.</x:v>
      </x:c>
      <x:c r="Q2792" s="15" t="n">
        <x:v>37.27</x:v>
      </x:c>
      <x:c r="R2792" s="6" t="str">
        <x:v>m</x:v>
      </x:c>
      <x:c r="S2792" s="16" t="n">
        <x:v>0.02</x:v>
      </x:c>
      <x:c r="T2792" s="15" t="n">
        <x:v>0</x:v>
      </x:c>
      <x:c r="U2792" s="6" t="str">
        <x:v>Answer: 37.27</x:v>
      </x:c>
      <x:c r="V2792" s="6" t="str">
        <x:v>3D geometry: centroids and floor elevations</x:v>
      </x:c>
      <x:c r="W2792" s="6" t="str">
        <x:v>Missing centroid/elevation distance tool.</x:v>
      </x:c>
      <x:c r="X2792" s="6" t="str">
        <x:v>data/dev/proc-campus-dev-000/questions.jsonl</x:v>
      </x:c>
      <x:c r="Y2792" s="14" t="n">
        <x:v>5</x:v>
      </x:c>
      <x:c r="Z2792" s="6" t="str">
        <x:v>https://github.com/hagenhaeussler/Industrial-Agents-Hackathon-2026/blob/f41616590b69f3ea0c1cbfb41d6c35edd9ce53df/data/dev/proc-campus-dev-000/questions.jsonl#L5</x:v>
      </x:c>
      <x:c r="AA2792" s="6" t="str">
        <x:v>procedural</x:v>
      </x:c>
      <x:c r="AB2792" s="6" t="str">
        <x:v>CC0-1.0</x:v>
      </x:c>
    </x:row>
    <x:row r="2793" ht="72" customHeight="1">
      <x:c r="A2793" s="14" t="n">
        <x:v>2788</x:v>
      </x:c>
      <x:c r="B2793" s="6" t="str">
        <x:v>straight_line_3d</x:v>
      </x:c>
      <x:c r="C2793" s="6" t="str">
        <x:v>We're planning a wireless sensor link between Lab 0.12 (Ground floor) and Toilet 3.16 (Floor 3). What is the straight-line distance in metres between the centres of the two rooms (each room's floor-plan centroid, at its floor's elevation)? Finish with a line 'Answer: &lt;number&gt;'.</x:v>
      </x:c>
      <x:c r="D2793" s="6" t="str">
        <x:v>35.41 m</x:v>
      </x:c>
      <x:c r="E2793" s="6" t="str">
        <x:v>Reference supplied</x:v>
      </x:c>
      <x:c r="F2793" s="6" t="str">
        <x:v>dev</x:v>
      </x:c>
      <x:c r="G2793" s="6" t="str">
        <x:v>proc-campus-dev-001</x:v>
      </x:c>
      <x:c r="H2793" s="6" t="str">
        <x:v>proc-campus-dev-001-H05</x:v>
      </x:c>
      <x:c r="I2793" s="6" t="str">
        <x:v>Spatial relationships</x:v>
      </x:c>
      <x:c r="J2793" s="6" t="str">
        <x:v>Benchmark</x:v>
      </x:c>
      <x:c r="K2793" s="6" t="str">
        <x:v>Answer: &lt;one number&gt;</x:v>
      </x:c>
      <x:c r="L2793" s="6" t="str">
        <x:v>T02, T04, T10, T14</x:v>
      </x:c>
      <x:c r="M2793" s="6" t="str">
        <x:v>Measure the 3D straight-line distance between room polygon centroids at floor elevation.</x:v>
      </x:c>
      <x:c r="N2793" s="6" t="str">
        <x:v>{"type":"number","value":35.41,"unit":"m","relative_tolerance":0.02,"absolute_tolerance":0}</x:v>
      </x:c>
      <x:c r="O2793" s="6" t="str">
        <x:v>{"first":"proc-campus-dev-001-F0-S012","second":"proc-campus-dev-001-F3-S016"}</x:v>
      </x:c>
      <x:c r="P2793" s="6" t="str">
        <x:v>Polygon centroid at floor.elevation_m. Straight-line 3D distance.</x:v>
      </x:c>
      <x:c r="Q2793" s="15" t="n">
        <x:v>35.41</x:v>
      </x:c>
      <x:c r="R2793" s="6" t="str">
        <x:v>m</x:v>
      </x:c>
      <x:c r="S2793" s="16" t="n">
        <x:v>0.02</x:v>
      </x:c>
      <x:c r="T2793" s="15" t="n">
        <x:v>0</x:v>
      </x:c>
      <x:c r="U2793" s="6" t="str">
        <x:v>Answer: 35.41</x:v>
      </x:c>
      <x:c r="V2793" s="6" t="str">
        <x:v>3D geometry: centroids and floor elevations</x:v>
      </x:c>
      <x:c r="W2793" s="6" t="str">
        <x:v>Missing centroid/elevation distance tool.</x:v>
      </x:c>
      <x:c r="X2793" s="6" t="str">
        <x:v>data/dev/proc-campus-dev-001/questions.jsonl</x:v>
      </x:c>
      <x:c r="Y2793" s="14" t="n">
        <x:v>5</x:v>
      </x:c>
      <x:c r="Z2793" s="6" t="str">
        <x:v>https://github.com/hagenhaeussler/Industrial-Agents-Hackathon-2026/blob/f41616590b69f3ea0c1cbfb41d6c35edd9ce53df/data/dev/proc-campus-dev-001/questions.jsonl#L5</x:v>
      </x:c>
      <x:c r="AA2793" s="6" t="str">
        <x:v>procedural</x:v>
      </x:c>
      <x:c r="AB2793" s="6" t="str">
        <x:v>CC0-1.0</x:v>
      </x:c>
    </x:row>
    <x:row r="2794" ht="82" customHeight="1">
      <x:c r="A2794" s="14" t="n">
        <x:v>2789</x:v>
      </x:c>
      <x:c r="B2794" s="6" t="str">
        <x:v>straight_line_3d</x:v>
      </x:c>
      <x:c r="C2794" s="6" t="str">
        <x:v>We're planning a wireless sensor link between Storage 2.02 (Floor 2) and Kitchen 0.09 (Ground floor). What is the straight-line distance in metres between the centres of the two rooms (each room's floor-plan centroid, at its floor's elevation)? Finish with a line 'Answer: &lt;number&gt;'.</x:v>
      </x:c>
      <x:c r="D2794" s="6" t="str">
        <x:v>43.7 m</x:v>
      </x:c>
      <x:c r="E2794" s="6" t="str">
        <x:v>Reference supplied</x:v>
      </x:c>
      <x:c r="F2794" s="6" t="str">
        <x:v>dev</x:v>
      </x:c>
      <x:c r="G2794" s="6" t="str">
        <x:v>proc-campus-dev-002</x:v>
      </x:c>
      <x:c r="H2794" s="6" t="str">
        <x:v>proc-campus-dev-002-H03</x:v>
      </x:c>
      <x:c r="I2794" s="6" t="str">
        <x:v>Spatial relationships</x:v>
      </x:c>
      <x:c r="J2794" s="6" t="str">
        <x:v>Benchmark</x:v>
      </x:c>
      <x:c r="K2794" s="6" t="str">
        <x:v>Answer: &lt;one number&gt;</x:v>
      </x:c>
      <x:c r="L2794" s="6" t="str">
        <x:v>T02, T04, T10, T14</x:v>
      </x:c>
      <x:c r="M2794" s="6" t="str">
        <x:v>Measure the 3D straight-line distance between room polygon centroids at floor elevation.</x:v>
      </x:c>
      <x:c r="N2794" s="6" t="str">
        <x:v>{"type":"number","value":43.7,"unit":"m","relative_tolerance":0.02,"absolute_tolerance":0}</x:v>
      </x:c>
      <x:c r="O2794" s="6" t="str">
        <x:v>{"first":"proc-campus-dev-002-F2-S002","second":"proc-campus-dev-002-F0-S009"}</x:v>
      </x:c>
      <x:c r="P2794" s="6" t="str">
        <x:v>Polygon centroid at floor.elevation_m. Straight-line 3D distance.</x:v>
      </x:c>
      <x:c r="Q2794" s="15" t="n">
        <x:v>43.7</x:v>
      </x:c>
      <x:c r="R2794" s="6" t="str">
        <x:v>m</x:v>
      </x:c>
      <x:c r="S2794" s="16" t="n">
        <x:v>0.02</x:v>
      </x:c>
      <x:c r="T2794" s="15" t="n">
        <x:v>0</x:v>
      </x:c>
      <x:c r="U2794" s="6" t="str">
        <x:v>Answer: 43.7</x:v>
      </x:c>
      <x:c r="V2794" s="6" t="str">
        <x:v>3D geometry: centroids and floor elevations</x:v>
      </x:c>
      <x:c r="W2794" s="6" t="str">
        <x:v>Missing centroid/elevation distance tool.</x:v>
      </x:c>
      <x:c r="X2794" s="6" t="str">
        <x:v>data/dev/proc-campus-dev-002/questions.jsonl</x:v>
      </x:c>
      <x:c r="Y2794" s="14" t="n">
        <x:v>3</x:v>
      </x:c>
      <x:c r="Z2794" s="6" t="str">
        <x:v>https://github.com/hagenhaeussler/Industrial-Agents-Hackathon-2026/blob/f41616590b69f3ea0c1cbfb41d6c35edd9ce53df/data/dev/proc-campus-dev-002/questions.jsonl#L3</x:v>
      </x:c>
      <x:c r="AA2794" s="6" t="str">
        <x:v>procedural</x:v>
      </x:c>
      <x:c r="AB2794" s="6" t="str">
        <x:v>CC0-1.0</x:v>
      </x:c>
    </x:row>
    <x:row r="2795" ht="82" customHeight="1">
      <x:c r="A2795" s="14" t="n">
        <x:v>2790</x:v>
      </x:c>
      <x:c r="B2795" s="6" t="str">
        <x:v>straight_line_3d</x:v>
      </x:c>
      <x:c r="C2795" s="6" t="str">
        <x:v>We're planning a wireless sensor link between Toilet 3.17 (Floor 3) and Print room 0.16 (Ground floor). What is the straight-line distance in metres between the centres of the two rooms (each room's floor-plan centroid, at its floor's elevation)? Finish with a line 'Answer: &lt;number&gt;'.</x:v>
      </x:c>
      <x:c r="D2795" s="6" t="str">
        <x:v>20.52 m</x:v>
      </x:c>
      <x:c r="E2795" s="6" t="str">
        <x:v>Reference supplied</x:v>
      </x:c>
      <x:c r="F2795" s="6" t="str">
        <x:v>dev</x:v>
      </x:c>
      <x:c r="G2795" s="6" t="str">
        <x:v>proc-campus-dev-006</x:v>
      </x:c>
      <x:c r="H2795" s="6" t="str">
        <x:v>proc-campus-dev-006-H03</x:v>
      </x:c>
      <x:c r="I2795" s="6" t="str">
        <x:v>Spatial relationships</x:v>
      </x:c>
      <x:c r="J2795" s="6" t="str">
        <x:v>Benchmark</x:v>
      </x:c>
      <x:c r="K2795" s="6" t="str">
        <x:v>Answer: &lt;one number&gt;</x:v>
      </x:c>
      <x:c r="L2795" s="6" t="str">
        <x:v>T02, T04, T10, T14</x:v>
      </x:c>
      <x:c r="M2795" s="6" t="str">
        <x:v>Measure the 3D straight-line distance between room polygon centroids at floor elevation.</x:v>
      </x:c>
      <x:c r="N2795" s="6" t="str">
        <x:v>{"type":"number","value":20.52,"unit":"m","relative_tolerance":0.02,"absolute_tolerance":0}</x:v>
      </x:c>
      <x:c r="O2795" s="6" t="str">
        <x:v>{"first":"proc-campus-dev-006-F3-S017","second":"proc-campus-dev-006-F0-S016"}</x:v>
      </x:c>
      <x:c r="P2795" s="6" t="str">
        <x:v>Polygon centroid at floor.elevation_m. Straight-line 3D distance.</x:v>
      </x:c>
      <x:c r="Q2795" s="15" t="n">
        <x:v>20.52</x:v>
      </x:c>
      <x:c r="R2795" s="6" t="str">
        <x:v>m</x:v>
      </x:c>
      <x:c r="S2795" s="16" t="n">
        <x:v>0.02</x:v>
      </x:c>
      <x:c r="T2795" s="15" t="n">
        <x:v>0</x:v>
      </x:c>
      <x:c r="U2795" s="6" t="str">
        <x:v>Answer: 20.52</x:v>
      </x:c>
      <x:c r="V2795" s="6" t="str">
        <x:v>3D geometry: centroids and floor elevations</x:v>
      </x:c>
      <x:c r="W2795" s="6" t="str">
        <x:v>Missing centroid/elevation distance tool.</x:v>
      </x:c>
      <x:c r="X2795" s="6" t="str">
        <x:v>data/dev/proc-campus-dev-006/questions.jsonl</x:v>
      </x:c>
      <x:c r="Y2795" s="14" t="n">
        <x:v>3</x:v>
      </x:c>
      <x:c r="Z2795" s="6" t="str">
        <x:v>https://github.com/hagenhaeussler/Industrial-Agents-Hackathon-2026/blob/f41616590b69f3ea0c1cbfb41d6c35edd9ce53df/data/dev/proc-campus-dev-006/questions.jsonl#L3</x:v>
      </x:c>
      <x:c r="AA2795" s="6" t="str">
        <x:v>procedural</x:v>
      </x:c>
      <x:c r="AB2795" s="6" t="str">
        <x:v>CC0-1.0</x:v>
      </x:c>
    </x:row>
    <x:row r="2796" ht="72" customHeight="1">
      <x:c r="A2796" s="14" t="n">
        <x:v>2791</x:v>
      </x:c>
      <x:c r="B2796" s="6" t="str">
        <x:v>straight_line_3d</x:v>
      </x:c>
      <x:c r="C2796" s="6" t="str">
        <x:v>We're planning a wireless sensor link between Office 2.27 (Floor 2) and Lab 0.14 (Ground floor). What is the straight-line distance in metres between the centres of the two rooms (each room's floor-plan centroid, at its floor's elevation)? Finish with a line 'Answer: &lt;number&gt;'.</x:v>
      </x:c>
      <x:c r="D2796" s="6" t="str">
        <x:v>29.76 m</x:v>
      </x:c>
      <x:c r="E2796" s="6" t="str">
        <x:v>Reference supplied</x:v>
      </x:c>
      <x:c r="F2796" s="6" t="str">
        <x:v>dev</x:v>
      </x:c>
      <x:c r="G2796" s="6" t="str">
        <x:v>proc-campus-dev-009</x:v>
      </x:c>
      <x:c r="H2796" s="6" t="str">
        <x:v>proc-campus-dev-009-H05</x:v>
      </x:c>
      <x:c r="I2796" s="6" t="str">
        <x:v>Spatial relationships</x:v>
      </x:c>
      <x:c r="J2796" s="6" t="str">
        <x:v>Benchmark</x:v>
      </x:c>
      <x:c r="K2796" s="6" t="str">
        <x:v>Answer: &lt;one number&gt;</x:v>
      </x:c>
      <x:c r="L2796" s="6" t="str">
        <x:v>T02, T04, T10, T14</x:v>
      </x:c>
      <x:c r="M2796" s="6" t="str">
        <x:v>Measure the 3D straight-line distance between room polygon centroids at floor elevation.</x:v>
      </x:c>
      <x:c r="N2796" s="6" t="str">
        <x:v>{"type":"number","value":29.76,"unit":"m","relative_tolerance":0.02,"absolute_tolerance":0}</x:v>
      </x:c>
      <x:c r="O2796" s="6" t="str">
        <x:v>{"first":"proc-campus-dev-009-F2-S027","second":"proc-campus-dev-009-F0-S014"}</x:v>
      </x:c>
      <x:c r="P2796" s="6" t="str">
        <x:v>Polygon centroid at floor.elevation_m. Straight-line 3D distance.</x:v>
      </x:c>
      <x:c r="Q2796" s="15" t="n">
        <x:v>29.76</x:v>
      </x:c>
      <x:c r="R2796" s="6" t="str">
        <x:v>m</x:v>
      </x:c>
      <x:c r="S2796" s="16" t="n">
        <x:v>0.02</x:v>
      </x:c>
      <x:c r="T2796" s="15" t="n">
        <x:v>0</x:v>
      </x:c>
      <x:c r="U2796" s="6" t="str">
        <x:v>Answer: 29.76</x:v>
      </x:c>
      <x:c r="V2796" s="6" t="str">
        <x:v>3D geometry: centroids and floor elevations</x:v>
      </x:c>
      <x:c r="W2796" s="6" t="str">
        <x:v>Missing centroid/elevation distance tool.</x:v>
      </x:c>
      <x:c r="X2796" s="6" t="str">
        <x:v>data/dev/proc-campus-dev-009/questions.jsonl</x:v>
      </x:c>
      <x:c r="Y2796" s="14" t="n">
        <x:v>5</x:v>
      </x:c>
      <x:c r="Z2796" s="6" t="str">
        <x:v>https://github.com/hagenhaeussler/Industrial-Agents-Hackathon-2026/blob/f41616590b69f3ea0c1cbfb41d6c35edd9ce53df/data/dev/proc-campus-dev-009/questions.jsonl#L5</x:v>
      </x:c>
      <x:c r="AA2796" s="6" t="str">
        <x:v>procedural</x:v>
      </x:c>
      <x:c r="AB2796" s="6" t="str">
        <x:v>CC0-1.0</x:v>
      </x:c>
    </x:row>
    <x:row r="2797" ht="82" customHeight="1">
      <x:c r="A2797" s="14" t="n">
        <x:v>2792</x:v>
      </x:c>
      <x:c r="B2797" s="6" t="str">
        <x:v>straight_line_3d</x:v>
      </x:c>
      <x:c r="C2797" s="6" t="str">
        <x:v>We're planning a wireless sensor link between Seminar room 2.12 (Floor 2) and Lecture hall 0.18 (Ground floor). What is the straight-line distance in metres between the centres of the two rooms (each room's floor-plan centroid, at its floor's elevation)? Finish with a line 'Answer: &lt;number&gt;'.</x:v>
      </x:c>
      <x:c r="D2797" s="6" t="str">
        <x:v>20.34 m</x:v>
      </x:c>
      <x:c r="E2797" s="6" t="str">
        <x:v>Reference supplied</x:v>
      </x:c>
      <x:c r="F2797" s="6" t="str">
        <x:v>dev</x:v>
      </x:c>
      <x:c r="G2797" s="6" t="str">
        <x:v>proc-campus-dev-013</x:v>
      </x:c>
      <x:c r="H2797" s="6" t="str">
        <x:v>proc-campus-dev-013-H03</x:v>
      </x:c>
      <x:c r="I2797" s="6" t="str">
        <x:v>Spatial relationships</x:v>
      </x:c>
      <x:c r="J2797" s="6" t="str">
        <x:v>Benchmark</x:v>
      </x:c>
      <x:c r="K2797" s="6" t="str">
        <x:v>Answer: &lt;one number&gt;</x:v>
      </x:c>
      <x:c r="L2797" s="6" t="str">
        <x:v>T02, T04, T10, T14</x:v>
      </x:c>
      <x:c r="M2797" s="6" t="str">
        <x:v>Measure the 3D straight-line distance between room polygon centroids at floor elevation.</x:v>
      </x:c>
      <x:c r="N2797" s="6" t="str">
        <x:v>{"type":"number","value":20.34,"unit":"m","relative_tolerance":0.02,"absolute_tolerance":0}</x:v>
      </x:c>
      <x:c r="O2797" s="6" t="str">
        <x:v>{"first":"proc-campus-dev-013-F2-S012","second":"proc-campus-dev-013-F0-S018"}</x:v>
      </x:c>
      <x:c r="P2797" s="6" t="str">
        <x:v>Polygon centroid at floor.elevation_m. Straight-line 3D distance.</x:v>
      </x:c>
      <x:c r="Q2797" s="15" t="n">
        <x:v>20.34</x:v>
      </x:c>
      <x:c r="R2797" s="6" t="str">
        <x:v>m</x:v>
      </x:c>
      <x:c r="S2797" s="16" t="n">
        <x:v>0.02</x:v>
      </x:c>
      <x:c r="T2797" s="15" t="n">
        <x:v>0</x:v>
      </x:c>
      <x:c r="U2797" s="6" t="str">
        <x:v>Answer: 20.34</x:v>
      </x:c>
      <x:c r="V2797" s="6" t="str">
        <x:v>3D geometry: centroids and floor elevations</x:v>
      </x:c>
      <x:c r="W2797" s="6" t="str">
        <x:v>Missing centroid/elevation distance tool.</x:v>
      </x:c>
      <x:c r="X2797" s="6" t="str">
        <x:v>data/dev/proc-campus-dev-013/questions.jsonl</x:v>
      </x:c>
      <x:c r="Y2797" s="14" t="n">
        <x:v>3</x:v>
      </x:c>
      <x:c r="Z2797" s="6" t="str">
        <x:v>https://github.com/hagenhaeussler/Industrial-Agents-Hackathon-2026/blob/f41616590b69f3ea0c1cbfb41d6c35edd9ce53df/data/dev/proc-campus-dev-013/questions.jsonl#L3</x:v>
      </x:c>
      <x:c r="AA2797" s="6" t="str">
        <x:v>procedural</x:v>
      </x:c>
      <x:c r="AB2797" s="6" t="str">
        <x:v>CC0-1.0</x:v>
      </x:c>
    </x:row>
    <x:row r="2798" ht="82" customHeight="1">
      <x:c r="A2798" s="14" t="n">
        <x:v>2793</x:v>
      </x:c>
      <x:c r="B2798" s="6" t="str">
        <x:v>straight_line_3d</x:v>
      </x:c>
      <x:c r="C2798" s="6" t="str">
        <x:v>We're planning a wireless sensor link between Office 0.48 (Ground floor) and Office 2.38 (Floor 2). What is the straight-line distance in metres between the centres of the two rooms (each room's floor-plan centroid, at its floor's elevation)? Finish with a line 'Answer: &lt;number&gt;'.</x:v>
      </x:c>
      <x:c r="D2798" s="6" t="str">
        <x:v>39.72 m</x:v>
      </x:c>
      <x:c r="E2798" s="6" t="str">
        <x:v>Reference supplied</x:v>
      </x:c>
      <x:c r="F2798" s="6" t="str">
        <x:v>dev</x:v>
      </x:c>
      <x:c r="G2798" s="6" t="str">
        <x:v>proc-factory-dev-005</x:v>
      </x:c>
      <x:c r="H2798" s="6" t="str">
        <x:v>proc-factory-dev-005-H06</x:v>
      </x:c>
      <x:c r="I2798" s="6" t="str">
        <x:v>Spatial relationships</x:v>
      </x:c>
      <x:c r="J2798" s="6" t="str">
        <x:v>Benchmark</x:v>
      </x:c>
      <x:c r="K2798" s="6" t="str">
        <x:v>Answer: &lt;one number&gt;</x:v>
      </x:c>
      <x:c r="L2798" s="6" t="str">
        <x:v>T02, T04, T10, T14</x:v>
      </x:c>
      <x:c r="M2798" s="6" t="str">
        <x:v>Measure the 3D straight-line distance between room polygon centroids at floor elevation.</x:v>
      </x:c>
      <x:c r="N2798" s="6" t="str">
        <x:v>{"type":"number","value":39.72,"unit":"m","relative_tolerance":0.02,"absolute_tolerance":0}</x:v>
      </x:c>
      <x:c r="O2798" s="6" t="str">
        <x:v>{"first":"proc-factory-dev-005-F0-S048","second":"proc-factory-dev-005-F2-S038"}</x:v>
      </x:c>
      <x:c r="P2798" s="6" t="str">
        <x:v>Polygon centroid at floor.elevation_m. Straight-line 3D distance.</x:v>
      </x:c>
      <x:c r="Q2798" s="15" t="n">
        <x:v>39.72</x:v>
      </x:c>
      <x:c r="R2798" s="6" t="str">
        <x:v>m</x:v>
      </x:c>
      <x:c r="S2798" s="16" t="n">
        <x:v>0.02</x:v>
      </x:c>
      <x:c r="T2798" s="15" t="n">
        <x:v>0</x:v>
      </x:c>
      <x:c r="U2798" s="6" t="str">
        <x:v>Answer: 39.72</x:v>
      </x:c>
      <x:c r="V2798" s="6" t="str">
        <x:v>3D geometry: centroids and floor elevations</x:v>
      </x:c>
      <x:c r="W2798" s="6" t="str">
        <x:v>Missing centroid/elevation distance tool.</x:v>
      </x:c>
      <x:c r="X2798" s="6" t="str">
        <x:v>data/dev/proc-factory-dev-005/questions.jsonl</x:v>
      </x:c>
      <x:c r="Y2798" s="14" t="n">
        <x:v>6</x:v>
      </x:c>
      <x:c r="Z2798" s="6" t="str">
        <x:v>https://github.com/hagenhaeussler/Industrial-Agents-Hackathon-2026/blob/f41616590b69f3ea0c1cbfb41d6c35edd9ce53df/data/dev/proc-factory-dev-005/questions.jsonl#L6</x:v>
      </x:c>
      <x:c r="AA2798" s="6" t="str">
        <x:v>procedural</x:v>
      </x:c>
      <x:c r="AB2798" s="6" t="str">
        <x:v>CC0-1.0</x:v>
      </x:c>
    </x:row>
    <x:row r="2799" ht="82" customHeight="1">
      <x:c r="A2799" s="14" t="n">
        <x:v>2794</x:v>
      </x:c>
      <x:c r="B2799" s="6" t="str">
        <x:v>straight_line_3d</x:v>
      </x:c>
      <x:c r="C2799" s="6" t="str">
        <x:v>We're planning a wireless sensor link between Server room 0.48 (Ground floor) and Meeting room 2.23 (Floor 2). What is the straight-line distance in metres between the centres of the two rooms (each room's floor-plan centroid, at its floor's elevation)? Finish with a line 'Answer: &lt;number&gt;'.</x:v>
      </x:c>
      <x:c r="D2799" s="6" t="str">
        <x:v>21.76 m</x:v>
      </x:c>
      <x:c r="E2799" s="6" t="str">
        <x:v>Reference supplied</x:v>
      </x:c>
      <x:c r="F2799" s="6" t="str">
        <x:v>dev</x:v>
      </x:c>
      <x:c r="G2799" s="6" t="str">
        <x:v>proc-factory-dev-011</x:v>
      </x:c>
      <x:c r="H2799" s="6" t="str">
        <x:v>proc-factory-dev-011-H06</x:v>
      </x:c>
      <x:c r="I2799" s="6" t="str">
        <x:v>Spatial relationships</x:v>
      </x:c>
      <x:c r="J2799" s="6" t="str">
        <x:v>Benchmark</x:v>
      </x:c>
      <x:c r="K2799" s="6" t="str">
        <x:v>Answer: &lt;one number&gt;</x:v>
      </x:c>
      <x:c r="L2799" s="6" t="str">
        <x:v>T02, T04, T10, T14</x:v>
      </x:c>
      <x:c r="M2799" s="6" t="str">
        <x:v>Measure the 3D straight-line distance between room polygon centroids at floor elevation.</x:v>
      </x:c>
      <x:c r="N2799" s="6" t="str">
        <x:v>{"type":"number","value":21.76,"unit":"m","relative_tolerance":0.02,"absolute_tolerance":0}</x:v>
      </x:c>
      <x:c r="O2799" s="6" t="str">
        <x:v>{"first":"proc-factory-dev-011-F0-S048","second":"proc-factory-dev-011-F2-S023"}</x:v>
      </x:c>
      <x:c r="P2799" s="6" t="str">
        <x:v>Polygon centroid at floor.elevation_m. Straight-line 3D distance.</x:v>
      </x:c>
      <x:c r="Q2799" s="15" t="n">
        <x:v>21.76</x:v>
      </x:c>
      <x:c r="R2799" s="6" t="str">
        <x:v>m</x:v>
      </x:c>
      <x:c r="S2799" s="16" t="n">
        <x:v>0.02</x:v>
      </x:c>
      <x:c r="T2799" s="15" t="n">
        <x:v>0</x:v>
      </x:c>
      <x:c r="U2799" s="6" t="str">
        <x:v>Answer: 21.76</x:v>
      </x:c>
      <x:c r="V2799" s="6" t="str">
        <x:v>3D geometry: centroids and floor elevations</x:v>
      </x:c>
      <x:c r="W2799" s="6" t="str">
        <x:v>Missing centroid/elevation distance tool.</x:v>
      </x:c>
      <x:c r="X2799" s="6" t="str">
        <x:v>data/dev/proc-factory-dev-011/questions.jsonl</x:v>
      </x:c>
      <x:c r="Y2799" s="14" t="n">
        <x:v>6</x:v>
      </x:c>
      <x:c r="Z2799" s="6" t="str">
        <x:v>https://github.com/hagenhaeussler/Industrial-Agents-Hackathon-2026/blob/f41616590b69f3ea0c1cbfb41d6c35edd9ce53df/data/dev/proc-factory-dev-011/questions.jsonl#L6</x:v>
      </x:c>
      <x:c r="AA2799" s="6" t="str">
        <x:v>procedural</x:v>
      </x:c>
      <x:c r="AB2799" s="6" t="str">
        <x:v>CC0-1.0</x:v>
      </x:c>
    </x:row>
    <x:row r="2800" ht="82" customHeight="1">
      <x:c r="A2800" s="14" t="n">
        <x:v>2795</x:v>
      </x:c>
      <x:c r="B2800" s="6" t="str">
        <x:v>straight_line_3d</x:v>
      </x:c>
      <x:c r="C2800" s="6" t="str">
        <x:v>We're planning a wireless sensor link between Office 2.35 (Floor 2) and Office 0.37 (Ground floor). What is the straight-line distance in metres between the centres of the two rooms (each room's floor-plan centroid, at its floor's elevation)? Finish with a line 'Answer: &lt;number&gt;'.</x:v>
      </x:c>
      <x:c r="D2800" s="6" t="str">
        <x:v>27.37 m</x:v>
      </x:c>
      <x:c r="E2800" s="6" t="str">
        <x:v>Reference supplied</x:v>
      </x:c>
      <x:c r="F2800" s="6" t="str">
        <x:v>dev</x:v>
      </x:c>
      <x:c r="G2800" s="6" t="str">
        <x:v>proc-factory-dev-012</x:v>
      </x:c>
      <x:c r="H2800" s="6" t="str">
        <x:v>proc-factory-dev-012-H06</x:v>
      </x:c>
      <x:c r="I2800" s="6" t="str">
        <x:v>Spatial relationships</x:v>
      </x:c>
      <x:c r="J2800" s="6" t="str">
        <x:v>Benchmark</x:v>
      </x:c>
      <x:c r="K2800" s="6" t="str">
        <x:v>Answer: &lt;one number&gt;</x:v>
      </x:c>
      <x:c r="L2800" s="6" t="str">
        <x:v>T02, T04, T10, T14</x:v>
      </x:c>
      <x:c r="M2800" s="6" t="str">
        <x:v>Measure the 3D straight-line distance between room polygon centroids at floor elevation.</x:v>
      </x:c>
      <x:c r="N2800" s="6" t="str">
        <x:v>{"type":"number","value":27.37,"unit":"m","relative_tolerance":0.02,"absolute_tolerance":0}</x:v>
      </x:c>
      <x:c r="O2800" s="6" t="str">
        <x:v>{"first":"proc-factory-dev-012-F2-S035","second":"proc-factory-dev-012-F0-S037"}</x:v>
      </x:c>
      <x:c r="P2800" s="6" t="str">
        <x:v>Polygon centroid at floor.elevation_m. Straight-line 3D distance.</x:v>
      </x:c>
      <x:c r="Q2800" s="15" t="n">
        <x:v>27.37</x:v>
      </x:c>
      <x:c r="R2800" s="6" t="str">
        <x:v>m</x:v>
      </x:c>
      <x:c r="S2800" s="16" t="n">
        <x:v>0.02</x:v>
      </x:c>
      <x:c r="T2800" s="15" t="n">
        <x:v>0</x:v>
      </x:c>
      <x:c r="U2800" s="6" t="str">
        <x:v>Answer: 27.37</x:v>
      </x:c>
      <x:c r="V2800" s="6" t="str">
        <x:v>3D geometry: centroids and floor elevations</x:v>
      </x:c>
      <x:c r="W2800" s="6" t="str">
        <x:v>Missing centroid/elevation distance tool.</x:v>
      </x:c>
      <x:c r="X2800" s="6" t="str">
        <x:v>data/dev/proc-factory-dev-012/questions.jsonl</x:v>
      </x:c>
      <x:c r="Y2800" s="14" t="n">
        <x:v>6</x:v>
      </x:c>
      <x:c r="Z2800" s="6" t="str">
        <x:v>https://github.com/hagenhaeussler/Industrial-Agents-Hackathon-2026/blob/f41616590b69f3ea0c1cbfb41d6c35edd9ce53df/data/dev/proc-factory-dev-012/questions.jsonl#L6</x:v>
      </x:c>
      <x:c r="AA2800" s="6" t="str">
        <x:v>procedural</x:v>
      </x:c>
      <x:c r="AB2800" s="6" t="str">
        <x:v>CC0-1.0</x:v>
      </x:c>
    </x:row>
    <x:row r="2801" ht="82" customHeight="1">
      <x:c r="A2801" s="14" t="n">
        <x:v>2796</x:v>
      </x:c>
      <x:c r="B2801" s="6" t="str">
        <x:v>straight_line_3d</x:v>
      </x:c>
      <x:c r="C2801" s="6" t="str">
        <x:v>We're planning a wireless sensor link between Generic room -1.11 (Basement 1) and Büchercorner (Floor 1). What is the straight-line distance in metres between the centres of the two rooms (each room's floor-plan centroid, at its floor's elevation)? Finish with a line 'Answer: &lt;number&gt;'.</x:v>
      </x:c>
      <x:c r="D2801" s="6" t="str">
        <x:v>Withheld in public test data. No reference answer supplied.</x:v>
      </x:c>
      <x:c r="E2801" s="6" t="str">
        <x:v>Withheld</x:v>
      </x:c>
      <x:c r="F2801" s="6" t="str">
        <x:v>test</x:v>
      </x:c>
      <x:c r="G2801" s="6" t="str">
        <x:v>osm-way363805324</x:v>
      </x:c>
      <x:c r="H2801" s="6" t="str">
        <x:v>osm-way363805324-H11</x:v>
      </x:c>
      <x:c r="I2801" s="6" t="str">
        <x:v>Spatial relationships</x:v>
      </x:c>
      <x:c r="J2801" s="6" t="str">
        <x:v>Benchmark</x:v>
      </x:c>
      <x:c r="K2801" s="6" t="str">
        <x:v>Answer: &lt;one number&gt;</x:v>
      </x:c>
      <x:c r="L2801" s="6" t="str">
        <x:v>T02, T04, T10, T14</x:v>
      </x:c>
      <x:c r="M2801" s="6" t="str">
        <x:v>Measure the 3D straight-line distance between room polygon centroids at floor elevation.</x:v>
      </x:c>
      <x:c r="N2801" s="6"/>
      <x:c r="O2801" s="6"/>
      <x:c r="P2801" s="6" t="str">
        <x:v>Polygon centroid at floor.elevation_m. Straight-line 3D distance.</x:v>
      </x:c>
      <x:c r="Q2801" s="15"/>
      <x:c r="R2801" s="6"/>
      <x:c r="S2801" s="16"/>
      <x:c r="T2801" s="15"/>
      <x:c r="U2801" s="6"/>
      <x:c r="V2801" s="6"/>
      <x:c r="W2801" s="6" t="str">
        <x:v>Missing centroid/elevation distance tool.</x:v>
      </x:c>
      <x:c r="X2801" s="6" t="str">
        <x:v>data/test/osm-way363805324/questions.jsonl</x:v>
      </x:c>
      <x:c r="Y2801" s="14" t="n">
        <x:v>7</x:v>
      </x:c>
      <x:c r="Z2801" s="6" t="str">
        <x:v>https://github.com/hagenhaeussler/Industrial-Agents-Hackathon-2026/blob/f41616590b69f3ea0c1cbfb41d6c35edd9ce53df/data/test/osm-way363805324/questions.jsonl#L7</x:v>
      </x:c>
      <x:c r="AA2801" s="6" t="str">
        <x:v>osm_indoor</x:v>
      </x:c>
      <x:c r="AB2801" s="6" t="str">
        <x:v>ODbL-1.0</x:v>
      </x:c>
    </x:row>
    <x:row r="2802" ht="82" customHeight="1">
      <x:c r="A2802" s="14" t="n">
        <x:v>2797</x:v>
      </x:c>
      <x:c r="B2802" s="6" t="str">
        <x:v>straight_line_3d</x:v>
      </x:c>
      <x:c r="C2802" s="6" t="str">
        <x:v>We're planning a wireless sensor link between Generic room N-1828 (Basement 1) and Generic room N2821 (Floor 2). What is the straight-line distance in metres between the centres of the two rooms (each room's floor-plan centroid, at its floor's elevation)? Finish with a line 'Answer: &lt;number&gt;'.</x:v>
      </x:c>
      <x:c r="D2802" s="6" t="str">
        <x:v>Withheld in public test data. No reference answer supplied.</x:v>
      </x:c>
      <x:c r="E2802" s="6" t="str">
        <x:v>Withheld</x:v>
      </x:c>
      <x:c r="F2802" s="6" t="str">
        <x:v>test</x:v>
      </x:c>
      <x:c r="G2802" s="6" t="str">
        <x:v>osm-way43035346</x:v>
      </x:c>
      <x:c r="H2802" s="6" t="str">
        <x:v>osm-way43035346-H06</x:v>
      </x:c>
      <x:c r="I2802" s="6" t="str">
        <x:v>Spatial relationships</x:v>
      </x:c>
      <x:c r="J2802" s="6" t="str">
        <x:v>Benchmark</x:v>
      </x:c>
      <x:c r="K2802" s="6" t="str">
        <x:v>Answer: &lt;one number&gt;</x:v>
      </x:c>
      <x:c r="L2802" s="6" t="str">
        <x:v>T02, T04, T10, T14</x:v>
      </x:c>
      <x:c r="M2802" s="6" t="str">
        <x:v>Measure the 3D straight-line distance between room polygon centroids at floor elevation.</x:v>
      </x:c>
      <x:c r="N2802" s="6"/>
      <x:c r="O2802" s="6"/>
      <x:c r="P2802" s="6" t="str">
        <x:v>Polygon centroid at floor.elevation_m. Straight-line 3D distance.</x:v>
      </x:c>
      <x:c r="Q2802" s="15"/>
      <x:c r="R2802" s="6"/>
      <x:c r="S2802" s="16"/>
      <x:c r="T2802" s="15"/>
      <x:c r="U2802" s="6"/>
      <x:c r="V2802" s="6"/>
      <x:c r="W2802" s="6" t="str">
        <x:v>Missing centroid/elevation distance tool.</x:v>
      </x:c>
      <x:c r="X2802" s="6" t="str">
        <x:v>data/test/osm-way43035346/questions.jsonl</x:v>
      </x:c>
      <x:c r="Y2802" s="14" t="n">
        <x:v>6</x:v>
      </x:c>
      <x:c r="Z2802" s="6" t="str">
        <x:v>https://github.com/hagenhaeussler/Industrial-Agents-Hackathon-2026/blob/f41616590b69f3ea0c1cbfb41d6c35edd9ce53df/data/test/osm-way43035346/questions.jsonl#L6</x:v>
      </x:c>
      <x:c r="AA2802" s="6" t="str">
        <x:v>osm_indoor</x:v>
      </x:c>
      <x:c r="AB2802" s="6" t="str">
        <x:v>ODbL-1.0</x:v>
      </x:c>
    </x:row>
    <x:row r="2803" ht="82" customHeight="1">
      <x:c r="A2803" s="14" t="n">
        <x:v>2798</x:v>
      </x:c>
      <x:c r="B2803" s="6" t="str">
        <x:v>straight_line_3d</x:v>
      </x:c>
      <x:c r="C2803" s="6" t="str">
        <x:v>We're planning a wireless sensor link between Generic room 3580.2 (Floor 3) and Generic room 1561 (Floor 1). What is the straight-line distance in metres between the centres of the two rooms (each room's floor-plan centroid, at its floor's elevation)? Finish with a line 'Answer: &lt;number&gt;'.</x:v>
      </x:c>
      <x:c r="D2803" s="6" t="str">
        <x:v>Withheld in public test data. No reference answer supplied.</x:v>
      </x:c>
      <x:c r="E2803" s="6" t="str">
        <x:v>Withheld</x:v>
      </x:c>
      <x:c r="F2803" s="6" t="str">
        <x:v>test</x:v>
      </x:c>
      <x:c r="G2803" s="6" t="str">
        <x:v>osm-way50299584</x:v>
      </x:c>
      <x:c r="H2803" s="6" t="str">
        <x:v>osm-way50299584-H13</x:v>
      </x:c>
      <x:c r="I2803" s="6" t="str">
        <x:v>Spatial relationships</x:v>
      </x:c>
      <x:c r="J2803" s="6" t="str">
        <x:v>Benchmark</x:v>
      </x:c>
      <x:c r="K2803" s="6" t="str">
        <x:v>Answer: &lt;one number&gt;</x:v>
      </x:c>
      <x:c r="L2803" s="6" t="str">
        <x:v>T02, T04, T10, T14</x:v>
      </x:c>
      <x:c r="M2803" s="6" t="str">
        <x:v>Measure the 3D straight-line distance between room polygon centroids at floor elevation.</x:v>
      </x:c>
      <x:c r="N2803" s="6"/>
      <x:c r="O2803" s="6"/>
      <x:c r="P2803" s="6" t="str">
        <x:v>Polygon centroid at floor.elevation_m. Straight-line 3D distance.</x:v>
      </x:c>
      <x:c r="Q2803" s="15"/>
      <x:c r="R2803" s="6"/>
      <x:c r="S2803" s="16"/>
      <x:c r="T2803" s="15"/>
      <x:c r="U2803" s="6"/>
      <x:c r="V2803" s="6"/>
      <x:c r="W2803" s="6" t="str">
        <x:v>Missing centroid/elevation distance tool.</x:v>
      </x:c>
      <x:c r="X2803" s="6" t="str">
        <x:v>data/test/osm-way50299584/questions.jsonl</x:v>
      </x:c>
      <x:c r="Y2803" s="14" t="n">
        <x:v>8</x:v>
      </x:c>
      <x:c r="Z2803" s="6" t="str">
        <x:v>https://github.com/hagenhaeussler/Industrial-Agents-Hackathon-2026/blob/f41616590b69f3ea0c1cbfb41d6c35edd9ce53df/data/test/osm-way50299584/questions.jsonl#L8</x:v>
      </x:c>
      <x:c r="AA2803" s="6" t="str">
        <x:v>osm_indoor</x:v>
      </x:c>
      <x:c r="AB2803" s="6" t="str">
        <x:v>ODbL-1.0</x:v>
      </x:c>
    </x:row>
    <x:row r="2804" ht="82" customHeight="1">
      <x:c r="A2804" s="14" t="n">
        <x:v>2799</x:v>
      </x:c>
      <x:c r="B2804" s="6" t="str">
        <x:v>straight_line_3d</x:v>
      </x:c>
      <x:c r="C2804" s="6" t="str">
        <x:v>We're planning a wireless sensor link between Generic room 2231 (Floor 2) and Generic room -1248 (Basement 1). What is the straight-line distance in metres between the centres of the two rooms (each room's floor-plan centroid, at its floor's elevation)? Finish with a line 'Answer: &lt;number&gt;'.</x:v>
      </x:c>
      <x:c r="D2804" s="6" t="str">
        <x:v>Withheld in public test data. No reference answer supplied.</x:v>
      </x:c>
      <x:c r="E2804" s="6" t="str">
        <x:v>Withheld</x:v>
      </x:c>
      <x:c r="F2804" s="6" t="str">
        <x:v>test</x:v>
      </x:c>
      <x:c r="G2804" s="6" t="str">
        <x:v>osm-way50300147</x:v>
      </x:c>
      <x:c r="H2804" s="6" t="str">
        <x:v>osm-way50300147-H08</x:v>
      </x:c>
      <x:c r="I2804" s="6" t="str">
        <x:v>Spatial relationships</x:v>
      </x:c>
      <x:c r="J2804" s="6" t="str">
        <x:v>Benchmark</x:v>
      </x:c>
      <x:c r="K2804" s="6" t="str">
        <x:v>Answer: &lt;one number&gt;</x:v>
      </x:c>
      <x:c r="L2804" s="6" t="str">
        <x:v>T02, T04, T10, T14</x:v>
      </x:c>
      <x:c r="M2804" s="6" t="str">
        <x:v>Measure the 3D straight-line distance between room polygon centroids at floor elevation.</x:v>
      </x:c>
      <x:c r="N2804" s="6"/>
      <x:c r="O2804" s="6"/>
      <x:c r="P2804" s="6" t="str">
        <x:v>Polygon centroid at floor.elevation_m. Straight-line 3D distance.</x:v>
      </x:c>
      <x:c r="Q2804" s="15"/>
      <x:c r="R2804" s="6"/>
      <x:c r="S2804" s="16"/>
      <x:c r="T2804" s="15"/>
      <x:c r="U2804" s="6"/>
      <x:c r="V2804" s="6"/>
      <x:c r="W2804" s="6" t="str">
        <x:v>Missing centroid/elevation distance tool.</x:v>
      </x:c>
      <x:c r="X2804" s="6" t="str">
        <x:v>data/test/osm-way50300147/questions.jsonl</x:v>
      </x:c>
      <x:c r="Y2804" s="14" t="n">
        <x:v>8</x:v>
      </x:c>
      <x:c r="Z2804" s="6" t="str">
        <x:v>https://github.com/hagenhaeussler/Industrial-Agents-Hackathon-2026/blob/f41616590b69f3ea0c1cbfb41d6c35edd9ce53df/data/test/osm-way50300147/questions.jsonl#L8</x:v>
      </x:c>
      <x:c r="AA2804" s="6" t="str">
        <x:v>osm_indoor</x:v>
      </x:c>
      <x:c r="AB2804" s="6" t="str">
        <x:v>ODbL-1.0</x:v>
      </x:c>
    </x:row>
    <x:row r="2805" ht="72" customHeight="1">
      <x:c r="A2805" s="14" t="n">
        <x:v>2800</x:v>
      </x:c>
      <x:c r="B2805" s="6" t="str">
        <x:v>straight_line_3d</x:v>
      </x:c>
      <x:c r="C2805" s="6" t="str">
        <x:v>We're planning a wireless sensor link between Lab 2.23 (Floor 2) and Storage 0.36 (Ground floor). What is the straight-line distance in metres between the centres of the two rooms (each room's floor-plan centroid, at its floor's elevation)? Finish with a line 'Answer: &lt;number&gt;'.</x:v>
      </x:c>
      <x:c r="D2805" s="6" t="str">
        <x:v>Withheld in public test data. No reference answer supplied.</x:v>
      </x:c>
      <x:c r="E2805" s="6" t="str">
        <x:v>Withheld</x:v>
      </x:c>
      <x:c r="F2805" s="6" t="str">
        <x:v>test</x:v>
      </x:c>
      <x:c r="G2805" s="6" t="str">
        <x:v>proc-campus-test-000</x:v>
      </x:c>
      <x:c r="H2805" s="6" t="str">
        <x:v>proc-campus-test-000-H05</x:v>
      </x:c>
      <x:c r="I2805" s="6" t="str">
        <x:v>Spatial relationships</x:v>
      </x:c>
      <x:c r="J2805" s="6" t="str">
        <x:v>Benchmark</x:v>
      </x:c>
      <x:c r="K2805" s="6" t="str">
        <x:v>Answer: &lt;one number&gt;</x:v>
      </x:c>
      <x:c r="L2805" s="6" t="str">
        <x:v>T02, T04, T10, T14</x:v>
      </x:c>
      <x:c r="M2805" s="6" t="str">
        <x:v>Measure the 3D straight-line distance between room polygon centroids at floor elevation.</x:v>
      </x:c>
      <x:c r="N2805" s="6"/>
      <x:c r="O2805" s="6"/>
      <x:c r="P2805" s="6" t="str">
        <x:v>Polygon centroid at floor.elevation_m. Straight-line 3D distance.</x:v>
      </x:c>
      <x:c r="Q2805" s="15"/>
      <x:c r="R2805" s="6"/>
      <x:c r="S2805" s="16"/>
      <x:c r="T2805" s="15"/>
      <x:c r="U2805" s="6"/>
      <x:c r="V2805" s="6"/>
      <x:c r="W2805" s="6" t="str">
        <x:v>Missing centroid/elevation distance tool.</x:v>
      </x:c>
      <x:c r="X2805" s="6" t="str">
        <x:v>data/test/proc-campus-test-000/questions.jsonl</x:v>
      </x:c>
      <x:c r="Y2805" s="14" t="n">
        <x:v>5</x:v>
      </x:c>
      <x:c r="Z2805" s="6" t="str">
        <x:v>https://github.com/hagenhaeussler/Industrial-Agents-Hackathon-2026/blob/f41616590b69f3ea0c1cbfb41d6c35edd9ce53df/data/test/proc-campus-test-000/questions.jsonl#L5</x:v>
      </x:c>
      <x:c r="AA2805" s="6" t="str">
        <x:v>procedural</x:v>
      </x:c>
      <x:c r="AB2805" s="6" t="str">
        <x:v>CC0-1.0</x:v>
      </x:c>
    </x:row>
    <x:row r="2806" ht="72" customHeight="1">
      <x:c r="A2806" s="14" t="n">
        <x:v>2801</x:v>
      </x:c>
      <x:c r="B2806" s="6" t="str">
        <x:v>straight_line_3d</x:v>
      </x:c>
      <x:c r="C2806" s="6" t="str">
        <x:v>We're planning a wireless sensor link between Lab 1.17 (Floor 1) and Lab 3.19 (Floor 3). What is the straight-line distance in metres between the centres of the two rooms (each room's floor-plan centroid, at its floor's elevation)? Finish with a line 'Answer: &lt;number&gt;'.</x:v>
      </x:c>
      <x:c r="D2806" s="6" t="str">
        <x:v>Withheld in public test data. No reference answer supplied.</x:v>
      </x:c>
      <x:c r="E2806" s="6" t="str">
        <x:v>Withheld</x:v>
      </x:c>
      <x:c r="F2806" s="6" t="str">
        <x:v>test</x:v>
      </x:c>
      <x:c r="G2806" s="6" t="str">
        <x:v>proc-campus-test-004</x:v>
      </x:c>
      <x:c r="H2806" s="6" t="str">
        <x:v>proc-campus-test-004-H05</x:v>
      </x:c>
      <x:c r="I2806" s="6" t="str">
        <x:v>Spatial relationships</x:v>
      </x:c>
      <x:c r="J2806" s="6" t="str">
        <x:v>Benchmark</x:v>
      </x:c>
      <x:c r="K2806" s="6" t="str">
        <x:v>Answer: &lt;one number&gt;</x:v>
      </x:c>
      <x:c r="L2806" s="6" t="str">
        <x:v>T02, T04, T10, T14</x:v>
      </x:c>
      <x:c r="M2806" s="6" t="str">
        <x:v>Measure the 3D straight-line distance between room polygon centroids at floor elevation.</x:v>
      </x:c>
      <x:c r="N2806" s="6"/>
      <x:c r="O2806" s="6"/>
      <x:c r="P2806" s="6" t="str">
        <x:v>Polygon centroid at floor.elevation_m. Straight-line 3D distance.</x:v>
      </x:c>
      <x:c r="Q2806" s="15"/>
      <x:c r="R2806" s="6"/>
      <x:c r="S2806" s="16"/>
      <x:c r="T2806" s="15"/>
      <x:c r="U2806" s="6"/>
      <x:c r="V2806" s="6"/>
      <x:c r="W2806" s="6" t="str">
        <x:v>Missing centroid/elevation distance tool.</x:v>
      </x:c>
      <x:c r="X2806" s="6" t="str">
        <x:v>data/test/proc-campus-test-004/questions.jsonl</x:v>
      </x:c>
      <x:c r="Y2806" s="14" t="n">
        <x:v>5</x:v>
      </x:c>
      <x:c r="Z2806" s="6" t="str">
        <x:v>https://github.com/hagenhaeussler/Industrial-Agents-Hackathon-2026/blob/f41616590b69f3ea0c1cbfb41d6c35edd9ce53df/data/test/proc-campus-test-004/questions.jsonl#L5</x:v>
      </x:c>
      <x:c r="AA2806" s="6" t="str">
        <x:v>procedural</x:v>
      </x:c>
      <x:c r="AB2806" s="6" t="str">
        <x:v>CC0-1.0</x:v>
      </x:c>
    </x:row>
    <x:row r="2807" ht="72" customHeight="1">
      <x:c r="A2807" s="14" t="n">
        <x:v>2802</x:v>
      </x:c>
      <x:c r="B2807" s="6" t="str">
        <x:v>straight_line_3d</x:v>
      </x:c>
      <x:c r="C2807" s="6" t="str">
        <x:v>We're planning a wireless sensor link between Lab 4.10 (Floor 4) and Office 2.41 (Floor 2). What is the straight-line distance in metres between the centres of the two rooms (each room's floor-plan centroid, at its floor's elevation)? Finish with a line 'Answer: &lt;number&gt;'.</x:v>
      </x:c>
      <x:c r="D2807" s="6" t="str">
        <x:v>Withheld in public test data. No reference answer supplied.</x:v>
      </x:c>
      <x:c r="E2807" s="6" t="str">
        <x:v>Withheld</x:v>
      </x:c>
      <x:c r="F2807" s="6" t="str">
        <x:v>test</x:v>
      </x:c>
      <x:c r="G2807" s="6" t="str">
        <x:v>proc-campus-test-005</x:v>
      </x:c>
      <x:c r="H2807" s="6" t="str">
        <x:v>proc-campus-test-005-H06</x:v>
      </x:c>
      <x:c r="I2807" s="6" t="str">
        <x:v>Spatial relationships</x:v>
      </x:c>
      <x:c r="J2807" s="6" t="str">
        <x:v>Benchmark</x:v>
      </x:c>
      <x:c r="K2807" s="6" t="str">
        <x:v>Answer: &lt;one number&gt;</x:v>
      </x:c>
      <x:c r="L2807" s="6" t="str">
        <x:v>T02, T04, T10, T14</x:v>
      </x:c>
      <x:c r="M2807" s="6" t="str">
        <x:v>Measure the 3D straight-line distance between room polygon centroids at floor elevation.</x:v>
      </x:c>
      <x:c r="N2807" s="6"/>
      <x:c r="O2807" s="6"/>
      <x:c r="P2807" s="6" t="str">
        <x:v>Polygon centroid at floor.elevation_m. Straight-line 3D distance.</x:v>
      </x:c>
      <x:c r="Q2807" s="15"/>
      <x:c r="R2807" s="6"/>
      <x:c r="S2807" s="16"/>
      <x:c r="T2807" s="15"/>
      <x:c r="U2807" s="6"/>
      <x:c r="V2807" s="6"/>
      <x:c r="W2807" s="6" t="str">
        <x:v>Missing centroid/elevation distance tool.</x:v>
      </x:c>
      <x:c r="X2807" s="6" t="str">
        <x:v>data/test/proc-campus-test-005/questions.jsonl</x:v>
      </x:c>
      <x:c r="Y2807" s="14" t="n">
        <x:v>6</x:v>
      </x:c>
      <x:c r="Z2807" s="6" t="str">
        <x:v>https://github.com/hagenhaeussler/Industrial-Agents-Hackathon-2026/blob/f41616590b69f3ea0c1cbfb41d6c35edd9ce53df/data/test/proc-campus-test-005/questions.jsonl#L6</x:v>
      </x:c>
      <x:c r="AA2807" s="6" t="str">
        <x:v>procedural</x:v>
      </x:c>
      <x:c r="AB2807" s="6" t="str">
        <x:v>CC0-1.0</x:v>
      </x:c>
    </x:row>
    <x:row r="2808" ht="82" customHeight="1">
      <x:c r="A2808" s="14" t="n">
        <x:v>2803</x:v>
      </x:c>
      <x:c r="B2808" s="6" t="str">
        <x:v>straight_line_3d</x:v>
      </x:c>
      <x:c r="C2808" s="6" t="str">
        <x:v>We're planning a wireless sensor link between Office 1.25 (Floor 1) and Technical room -1.19 (Basement 1). What is the straight-line distance in metres between the centres of the two rooms (each room's floor-plan centroid, at its floor's elevation)? Finish with a line 'Answer: &lt;number&gt;'.</x:v>
      </x:c>
      <x:c r="D2808" s="6" t="str">
        <x:v>Withheld in public test data. No reference answer supplied.</x:v>
      </x:c>
      <x:c r="E2808" s="6" t="str">
        <x:v>Withheld</x:v>
      </x:c>
      <x:c r="F2808" s="6" t="str">
        <x:v>test</x:v>
      </x:c>
      <x:c r="G2808" s="6" t="str">
        <x:v>proc-campus-test-008</x:v>
      </x:c>
      <x:c r="H2808" s="6" t="str">
        <x:v>proc-campus-test-008-H05</x:v>
      </x:c>
      <x:c r="I2808" s="6" t="str">
        <x:v>Spatial relationships</x:v>
      </x:c>
      <x:c r="J2808" s="6" t="str">
        <x:v>Benchmark</x:v>
      </x:c>
      <x:c r="K2808" s="6" t="str">
        <x:v>Answer: &lt;one number&gt;</x:v>
      </x:c>
      <x:c r="L2808" s="6" t="str">
        <x:v>T02, T04, T10, T14</x:v>
      </x:c>
      <x:c r="M2808" s="6" t="str">
        <x:v>Measure the 3D straight-line distance between room polygon centroids at floor elevation.</x:v>
      </x:c>
      <x:c r="N2808" s="6"/>
      <x:c r="O2808" s="6"/>
      <x:c r="P2808" s="6" t="str">
        <x:v>Polygon centroid at floor.elevation_m. Straight-line 3D distance.</x:v>
      </x:c>
      <x:c r="Q2808" s="15"/>
      <x:c r="R2808" s="6"/>
      <x:c r="S2808" s="16"/>
      <x:c r="T2808" s="15"/>
      <x:c r="U2808" s="6"/>
      <x:c r="V2808" s="6"/>
      <x:c r="W2808" s="6" t="str">
        <x:v>Missing centroid/elevation distance tool.</x:v>
      </x:c>
      <x:c r="X2808" s="6" t="str">
        <x:v>data/test/proc-campus-test-008/questions.jsonl</x:v>
      </x:c>
      <x:c r="Y2808" s="14" t="n">
        <x:v>5</x:v>
      </x:c>
      <x:c r="Z2808" s="6" t="str">
        <x:v>https://github.com/hagenhaeussler/Industrial-Agents-Hackathon-2026/blob/f41616590b69f3ea0c1cbfb41d6c35edd9ce53df/data/test/proc-campus-test-008/questions.jsonl#L5</x:v>
      </x:c>
      <x:c r="AA2808" s="6" t="str">
        <x:v>procedural</x:v>
      </x:c>
      <x:c r="AB2808" s="6" t="str">
        <x:v>CC0-1.0</x:v>
      </x:c>
    </x:row>
    <x:row r="2809" ht="82" customHeight="1">
      <x:c r="A2809" s="14" t="n">
        <x:v>2804</x:v>
      </x:c>
      <x:c r="B2809" s="6" t="str">
        <x:v>straight_line_3d</x:v>
      </x:c>
      <x:c r="C2809" s="6" t="str">
        <x:v>We're planning a wireless sensor link between Print room 4.28 (Floor 4) and Seminar room 0.06 (Ground floor). What is the straight-line distance in metres between the centres of the two rooms (each room's floor-plan centroid, at its floor's elevation)? Finish with a line 'Answer: &lt;number&gt;'.</x:v>
      </x:c>
      <x:c r="D2809" s="6" t="str">
        <x:v>Withheld in public test data. No reference answer supplied.</x:v>
      </x:c>
      <x:c r="E2809" s="6" t="str">
        <x:v>Withheld</x:v>
      </x:c>
      <x:c r="F2809" s="6" t="str">
        <x:v>test</x:v>
      </x:c>
      <x:c r="G2809" s="6" t="str">
        <x:v>proc-campus-test-012</x:v>
      </x:c>
      <x:c r="H2809" s="6" t="str">
        <x:v>proc-campus-test-012-H05</x:v>
      </x:c>
      <x:c r="I2809" s="6" t="str">
        <x:v>Spatial relationships</x:v>
      </x:c>
      <x:c r="J2809" s="6" t="str">
        <x:v>Benchmark</x:v>
      </x:c>
      <x:c r="K2809" s="6" t="str">
        <x:v>Answer: &lt;one number&gt;</x:v>
      </x:c>
      <x:c r="L2809" s="6" t="str">
        <x:v>T02, T04, T10, T14</x:v>
      </x:c>
      <x:c r="M2809" s="6" t="str">
        <x:v>Measure the 3D straight-line distance between room polygon centroids at floor elevation.</x:v>
      </x:c>
      <x:c r="N2809" s="6"/>
      <x:c r="O2809" s="6"/>
      <x:c r="P2809" s="6" t="str">
        <x:v>Polygon centroid at floor.elevation_m. Straight-line 3D distance.</x:v>
      </x:c>
      <x:c r="Q2809" s="15"/>
      <x:c r="R2809" s="6"/>
      <x:c r="S2809" s="16"/>
      <x:c r="T2809" s="15"/>
      <x:c r="U2809" s="6"/>
      <x:c r="V2809" s="6"/>
      <x:c r="W2809" s="6" t="str">
        <x:v>Missing centroid/elevation distance tool.</x:v>
      </x:c>
      <x:c r="X2809" s="6" t="str">
        <x:v>data/test/proc-campus-test-012/questions.jsonl</x:v>
      </x:c>
      <x:c r="Y2809" s="14" t="n">
        <x:v>5</x:v>
      </x:c>
      <x:c r="Z2809" s="6" t="str">
        <x:v>https://github.com/hagenhaeussler/Industrial-Agents-Hackathon-2026/blob/f41616590b69f3ea0c1cbfb41d6c35edd9ce53df/data/test/proc-campus-test-012/questions.jsonl#L5</x:v>
      </x:c>
      <x:c r="AA2809" s="6" t="str">
        <x:v>procedural</x:v>
      </x:c>
      <x:c r="AB2809" s="6" t="str">
        <x:v>CC0-1.0</x:v>
      </x:c>
    </x:row>
    <x:row r="2810" ht="72" customHeight="1">
      <x:c r="A2810" s="14" t="n">
        <x:v>2805</x:v>
      </x:c>
      <x:c r="B2810" s="6" t="str">
        <x:v>straight_line_3d</x:v>
      </x:c>
      <x:c r="C2810" s="6" t="str">
        <x:v>We're planning a wireless sensor link between Office 5.35 (Floor 5) and Lab 1.07 (Floor 1). What is the straight-line distance in metres between the centres of the two rooms (each room's floor-plan centroid, at its floor's elevation)? Finish with a line 'Answer: &lt;number&gt;'.</x:v>
      </x:c>
      <x:c r="D2810" s="6" t="str">
        <x:v>Withheld in public test data. No reference answer supplied.</x:v>
      </x:c>
      <x:c r="E2810" s="6" t="str">
        <x:v>Withheld</x:v>
      </x:c>
      <x:c r="F2810" s="6" t="str">
        <x:v>test</x:v>
      </x:c>
      <x:c r="G2810" s="6" t="str">
        <x:v>proc-campus-test-013</x:v>
      </x:c>
      <x:c r="H2810" s="6" t="str">
        <x:v>proc-campus-test-013-H05</x:v>
      </x:c>
      <x:c r="I2810" s="6" t="str">
        <x:v>Spatial relationships</x:v>
      </x:c>
      <x:c r="J2810" s="6" t="str">
        <x:v>Benchmark</x:v>
      </x:c>
      <x:c r="K2810" s="6" t="str">
        <x:v>Answer: &lt;one number&gt;</x:v>
      </x:c>
      <x:c r="L2810" s="6" t="str">
        <x:v>T02, T04, T10, T14</x:v>
      </x:c>
      <x:c r="M2810" s="6" t="str">
        <x:v>Measure the 3D straight-line distance between room polygon centroids at floor elevation.</x:v>
      </x:c>
      <x:c r="N2810" s="6"/>
      <x:c r="O2810" s="6"/>
      <x:c r="P2810" s="6" t="str">
        <x:v>Polygon centroid at floor.elevation_m. Straight-line 3D distance.</x:v>
      </x:c>
      <x:c r="Q2810" s="15"/>
      <x:c r="R2810" s="6"/>
      <x:c r="S2810" s="16"/>
      <x:c r="T2810" s="15"/>
      <x:c r="U2810" s="6"/>
      <x:c r="V2810" s="6"/>
      <x:c r="W2810" s="6" t="str">
        <x:v>Missing centroid/elevation distance tool.</x:v>
      </x:c>
      <x:c r="X2810" s="6" t="str">
        <x:v>data/test/proc-campus-test-013/questions.jsonl</x:v>
      </x:c>
      <x:c r="Y2810" s="14" t="n">
        <x:v>5</x:v>
      </x:c>
      <x:c r="Z2810" s="6" t="str">
        <x:v>https://github.com/hagenhaeussler/Industrial-Agents-Hackathon-2026/blob/f41616590b69f3ea0c1cbfb41d6c35edd9ce53df/data/test/proc-campus-test-013/questions.jsonl#L5</x:v>
      </x:c>
      <x:c r="AA2810" s="6" t="str">
        <x:v>procedural</x:v>
      </x:c>
      <x:c r="AB2810" s="6" t="str">
        <x:v>CC0-1.0</x:v>
      </x:c>
    </x:row>
    <x:row r="2811" ht="82" customHeight="1">
      <x:c r="A2811" s="14" t="n">
        <x:v>2806</x:v>
      </x:c>
      <x:c r="B2811" s="6" t="str">
        <x:v>straight_line_3d</x:v>
      </x:c>
      <x:c r="C2811" s="6" t="str">
        <x:v>We're planning a wireless sensor link between Meeting room 2.20 (Floor 2) and Warehouse zone H-D6 (Ground floor). What is the straight-line distance in metres between the centres of the two rooms (each room's floor-plan centroid, at its floor's elevation)? Finish with a line 'Answer: &lt;number&gt;'.</x:v>
      </x:c>
      <x:c r="D2811" s="6" t="str">
        <x:v>Withheld in public test data. No reference answer supplied.</x:v>
      </x:c>
      <x:c r="E2811" s="6" t="str">
        <x:v>Withheld</x:v>
      </x:c>
      <x:c r="F2811" s="6" t="str">
        <x:v>test</x:v>
      </x:c>
      <x:c r="G2811" s="6" t="str">
        <x:v>proc-factory-test-002</x:v>
      </x:c>
      <x:c r="H2811" s="6" t="str">
        <x:v>proc-factory-test-002-H04</x:v>
      </x:c>
      <x:c r="I2811" s="6" t="str">
        <x:v>Spatial relationships</x:v>
      </x:c>
      <x:c r="J2811" s="6" t="str">
        <x:v>Benchmark</x:v>
      </x:c>
      <x:c r="K2811" s="6" t="str">
        <x:v>Answer: &lt;one number&gt;</x:v>
      </x:c>
      <x:c r="L2811" s="6" t="str">
        <x:v>T02, T04, T10, T14</x:v>
      </x:c>
      <x:c r="M2811" s="6" t="str">
        <x:v>Measure the 3D straight-line distance between room polygon centroids at floor elevation.</x:v>
      </x:c>
      <x:c r="N2811" s="6"/>
      <x:c r="O2811" s="6"/>
      <x:c r="P2811" s="6" t="str">
        <x:v>Polygon centroid at floor.elevation_m. Straight-line 3D distance.</x:v>
      </x:c>
      <x:c r="Q2811" s="15"/>
      <x:c r="R2811" s="6"/>
      <x:c r="S2811" s="16"/>
      <x:c r="T2811" s="15"/>
      <x:c r="U2811" s="6"/>
      <x:c r="V2811" s="6"/>
      <x:c r="W2811" s="6" t="str">
        <x:v>Missing centroid/elevation distance tool.</x:v>
      </x:c>
      <x:c r="X2811" s="6" t="str">
        <x:v>data/test/proc-factory-test-002/questions.jsonl</x:v>
      </x:c>
      <x:c r="Y2811" s="14" t="n">
        <x:v>4</x:v>
      </x:c>
      <x:c r="Z2811" s="6" t="str">
        <x:v>https://github.com/hagenhaeussler/Industrial-Agents-Hackathon-2026/blob/f41616590b69f3ea0c1cbfb41d6c35edd9ce53df/data/test/proc-factory-test-002/questions.jsonl#L4</x:v>
      </x:c>
      <x:c r="AA2811" s="6" t="str">
        <x:v>procedural</x:v>
      </x:c>
      <x:c r="AB2811" s="6" t="str">
        <x:v>CC0-1.0</x:v>
      </x:c>
    </x:row>
    <x:row r="2812" ht="82" customHeight="1">
      <x:c r="A2812" s="14" t="n">
        <x:v>2807</x:v>
      </x:c>
      <x:c r="B2812" s="6" t="str">
        <x:v>straight_line_3d</x:v>
      </x:c>
      <x:c r="C2812" s="6" t="str">
        <x:v>We're planning a wireless sensor link between Office 2.27 (Floor 2) and Office 0.58 (Ground floor). What is the straight-line distance in metres between the centres of the two rooms (each room's floor-plan centroid, at its floor's elevation)? Finish with a line 'Answer: &lt;number&gt;'.</x:v>
      </x:c>
      <x:c r="D2812" s="6" t="str">
        <x:v>Withheld in public test data. No reference answer supplied.</x:v>
      </x:c>
      <x:c r="E2812" s="6" t="str">
        <x:v>Withheld</x:v>
      </x:c>
      <x:c r="F2812" s="6" t="str">
        <x:v>test</x:v>
      </x:c>
      <x:c r="G2812" s="6" t="str">
        <x:v>proc-factory-test-003</x:v>
      </x:c>
      <x:c r="H2812" s="6" t="str">
        <x:v>proc-factory-test-003-H06</x:v>
      </x:c>
      <x:c r="I2812" s="6" t="str">
        <x:v>Spatial relationships</x:v>
      </x:c>
      <x:c r="J2812" s="6" t="str">
        <x:v>Benchmark</x:v>
      </x:c>
      <x:c r="K2812" s="6" t="str">
        <x:v>Answer: &lt;one number&gt;</x:v>
      </x:c>
      <x:c r="L2812" s="6" t="str">
        <x:v>T02, T04, T10, T14</x:v>
      </x:c>
      <x:c r="M2812" s="6" t="str">
        <x:v>Measure the 3D straight-line distance between room polygon centroids at floor elevation.</x:v>
      </x:c>
      <x:c r="N2812" s="6"/>
      <x:c r="O2812" s="6"/>
      <x:c r="P2812" s="6" t="str">
        <x:v>Polygon centroid at floor.elevation_m. Straight-line 3D distance.</x:v>
      </x:c>
      <x:c r="Q2812" s="15"/>
      <x:c r="R2812" s="6"/>
      <x:c r="S2812" s="16"/>
      <x:c r="T2812" s="15"/>
      <x:c r="U2812" s="6"/>
      <x:c r="V2812" s="6"/>
      <x:c r="W2812" s="6" t="str">
        <x:v>Missing centroid/elevation distance tool.</x:v>
      </x:c>
      <x:c r="X2812" s="6" t="str">
        <x:v>data/test/proc-factory-test-003/questions.jsonl</x:v>
      </x:c>
      <x:c r="Y2812" s="14" t="n">
        <x:v>6</x:v>
      </x:c>
      <x:c r="Z2812" s="6" t="str">
        <x:v>https://github.com/hagenhaeussler/Industrial-Agents-Hackathon-2026/blob/f41616590b69f3ea0c1cbfb41d6c35edd9ce53df/data/test/proc-factory-test-003/questions.jsonl#L6</x:v>
      </x:c>
      <x:c r="AA2812" s="6" t="str">
        <x:v>procedural</x:v>
      </x:c>
      <x:c r="AB2812" s="6" t="str">
        <x:v>CC0-1.0</x:v>
      </x:c>
    </x:row>
    <x:row r="2813" ht="82" customHeight="1">
      <x:c r="A2813" s="14" t="n">
        <x:v>2808</x:v>
      </x:c>
      <x:c r="B2813" s="6" t="str">
        <x:v>straight_line_3d</x:v>
      </x:c>
      <x:c r="C2813" s="6" t="str">
        <x:v>We're planning a wireless sensor link between Warehouse zone H-C4 (Ground floor) and Office 2.10 (Floor 2). What is the straight-line distance in metres between the centres of the two rooms (each room's floor-plan centroid, at its floor's elevation)? Finish with a line 'Answer: &lt;number&gt;'.</x:v>
      </x:c>
      <x:c r="D2813" s="6" t="str">
        <x:v>Withheld in public test data. No reference answer supplied.</x:v>
      </x:c>
      <x:c r="E2813" s="6" t="str">
        <x:v>Withheld</x:v>
      </x:c>
      <x:c r="F2813" s="6" t="str">
        <x:v>test</x:v>
      </x:c>
      <x:c r="G2813" s="6" t="str">
        <x:v>proc-factory-test-006</x:v>
      </x:c>
      <x:c r="H2813" s="6" t="str">
        <x:v>proc-factory-test-006-H04</x:v>
      </x:c>
      <x:c r="I2813" s="6" t="str">
        <x:v>Spatial relationships</x:v>
      </x:c>
      <x:c r="J2813" s="6" t="str">
        <x:v>Benchmark</x:v>
      </x:c>
      <x:c r="K2813" s="6" t="str">
        <x:v>Answer: &lt;one number&gt;</x:v>
      </x:c>
      <x:c r="L2813" s="6" t="str">
        <x:v>T02, T04, T10, T14</x:v>
      </x:c>
      <x:c r="M2813" s="6" t="str">
        <x:v>Measure the 3D straight-line distance between room polygon centroids at floor elevation.</x:v>
      </x:c>
      <x:c r="N2813" s="6"/>
      <x:c r="O2813" s="6"/>
      <x:c r="P2813" s="6" t="str">
        <x:v>Polygon centroid at floor.elevation_m. Straight-line 3D distance.</x:v>
      </x:c>
      <x:c r="Q2813" s="15"/>
      <x:c r="R2813" s="6"/>
      <x:c r="S2813" s="16"/>
      <x:c r="T2813" s="15"/>
      <x:c r="U2813" s="6"/>
      <x:c r="V2813" s="6"/>
      <x:c r="W2813" s="6" t="str">
        <x:v>Missing centroid/elevation distance tool.</x:v>
      </x:c>
      <x:c r="X2813" s="6" t="str">
        <x:v>data/test/proc-factory-test-006/questions.jsonl</x:v>
      </x:c>
      <x:c r="Y2813" s="14" t="n">
        <x:v>4</x:v>
      </x:c>
      <x:c r="Z2813" s="6" t="str">
        <x:v>https://github.com/hagenhaeussler/Industrial-Agents-Hackathon-2026/blob/f41616590b69f3ea0c1cbfb41d6c35edd9ce53df/data/test/proc-factory-test-006/questions.jsonl#L4</x:v>
      </x:c>
      <x:c r="AA2813" s="6" t="str">
        <x:v>procedural</x:v>
      </x:c>
      <x:c r="AB2813" s="6" t="str">
        <x:v>CC0-1.0</x:v>
      </x:c>
    </x:row>
    <x:row r="2814" ht="82" customHeight="1">
      <x:c r="A2814" s="14" t="n">
        <x:v>2809</x:v>
      </x:c>
      <x:c r="B2814" s="6" t="str">
        <x:v>straight_line_3d</x:v>
      </x:c>
      <x:c r="C2814" s="6" t="str">
        <x:v>We're planning a wireless sensor link between Production zone H-A4 (Ground floor) and Office 2.10 (Floor 2). What is the straight-line distance in metres between the centres of the two rooms (each room's floor-plan centroid, at its floor's elevation)? Finish with a line 'Answer: &lt;number&gt;'.</x:v>
      </x:c>
      <x:c r="D2814" s="6" t="str">
        <x:v>Withheld in public test data. No reference answer supplied.</x:v>
      </x:c>
      <x:c r="E2814" s="6" t="str">
        <x:v>Withheld</x:v>
      </x:c>
      <x:c r="F2814" s="6" t="str">
        <x:v>test</x:v>
      </x:c>
      <x:c r="G2814" s="6" t="str">
        <x:v>proc-factory-test-007</x:v>
      </x:c>
      <x:c r="H2814" s="6" t="str">
        <x:v>proc-factory-test-007-H06</x:v>
      </x:c>
      <x:c r="I2814" s="6" t="str">
        <x:v>Spatial relationships</x:v>
      </x:c>
      <x:c r="J2814" s="6" t="str">
        <x:v>Benchmark</x:v>
      </x:c>
      <x:c r="K2814" s="6" t="str">
        <x:v>Answer: &lt;one number&gt;</x:v>
      </x:c>
      <x:c r="L2814" s="6" t="str">
        <x:v>T02, T04, T10, T14</x:v>
      </x:c>
      <x:c r="M2814" s="6" t="str">
        <x:v>Measure the 3D straight-line distance between room polygon centroids at floor elevation.</x:v>
      </x:c>
      <x:c r="N2814" s="6"/>
      <x:c r="O2814" s="6"/>
      <x:c r="P2814" s="6" t="str">
        <x:v>Polygon centroid at floor.elevation_m. Straight-line 3D distance.</x:v>
      </x:c>
      <x:c r="Q2814" s="15"/>
      <x:c r="R2814" s="6"/>
      <x:c r="S2814" s="16"/>
      <x:c r="T2814" s="15"/>
      <x:c r="U2814" s="6"/>
      <x:c r="V2814" s="6"/>
      <x:c r="W2814" s="6" t="str">
        <x:v>Missing centroid/elevation distance tool.</x:v>
      </x:c>
      <x:c r="X2814" s="6" t="str">
        <x:v>data/test/proc-factory-test-007/questions.jsonl</x:v>
      </x:c>
      <x:c r="Y2814" s="14" t="n">
        <x:v>6</x:v>
      </x:c>
      <x:c r="Z2814" s="6" t="str">
        <x:v>https://github.com/hagenhaeussler/Industrial-Agents-Hackathon-2026/blob/f41616590b69f3ea0c1cbfb41d6c35edd9ce53df/data/test/proc-factory-test-007/questions.jsonl#L6</x:v>
      </x:c>
      <x:c r="AA2814" s="6" t="str">
        <x:v>procedural</x:v>
      </x:c>
      <x:c r="AB2814" s="6" t="str">
        <x:v>CC0-1.0</x:v>
      </x:c>
    </x:row>
    <x:row r="2815" ht="82" customHeight="1">
      <x:c r="A2815" s="14" t="n">
        <x:v>2810</x:v>
      </x:c>
      <x:c r="B2815" s="6" t="str">
        <x:v>straight_line_3d</x:v>
      </x:c>
      <x:c r="C2815" s="6" t="str">
        <x:v>We're planning a wireless sensor link between Production zone H-B3 (Ground floor) and Kitchen 2.04 (Floor 2). What is the straight-line distance in metres between the centres of the two rooms (each room's floor-plan centroid, at its floor's elevation)? Finish with a line 'Answer: &lt;number&gt;'.</x:v>
      </x:c>
      <x:c r="D2815" s="6" t="str">
        <x:v>Withheld in public test data. No reference answer supplied.</x:v>
      </x:c>
      <x:c r="E2815" s="6" t="str">
        <x:v>Withheld</x:v>
      </x:c>
      <x:c r="F2815" s="6" t="str">
        <x:v>test</x:v>
      </x:c>
      <x:c r="G2815" s="6" t="str">
        <x:v>proc-factory-test-011</x:v>
      </x:c>
      <x:c r="H2815" s="6" t="str">
        <x:v>proc-factory-test-011-H04</x:v>
      </x:c>
      <x:c r="I2815" s="6" t="str">
        <x:v>Spatial relationships</x:v>
      </x:c>
      <x:c r="J2815" s="6" t="str">
        <x:v>Benchmark</x:v>
      </x:c>
      <x:c r="K2815" s="6" t="str">
        <x:v>Answer: &lt;one number&gt;</x:v>
      </x:c>
      <x:c r="L2815" s="6" t="str">
        <x:v>T02, T04, T10, T14</x:v>
      </x:c>
      <x:c r="M2815" s="6" t="str">
        <x:v>Measure the 3D straight-line distance between room polygon centroids at floor elevation.</x:v>
      </x:c>
      <x:c r="N2815" s="6"/>
      <x:c r="O2815" s="6"/>
      <x:c r="P2815" s="6" t="str">
        <x:v>Polygon centroid at floor.elevation_m. Straight-line 3D distance.</x:v>
      </x:c>
      <x:c r="Q2815" s="15"/>
      <x:c r="R2815" s="6"/>
      <x:c r="S2815" s="16"/>
      <x:c r="T2815" s="15"/>
      <x:c r="U2815" s="6"/>
      <x:c r="V2815" s="6"/>
      <x:c r="W2815" s="6" t="str">
        <x:v>Missing centroid/elevation distance tool.</x:v>
      </x:c>
      <x:c r="X2815" s="6" t="str">
        <x:v>data/test/proc-factory-test-011/questions.jsonl</x:v>
      </x:c>
      <x:c r="Y2815" s="14" t="n">
        <x:v>4</x:v>
      </x:c>
      <x:c r="Z2815" s="6" t="str">
        <x:v>https://github.com/hagenhaeussler/Industrial-Agents-Hackathon-2026/blob/f41616590b69f3ea0c1cbfb41d6c35edd9ce53df/data/test/proc-factory-test-011/questions.jsonl#L4</x:v>
      </x:c>
      <x:c r="AA2815" s="6" t="str">
        <x:v>procedural</x:v>
      </x:c>
      <x:c r="AB2815" s="6" t="str">
        <x:v>CC0-1.0</x:v>
      </x:c>
    </x:row>
    <x:row r="2816" ht="72" customHeight="1">
      <x:c r="A2816" s="14" t="n">
        <x:v>2811</x:v>
      </x:c>
      <x:c r="B2816" s="6" t="str">
        <x:v>errand</x:v>
      </x:c>
      <x:c r="C2816" s="6" t="str">
        <x:v>I'm in Garderobe A (Floor 1). I need to grab a fire extinguisher from the room that has one closest to me, then carry it to the largest generic room on the floor 1. I can carry it on the stairs. How far will I walk in total, in metres? Finish with a line 'Answer: &lt;number&gt;'.</x:v>
      </x:c>
      <x:c r="D2816" s="6" t="str">
        <x:v>50.39 m
Pickup: Stairwell 1.15
Target: Festsaal</x:v>
      </x:c>
      <x:c r="E2816" s="6" t="str">
        <x:v>Reference supplied</x:v>
      </x:c>
      <x:c r="F2816" s="6" t="str">
        <x:v>train</x:v>
      </x:c>
      <x:c r="G2816" s="6" t="str">
        <x:v>osm-way13507441</x:v>
      </x:c>
      <x:c r="H2816" s="6" t="str">
        <x:v>osm-way13507441-H03</x:v>
      </x:c>
      <x:c r="I2816" s="6" t="str">
        <x:v>Compound tasks and changes</x:v>
      </x:c>
      <x:c r="J2816" s="6" t="str">
        <x:v>Benchmark</x:v>
      </x:c>
      <x:c r="K2816" s="6" t="str">
        <x:v>Answer: &lt;one number&gt;</x:v>
      </x:c>
      <x:c r="L2816" s="6" t="str">
        <x:v>T02, T03, T04, T05, T07, T14</x:v>
      </x:c>
      <x:c r="M2816" s="6" t="str">
        <x:v>Collect an item from its closest containing room, then deliver it to the largest requested room.</x:v>
      </x:c>
      <x:c r="N2816" s="6" t="str">
        <x:v>{"type":"number","value":50.39,"unit":"m","relative_tolerance":0.01,"absolute_tolerance":1,"via":"osm-way13507441-F1-S015","target":"osm-way13507441-F1-S005"}</x:v>
      </x:c>
      <x:c r="O2816" s="6" t="str">
        <x:v>{"start":"osm-way13507441-F1-S006","asset_type":"fire_extinguisher","floor_id":"osm-way13507441-F1","room_type":"generic_room"}</x:v>
      </x:c>
      <x:c r="P2816" s="6" t="str">
        <x:v>Nearest pickup by route cost first. Largest target by area. Stairs allowed. README routing profile.</x:v>
      </x:c>
      <x:c r="Q2816" s="15" t="n">
        <x:v>50.39</x:v>
      </x:c>
      <x:c r="R2816" s="6" t="str">
        <x:v>m</x:v>
      </x:c>
      <x:c r="S2816" s="16" t="n">
        <x:v>0.01</x:v>
      </x:c>
      <x:c r="T2816" s="15" t="n">
        <x:v>1</x:v>
      </x:c>
      <x:c r="U2816" s="6" t="str">
        <x:v>Answer: 50.39</x:v>
      </x:c>
      <x:c r="V2816" s="6" t="str">
        <x:v>chain nearest-item, area and routing</x:v>
      </x:c>
      <x:c r="W2816" s="6" t="str">
        <x:v>Existing routing primitive. Missing full candidate search, area selection and task composition.</x:v>
      </x:c>
      <x:c r="X2816" s="6" t="str">
        <x:v>data/train/osm-way13507441/questions.jsonl</x:v>
      </x:c>
      <x:c r="Y2816" s="14" t="n">
        <x:v>3</x:v>
      </x:c>
      <x:c r="Z2816" s="6" t="str">
        <x:v>https://github.com/hagenhaeussler/Industrial-Agents-Hackathon-2026/blob/f41616590b69f3ea0c1cbfb41d6c35edd9ce53df/data/train/osm-way13507441/questions.jsonl#L3</x:v>
      </x:c>
      <x:c r="AA2816" s="6" t="str">
        <x:v>osm_indoor</x:v>
      </x:c>
      <x:c r="AB2816" s="6" t="str">
        <x:v>ODbL-1.0</x:v>
      </x:c>
    </x:row>
    <x:row r="2817" ht="72" customHeight="1">
      <x:c r="A2817" s="14" t="n">
        <x:v>2812</x:v>
      </x:c>
      <x:c r="B2817" s="6" t="str">
        <x:v>errand</x:v>
      </x:c>
      <x:c r="C2817" s="6" t="str">
        <x:v>I'm in Generic room 0402 (Ground floor). I need to grab a sink from the room that has one closest to me, then carry it to the largest generic room on the floor 3. I can carry it on the stairs. How far will I walk in total, in metres? Finish with a line 'Answer: &lt;number&gt;'.</x:v>
      </x:c>
      <x:c r="D2817" s="6" t="str">
        <x:v>109.6 m
Pickup: Toilet 0408
Target: Generic room 3404</x:v>
      </x:c>
      <x:c r="E2817" s="6" t="str">
        <x:v>Reference supplied</x:v>
      </x:c>
      <x:c r="F2817" s="6" t="str">
        <x:v>train</x:v>
      </x:c>
      <x:c r="G2817" s="6" t="str">
        <x:v>osm-way50299720</x:v>
      </x:c>
      <x:c r="H2817" s="6" t="str">
        <x:v>osm-way50299720-H03</x:v>
      </x:c>
      <x:c r="I2817" s="6" t="str">
        <x:v>Compound tasks and changes</x:v>
      </x:c>
      <x:c r="J2817" s="6" t="str">
        <x:v>Benchmark</x:v>
      </x:c>
      <x:c r="K2817" s="6" t="str">
        <x:v>Answer: &lt;one number&gt;</x:v>
      </x:c>
      <x:c r="L2817" s="6" t="str">
        <x:v>T02, T03, T04, T05, T07, T14</x:v>
      </x:c>
      <x:c r="M2817" s="6" t="str">
        <x:v>Collect an item from its closest containing room, then deliver it to the largest requested room.</x:v>
      </x:c>
      <x:c r="N2817" s="6" t="str">
        <x:v>{"type":"number","value":109.6,"unit":"m","relative_tolerance":0.01,"absolute_tolerance":1,"via":"osm-way50299720-F0-S017","target":"osm-way50299720-F3-S002"}</x:v>
      </x:c>
      <x:c r="O2817" s="6" t="str">
        <x:v>{"start":"osm-way50299720-F0-S007","asset_type":"sink","floor_id":"osm-way50299720-F3","room_type":"generic_room"}</x:v>
      </x:c>
      <x:c r="P2817" s="6" t="str">
        <x:v>Nearest pickup by route cost first. Largest target by area. Stairs allowed. README routing profile.</x:v>
      </x:c>
      <x:c r="Q2817" s="15" t="n">
        <x:v>109.6</x:v>
      </x:c>
      <x:c r="R2817" s="6" t="str">
        <x:v>m</x:v>
      </x:c>
      <x:c r="S2817" s="16" t="n">
        <x:v>0.01</x:v>
      </x:c>
      <x:c r="T2817" s="15" t="n">
        <x:v>1</x:v>
      </x:c>
      <x:c r="U2817" s="6" t="str">
        <x:v>Answer: 109.6</x:v>
      </x:c>
      <x:c r="V2817" s="6" t="str">
        <x:v>chain nearest-item, area and routing</x:v>
      </x:c>
      <x:c r="W2817" s="6" t="str">
        <x:v>Existing routing primitive. Missing full candidate search, area selection and task composition.</x:v>
      </x:c>
      <x:c r="X2817" s="6" t="str">
        <x:v>data/train/osm-way50299720/questions.jsonl</x:v>
      </x:c>
      <x:c r="Y2817" s="14" t="n">
        <x:v>3</x:v>
      </x:c>
      <x:c r="Z2817" s="6" t="str">
        <x:v>https://github.com/hagenhaeussler/Industrial-Agents-Hackathon-2026/blob/f41616590b69f3ea0c1cbfb41d6c35edd9ce53df/data/train/osm-way50299720/questions.jsonl#L3</x:v>
      </x:c>
      <x:c r="AA2817" s="6" t="str">
        <x:v>osm_indoor</x:v>
      </x:c>
      <x:c r="AB2817" s="6" t="str">
        <x:v>ODbL-1.0</x:v>
      </x:c>
    </x:row>
    <x:row r="2818" ht="82" customHeight="1">
      <x:c r="A2818" s="14" t="n">
        <x:v>2813</x:v>
      </x:c>
      <x:c r="B2818" s="6" t="str">
        <x:v>errand</x:v>
      </x:c>
      <x:c r="C2818" s="6" t="str">
        <x:v>I'm in Generic room N2135 (Floor 2). I need to grab a fire extinguisher from the room that has one closest to me, then carry it to the largest generic room on the ground floor. I can carry it on the stairs. How far will I walk in total, in metres? Finish with a line 'Answer: &lt;number&gt;'.</x:v>
      </x:c>
      <x:c r="D2818" s="6" t="str">
        <x:v>189.96 m
Pickup: Stairwell N2195A
Target: Generic room N0180</x:v>
      </x:c>
      <x:c r="E2818" s="6" t="str">
        <x:v>Reference supplied</x:v>
      </x:c>
      <x:c r="F2818" s="6" t="str">
        <x:v>train</x:v>
      </x:c>
      <x:c r="G2818" s="6" t="str">
        <x:v>osm-way58216509</x:v>
      </x:c>
      <x:c r="H2818" s="6" t="str">
        <x:v>osm-way58216509-H04</x:v>
      </x:c>
      <x:c r="I2818" s="6" t="str">
        <x:v>Compound tasks and changes</x:v>
      </x:c>
      <x:c r="J2818" s="6" t="str">
        <x:v>Benchmark</x:v>
      </x:c>
      <x:c r="K2818" s="6" t="str">
        <x:v>Answer: &lt;one number&gt;</x:v>
      </x:c>
      <x:c r="L2818" s="6" t="str">
        <x:v>T02, T03, T04, T05, T07, T14</x:v>
      </x:c>
      <x:c r="M2818" s="6" t="str">
        <x:v>Collect an item from its closest containing room, then deliver it to the largest requested room.</x:v>
      </x:c>
      <x:c r="N2818" s="6" t="str">
        <x:v>{"type":"number","value":189.96,"unit":"m","relative_tolerance":0.01,"absolute_tolerance":1,"via":"osm-way58216509-F2-S012","target":"osm-way58216509-F0-S008"}</x:v>
      </x:c>
      <x:c r="O2818" s="6" t="str">
        <x:v>{"start":"osm-way58216509-F2-S070","asset_type":"fire_extinguisher","floor_id":"osm-way58216509-F0","room_type":"generic_room"}</x:v>
      </x:c>
      <x:c r="P2818" s="6" t="str">
        <x:v>Nearest pickup by route cost first. Largest target by area. Stairs allowed. README routing profile.</x:v>
      </x:c>
      <x:c r="Q2818" s="15" t="n">
        <x:v>189.96</x:v>
      </x:c>
      <x:c r="R2818" s="6" t="str">
        <x:v>m</x:v>
      </x:c>
      <x:c r="S2818" s="16" t="n">
        <x:v>0.01</x:v>
      </x:c>
      <x:c r="T2818" s="15" t="n">
        <x:v>1</x:v>
      </x:c>
      <x:c r="U2818" s="6" t="str">
        <x:v>Answer: 189.96</x:v>
      </x:c>
      <x:c r="V2818" s="6" t="str">
        <x:v>chain nearest-item, area and routing</x:v>
      </x:c>
      <x:c r="W2818" s="6" t="str">
        <x:v>Existing routing primitive. Missing full candidate search, area selection and task composition.</x:v>
      </x:c>
      <x:c r="X2818" s="6" t="str">
        <x:v>data/train/osm-way58216509/questions.jsonl</x:v>
      </x:c>
      <x:c r="Y2818" s="14" t="n">
        <x:v>4</x:v>
      </x:c>
      <x:c r="Z2818" s="6" t="str">
        <x:v>https://github.com/hagenhaeussler/Industrial-Agents-Hackathon-2026/blob/f41616590b69f3ea0c1cbfb41d6c35edd9ce53df/data/train/osm-way58216509/questions.jsonl#L4</x:v>
      </x:c>
      <x:c r="AA2818" s="6" t="str">
        <x:v>osm_indoor</x:v>
      </x:c>
      <x:c r="AB2818" s="6" t="str">
        <x:v>ODbL-1.0</x:v>
      </x:c>
    </x:row>
    <x:row r="2819" ht="72" customHeight="1">
      <x:c r="A2819" s="14" t="n">
        <x:v>2814</x:v>
      </x:c>
      <x:c r="B2819" s="6" t="str">
        <x:v>errand</x:v>
      </x:c>
      <x:c r="C2819" s="6" t="str">
        <x:v>I'm in Generic room 1349 (Floor 1). I need to grab a desk from the room that has one closest to me, then carry it to the largest generic room on the ground floor. I can carry it on the stairs. How far will I walk in total, in metres? Finish with a line 'Answer: &lt;number&gt;'.</x:v>
      </x:c>
      <x:c r="D2819" s="6" t="str">
        <x:v>57.47 m
Pickup: Generic room 1350
Target: Generic room 0345</x:v>
      </x:c>
      <x:c r="E2819" s="6" t="str">
        <x:v>Reference supplied</x:v>
      </x:c>
      <x:c r="F2819" s="6" t="str">
        <x:v>train</x:v>
      </x:c>
      <x:c r="G2819" s="6" t="str">
        <x:v>osm-way61408163</x:v>
      </x:c>
      <x:c r="H2819" s="6" t="str">
        <x:v>osm-way61408163-H03</x:v>
      </x:c>
      <x:c r="I2819" s="6" t="str">
        <x:v>Compound tasks and changes</x:v>
      </x:c>
      <x:c r="J2819" s="6" t="str">
        <x:v>Benchmark</x:v>
      </x:c>
      <x:c r="K2819" s="6" t="str">
        <x:v>Answer: &lt;one number&gt;</x:v>
      </x:c>
      <x:c r="L2819" s="6" t="str">
        <x:v>T02, T03, T04, T05, T07, T14</x:v>
      </x:c>
      <x:c r="M2819" s="6" t="str">
        <x:v>Collect an item from its closest containing room, then deliver it to the largest requested room.</x:v>
      </x:c>
      <x:c r="N2819" s="6" t="str">
        <x:v>{"type":"number","value":57.47,"unit":"m","relative_tolerance":0.01,"absolute_tolerance":1,"via":"osm-way61408163-F1-S028","target":"osm-way61408163-F0-S023"}</x:v>
      </x:c>
      <x:c r="O2819" s="6" t="str">
        <x:v>{"start":"osm-way61408163-F1-S029","asset_type":"desk","floor_id":"osm-way61408163-F0","room_type":"generic_room"}</x:v>
      </x:c>
      <x:c r="P2819" s="6" t="str">
        <x:v>Nearest pickup by route cost first. Largest target by area. Stairs allowed. README routing profile.</x:v>
      </x:c>
      <x:c r="Q2819" s="15" t="n">
        <x:v>57.47</x:v>
      </x:c>
      <x:c r="R2819" s="6" t="str">
        <x:v>m</x:v>
      </x:c>
      <x:c r="S2819" s="16" t="n">
        <x:v>0.01</x:v>
      </x:c>
      <x:c r="T2819" s="15" t="n">
        <x:v>1</x:v>
      </x:c>
      <x:c r="U2819" s="6" t="str">
        <x:v>Answer: 57.47</x:v>
      </x:c>
      <x:c r="V2819" s="6" t="str">
        <x:v>chain nearest-item, area and routing</x:v>
      </x:c>
      <x:c r="W2819" s="6" t="str">
        <x:v>Existing routing primitive. Missing full candidate search, area selection and task composition.</x:v>
      </x:c>
      <x:c r="X2819" s="6" t="str">
        <x:v>data/train/osm-way61408163/questions.jsonl</x:v>
      </x:c>
      <x:c r="Y2819" s="14" t="n">
        <x:v>3</x:v>
      </x:c>
      <x:c r="Z2819" s="6" t="str">
        <x:v>https://github.com/hagenhaeussler/Industrial-Agents-Hackathon-2026/blob/f41616590b69f3ea0c1cbfb41d6c35edd9ce53df/data/train/osm-way61408163/questions.jsonl#L3</x:v>
      </x:c>
      <x:c r="AA2819" s="6" t="str">
        <x:v>osm_indoor</x:v>
      </x:c>
      <x:c r="AB2819" s="6" t="str">
        <x:v>ODbL-1.0</x:v>
      </x:c>
    </x:row>
    <x:row r="2820" ht="72" customHeight="1">
      <x:c r="A2820" s="14" t="n">
        <x:v>2815</x:v>
      </x:c>
      <x:c r="B2820" s="6" t="str">
        <x:v>errand</x:v>
      </x:c>
      <x:c r="C2820" s="6" t="str">
        <x:v>I'm in Canteen 0.20 (Ground floor). I need to grab a display screen from the room that has one closest to me, then carry it to the largest meeting room on the floor 3. I can carry it on the stairs. How far will I walk in total, in metres? Finish with a line 'Answer: &lt;number&gt;'.</x:v>
      </x:c>
      <x:c r="D2820" s="6" t="str">
        <x:v>129.86 m
Pickup: Meeting room 0.11
Target: Meeting room 3.07</x:v>
      </x:c>
      <x:c r="E2820" s="6" t="str">
        <x:v>Reference supplied</x:v>
      </x:c>
      <x:c r="F2820" s="6" t="str">
        <x:v>train</x:v>
      </x:c>
      <x:c r="G2820" s="6" t="str">
        <x:v>proc-campus-train-000</x:v>
      </x:c>
      <x:c r="H2820" s="6" t="str">
        <x:v>proc-campus-train-000-H04</x:v>
      </x:c>
      <x:c r="I2820" s="6" t="str">
        <x:v>Compound tasks and changes</x:v>
      </x:c>
      <x:c r="J2820" s="6" t="str">
        <x:v>Benchmark</x:v>
      </x:c>
      <x:c r="K2820" s="6" t="str">
        <x:v>Answer: &lt;one number&gt;</x:v>
      </x:c>
      <x:c r="L2820" s="6" t="str">
        <x:v>T02, T03, T04, T05, T07, T14</x:v>
      </x:c>
      <x:c r="M2820" s="6" t="str">
        <x:v>Collect an item from its closest containing room, then deliver it to the largest requested room.</x:v>
      </x:c>
      <x:c r="N2820" s="6" t="str">
        <x:v>{"type":"number","value":129.86,"unit":"m","relative_tolerance":0.01,"absolute_tolerance":1,"via":"proc-campus-train-000-F0-S011","target":"proc-campus-train-000-F3-S007"}</x:v>
      </x:c>
      <x:c r="O2820" s="6" t="str">
        <x:v>{"start":"proc-campus-train-000-F0-S020","asset_type":"display_screen","floor_id":"proc-campus-train-000-F3","room_type":"meeting_room"}</x:v>
      </x:c>
      <x:c r="P2820" s="6" t="str">
        <x:v>Nearest pickup by route cost first. Largest target by area. Stairs allowed. README routing profile.</x:v>
      </x:c>
      <x:c r="Q2820" s="15" t="n">
        <x:v>129.86</x:v>
      </x:c>
      <x:c r="R2820" s="6" t="str">
        <x:v>m</x:v>
      </x:c>
      <x:c r="S2820" s="16" t="n">
        <x:v>0.01</x:v>
      </x:c>
      <x:c r="T2820" s="15" t="n">
        <x:v>1</x:v>
      </x:c>
      <x:c r="U2820" s="6" t="str">
        <x:v>Answer: 129.86</x:v>
      </x:c>
      <x:c r="V2820" s="6" t="str">
        <x:v>chain nearest-item, area and routing</x:v>
      </x:c>
      <x:c r="W2820" s="6" t="str">
        <x:v>Existing routing primitive. Missing full candidate search, area selection and task composition.</x:v>
      </x:c>
      <x:c r="X2820" s="6" t="str">
        <x:v>data/train/proc-campus-train-000/questions.jsonl</x:v>
      </x:c>
      <x:c r="Y2820" s="14" t="n">
        <x:v>4</x:v>
      </x:c>
      <x:c r="Z2820" s="6" t="str">
        <x:v>https://github.com/hagenhaeussler/Industrial-Agents-Hackathon-2026/blob/f41616590b69f3ea0c1cbfb41d6c35edd9ce53df/data/train/proc-campus-train-000/questions.jsonl#L4</x:v>
      </x:c>
      <x:c r="AA2820" s="6" t="str">
        <x:v>procedural</x:v>
      </x:c>
      <x:c r="AB2820" s="6" t="str">
        <x:v>CC0-1.0</x:v>
      </x:c>
    </x:row>
    <x:row r="2821" ht="72" customHeight="1">
      <x:c r="A2821" s="14" t="n">
        <x:v>2816</x:v>
      </x:c>
      <x:c r="B2821" s="6" t="str">
        <x:v>errand</x:v>
      </x:c>
      <x:c r="C2821" s="6" t="str">
        <x:v>I'm in Office 1.09 (Floor 1). I need to grab a lab bench from the room that has one closest to me, then carry it to the largest lab on the floor 2. I can carry it on the stairs. How far will I walk in total, in metres? Finish with a line 'Answer: &lt;number&gt;'.</x:v>
      </x:c>
      <x:c r="D2821" s="6" t="str">
        <x:v>105.79 m
Pickup: Lab 1.02
Target: Lab 2.10</x:v>
      </x:c>
      <x:c r="E2821" s="6" t="str">
        <x:v>Reference supplied</x:v>
      </x:c>
      <x:c r="F2821" s="6" t="str">
        <x:v>train</x:v>
      </x:c>
      <x:c r="G2821" s="6" t="str">
        <x:v>proc-campus-train-001</x:v>
      </x:c>
      <x:c r="H2821" s="6" t="str">
        <x:v>proc-campus-train-001-H04</x:v>
      </x:c>
      <x:c r="I2821" s="6" t="str">
        <x:v>Compound tasks and changes</x:v>
      </x:c>
      <x:c r="J2821" s="6" t="str">
        <x:v>Benchmark</x:v>
      </x:c>
      <x:c r="K2821" s="6" t="str">
        <x:v>Answer: &lt;one number&gt;</x:v>
      </x:c>
      <x:c r="L2821" s="6" t="str">
        <x:v>T02, T03, T04, T05, T07, T14</x:v>
      </x:c>
      <x:c r="M2821" s="6" t="str">
        <x:v>Collect an item from its closest containing room, then deliver it to the largest requested room.</x:v>
      </x:c>
      <x:c r="N2821" s="6" t="str">
        <x:v>{"type":"number","value":105.79,"unit":"m","relative_tolerance":0.01,"absolute_tolerance":1,"via":"proc-campus-train-001-F1-S002","target":"proc-campus-train-001-F2-S010"}</x:v>
      </x:c>
      <x:c r="O2821" s="6" t="str">
        <x:v>{"start":"proc-campus-train-001-F1-S009","asset_type":"lab_bench","floor_id":"proc-campus-train-001-F2","room_type":"lab"}</x:v>
      </x:c>
      <x:c r="P2821" s="6" t="str">
        <x:v>Nearest pickup by route cost first. Largest target by area. Stairs allowed. README routing profile.</x:v>
      </x:c>
      <x:c r="Q2821" s="15" t="n">
        <x:v>105.79</x:v>
      </x:c>
      <x:c r="R2821" s="6" t="str">
        <x:v>m</x:v>
      </x:c>
      <x:c r="S2821" s="16" t="n">
        <x:v>0.01</x:v>
      </x:c>
      <x:c r="T2821" s="15" t="n">
        <x:v>1</x:v>
      </x:c>
      <x:c r="U2821" s="6" t="str">
        <x:v>Answer: 105.79</x:v>
      </x:c>
      <x:c r="V2821" s="6" t="str">
        <x:v>chain nearest-item, area and routing</x:v>
      </x:c>
      <x:c r="W2821" s="6" t="str">
        <x:v>Existing routing primitive. Missing full candidate search, area selection and task composition.</x:v>
      </x:c>
      <x:c r="X2821" s="6" t="str">
        <x:v>data/train/proc-campus-train-001/questions.jsonl</x:v>
      </x:c>
      <x:c r="Y2821" s="14" t="n">
        <x:v>4</x:v>
      </x:c>
      <x:c r="Z2821" s="6" t="str">
        <x:v>https://github.com/hagenhaeussler/Industrial-Agents-Hackathon-2026/blob/f41616590b69f3ea0c1cbfb41d6c35edd9ce53df/data/train/proc-campus-train-001/questions.jsonl#L4</x:v>
      </x:c>
      <x:c r="AA2821" s="6" t="str">
        <x:v>procedural</x:v>
      </x:c>
      <x:c r="AB2821" s="6" t="str">
        <x:v>CC0-1.0</x:v>
      </x:c>
    </x:row>
    <x:row r="2822" ht="72" customHeight="1">
      <x:c r="A2822" s="14" t="n">
        <x:v>2817</x:v>
      </x:c>
      <x:c r="B2822" s="6" t="str">
        <x:v>errand</x:v>
      </x:c>
      <x:c r="C2822" s="6" t="str">
        <x:v>I'm in Office 1.14 (Floor 1). I need to grab a fire extinguisher from the room that has one closest to me, then carry it to the largest office on the floor 3. I can carry it on the stairs. How far will I walk in total, in metres? Finish with a line 'Answer: &lt;number&gt;'.</x:v>
      </x:c>
      <x:c r="D2822" s="6" t="str">
        <x:v>50.62 m
Pickup: Staircase 1
Target: Office 3.04</x:v>
      </x:c>
      <x:c r="E2822" s="6" t="str">
        <x:v>Reference supplied</x:v>
      </x:c>
      <x:c r="F2822" s="6" t="str">
        <x:v>train</x:v>
      </x:c>
      <x:c r="G2822" s="6" t="str">
        <x:v>proc-campus-train-002</x:v>
      </x:c>
      <x:c r="H2822" s="6" t="str">
        <x:v>proc-campus-train-002-H04</x:v>
      </x:c>
      <x:c r="I2822" s="6" t="str">
        <x:v>Compound tasks and changes</x:v>
      </x:c>
      <x:c r="J2822" s="6" t="str">
        <x:v>Benchmark</x:v>
      </x:c>
      <x:c r="K2822" s="6" t="str">
        <x:v>Answer: &lt;one number&gt;</x:v>
      </x:c>
      <x:c r="L2822" s="6" t="str">
        <x:v>T02, T03, T04, T05, T07, T14</x:v>
      </x:c>
      <x:c r="M2822" s="6" t="str">
        <x:v>Collect an item from its closest containing room, then deliver it to the largest requested room.</x:v>
      </x:c>
      <x:c r="N2822" s="6" t="str">
        <x:v>{"type":"number","value":50.62,"unit":"m","relative_tolerance":0.01,"absolute_tolerance":1,"via":"proc-campus-train-002-F1-S005","target":"proc-campus-train-002-F3-S004"}</x:v>
      </x:c>
      <x:c r="O2822" s="6" t="str">
        <x:v>{"start":"proc-campus-train-002-F1-S014","asset_type":"fire_extinguisher","floor_id":"proc-campus-train-002-F3","room_type":"office"}</x:v>
      </x:c>
      <x:c r="P2822" s="6" t="str">
        <x:v>Nearest pickup by route cost first. Largest target by area. Stairs allowed. README routing profile.</x:v>
      </x:c>
      <x:c r="Q2822" s="15" t="n">
        <x:v>50.62</x:v>
      </x:c>
      <x:c r="R2822" s="6" t="str">
        <x:v>m</x:v>
      </x:c>
      <x:c r="S2822" s="16" t="n">
        <x:v>0.01</x:v>
      </x:c>
      <x:c r="T2822" s="15" t="n">
        <x:v>1</x:v>
      </x:c>
      <x:c r="U2822" s="6" t="str">
        <x:v>Answer: 50.62</x:v>
      </x:c>
      <x:c r="V2822" s="6" t="str">
        <x:v>chain nearest-item, area and routing</x:v>
      </x:c>
      <x:c r="W2822" s="6" t="str">
        <x:v>Existing routing primitive. Missing full candidate search, area selection and task composition.</x:v>
      </x:c>
      <x:c r="X2822" s="6" t="str">
        <x:v>data/train/proc-campus-train-002/questions.jsonl</x:v>
      </x:c>
      <x:c r="Y2822" s="14" t="n">
        <x:v>4</x:v>
      </x:c>
      <x:c r="Z2822" s="6" t="str">
        <x:v>https://github.com/hagenhaeussler/Industrial-Agents-Hackathon-2026/blob/f41616590b69f3ea0c1cbfb41d6c35edd9ce53df/data/train/proc-campus-train-002/questions.jsonl#L4</x:v>
      </x:c>
      <x:c r="AA2822" s="6" t="str">
        <x:v>procedural</x:v>
      </x:c>
      <x:c r="AB2822" s="6" t="str">
        <x:v>CC0-1.0</x:v>
      </x:c>
    </x:row>
    <x:row r="2823" ht="72" customHeight="1">
      <x:c r="A2823" s="14" t="n">
        <x:v>2818</x:v>
      </x:c>
      <x:c r="B2823" s="6" t="str">
        <x:v>errand</x:v>
      </x:c>
      <x:c r="C2823" s="6" t="str">
        <x:v>I'm in Storage 2.23 (Floor 2). I need to grab a filing cabinet from the room that has one closest to me, then carry it to the largest lab on the ground floor. I can carry it on the stairs. How far will I walk in total, in metres? Finish with a line 'Answer: &lt;number&gt;'.</x:v>
      </x:c>
      <x:c r="D2823" s="6" t="str">
        <x:v>91.81 m
Pickup: Office 2.21
Target: Lab 0.11</x:v>
      </x:c>
      <x:c r="E2823" s="6" t="str">
        <x:v>Reference supplied</x:v>
      </x:c>
      <x:c r="F2823" s="6" t="str">
        <x:v>train</x:v>
      </x:c>
      <x:c r="G2823" s="6" t="str">
        <x:v>proc-campus-train-004</x:v>
      </x:c>
      <x:c r="H2823" s="6" t="str">
        <x:v>proc-campus-train-004-H04</x:v>
      </x:c>
      <x:c r="I2823" s="6" t="str">
        <x:v>Compound tasks and changes</x:v>
      </x:c>
      <x:c r="J2823" s="6" t="str">
        <x:v>Benchmark</x:v>
      </x:c>
      <x:c r="K2823" s="6" t="str">
        <x:v>Answer: &lt;one number&gt;</x:v>
      </x:c>
      <x:c r="L2823" s="6" t="str">
        <x:v>T02, T03, T04, T05, T07, T14</x:v>
      </x:c>
      <x:c r="M2823" s="6" t="str">
        <x:v>Collect an item from its closest containing room, then deliver it to the largest requested room.</x:v>
      </x:c>
      <x:c r="N2823" s="6" t="str">
        <x:v>{"type":"number","value":91.81,"unit":"m","relative_tolerance":0.01,"absolute_tolerance":1,"via":"proc-campus-train-004-F2-S021","target":"proc-campus-train-004-F0-S011"}</x:v>
      </x:c>
      <x:c r="O2823" s="6" t="str">
        <x:v>{"start":"proc-campus-train-004-F2-S023","asset_type":"filing_cabinet","floor_id":"proc-campus-train-004-F0","room_type":"lab"}</x:v>
      </x:c>
      <x:c r="P2823" s="6" t="str">
        <x:v>Nearest pickup by route cost first. Largest target by area. Stairs allowed. README routing profile.</x:v>
      </x:c>
      <x:c r="Q2823" s="15" t="n">
        <x:v>91.81</x:v>
      </x:c>
      <x:c r="R2823" s="6" t="str">
        <x:v>m</x:v>
      </x:c>
      <x:c r="S2823" s="16" t="n">
        <x:v>0.01</x:v>
      </x:c>
      <x:c r="T2823" s="15" t="n">
        <x:v>1</x:v>
      </x:c>
      <x:c r="U2823" s="6" t="str">
        <x:v>Answer: 91.81</x:v>
      </x:c>
      <x:c r="V2823" s="6" t="str">
        <x:v>chain nearest-item, area and routing</x:v>
      </x:c>
      <x:c r="W2823" s="6" t="str">
        <x:v>Existing routing primitive. Missing full candidate search, area selection and task composition.</x:v>
      </x:c>
      <x:c r="X2823" s="6" t="str">
        <x:v>data/train/proc-campus-train-004/questions.jsonl</x:v>
      </x:c>
      <x:c r="Y2823" s="14" t="n">
        <x:v>4</x:v>
      </x:c>
      <x:c r="Z2823" s="6" t="str">
        <x:v>https://github.com/hagenhaeussler/Industrial-Agents-Hackathon-2026/blob/f41616590b69f3ea0c1cbfb41d6c35edd9ce53df/data/train/proc-campus-train-004/questions.jsonl#L4</x:v>
      </x:c>
      <x:c r="AA2823" s="6" t="str">
        <x:v>procedural</x:v>
      </x:c>
      <x:c r="AB2823" s="6" t="str">
        <x:v>CC0-1.0</x:v>
      </x:c>
    </x:row>
    <x:row r="2824" ht="72" customHeight="1">
      <x:c r="A2824" s="14" t="n">
        <x:v>2819</x:v>
      </x:c>
      <x:c r="B2824" s="6" t="str">
        <x:v>errand</x:v>
      </x:c>
      <x:c r="C2824" s="6" t="str">
        <x:v>I'm in Library 1.20 (Floor 1). I need to grab a filing cabinet from the room that has one closest to me, then carry it to the largest storage on the floor 2. I can carry it on the stairs. How far will I walk in total, in metres? Finish with a line 'Answer: &lt;number&gt;'.</x:v>
      </x:c>
      <x:c r="D2824" s="6" t="str">
        <x:v>77.76 m
Pickup: Office 1.05
Target: Storage 2.11</x:v>
      </x:c>
      <x:c r="E2824" s="6" t="str">
        <x:v>Reference supplied</x:v>
      </x:c>
      <x:c r="F2824" s="6" t="str">
        <x:v>train</x:v>
      </x:c>
      <x:c r="G2824" s="6" t="str">
        <x:v>proc-campus-train-011</x:v>
      </x:c>
      <x:c r="H2824" s="6" t="str">
        <x:v>proc-campus-train-011-H04</x:v>
      </x:c>
      <x:c r="I2824" s="6" t="str">
        <x:v>Compound tasks and changes</x:v>
      </x:c>
      <x:c r="J2824" s="6" t="str">
        <x:v>Benchmark</x:v>
      </x:c>
      <x:c r="K2824" s="6" t="str">
        <x:v>Answer: &lt;one number&gt;</x:v>
      </x:c>
      <x:c r="L2824" s="6" t="str">
        <x:v>T02, T03, T04, T05, T07, T14</x:v>
      </x:c>
      <x:c r="M2824" s="6" t="str">
        <x:v>Collect an item from its closest containing room, then deliver it to the largest requested room.</x:v>
      </x:c>
      <x:c r="N2824" s="6" t="str">
        <x:v>{"type":"number","value":77.76,"unit":"m","relative_tolerance":0.01,"absolute_tolerance":1,"via":"proc-campus-train-011-F1-S005","target":"proc-campus-train-011-F2-S011"}</x:v>
      </x:c>
      <x:c r="O2824" s="6" t="str">
        <x:v>{"start":"proc-campus-train-011-F1-S020","asset_type":"filing_cabinet","floor_id":"proc-campus-train-011-F2","room_type":"storage"}</x:v>
      </x:c>
      <x:c r="P2824" s="6" t="str">
        <x:v>Nearest pickup by route cost first. Largest target by area. Stairs allowed. README routing profile.</x:v>
      </x:c>
      <x:c r="Q2824" s="15" t="n">
        <x:v>77.76</x:v>
      </x:c>
      <x:c r="R2824" s="6" t="str">
        <x:v>m</x:v>
      </x:c>
      <x:c r="S2824" s="16" t="n">
        <x:v>0.01</x:v>
      </x:c>
      <x:c r="T2824" s="15" t="n">
        <x:v>1</x:v>
      </x:c>
      <x:c r="U2824" s="6" t="str">
        <x:v>Answer: 77.76</x:v>
      </x:c>
      <x:c r="V2824" s="6" t="str">
        <x:v>chain nearest-item, area and routing</x:v>
      </x:c>
      <x:c r="W2824" s="6" t="str">
        <x:v>Existing routing primitive. Missing full candidate search, area selection and task composition.</x:v>
      </x:c>
      <x:c r="X2824" s="6" t="str">
        <x:v>data/train/proc-campus-train-011/questions.jsonl</x:v>
      </x:c>
      <x:c r="Y2824" s="14" t="n">
        <x:v>4</x:v>
      </x:c>
      <x:c r="Z2824" s="6" t="str">
        <x:v>https://github.com/hagenhaeussler/Industrial-Agents-Hackathon-2026/blob/f41616590b69f3ea0c1cbfb41d6c35edd9ce53df/data/train/proc-campus-train-011/questions.jsonl#L4</x:v>
      </x:c>
      <x:c r="AA2824" s="6" t="str">
        <x:v>procedural</x:v>
      </x:c>
      <x:c r="AB2824" s="6" t="str">
        <x:v>CC0-1.0</x:v>
      </x:c>
    </x:row>
    <x:row r="2825" ht="72" customHeight="1">
      <x:c r="A2825" s="14" t="n">
        <x:v>2820</x:v>
      </x:c>
      <x:c r="B2825" s="6" t="str">
        <x:v>errand</x:v>
      </x:c>
      <x:c r="C2825" s="6" t="str">
        <x:v>I'm in Office 1.10 (Floor 1). I need to grab a stove from the room that has one closest to me, then carry it to the largest meeting room on the floor 3. I can carry it on the stairs. How far will I walk in total, in metres? Finish with a line 'Answer: &lt;number&gt;'.</x:v>
      </x:c>
      <x:c r="D2825" s="6" t="str">
        <x:v>76.98 m
Pickup: Kitchen 1.11
Target: Meeting room 3.20</x:v>
      </x:c>
      <x:c r="E2825" s="6" t="str">
        <x:v>Reference supplied</x:v>
      </x:c>
      <x:c r="F2825" s="6" t="str">
        <x:v>train</x:v>
      </x:c>
      <x:c r="G2825" s="6" t="str">
        <x:v>proc-campus-train-014</x:v>
      </x:c>
      <x:c r="H2825" s="6" t="str">
        <x:v>proc-campus-train-014-H04</x:v>
      </x:c>
      <x:c r="I2825" s="6" t="str">
        <x:v>Compound tasks and changes</x:v>
      </x:c>
      <x:c r="J2825" s="6" t="str">
        <x:v>Benchmark</x:v>
      </x:c>
      <x:c r="K2825" s="6" t="str">
        <x:v>Answer: &lt;one number&gt;</x:v>
      </x:c>
      <x:c r="L2825" s="6" t="str">
        <x:v>T02, T03, T04, T05, T07, T14</x:v>
      </x:c>
      <x:c r="M2825" s="6" t="str">
        <x:v>Collect an item from its closest containing room, then deliver it to the largest requested room.</x:v>
      </x:c>
      <x:c r="N2825" s="6" t="str">
        <x:v>{"type":"number","value":76.98,"unit":"m","relative_tolerance":0.01,"absolute_tolerance":1,"via":"proc-campus-train-014-F1-S011","target":"proc-campus-train-014-F3-S020"}</x:v>
      </x:c>
      <x:c r="O2825" s="6" t="str">
        <x:v>{"start":"proc-campus-train-014-F1-S010","asset_type":"stove","floor_id":"proc-campus-train-014-F3","room_type":"meeting_room"}</x:v>
      </x:c>
      <x:c r="P2825" s="6" t="str">
        <x:v>Nearest pickup by route cost first. Largest target by area. Stairs allowed. README routing profile.</x:v>
      </x:c>
      <x:c r="Q2825" s="15" t="n">
        <x:v>76.98</x:v>
      </x:c>
      <x:c r="R2825" s="6" t="str">
        <x:v>m</x:v>
      </x:c>
      <x:c r="S2825" s="16" t="n">
        <x:v>0.01</x:v>
      </x:c>
      <x:c r="T2825" s="15" t="n">
        <x:v>1</x:v>
      </x:c>
      <x:c r="U2825" s="6" t="str">
        <x:v>Answer: 76.98</x:v>
      </x:c>
      <x:c r="V2825" s="6" t="str">
        <x:v>chain nearest-item, area and routing</x:v>
      </x:c>
      <x:c r="W2825" s="6" t="str">
        <x:v>Existing routing primitive. Missing full candidate search, area selection and task composition.</x:v>
      </x:c>
      <x:c r="X2825" s="6" t="str">
        <x:v>data/train/proc-campus-train-014/questions.jsonl</x:v>
      </x:c>
      <x:c r="Y2825" s="14" t="n">
        <x:v>4</x:v>
      </x:c>
      <x:c r="Z2825" s="6" t="str">
        <x:v>https://github.com/hagenhaeussler/Industrial-Agents-Hackathon-2026/blob/f41616590b69f3ea0c1cbfb41d6c35edd9ce53df/data/train/proc-campus-train-014/questions.jsonl#L4</x:v>
      </x:c>
      <x:c r="AA2825" s="6" t="str">
        <x:v>procedural</x:v>
      </x:c>
      <x:c r="AB2825" s="6" t="str">
        <x:v>CC0-1.0</x:v>
      </x:c>
    </x:row>
    <x:row r="2826" ht="72" customHeight="1">
      <x:c r="A2826" s="14" t="n">
        <x:v>2821</x:v>
      </x:c>
      <x:c r="B2826" s="6" t="str">
        <x:v>errand</x:v>
      </x:c>
      <x:c r="C2826" s="6" t="str">
        <x:v>I'm in Office 2.12 (Floor 2). I need to grab a whiteboard from the room that has one closest to me, then carry it to the largest office on the floor 1. I can carry it on the stairs. How far will I walk in total, in metres? Finish with a line 'Answer: &lt;number&gt;'.</x:v>
      </x:c>
      <x:c r="D2826" s="6" t="str">
        <x:v>86.03 m
Pickup: Seminar room 2.09
Target: Office 1.05</x:v>
      </x:c>
      <x:c r="E2826" s="6" t="str">
        <x:v>Reference supplied</x:v>
      </x:c>
      <x:c r="F2826" s="6" t="str">
        <x:v>train</x:v>
      </x:c>
      <x:c r="G2826" s="6" t="str">
        <x:v>proc-campus-train-019</x:v>
      </x:c>
      <x:c r="H2826" s="6" t="str">
        <x:v>proc-campus-train-019-H04</x:v>
      </x:c>
      <x:c r="I2826" s="6" t="str">
        <x:v>Compound tasks and changes</x:v>
      </x:c>
      <x:c r="J2826" s="6" t="str">
        <x:v>Benchmark</x:v>
      </x:c>
      <x:c r="K2826" s="6" t="str">
        <x:v>Answer: &lt;one number&gt;</x:v>
      </x:c>
      <x:c r="L2826" s="6" t="str">
        <x:v>T02, T03, T04, T05, T07, T14</x:v>
      </x:c>
      <x:c r="M2826" s="6" t="str">
        <x:v>Collect an item from its closest containing room, then deliver it to the largest requested room.</x:v>
      </x:c>
      <x:c r="N2826" s="6" t="str">
        <x:v>{"type":"number","value":86.03,"unit":"m","relative_tolerance":0.01,"absolute_tolerance":1,"via":"proc-campus-train-019-F2-S009","target":"proc-campus-train-019-F1-S005"}</x:v>
      </x:c>
      <x:c r="O2826" s="6" t="str">
        <x:v>{"start":"proc-campus-train-019-F2-S012","asset_type":"whiteboard","floor_id":"proc-campus-train-019-F1","room_type":"office"}</x:v>
      </x:c>
      <x:c r="P2826" s="6" t="str">
        <x:v>Nearest pickup by route cost first. Largest target by area. Stairs allowed. README routing profile.</x:v>
      </x:c>
      <x:c r="Q2826" s="15" t="n">
        <x:v>86.03</x:v>
      </x:c>
      <x:c r="R2826" s="6" t="str">
        <x:v>m</x:v>
      </x:c>
      <x:c r="S2826" s="16" t="n">
        <x:v>0.01</x:v>
      </x:c>
      <x:c r="T2826" s="15" t="n">
        <x:v>1</x:v>
      </x:c>
      <x:c r="U2826" s="6" t="str">
        <x:v>Answer: 86.03</x:v>
      </x:c>
      <x:c r="V2826" s="6" t="str">
        <x:v>chain nearest-item, area and routing</x:v>
      </x:c>
      <x:c r="W2826" s="6" t="str">
        <x:v>Existing routing primitive. Missing full candidate search, area selection and task composition.</x:v>
      </x:c>
      <x:c r="X2826" s="6" t="str">
        <x:v>data/train/proc-campus-train-019/questions.jsonl</x:v>
      </x:c>
      <x:c r="Y2826" s="14" t="n">
        <x:v>4</x:v>
      </x:c>
      <x:c r="Z2826" s="6" t="str">
        <x:v>https://github.com/hagenhaeussler/Industrial-Agents-Hackathon-2026/blob/f41616590b69f3ea0c1cbfb41d6c35edd9ce53df/data/train/proc-campus-train-019/questions.jsonl#L4</x:v>
      </x:c>
      <x:c r="AA2826" s="6" t="str">
        <x:v>procedural</x:v>
      </x:c>
      <x:c r="AB2826" s="6" t="str">
        <x:v>CC0-1.0</x:v>
      </x:c>
    </x:row>
    <x:row r="2827" ht="72" customHeight="1">
      <x:c r="A2827" s="14" t="n">
        <x:v>2822</x:v>
      </x:c>
      <x:c r="B2827" s="6" t="str">
        <x:v>errand</x:v>
      </x:c>
      <x:c r="C2827" s="6" t="str">
        <x:v>I'm in Server room 0.30 (Ground floor). I need to grab a fridge from the room that has one closest to me, then carry it to the largest kitchen on the floor 1. I can carry it on the stairs. How far will I walk in total, in metres? Finish with a line 'Answer: &lt;number&gt;'.</x:v>
      </x:c>
      <x:c r="D2827" s="6" t="str">
        <x:v>83.53 m
Pickup: Kitchen 0.19
Target: Kitchen 1.06</x:v>
      </x:c>
      <x:c r="E2827" s="6" t="str">
        <x:v>Reference supplied</x:v>
      </x:c>
      <x:c r="F2827" s="6" t="str">
        <x:v>train</x:v>
      </x:c>
      <x:c r="G2827" s="6" t="str">
        <x:v>proc-factory-train-005</x:v>
      </x:c>
      <x:c r="H2827" s="6" t="str">
        <x:v>proc-factory-train-005-H04</x:v>
      </x:c>
      <x:c r="I2827" s="6" t="str">
        <x:v>Compound tasks and changes</x:v>
      </x:c>
      <x:c r="J2827" s="6" t="str">
        <x:v>Benchmark</x:v>
      </x:c>
      <x:c r="K2827" s="6" t="str">
        <x:v>Answer: &lt;one number&gt;</x:v>
      </x:c>
      <x:c r="L2827" s="6" t="str">
        <x:v>T02, T03, T04, T05, T07, T14</x:v>
      </x:c>
      <x:c r="M2827" s="6" t="str">
        <x:v>Collect an item from its closest containing room, then deliver it to the largest requested room.</x:v>
      </x:c>
      <x:c r="N2827" s="6" t="str">
        <x:v>{"type":"number","value":83.53,"unit":"m","relative_tolerance":0.01,"absolute_tolerance":1,"via":"proc-factory-train-005-F0-S019","target":"proc-factory-train-005-F1-S006"}</x:v>
      </x:c>
      <x:c r="O2827" s="6" t="str">
        <x:v>{"start":"proc-factory-train-005-F0-S030","asset_type":"fridge","floor_id":"proc-factory-train-005-F1","room_type":"kitchen"}</x:v>
      </x:c>
      <x:c r="P2827" s="6" t="str">
        <x:v>Nearest pickup by route cost first. Largest target by area. Stairs allowed. README routing profile.</x:v>
      </x:c>
      <x:c r="Q2827" s="15" t="n">
        <x:v>83.53</x:v>
      </x:c>
      <x:c r="R2827" s="6" t="str">
        <x:v>m</x:v>
      </x:c>
      <x:c r="S2827" s="16" t="n">
        <x:v>0.01</x:v>
      </x:c>
      <x:c r="T2827" s="15" t="n">
        <x:v>1</x:v>
      </x:c>
      <x:c r="U2827" s="6" t="str">
        <x:v>Answer: 83.53</x:v>
      </x:c>
      <x:c r="V2827" s="6" t="str">
        <x:v>chain nearest-item, area and routing</x:v>
      </x:c>
      <x:c r="W2827" s="6" t="str">
        <x:v>Existing routing primitive. Missing full candidate search, area selection and task composition.</x:v>
      </x:c>
      <x:c r="X2827" s="6" t="str">
        <x:v>data/train/proc-factory-train-005/questions.jsonl</x:v>
      </x:c>
      <x:c r="Y2827" s="14" t="n">
        <x:v>4</x:v>
      </x:c>
      <x:c r="Z2827" s="6" t="str">
        <x:v>https://github.com/hagenhaeussler/Industrial-Agents-Hackathon-2026/blob/f41616590b69f3ea0c1cbfb41d6c35edd9ce53df/data/train/proc-factory-train-005/questions.jsonl#L4</x:v>
      </x:c>
      <x:c r="AA2827" s="6" t="str">
        <x:v>procedural</x:v>
      </x:c>
      <x:c r="AB2827" s="6" t="str">
        <x:v>CC0-1.0</x:v>
      </x:c>
    </x:row>
    <x:row r="2828" ht="72" customHeight="1">
      <x:c r="A2828" s="14" t="n">
        <x:v>2823</x:v>
      </x:c>
      <x:c r="B2828" s="6" t="str">
        <x:v>errand</x:v>
      </x:c>
      <x:c r="C2828" s="6" t="str">
        <x:v>I'm in Meeting room 0.21 (Ground floor). I need to grab a plant from the room that has one closest to me, then carry it to the largest office on the ground floor. I can carry it on the stairs. How far will I walk in total, in metres? Finish with a line 'Answer: &lt;number&gt;'.</x:v>
      </x:c>
      <x:c r="D2828" s="6" t="str">
        <x:v>28.17 m
Pickup: Office 0.22
Target: Office 0.14</x:v>
      </x:c>
      <x:c r="E2828" s="6" t="str">
        <x:v>Reference supplied</x:v>
      </x:c>
      <x:c r="F2828" s="6" t="str">
        <x:v>train</x:v>
      </x:c>
      <x:c r="G2828" s="6" t="str">
        <x:v>proc-factory-train-006</x:v>
      </x:c>
      <x:c r="H2828" s="6" t="str">
        <x:v>proc-factory-train-006-H04</x:v>
      </x:c>
      <x:c r="I2828" s="6" t="str">
        <x:v>Compound tasks and changes</x:v>
      </x:c>
      <x:c r="J2828" s="6" t="str">
        <x:v>Benchmark</x:v>
      </x:c>
      <x:c r="K2828" s="6" t="str">
        <x:v>Answer: &lt;one number&gt;</x:v>
      </x:c>
      <x:c r="L2828" s="6" t="str">
        <x:v>T02, T03, T04, T05, T07, T14</x:v>
      </x:c>
      <x:c r="M2828" s="6" t="str">
        <x:v>Collect an item from its closest containing room, then deliver it to the largest requested room.</x:v>
      </x:c>
      <x:c r="N2828" s="6" t="str">
        <x:v>{"type":"number","value":28.17,"unit":"m","relative_tolerance":0.01,"absolute_tolerance":1,"via":"proc-factory-train-006-F0-S022","target":"proc-factory-train-006-F0-S014"}</x:v>
      </x:c>
      <x:c r="O2828" s="6" t="str">
        <x:v>{"start":"proc-factory-train-006-F0-S021","asset_type":"plant","floor_id":"proc-factory-train-006-F0","room_type":"office"}</x:v>
      </x:c>
      <x:c r="P2828" s="6" t="str">
        <x:v>Nearest pickup by route cost first. Largest target by area. Stairs allowed. README routing profile.</x:v>
      </x:c>
      <x:c r="Q2828" s="15" t="n">
        <x:v>28.17</x:v>
      </x:c>
      <x:c r="R2828" s="6" t="str">
        <x:v>m</x:v>
      </x:c>
      <x:c r="S2828" s="16" t="n">
        <x:v>0.01</x:v>
      </x:c>
      <x:c r="T2828" s="15" t="n">
        <x:v>1</x:v>
      </x:c>
      <x:c r="U2828" s="6" t="str">
        <x:v>Answer: 28.17</x:v>
      </x:c>
      <x:c r="V2828" s="6" t="str">
        <x:v>chain nearest-item, area and routing</x:v>
      </x:c>
      <x:c r="W2828" s="6" t="str">
        <x:v>Existing routing primitive. Missing full candidate search, area selection and task composition.</x:v>
      </x:c>
      <x:c r="X2828" s="6" t="str">
        <x:v>data/train/proc-factory-train-006/questions.jsonl</x:v>
      </x:c>
      <x:c r="Y2828" s="14" t="n">
        <x:v>4</x:v>
      </x:c>
      <x:c r="Z2828" s="6" t="str">
        <x:v>https://github.com/hagenhaeussler/Industrial-Agents-Hackathon-2026/blob/f41616590b69f3ea0c1cbfb41d6c35edd9ce53df/data/train/proc-factory-train-006/questions.jsonl#L4</x:v>
      </x:c>
      <x:c r="AA2828" s="6" t="str">
        <x:v>procedural</x:v>
      </x:c>
      <x:c r="AB2828" s="6" t="str">
        <x:v>CC0-1.0</x:v>
      </x:c>
    </x:row>
    <x:row r="2829" ht="72" customHeight="1">
      <x:c r="A2829" s="14" t="n">
        <x:v>2824</x:v>
      </x:c>
      <x:c r="B2829" s="6" t="str">
        <x:v>errand</x:v>
      </x:c>
      <x:c r="C2829" s="6" t="str">
        <x:v>I'm in Meeting room 1.17 (Floor 1). I need to grab a bookshelf from the room that has one closest to me, then carry it to the largest kitchen on the ground floor. I can carry it on the stairs. How far will I walk in total, in metres? Finish with a line 'Answer: &lt;number&gt;'.</x:v>
      </x:c>
      <x:c r="D2829" s="6" t="str">
        <x:v>79.2 m
Pickup: Office 1.07
Target: Kitchen 0.20</x:v>
      </x:c>
      <x:c r="E2829" s="6" t="str">
        <x:v>Reference supplied</x:v>
      </x:c>
      <x:c r="F2829" s="6" t="str">
        <x:v>train</x:v>
      </x:c>
      <x:c r="G2829" s="6" t="str">
        <x:v>proc-factory-train-007</x:v>
      </x:c>
      <x:c r="H2829" s="6" t="str">
        <x:v>proc-factory-train-007-H04</x:v>
      </x:c>
      <x:c r="I2829" s="6" t="str">
        <x:v>Compound tasks and changes</x:v>
      </x:c>
      <x:c r="J2829" s="6" t="str">
        <x:v>Benchmark</x:v>
      </x:c>
      <x:c r="K2829" s="6" t="str">
        <x:v>Answer: &lt;one number&gt;</x:v>
      </x:c>
      <x:c r="L2829" s="6" t="str">
        <x:v>T02, T03, T04, T05, T07, T14</x:v>
      </x:c>
      <x:c r="M2829" s="6" t="str">
        <x:v>Collect an item from its closest containing room, then deliver it to the largest requested room.</x:v>
      </x:c>
      <x:c r="N2829" s="6" t="str">
        <x:v>{"type":"number","value":79.2,"unit":"m","relative_tolerance":0.01,"absolute_tolerance":1,"via":"proc-factory-train-007-F1-S007","target":"proc-factory-train-007-F0-S020"}</x:v>
      </x:c>
      <x:c r="O2829" s="6" t="str">
        <x:v>{"start":"proc-factory-train-007-F1-S017","asset_type":"bookshelf","floor_id":"proc-factory-train-007-F0","room_type":"kitchen"}</x:v>
      </x:c>
      <x:c r="P2829" s="6" t="str">
        <x:v>Nearest pickup by route cost first. Largest target by area. Stairs allowed. README routing profile.</x:v>
      </x:c>
      <x:c r="Q2829" s="15" t="n">
        <x:v>79.2</x:v>
      </x:c>
      <x:c r="R2829" s="6" t="str">
        <x:v>m</x:v>
      </x:c>
      <x:c r="S2829" s="16" t="n">
        <x:v>0.01</x:v>
      </x:c>
      <x:c r="T2829" s="15" t="n">
        <x:v>1</x:v>
      </x:c>
      <x:c r="U2829" s="6" t="str">
        <x:v>Answer: 79.2</x:v>
      </x:c>
      <x:c r="V2829" s="6" t="str">
        <x:v>chain nearest-item, area and routing</x:v>
      </x:c>
      <x:c r="W2829" s="6" t="str">
        <x:v>Existing routing primitive. Missing full candidate search, area selection and task composition.</x:v>
      </x:c>
      <x:c r="X2829" s="6" t="str">
        <x:v>data/train/proc-factory-train-007/questions.jsonl</x:v>
      </x:c>
      <x:c r="Y2829" s="14" t="n">
        <x:v>4</x:v>
      </x:c>
      <x:c r="Z2829" s="6" t="str">
        <x:v>https://github.com/hagenhaeussler/Industrial-Agents-Hackathon-2026/blob/f41616590b69f3ea0c1cbfb41d6c35edd9ce53df/data/train/proc-factory-train-007/questions.jsonl#L4</x:v>
      </x:c>
      <x:c r="AA2829" s="6" t="str">
        <x:v>procedural</x:v>
      </x:c>
      <x:c r="AB2829" s="6" t="str">
        <x:v>CC0-1.0</x:v>
      </x:c>
    </x:row>
    <x:row r="2830" ht="72" customHeight="1">
      <x:c r="A2830" s="14" t="n">
        <x:v>2825</x:v>
      </x:c>
      <x:c r="B2830" s="6" t="str">
        <x:v>errand</x:v>
      </x:c>
      <x:c r="C2830" s="6" t="str">
        <x:v>I'm in Server room 0.27 (Ground floor). I need to grab a fridge from the room that has one closest to me, then carry it to the largest meeting room on the floor 1. I can carry it on the stairs. How far will I walk in total, in metres? Finish with a line 'Answer: &lt;number&gt;'.</x:v>
      </x:c>
      <x:c r="D2830" s="6" t="str">
        <x:v>138.77 m
Pickup: Kitchen 0.35
Target: Meeting room 1.12</x:v>
      </x:c>
      <x:c r="E2830" s="6" t="str">
        <x:v>Reference supplied</x:v>
      </x:c>
      <x:c r="F2830" s="6" t="str">
        <x:v>train</x:v>
      </x:c>
      <x:c r="G2830" s="6" t="str">
        <x:v>proc-factory-train-009</x:v>
      </x:c>
      <x:c r="H2830" s="6" t="str">
        <x:v>proc-factory-train-009-H04</x:v>
      </x:c>
      <x:c r="I2830" s="6" t="str">
        <x:v>Compound tasks and changes</x:v>
      </x:c>
      <x:c r="J2830" s="6" t="str">
        <x:v>Benchmark</x:v>
      </x:c>
      <x:c r="K2830" s="6" t="str">
        <x:v>Answer: &lt;one number&gt;</x:v>
      </x:c>
      <x:c r="L2830" s="6" t="str">
        <x:v>T02, T03, T04, T05, T07, T14</x:v>
      </x:c>
      <x:c r="M2830" s="6" t="str">
        <x:v>Collect an item from its closest containing room, then deliver it to the largest requested room.</x:v>
      </x:c>
      <x:c r="N2830" s="6" t="str">
        <x:v>{"type":"number","value":138.77,"unit":"m","relative_tolerance":0.01,"absolute_tolerance":1,"via":"proc-factory-train-009-F0-S035","target":"proc-factory-train-009-F1-S012"}</x:v>
      </x:c>
      <x:c r="O2830" s="6" t="str">
        <x:v>{"start":"proc-factory-train-009-F0-S027","asset_type":"fridge","floor_id":"proc-factory-train-009-F1","room_type":"meeting_room"}</x:v>
      </x:c>
      <x:c r="P2830" s="6" t="str">
        <x:v>Nearest pickup by route cost first. Largest target by area. Stairs allowed. README routing profile.</x:v>
      </x:c>
      <x:c r="Q2830" s="15" t="n">
        <x:v>138.77</x:v>
      </x:c>
      <x:c r="R2830" s="6" t="str">
        <x:v>m</x:v>
      </x:c>
      <x:c r="S2830" s="16" t="n">
        <x:v>0.01</x:v>
      </x:c>
      <x:c r="T2830" s="15" t="n">
        <x:v>1</x:v>
      </x:c>
      <x:c r="U2830" s="6" t="str">
        <x:v>Answer: 138.77</x:v>
      </x:c>
      <x:c r="V2830" s="6" t="str">
        <x:v>chain nearest-item, area and routing</x:v>
      </x:c>
      <x:c r="W2830" s="6" t="str">
        <x:v>Existing routing primitive. Missing full candidate search, area selection and task composition.</x:v>
      </x:c>
      <x:c r="X2830" s="6" t="str">
        <x:v>data/train/proc-factory-train-009/questions.jsonl</x:v>
      </x:c>
      <x:c r="Y2830" s="14" t="n">
        <x:v>4</x:v>
      </x:c>
      <x:c r="Z2830" s="6" t="str">
        <x:v>https://github.com/hagenhaeussler/Industrial-Agents-Hackathon-2026/blob/f41616590b69f3ea0c1cbfb41d6c35edd9ce53df/data/train/proc-factory-train-009/questions.jsonl#L4</x:v>
      </x:c>
      <x:c r="AA2830" s="6" t="str">
        <x:v>procedural</x:v>
      </x:c>
      <x:c r="AB2830" s="6" t="str">
        <x:v>CC0-1.0</x:v>
      </x:c>
    </x:row>
    <x:row r="2831" ht="72" customHeight="1">
      <x:c r="A2831" s="14" t="n">
        <x:v>2826</x:v>
      </x:c>
      <x:c r="B2831" s="6" t="str">
        <x:v>errand</x:v>
      </x:c>
      <x:c r="C2831" s="6" t="str">
        <x:v>I'm in Meeting room 1.16 (Floor 1). I need to grab a office chair from the room that has one closest to me, then carry it to the largest office on the ground floor. I can carry it on the stairs. How far will I walk in total, in metres? Finish with a line 'Answer: &lt;number&gt;'.</x:v>
      </x:c>
      <x:c r="D2831" s="6" t="str">
        <x:v>83.42 m
Pickup: Office 1.15
Target: Office 0.19</x:v>
      </x:c>
      <x:c r="E2831" s="6" t="str">
        <x:v>Reference supplied</x:v>
      </x:c>
      <x:c r="F2831" s="6" t="str">
        <x:v>train</x:v>
      </x:c>
      <x:c r="G2831" s="6" t="str">
        <x:v>proc-factory-train-015</x:v>
      </x:c>
      <x:c r="H2831" s="6" t="str">
        <x:v>proc-factory-train-015-H04</x:v>
      </x:c>
      <x:c r="I2831" s="6" t="str">
        <x:v>Compound tasks and changes</x:v>
      </x:c>
      <x:c r="J2831" s="6" t="str">
        <x:v>Benchmark</x:v>
      </x:c>
      <x:c r="K2831" s="6" t="str">
        <x:v>Answer: &lt;one number&gt;</x:v>
      </x:c>
      <x:c r="L2831" s="6" t="str">
        <x:v>T02, T03, T04, T05, T07, T14</x:v>
      </x:c>
      <x:c r="M2831" s="6" t="str">
        <x:v>Collect an item from its closest containing room, then deliver it to the largest requested room.</x:v>
      </x:c>
      <x:c r="N2831" s="6" t="str">
        <x:v>{"type":"number","value":83.42,"unit":"m","relative_tolerance":0.01,"absolute_tolerance":1,"via":"proc-factory-train-015-F1-S015","target":"proc-factory-train-015-F0-S019"}</x:v>
      </x:c>
      <x:c r="O2831" s="6" t="str">
        <x:v>{"start":"proc-factory-train-015-F1-S016","asset_type":"office_chair","floor_id":"proc-factory-train-015-F0","room_type":"office"}</x:v>
      </x:c>
      <x:c r="P2831" s="6" t="str">
        <x:v>Nearest pickup by route cost first. Largest target by area. Stairs allowed. README routing profile.</x:v>
      </x:c>
      <x:c r="Q2831" s="15" t="n">
        <x:v>83.42</x:v>
      </x:c>
      <x:c r="R2831" s="6" t="str">
        <x:v>m</x:v>
      </x:c>
      <x:c r="S2831" s="16" t="n">
        <x:v>0.01</x:v>
      </x:c>
      <x:c r="T2831" s="15" t="n">
        <x:v>1</x:v>
      </x:c>
      <x:c r="U2831" s="6" t="str">
        <x:v>Answer: 83.42</x:v>
      </x:c>
      <x:c r="V2831" s="6" t="str">
        <x:v>chain nearest-item, area and routing</x:v>
      </x:c>
      <x:c r="W2831" s="6" t="str">
        <x:v>Existing routing primitive. Missing full candidate search, area selection and task composition.</x:v>
      </x:c>
      <x:c r="X2831" s="6" t="str">
        <x:v>data/train/proc-factory-train-015/questions.jsonl</x:v>
      </x:c>
      <x:c r="Y2831" s="14" t="n">
        <x:v>4</x:v>
      </x:c>
      <x:c r="Z2831" s="6" t="str">
        <x:v>https://github.com/hagenhaeussler/Industrial-Agents-Hackathon-2026/blob/f41616590b69f3ea0c1cbfb41d6c35edd9ce53df/data/train/proc-factory-train-015/questions.jsonl#L4</x:v>
      </x:c>
      <x:c r="AA2831" s="6" t="str">
        <x:v>procedural</x:v>
      </x:c>
      <x:c r="AB2831" s="6" t="str">
        <x:v>CC0-1.0</x:v>
      </x:c>
    </x:row>
    <x:row r="2832" ht="72" customHeight="1">
      <x:c r="A2832" s="14" t="n">
        <x:v>2827</x:v>
      </x:c>
      <x:c r="B2832" s="6" t="str">
        <x:v>errand</x:v>
      </x:c>
      <x:c r="C2832" s="6" t="str">
        <x:v>I'm in Living room 0.01 (Ground floor). I need to grab a sink from the room that has one closest to me, then carry it to the largest bedroom on the ground floor. I can carry it on the stairs. How far will I walk in total, in metres? Finish with a line 'Answer: &lt;number&gt;'.</x:v>
      </x:c>
      <x:c r="D2832" s="6" t="str">
        <x:v>18.89 m
Pickup: Bathroom 0.05
Target: Bedroom 0.02</x:v>
      </x:c>
      <x:c r="E2832" s="6" t="str">
        <x:v>Reference supplied</x:v>
      </x:c>
      <x:c r="F2832" s="6" t="str">
        <x:v>train</x:v>
      </x:c>
      <x:c r="G2832" s="6" t="str">
        <x:v>resplan-1095</x:v>
      </x:c>
      <x:c r="H2832" s="6" t="str">
        <x:v>resplan-1095-H04</x:v>
      </x:c>
      <x:c r="I2832" s="6" t="str">
        <x:v>Compound tasks and changes</x:v>
      </x:c>
      <x:c r="J2832" s="6" t="str">
        <x:v>Benchmark</x:v>
      </x:c>
      <x:c r="K2832" s="6" t="str">
        <x:v>Answer: &lt;one number&gt;</x:v>
      </x:c>
      <x:c r="L2832" s="6" t="str">
        <x:v>T02, T03, T04, T05, T07, T14</x:v>
      </x:c>
      <x:c r="M2832" s="6" t="str">
        <x:v>Collect an item from its closest containing room, then deliver it to the largest requested room.</x:v>
      </x:c>
      <x:c r="N2832" s="6" t="str">
        <x:v>{"type":"number","value":18.89,"unit":"m","relative_tolerance":0.01,"absolute_tolerance":1,"via":"resplan-1095-F0-S005","target":"resplan-1095-F0-S002"}</x:v>
      </x:c>
      <x:c r="O2832" s="6" t="str">
        <x:v>{"start":"resplan-1095-F0-S001","asset_type":"sink","floor_id":"resplan-1095-F0","room_type":"bedroom"}</x:v>
      </x:c>
      <x:c r="P2832" s="6" t="str">
        <x:v>Nearest pickup by route cost first. Largest target by area. Stairs allowed. README routing profile.</x:v>
      </x:c>
      <x:c r="Q2832" s="15" t="n">
        <x:v>18.89</x:v>
      </x:c>
      <x:c r="R2832" s="6" t="str">
        <x:v>m</x:v>
      </x:c>
      <x:c r="S2832" s="16" t="n">
        <x:v>0.01</x:v>
      </x:c>
      <x:c r="T2832" s="15" t="n">
        <x:v>1</x:v>
      </x:c>
      <x:c r="U2832" s="6" t="str">
        <x:v>Answer: 18.89</x:v>
      </x:c>
      <x:c r="V2832" s="6" t="str">
        <x:v>chain nearest-item, area and routing</x:v>
      </x:c>
      <x:c r="W2832" s="6" t="str">
        <x:v>Existing routing primitive. Missing full candidate search, area selection and task composition.</x:v>
      </x:c>
      <x:c r="X2832" s="6" t="str">
        <x:v>data/train/resplan-1095/questions.jsonl</x:v>
      </x:c>
      <x:c r="Y2832" s="14" t="n">
        <x:v>4</x:v>
      </x:c>
      <x:c r="Z2832" s="6" t="str">
        <x:v>https://github.com/hagenhaeussler/Industrial-Agents-Hackathon-2026/blob/f41616590b69f3ea0c1cbfb41d6c35edd9ce53df/data/train/resplan-1095/questions.jsonl#L4</x:v>
      </x:c>
      <x:c r="AA2832" s="6" t="str">
        <x:v>resplan</x:v>
      </x:c>
      <x:c r="AB2832" s="6" t="str">
        <x:v>CC-BY-4.0</x:v>
      </x:c>
    </x:row>
    <x:row r="2833" ht="72" customHeight="1">
      <x:c r="A2833" s="14" t="n">
        <x:v>2828</x:v>
      </x:c>
      <x:c r="B2833" s="6" t="str">
        <x:v>errand</x:v>
      </x:c>
      <x:c r="C2833" s="6" t="str">
        <x:v>I'm in Bathroom 0.05 (Ground floor). I need to grab a nightstand from the room that has one closest to me, then carry it to the largest bedroom on the ground floor. I can carry it on the stairs. How far will I walk in total, in metres? Finish with a line 'Answer: &lt;number&gt;'.</x:v>
      </x:c>
      <x:c r="D2833" s="6" t="str">
        <x:v>19.4 m
Pickup: Bedroom 0.03
Target: Bedroom 0.02</x:v>
      </x:c>
      <x:c r="E2833" s="6" t="str">
        <x:v>Reference supplied</x:v>
      </x:c>
      <x:c r="F2833" s="6" t="str">
        <x:v>train</x:v>
      </x:c>
      <x:c r="G2833" s="6" t="str">
        <x:v>resplan-120</x:v>
      </x:c>
      <x:c r="H2833" s="6" t="str">
        <x:v>resplan-120-H04</x:v>
      </x:c>
      <x:c r="I2833" s="6" t="str">
        <x:v>Compound tasks and changes</x:v>
      </x:c>
      <x:c r="J2833" s="6" t="str">
        <x:v>Benchmark</x:v>
      </x:c>
      <x:c r="K2833" s="6" t="str">
        <x:v>Answer: &lt;one number&gt;</x:v>
      </x:c>
      <x:c r="L2833" s="6" t="str">
        <x:v>T02, T03, T04, T05, T07, T14</x:v>
      </x:c>
      <x:c r="M2833" s="6" t="str">
        <x:v>Collect an item from its closest containing room, then deliver it to the largest requested room.</x:v>
      </x:c>
      <x:c r="N2833" s="6" t="str">
        <x:v>{"type":"number","value":19.4,"unit":"m","relative_tolerance":0.01,"absolute_tolerance":1,"via":"resplan-120-F0-S003","target":"resplan-120-F0-S002"}</x:v>
      </x:c>
      <x:c r="O2833" s="6" t="str">
        <x:v>{"start":"resplan-120-F0-S005","asset_type":"nightstand","floor_id":"resplan-120-F0","room_type":"bedroom"}</x:v>
      </x:c>
      <x:c r="P2833" s="6" t="str">
        <x:v>Nearest pickup by route cost first. Largest target by area. Stairs allowed. README routing profile.</x:v>
      </x:c>
      <x:c r="Q2833" s="15" t="n">
        <x:v>19.4</x:v>
      </x:c>
      <x:c r="R2833" s="6" t="str">
        <x:v>m</x:v>
      </x:c>
      <x:c r="S2833" s="16" t="n">
        <x:v>0.01</x:v>
      </x:c>
      <x:c r="T2833" s="15" t="n">
        <x:v>1</x:v>
      </x:c>
      <x:c r="U2833" s="6" t="str">
        <x:v>Answer: 19.4</x:v>
      </x:c>
      <x:c r="V2833" s="6" t="str">
        <x:v>chain nearest-item, area and routing</x:v>
      </x:c>
      <x:c r="W2833" s="6" t="str">
        <x:v>Existing routing primitive. Missing full candidate search, area selection and task composition.</x:v>
      </x:c>
      <x:c r="X2833" s="6" t="str">
        <x:v>data/train/resplan-120/questions.jsonl</x:v>
      </x:c>
      <x:c r="Y2833" s="14" t="n">
        <x:v>4</x:v>
      </x:c>
      <x:c r="Z2833" s="6" t="str">
        <x:v>https://github.com/hagenhaeussler/Industrial-Agents-Hackathon-2026/blob/f41616590b69f3ea0c1cbfb41d6c35edd9ce53df/data/train/resplan-120/questions.jsonl#L4</x:v>
      </x:c>
      <x:c r="AA2833" s="6" t="str">
        <x:v>resplan</x:v>
      </x:c>
      <x:c r="AB2833" s="6" t="str">
        <x:v>CC-BY-4.0</x:v>
      </x:c>
    </x:row>
    <x:row r="2834" ht="72" customHeight="1">
      <x:c r="A2834" s="14" t="n">
        <x:v>2829</x:v>
      </x:c>
      <x:c r="B2834" s="6" t="str">
        <x:v>errand</x:v>
      </x:c>
      <x:c r="C2834" s="6" t="str">
        <x:v>I'm in Bedroom 0.04 (Ground floor). I need to grab a sink from the room that has one closest to me, then carry it to the largest bathroom on the ground floor. I can carry it on the stairs. How far will I walk in total, in metres? Finish with a line 'Answer: &lt;number&gt;'.</x:v>
      </x:c>
      <x:c r="D2834" s="6" t="str">
        <x:v>23.31 m
Pickup: Bathroom 0.07
Target: Bathroom 0.06</x:v>
      </x:c>
      <x:c r="E2834" s="6" t="str">
        <x:v>Reference supplied</x:v>
      </x:c>
      <x:c r="F2834" s="6" t="str">
        <x:v>train</x:v>
      </x:c>
      <x:c r="G2834" s="6" t="str">
        <x:v>resplan-12985</x:v>
      </x:c>
      <x:c r="H2834" s="6" t="str">
        <x:v>resplan-12985-H03</x:v>
      </x:c>
      <x:c r="I2834" s="6" t="str">
        <x:v>Compound tasks and changes</x:v>
      </x:c>
      <x:c r="J2834" s="6" t="str">
        <x:v>Benchmark</x:v>
      </x:c>
      <x:c r="K2834" s="6" t="str">
        <x:v>Answer: &lt;one number&gt;</x:v>
      </x:c>
      <x:c r="L2834" s="6" t="str">
        <x:v>T02, T03, T04, T05, T07, T14</x:v>
      </x:c>
      <x:c r="M2834" s="6" t="str">
        <x:v>Collect an item from its closest containing room, then deliver it to the largest requested room.</x:v>
      </x:c>
      <x:c r="N2834" s="6" t="str">
        <x:v>{"type":"number","value":23.31,"unit":"m","relative_tolerance":0.01,"absolute_tolerance":1,"via":"resplan-12985-F0-S007","target":"resplan-12985-F0-S006"}</x:v>
      </x:c>
      <x:c r="O2834" s="6" t="str">
        <x:v>{"start":"resplan-12985-F0-S004","asset_type":"sink","floor_id":"resplan-12985-F0","room_type":"bathroom"}</x:v>
      </x:c>
      <x:c r="P2834" s="6" t="str">
        <x:v>Nearest pickup by route cost first. Largest target by area. Stairs allowed. README routing profile.</x:v>
      </x:c>
      <x:c r="Q2834" s="15" t="n">
        <x:v>23.31</x:v>
      </x:c>
      <x:c r="R2834" s="6" t="str">
        <x:v>m</x:v>
      </x:c>
      <x:c r="S2834" s="16" t="n">
        <x:v>0.01</x:v>
      </x:c>
      <x:c r="T2834" s="15" t="n">
        <x:v>1</x:v>
      </x:c>
      <x:c r="U2834" s="6" t="str">
        <x:v>Answer: 23.31</x:v>
      </x:c>
      <x:c r="V2834" s="6" t="str">
        <x:v>chain nearest-item, area and routing</x:v>
      </x:c>
      <x:c r="W2834" s="6" t="str">
        <x:v>Existing routing primitive. Missing full candidate search, area selection and task composition.</x:v>
      </x:c>
      <x:c r="X2834" s="6" t="str">
        <x:v>data/train/resplan-12985/questions.jsonl</x:v>
      </x:c>
      <x:c r="Y2834" s="14" t="n">
        <x:v>3</x:v>
      </x:c>
      <x:c r="Z2834" s="6" t="str">
        <x:v>https://github.com/hagenhaeussler/Industrial-Agents-Hackathon-2026/blob/f41616590b69f3ea0c1cbfb41d6c35edd9ce53df/data/train/resplan-12985/questions.jsonl#L3</x:v>
      </x:c>
      <x:c r="AA2834" s="6" t="str">
        <x:v>resplan</x:v>
      </x:c>
      <x:c r="AB2834" s="6" t="str">
        <x:v>CC-BY-4.0</x:v>
      </x:c>
    </x:row>
    <x:row r="2835" ht="72" customHeight="1">
      <x:c r="A2835" s="14" t="n">
        <x:v>2830</x:v>
      </x:c>
      <x:c r="B2835" s="6" t="str">
        <x:v>errand</x:v>
      </x:c>
      <x:c r="C2835" s="6" t="str">
        <x:v>I'm in Living room 0.01 (Ground floor). I need to grab a wardrobe from the room that has one closest to me, then carry it to the largest bedroom on the ground floor. I can carry it on the stairs. How far will I walk in total, in metres? Finish with a line 'Answer: &lt;number&gt;'.</x:v>
      </x:c>
      <x:c r="D2835" s="6" t="str">
        <x:v>19.46 m
Pickup: Bedroom 0.03
Target: Bedroom 0.02</x:v>
      </x:c>
      <x:c r="E2835" s="6" t="str">
        <x:v>Reference supplied</x:v>
      </x:c>
      <x:c r="F2835" s="6" t="str">
        <x:v>train</x:v>
      </x:c>
      <x:c r="G2835" s="6" t="str">
        <x:v>resplan-13024</x:v>
      </x:c>
      <x:c r="H2835" s="6" t="str">
        <x:v>resplan-13024-H03</x:v>
      </x:c>
      <x:c r="I2835" s="6" t="str">
        <x:v>Compound tasks and changes</x:v>
      </x:c>
      <x:c r="J2835" s="6" t="str">
        <x:v>Benchmark</x:v>
      </x:c>
      <x:c r="K2835" s="6" t="str">
        <x:v>Answer: &lt;one number&gt;</x:v>
      </x:c>
      <x:c r="L2835" s="6" t="str">
        <x:v>T02, T03, T04, T05, T07, T14</x:v>
      </x:c>
      <x:c r="M2835" s="6" t="str">
        <x:v>Collect an item from its closest containing room, then deliver it to the largest requested room.</x:v>
      </x:c>
      <x:c r="N2835" s="6" t="str">
        <x:v>{"type":"number","value":19.46,"unit":"m","relative_tolerance":0.01,"absolute_tolerance":1,"via":"resplan-13024-F0-S003","target":"resplan-13024-F0-S002"}</x:v>
      </x:c>
      <x:c r="O2835" s="6" t="str">
        <x:v>{"start":"resplan-13024-F0-S001","asset_type":"wardrobe","floor_id":"resplan-13024-F0","room_type":"bedroom"}</x:v>
      </x:c>
      <x:c r="P2835" s="6" t="str">
        <x:v>Nearest pickup by route cost first. Largest target by area. Stairs allowed. README routing profile.</x:v>
      </x:c>
      <x:c r="Q2835" s="15" t="n">
        <x:v>19.46</x:v>
      </x:c>
      <x:c r="R2835" s="6" t="str">
        <x:v>m</x:v>
      </x:c>
      <x:c r="S2835" s="16" t="n">
        <x:v>0.01</x:v>
      </x:c>
      <x:c r="T2835" s="15" t="n">
        <x:v>1</x:v>
      </x:c>
      <x:c r="U2835" s="6" t="str">
        <x:v>Answer: 19.46</x:v>
      </x:c>
      <x:c r="V2835" s="6" t="str">
        <x:v>chain nearest-item, area and routing</x:v>
      </x:c>
      <x:c r="W2835" s="6" t="str">
        <x:v>Existing routing primitive. Missing full candidate search, area selection and task composition.</x:v>
      </x:c>
      <x:c r="X2835" s="6" t="str">
        <x:v>data/train/resplan-13024/questions.jsonl</x:v>
      </x:c>
      <x:c r="Y2835" s="14" t="n">
        <x:v>3</x:v>
      </x:c>
      <x:c r="Z2835" s="6" t="str">
        <x:v>https://github.com/hagenhaeussler/Industrial-Agents-Hackathon-2026/blob/f41616590b69f3ea0c1cbfb41d6c35edd9ce53df/data/train/resplan-13024/questions.jsonl#L3</x:v>
      </x:c>
      <x:c r="AA2835" s="6" t="str">
        <x:v>resplan</x:v>
      </x:c>
      <x:c r="AB2835" s="6" t="str">
        <x:v>CC-BY-4.0</x:v>
      </x:c>
    </x:row>
    <x:row r="2836" ht="72" customHeight="1">
      <x:c r="A2836" s="14" t="n">
        <x:v>2831</x:v>
      </x:c>
      <x:c r="B2836" s="6" t="str">
        <x:v>errand</x:v>
      </x:c>
      <x:c r="C2836" s="6" t="str">
        <x:v>I'm in Living room 0.01 (Ground floor). I need to grab a wardrobe from the room that has one closest to me, then carry it to the largest bedroom on the ground floor. I can carry it on the stairs. How far will I walk in total, in metres? Finish with a line 'Answer: &lt;number&gt;'.</x:v>
      </x:c>
      <x:c r="D2836" s="6" t="str">
        <x:v>26.04 m
Pickup: Bedroom 0.04
Target: Bedroom 0.02</x:v>
      </x:c>
      <x:c r="E2836" s="6" t="str">
        <x:v>Reference supplied</x:v>
      </x:c>
      <x:c r="F2836" s="6" t="str">
        <x:v>train</x:v>
      </x:c>
      <x:c r="G2836" s="6" t="str">
        <x:v>resplan-14602</x:v>
      </x:c>
      <x:c r="H2836" s="6" t="str">
        <x:v>resplan-14602-H04</x:v>
      </x:c>
      <x:c r="I2836" s="6" t="str">
        <x:v>Compound tasks and changes</x:v>
      </x:c>
      <x:c r="J2836" s="6" t="str">
        <x:v>Benchmark</x:v>
      </x:c>
      <x:c r="K2836" s="6" t="str">
        <x:v>Answer: &lt;one number&gt;</x:v>
      </x:c>
      <x:c r="L2836" s="6" t="str">
        <x:v>T02, T03, T04, T05, T07, T14</x:v>
      </x:c>
      <x:c r="M2836" s="6" t="str">
        <x:v>Collect an item from its closest containing room, then deliver it to the largest requested room.</x:v>
      </x:c>
      <x:c r="N2836" s="6" t="str">
        <x:v>{"type":"number","value":26.04,"unit":"m","relative_tolerance":0.01,"absolute_tolerance":1,"via":"resplan-14602-F0-S004","target":"resplan-14602-F0-S002"}</x:v>
      </x:c>
      <x:c r="O2836" s="6" t="str">
        <x:v>{"start":"resplan-14602-F0-S001","asset_type":"wardrobe","floor_id":"resplan-14602-F0","room_type":"bedroom"}</x:v>
      </x:c>
      <x:c r="P2836" s="6" t="str">
        <x:v>Nearest pickup by route cost first. Largest target by area. Stairs allowed. README routing profile.</x:v>
      </x:c>
      <x:c r="Q2836" s="15" t="n">
        <x:v>26.04</x:v>
      </x:c>
      <x:c r="R2836" s="6" t="str">
        <x:v>m</x:v>
      </x:c>
      <x:c r="S2836" s="16" t="n">
        <x:v>0.01</x:v>
      </x:c>
      <x:c r="T2836" s="15" t="n">
        <x:v>1</x:v>
      </x:c>
      <x:c r="U2836" s="6" t="str">
        <x:v>Answer: 26.04</x:v>
      </x:c>
      <x:c r="V2836" s="6" t="str">
        <x:v>chain nearest-item, area and routing</x:v>
      </x:c>
      <x:c r="W2836" s="6" t="str">
        <x:v>Existing routing primitive. Missing full candidate search, area selection and task composition.</x:v>
      </x:c>
      <x:c r="X2836" s="6" t="str">
        <x:v>data/train/resplan-14602/questions.jsonl</x:v>
      </x:c>
      <x:c r="Y2836" s="14" t="n">
        <x:v>4</x:v>
      </x:c>
      <x:c r="Z2836" s="6" t="str">
        <x:v>https://github.com/hagenhaeussler/Industrial-Agents-Hackathon-2026/blob/f41616590b69f3ea0c1cbfb41d6c35edd9ce53df/data/train/resplan-14602/questions.jsonl#L4</x:v>
      </x:c>
      <x:c r="AA2836" s="6" t="str">
        <x:v>resplan</x:v>
      </x:c>
      <x:c r="AB2836" s="6" t="str">
        <x:v>CC-BY-4.0</x:v>
      </x:c>
    </x:row>
    <x:row r="2837" ht="72" customHeight="1">
      <x:c r="A2837" s="14" t="n">
        <x:v>2832</x:v>
      </x:c>
      <x:c r="B2837" s="6" t="str">
        <x:v>errand</x:v>
      </x:c>
      <x:c r="C2837" s="6" t="str">
        <x:v>I'm in Living room 0.01 (Ground floor). I need to grab a toilet from the room that has one closest to me, then carry it to the largest bathroom on the ground floor. I can carry it on the stairs. How far will I walk in total, in metres? Finish with a line 'Answer: &lt;number&gt;'.</x:v>
      </x:c>
      <x:c r="D2837" s="6" t="str">
        <x:v>25.21 m
Pickup: Bathroom 0.06
Target: Bathroom 0.05</x:v>
      </x:c>
      <x:c r="E2837" s="6" t="str">
        <x:v>Reference supplied</x:v>
      </x:c>
      <x:c r="F2837" s="6" t="str">
        <x:v>train</x:v>
      </x:c>
      <x:c r="G2837" s="6" t="str">
        <x:v>resplan-16484</x:v>
      </x:c>
      <x:c r="H2837" s="6" t="str">
        <x:v>resplan-16484-H04</x:v>
      </x:c>
      <x:c r="I2837" s="6" t="str">
        <x:v>Compound tasks and changes</x:v>
      </x:c>
      <x:c r="J2837" s="6" t="str">
        <x:v>Benchmark</x:v>
      </x:c>
      <x:c r="K2837" s="6" t="str">
        <x:v>Answer: &lt;one number&gt;</x:v>
      </x:c>
      <x:c r="L2837" s="6" t="str">
        <x:v>T02, T03, T04, T05, T07, T14</x:v>
      </x:c>
      <x:c r="M2837" s="6" t="str">
        <x:v>Collect an item from its closest containing room, then deliver it to the largest requested room.</x:v>
      </x:c>
      <x:c r="N2837" s="6" t="str">
        <x:v>{"type":"number","value":25.21,"unit":"m","relative_tolerance":0.01,"absolute_tolerance":1,"via":"resplan-16484-F0-S006","target":"resplan-16484-F0-S005"}</x:v>
      </x:c>
      <x:c r="O2837" s="6" t="str">
        <x:v>{"start":"resplan-16484-F0-S001","asset_type":"toilet","floor_id":"resplan-16484-F0","room_type":"bathroom"}</x:v>
      </x:c>
      <x:c r="P2837" s="6" t="str">
        <x:v>Nearest pickup by route cost first. Largest target by area. Stairs allowed. README routing profile.</x:v>
      </x:c>
      <x:c r="Q2837" s="15" t="n">
        <x:v>25.21</x:v>
      </x:c>
      <x:c r="R2837" s="6" t="str">
        <x:v>m</x:v>
      </x:c>
      <x:c r="S2837" s="16" t="n">
        <x:v>0.01</x:v>
      </x:c>
      <x:c r="T2837" s="15" t="n">
        <x:v>1</x:v>
      </x:c>
      <x:c r="U2837" s="6" t="str">
        <x:v>Answer: 25.21</x:v>
      </x:c>
      <x:c r="V2837" s="6" t="str">
        <x:v>chain nearest-item, area and routing</x:v>
      </x:c>
      <x:c r="W2837" s="6" t="str">
        <x:v>Existing routing primitive. Missing full candidate search, area selection and task composition.</x:v>
      </x:c>
      <x:c r="X2837" s="6" t="str">
        <x:v>data/train/resplan-16484/questions.jsonl</x:v>
      </x:c>
      <x:c r="Y2837" s="14" t="n">
        <x:v>4</x:v>
      </x:c>
      <x:c r="Z2837" s="6" t="str">
        <x:v>https://github.com/hagenhaeussler/Industrial-Agents-Hackathon-2026/blob/f41616590b69f3ea0c1cbfb41d6c35edd9ce53df/data/train/resplan-16484/questions.jsonl#L4</x:v>
      </x:c>
      <x:c r="AA2837" s="6" t="str">
        <x:v>resplan</x:v>
      </x:c>
      <x:c r="AB2837" s="6" t="str">
        <x:v>CC-BY-4.0</x:v>
      </x:c>
    </x:row>
    <x:row r="2838" ht="72" customHeight="1">
      <x:c r="A2838" s="14" t="n">
        <x:v>2833</x:v>
      </x:c>
      <x:c r="B2838" s="6" t="str">
        <x:v>errand</x:v>
      </x:c>
      <x:c r="C2838" s="6" t="str">
        <x:v>I'm in Living room 0.01 (Ground floor). I need to grab a toilet from the room that has one closest to me, then carry it to the largest bathroom on the ground floor. I can carry it on the stairs. How far will I walk in total, in metres? Finish with a line 'Answer: &lt;number&gt;'.</x:v>
      </x:c>
      <x:c r="D2838" s="6" t="str">
        <x:v>17 m
Pickup: Bathroom 0.06
Target: Bathroom 0.04</x:v>
      </x:c>
      <x:c r="E2838" s="6" t="str">
        <x:v>Reference supplied</x:v>
      </x:c>
      <x:c r="F2838" s="6" t="str">
        <x:v>train</x:v>
      </x:c>
      <x:c r="G2838" s="6" t="str">
        <x:v>resplan-2515</x:v>
      </x:c>
      <x:c r="H2838" s="6" t="str">
        <x:v>resplan-2515-H03</x:v>
      </x:c>
      <x:c r="I2838" s="6" t="str">
        <x:v>Compound tasks and changes</x:v>
      </x:c>
      <x:c r="J2838" s="6" t="str">
        <x:v>Benchmark</x:v>
      </x:c>
      <x:c r="K2838" s="6" t="str">
        <x:v>Answer: &lt;one number&gt;</x:v>
      </x:c>
      <x:c r="L2838" s="6" t="str">
        <x:v>T02, T03, T04, T05, T07, T14</x:v>
      </x:c>
      <x:c r="M2838" s="6" t="str">
        <x:v>Collect an item from its closest containing room, then deliver it to the largest requested room.</x:v>
      </x:c>
      <x:c r="N2838" s="6" t="str">
        <x:v>{"type":"number","value":17,"unit":"m","relative_tolerance":0.01,"absolute_tolerance":1,"via":"resplan-2515-F0-S006","target":"resplan-2515-F0-S004"}</x:v>
      </x:c>
      <x:c r="O2838" s="6" t="str">
        <x:v>{"start":"resplan-2515-F0-S001","asset_type":"toilet","floor_id":"resplan-2515-F0","room_type":"bathroom"}</x:v>
      </x:c>
      <x:c r="P2838" s="6" t="str">
        <x:v>Nearest pickup by route cost first. Largest target by area. Stairs allowed. README routing profile.</x:v>
      </x:c>
      <x:c r="Q2838" s="15" t="n">
        <x:v>17</x:v>
      </x:c>
      <x:c r="R2838" s="6" t="str">
        <x:v>m</x:v>
      </x:c>
      <x:c r="S2838" s="16" t="n">
        <x:v>0.01</x:v>
      </x:c>
      <x:c r="T2838" s="15" t="n">
        <x:v>1</x:v>
      </x:c>
      <x:c r="U2838" s="6" t="str">
        <x:v>Answer: 17</x:v>
      </x:c>
      <x:c r="V2838" s="6" t="str">
        <x:v>chain nearest-item, area and routing</x:v>
      </x:c>
      <x:c r="W2838" s="6" t="str">
        <x:v>Existing routing primitive. Missing full candidate search, area selection and task composition.</x:v>
      </x:c>
      <x:c r="X2838" s="6" t="str">
        <x:v>data/train/resplan-2515/questions.jsonl</x:v>
      </x:c>
      <x:c r="Y2838" s="14" t="n">
        <x:v>3</x:v>
      </x:c>
      <x:c r="Z2838" s="6" t="str">
        <x:v>https://github.com/hagenhaeussler/Industrial-Agents-Hackathon-2026/blob/f41616590b69f3ea0c1cbfb41d6c35edd9ce53df/data/train/resplan-2515/questions.jsonl#L3</x:v>
      </x:c>
      <x:c r="AA2838" s="6" t="str">
        <x:v>resplan</x:v>
      </x:c>
      <x:c r="AB2838" s="6" t="str">
        <x:v>CC-BY-4.0</x:v>
      </x:c>
    </x:row>
    <x:row r="2839" ht="72" customHeight="1">
      <x:c r="A2839" s="14" t="n">
        <x:v>2834</x:v>
      </x:c>
      <x:c r="B2839" s="6" t="str">
        <x:v>errand</x:v>
      </x:c>
      <x:c r="C2839" s="6" t="str">
        <x:v>I'm in Bedroom 0.05 (Ground floor). I need to grab a sink from the room that has one closest to me, then carry it to the largest bathroom on the ground floor. I can carry it on the stairs. How far will I walk in total, in metres? Finish with a line 'Answer: &lt;number&gt;'.</x:v>
      </x:c>
      <x:c r="D2839" s="6" t="str">
        <x:v>19.74 m
Pickup: Bathroom 0.06
Target: Bathroom 0.07</x:v>
      </x:c>
      <x:c r="E2839" s="6" t="str">
        <x:v>Reference supplied</x:v>
      </x:c>
      <x:c r="F2839" s="6" t="str">
        <x:v>train</x:v>
      </x:c>
      <x:c r="G2839" s="6" t="str">
        <x:v>resplan-3221</x:v>
      </x:c>
      <x:c r="H2839" s="6" t="str">
        <x:v>resplan-3221-H03</x:v>
      </x:c>
      <x:c r="I2839" s="6" t="str">
        <x:v>Compound tasks and changes</x:v>
      </x:c>
      <x:c r="J2839" s="6" t="str">
        <x:v>Benchmark</x:v>
      </x:c>
      <x:c r="K2839" s="6" t="str">
        <x:v>Answer: &lt;one number&gt;</x:v>
      </x:c>
      <x:c r="L2839" s="6" t="str">
        <x:v>T02, T03, T04, T05, T07, T14</x:v>
      </x:c>
      <x:c r="M2839" s="6" t="str">
        <x:v>Collect an item from its closest containing room, then deliver it to the largest requested room.</x:v>
      </x:c>
      <x:c r="N2839" s="6" t="str">
        <x:v>{"type":"number","value":19.74,"unit":"m","relative_tolerance":0.01,"absolute_tolerance":1,"via":"resplan-3221-F0-S006","target":"resplan-3221-F0-S007"}</x:v>
      </x:c>
      <x:c r="O2839" s="6" t="str">
        <x:v>{"start":"resplan-3221-F0-S005","asset_type":"sink","floor_id":"resplan-3221-F0","room_type":"bathroom"}</x:v>
      </x:c>
      <x:c r="P2839" s="6" t="str">
        <x:v>Nearest pickup by route cost first. Largest target by area. Stairs allowed. README routing profile.</x:v>
      </x:c>
      <x:c r="Q2839" s="15" t="n">
        <x:v>19.74</x:v>
      </x:c>
      <x:c r="R2839" s="6" t="str">
        <x:v>m</x:v>
      </x:c>
      <x:c r="S2839" s="16" t="n">
        <x:v>0.01</x:v>
      </x:c>
      <x:c r="T2839" s="15" t="n">
        <x:v>1</x:v>
      </x:c>
      <x:c r="U2839" s="6" t="str">
        <x:v>Answer: 19.74</x:v>
      </x:c>
      <x:c r="V2839" s="6" t="str">
        <x:v>chain nearest-item, area and routing</x:v>
      </x:c>
      <x:c r="W2839" s="6" t="str">
        <x:v>Existing routing primitive. Missing full candidate search, area selection and task composition.</x:v>
      </x:c>
      <x:c r="X2839" s="6" t="str">
        <x:v>data/train/resplan-3221/questions.jsonl</x:v>
      </x:c>
      <x:c r="Y2839" s="14" t="n">
        <x:v>3</x:v>
      </x:c>
      <x:c r="Z2839" s="6" t="str">
        <x:v>https://github.com/hagenhaeussler/Industrial-Agents-Hackathon-2026/blob/f41616590b69f3ea0c1cbfb41d6c35edd9ce53df/data/train/resplan-3221/questions.jsonl#L3</x:v>
      </x:c>
      <x:c r="AA2839" s="6" t="str">
        <x:v>resplan</x:v>
      </x:c>
      <x:c r="AB2839" s="6" t="str">
        <x:v>CC-BY-4.0</x:v>
      </x:c>
    </x:row>
    <x:row r="2840" ht="72" customHeight="1">
      <x:c r="A2840" s="14" t="n">
        <x:v>2835</x:v>
      </x:c>
      <x:c r="B2840" s="6" t="str">
        <x:v>errand</x:v>
      </x:c>
      <x:c r="C2840" s="6" t="str">
        <x:v>I'm in Bathroom 0.05 (Ground floor). I need to grab a wardrobe from the room that has one closest to me, then carry it to the largest bedroom on the ground floor. I can carry it on the stairs. How far will I walk in total, in metres? Finish with a line 'Answer: &lt;number&gt;'.</x:v>
      </x:c>
      <x:c r="D2840" s="6" t="str">
        <x:v>14.18 m
Pickup: Bedroom 0.04
Target: Bedroom 0.02</x:v>
      </x:c>
      <x:c r="E2840" s="6" t="str">
        <x:v>Reference supplied</x:v>
      </x:c>
      <x:c r="F2840" s="6" t="str">
        <x:v>train</x:v>
      </x:c>
      <x:c r="G2840" s="6" t="str">
        <x:v>resplan-4453</x:v>
      </x:c>
      <x:c r="H2840" s="6" t="str">
        <x:v>resplan-4453-H03</x:v>
      </x:c>
      <x:c r="I2840" s="6" t="str">
        <x:v>Compound tasks and changes</x:v>
      </x:c>
      <x:c r="J2840" s="6" t="str">
        <x:v>Benchmark</x:v>
      </x:c>
      <x:c r="K2840" s="6" t="str">
        <x:v>Answer: &lt;one number&gt;</x:v>
      </x:c>
      <x:c r="L2840" s="6" t="str">
        <x:v>T02, T03, T04, T05, T07, T14</x:v>
      </x:c>
      <x:c r="M2840" s="6" t="str">
        <x:v>Collect an item from its closest containing room, then deliver it to the largest requested room.</x:v>
      </x:c>
      <x:c r="N2840" s="6" t="str">
        <x:v>{"type":"number","value":14.18,"unit":"m","relative_tolerance":0.01,"absolute_tolerance":1,"via":"resplan-4453-F0-S004","target":"resplan-4453-F0-S002"}</x:v>
      </x:c>
      <x:c r="O2840" s="6" t="str">
        <x:v>{"start":"resplan-4453-F0-S005","asset_type":"wardrobe","floor_id":"resplan-4453-F0","room_type":"bedroom"}</x:v>
      </x:c>
      <x:c r="P2840" s="6" t="str">
        <x:v>Nearest pickup by route cost first. Largest target by area. Stairs allowed. README routing profile.</x:v>
      </x:c>
      <x:c r="Q2840" s="15" t="n">
        <x:v>14.18</x:v>
      </x:c>
      <x:c r="R2840" s="6" t="str">
        <x:v>m</x:v>
      </x:c>
      <x:c r="S2840" s="16" t="n">
        <x:v>0.01</x:v>
      </x:c>
      <x:c r="T2840" s="15" t="n">
        <x:v>1</x:v>
      </x:c>
      <x:c r="U2840" s="6" t="str">
        <x:v>Answer: 14.18</x:v>
      </x:c>
      <x:c r="V2840" s="6" t="str">
        <x:v>chain nearest-item, area and routing</x:v>
      </x:c>
      <x:c r="W2840" s="6" t="str">
        <x:v>Existing routing primitive. Missing full candidate search, area selection and task composition.</x:v>
      </x:c>
      <x:c r="X2840" s="6" t="str">
        <x:v>data/train/resplan-4453/questions.jsonl</x:v>
      </x:c>
      <x:c r="Y2840" s="14" t="n">
        <x:v>3</x:v>
      </x:c>
      <x:c r="Z2840" s="6" t="str">
        <x:v>https://github.com/hagenhaeussler/Industrial-Agents-Hackathon-2026/blob/f41616590b69f3ea0c1cbfb41d6c35edd9ce53df/data/train/resplan-4453/questions.jsonl#L3</x:v>
      </x:c>
      <x:c r="AA2840" s="6" t="str">
        <x:v>resplan</x:v>
      </x:c>
      <x:c r="AB2840" s="6" t="str">
        <x:v>CC-BY-4.0</x:v>
      </x:c>
    </x:row>
    <x:row r="2841" ht="72" customHeight="1">
      <x:c r="A2841" s="14" t="n">
        <x:v>2836</x:v>
      </x:c>
      <x:c r="B2841" s="6" t="str">
        <x:v>errand</x:v>
      </x:c>
      <x:c r="C2841" s="6" t="str">
        <x:v>I'm in Bedroom 0.05 (Ground floor). I need to grab a sink from the room that has one closest to me, then carry it to the largest bedroom on the ground floor. I can carry it on the stairs. How far will I walk in total, in metres? Finish with a line 'Answer: &lt;number&gt;'.</x:v>
      </x:c>
      <x:c r="D2841" s="6" t="str">
        <x:v>35.41 m
Pickup: Bathroom 0.06
Target: Bedroom 0.03</x:v>
      </x:c>
      <x:c r="E2841" s="6" t="str">
        <x:v>Reference supplied</x:v>
      </x:c>
      <x:c r="F2841" s="6" t="str">
        <x:v>train</x:v>
      </x:c>
      <x:c r="G2841" s="6" t="str">
        <x:v>resplan-47</x:v>
      </x:c>
      <x:c r="H2841" s="6" t="str">
        <x:v>resplan-47-H03</x:v>
      </x:c>
      <x:c r="I2841" s="6" t="str">
        <x:v>Compound tasks and changes</x:v>
      </x:c>
      <x:c r="J2841" s="6" t="str">
        <x:v>Benchmark</x:v>
      </x:c>
      <x:c r="K2841" s="6" t="str">
        <x:v>Answer: &lt;one number&gt;</x:v>
      </x:c>
      <x:c r="L2841" s="6" t="str">
        <x:v>T02, T03, T04, T05, T07, T14</x:v>
      </x:c>
      <x:c r="M2841" s="6" t="str">
        <x:v>Collect an item from its closest containing room, then deliver it to the largest requested room.</x:v>
      </x:c>
      <x:c r="N2841" s="6" t="str">
        <x:v>{"type":"number","value":35.41,"unit":"m","relative_tolerance":0.01,"absolute_tolerance":1,"via":"resplan-47-F0-S006","target":"resplan-47-F0-S003"}</x:v>
      </x:c>
      <x:c r="O2841" s="6" t="str">
        <x:v>{"start":"resplan-47-F0-S005","asset_type":"sink","floor_id":"resplan-47-F0","room_type":"bedroom"}</x:v>
      </x:c>
      <x:c r="P2841" s="6" t="str">
        <x:v>Nearest pickup by route cost first. Largest target by area. Stairs allowed. README routing profile.</x:v>
      </x:c>
      <x:c r="Q2841" s="15" t="n">
        <x:v>35.41</x:v>
      </x:c>
      <x:c r="R2841" s="6" t="str">
        <x:v>m</x:v>
      </x:c>
      <x:c r="S2841" s="16" t="n">
        <x:v>0.01</x:v>
      </x:c>
      <x:c r="T2841" s="15" t="n">
        <x:v>1</x:v>
      </x:c>
      <x:c r="U2841" s="6" t="str">
        <x:v>Answer: 35.41</x:v>
      </x:c>
      <x:c r="V2841" s="6" t="str">
        <x:v>chain nearest-item, area and routing</x:v>
      </x:c>
      <x:c r="W2841" s="6" t="str">
        <x:v>Existing routing primitive. Missing full candidate search, area selection and task composition.</x:v>
      </x:c>
      <x:c r="X2841" s="6" t="str">
        <x:v>data/train/resplan-47/questions.jsonl</x:v>
      </x:c>
      <x:c r="Y2841" s="14" t="n">
        <x:v>3</x:v>
      </x:c>
      <x:c r="Z2841" s="6" t="str">
        <x:v>https://github.com/hagenhaeussler/Industrial-Agents-Hackathon-2026/blob/f41616590b69f3ea0c1cbfb41d6c35edd9ce53df/data/train/resplan-47/questions.jsonl#L3</x:v>
      </x:c>
      <x:c r="AA2841" s="6" t="str">
        <x:v>resplan</x:v>
      </x:c>
      <x:c r="AB2841" s="6" t="str">
        <x:v>CC-BY-4.0</x:v>
      </x:c>
    </x:row>
    <x:row r="2842" ht="72" customHeight="1">
      <x:c r="A2842" s="14" t="n">
        <x:v>2837</x:v>
      </x:c>
      <x:c r="B2842" s="6" t="str">
        <x:v>errand</x:v>
      </x:c>
      <x:c r="C2842" s="6" t="str">
        <x:v>I'm in Bedroom 0.04 (Ground floor). I need to grab a toilet from the room that has one closest to me, then carry it to the largest bathroom on the ground floor. I can carry it on the stairs. How far will I walk in total, in metres? Finish with a line 'Answer: &lt;number&gt;'.</x:v>
      </x:c>
      <x:c r="D2842" s="6" t="str">
        <x:v>24.65 m
Pickup: Bathroom 0.05
Target: Bathroom 0.06</x:v>
      </x:c>
      <x:c r="E2842" s="6" t="str">
        <x:v>Reference supplied</x:v>
      </x:c>
      <x:c r="F2842" s="6" t="str">
        <x:v>train</x:v>
      </x:c>
      <x:c r="G2842" s="6" t="str">
        <x:v>resplan-6994</x:v>
      </x:c>
      <x:c r="H2842" s="6" t="str">
        <x:v>resplan-6994-H03</x:v>
      </x:c>
      <x:c r="I2842" s="6" t="str">
        <x:v>Compound tasks and changes</x:v>
      </x:c>
      <x:c r="J2842" s="6" t="str">
        <x:v>Benchmark</x:v>
      </x:c>
      <x:c r="K2842" s="6" t="str">
        <x:v>Answer: &lt;one number&gt;</x:v>
      </x:c>
      <x:c r="L2842" s="6" t="str">
        <x:v>T02, T03, T04, T05, T07, T14</x:v>
      </x:c>
      <x:c r="M2842" s="6" t="str">
        <x:v>Collect an item from its closest containing room, then deliver it to the largest requested room.</x:v>
      </x:c>
      <x:c r="N2842" s="6" t="str">
        <x:v>{"type":"number","value":24.65,"unit":"m","relative_tolerance":0.01,"absolute_tolerance":1,"via":"resplan-6994-F0-S005","target":"resplan-6994-F0-S006"}</x:v>
      </x:c>
      <x:c r="O2842" s="6" t="str">
        <x:v>{"start":"resplan-6994-F0-S004","asset_type":"toilet","floor_id":"resplan-6994-F0","room_type":"bathroom"}</x:v>
      </x:c>
      <x:c r="P2842" s="6" t="str">
        <x:v>Nearest pickup by route cost first. Largest target by area. Stairs allowed. README routing profile.</x:v>
      </x:c>
      <x:c r="Q2842" s="15" t="n">
        <x:v>24.65</x:v>
      </x:c>
      <x:c r="R2842" s="6" t="str">
        <x:v>m</x:v>
      </x:c>
      <x:c r="S2842" s="16" t="n">
        <x:v>0.01</x:v>
      </x:c>
      <x:c r="T2842" s="15" t="n">
        <x:v>1</x:v>
      </x:c>
      <x:c r="U2842" s="6" t="str">
        <x:v>Answer: 24.65</x:v>
      </x:c>
      <x:c r="V2842" s="6" t="str">
        <x:v>chain nearest-item, area and routing</x:v>
      </x:c>
      <x:c r="W2842" s="6" t="str">
        <x:v>Existing routing primitive. Missing full candidate search, area selection and task composition.</x:v>
      </x:c>
      <x:c r="X2842" s="6" t="str">
        <x:v>data/train/resplan-6994/questions.jsonl</x:v>
      </x:c>
      <x:c r="Y2842" s="14" t="n">
        <x:v>3</x:v>
      </x:c>
      <x:c r="Z2842" s="6" t="str">
        <x:v>https://github.com/hagenhaeussler/Industrial-Agents-Hackathon-2026/blob/f41616590b69f3ea0c1cbfb41d6c35edd9ce53df/data/train/resplan-6994/questions.jsonl#L3</x:v>
      </x:c>
      <x:c r="AA2842" s="6" t="str">
        <x:v>resplan</x:v>
      </x:c>
      <x:c r="AB2842" s="6" t="str">
        <x:v>CC-BY-4.0</x:v>
      </x:c>
    </x:row>
    <x:row r="2843" ht="72" customHeight="1">
      <x:c r="A2843" s="14" t="n">
        <x:v>2838</x:v>
      </x:c>
      <x:c r="B2843" s="6" t="str">
        <x:v>errand</x:v>
      </x:c>
      <x:c r="C2843" s="6" t="str">
        <x:v>I'm in Kitchen 0.08 (Ground floor). I need to grab a sink from the room that has one closest to me, then carry it to the largest bathroom on the ground floor. I can carry it on the stairs. How far will I walk in total, in metres? Finish with a line 'Answer: &lt;number&gt;'.</x:v>
      </x:c>
      <x:c r="D2843" s="6" t="str">
        <x:v>25.29 m
Pickup: Bathroom 0.07
Target: Bathroom 0.06</x:v>
      </x:c>
      <x:c r="E2843" s="6" t="str">
        <x:v>Reference supplied</x:v>
      </x:c>
      <x:c r="F2843" s="6" t="str">
        <x:v>train</x:v>
      </x:c>
      <x:c r="G2843" s="6" t="str">
        <x:v>resplan-8174</x:v>
      </x:c>
      <x:c r="H2843" s="6" t="str">
        <x:v>resplan-8174-H03</x:v>
      </x:c>
      <x:c r="I2843" s="6" t="str">
        <x:v>Compound tasks and changes</x:v>
      </x:c>
      <x:c r="J2843" s="6" t="str">
        <x:v>Benchmark</x:v>
      </x:c>
      <x:c r="K2843" s="6" t="str">
        <x:v>Answer: &lt;one number&gt;</x:v>
      </x:c>
      <x:c r="L2843" s="6" t="str">
        <x:v>T02, T03, T04, T05, T07, T14</x:v>
      </x:c>
      <x:c r="M2843" s="6" t="str">
        <x:v>Collect an item from its closest containing room, then deliver it to the largest requested room.</x:v>
      </x:c>
      <x:c r="N2843" s="6" t="str">
        <x:v>{"type":"number","value":25.29,"unit":"m","relative_tolerance":0.01,"absolute_tolerance":1,"via":"resplan-8174-F0-S007","target":"resplan-8174-F0-S006"}</x:v>
      </x:c>
      <x:c r="O2843" s="6" t="str">
        <x:v>{"start":"resplan-8174-F0-S008","asset_type":"sink","floor_id":"resplan-8174-F0","room_type":"bathroom"}</x:v>
      </x:c>
      <x:c r="P2843" s="6" t="str">
        <x:v>Nearest pickup by route cost first. Largest target by area. Stairs allowed. README routing profile.</x:v>
      </x:c>
      <x:c r="Q2843" s="15" t="n">
        <x:v>25.29</x:v>
      </x:c>
      <x:c r="R2843" s="6" t="str">
        <x:v>m</x:v>
      </x:c>
      <x:c r="S2843" s="16" t="n">
        <x:v>0.01</x:v>
      </x:c>
      <x:c r="T2843" s="15" t="n">
        <x:v>1</x:v>
      </x:c>
      <x:c r="U2843" s="6" t="str">
        <x:v>Answer: 25.29</x:v>
      </x:c>
      <x:c r="V2843" s="6" t="str">
        <x:v>chain nearest-item, area and routing</x:v>
      </x:c>
      <x:c r="W2843" s="6" t="str">
        <x:v>Existing routing primitive. Missing full candidate search, area selection and task composition.</x:v>
      </x:c>
      <x:c r="X2843" s="6" t="str">
        <x:v>data/train/resplan-8174/questions.jsonl</x:v>
      </x:c>
      <x:c r="Y2843" s="14" t="n">
        <x:v>3</x:v>
      </x:c>
      <x:c r="Z2843" s="6" t="str">
        <x:v>https://github.com/hagenhaeussler/Industrial-Agents-Hackathon-2026/blob/f41616590b69f3ea0c1cbfb41d6c35edd9ce53df/data/train/resplan-8174/questions.jsonl#L3</x:v>
      </x:c>
      <x:c r="AA2843" s="6" t="str">
        <x:v>resplan</x:v>
      </x:c>
      <x:c r="AB2843" s="6" t="str">
        <x:v>CC-BY-4.0</x:v>
      </x:c>
    </x:row>
    <x:row r="2844" ht="72" customHeight="1">
      <x:c r="A2844" s="14" t="n">
        <x:v>2839</x:v>
      </x:c>
      <x:c r="B2844" s="6" t="str">
        <x:v>errand</x:v>
      </x:c>
      <x:c r="C2844" s="6" t="str">
        <x:v>I'm in Bedroom 0.04 (Ground floor). I need to grab a toilet from the room that has one closest to me, then carry it to the largest bedroom on the ground floor. I can carry it on the stairs. How far will I walk in total, in metres? Finish with a line 'Answer: &lt;number&gt;'.</x:v>
      </x:c>
      <x:c r="D2844" s="6" t="str">
        <x:v>34.2 m
Pickup: Bathroom 0.07
Target: Bedroom 0.02</x:v>
      </x:c>
      <x:c r="E2844" s="6" t="str">
        <x:v>Reference supplied</x:v>
      </x:c>
      <x:c r="F2844" s="6" t="str">
        <x:v>train</x:v>
      </x:c>
      <x:c r="G2844" s="6" t="str">
        <x:v>resplan-8565</x:v>
      </x:c>
      <x:c r="H2844" s="6" t="str">
        <x:v>resplan-8565-H04</x:v>
      </x:c>
      <x:c r="I2844" s="6" t="str">
        <x:v>Compound tasks and changes</x:v>
      </x:c>
      <x:c r="J2844" s="6" t="str">
        <x:v>Benchmark</x:v>
      </x:c>
      <x:c r="K2844" s="6" t="str">
        <x:v>Answer: &lt;one number&gt;</x:v>
      </x:c>
      <x:c r="L2844" s="6" t="str">
        <x:v>T02, T03, T04, T05, T07, T14</x:v>
      </x:c>
      <x:c r="M2844" s="6" t="str">
        <x:v>Collect an item from its closest containing room, then deliver it to the largest requested room.</x:v>
      </x:c>
      <x:c r="N2844" s="6" t="str">
        <x:v>{"type":"number","value":34.2,"unit":"m","relative_tolerance":0.01,"absolute_tolerance":1,"via":"resplan-8565-F0-S007","target":"resplan-8565-F0-S002"}</x:v>
      </x:c>
      <x:c r="O2844" s="6" t="str">
        <x:v>{"start":"resplan-8565-F0-S004","asset_type":"toilet","floor_id":"resplan-8565-F0","room_type":"bedroom"}</x:v>
      </x:c>
      <x:c r="P2844" s="6" t="str">
        <x:v>Nearest pickup by route cost first. Largest target by area. Stairs allowed. README routing profile.</x:v>
      </x:c>
      <x:c r="Q2844" s="15" t="n">
        <x:v>34.2</x:v>
      </x:c>
      <x:c r="R2844" s="6" t="str">
        <x:v>m</x:v>
      </x:c>
      <x:c r="S2844" s="16" t="n">
        <x:v>0.01</x:v>
      </x:c>
      <x:c r="T2844" s="15" t="n">
        <x:v>1</x:v>
      </x:c>
      <x:c r="U2844" s="6" t="str">
        <x:v>Answer: 34.2</x:v>
      </x:c>
      <x:c r="V2844" s="6" t="str">
        <x:v>chain nearest-item, area and routing</x:v>
      </x:c>
      <x:c r="W2844" s="6" t="str">
        <x:v>Existing routing primitive. Missing full candidate search, area selection and task composition.</x:v>
      </x:c>
      <x:c r="X2844" s="6" t="str">
        <x:v>data/train/resplan-8565/questions.jsonl</x:v>
      </x:c>
      <x:c r="Y2844" s="14" t="n">
        <x:v>4</x:v>
      </x:c>
      <x:c r="Z2844" s="6" t="str">
        <x:v>https://github.com/hagenhaeussler/Industrial-Agents-Hackathon-2026/blob/f41616590b69f3ea0c1cbfb41d6c35edd9ce53df/data/train/resplan-8565/questions.jsonl#L4</x:v>
      </x:c>
      <x:c r="AA2844" s="6" t="str">
        <x:v>resplan</x:v>
      </x:c>
      <x:c r="AB2844" s="6" t="str">
        <x:v>CC-BY-4.0</x:v>
      </x:c>
    </x:row>
    <x:row r="2845" ht="72" customHeight="1">
      <x:c r="A2845" s="14" t="n">
        <x:v>2840</x:v>
      </x:c>
      <x:c r="B2845" s="6" t="str">
        <x:v>errand</x:v>
      </x:c>
      <x:c r="C2845" s="6" t="str">
        <x:v>I'm in Kitchen 0.09 (Ground floor). I need to grab a toilet from the room that has one closest to me, then carry it to the largest bedroom on the ground floor. I can carry it on the stairs. How far will I walk in total, in metres? Finish with a line 'Answer: &lt;number&gt;'.</x:v>
      </x:c>
      <x:c r="D2845" s="6" t="str">
        <x:v>26.04 m
Pickup: Bathroom 0.05
Target: Bedroom 0.03</x:v>
      </x:c>
      <x:c r="E2845" s="6" t="str">
        <x:v>Reference supplied</x:v>
      </x:c>
      <x:c r="F2845" s="6" t="str">
        <x:v>train</x:v>
      </x:c>
      <x:c r="G2845" s="6" t="str">
        <x:v>resplan-9082</x:v>
      </x:c>
      <x:c r="H2845" s="6" t="str">
        <x:v>resplan-9082-H04</x:v>
      </x:c>
      <x:c r="I2845" s="6" t="str">
        <x:v>Compound tasks and changes</x:v>
      </x:c>
      <x:c r="J2845" s="6" t="str">
        <x:v>Benchmark</x:v>
      </x:c>
      <x:c r="K2845" s="6" t="str">
        <x:v>Answer: &lt;one number&gt;</x:v>
      </x:c>
      <x:c r="L2845" s="6" t="str">
        <x:v>T02, T03, T04, T05, T07, T14</x:v>
      </x:c>
      <x:c r="M2845" s="6" t="str">
        <x:v>Collect an item from its closest containing room, then deliver it to the largest requested room.</x:v>
      </x:c>
      <x:c r="N2845" s="6" t="str">
        <x:v>{"type":"number","value":26.04,"unit":"m","relative_tolerance":0.01,"absolute_tolerance":1,"via":"resplan-9082-F0-S005","target":"resplan-9082-F0-S003"}</x:v>
      </x:c>
      <x:c r="O2845" s="6" t="str">
        <x:v>{"start":"resplan-9082-F0-S009","asset_type":"toilet","floor_id":"resplan-9082-F0","room_type":"bedroom"}</x:v>
      </x:c>
      <x:c r="P2845" s="6" t="str">
        <x:v>Nearest pickup by route cost first. Largest target by area. Stairs allowed. README routing profile.</x:v>
      </x:c>
      <x:c r="Q2845" s="15" t="n">
        <x:v>26.04</x:v>
      </x:c>
      <x:c r="R2845" s="6" t="str">
        <x:v>m</x:v>
      </x:c>
      <x:c r="S2845" s="16" t="n">
        <x:v>0.01</x:v>
      </x:c>
      <x:c r="T2845" s="15" t="n">
        <x:v>1</x:v>
      </x:c>
      <x:c r="U2845" s="6" t="str">
        <x:v>Answer: 26.04</x:v>
      </x:c>
      <x:c r="V2845" s="6" t="str">
        <x:v>chain nearest-item, area and routing</x:v>
      </x:c>
      <x:c r="W2845" s="6" t="str">
        <x:v>Existing routing primitive. Missing full candidate search, area selection and task composition.</x:v>
      </x:c>
      <x:c r="X2845" s="6" t="str">
        <x:v>data/train/resplan-9082/questions.jsonl</x:v>
      </x:c>
      <x:c r="Y2845" s="14" t="n">
        <x:v>4</x:v>
      </x:c>
      <x:c r="Z2845" s="6" t="str">
        <x:v>https://github.com/hagenhaeussler/Industrial-Agents-Hackathon-2026/blob/f41616590b69f3ea0c1cbfb41d6c35edd9ce53df/data/train/resplan-9082/questions.jsonl#L4</x:v>
      </x:c>
      <x:c r="AA2845" s="6" t="str">
        <x:v>resplan</x:v>
      </x:c>
      <x:c r="AB2845" s="6" t="str">
        <x:v>CC-BY-4.0</x:v>
      </x:c>
    </x:row>
    <x:row r="2846" ht="72" customHeight="1">
      <x:c r="A2846" s="14" t="n">
        <x:v>2841</x:v>
      </x:c>
      <x:c r="B2846" s="6" t="str">
        <x:v>errand</x:v>
      </x:c>
      <x:c r="C2846" s="6" t="str">
        <x:v>I'm in Bedroom 0.04 (Ground floor). I need to grab a sink from the room that has one closest to me, then carry it to the largest bedroom on the ground floor. I can carry it on the stairs. How far will I walk in total, in metres? Finish with a line 'Answer: &lt;number&gt;'.</x:v>
      </x:c>
      <x:c r="D2846" s="6" t="str">
        <x:v>15.47 m
Pickup: Bathroom 0.06
Target: Bedroom 0.03</x:v>
      </x:c>
      <x:c r="E2846" s="6" t="str">
        <x:v>Reference supplied</x:v>
      </x:c>
      <x:c r="F2846" s="6" t="str">
        <x:v>train</x:v>
      </x:c>
      <x:c r="G2846" s="6" t="str">
        <x:v>resplan-9809</x:v>
      </x:c>
      <x:c r="H2846" s="6" t="str">
        <x:v>resplan-9809-H03</x:v>
      </x:c>
      <x:c r="I2846" s="6" t="str">
        <x:v>Compound tasks and changes</x:v>
      </x:c>
      <x:c r="J2846" s="6" t="str">
        <x:v>Benchmark</x:v>
      </x:c>
      <x:c r="K2846" s="6" t="str">
        <x:v>Answer: &lt;one number&gt;</x:v>
      </x:c>
      <x:c r="L2846" s="6" t="str">
        <x:v>T02, T03, T04, T05, T07, T14</x:v>
      </x:c>
      <x:c r="M2846" s="6" t="str">
        <x:v>Collect an item from its closest containing room, then deliver it to the largest requested room.</x:v>
      </x:c>
      <x:c r="N2846" s="6" t="str">
        <x:v>{"type":"number","value":15.47,"unit":"m","relative_tolerance":0.01,"absolute_tolerance":1,"via":"resplan-9809-F0-S006","target":"resplan-9809-F0-S003"}</x:v>
      </x:c>
      <x:c r="O2846" s="6" t="str">
        <x:v>{"start":"resplan-9809-F0-S004","asset_type":"sink","floor_id":"resplan-9809-F0","room_type":"bedroom"}</x:v>
      </x:c>
      <x:c r="P2846" s="6" t="str">
        <x:v>Nearest pickup by route cost first. Largest target by area. Stairs allowed. README routing profile.</x:v>
      </x:c>
      <x:c r="Q2846" s="15" t="n">
        <x:v>15.47</x:v>
      </x:c>
      <x:c r="R2846" s="6" t="str">
        <x:v>m</x:v>
      </x:c>
      <x:c r="S2846" s="16" t="n">
        <x:v>0.01</x:v>
      </x:c>
      <x:c r="T2846" s="15" t="n">
        <x:v>1</x:v>
      </x:c>
      <x:c r="U2846" s="6" t="str">
        <x:v>Answer: 15.47</x:v>
      </x:c>
      <x:c r="V2846" s="6" t="str">
        <x:v>chain nearest-item, area and routing</x:v>
      </x:c>
      <x:c r="W2846" s="6" t="str">
        <x:v>Existing routing primitive. Missing full candidate search, area selection and task composition.</x:v>
      </x:c>
      <x:c r="X2846" s="6" t="str">
        <x:v>data/train/resplan-9809/questions.jsonl</x:v>
      </x:c>
      <x:c r="Y2846" s="14" t="n">
        <x:v>3</x:v>
      </x:c>
      <x:c r="Z2846" s="6" t="str">
        <x:v>https://github.com/hagenhaeussler/Industrial-Agents-Hackathon-2026/blob/f41616590b69f3ea0c1cbfb41d6c35edd9ce53df/data/train/resplan-9809/questions.jsonl#L3</x:v>
      </x:c>
      <x:c r="AA2846" s="6" t="str">
        <x:v>resplan</x:v>
      </x:c>
      <x:c r="AB2846" s="6" t="str">
        <x:v>CC-BY-4.0</x:v>
      </x:c>
    </x:row>
    <x:row r="2847" ht="72" customHeight="1">
      <x:c r="A2847" s="14" t="n">
        <x:v>2842</x:v>
      </x:c>
      <x:c r="B2847" s="6" t="str">
        <x:v>errand</x:v>
      </x:c>
      <x:c r="C2847" s="6" t="str">
        <x:v>I'm in Kitchen 1.05 (apartment 3) (Floor 1). I need to grab a toilet from the room that has one closest to me, then carry it to the largest bedroom on the floor 2. I can carry it on the stairs. How far will I walk in total, in metres? Finish with a line 'Answer: &lt;number&gt;'.</x:v>
      </x:c>
      <x:c r="D2847" s="6" t="str">
        <x:v>37.68 m
Pickup: Bathroom 1.08 (apartment 3)
Target: Bedroom 2.08 (apartment 6)</x:v>
      </x:c>
      <x:c r="E2847" s="6" t="str">
        <x:v>Reference supplied</x:v>
      </x:c>
      <x:c r="F2847" s="6" t="str">
        <x:v>train</x:v>
      </x:c>
      <x:c r="G2847" s="6" t="str">
        <x:v>swiss-1075</x:v>
      </x:c>
      <x:c r="H2847" s="6" t="str">
        <x:v>swiss-1075-H03</x:v>
      </x:c>
      <x:c r="I2847" s="6" t="str">
        <x:v>Compound tasks and changes</x:v>
      </x:c>
      <x:c r="J2847" s="6" t="str">
        <x:v>Benchmark</x:v>
      </x:c>
      <x:c r="K2847" s="6" t="str">
        <x:v>Answer: &lt;one number&gt;</x:v>
      </x:c>
      <x:c r="L2847" s="6" t="str">
        <x:v>T02, T03, T04, T05, T07, T14</x:v>
      </x:c>
      <x:c r="M2847" s="6" t="str">
        <x:v>Collect an item from its closest containing room, then deliver it to the largest requested room.</x:v>
      </x:c>
      <x:c r="N2847" s="6" t="str">
        <x:v>{"type":"number","value":37.68,"unit":"m","relative_tolerance":0.01,"absolute_tolerance":1,"via":"swiss-1075-F1-S008","target":"swiss-1075-F2-S008"}</x:v>
      </x:c>
      <x:c r="O2847" s="6" t="str">
        <x:v>{"start":"swiss-1075-F1-S005","asset_type":"toilet","floor_id":"swiss-1075-F2","room_type":"bedroom"}</x:v>
      </x:c>
      <x:c r="P2847" s="6" t="str">
        <x:v>Nearest pickup by route cost first. Largest target by area. Stairs allowed. README routing profile.</x:v>
      </x:c>
      <x:c r="Q2847" s="15" t="n">
        <x:v>37.68</x:v>
      </x:c>
      <x:c r="R2847" s="6" t="str">
        <x:v>m</x:v>
      </x:c>
      <x:c r="S2847" s="16" t="n">
        <x:v>0.01</x:v>
      </x:c>
      <x:c r="T2847" s="15" t="n">
        <x:v>1</x:v>
      </x:c>
      <x:c r="U2847" s="6" t="str">
        <x:v>Answer: 37.68</x:v>
      </x:c>
      <x:c r="V2847" s="6" t="str">
        <x:v>chain nearest-item, area and routing</x:v>
      </x:c>
      <x:c r="W2847" s="6" t="str">
        <x:v>Existing routing primitive. Missing full candidate search, area selection and task composition.</x:v>
      </x:c>
      <x:c r="X2847" s="6" t="str">
        <x:v>data/train/swiss-1075/questions.jsonl</x:v>
      </x:c>
      <x:c r="Y2847" s="14" t="n">
        <x:v>3</x:v>
      </x:c>
      <x:c r="Z2847" s="6" t="str">
        <x:v>https://github.com/hagenhaeussler/Industrial-Agents-Hackathon-2026/blob/f41616590b69f3ea0c1cbfb41d6c35edd9ce53df/data/train/swiss-1075/questions.jsonl#L3</x:v>
      </x:c>
      <x:c r="AA2847" s="6" t="str">
        <x:v>swiss_dwellings</x:v>
      </x:c>
      <x:c r="AB2847" s="6" t="str">
        <x:v>CC-BY-4.0</x:v>
      </x:c>
    </x:row>
    <x:row r="2848" ht="72" customHeight="1">
      <x:c r="A2848" s="14" t="n">
        <x:v>2843</x:v>
      </x:c>
      <x:c r="B2848" s="6" t="str">
        <x:v>errand</x:v>
      </x:c>
      <x:c r="C2848" s="6" t="str">
        <x:v>I'm in Kitchen 2.23 (apartment 14) (Floor 2). I need to grab a dining chair from the room that has one closest to me, then carry it to the largest storage on the floor 3. I can carry it on the stairs. How far will I walk in total, in metres? Finish with a line 'Answer: &lt;number&gt;'.</x:v>
      </x:c>
      <x:c r="D2848" s="6" t="str">
        <x:v>30.94 m
Pickup: Living room 2.22 (apartment 14)
Target: Storage 3.20 (apartment 18)</x:v>
      </x:c>
      <x:c r="E2848" s="6" t="str">
        <x:v>Reference supplied</x:v>
      </x:c>
      <x:c r="F2848" s="6" t="str">
        <x:v>train</x:v>
      </x:c>
      <x:c r="G2848" s="6" t="str">
        <x:v>swiss-1110</x:v>
      </x:c>
      <x:c r="H2848" s="6" t="str">
        <x:v>swiss-1110-H03</x:v>
      </x:c>
      <x:c r="I2848" s="6" t="str">
        <x:v>Compound tasks and changes</x:v>
      </x:c>
      <x:c r="J2848" s="6" t="str">
        <x:v>Benchmark</x:v>
      </x:c>
      <x:c r="K2848" s="6" t="str">
        <x:v>Answer: &lt;one number&gt;</x:v>
      </x:c>
      <x:c r="L2848" s="6" t="str">
        <x:v>T02, T03, T04, T05, T07, T14</x:v>
      </x:c>
      <x:c r="M2848" s="6" t="str">
        <x:v>Collect an item from its closest containing room, then deliver it to the largest requested room.</x:v>
      </x:c>
      <x:c r="N2848" s="6" t="str">
        <x:v>{"type":"number","value":30.94,"unit":"m","relative_tolerance":0.01,"absolute_tolerance":1,"via":"swiss-1110-F2-S022","target":"swiss-1110-F3-S020"}</x:v>
      </x:c>
      <x:c r="O2848" s="6" t="str">
        <x:v>{"start":"swiss-1110-F2-S023","asset_type":"dining_chair","floor_id":"swiss-1110-F3","room_type":"storage"}</x:v>
      </x:c>
      <x:c r="P2848" s="6" t="str">
        <x:v>Nearest pickup by route cost first. Largest target by area. Stairs allowed. README routing profile.</x:v>
      </x:c>
      <x:c r="Q2848" s="15" t="n">
        <x:v>30.94</x:v>
      </x:c>
      <x:c r="R2848" s="6" t="str">
        <x:v>m</x:v>
      </x:c>
      <x:c r="S2848" s="16" t="n">
        <x:v>0.01</x:v>
      </x:c>
      <x:c r="T2848" s="15" t="n">
        <x:v>1</x:v>
      </x:c>
      <x:c r="U2848" s="6" t="str">
        <x:v>Answer: 30.94</x:v>
      </x:c>
      <x:c r="V2848" s="6" t="str">
        <x:v>chain nearest-item, area and routing</x:v>
      </x:c>
      <x:c r="W2848" s="6" t="str">
        <x:v>Existing routing primitive. Missing full candidate search, area selection and task composition.</x:v>
      </x:c>
      <x:c r="X2848" s="6" t="str">
        <x:v>data/train/swiss-1110/questions.jsonl</x:v>
      </x:c>
      <x:c r="Y2848" s="14" t="n">
        <x:v>3</x:v>
      </x:c>
      <x:c r="Z2848" s="6" t="str">
        <x:v>https://github.com/hagenhaeussler/Industrial-Agents-Hackathon-2026/blob/f41616590b69f3ea0c1cbfb41d6c35edd9ce53df/data/train/swiss-1110/questions.jsonl#L3</x:v>
      </x:c>
      <x:c r="AA2848" s="6" t="str">
        <x:v>swiss_dwellings</x:v>
      </x:c>
      <x:c r="AB2848" s="6" t="str">
        <x:v>CC-BY-4.0</x:v>
      </x:c>
    </x:row>
    <x:row r="2849" ht="72" customHeight="1">
      <x:c r="A2849" s="14" t="n">
        <x:v>2844</x:v>
      </x:c>
      <x:c r="B2849" s="6" t="str">
        <x:v>errand</x:v>
      </x:c>
      <x:c r="C2849" s="6" t="str">
        <x:v>I'm in Kitchen 2.05 (apartment 13) (Floor 2). I need to grab a toilet from the room that has one closest to me, then carry it to the largest bathroom on the floor 1. I can carry it on the stairs. How far will I walk in total, in metres? Finish with a line 'Answer: &lt;number&gt;'.</x:v>
      </x:c>
      <x:c r="D2849" s="6" t="str">
        <x:v>35.86 m
Pickup: Bathroom 2.01 (apartment 13)
Target: Bathroom 1.29 (apartment 10)</x:v>
      </x:c>
      <x:c r="E2849" s="6" t="str">
        <x:v>Reference supplied</x:v>
      </x:c>
      <x:c r="F2849" s="6" t="str">
        <x:v>train</x:v>
      </x:c>
      <x:c r="G2849" s="6" t="str">
        <x:v>swiss-116</x:v>
      </x:c>
      <x:c r="H2849" s="6" t="str">
        <x:v>swiss-116-H03</x:v>
      </x:c>
      <x:c r="I2849" s="6" t="str">
        <x:v>Compound tasks and changes</x:v>
      </x:c>
      <x:c r="J2849" s="6" t="str">
        <x:v>Benchmark</x:v>
      </x:c>
      <x:c r="K2849" s="6" t="str">
        <x:v>Answer: &lt;one number&gt;</x:v>
      </x:c>
      <x:c r="L2849" s="6" t="str">
        <x:v>T02, T03, T04, T05, T07, T14</x:v>
      </x:c>
      <x:c r="M2849" s="6" t="str">
        <x:v>Collect an item from its closest containing room, then deliver it to the largest requested room.</x:v>
      </x:c>
      <x:c r="N2849" s="6" t="str">
        <x:v>{"type":"number","value":35.86,"unit":"m","relative_tolerance":0.01,"absolute_tolerance":1,"via":"swiss-116-F2-S001","target":"swiss-116-F1-S029"}</x:v>
      </x:c>
      <x:c r="O2849" s="6" t="str">
        <x:v>{"start":"swiss-116-F2-S005","asset_type":"toilet","floor_id":"swiss-116-F1","room_type":"bathroom"}</x:v>
      </x:c>
      <x:c r="P2849" s="6" t="str">
        <x:v>Nearest pickup by route cost first. Largest target by area. Stairs allowed. README routing profile.</x:v>
      </x:c>
      <x:c r="Q2849" s="15" t="n">
        <x:v>35.86</x:v>
      </x:c>
      <x:c r="R2849" s="6" t="str">
        <x:v>m</x:v>
      </x:c>
      <x:c r="S2849" s="16" t="n">
        <x:v>0.01</x:v>
      </x:c>
      <x:c r="T2849" s="15" t="n">
        <x:v>1</x:v>
      </x:c>
      <x:c r="U2849" s="6" t="str">
        <x:v>Answer: 35.86</x:v>
      </x:c>
      <x:c r="V2849" s="6" t="str">
        <x:v>chain nearest-item, area and routing</x:v>
      </x:c>
      <x:c r="W2849" s="6" t="str">
        <x:v>Existing routing primitive. Missing full candidate search, area selection and task composition.</x:v>
      </x:c>
      <x:c r="X2849" s="6" t="str">
        <x:v>data/train/swiss-116/questions.jsonl</x:v>
      </x:c>
      <x:c r="Y2849" s="14" t="n">
        <x:v>3</x:v>
      </x:c>
      <x:c r="Z2849" s="6" t="str">
        <x:v>https://github.com/hagenhaeussler/Industrial-Agents-Hackathon-2026/blob/f41616590b69f3ea0c1cbfb41d6c35edd9ce53df/data/train/swiss-116/questions.jsonl#L3</x:v>
      </x:c>
      <x:c r="AA2849" s="6" t="str">
        <x:v>swiss_dwellings</x:v>
      </x:c>
      <x:c r="AB2849" s="6" t="str">
        <x:v>CC-BY-4.0</x:v>
      </x:c>
    </x:row>
    <x:row r="2850" ht="72" customHeight="1">
      <x:c r="A2850" s="14" t="n">
        <x:v>2845</x:v>
      </x:c>
      <x:c r="B2850" s="6" t="str">
        <x:v>errand</x:v>
      </x:c>
      <x:c r="C2850" s="6" t="str">
        <x:v>I'm in Bedroom 2.28 (apartment 12) (Floor 2). I need to grab a sofa from the room that has one closest to me, then carry it to the largest bathroom on the ground floor. I can carry it on the stairs. How far will I walk in total, in metres? Finish with a line 'Answer: &lt;number&gt;'.</x:v>
      </x:c>
      <x:c r="D2850" s="6" t="str">
        <x:v>48.52 m
Pickup: Living room 2.29 (apartment 12)
Target: Bathroom 0.23 (apartment 3)</x:v>
      </x:c>
      <x:c r="E2850" s="6" t="str">
        <x:v>Reference supplied</x:v>
      </x:c>
      <x:c r="F2850" s="6" t="str">
        <x:v>train</x:v>
      </x:c>
      <x:c r="G2850" s="6" t="str">
        <x:v>swiss-120</x:v>
      </x:c>
      <x:c r="H2850" s="6" t="str">
        <x:v>swiss-120-H03</x:v>
      </x:c>
      <x:c r="I2850" s="6" t="str">
        <x:v>Compound tasks and changes</x:v>
      </x:c>
      <x:c r="J2850" s="6" t="str">
        <x:v>Benchmark</x:v>
      </x:c>
      <x:c r="K2850" s="6" t="str">
        <x:v>Answer: &lt;one number&gt;</x:v>
      </x:c>
      <x:c r="L2850" s="6" t="str">
        <x:v>T02, T03, T04, T05, T07, T14</x:v>
      </x:c>
      <x:c r="M2850" s="6" t="str">
        <x:v>Collect an item from its closest containing room, then deliver it to the largest requested room.</x:v>
      </x:c>
      <x:c r="N2850" s="6" t="str">
        <x:v>{"type":"number","value":48.52,"unit":"m","relative_tolerance":0.01,"absolute_tolerance":1,"via":"swiss-120-F2-S029","target":"swiss-120-F0-S023"}</x:v>
      </x:c>
      <x:c r="O2850" s="6" t="str">
        <x:v>{"start":"swiss-120-F2-S028","asset_type":"sofa","floor_id":"swiss-120-F0","room_type":"bathroom"}</x:v>
      </x:c>
      <x:c r="P2850" s="6" t="str">
        <x:v>Nearest pickup by route cost first. Largest target by area. Stairs allowed. README routing profile.</x:v>
      </x:c>
      <x:c r="Q2850" s="15" t="n">
        <x:v>48.52</x:v>
      </x:c>
      <x:c r="R2850" s="6" t="str">
        <x:v>m</x:v>
      </x:c>
      <x:c r="S2850" s="16" t="n">
        <x:v>0.01</x:v>
      </x:c>
      <x:c r="T2850" s="15" t="n">
        <x:v>1</x:v>
      </x:c>
      <x:c r="U2850" s="6" t="str">
        <x:v>Answer: 48.52</x:v>
      </x:c>
      <x:c r="V2850" s="6" t="str">
        <x:v>chain nearest-item, area and routing</x:v>
      </x:c>
      <x:c r="W2850" s="6" t="str">
        <x:v>Existing routing primitive. Missing full candidate search, area selection and task composition.</x:v>
      </x:c>
      <x:c r="X2850" s="6" t="str">
        <x:v>data/train/swiss-120/questions.jsonl</x:v>
      </x:c>
      <x:c r="Y2850" s="14" t="n">
        <x:v>3</x:v>
      </x:c>
      <x:c r="Z2850" s="6" t="str">
        <x:v>https://github.com/hagenhaeussler/Industrial-Agents-Hackathon-2026/blob/f41616590b69f3ea0c1cbfb41d6c35edd9ce53df/data/train/swiss-120/questions.jsonl#L3</x:v>
      </x:c>
      <x:c r="AA2850" s="6" t="str">
        <x:v>swiss_dwellings</x:v>
      </x:c>
      <x:c r="AB2850" s="6" t="str">
        <x:v>CC-BY-4.0</x:v>
      </x:c>
    </x:row>
    <x:row r="2851" ht="72" customHeight="1">
      <x:c r="A2851" s="14" t="n">
        <x:v>2846</x:v>
      </x:c>
      <x:c r="B2851" s="6" t="str">
        <x:v>errand</x:v>
      </x:c>
      <x:c r="C2851" s="6" t="str">
        <x:v>I'm in Storage 1.07 (apartment 3) (Floor 1). I need to grab a desk from the room that has one closest to me, then carry it to the largest bedroom on the floor 2. I can carry it on the stairs. How far will I walk in total, in metres? Finish with a line 'Answer: &lt;number&gt;'.</x:v>
      </x:c>
      <x:c r="D2851" s="6" t="str">
        <x:v>62.14 m
Pickup: Bedroom 1.21 (apartment 4)
Target: Bedroom 2.03 (apartment 5)</x:v>
      </x:c>
      <x:c r="E2851" s="6" t="str">
        <x:v>Reference supplied</x:v>
      </x:c>
      <x:c r="F2851" s="6" t="str">
        <x:v>train</x:v>
      </x:c>
      <x:c r="G2851" s="6" t="str">
        <x:v>swiss-1283</x:v>
      </x:c>
      <x:c r="H2851" s="6" t="str">
        <x:v>swiss-1283-H03</x:v>
      </x:c>
      <x:c r="I2851" s="6" t="str">
        <x:v>Compound tasks and changes</x:v>
      </x:c>
      <x:c r="J2851" s="6" t="str">
        <x:v>Benchmark</x:v>
      </x:c>
      <x:c r="K2851" s="6" t="str">
        <x:v>Answer: &lt;one number&gt;</x:v>
      </x:c>
      <x:c r="L2851" s="6" t="str">
        <x:v>T02, T03, T04, T05, T07, T14</x:v>
      </x:c>
      <x:c r="M2851" s="6" t="str">
        <x:v>Collect an item from its closest containing room, then deliver it to the largest requested room.</x:v>
      </x:c>
      <x:c r="N2851" s="6" t="str">
        <x:v>{"type":"number","value":62.14,"unit":"m","relative_tolerance":0.01,"absolute_tolerance":1,"via":"swiss-1283-F1-S021","target":"swiss-1283-F2-S003"}</x:v>
      </x:c>
      <x:c r="O2851" s="6" t="str">
        <x:v>{"start":"swiss-1283-F1-S007","asset_type":"desk","floor_id":"swiss-1283-F2","room_type":"bedroom"}</x:v>
      </x:c>
      <x:c r="P2851" s="6" t="str">
        <x:v>Nearest pickup by route cost first. Largest target by area. Stairs allowed. README routing profile.</x:v>
      </x:c>
      <x:c r="Q2851" s="15" t="n">
        <x:v>62.14</x:v>
      </x:c>
      <x:c r="R2851" s="6" t="str">
        <x:v>m</x:v>
      </x:c>
      <x:c r="S2851" s="16" t="n">
        <x:v>0.01</x:v>
      </x:c>
      <x:c r="T2851" s="15" t="n">
        <x:v>1</x:v>
      </x:c>
      <x:c r="U2851" s="6" t="str">
        <x:v>Answer: 62.14</x:v>
      </x:c>
      <x:c r="V2851" s="6" t="str">
        <x:v>chain nearest-item, area and routing</x:v>
      </x:c>
      <x:c r="W2851" s="6" t="str">
        <x:v>Existing routing primitive. Missing full candidate search, area selection and task composition.</x:v>
      </x:c>
      <x:c r="X2851" s="6" t="str">
        <x:v>data/train/swiss-1283/questions.jsonl</x:v>
      </x:c>
      <x:c r="Y2851" s="14" t="n">
        <x:v>3</x:v>
      </x:c>
      <x:c r="Z2851" s="6" t="str">
        <x:v>https://github.com/hagenhaeussler/Industrial-Agents-Hackathon-2026/blob/f41616590b69f3ea0c1cbfb41d6c35edd9ce53df/data/train/swiss-1283/questions.jsonl#L3</x:v>
      </x:c>
      <x:c r="AA2851" s="6" t="str">
        <x:v>swiss_dwellings</x:v>
      </x:c>
      <x:c r="AB2851" s="6" t="str">
        <x:v>CC-BY-4.0</x:v>
      </x:c>
    </x:row>
    <x:row r="2852" ht="82" customHeight="1">
      <x:c r="A2852" s="14" t="n">
        <x:v>2847</x:v>
      </x:c>
      <x:c r="B2852" s="6" t="str">
        <x:v>errand</x:v>
      </x:c>
      <x:c r="C2852" s="6" t="str">
        <x:v>I'm in Bathroom 1.33 (apartment 8) (Floor 1). I need to grab a microwave from the room that has one closest to me, then carry it to the largest living room on the floor 1. I can carry it on the stairs. How far will I walk in total, in metres? Finish with a line 'Answer: &lt;number&gt;'.</x:v>
      </x:c>
      <x:c r="D2852" s="6" t="str">
        <x:v>37.39 m
Pickup: Kitchen 1.37 (apartment 8)
Target: Living room 1.25 (apartment 7)</x:v>
      </x:c>
      <x:c r="E2852" s="6" t="str">
        <x:v>Reference supplied</x:v>
      </x:c>
      <x:c r="F2852" s="6" t="str">
        <x:v>train</x:v>
      </x:c>
      <x:c r="G2852" s="6" t="str">
        <x:v>swiss-1390</x:v>
      </x:c>
      <x:c r="H2852" s="6" t="str">
        <x:v>swiss-1390-H03</x:v>
      </x:c>
      <x:c r="I2852" s="6" t="str">
        <x:v>Compound tasks and changes</x:v>
      </x:c>
      <x:c r="J2852" s="6" t="str">
        <x:v>Benchmark</x:v>
      </x:c>
      <x:c r="K2852" s="6" t="str">
        <x:v>Answer: &lt;one number&gt;</x:v>
      </x:c>
      <x:c r="L2852" s="6" t="str">
        <x:v>T02, T03, T04, T05, T07, T14</x:v>
      </x:c>
      <x:c r="M2852" s="6" t="str">
        <x:v>Collect an item from its closest containing room, then deliver it to the largest requested room.</x:v>
      </x:c>
      <x:c r="N2852" s="6" t="str">
        <x:v>{"type":"number","value":37.39,"unit":"m","relative_tolerance":0.01,"absolute_tolerance":1,"via":"swiss-1390-F1-S037","target":"swiss-1390-F1-S025"}</x:v>
      </x:c>
      <x:c r="O2852" s="6" t="str">
        <x:v>{"start":"swiss-1390-F1-S033","asset_type":"microwave","floor_id":"swiss-1390-F1","room_type":"living_room"}</x:v>
      </x:c>
      <x:c r="P2852" s="6" t="str">
        <x:v>Nearest pickup by route cost first. Largest target by area. Stairs allowed. README routing profile.</x:v>
      </x:c>
      <x:c r="Q2852" s="15" t="n">
        <x:v>37.39</x:v>
      </x:c>
      <x:c r="R2852" s="6" t="str">
        <x:v>m</x:v>
      </x:c>
      <x:c r="S2852" s="16" t="n">
        <x:v>0.01</x:v>
      </x:c>
      <x:c r="T2852" s="15" t="n">
        <x:v>1</x:v>
      </x:c>
      <x:c r="U2852" s="6" t="str">
        <x:v>Answer: 37.39</x:v>
      </x:c>
      <x:c r="V2852" s="6" t="str">
        <x:v>chain nearest-item, area and routing</x:v>
      </x:c>
      <x:c r="W2852" s="6" t="str">
        <x:v>Existing routing primitive. Missing full candidate search, area selection and task composition.</x:v>
      </x:c>
      <x:c r="X2852" s="6" t="str">
        <x:v>data/train/swiss-1390/questions.jsonl</x:v>
      </x:c>
      <x:c r="Y2852" s="14" t="n">
        <x:v>3</x:v>
      </x:c>
      <x:c r="Z2852" s="6" t="str">
        <x:v>https://github.com/hagenhaeussler/Industrial-Agents-Hackathon-2026/blob/f41616590b69f3ea0c1cbfb41d6c35edd9ce53df/data/train/swiss-1390/questions.jsonl#L3</x:v>
      </x:c>
      <x:c r="AA2852" s="6" t="str">
        <x:v>swiss_dwellings</x:v>
      </x:c>
      <x:c r="AB2852" s="6" t="str">
        <x:v>CC-BY-4.0</x:v>
      </x:c>
    </x:row>
    <x:row r="2853" ht="72" customHeight="1">
      <x:c r="A2853" s="14" t="n">
        <x:v>2848</x:v>
      </x:c>
      <x:c r="B2853" s="6" t="str">
        <x:v>errand</x:v>
      </x:c>
      <x:c r="C2853" s="6" t="str">
        <x:v>I'm in Bedroom 1.08 (apartment 3) (Floor 1). I need to grab a toilet from the room that has one closest to me, then carry it to the largest bathroom on the floor 3. I can carry it on the stairs. How far will I walk in total, in metres? Finish with a line 'Answer: &lt;number&gt;'.</x:v>
      </x:c>
      <x:c r="D2853" s="6" t="str">
        <x:v>48.26 m
Pickup: Bathroom 1.05 (apartment 3)
Target: Bathroom 3.05 (apartment 7)</x:v>
      </x:c>
      <x:c r="E2853" s="6" t="str">
        <x:v>Reference supplied</x:v>
      </x:c>
      <x:c r="F2853" s="6" t="str">
        <x:v>train</x:v>
      </x:c>
      <x:c r="G2853" s="6" t="str">
        <x:v>swiss-1457</x:v>
      </x:c>
      <x:c r="H2853" s="6" t="str">
        <x:v>swiss-1457-H03</x:v>
      </x:c>
      <x:c r="I2853" s="6" t="str">
        <x:v>Compound tasks and changes</x:v>
      </x:c>
      <x:c r="J2853" s="6" t="str">
        <x:v>Benchmark</x:v>
      </x:c>
      <x:c r="K2853" s="6" t="str">
        <x:v>Answer: &lt;one number&gt;</x:v>
      </x:c>
      <x:c r="L2853" s="6" t="str">
        <x:v>T02, T03, T04, T05, T07, T14</x:v>
      </x:c>
      <x:c r="M2853" s="6" t="str">
        <x:v>Collect an item from its closest containing room, then deliver it to the largest requested room.</x:v>
      </x:c>
      <x:c r="N2853" s="6" t="str">
        <x:v>{"type":"number","value":48.26,"unit":"m","relative_tolerance":0.01,"absolute_tolerance":1,"via":"swiss-1457-F1-S005","target":"swiss-1457-F3-S005"}</x:v>
      </x:c>
      <x:c r="O2853" s="6" t="str">
        <x:v>{"start":"swiss-1457-F1-S008","asset_type":"toilet","floor_id":"swiss-1457-F3","room_type":"bathroom"}</x:v>
      </x:c>
      <x:c r="P2853" s="6" t="str">
        <x:v>Nearest pickup by route cost first. Largest target by area. Stairs allowed. README routing profile.</x:v>
      </x:c>
      <x:c r="Q2853" s="15" t="n">
        <x:v>48.26</x:v>
      </x:c>
      <x:c r="R2853" s="6" t="str">
        <x:v>m</x:v>
      </x:c>
      <x:c r="S2853" s="16" t="n">
        <x:v>0.01</x:v>
      </x:c>
      <x:c r="T2853" s="15" t="n">
        <x:v>1</x:v>
      </x:c>
      <x:c r="U2853" s="6" t="str">
        <x:v>Answer: 48.26</x:v>
      </x:c>
      <x:c r="V2853" s="6" t="str">
        <x:v>chain nearest-item, area and routing</x:v>
      </x:c>
      <x:c r="W2853" s="6" t="str">
        <x:v>Existing routing primitive. Missing full candidate search, area selection and task composition.</x:v>
      </x:c>
      <x:c r="X2853" s="6" t="str">
        <x:v>data/train/swiss-1457/questions.jsonl</x:v>
      </x:c>
      <x:c r="Y2853" s="14" t="n">
        <x:v>3</x:v>
      </x:c>
      <x:c r="Z2853" s="6" t="str">
        <x:v>https://github.com/hagenhaeussler/Industrial-Agents-Hackathon-2026/blob/f41616590b69f3ea0c1cbfb41d6c35edd9ce53df/data/train/swiss-1457/questions.jsonl#L3</x:v>
      </x:c>
      <x:c r="AA2853" s="6" t="str">
        <x:v>swiss_dwellings</x:v>
      </x:c>
      <x:c r="AB2853" s="6" t="str">
        <x:v>CC-BY-4.0</x:v>
      </x:c>
    </x:row>
    <x:row r="2854" ht="82" customHeight="1">
      <x:c r="A2854" s="14" t="n">
        <x:v>2849</x:v>
      </x:c>
      <x:c r="B2854" s="6" t="str">
        <x:v>errand</x:v>
      </x:c>
      <x:c r="C2854" s="6" t="str">
        <x:v>I'm in Bathroom 2.07 (apartment 5) (Floor 2). I need to grab a desk from the room that has one closest to me, then carry it to the largest living room on the ground floor. I can carry it on the stairs. How far will I walk in total, in metres? Finish with a line 'Answer: &lt;number&gt;'.</x:v>
      </x:c>
      <x:c r="D2854" s="6" t="str">
        <x:v>60.14 m
Pickup: Bedroom 1.19 (apartment 4)
Target: Living room 0.09 (apartment 1)</x:v>
      </x:c>
      <x:c r="E2854" s="6" t="str">
        <x:v>Reference supplied</x:v>
      </x:c>
      <x:c r="F2854" s="6" t="str">
        <x:v>train</x:v>
      </x:c>
      <x:c r="G2854" s="6" t="str">
        <x:v>swiss-1470</x:v>
      </x:c>
      <x:c r="H2854" s="6" t="str">
        <x:v>swiss-1470-H03</x:v>
      </x:c>
      <x:c r="I2854" s="6" t="str">
        <x:v>Compound tasks and changes</x:v>
      </x:c>
      <x:c r="J2854" s="6" t="str">
        <x:v>Benchmark</x:v>
      </x:c>
      <x:c r="K2854" s="6" t="str">
        <x:v>Answer: &lt;one number&gt;</x:v>
      </x:c>
      <x:c r="L2854" s="6" t="str">
        <x:v>T02, T03, T04, T05, T07, T14</x:v>
      </x:c>
      <x:c r="M2854" s="6" t="str">
        <x:v>Collect an item from its closest containing room, then deliver it to the largest requested room.</x:v>
      </x:c>
      <x:c r="N2854" s="6" t="str">
        <x:v>{"type":"number","value":60.14,"unit":"m","relative_tolerance":0.01,"absolute_tolerance":1,"via":"swiss-1470-F1-S019","target":"swiss-1470-F0-S009"}</x:v>
      </x:c>
      <x:c r="O2854" s="6" t="str">
        <x:v>{"start":"swiss-1470-F2-S007","asset_type":"desk","floor_id":"swiss-1470-F0","room_type":"living_room"}</x:v>
      </x:c>
      <x:c r="P2854" s="6" t="str">
        <x:v>Nearest pickup by route cost first. Largest target by area. Stairs allowed. README routing profile.</x:v>
      </x:c>
      <x:c r="Q2854" s="15" t="n">
        <x:v>60.14</x:v>
      </x:c>
      <x:c r="R2854" s="6" t="str">
        <x:v>m</x:v>
      </x:c>
      <x:c r="S2854" s="16" t="n">
        <x:v>0.01</x:v>
      </x:c>
      <x:c r="T2854" s="15" t="n">
        <x:v>1</x:v>
      </x:c>
      <x:c r="U2854" s="6" t="str">
        <x:v>Answer: 60.14</x:v>
      </x:c>
      <x:c r="V2854" s="6" t="str">
        <x:v>chain nearest-item, area and routing</x:v>
      </x:c>
      <x:c r="W2854" s="6" t="str">
        <x:v>Existing routing primitive. Missing full candidate search, area selection and task composition.</x:v>
      </x:c>
      <x:c r="X2854" s="6" t="str">
        <x:v>data/train/swiss-1470/questions.jsonl</x:v>
      </x:c>
      <x:c r="Y2854" s="14" t="n">
        <x:v>3</x:v>
      </x:c>
      <x:c r="Z2854" s="6" t="str">
        <x:v>https://github.com/hagenhaeussler/Industrial-Agents-Hackathon-2026/blob/f41616590b69f3ea0c1cbfb41d6c35edd9ce53df/data/train/swiss-1470/questions.jsonl#L3</x:v>
      </x:c>
      <x:c r="AA2854" s="6" t="str">
        <x:v>swiss_dwellings</x:v>
      </x:c>
      <x:c r="AB2854" s="6" t="str">
        <x:v>CC-BY-4.0</x:v>
      </x:c>
    </x:row>
    <x:row r="2855" ht="82" customHeight="1">
      <x:c r="A2855" s="14" t="n">
        <x:v>2850</x:v>
      </x:c>
      <x:c r="B2855" s="6" t="str">
        <x:v>errand</x:v>
      </x:c>
      <x:c r="C2855" s="6" t="str">
        <x:v>I'm in Bedroom 2.04 (apartment 5) (Floor 2). I need to grab a outdoor chair from the room that has one closest to me, then carry it to the largest bathroom on the floor 2. I can carry it on the stairs. How far will I walk in total, in metres? Finish with a line 'Answer: &lt;number&gt;'.</x:v>
      </x:c>
      <x:c r="D2855" s="6" t="str">
        <x:v>26.46 m
Pickup: Balcony 2.13 (apartment 5)
Target: Bathroom 2.08 (apartment 5)</x:v>
      </x:c>
      <x:c r="E2855" s="6" t="str">
        <x:v>Reference supplied</x:v>
      </x:c>
      <x:c r="F2855" s="6" t="str">
        <x:v>train</x:v>
      </x:c>
      <x:c r="G2855" s="6" t="str">
        <x:v>swiss-148</x:v>
      </x:c>
      <x:c r="H2855" s="6" t="str">
        <x:v>swiss-148-H03</x:v>
      </x:c>
      <x:c r="I2855" s="6" t="str">
        <x:v>Compound tasks and changes</x:v>
      </x:c>
      <x:c r="J2855" s="6" t="str">
        <x:v>Benchmark</x:v>
      </x:c>
      <x:c r="K2855" s="6" t="str">
        <x:v>Answer: &lt;one number&gt;</x:v>
      </x:c>
      <x:c r="L2855" s="6" t="str">
        <x:v>T02, T03, T04, T05, T07, T14</x:v>
      </x:c>
      <x:c r="M2855" s="6" t="str">
        <x:v>Collect an item from its closest containing room, then deliver it to the largest requested room.</x:v>
      </x:c>
      <x:c r="N2855" s="6" t="str">
        <x:v>{"type":"number","value":26.46,"unit":"m","relative_tolerance":0.01,"absolute_tolerance":1,"via":"swiss-148-F2-S013","target":"swiss-148-F2-S008"}</x:v>
      </x:c>
      <x:c r="O2855" s="6" t="str">
        <x:v>{"start":"swiss-148-F2-S004","asset_type":"outdoor_chair","floor_id":"swiss-148-F2","room_type":"bathroom"}</x:v>
      </x:c>
      <x:c r="P2855" s="6" t="str">
        <x:v>Nearest pickup by route cost first. Largest target by area. Stairs allowed. README routing profile.</x:v>
      </x:c>
      <x:c r="Q2855" s="15" t="n">
        <x:v>26.46</x:v>
      </x:c>
      <x:c r="R2855" s="6" t="str">
        <x:v>m</x:v>
      </x:c>
      <x:c r="S2855" s="16" t="n">
        <x:v>0.01</x:v>
      </x:c>
      <x:c r="T2855" s="15" t="n">
        <x:v>1</x:v>
      </x:c>
      <x:c r="U2855" s="6" t="str">
        <x:v>Answer: 26.46</x:v>
      </x:c>
      <x:c r="V2855" s="6" t="str">
        <x:v>chain nearest-item, area and routing</x:v>
      </x:c>
      <x:c r="W2855" s="6" t="str">
        <x:v>Existing routing primitive. Missing full candidate search, area selection and task composition.</x:v>
      </x:c>
      <x:c r="X2855" s="6" t="str">
        <x:v>data/train/swiss-148/questions.jsonl</x:v>
      </x:c>
      <x:c r="Y2855" s="14" t="n">
        <x:v>3</x:v>
      </x:c>
      <x:c r="Z2855" s="6" t="str">
        <x:v>https://github.com/hagenhaeussler/Industrial-Agents-Hackathon-2026/blob/f41616590b69f3ea0c1cbfb41d6c35edd9ce53df/data/train/swiss-148/questions.jsonl#L3</x:v>
      </x:c>
      <x:c r="AA2855" s="6" t="str">
        <x:v>swiss_dwellings</x:v>
      </x:c>
      <x:c r="AB2855" s="6" t="str">
        <x:v>CC-BY-4.0</x:v>
      </x:c>
    </x:row>
    <x:row r="2856" ht="72" customHeight="1">
      <x:c r="A2856" s="14" t="n">
        <x:v>2851</x:v>
      </x:c>
      <x:c r="B2856" s="6" t="str">
        <x:v>errand</x:v>
      </x:c>
      <x:c r="C2856" s="6" t="str">
        <x:v>I'm in Bedroom 2.02 (apartment 4) (Floor 2). I need to grab a coffee table from the room that has one closest to me, then carry it to the largest bedroom on the floor 1. I can carry it on the stairs. How far will I walk in total, in metres? Finish with a line 'Answer: &lt;number&gt;'.</x:v>
      </x:c>
      <x:c r="D2856" s="6" t="str">
        <x:v>47.8 m
Pickup: Living room 2.11 (apartment 4)
Target: Bedroom 1.02 (apartment 2)</x:v>
      </x:c>
      <x:c r="E2856" s="6" t="str">
        <x:v>Reference supplied</x:v>
      </x:c>
      <x:c r="F2856" s="6" t="str">
        <x:v>train</x:v>
      </x:c>
      <x:c r="G2856" s="6" t="str">
        <x:v>swiss-1650</x:v>
      </x:c>
      <x:c r="H2856" s="6" t="str">
        <x:v>swiss-1650-H03</x:v>
      </x:c>
      <x:c r="I2856" s="6" t="str">
        <x:v>Compound tasks and changes</x:v>
      </x:c>
      <x:c r="J2856" s="6" t="str">
        <x:v>Benchmark</x:v>
      </x:c>
      <x:c r="K2856" s="6" t="str">
        <x:v>Answer: &lt;one number&gt;</x:v>
      </x:c>
      <x:c r="L2856" s="6" t="str">
        <x:v>T02, T03, T04, T05, T07, T14</x:v>
      </x:c>
      <x:c r="M2856" s="6" t="str">
        <x:v>Collect an item from its closest containing room, then deliver it to the largest requested room.</x:v>
      </x:c>
      <x:c r="N2856" s="6" t="str">
        <x:v>{"type":"number","value":47.8,"unit":"m","relative_tolerance":0.01,"absolute_tolerance":1,"via":"swiss-1650-F2-S011","target":"swiss-1650-F1-S002"}</x:v>
      </x:c>
      <x:c r="O2856" s="6" t="str">
        <x:v>{"start":"swiss-1650-F2-S002","asset_type":"coffee_table","floor_id":"swiss-1650-F1","room_type":"bedroom"}</x:v>
      </x:c>
      <x:c r="P2856" s="6" t="str">
        <x:v>Nearest pickup by route cost first. Largest target by area. Stairs allowed. README routing profile.</x:v>
      </x:c>
      <x:c r="Q2856" s="15" t="n">
        <x:v>47.8</x:v>
      </x:c>
      <x:c r="R2856" s="6" t="str">
        <x:v>m</x:v>
      </x:c>
      <x:c r="S2856" s="16" t="n">
        <x:v>0.01</x:v>
      </x:c>
      <x:c r="T2856" s="15" t="n">
        <x:v>1</x:v>
      </x:c>
      <x:c r="U2856" s="6" t="str">
        <x:v>Answer: 47.8</x:v>
      </x:c>
      <x:c r="V2856" s="6" t="str">
        <x:v>chain nearest-item, area and routing</x:v>
      </x:c>
      <x:c r="W2856" s="6" t="str">
        <x:v>Existing routing primitive. Missing full candidate search, area selection and task composition.</x:v>
      </x:c>
      <x:c r="X2856" s="6" t="str">
        <x:v>data/train/swiss-1650/questions.jsonl</x:v>
      </x:c>
      <x:c r="Y2856" s="14" t="n">
        <x:v>3</x:v>
      </x:c>
      <x:c r="Z2856" s="6" t="str">
        <x:v>https://github.com/hagenhaeussler/Industrial-Agents-Hackathon-2026/blob/f41616590b69f3ea0c1cbfb41d6c35edd9ce53df/data/train/swiss-1650/questions.jsonl#L3</x:v>
      </x:c>
      <x:c r="AA2856" s="6" t="str">
        <x:v>swiss_dwellings</x:v>
      </x:c>
      <x:c r="AB2856" s="6" t="str">
        <x:v>CC-BY-4.0</x:v>
      </x:c>
    </x:row>
    <x:row r="2857" ht="72" customHeight="1">
      <x:c r="A2857" s="14" t="n">
        <x:v>2852</x:v>
      </x:c>
      <x:c r="B2857" s="6" t="str">
        <x:v>errand</x:v>
      </x:c>
      <x:c r="C2857" s="6" t="str">
        <x:v>I'm in Kitchen 2.07 (apartment 6) (Floor 2). I need to grab a toilet from the room that has one closest to me, then carry it to the largest bedroom on the ground floor. I can carry it on the stairs. How far will I walk in total, in metres? Finish with a line 'Answer: &lt;number&gt;'.</x:v>
      </x:c>
      <x:c r="D2857" s="6" t="str">
        <x:v>44.58 m
Pickup: Bathroom 2.08 (apartment 6)
Target: Bedroom 0.01 (apartment 1)</x:v>
      </x:c>
      <x:c r="E2857" s="6" t="str">
        <x:v>Reference supplied</x:v>
      </x:c>
      <x:c r="F2857" s="6" t="str">
        <x:v>train</x:v>
      </x:c>
      <x:c r="G2857" s="6" t="str">
        <x:v>swiss-18196</x:v>
      </x:c>
      <x:c r="H2857" s="6" t="str">
        <x:v>swiss-18196-H03</x:v>
      </x:c>
      <x:c r="I2857" s="6" t="str">
        <x:v>Compound tasks and changes</x:v>
      </x:c>
      <x:c r="J2857" s="6" t="str">
        <x:v>Benchmark</x:v>
      </x:c>
      <x:c r="K2857" s="6" t="str">
        <x:v>Answer: &lt;one number&gt;</x:v>
      </x:c>
      <x:c r="L2857" s="6" t="str">
        <x:v>T02, T03, T04, T05, T07, T14</x:v>
      </x:c>
      <x:c r="M2857" s="6" t="str">
        <x:v>Collect an item from its closest containing room, then deliver it to the largest requested room.</x:v>
      </x:c>
      <x:c r="N2857" s="6" t="str">
        <x:v>{"type":"number","value":44.58,"unit":"m","relative_tolerance":0.01,"absolute_tolerance":1,"via":"swiss-18196-F2-S008","target":"swiss-18196-F0-S001"}</x:v>
      </x:c>
      <x:c r="O2857" s="6" t="str">
        <x:v>{"start":"swiss-18196-F2-S007","asset_type":"toilet","floor_id":"swiss-18196-F0","room_type":"bedroom"}</x:v>
      </x:c>
      <x:c r="P2857" s="6" t="str">
        <x:v>Nearest pickup by route cost first. Largest target by area. Stairs allowed. README routing profile.</x:v>
      </x:c>
      <x:c r="Q2857" s="15" t="n">
        <x:v>44.58</x:v>
      </x:c>
      <x:c r="R2857" s="6" t="str">
        <x:v>m</x:v>
      </x:c>
      <x:c r="S2857" s="16" t="n">
        <x:v>0.01</x:v>
      </x:c>
      <x:c r="T2857" s="15" t="n">
        <x:v>1</x:v>
      </x:c>
      <x:c r="U2857" s="6" t="str">
        <x:v>Answer: 44.58</x:v>
      </x:c>
      <x:c r="V2857" s="6" t="str">
        <x:v>chain nearest-item, area and routing</x:v>
      </x:c>
      <x:c r="W2857" s="6" t="str">
        <x:v>Existing routing primitive. Missing full candidate search, area selection and task composition.</x:v>
      </x:c>
      <x:c r="X2857" s="6" t="str">
        <x:v>data/train/swiss-18196/questions.jsonl</x:v>
      </x:c>
      <x:c r="Y2857" s="14" t="n">
        <x:v>3</x:v>
      </x:c>
      <x:c r="Z2857" s="6" t="str">
        <x:v>https://github.com/hagenhaeussler/Industrial-Agents-Hackathon-2026/blob/f41616590b69f3ea0c1cbfb41d6c35edd9ce53df/data/train/swiss-18196/questions.jsonl#L3</x:v>
      </x:c>
      <x:c r="AA2857" s="6" t="str">
        <x:v>swiss_dwellings</x:v>
      </x:c>
      <x:c r="AB2857" s="6" t="str">
        <x:v>CC-BY-4.0</x:v>
      </x:c>
    </x:row>
    <x:row r="2858" ht="72" customHeight="1">
      <x:c r="A2858" s="14" t="n">
        <x:v>2853</x:v>
      </x:c>
      <x:c r="B2858" s="6" t="str">
        <x:v>errand</x:v>
      </x:c>
      <x:c r="C2858" s="6" t="str">
        <x:v>I'm in Bathroom 4.15 (apartment 14) (Floor 4). I need to grab a fridge from the room that has one closest to me, then carry it to the largest bedroom on the floor 1. I can carry it on the stairs. How far will I walk in total, in metres? Finish with a line 'Answer: &lt;number&gt;'.</x:v>
      </x:c>
      <x:c r="D2858" s="6" t="str">
        <x:v>75.14 m
Pickup: Kitchen 4.09 (apartment 13)
Target: Bedroom 1.18 (apartment 6)</x:v>
      </x:c>
      <x:c r="E2858" s="6" t="str">
        <x:v>Reference supplied</x:v>
      </x:c>
      <x:c r="F2858" s="6" t="str">
        <x:v>train</x:v>
      </x:c>
      <x:c r="G2858" s="6" t="str">
        <x:v>swiss-18256</x:v>
      </x:c>
      <x:c r="H2858" s="6" t="str">
        <x:v>swiss-18256-H03</x:v>
      </x:c>
      <x:c r="I2858" s="6" t="str">
        <x:v>Compound tasks and changes</x:v>
      </x:c>
      <x:c r="J2858" s="6" t="str">
        <x:v>Benchmark</x:v>
      </x:c>
      <x:c r="K2858" s="6" t="str">
        <x:v>Answer: &lt;one number&gt;</x:v>
      </x:c>
      <x:c r="L2858" s="6" t="str">
        <x:v>T02, T03, T04, T05, T07, T14</x:v>
      </x:c>
      <x:c r="M2858" s="6" t="str">
        <x:v>Collect an item from its closest containing room, then deliver it to the largest requested room.</x:v>
      </x:c>
      <x:c r="N2858" s="6" t="str">
        <x:v>{"type":"number","value":75.14,"unit":"m","relative_tolerance":0.01,"absolute_tolerance":1,"via":"swiss-18256-F4-S009","target":"swiss-18256-F1-S018"}</x:v>
      </x:c>
      <x:c r="O2858" s="6" t="str">
        <x:v>{"start":"swiss-18256-F4-S015","asset_type":"fridge","floor_id":"swiss-18256-F1","room_type":"bedroom"}</x:v>
      </x:c>
      <x:c r="P2858" s="6" t="str">
        <x:v>Nearest pickup by route cost first. Largest target by area. Stairs allowed. README routing profile.</x:v>
      </x:c>
      <x:c r="Q2858" s="15" t="n">
        <x:v>75.14</x:v>
      </x:c>
      <x:c r="R2858" s="6" t="str">
        <x:v>m</x:v>
      </x:c>
      <x:c r="S2858" s="16" t="n">
        <x:v>0.01</x:v>
      </x:c>
      <x:c r="T2858" s="15" t="n">
        <x:v>1</x:v>
      </x:c>
      <x:c r="U2858" s="6" t="str">
        <x:v>Answer: 75.14</x:v>
      </x:c>
      <x:c r="V2858" s="6" t="str">
        <x:v>chain nearest-item, area and routing</x:v>
      </x:c>
      <x:c r="W2858" s="6" t="str">
        <x:v>Existing routing primitive. Missing full candidate search, area selection and task composition.</x:v>
      </x:c>
      <x:c r="X2858" s="6" t="str">
        <x:v>data/train/swiss-18256/questions.jsonl</x:v>
      </x:c>
      <x:c r="Y2858" s="14" t="n">
        <x:v>3</x:v>
      </x:c>
      <x:c r="Z2858" s="6" t="str">
        <x:v>https://github.com/hagenhaeussler/Industrial-Agents-Hackathon-2026/blob/f41616590b69f3ea0c1cbfb41d6c35edd9ce53df/data/train/swiss-18256/questions.jsonl#L3</x:v>
      </x:c>
      <x:c r="AA2858" s="6" t="str">
        <x:v>swiss_dwellings</x:v>
      </x:c>
      <x:c r="AB2858" s="6" t="str">
        <x:v>CC-BY-4.0</x:v>
      </x:c>
    </x:row>
    <x:row r="2859" ht="72" customHeight="1">
      <x:c r="A2859" s="14" t="n">
        <x:v>2854</x:v>
      </x:c>
      <x:c r="B2859" s="6" t="str">
        <x:v>errand</x:v>
      </x:c>
      <x:c r="C2859" s="6" t="str">
        <x:v>I'm in Bathroom 3.02 (apartment 7) (Floor 3). I need to grab a desk from the room that has one closest to me, then carry it to the largest bedroom on the ground floor. I can carry it on the stairs. How far will I walk in total, in metres? Finish with a line 'Answer: &lt;number&gt;'.</x:v>
      </x:c>
      <x:c r="D2859" s="6" t="str">
        <x:v>70 m
Pickup: Bedroom 3.12 (apartment 8)
Target: Bedroom 0.01 (apartment 1)</x:v>
      </x:c>
      <x:c r="E2859" s="6" t="str">
        <x:v>Reference supplied</x:v>
      </x:c>
      <x:c r="F2859" s="6" t="str">
        <x:v>train</x:v>
      </x:c>
      <x:c r="G2859" s="6" t="str">
        <x:v>swiss-1828</x:v>
      </x:c>
      <x:c r="H2859" s="6" t="str">
        <x:v>swiss-1828-H03</x:v>
      </x:c>
      <x:c r="I2859" s="6" t="str">
        <x:v>Compound tasks and changes</x:v>
      </x:c>
      <x:c r="J2859" s="6" t="str">
        <x:v>Benchmark</x:v>
      </x:c>
      <x:c r="K2859" s="6" t="str">
        <x:v>Answer: &lt;one number&gt;</x:v>
      </x:c>
      <x:c r="L2859" s="6" t="str">
        <x:v>T02, T03, T04, T05, T07, T14</x:v>
      </x:c>
      <x:c r="M2859" s="6" t="str">
        <x:v>Collect an item from its closest containing room, then deliver it to the largest requested room.</x:v>
      </x:c>
      <x:c r="N2859" s="6" t="str">
        <x:v>{"type":"number","value":70,"unit":"m","relative_tolerance":0.01,"absolute_tolerance":1,"via":"swiss-1828-F3-S012","target":"swiss-1828-F0-S001"}</x:v>
      </x:c>
      <x:c r="O2859" s="6" t="str">
        <x:v>{"start":"swiss-1828-F3-S002","asset_type":"desk","floor_id":"swiss-1828-F0","room_type":"bedroom"}</x:v>
      </x:c>
      <x:c r="P2859" s="6" t="str">
        <x:v>Nearest pickup by route cost first. Largest target by area. Stairs allowed. README routing profile.</x:v>
      </x:c>
      <x:c r="Q2859" s="15" t="n">
        <x:v>70</x:v>
      </x:c>
      <x:c r="R2859" s="6" t="str">
        <x:v>m</x:v>
      </x:c>
      <x:c r="S2859" s="16" t="n">
        <x:v>0.01</x:v>
      </x:c>
      <x:c r="T2859" s="15" t="n">
        <x:v>1</x:v>
      </x:c>
      <x:c r="U2859" s="6" t="str">
        <x:v>Answer: 70</x:v>
      </x:c>
      <x:c r="V2859" s="6" t="str">
        <x:v>chain nearest-item, area and routing</x:v>
      </x:c>
      <x:c r="W2859" s="6" t="str">
        <x:v>Existing routing primitive. Missing full candidate search, area selection and task composition.</x:v>
      </x:c>
      <x:c r="X2859" s="6" t="str">
        <x:v>data/train/swiss-1828/questions.jsonl</x:v>
      </x:c>
      <x:c r="Y2859" s="14" t="n">
        <x:v>3</x:v>
      </x:c>
      <x:c r="Z2859" s="6" t="str">
        <x:v>https://github.com/hagenhaeussler/Industrial-Agents-Hackathon-2026/blob/f41616590b69f3ea0c1cbfb41d6c35edd9ce53df/data/train/swiss-1828/questions.jsonl#L3</x:v>
      </x:c>
      <x:c r="AA2859" s="6" t="str">
        <x:v>swiss_dwellings</x:v>
      </x:c>
      <x:c r="AB2859" s="6" t="str">
        <x:v>CC-BY-4.0</x:v>
      </x:c>
    </x:row>
    <x:row r="2860" ht="82" customHeight="1">
      <x:c r="A2860" s="14" t="n">
        <x:v>2855</x:v>
      </x:c>
      <x:c r="B2860" s="6" t="str">
        <x:v>errand</x:v>
      </x:c>
      <x:c r="C2860" s="6" t="str">
        <x:v>I'm in Bedroom 0.19 (apartment 2) (Ground floor). I need to grab a dishwasher from the room that has one closest to me, then carry it to the largest bedroom on the floor 4. I can carry it on the stairs. How far will I walk in total, in metres? Finish with a line 'Answer: &lt;number&gt;'.</x:v>
      </x:c>
      <x:c r="D2860" s="6" t="str">
        <x:v>76.55 m
Pickup: Kitchen 0.15 (apartment 2)
Target: Bedroom 4.07 (apartment 9)</x:v>
      </x:c>
      <x:c r="E2860" s="6" t="str">
        <x:v>Reference supplied</x:v>
      </x:c>
      <x:c r="F2860" s="6" t="str">
        <x:v>train</x:v>
      </x:c>
      <x:c r="G2860" s="6" t="str">
        <x:v>swiss-1829</x:v>
      </x:c>
      <x:c r="H2860" s="6" t="str">
        <x:v>swiss-1829-H03</x:v>
      </x:c>
      <x:c r="I2860" s="6" t="str">
        <x:v>Compound tasks and changes</x:v>
      </x:c>
      <x:c r="J2860" s="6" t="str">
        <x:v>Benchmark</x:v>
      </x:c>
      <x:c r="K2860" s="6" t="str">
        <x:v>Answer: &lt;one number&gt;</x:v>
      </x:c>
      <x:c r="L2860" s="6" t="str">
        <x:v>T02, T03, T04, T05, T07, T14</x:v>
      </x:c>
      <x:c r="M2860" s="6" t="str">
        <x:v>Collect an item from its closest containing room, then deliver it to the largest requested room.</x:v>
      </x:c>
      <x:c r="N2860" s="6" t="str">
        <x:v>{"type":"number","value":76.55,"unit":"m","relative_tolerance":0.01,"absolute_tolerance":1,"via":"swiss-1829-F0-S015","target":"swiss-1829-F4-S007"}</x:v>
      </x:c>
      <x:c r="O2860" s="6" t="str">
        <x:v>{"start":"swiss-1829-F0-S019","asset_type":"dishwasher","floor_id":"swiss-1829-F4","room_type":"bedroom"}</x:v>
      </x:c>
      <x:c r="P2860" s="6" t="str">
        <x:v>Nearest pickup by route cost first. Largest target by area. Stairs allowed. README routing profile.</x:v>
      </x:c>
      <x:c r="Q2860" s="15" t="n">
        <x:v>76.55</x:v>
      </x:c>
      <x:c r="R2860" s="6" t="str">
        <x:v>m</x:v>
      </x:c>
      <x:c r="S2860" s="16" t="n">
        <x:v>0.01</x:v>
      </x:c>
      <x:c r="T2860" s="15" t="n">
        <x:v>1</x:v>
      </x:c>
      <x:c r="U2860" s="6" t="str">
        <x:v>Answer: 76.55</x:v>
      </x:c>
      <x:c r="V2860" s="6" t="str">
        <x:v>chain nearest-item, area and routing</x:v>
      </x:c>
      <x:c r="W2860" s="6" t="str">
        <x:v>Existing routing primitive. Missing full candidate search, area selection and task composition.</x:v>
      </x:c>
      <x:c r="X2860" s="6" t="str">
        <x:v>data/train/swiss-1829/questions.jsonl</x:v>
      </x:c>
      <x:c r="Y2860" s="14" t="n">
        <x:v>3</x:v>
      </x:c>
      <x:c r="Z2860" s="6" t="str">
        <x:v>https://github.com/hagenhaeussler/Industrial-Agents-Hackathon-2026/blob/f41616590b69f3ea0c1cbfb41d6c35edd9ce53df/data/train/swiss-1829/questions.jsonl#L3</x:v>
      </x:c>
      <x:c r="AA2860" s="6" t="str">
        <x:v>swiss_dwellings</x:v>
      </x:c>
      <x:c r="AB2860" s="6" t="str">
        <x:v>CC-BY-4.0</x:v>
      </x:c>
    </x:row>
    <x:row r="2861" ht="72" customHeight="1">
      <x:c r="A2861" s="14" t="n">
        <x:v>2856</x:v>
      </x:c>
      <x:c r="B2861" s="6" t="str">
        <x:v>errand</x:v>
      </x:c>
      <x:c r="C2861" s="6" t="str">
        <x:v>I'm in Bedroom 3.10 (apartment 14) (Floor 3). I need to grab a toilet from the room that has one closest to me, then carry it to the largest bathroom on the ground floor. I can carry it on the stairs. How far will I walk in total, in metres? Finish with a line 'Answer: &lt;number&gt;'.</x:v>
      </x:c>
      <x:c r="D2861" s="6" t="str">
        <x:v>60.41 m
Pickup: Bathroom 3.15 (apartment 14)
Target: Bathroom 0.19 (apartment 3)</x:v>
      </x:c>
      <x:c r="E2861" s="6" t="str">
        <x:v>Reference supplied</x:v>
      </x:c>
      <x:c r="F2861" s="6" t="str">
        <x:v>train</x:v>
      </x:c>
      <x:c r="G2861" s="6" t="str">
        <x:v>swiss-1883</x:v>
      </x:c>
      <x:c r="H2861" s="6" t="str">
        <x:v>swiss-1883-H03</x:v>
      </x:c>
      <x:c r="I2861" s="6" t="str">
        <x:v>Compound tasks and changes</x:v>
      </x:c>
      <x:c r="J2861" s="6" t="str">
        <x:v>Benchmark</x:v>
      </x:c>
      <x:c r="K2861" s="6" t="str">
        <x:v>Answer: &lt;one number&gt;</x:v>
      </x:c>
      <x:c r="L2861" s="6" t="str">
        <x:v>T02, T03, T04, T05, T07, T14</x:v>
      </x:c>
      <x:c r="M2861" s="6" t="str">
        <x:v>Collect an item from its closest containing room, then deliver it to the largest requested room.</x:v>
      </x:c>
      <x:c r="N2861" s="6" t="str">
        <x:v>{"type":"number","value":60.41,"unit":"m","relative_tolerance":0.01,"absolute_tolerance":1,"via":"swiss-1883-F3-S015","target":"swiss-1883-F0-S019"}</x:v>
      </x:c>
      <x:c r="O2861" s="6" t="str">
        <x:v>{"start":"swiss-1883-F3-S010","asset_type":"toilet","floor_id":"swiss-1883-F0","room_type":"bathroom"}</x:v>
      </x:c>
      <x:c r="P2861" s="6" t="str">
        <x:v>Nearest pickup by route cost first. Largest target by area. Stairs allowed. README routing profile.</x:v>
      </x:c>
      <x:c r="Q2861" s="15" t="n">
        <x:v>60.41</x:v>
      </x:c>
      <x:c r="R2861" s="6" t="str">
        <x:v>m</x:v>
      </x:c>
      <x:c r="S2861" s="16" t="n">
        <x:v>0.01</x:v>
      </x:c>
      <x:c r="T2861" s="15" t="n">
        <x:v>1</x:v>
      </x:c>
      <x:c r="U2861" s="6" t="str">
        <x:v>Answer: 60.41</x:v>
      </x:c>
      <x:c r="V2861" s="6" t="str">
        <x:v>chain nearest-item, area and routing</x:v>
      </x:c>
      <x:c r="W2861" s="6" t="str">
        <x:v>Existing routing primitive. Missing full candidate search, area selection and task composition.</x:v>
      </x:c>
      <x:c r="X2861" s="6" t="str">
        <x:v>data/train/swiss-1883/questions.jsonl</x:v>
      </x:c>
      <x:c r="Y2861" s="14" t="n">
        <x:v>3</x:v>
      </x:c>
      <x:c r="Z2861" s="6" t="str">
        <x:v>https://github.com/hagenhaeussler/Industrial-Agents-Hackathon-2026/blob/f41616590b69f3ea0c1cbfb41d6c35edd9ce53df/data/train/swiss-1883/questions.jsonl#L3</x:v>
      </x:c>
      <x:c r="AA2861" s="6" t="str">
        <x:v>swiss_dwellings</x:v>
      </x:c>
      <x:c r="AB2861" s="6" t="str">
        <x:v>CC-BY-4.0</x:v>
      </x:c>
    </x:row>
    <x:row r="2862" ht="72" customHeight="1">
      <x:c r="A2862" s="14" t="n">
        <x:v>2857</x:v>
      </x:c>
      <x:c r="B2862" s="6" t="str">
        <x:v>errand</x:v>
      </x:c>
      <x:c r="C2862" s="6" t="str">
        <x:v>I'm in Bedroom 4.52 (apartment 56) (Floor 4). I need to grab a plant from the room that has one closest to me, then carry it to the largest kitchen on the floor 4. I can carry it on the stairs. How far will I walk in total, in metres? Finish with a line 'Answer: &lt;number&gt;'.</x:v>
      </x:c>
      <x:c r="D2862" s="6" t="str">
        <x:v>27.01 m
Pickup: Balcony 4.51 (apartment 56)
Target: Kitchen 4.54 (apartment 56)</x:v>
      </x:c>
      <x:c r="E2862" s="6" t="str">
        <x:v>Reference supplied</x:v>
      </x:c>
      <x:c r="F2862" s="6" t="str">
        <x:v>train</x:v>
      </x:c>
      <x:c r="G2862" s="6" t="str">
        <x:v>swiss-1922</x:v>
      </x:c>
      <x:c r="H2862" s="6" t="str">
        <x:v>swiss-1922-H03</x:v>
      </x:c>
      <x:c r="I2862" s="6" t="str">
        <x:v>Compound tasks and changes</x:v>
      </x:c>
      <x:c r="J2862" s="6" t="str">
        <x:v>Benchmark</x:v>
      </x:c>
      <x:c r="K2862" s="6" t="str">
        <x:v>Answer: &lt;one number&gt;</x:v>
      </x:c>
      <x:c r="L2862" s="6" t="str">
        <x:v>T02, T03, T04, T05, T07, T14</x:v>
      </x:c>
      <x:c r="M2862" s="6" t="str">
        <x:v>Collect an item from its closest containing room, then deliver it to the largest requested room.</x:v>
      </x:c>
      <x:c r="N2862" s="6" t="str">
        <x:v>{"type":"number","value":27.01,"unit":"m","relative_tolerance":0.01,"absolute_tolerance":1,"via":"swiss-1922-F4-S051","target":"swiss-1922-F4-S054"}</x:v>
      </x:c>
      <x:c r="O2862" s="6" t="str">
        <x:v>{"start":"swiss-1922-F4-S052","asset_type":"plant","floor_id":"swiss-1922-F4","room_type":"kitchen"}</x:v>
      </x:c>
      <x:c r="P2862" s="6" t="str">
        <x:v>Nearest pickup by route cost first. Largest target by area. Stairs allowed. README routing profile.</x:v>
      </x:c>
      <x:c r="Q2862" s="15" t="n">
        <x:v>27.01</x:v>
      </x:c>
      <x:c r="R2862" s="6" t="str">
        <x:v>m</x:v>
      </x:c>
      <x:c r="S2862" s="16" t="n">
        <x:v>0.01</x:v>
      </x:c>
      <x:c r="T2862" s="15" t="n">
        <x:v>1</x:v>
      </x:c>
      <x:c r="U2862" s="6" t="str">
        <x:v>Answer: 27.01</x:v>
      </x:c>
      <x:c r="V2862" s="6" t="str">
        <x:v>chain nearest-item, area and routing</x:v>
      </x:c>
      <x:c r="W2862" s="6" t="str">
        <x:v>Existing routing primitive. Missing full candidate search, area selection and task composition.</x:v>
      </x:c>
      <x:c r="X2862" s="6" t="str">
        <x:v>data/train/swiss-1922/questions.jsonl</x:v>
      </x:c>
      <x:c r="Y2862" s="14" t="n">
        <x:v>3</x:v>
      </x:c>
      <x:c r="Z2862" s="6" t="str">
        <x:v>https://github.com/hagenhaeussler/Industrial-Agents-Hackathon-2026/blob/f41616590b69f3ea0c1cbfb41d6c35edd9ce53df/data/train/swiss-1922/questions.jsonl#L3</x:v>
      </x:c>
      <x:c r="AA2862" s="6" t="str">
        <x:v>swiss_dwellings</x:v>
      </x:c>
      <x:c r="AB2862" s="6" t="str">
        <x:v>CC-BY-4.0</x:v>
      </x:c>
    </x:row>
    <x:row r="2863" ht="82" customHeight="1">
      <x:c r="A2863" s="14" t="n">
        <x:v>2858</x:v>
      </x:c>
      <x:c r="B2863" s="6" t="str">
        <x:v>errand</x:v>
      </x:c>
      <x:c r="C2863" s="6" t="str">
        <x:v>I'm in Bedroom 1.09 (apartment 3) (Floor 1). I need to grab a fire extinguisher from the room that has one closest to me, then carry it to the largest bedroom on the floor 3. I can carry it on the stairs. How far will I walk in total, in metres? Finish with a line 'Answer: &lt;number&gt;'.</x:v>
      </x:c>
      <x:c r="D2863" s="6" t="str">
        <x:v>40.36 m
Pickup: Landing 1.19
Target: Bedroom 3.02 (apartment 7)</x:v>
      </x:c>
      <x:c r="E2863" s="6" t="str">
        <x:v>Reference supplied</x:v>
      </x:c>
      <x:c r="F2863" s="6" t="str">
        <x:v>train</x:v>
      </x:c>
      <x:c r="G2863" s="6" t="str">
        <x:v>swiss-1936</x:v>
      </x:c>
      <x:c r="H2863" s="6" t="str">
        <x:v>swiss-1936-H03</x:v>
      </x:c>
      <x:c r="I2863" s="6" t="str">
        <x:v>Compound tasks and changes</x:v>
      </x:c>
      <x:c r="J2863" s="6" t="str">
        <x:v>Benchmark</x:v>
      </x:c>
      <x:c r="K2863" s="6" t="str">
        <x:v>Answer: &lt;one number&gt;</x:v>
      </x:c>
      <x:c r="L2863" s="6" t="str">
        <x:v>T02, T03, T04, T05, T07, T14</x:v>
      </x:c>
      <x:c r="M2863" s="6" t="str">
        <x:v>Collect an item from its closest containing room, then deliver it to the largest requested room.</x:v>
      </x:c>
      <x:c r="N2863" s="6" t="str">
        <x:v>{"type":"number","value":40.36,"unit":"m","relative_tolerance":0.01,"absolute_tolerance":1,"via":"swiss-1936-F1-S019","target":"swiss-1936-F3-S002"}</x:v>
      </x:c>
      <x:c r="O2863" s="6" t="str">
        <x:v>{"start":"swiss-1936-F1-S009","asset_type":"fire_extinguisher","floor_id":"swiss-1936-F3","room_type":"bedroom"}</x:v>
      </x:c>
      <x:c r="P2863" s="6" t="str">
        <x:v>Nearest pickup by route cost first. Largest target by area. Stairs allowed. README routing profile.</x:v>
      </x:c>
      <x:c r="Q2863" s="15" t="n">
        <x:v>40.36</x:v>
      </x:c>
      <x:c r="R2863" s="6" t="str">
        <x:v>m</x:v>
      </x:c>
      <x:c r="S2863" s="16" t="n">
        <x:v>0.01</x:v>
      </x:c>
      <x:c r="T2863" s="15" t="n">
        <x:v>1</x:v>
      </x:c>
      <x:c r="U2863" s="6" t="str">
        <x:v>Answer: 40.36</x:v>
      </x:c>
      <x:c r="V2863" s="6" t="str">
        <x:v>chain nearest-item, area and routing</x:v>
      </x:c>
      <x:c r="W2863" s="6" t="str">
        <x:v>Existing routing primitive. Missing full candidate search, area selection and task composition.</x:v>
      </x:c>
      <x:c r="X2863" s="6" t="str">
        <x:v>data/train/swiss-1936/questions.jsonl</x:v>
      </x:c>
      <x:c r="Y2863" s="14" t="n">
        <x:v>3</x:v>
      </x:c>
      <x:c r="Z2863" s="6" t="str">
        <x:v>https://github.com/hagenhaeussler/Industrial-Agents-Hackathon-2026/blob/f41616590b69f3ea0c1cbfb41d6c35edd9ce53df/data/train/swiss-1936/questions.jsonl#L3</x:v>
      </x:c>
      <x:c r="AA2863" s="6" t="str">
        <x:v>swiss_dwellings</x:v>
      </x:c>
      <x:c r="AB2863" s="6" t="str">
        <x:v>CC-BY-4.0</x:v>
      </x:c>
    </x:row>
    <x:row r="2864" ht="72" customHeight="1">
      <x:c r="A2864" s="14" t="n">
        <x:v>2859</x:v>
      </x:c>
      <x:c r="B2864" s="6" t="str">
        <x:v>errand</x:v>
      </x:c>
      <x:c r="C2864" s="6" t="str">
        <x:v>I'm in Bedroom 2.26 (apartment 6) (Floor 2). I need to grab a microwave from the room that has one closest to me, then carry it to the largest bathroom on the floor 5. I can carry it on the stairs. How far will I walk in total, in metres? Finish with a line 'Answer: &lt;number&gt;'.</x:v>
      </x:c>
      <x:c r="D2864" s="6" t="str">
        <x:v>83.25 m
Pickup: Kitchen 2.22 (apartment 6)
Target: Bathroom 5.02 (apartment 11)</x:v>
      </x:c>
      <x:c r="E2864" s="6" t="str">
        <x:v>Reference supplied</x:v>
      </x:c>
      <x:c r="F2864" s="6" t="str">
        <x:v>train</x:v>
      </x:c>
      <x:c r="G2864" s="6" t="str">
        <x:v>swiss-2084</x:v>
      </x:c>
      <x:c r="H2864" s="6" t="str">
        <x:v>swiss-2084-H04</x:v>
      </x:c>
      <x:c r="I2864" s="6" t="str">
        <x:v>Compound tasks and changes</x:v>
      </x:c>
      <x:c r="J2864" s="6" t="str">
        <x:v>Benchmark</x:v>
      </x:c>
      <x:c r="K2864" s="6" t="str">
        <x:v>Answer: &lt;one number&gt;</x:v>
      </x:c>
      <x:c r="L2864" s="6" t="str">
        <x:v>T02, T03, T04, T05, T07, T14</x:v>
      </x:c>
      <x:c r="M2864" s="6" t="str">
        <x:v>Collect an item from its closest containing room, then deliver it to the largest requested room.</x:v>
      </x:c>
      <x:c r="N2864" s="6" t="str">
        <x:v>{"type":"number","value":83.25,"unit":"m","relative_tolerance":0.01,"absolute_tolerance":1,"via":"swiss-2084-F2-S022","target":"swiss-2084-F5-S002"}</x:v>
      </x:c>
      <x:c r="O2864" s="6" t="str">
        <x:v>{"start":"swiss-2084-F2-S026","asset_type":"microwave","floor_id":"swiss-2084-F5","room_type":"bathroom"}</x:v>
      </x:c>
      <x:c r="P2864" s="6" t="str">
        <x:v>Nearest pickup by route cost first. Largest target by area. Stairs allowed. README routing profile.</x:v>
      </x:c>
      <x:c r="Q2864" s="15" t="n">
        <x:v>83.25</x:v>
      </x:c>
      <x:c r="R2864" s="6" t="str">
        <x:v>m</x:v>
      </x:c>
      <x:c r="S2864" s="16" t="n">
        <x:v>0.01</x:v>
      </x:c>
      <x:c r="T2864" s="15" t="n">
        <x:v>1</x:v>
      </x:c>
      <x:c r="U2864" s="6" t="str">
        <x:v>Answer: 83.25</x:v>
      </x:c>
      <x:c r="V2864" s="6" t="str">
        <x:v>chain nearest-item, area and routing</x:v>
      </x:c>
      <x:c r="W2864" s="6" t="str">
        <x:v>Existing routing primitive. Missing full candidate search, area selection and task composition.</x:v>
      </x:c>
      <x:c r="X2864" s="6" t="str">
        <x:v>data/train/swiss-2084/questions.jsonl</x:v>
      </x:c>
      <x:c r="Y2864" s="14" t="n">
        <x:v>4</x:v>
      </x:c>
      <x:c r="Z2864" s="6" t="str">
        <x:v>https://github.com/hagenhaeussler/Industrial-Agents-Hackathon-2026/blob/f41616590b69f3ea0c1cbfb41d6c35edd9ce53df/data/train/swiss-2084/questions.jsonl#L4</x:v>
      </x:c>
      <x:c r="AA2864" s="6" t="str">
        <x:v>swiss_dwellings</x:v>
      </x:c>
      <x:c r="AB2864" s="6" t="str">
        <x:v>CC-BY-4.0</x:v>
      </x:c>
    </x:row>
    <x:row r="2865" ht="72" customHeight="1">
      <x:c r="A2865" s="14" t="n">
        <x:v>2860</x:v>
      </x:c>
      <x:c r="B2865" s="6" t="str">
        <x:v>errand</x:v>
      </x:c>
      <x:c r="C2865" s="6" t="str">
        <x:v>I'm in Bathroom 3.47 (apartment 24) (Floor 3). I need to grab a tv stand from the room that has one closest to me, then carry it to the largest bathroom on the floor 3. I can carry it on the stairs. How far will I walk in total, in metres? Finish with a line 'Answer: &lt;number&gt;'.</x:v>
      </x:c>
      <x:c r="D2865" s="6" t="str">
        <x:v>23.96 m
Pickup: Living room 3.54 (apartment 24)
Target: Bathroom 3.38 (apartment 23)</x:v>
      </x:c>
      <x:c r="E2865" s="6" t="str">
        <x:v>Reference supplied</x:v>
      </x:c>
      <x:c r="F2865" s="6" t="str">
        <x:v>train</x:v>
      </x:c>
      <x:c r="G2865" s="6" t="str">
        <x:v>swiss-210</x:v>
      </x:c>
      <x:c r="H2865" s="6" t="str">
        <x:v>swiss-210-H03</x:v>
      </x:c>
      <x:c r="I2865" s="6" t="str">
        <x:v>Compound tasks and changes</x:v>
      </x:c>
      <x:c r="J2865" s="6" t="str">
        <x:v>Benchmark</x:v>
      </x:c>
      <x:c r="K2865" s="6" t="str">
        <x:v>Answer: &lt;one number&gt;</x:v>
      </x:c>
      <x:c r="L2865" s="6" t="str">
        <x:v>T02, T03, T04, T05, T07, T14</x:v>
      </x:c>
      <x:c r="M2865" s="6" t="str">
        <x:v>Collect an item from its closest containing room, then deliver it to the largest requested room.</x:v>
      </x:c>
      <x:c r="N2865" s="6" t="str">
        <x:v>{"type":"number","value":23.96,"unit":"m","relative_tolerance":0.01,"absolute_tolerance":1,"via":"swiss-210-F3-S054","target":"swiss-210-F3-S038"}</x:v>
      </x:c>
      <x:c r="O2865" s="6" t="str">
        <x:v>{"start":"swiss-210-F3-S047","asset_type":"tv_stand","floor_id":"swiss-210-F3","room_type":"bathroom"}</x:v>
      </x:c>
      <x:c r="P2865" s="6" t="str">
        <x:v>Nearest pickup by route cost first. Largest target by area. Stairs allowed. README routing profile.</x:v>
      </x:c>
      <x:c r="Q2865" s="15" t="n">
        <x:v>23.96</x:v>
      </x:c>
      <x:c r="R2865" s="6" t="str">
        <x:v>m</x:v>
      </x:c>
      <x:c r="S2865" s="16" t="n">
        <x:v>0.01</x:v>
      </x:c>
      <x:c r="T2865" s="15" t="n">
        <x:v>1</x:v>
      </x:c>
      <x:c r="U2865" s="6" t="str">
        <x:v>Answer: 23.96</x:v>
      </x:c>
      <x:c r="V2865" s="6" t="str">
        <x:v>chain nearest-item, area and routing</x:v>
      </x:c>
      <x:c r="W2865" s="6" t="str">
        <x:v>Existing routing primitive. Missing full candidate search, area selection and task composition.</x:v>
      </x:c>
      <x:c r="X2865" s="6" t="str">
        <x:v>data/train/swiss-210/questions.jsonl</x:v>
      </x:c>
      <x:c r="Y2865" s="14" t="n">
        <x:v>3</x:v>
      </x:c>
      <x:c r="Z2865" s="6" t="str">
        <x:v>https://github.com/hagenhaeussler/Industrial-Agents-Hackathon-2026/blob/f41616590b69f3ea0c1cbfb41d6c35edd9ce53df/data/train/swiss-210/questions.jsonl#L3</x:v>
      </x:c>
      <x:c r="AA2865" s="6" t="str">
        <x:v>swiss_dwellings</x:v>
      </x:c>
      <x:c r="AB2865" s="6" t="str">
        <x:v>CC-BY-4.0</x:v>
      </x:c>
    </x:row>
    <x:row r="2866" ht="82" customHeight="1">
      <x:c r="A2866" s="14" t="n">
        <x:v>2861</x:v>
      </x:c>
      <x:c r="B2866" s="6" t="str">
        <x:v>errand</x:v>
      </x:c>
      <x:c r="C2866" s="6" t="str">
        <x:v>I'm in Living room 2.51 (apartment 20) (Floor 2). I need to grab a dishwasher from the room that has one closest to me, then carry it to the largest bedroom on the floor 2. I can carry it on the stairs. How far will I walk in total, in metres? Finish with a line 'Answer: &lt;number&gt;'.</x:v>
      </x:c>
      <x:c r="D2866" s="6" t="str">
        <x:v>33.72 m
Pickup: Kitchen 2.59 (apartment 20)
Target: Bedroom 2.12 (apartment 15)</x:v>
      </x:c>
      <x:c r="E2866" s="6" t="str">
        <x:v>Reference supplied</x:v>
      </x:c>
      <x:c r="F2866" s="6" t="str">
        <x:v>train</x:v>
      </x:c>
      <x:c r="G2866" s="6" t="str">
        <x:v>swiss-2214</x:v>
      </x:c>
      <x:c r="H2866" s="6" t="str">
        <x:v>swiss-2214-H03</x:v>
      </x:c>
      <x:c r="I2866" s="6" t="str">
        <x:v>Compound tasks and changes</x:v>
      </x:c>
      <x:c r="J2866" s="6" t="str">
        <x:v>Benchmark</x:v>
      </x:c>
      <x:c r="K2866" s="6" t="str">
        <x:v>Answer: &lt;one number&gt;</x:v>
      </x:c>
      <x:c r="L2866" s="6" t="str">
        <x:v>T02, T03, T04, T05, T07, T14</x:v>
      </x:c>
      <x:c r="M2866" s="6" t="str">
        <x:v>Collect an item from its closest containing room, then deliver it to the largest requested room.</x:v>
      </x:c>
      <x:c r="N2866" s="6" t="str">
        <x:v>{"type":"number","value":33.72,"unit":"m","relative_tolerance":0.01,"absolute_tolerance":1,"via":"swiss-2214-F2-S059","target":"swiss-2214-F2-S012"}</x:v>
      </x:c>
      <x:c r="O2866" s="6" t="str">
        <x:v>{"start":"swiss-2214-F2-S051","asset_type":"dishwasher","floor_id":"swiss-2214-F2","room_type":"bedroom"}</x:v>
      </x:c>
      <x:c r="P2866" s="6" t="str">
        <x:v>Nearest pickup by route cost first. Largest target by area. Stairs allowed. README routing profile.</x:v>
      </x:c>
      <x:c r="Q2866" s="15" t="n">
        <x:v>33.72</x:v>
      </x:c>
      <x:c r="R2866" s="6" t="str">
        <x:v>m</x:v>
      </x:c>
      <x:c r="S2866" s="16" t="n">
        <x:v>0.01</x:v>
      </x:c>
      <x:c r="T2866" s="15" t="n">
        <x:v>1</x:v>
      </x:c>
      <x:c r="U2866" s="6" t="str">
        <x:v>Answer: 33.72</x:v>
      </x:c>
      <x:c r="V2866" s="6" t="str">
        <x:v>chain nearest-item, area and routing</x:v>
      </x:c>
      <x:c r="W2866" s="6" t="str">
        <x:v>Existing routing primitive. Missing full candidate search, area selection and task composition.</x:v>
      </x:c>
      <x:c r="X2866" s="6" t="str">
        <x:v>data/train/swiss-2214/questions.jsonl</x:v>
      </x:c>
      <x:c r="Y2866" s="14" t="n">
        <x:v>3</x:v>
      </x:c>
      <x:c r="Z2866" s="6" t="str">
        <x:v>https://github.com/hagenhaeussler/Industrial-Agents-Hackathon-2026/blob/f41616590b69f3ea0c1cbfb41d6c35edd9ce53df/data/train/swiss-2214/questions.jsonl#L3</x:v>
      </x:c>
      <x:c r="AA2866" s="6" t="str">
        <x:v>swiss_dwellings</x:v>
      </x:c>
      <x:c r="AB2866" s="6" t="str">
        <x:v>CC-BY-4.0</x:v>
      </x:c>
    </x:row>
    <x:row r="2867" ht="82" customHeight="1">
      <x:c r="A2867" s="14" t="n">
        <x:v>2862</x:v>
      </x:c>
      <x:c r="B2867" s="6" t="str">
        <x:v>errand</x:v>
      </x:c>
      <x:c r="C2867" s="6" t="str">
        <x:v>I'm in Kitchen 3.20 (apartment 15) (Floor 3). I need to grab a outdoor table from the room that has one closest to me, then carry it to the largest bedroom on the ground floor. I can carry it on the stairs. How far will I walk in total, in metres? Finish with a line 'Answer: &lt;number&gt;'.</x:v>
      </x:c>
      <x:c r="D2867" s="6" t="str">
        <x:v>104.43 m
Pickup: Balcony 4.13 (apartment 18)
Target: Bedroom 0.10 (apartment 2)</x:v>
      </x:c>
      <x:c r="E2867" s="6" t="str">
        <x:v>Reference supplied</x:v>
      </x:c>
      <x:c r="F2867" s="6" t="str">
        <x:v>train</x:v>
      </x:c>
      <x:c r="G2867" s="6" t="str">
        <x:v>swiss-2216</x:v>
      </x:c>
      <x:c r="H2867" s="6" t="str">
        <x:v>swiss-2216-H03</x:v>
      </x:c>
      <x:c r="I2867" s="6" t="str">
        <x:v>Compound tasks and changes</x:v>
      </x:c>
      <x:c r="J2867" s="6" t="str">
        <x:v>Benchmark</x:v>
      </x:c>
      <x:c r="K2867" s="6" t="str">
        <x:v>Answer: &lt;one number&gt;</x:v>
      </x:c>
      <x:c r="L2867" s="6" t="str">
        <x:v>T02, T03, T04, T05, T07, T14</x:v>
      </x:c>
      <x:c r="M2867" s="6" t="str">
        <x:v>Collect an item from its closest containing room, then deliver it to the largest requested room.</x:v>
      </x:c>
      <x:c r="N2867" s="6" t="str">
        <x:v>{"type":"number","value":104.43,"unit":"m","relative_tolerance":0.01,"absolute_tolerance":1,"via":"swiss-2216-F4-S013","target":"swiss-2216-F0-S010"}</x:v>
      </x:c>
      <x:c r="O2867" s="6" t="str">
        <x:v>{"start":"swiss-2216-F3-S020","asset_type":"outdoor_table","floor_id":"swiss-2216-F0","room_type":"bedroom"}</x:v>
      </x:c>
      <x:c r="P2867" s="6" t="str">
        <x:v>Nearest pickup by route cost first. Largest target by area. Stairs allowed. README routing profile.</x:v>
      </x:c>
      <x:c r="Q2867" s="15" t="n">
        <x:v>104.43</x:v>
      </x:c>
      <x:c r="R2867" s="6" t="str">
        <x:v>m</x:v>
      </x:c>
      <x:c r="S2867" s="16" t="n">
        <x:v>0.01</x:v>
      </x:c>
      <x:c r="T2867" s="15" t="n">
        <x:v>1</x:v>
      </x:c>
      <x:c r="U2867" s="6" t="str">
        <x:v>Answer: 104.43</x:v>
      </x:c>
      <x:c r="V2867" s="6" t="str">
        <x:v>chain nearest-item, area and routing</x:v>
      </x:c>
      <x:c r="W2867" s="6" t="str">
        <x:v>Existing routing primitive. Missing full candidate search, area selection and task composition.</x:v>
      </x:c>
      <x:c r="X2867" s="6" t="str">
        <x:v>data/train/swiss-2216/questions.jsonl</x:v>
      </x:c>
      <x:c r="Y2867" s="14" t="n">
        <x:v>3</x:v>
      </x:c>
      <x:c r="Z2867" s="6" t="str">
        <x:v>https://github.com/hagenhaeussler/Industrial-Agents-Hackathon-2026/blob/f41616590b69f3ea0c1cbfb41d6c35edd9ce53df/data/train/swiss-2216/questions.jsonl#L3</x:v>
      </x:c>
      <x:c r="AA2867" s="6" t="str">
        <x:v>swiss_dwellings</x:v>
      </x:c>
      <x:c r="AB2867" s="6" t="str">
        <x:v>CC-BY-4.0</x:v>
      </x:c>
    </x:row>
    <x:row r="2868" ht="72" customHeight="1">
      <x:c r="A2868" s="14" t="n">
        <x:v>2863</x:v>
      </x:c>
      <x:c r="B2868" s="6" t="str">
        <x:v>errand</x:v>
      </x:c>
      <x:c r="C2868" s="6" t="str">
        <x:v>I'm in Kitchen 3.08 (apartment 8) (Floor 3). I need to grab a bathtub from the room that has one closest to me, then carry it to the largest bathroom on the floor 1. I can carry it on the stairs. How far will I walk in total, in metres? Finish with a line 'Answer: &lt;number&gt;'.</x:v>
      </x:c>
      <x:c r="D2868" s="6" t="str">
        <x:v>45.45 m
Pickup: Bathroom 3.14 (apartment 8)
Target: Bathroom 1.05 (apartment 3)</x:v>
      </x:c>
      <x:c r="E2868" s="6" t="str">
        <x:v>Reference supplied</x:v>
      </x:c>
      <x:c r="F2868" s="6" t="str">
        <x:v>train</x:v>
      </x:c>
      <x:c r="G2868" s="6" t="str">
        <x:v>swiss-2221</x:v>
      </x:c>
      <x:c r="H2868" s="6" t="str">
        <x:v>swiss-2221-H03</x:v>
      </x:c>
      <x:c r="I2868" s="6" t="str">
        <x:v>Compound tasks and changes</x:v>
      </x:c>
      <x:c r="J2868" s="6" t="str">
        <x:v>Benchmark</x:v>
      </x:c>
      <x:c r="K2868" s="6" t="str">
        <x:v>Answer: &lt;one number&gt;</x:v>
      </x:c>
      <x:c r="L2868" s="6" t="str">
        <x:v>T02, T03, T04, T05, T07, T14</x:v>
      </x:c>
      <x:c r="M2868" s="6" t="str">
        <x:v>Collect an item from its closest containing room, then deliver it to the largest requested room.</x:v>
      </x:c>
      <x:c r="N2868" s="6" t="str">
        <x:v>{"type":"number","value":45.45,"unit":"m","relative_tolerance":0.01,"absolute_tolerance":1,"via":"swiss-2221-F3-S014","target":"swiss-2221-F1-S005"}</x:v>
      </x:c>
      <x:c r="O2868" s="6" t="str">
        <x:v>{"start":"swiss-2221-F3-S008","asset_type":"bathtub","floor_id":"swiss-2221-F1","room_type":"bathroom"}</x:v>
      </x:c>
      <x:c r="P2868" s="6" t="str">
        <x:v>Nearest pickup by route cost first. Largest target by area. Stairs allowed. README routing profile.</x:v>
      </x:c>
      <x:c r="Q2868" s="15" t="n">
        <x:v>45.45</x:v>
      </x:c>
      <x:c r="R2868" s="6" t="str">
        <x:v>m</x:v>
      </x:c>
      <x:c r="S2868" s="16" t="n">
        <x:v>0.01</x:v>
      </x:c>
      <x:c r="T2868" s="15" t="n">
        <x:v>1</x:v>
      </x:c>
      <x:c r="U2868" s="6" t="str">
        <x:v>Answer: 45.45</x:v>
      </x:c>
      <x:c r="V2868" s="6" t="str">
        <x:v>chain nearest-item, area and routing</x:v>
      </x:c>
      <x:c r="W2868" s="6" t="str">
        <x:v>Existing routing primitive. Missing full candidate search, area selection and task composition.</x:v>
      </x:c>
      <x:c r="X2868" s="6" t="str">
        <x:v>data/train/swiss-2221/questions.jsonl</x:v>
      </x:c>
      <x:c r="Y2868" s="14" t="n">
        <x:v>3</x:v>
      </x:c>
      <x:c r="Z2868" s="6" t="str">
        <x:v>https://github.com/hagenhaeussler/Industrial-Agents-Hackathon-2026/blob/f41616590b69f3ea0c1cbfb41d6c35edd9ce53df/data/train/swiss-2221/questions.jsonl#L3</x:v>
      </x:c>
      <x:c r="AA2868" s="6" t="str">
        <x:v>swiss_dwellings</x:v>
      </x:c>
      <x:c r="AB2868" s="6" t="str">
        <x:v>CC-BY-4.0</x:v>
      </x:c>
    </x:row>
    <x:row r="2869" ht="82" customHeight="1">
      <x:c r="A2869" s="14" t="n">
        <x:v>2864</x:v>
      </x:c>
      <x:c r="B2869" s="6" t="str">
        <x:v>errand</x:v>
      </x:c>
      <x:c r="C2869" s="6" t="str">
        <x:v>I'm in Bedroom 2.28 (apartment 18) (Floor 2). I need to grab a sofa from the room that has one closest to me, then carry it to the largest living room on the ground floor. I can carry it on the stairs. How far will I walk in total, in metres? Finish with a line 'Answer: &lt;number&gt;'.</x:v>
      </x:c>
      <x:c r="D2869" s="6" t="str">
        <x:v>55.43 m
Pickup: Living room 2.32 (apartment 18)
Target: Living room 0.44 (apartment 6)</x:v>
      </x:c>
      <x:c r="E2869" s="6" t="str">
        <x:v>Reference supplied</x:v>
      </x:c>
      <x:c r="F2869" s="6" t="str">
        <x:v>train</x:v>
      </x:c>
      <x:c r="G2869" s="6" t="str">
        <x:v>swiss-2274</x:v>
      </x:c>
      <x:c r="H2869" s="6" t="str">
        <x:v>swiss-2274-H03</x:v>
      </x:c>
      <x:c r="I2869" s="6" t="str">
        <x:v>Compound tasks and changes</x:v>
      </x:c>
      <x:c r="J2869" s="6" t="str">
        <x:v>Benchmark</x:v>
      </x:c>
      <x:c r="K2869" s="6" t="str">
        <x:v>Answer: &lt;one number&gt;</x:v>
      </x:c>
      <x:c r="L2869" s="6" t="str">
        <x:v>T02, T03, T04, T05, T07, T14</x:v>
      </x:c>
      <x:c r="M2869" s="6" t="str">
        <x:v>Collect an item from its closest containing room, then deliver it to the largest requested room.</x:v>
      </x:c>
      <x:c r="N2869" s="6" t="str">
        <x:v>{"type":"number","value":55.43,"unit":"m","relative_tolerance":0.01,"absolute_tolerance":1,"via":"swiss-2274-F2-S032","target":"swiss-2274-F0-S044"}</x:v>
      </x:c>
      <x:c r="O2869" s="6" t="str">
        <x:v>{"start":"swiss-2274-F2-S028","asset_type":"sofa","floor_id":"swiss-2274-F0","room_type":"living_room"}</x:v>
      </x:c>
      <x:c r="P2869" s="6" t="str">
        <x:v>Nearest pickup by route cost first. Largest target by area. Stairs allowed. README routing profile.</x:v>
      </x:c>
      <x:c r="Q2869" s="15" t="n">
        <x:v>55.43</x:v>
      </x:c>
      <x:c r="R2869" s="6" t="str">
        <x:v>m</x:v>
      </x:c>
      <x:c r="S2869" s="16" t="n">
        <x:v>0.01</x:v>
      </x:c>
      <x:c r="T2869" s="15" t="n">
        <x:v>1</x:v>
      </x:c>
      <x:c r="U2869" s="6" t="str">
        <x:v>Answer: 55.43</x:v>
      </x:c>
      <x:c r="V2869" s="6" t="str">
        <x:v>chain nearest-item, area and routing</x:v>
      </x:c>
      <x:c r="W2869" s="6" t="str">
        <x:v>Existing routing primitive. Missing full candidate search, area selection and task composition.</x:v>
      </x:c>
      <x:c r="X2869" s="6" t="str">
        <x:v>data/train/swiss-2274/questions.jsonl</x:v>
      </x:c>
      <x:c r="Y2869" s="14" t="n">
        <x:v>3</x:v>
      </x:c>
      <x:c r="Z2869" s="6" t="str">
        <x:v>https://github.com/hagenhaeussler/Industrial-Agents-Hackathon-2026/blob/f41616590b69f3ea0c1cbfb41d6c35edd9ce53df/data/train/swiss-2274/questions.jsonl#L3</x:v>
      </x:c>
      <x:c r="AA2869" s="6" t="str">
        <x:v>swiss_dwellings</x:v>
      </x:c>
      <x:c r="AB2869" s="6" t="str">
        <x:v>CC-BY-4.0</x:v>
      </x:c>
    </x:row>
    <x:row r="2870" ht="82" customHeight="1">
      <x:c r="A2870" s="14" t="n">
        <x:v>2865</x:v>
      </x:c>
      <x:c r="B2870" s="6" t="str">
        <x:v>errand</x:v>
      </x:c>
      <x:c r="C2870" s="6" t="str">
        <x:v>I'm in Bathroom 1.38 (apartment 12) (Floor 1). I need to grab a coffee machine from the room that has one closest to me, then carry it to the largest bathroom on the ground floor. I can carry it on the stairs. How far will I walk in total, in metres? Finish with a line 'Answer: &lt;number&gt;'.</x:v>
      </x:c>
      <x:c r="D2870" s="6" t="str">
        <x:v>31.14 m
Pickup: Kitchen 1.42 (apartment 12)
Target: Bathroom 0.02 (apartment 1)</x:v>
      </x:c>
      <x:c r="E2870" s="6" t="str">
        <x:v>Reference supplied</x:v>
      </x:c>
      <x:c r="F2870" s="6" t="str">
        <x:v>train</x:v>
      </x:c>
      <x:c r="G2870" s="6" t="str">
        <x:v>swiss-2314</x:v>
      </x:c>
      <x:c r="H2870" s="6" t="str">
        <x:v>swiss-2314-H03</x:v>
      </x:c>
      <x:c r="I2870" s="6" t="str">
        <x:v>Compound tasks and changes</x:v>
      </x:c>
      <x:c r="J2870" s="6" t="str">
        <x:v>Benchmark</x:v>
      </x:c>
      <x:c r="K2870" s="6" t="str">
        <x:v>Answer: &lt;one number&gt;</x:v>
      </x:c>
      <x:c r="L2870" s="6" t="str">
        <x:v>T02, T03, T04, T05, T07, T14</x:v>
      </x:c>
      <x:c r="M2870" s="6" t="str">
        <x:v>Collect an item from its closest containing room, then deliver it to the largest requested room.</x:v>
      </x:c>
      <x:c r="N2870" s="6" t="str">
        <x:v>{"type":"number","value":31.14,"unit":"m","relative_tolerance":0.01,"absolute_tolerance":1,"via":"swiss-2314-F1-S042","target":"swiss-2314-F0-S002"}</x:v>
      </x:c>
      <x:c r="O2870" s="6" t="str">
        <x:v>{"start":"swiss-2314-F1-S038","asset_type":"coffee_machine","floor_id":"swiss-2314-F0","room_type":"bathroom"}</x:v>
      </x:c>
      <x:c r="P2870" s="6" t="str">
        <x:v>Nearest pickup by route cost first. Largest target by area. Stairs allowed. README routing profile.</x:v>
      </x:c>
      <x:c r="Q2870" s="15" t="n">
        <x:v>31.14</x:v>
      </x:c>
      <x:c r="R2870" s="6" t="str">
        <x:v>m</x:v>
      </x:c>
      <x:c r="S2870" s="16" t="n">
        <x:v>0.01</x:v>
      </x:c>
      <x:c r="T2870" s="15" t="n">
        <x:v>1</x:v>
      </x:c>
      <x:c r="U2870" s="6" t="str">
        <x:v>Answer: 31.14</x:v>
      </x:c>
      <x:c r="V2870" s="6" t="str">
        <x:v>chain nearest-item, area and routing</x:v>
      </x:c>
      <x:c r="W2870" s="6" t="str">
        <x:v>Existing routing primitive. Missing full candidate search, area selection and task composition.</x:v>
      </x:c>
      <x:c r="X2870" s="6" t="str">
        <x:v>data/train/swiss-2314/questions.jsonl</x:v>
      </x:c>
      <x:c r="Y2870" s="14" t="n">
        <x:v>3</x:v>
      </x:c>
      <x:c r="Z2870" s="6" t="str">
        <x:v>https://github.com/hagenhaeussler/Industrial-Agents-Hackathon-2026/blob/f41616590b69f3ea0c1cbfb41d6c35edd9ce53df/data/train/swiss-2314/questions.jsonl#L3</x:v>
      </x:c>
      <x:c r="AA2870" s="6" t="str">
        <x:v>swiss_dwellings</x:v>
      </x:c>
      <x:c r="AB2870" s="6" t="str">
        <x:v>CC-BY-4.0</x:v>
      </x:c>
    </x:row>
    <x:row r="2871" ht="72" customHeight="1">
      <x:c r="A2871" s="14" t="n">
        <x:v>2866</x:v>
      </x:c>
      <x:c r="B2871" s="6" t="str">
        <x:v>errand</x:v>
      </x:c>
      <x:c r="C2871" s="6" t="str">
        <x:v>I'm in Living room 2.17 (apartment 9) (Floor 2). I need to grab a wardrobe from the room that has one closest to me, then carry it to the largest bedroom on the floor 2. I can carry it on the stairs. How far will I walk in total, in metres? Finish with a line 'Answer: &lt;number&gt;'.</x:v>
      </x:c>
      <x:c r="D2871" s="6" t="str">
        <x:v>33.39 m
Pickup: Bedroom 2.16 (apartment 9)
Target: Bedroom 2.01 (apartment 7)</x:v>
      </x:c>
      <x:c r="E2871" s="6" t="str">
        <x:v>Reference supplied</x:v>
      </x:c>
      <x:c r="F2871" s="6" t="str">
        <x:v>train</x:v>
      </x:c>
      <x:c r="G2871" s="6" t="str">
        <x:v>swiss-2482</x:v>
      </x:c>
      <x:c r="H2871" s="6" t="str">
        <x:v>swiss-2482-H03</x:v>
      </x:c>
      <x:c r="I2871" s="6" t="str">
        <x:v>Compound tasks and changes</x:v>
      </x:c>
      <x:c r="J2871" s="6" t="str">
        <x:v>Benchmark</x:v>
      </x:c>
      <x:c r="K2871" s="6" t="str">
        <x:v>Answer: &lt;one number&gt;</x:v>
      </x:c>
      <x:c r="L2871" s="6" t="str">
        <x:v>T02, T03, T04, T05, T07, T14</x:v>
      </x:c>
      <x:c r="M2871" s="6" t="str">
        <x:v>Collect an item from its closest containing room, then deliver it to the largest requested room.</x:v>
      </x:c>
      <x:c r="N2871" s="6" t="str">
        <x:v>{"type":"number","value":33.39,"unit":"m","relative_tolerance":0.01,"absolute_tolerance":1,"via":"swiss-2482-F2-S016","target":"swiss-2482-F2-S001"}</x:v>
      </x:c>
      <x:c r="O2871" s="6" t="str">
        <x:v>{"start":"swiss-2482-F2-S017","asset_type":"wardrobe","floor_id":"swiss-2482-F2","room_type":"bedroom"}</x:v>
      </x:c>
      <x:c r="P2871" s="6" t="str">
        <x:v>Nearest pickup by route cost first. Largest target by area. Stairs allowed. README routing profile.</x:v>
      </x:c>
      <x:c r="Q2871" s="15" t="n">
        <x:v>33.39</x:v>
      </x:c>
      <x:c r="R2871" s="6" t="str">
        <x:v>m</x:v>
      </x:c>
      <x:c r="S2871" s="16" t="n">
        <x:v>0.01</x:v>
      </x:c>
      <x:c r="T2871" s="15" t="n">
        <x:v>1</x:v>
      </x:c>
      <x:c r="U2871" s="6" t="str">
        <x:v>Answer: 33.39</x:v>
      </x:c>
      <x:c r="V2871" s="6" t="str">
        <x:v>chain nearest-item, area and routing</x:v>
      </x:c>
      <x:c r="W2871" s="6" t="str">
        <x:v>Existing routing primitive. Missing full candidate search, area selection and task composition.</x:v>
      </x:c>
      <x:c r="X2871" s="6" t="str">
        <x:v>data/train/swiss-2482/questions.jsonl</x:v>
      </x:c>
      <x:c r="Y2871" s="14" t="n">
        <x:v>3</x:v>
      </x:c>
      <x:c r="Z2871" s="6" t="str">
        <x:v>https://github.com/hagenhaeussler/Industrial-Agents-Hackathon-2026/blob/f41616590b69f3ea0c1cbfb41d6c35edd9ce53df/data/train/swiss-2482/questions.jsonl#L3</x:v>
      </x:c>
      <x:c r="AA2871" s="6" t="str">
        <x:v>swiss_dwellings</x:v>
      </x:c>
      <x:c r="AB2871" s="6" t="str">
        <x:v>CC-BY-4.0</x:v>
      </x:c>
    </x:row>
    <x:row r="2872" ht="72" customHeight="1">
      <x:c r="A2872" s="14" t="n">
        <x:v>2867</x:v>
      </x:c>
      <x:c r="B2872" s="6" t="str">
        <x:v>errand</x:v>
      </x:c>
      <x:c r="C2872" s="6" t="str">
        <x:v>I'm in Living room 2.11 (apartment 6) (Floor 2). I need to grab a stove from the room that has one closest to me, then carry it to the largest bedroom on the floor 4. I can carry it on the stairs. How far will I walk in total, in metres? Finish with a line 'Answer: &lt;number&gt;'.</x:v>
      </x:c>
      <x:c r="D2872" s="6" t="str">
        <x:v>56.64 m
Pickup: Kitchen 2.10 (apartment 6)
Target: Bedroom 4.01 (apartment 9)</x:v>
      </x:c>
      <x:c r="E2872" s="6" t="str">
        <x:v>Reference supplied</x:v>
      </x:c>
      <x:c r="F2872" s="6" t="str">
        <x:v>train</x:v>
      </x:c>
      <x:c r="G2872" s="6" t="str">
        <x:v>swiss-28</x:v>
      </x:c>
      <x:c r="H2872" s="6" t="str">
        <x:v>swiss-28-H03</x:v>
      </x:c>
      <x:c r="I2872" s="6" t="str">
        <x:v>Compound tasks and changes</x:v>
      </x:c>
      <x:c r="J2872" s="6" t="str">
        <x:v>Benchmark</x:v>
      </x:c>
      <x:c r="K2872" s="6" t="str">
        <x:v>Answer: &lt;one number&gt;</x:v>
      </x:c>
      <x:c r="L2872" s="6" t="str">
        <x:v>T02, T03, T04, T05, T07, T14</x:v>
      </x:c>
      <x:c r="M2872" s="6" t="str">
        <x:v>Collect an item from its closest containing room, then deliver it to the largest requested room.</x:v>
      </x:c>
      <x:c r="N2872" s="6" t="str">
        <x:v>{"type":"number","value":56.64,"unit":"m","relative_tolerance":0.01,"absolute_tolerance":1,"via":"swiss-28-F2-S010","target":"swiss-28-F4-S001"}</x:v>
      </x:c>
      <x:c r="O2872" s="6" t="str">
        <x:v>{"start":"swiss-28-F2-S011","asset_type":"stove","floor_id":"swiss-28-F4","room_type":"bedroom"}</x:v>
      </x:c>
      <x:c r="P2872" s="6" t="str">
        <x:v>Nearest pickup by route cost first. Largest target by area. Stairs allowed. README routing profile.</x:v>
      </x:c>
      <x:c r="Q2872" s="15" t="n">
        <x:v>56.64</x:v>
      </x:c>
      <x:c r="R2872" s="6" t="str">
        <x:v>m</x:v>
      </x:c>
      <x:c r="S2872" s="16" t="n">
        <x:v>0.01</x:v>
      </x:c>
      <x:c r="T2872" s="15" t="n">
        <x:v>1</x:v>
      </x:c>
      <x:c r="U2872" s="6" t="str">
        <x:v>Answer: 56.64</x:v>
      </x:c>
      <x:c r="V2872" s="6" t="str">
        <x:v>chain nearest-item, area and routing</x:v>
      </x:c>
      <x:c r="W2872" s="6" t="str">
        <x:v>Existing routing primitive. Missing full candidate search, area selection and task composition.</x:v>
      </x:c>
      <x:c r="X2872" s="6" t="str">
        <x:v>data/train/swiss-28/questions.jsonl</x:v>
      </x:c>
      <x:c r="Y2872" s="14" t="n">
        <x:v>3</x:v>
      </x:c>
      <x:c r="Z2872" s="6" t="str">
        <x:v>https://github.com/hagenhaeussler/Industrial-Agents-Hackathon-2026/blob/f41616590b69f3ea0c1cbfb41d6c35edd9ce53df/data/train/swiss-28/questions.jsonl#L3</x:v>
      </x:c>
      <x:c r="AA2872" s="6" t="str">
        <x:v>swiss_dwellings</x:v>
      </x:c>
      <x:c r="AB2872" s="6" t="str">
        <x:v>CC-BY-4.0</x:v>
      </x:c>
    </x:row>
    <x:row r="2873" ht="82" customHeight="1">
      <x:c r="A2873" s="14" t="n">
        <x:v>2868</x:v>
      </x:c>
      <x:c r="B2873" s="6" t="str">
        <x:v>errand</x:v>
      </x:c>
      <x:c r="C2873" s="6" t="str">
        <x:v>I'm in Bedroom 2.04 (apartment 9) (Floor 2). I need to grab a fire extinguisher from the room that has one closest to me, then carry it to the largest bedroom on the floor 4. I can carry it on the stairs. How far will I walk in total, in metres? Finish with a line 'Answer: &lt;number&gt;'.</x:v>
      </x:c>
      <x:c r="D2873" s="6" t="str">
        <x:v>43.58 m
Pickup: Corridor 2.03 (apartment 9)
Target: Bedroom 4.19 (apartment 20)</x:v>
      </x:c>
      <x:c r="E2873" s="6" t="str">
        <x:v>Reference supplied</x:v>
      </x:c>
      <x:c r="F2873" s="6" t="str">
        <x:v>train</x:v>
      </x:c>
      <x:c r="G2873" s="6" t="str">
        <x:v>swiss-2974</x:v>
      </x:c>
      <x:c r="H2873" s="6" t="str">
        <x:v>swiss-2974-H03</x:v>
      </x:c>
      <x:c r="I2873" s="6" t="str">
        <x:v>Compound tasks and changes</x:v>
      </x:c>
      <x:c r="J2873" s="6" t="str">
        <x:v>Benchmark</x:v>
      </x:c>
      <x:c r="K2873" s="6" t="str">
        <x:v>Answer: &lt;one number&gt;</x:v>
      </x:c>
      <x:c r="L2873" s="6" t="str">
        <x:v>T02, T03, T04, T05, T07, T14</x:v>
      </x:c>
      <x:c r="M2873" s="6" t="str">
        <x:v>Collect an item from its closest containing room, then deliver it to the largest requested room.</x:v>
      </x:c>
      <x:c r="N2873" s="6" t="str">
        <x:v>{"type":"number","value":43.58,"unit":"m","relative_tolerance":0.01,"absolute_tolerance":1,"via":"swiss-2974-F2-S003","target":"swiss-2974-F4-S019"}</x:v>
      </x:c>
      <x:c r="O2873" s="6" t="str">
        <x:v>{"start":"swiss-2974-F2-S004","asset_type":"fire_extinguisher","floor_id":"swiss-2974-F4","room_type":"bedroom"}</x:v>
      </x:c>
      <x:c r="P2873" s="6" t="str">
        <x:v>Nearest pickup by route cost first. Largest target by area. Stairs allowed. README routing profile.</x:v>
      </x:c>
      <x:c r="Q2873" s="15" t="n">
        <x:v>43.58</x:v>
      </x:c>
      <x:c r="R2873" s="6" t="str">
        <x:v>m</x:v>
      </x:c>
      <x:c r="S2873" s="16" t="n">
        <x:v>0.01</x:v>
      </x:c>
      <x:c r="T2873" s="15" t="n">
        <x:v>1</x:v>
      </x:c>
      <x:c r="U2873" s="6" t="str">
        <x:v>Answer: 43.58</x:v>
      </x:c>
      <x:c r="V2873" s="6" t="str">
        <x:v>chain nearest-item, area and routing</x:v>
      </x:c>
      <x:c r="W2873" s="6" t="str">
        <x:v>Existing routing primitive. Missing full candidate search, area selection and task composition.</x:v>
      </x:c>
      <x:c r="X2873" s="6" t="str">
        <x:v>data/train/swiss-2974/questions.jsonl</x:v>
      </x:c>
      <x:c r="Y2873" s="14" t="n">
        <x:v>3</x:v>
      </x:c>
      <x:c r="Z2873" s="6" t="str">
        <x:v>https://github.com/hagenhaeussler/Industrial-Agents-Hackathon-2026/blob/f41616590b69f3ea0c1cbfb41d6c35edd9ce53df/data/train/swiss-2974/questions.jsonl#L3</x:v>
      </x:c>
      <x:c r="AA2873" s="6" t="str">
        <x:v>swiss_dwellings</x:v>
      </x:c>
      <x:c r="AB2873" s="6" t="str">
        <x:v>CC-BY-4.0</x:v>
      </x:c>
    </x:row>
    <x:row r="2874" ht="82" customHeight="1">
      <x:c r="A2874" s="14" t="n">
        <x:v>2869</x:v>
      </x:c>
      <x:c r="B2874" s="6" t="str">
        <x:v>errand</x:v>
      </x:c>
      <x:c r="C2874" s="6" t="str">
        <x:v>I'm in Living room 2.12 (apartment 14) (Floor 2). I need to grab a desk from the room that has one closest to me, then carry it to the largest living room on the ground floor. I can carry it on the stairs. How far will I walk in total, in metres? Finish with a line 'Answer: &lt;number&gt;'.</x:v>
      </x:c>
      <x:c r="D2874" s="6" t="str">
        <x:v>55.81 m
Pickup: Bedroom 2.10 (apartment 14)
Target: Living room 0.43 (apartment 6)</x:v>
      </x:c>
      <x:c r="E2874" s="6" t="str">
        <x:v>Reference supplied</x:v>
      </x:c>
      <x:c r="F2874" s="6" t="str">
        <x:v>train</x:v>
      </x:c>
      <x:c r="G2874" s="6" t="str">
        <x:v>swiss-2975</x:v>
      </x:c>
      <x:c r="H2874" s="6" t="str">
        <x:v>swiss-2975-H03</x:v>
      </x:c>
      <x:c r="I2874" s="6" t="str">
        <x:v>Compound tasks and changes</x:v>
      </x:c>
      <x:c r="J2874" s="6" t="str">
        <x:v>Benchmark</x:v>
      </x:c>
      <x:c r="K2874" s="6" t="str">
        <x:v>Answer: &lt;one number&gt;</x:v>
      </x:c>
      <x:c r="L2874" s="6" t="str">
        <x:v>T02, T03, T04, T05, T07, T14</x:v>
      </x:c>
      <x:c r="M2874" s="6" t="str">
        <x:v>Collect an item from its closest containing room, then deliver it to the largest requested room.</x:v>
      </x:c>
      <x:c r="N2874" s="6" t="str">
        <x:v>{"type":"number","value":55.81,"unit":"m","relative_tolerance":0.01,"absolute_tolerance":1,"via":"swiss-2975-F2-S010","target":"swiss-2975-F0-S043"}</x:v>
      </x:c>
      <x:c r="O2874" s="6" t="str">
        <x:v>{"start":"swiss-2975-F2-S012","asset_type":"desk","floor_id":"swiss-2975-F0","room_type":"living_room"}</x:v>
      </x:c>
      <x:c r="P2874" s="6" t="str">
        <x:v>Nearest pickup by route cost first. Largest target by area. Stairs allowed. README routing profile.</x:v>
      </x:c>
      <x:c r="Q2874" s="15" t="n">
        <x:v>55.81</x:v>
      </x:c>
      <x:c r="R2874" s="6" t="str">
        <x:v>m</x:v>
      </x:c>
      <x:c r="S2874" s="16" t="n">
        <x:v>0.01</x:v>
      </x:c>
      <x:c r="T2874" s="15" t="n">
        <x:v>1</x:v>
      </x:c>
      <x:c r="U2874" s="6" t="str">
        <x:v>Answer: 55.81</x:v>
      </x:c>
      <x:c r="V2874" s="6" t="str">
        <x:v>chain nearest-item, area and routing</x:v>
      </x:c>
      <x:c r="W2874" s="6" t="str">
        <x:v>Existing routing primitive. Missing full candidate search, area selection and task composition.</x:v>
      </x:c>
      <x:c r="X2874" s="6" t="str">
        <x:v>data/train/swiss-2975/questions.jsonl</x:v>
      </x:c>
      <x:c r="Y2874" s="14" t="n">
        <x:v>3</x:v>
      </x:c>
      <x:c r="Z2874" s="6" t="str">
        <x:v>https://github.com/hagenhaeussler/Industrial-Agents-Hackathon-2026/blob/f41616590b69f3ea0c1cbfb41d6c35edd9ce53df/data/train/swiss-2975/questions.jsonl#L3</x:v>
      </x:c>
      <x:c r="AA2874" s="6" t="str">
        <x:v>swiss_dwellings</x:v>
      </x:c>
      <x:c r="AB2874" s="6" t="str">
        <x:v>CC-BY-4.0</x:v>
      </x:c>
    </x:row>
    <x:row r="2875" ht="82" customHeight="1">
      <x:c r="A2875" s="14" t="n">
        <x:v>2870</x:v>
      </x:c>
      <x:c r="B2875" s="6" t="str">
        <x:v>errand</x:v>
      </x:c>
      <x:c r="C2875" s="6" t="str">
        <x:v>I'm in Living room 2.34 (apartment 15) (Floor 2). I need to grab a outdoor table from the room that has one closest to me, then carry it to the largest bedroom on the floor 1. I can carry it on the stairs. How far will I walk in total, in metres? Finish with a line 'Answer: &lt;number&gt;'.</x:v>
      </x:c>
      <x:c r="D2875" s="6" t="str">
        <x:v>50.14 m
Pickup: Balcony 2.36 (apartment 15)
Target: Bedroom 1.19 (apartment 8)</x:v>
      </x:c>
      <x:c r="E2875" s="6" t="str">
        <x:v>Reference supplied</x:v>
      </x:c>
      <x:c r="F2875" s="6" t="str">
        <x:v>train</x:v>
      </x:c>
      <x:c r="G2875" s="6" t="str">
        <x:v>swiss-3092</x:v>
      </x:c>
      <x:c r="H2875" s="6" t="str">
        <x:v>swiss-3092-H03</x:v>
      </x:c>
      <x:c r="I2875" s="6" t="str">
        <x:v>Compound tasks and changes</x:v>
      </x:c>
      <x:c r="J2875" s="6" t="str">
        <x:v>Benchmark</x:v>
      </x:c>
      <x:c r="K2875" s="6" t="str">
        <x:v>Answer: &lt;one number&gt;</x:v>
      </x:c>
      <x:c r="L2875" s="6" t="str">
        <x:v>T02, T03, T04, T05, T07, T14</x:v>
      </x:c>
      <x:c r="M2875" s="6" t="str">
        <x:v>Collect an item from its closest containing room, then deliver it to the largest requested room.</x:v>
      </x:c>
      <x:c r="N2875" s="6" t="str">
        <x:v>{"type":"number","value":50.14,"unit":"m","relative_tolerance":0.01,"absolute_tolerance":1,"via":"swiss-3092-F2-S036","target":"swiss-3092-F1-S019"}</x:v>
      </x:c>
      <x:c r="O2875" s="6" t="str">
        <x:v>{"start":"swiss-3092-F2-S034","asset_type":"outdoor_table","floor_id":"swiss-3092-F1","room_type":"bedroom"}</x:v>
      </x:c>
      <x:c r="P2875" s="6" t="str">
        <x:v>Nearest pickup by route cost first. Largest target by area. Stairs allowed. README routing profile.</x:v>
      </x:c>
      <x:c r="Q2875" s="15" t="n">
        <x:v>50.14</x:v>
      </x:c>
      <x:c r="R2875" s="6" t="str">
        <x:v>m</x:v>
      </x:c>
      <x:c r="S2875" s="16" t="n">
        <x:v>0.01</x:v>
      </x:c>
      <x:c r="T2875" s="15" t="n">
        <x:v>1</x:v>
      </x:c>
      <x:c r="U2875" s="6" t="str">
        <x:v>Answer: 50.14</x:v>
      </x:c>
      <x:c r="V2875" s="6" t="str">
        <x:v>chain nearest-item, area and routing</x:v>
      </x:c>
      <x:c r="W2875" s="6" t="str">
        <x:v>Existing routing primitive. Missing full candidate search, area selection and task composition.</x:v>
      </x:c>
      <x:c r="X2875" s="6" t="str">
        <x:v>data/train/swiss-3092/questions.jsonl</x:v>
      </x:c>
      <x:c r="Y2875" s="14" t="n">
        <x:v>3</x:v>
      </x:c>
      <x:c r="Z2875" s="6" t="str">
        <x:v>https://github.com/hagenhaeussler/Industrial-Agents-Hackathon-2026/blob/f41616590b69f3ea0c1cbfb41d6c35edd9ce53df/data/train/swiss-3092/questions.jsonl#L3</x:v>
      </x:c>
      <x:c r="AA2875" s="6" t="str">
        <x:v>swiss_dwellings</x:v>
      </x:c>
      <x:c r="AB2875" s="6" t="str">
        <x:v>CC-BY-4.0</x:v>
      </x:c>
    </x:row>
    <x:row r="2876" ht="72" customHeight="1">
      <x:c r="A2876" s="14" t="n">
        <x:v>2871</x:v>
      </x:c>
      <x:c r="B2876" s="6" t="str">
        <x:v>errand</x:v>
      </x:c>
      <x:c r="C2876" s="6" t="str">
        <x:v>I'm in Bedroom 1.07 (apartment 3) (Floor 1). I need to grab a stove from the room that has one closest to me, then carry it to the largest living room on the floor 3. I can carry it on the stairs. How far will I walk in total, in metres? Finish with a line 'Answer: &lt;number&gt;'.</x:v>
      </x:c>
      <x:c r="D2876" s="6" t="str">
        <x:v>58.88 m
Pickup: Kitchen 1.04 (apartment 3)
Target: Living room 3.10 (apartment 8)</x:v>
      </x:c>
      <x:c r="E2876" s="6" t="str">
        <x:v>Reference supplied</x:v>
      </x:c>
      <x:c r="F2876" s="6" t="str">
        <x:v>train</x:v>
      </x:c>
      <x:c r="G2876" s="6" t="str">
        <x:v>swiss-3096</x:v>
      </x:c>
      <x:c r="H2876" s="6" t="str">
        <x:v>swiss-3096-H03</x:v>
      </x:c>
      <x:c r="I2876" s="6" t="str">
        <x:v>Compound tasks and changes</x:v>
      </x:c>
      <x:c r="J2876" s="6" t="str">
        <x:v>Benchmark</x:v>
      </x:c>
      <x:c r="K2876" s="6" t="str">
        <x:v>Answer: &lt;one number&gt;</x:v>
      </x:c>
      <x:c r="L2876" s="6" t="str">
        <x:v>T02, T03, T04, T05, T07, T14</x:v>
      </x:c>
      <x:c r="M2876" s="6" t="str">
        <x:v>Collect an item from its closest containing room, then deliver it to the largest requested room.</x:v>
      </x:c>
      <x:c r="N2876" s="6" t="str">
        <x:v>{"type":"number","value":58.88,"unit":"m","relative_tolerance":0.01,"absolute_tolerance":1,"via":"swiss-3096-F1-S004","target":"swiss-3096-F3-S010"}</x:v>
      </x:c>
      <x:c r="O2876" s="6" t="str">
        <x:v>{"start":"swiss-3096-F1-S007","asset_type":"stove","floor_id":"swiss-3096-F3","room_type":"living_room"}</x:v>
      </x:c>
      <x:c r="P2876" s="6" t="str">
        <x:v>Nearest pickup by route cost first. Largest target by area. Stairs allowed. README routing profile.</x:v>
      </x:c>
      <x:c r="Q2876" s="15" t="n">
        <x:v>58.88</x:v>
      </x:c>
      <x:c r="R2876" s="6" t="str">
        <x:v>m</x:v>
      </x:c>
      <x:c r="S2876" s="16" t="n">
        <x:v>0.01</x:v>
      </x:c>
      <x:c r="T2876" s="15" t="n">
        <x:v>1</x:v>
      </x:c>
      <x:c r="U2876" s="6" t="str">
        <x:v>Answer: 58.88</x:v>
      </x:c>
      <x:c r="V2876" s="6" t="str">
        <x:v>chain nearest-item, area and routing</x:v>
      </x:c>
      <x:c r="W2876" s="6" t="str">
        <x:v>Existing routing primitive. Missing full candidate search, area selection and task composition.</x:v>
      </x:c>
      <x:c r="X2876" s="6" t="str">
        <x:v>data/train/swiss-3096/questions.jsonl</x:v>
      </x:c>
      <x:c r="Y2876" s="14" t="n">
        <x:v>3</x:v>
      </x:c>
      <x:c r="Z2876" s="6" t="str">
        <x:v>https://github.com/hagenhaeussler/Industrial-Agents-Hackathon-2026/blob/f41616590b69f3ea0c1cbfb41d6c35edd9ce53df/data/train/swiss-3096/questions.jsonl#L3</x:v>
      </x:c>
      <x:c r="AA2876" s="6" t="str">
        <x:v>swiss_dwellings</x:v>
      </x:c>
      <x:c r="AB2876" s="6" t="str">
        <x:v>CC-BY-4.0</x:v>
      </x:c>
    </x:row>
    <x:row r="2877" ht="82" customHeight="1">
      <x:c r="A2877" s="14" t="n">
        <x:v>2872</x:v>
      </x:c>
      <x:c r="B2877" s="6" t="str">
        <x:v>errand</x:v>
      </x:c>
      <x:c r="C2877" s="6" t="str">
        <x:v>I'm in Bathroom 1.13 (apartment 5) (Floor 1). I need to grab a coffee table from the room that has one closest to me, then carry it to the largest living room on the floor 2. I can carry it on the stairs. How far will I walk in total, in metres? Finish with a line 'Answer: &lt;number&gt;'.</x:v>
      </x:c>
      <x:c r="D2877" s="6" t="str">
        <x:v>34.63 m
Pickup: Living room 1.20 (apartment 5)
Target: Living room 2.13 (apartment 7)</x:v>
      </x:c>
      <x:c r="E2877" s="6" t="str">
        <x:v>Reference supplied</x:v>
      </x:c>
      <x:c r="F2877" s="6" t="str">
        <x:v>train</x:v>
      </x:c>
      <x:c r="G2877" s="6" t="str">
        <x:v>swiss-325</x:v>
      </x:c>
      <x:c r="H2877" s="6" t="str">
        <x:v>swiss-325-H03</x:v>
      </x:c>
      <x:c r="I2877" s="6" t="str">
        <x:v>Compound tasks and changes</x:v>
      </x:c>
      <x:c r="J2877" s="6" t="str">
        <x:v>Benchmark</x:v>
      </x:c>
      <x:c r="K2877" s="6" t="str">
        <x:v>Answer: &lt;one number&gt;</x:v>
      </x:c>
      <x:c r="L2877" s="6" t="str">
        <x:v>T02, T03, T04, T05, T07, T14</x:v>
      </x:c>
      <x:c r="M2877" s="6" t="str">
        <x:v>Collect an item from its closest containing room, then deliver it to the largest requested room.</x:v>
      </x:c>
      <x:c r="N2877" s="6" t="str">
        <x:v>{"type":"number","value":34.63,"unit":"m","relative_tolerance":0.01,"absolute_tolerance":1,"via":"swiss-325-F1-S020","target":"swiss-325-F2-S013"}</x:v>
      </x:c>
      <x:c r="O2877" s="6" t="str">
        <x:v>{"start":"swiss-325-F1-S013","asset_type":"coffee_table","floor_id":"swiss-325-F2","room_type":"living_room"}</x:v>
      </x:c>
      <x:c r="P2877" s="6" t="str">
        <x:v>Nearest pickup by route cost first. Largest target by area. Stairs allowed. README routing profile.</x:v>
      </x:c>
      <x:c r="Q2877" s="15" t="n">
        <x:v>34.63</x:v>
      </x:c>
      <x:c r="R2877" s="6" t="str">
        <x:v>m</x:v>
      </x:c>
      <x:c r="S2877" s="16" t="n">
        <x:v>0.01</x:v>
      </x:c>
      <x:c r="T2877" s="15" t="n">
        <x:v>1</x:v>
      </x:c>
      <x:c r="U2877" s="6" t="str">
        <x:v>Answer: 34.63</x:v>
      </x:c>
      <x:c r="V2877" s="6" t="str">
        <x:v>chain nearest-item, area and routing</x:v>
      </x:c>
      <x:c r="W2877" s="6" t="str">
        <x:v>Existing routing primitive. Missing full candidate search, area selection and task composition.</x:v>
      </x:c>
      <x:c r="X2877" s="6" t="str">
        <x:v>data/train/swiss-325/questions.jsonl</x:v>
      </x:c>
      <x:c r="Y2877" s="14" t="n">
        <x:v>3</x:v>
      </x:c>
      <x:c r="Z2877" s="6" t="str">
        <x:v>https://github.com/hagenhaeussler/Industrial-Agents-Hackathon-2026/blob/f41616590b69f3ea0c1cbfb41d6c35edd9ce53df/data/train/swiss-325/questions.jsonl#L3</x:v>
      </x:c>
      <x:c r="AA2877" s="6" t="str">
        <x:v>swiss_dwellings</x:v>
      </x:c>
      <x:c r="AB2877" s="6" t="str">
        <x:v>CC-BY-4.0</x:v>
      </x:c>
    </x:row>
    <x:row r="2878" ht="72" customHeight="1">
      <x:c r="A2878" s="14" t="n">
        <x:v>2873</x:v>
      </x:c>
      <x:c r="B2878" s="6" t="str">
        <x:v>errand</x:v>
      </x:c>
      <x:c r="C2878" s="6" t="str">
        <x:v>I'm in Bathroom 1.35 (apartment 8) (Floor 1). I need to grab a desk from the room that has one closest to me, then carry it to the largest bedroom on the floor 2. I can carry it on the stairs. How far will I walk in total, in metres? Finish with a line 'Answer: &lt;number&gt;'.</x:v>
      </x:c>
      <x:c r="D2878" s="6" t="str">
        <x:v>52.02 m
Pickup: Bedroom 1.10 (apartment 5)
Target: Bedroom 2.08 (apartment 9)</x:v>
      </x:c>
      <x:c r="E2878" s="6" t="str">
        <x:v>Reference supplied</x:v>
      </x:c>
      <x:c r="F2878" s="6" t="str">
        <x:v>train</x:v>
      </x:c>
      <x:c r="G2878" s="6" t="str">
        <x:v>swiss-3338</x:v>
      </x:c>
      <x:c r="H2878" s="6" t="str">
        <x:v>swiss-3338-H03</x:v>
      </x:c>
      <x:c r="I2878" s="6" t="str">
        <x:v>Compound tasks and changes</x:v>
      </x:c>
      <x:c r="J2878" s="6" t="str">
        <x:v>Benchmark</x:v>
      </x:c>
      <x:c r="K2878" s="6" t="str">
        <x:v>Answer: &lt;one number&gt;</x:v>
      </x:c>
      <x:c r="L2878" s="6" t="str">
        <x:v>T02, T03, T04, T05, T07, T14</x:v>
      </x:c>
      <x:c r="M2878" s="6" t="str">
        <x:v>Collect an item from its closest containing room, then deliver it to the largest requested room.</x:v>
      </x:c>
      <x:c r="N2878" s="6" t="str">
        <x:v>{"type":"number","value":52.02,"unit":"m","relative_tolerance":0.01,"absolute_tolerance":1,"via":"swiss-3338-F1-S010","target":"swiss-3338-F2-S008"}</x:v>
      </x:c>
      <x:c r="O2878" s="6" t="str">
        <x:v>{"start":"swiss-3338-F1-S035","asset_type":"desk","floor_id":"swiss-3338-F2","room_type":"bedroom"}</x:v>
      </x:c>
      <x:c r="P2878" s="6" t="str">
        <x:v>Nearest pickup by route cost first. Largest target by area. Stairs allowed. README routing profile.</x:v>
      </x:c>
      <x:c r="Q2878" s="15" t="n">
        <x:v>52.02</x:v>
      </x:c>
      <x:c r="R2878" s="6" t="str">
        <x:v>m</x:v>
      </x:c>
      <x:c r="S2878" s="16" t="n">
        <x:v>0.01</x:v>
      </x:c>
      <x:c r="T2878" s="15" t="n">
        <x:v>1</x:v>
      </x:c>
      <x:c r="U2878" s="6" t="str">
        <x:v>Answer: 52.02</x:v>
      </x:c>
      <x:c r="V2878" s="6" t="str">
        <x:v>chain nearest-item, area and routing</x:v>
      </x:c>
      <x:c r="W2878" s="6" t="str">
        <x:v>Existing routing primitive. Missing full candidate search, area selection and task composition.</x:v>
      </x:c>
      <x:c r="X2878" s="6" t="str">
        <x:v>data/train/swiss-3338/questions.jsonl</x:v>
      </x:c>
      <x:c r="Y2878" s="14" t="n">
        <x:v>3</x:v>
      </x:c>
      <x:c r="Z2878" s="6" t="str">
        <x:v>https://github.com/hagenhaeussler/Industrial-Agents-Hackathon-2026/blob/f41616590b69f3ea0c1cbfb41d6c35edd9ce53df/data/train/swiss-3338/questions.jsonl#L3</x:v>
      </x:c>
      <x:c r="AA2878" s="6" t="str">
        <x:v>swiss_dwellings</x:v>
      </x:c>
      <x:c r="AB2878" s="6" t="str">
        <x:v>CC-BY-4.0</x:v>
      </x:c>
    </x:row>
    <x:row r="2879" ht="72" customHeight="1">
      <x:c r="A2879" s="14" t="n">
        <x:v>2874</x:v>
      </x:c>
      <x:c r="B2879" s="6" t="str">
        <x:v>errand</x:v>
      </x:c>
      <x:c r="C2879" s="6" t="str">
        <x:v>I'm in Bedroom 2.10 (apartment 8) (Floor 2). I need to grab a desk from the room that has one closest to me, then carry it to the largest bedroom on the floor 1. I can carry it on the stairs. How far will I walk in total, in metres? Finish with a line 'Answer: &lt;number&gt;'.</x:v>
      </x:c>
      <x:c r="D2879" s="6" t="str">
        <x:v>40.19 m
Pickup: Bedroom 2.23 (apartment 10)
Target: Bedroom 1.02 (apartment 5)</x:v>
      </x:c>
      <x:c r="E2879" s="6" t="str">
        <x:v>Reference supplied</x:v>
      </x:c>
      <x:c r="F2879" s="6" t="str">
        <x:v>train</x:v>
      </x:c>
      <x:c r="G2879" s="6" t="str">
        <x:v>swiss-3355</x:v>
      </x:c>
      <x:c r="H2879" s="6" t="str">
        <x:v>swiss-3355-H03</x:v>
      </x:c>
      <x:c r="I2879" s="6" t="str">
        <x:v>Compound tasks and changes</x:v>
      </x:c>
      <x:c r="J2879" s="6" t="str">
        <x:v>Benchmark</x:v>
      </x:c>
      <x:c r="K2879" s="6" t="str">
        <x:v>Answer: &lt;one number&gt;</x:v>
      </x:c>
      <x:c r="L2879" s="6" t="str">
        <x:v>T02, T03, T04, T05, T07, T14</x:v>
      </x:c>
      <x:c r="M2879" s="6" t="str">
        <x:v>Collect an item from its closest containing room, then deliver it to the largest requested room.</x:v>
      </x:c>
      <x:c r="N2879" s="6" t="str">
        <x:v>{"type":"number","value":40.19,"unit":"m","relative_tolerance":0.01,"absolute_tolerance":1,"via":"swiss-3355-F2-S023","target":"swiss-3355-F1-S002"}</x:v>
      </x:c>
      <x:c r="O2879" s="6" t="str">
        <x:v>{"start":"swiss-3355-F2-S010","asset_type":"desk","floor_id":"swiss-3355-F1","room_type":"bedroom"}</x:v>
      </x:c>
      <x:c r="P2879" s="6" t="str">
        <x:v>Nearest pickup by route cost first. Largest target by area. Stairs allowed. README routing profile.</x:v>
      </x:c>
      <x:c r="Q2879" s="15" t="n">
        <x:v>40.19</x:v>
      </x:c>
      <x:c r="R2879" s="6" t="str">
        <x:v>m</x:v>
      </x:c>
      <x:c r="S2879" s="16" t="n">
        <x:v>0.01</x:v>
      </x:c>
      <x:c r="T2879" s="15" t="n">
        <x:v>1</x:v>
      </x:c>
      <x:c r="U2879" s="6" t="str">
        <x:v>Answer: 40.19</x:v>
      </x:c>
      <x:c r="V2879" s="6" t="str">
        <x:v>chain nearest-item, area and routing</x:v>
      </x:c>
      <x:c r="W2879" s="6" t="str">
        <x:v>Existing routing primitive. Missing full candidate search, area selection and task composition.</x:v>
      </x:c>
      <x:c r="X2879" s="6" t="str">
        <x:v>data/train/swiss-3355/questions.jsonl</x:v>
      </x:c>
      <x:c r="Y2879" s="14" t="n">
        <x:v>3</x:v>
      </x:c>
      <x:c r="Z2879" s="6" t="str">
        <x:v>https://github.com/hagenhaeussler/Industrial-Agents-Hackathon-2026/blob/f41616590b69f3ea0c1cbfb41d6c35edd9ce53df/data/train/swiss-3355/questions.jsonl#L3</x:v>
      </x:c>
      <x:c r="AA2879" s="6" t="str">
        <x:v>swiss_dwellings</x:v>
      </x:c>
      <x:c r="AB2879" s="6" t="str">
        <x:v>CC-BY-4.0</x:v>
      </x:c>
    </x:row>
    <x:row r="2880" ht="72" customHeight="1">
      <x:c r="A2880" s="14" t="n">
        <x:v>2875</x:v>
      </x:c>
      <x:c r="B2880" s="6" t="str">
        <x:v>errand</x:v>
      </x:c>
      <x:c r="C2880" s="6" t="str">
        <x:v>I'm in Bedroom 2.07 (apartment 3) (Floor 2). I need to grab a microwave from the room that has one closest to me, then carry it to the largest bedroom on the floor 3. I can carry it on the stairs. How far will I walk in total, in metres? Finish with a line 'Answer: &lt;number&gt;'.</x:v>
      </x:c>
      <x:c r="D2880" s="6" t="str">
        <x:v>33.2 m
Pickup: Kitchen 2.09 (apartment 3)
Target: Bedroom 3.01 (apartment 4)</x:v>
      </x:c>
      <x:c r="E2880" s="6" t="str">
        <x:v>Reference supplied</x:v>
      </x:c>
      <x:c r="F2880" s="6" t="str">
        <x:v>train</x:v>
      </x:c>
      <x:c r="G2880" s="6" t="str">
        <x:v>swiss-373</x:v>
      </x:c>
      <x:c r="H2880" s="6" t="str">
        <x:v>swiss-373-H03</x:v>
      </x:c>
      <x:c r="I2880" s="6" t="str">
        <x:v>Compound tasks and changes</x:v>
      </x:c>
      <x:c r="J2880" s="6" t="str">
        <x:v>Benchmark</x:v>
      </x:c>
      <x:c r="K2880" s="6" t="str">
        <x:v>Answer: &lt;one number&gt;</x:v>
      </x:c>
      <x:c r="L2880" s="6" t="str">
        <x:v>T02, T03, T04, T05, T07, T14</x:v>
      </x:c>
      <x:c r="M2880" s="6" t="str">
        <x:v>Collect an item from its closest containing room, then deliver it to the largest requested room.</x:v>
      </x:c>
      <x:c r="N2880" s="6" t="str">
        <x:v>{"type":"number","value":33.2,"unit":"m","relative_tolerance":0.01,"absolute_tolerance":1,"via":"swiss-373-F2-S009","target":"swiss-373-F3-S001"}</x:v>
      </x:c>
      <x:c r="O2880" s="6" t="str">
        <x:v>{"start":"swiss-373-F2-S007","asset_type":"microwave","floor_id":"swiss-373-F3","room_type":"bedroom"}</x:v>
      </x:c>
      <x:c r="P2880" s="6" t="str">
        <x:v>Nearest pickup by route cost first. Largest target by area. Stairs allowed. README routing profile.</x:v>
      </x:c>
      <x:c r="Q2880" s="15" t="n">
        <x:v>33.2</x:v>
      </x:c>
      <x:c r="R2880" s="6" t="str">
        <x:v>m</x:v>
      </x:c>
      <x:c r="S2880" s="16" t="n">
        <x:v>0.01</x:v>
      </x:c>
      <x:c r="T2880" s="15" t="n">
        <x:v>1</x:v>
      </x:c>
      <x:c r="U2880" s="6" t="str">
        <x:v>Answer: 33.2</x:v>
      </x:c>
      <x:c r="V2880" s="6" t="str">
        <x:v>chain nearest-item, area and routing</x:v>
      </x:c>
      <x:c r="W2880" s="6" t="str">
        <x:v>Existing routing primitive. Missing full candidate search, area selection and task composition.</x:v>
      </x:c>
      <x:c r="X2880" s="6" t="str">
        <x:v>data/train/swiss-373/questions.jsonl</x:v>
      </x:c>
      <x:c r="Y2880" s="14" t="n">
        <x:v>3</x:v>
      </x:c>
      <x:c r="Z2880" s="6" t="str">
        <x:v>https://github.com/hagenhaeussler/Industrial-Agents-Hackathon-2026/blob/f41616590b69f3ea0c1cbfb41d6c35edd9ce53df/data/train/swiss-373/questions.jsonl#L3</x:v>
      </x:c>
      <x:c r="AA2880" s="6" t="str">
        <x:v>swiss_dwellings</x:v>
      </x:c>
      <x:c r="AB2880" s="6" t="str">
        <x:v>CC-BY-4.0</x:v>
      </x:c>
    </x:row>
    <x:row r="2881" ht="82" customHeight="1">
      <x:c r="A2881" s="14" t="n">
        <x:v>2876</x:v>
      </x:c>
      <x:c r="B2881" s="6" t="str">
        <x:v>errand</x:v>
      </x:c>
      <x:c r="C2881" s="6" t="str">
        <x:v>I'm in Bedroom 4.03 (apartment 5) (Floor 4). I need to grab a fire extinguisher from the room that has one closest to me, then carry it to the largest bedroom on the floor 2. I can carry it on the stairs. How far will I walk in total, in metres? Finish with a line 'Answer: &lt;number&gt;'.</x:v>
      </x:c>
      <x:c r="D2881" s="6" t="str">
        <x:v>41.95 m
Pickup: Landing 4.09
Target: Bedroom 2.03 (apartment 3)</x:v>
      </x:c>
      <x:c r="E2881" s="6" t="str">
        <x:v>Reference supplied</x:v>
      </x:c>
      <x:c r="F2881" s="6" t="str">
        <x:v>train</x:v>
      </x:c>
      <x:c r="G2881" s="6" t="str">
        <x:v>swiss-390</x:v>
      </x:c>
      <x:c r="H2881" s="6" t="str">
        <x:v>swiss-390-H03</x:v>
      </x:c>
      <x:c r="I2881" s="6" t="str">
        <x:v>Compound tasks and changes</x:v>
      </x:c>
      <x:c r="J2881" s="6" t="str">
        <x:v>Benchmark</x:v>
      </x:c>
      <x:c r="K2881" s="6" t="str">
        <x:v>Answer: &lt;one number&gt;</x:v>
      </x:c>
      <x:c r="L2881" s="6" t="str">
        <x:v>T02, T03, T04, T05, T07, T14</x:v>
      </x:c>
      <x:c r="M2881" s="6" t="str">
        <x:v>Collect an item from its closest containing room, then deliver it to the largest requested room.</x:v>
      </x:c>
      <x:c r="N2881" s="6" t="str">
        <x:v>{"type":"number","value":41.95,"unit":"m","relative_tolerance":0.01,"absolute_tolerance":1,"via":"swiss-390-F4-S009","target":"swiss-390-F2-S003"}</x:v>
      </x:c>
      <x:c r="O2881" s="6" t="str">
        <x:v>{"start":"swiss-390-F4-S003","asset_type":"fire_extinguisher","floor_id":"swiss-390-F2","room_type":"bedroom"}</x:v>
      </x:c>
      <x:c r="P2881" s="6" t="str">
        <x:v>Nearest pickup by route cost first. Largest target by area. Stairs allowed. README routing profile.</x:v>
      </x:c>
      <x:c r="Q2881" s="15" t="n">
        <x:v>41.95</x:v>
      </x:c>
      <x:c r="R2881" s="6" t="str">
        <x:v>m</x:v>
      </x:c>
      <x:c r="S2881" s="16" t="n">
        <x:v>0.01</x:v>
      </x:c>
      <x:c r="T2881" s="15" t="n">
        <x:v>1</x:v>
      </x:c>
      <x:c r="U2881" s="6" t="str">
        <x:v>Answer: 41.95</x:v>
      </x:c>
      <x:c r="V2881" s="6" t="str">
        <x:v>chain nearest-item, area and routing</x:v>
      </x:c>
      <x:c r="W2881" s="6" t="str">
        <x:v>Existing routing primitive. Missing full candidate search, area selection and task composition.</x:v>
      </x:c>
      <x:c r="X2881" s="6" t="str">
        <x:v>data/train/swiss-390/questions.jsonl</x:v>
      </x:c>
      <x:c r="Y2881" s="14" t="n">
        <x:v>3</x:v>
      </x:c>
      <x:c r="Z2881" s="6" t="str">
        <x:v>https://github.com/hagenhaeussler/Industrial-Agents-Hackathon-2026/blob/f41616590b69f3ea0c1cbfb41d6c35edd9ce53df/data/train/swiss-390/questions.jsonl#L3</x:v>
      </x:c>
      <x:c r="AA2881" s="6" t="str">
        <x:v>swiss_dwellings</x:v>
      </x:c>
      <x:c r="AB2881" s="6" t="str">
        <x:v>CC-BY-4.0</x:v>
      </x:c>
    </x:row>
    <x:row r="2882" ht="82" customHeight="1">
      <x:c r="A2882" s="14" t="n">
        <x:v>2877</x:v>
      </x:c>
      <x:c r="B2882" s="6" t="str">
        <x:v>errand</x:v>
      </x:c>
      <x:c r="C2882" s="6" t="str">
        <x:v>I'm in Kitchen 2.14 (apartment 8) (Floor 2). I need to grab a outdoor chair from the room that has one closest to me, then carry it to the largest bathroom on the floor 6. I can carry it on the stairs. How far will I walk in total, in metres? Finish with a line 'Answer: &lt;number&gt;'.</x:v>
      </x:c>
      <x:c r="D2882" s="6" t="str">
        <x:v>88.77 m
Pickup: Balcony 2.17 (apartment 9)
Target: Bathroom 6.14 (apartment 20)</x:v>
      </x:c>
      <x:c r="E2882" s="6" t="str">
        <x:v>Reference supplied</x:v>
      </x:c>
      <x:c r="F2882" s="6" t="str">
        <x:v>train</x:v>
      </x:c>
      <x:c r="G2882" s="6" t="str">
        <x:v>swiss-433</x:v>
      </x:c>
      <x:c r="H2882" s="6" t="str">
        <x:v>swiss-433-H03</x:v>
      </x:c>
      <x:c r="I2882" s="6" t="str">
        <x:v>Compound tasks and changes</x:v>
      </x:c>
      <x:c r="J2882" s="6" t="str">
        <x:v>Benchmark</x:v>
      </x:c>
      <x:c r="K2882" s="6" t="str">
        <x:v>Answer: &lt;one number&gt;</x:v>
      </x:c>
      <x:c r="L2882" s="6" t="str">
        <x:v>T02, T03, T04, T05, T07, T14</x:v>
      </x:c>
      <x:c r="M2882" s="6" t="str">
        <x:v>Collect an item from its closest containing room, then deliver it to the largest requested room.</x:v>
      </x:c>
      <x:c r="N2882" s="6" t="str">
        <x:v>{"type":"number","value":88.77,"unit":"m","relative_tolerance":0.01,"absolute_tolerance":1,"via":"swiss-433-F2-S017","target":"swiss-433-F6-S014"}</x:v>
      </x:c>
      <x:c r="O2882" s="6" t="str">
        <x:v>{"start":"swiss-433-F2-S014","asset_type":"outdoor_chair","floor_id":"swiss-433-F6","room_type":"bathroom"}</x:v>
      </x:c>
      <x:c r="P2882" s="6" t="str">
        <x:v>Nearest pickup by route cost first. Largest target by area. Stairs allowed. README routing profile.</x:v>
      </x:c>
      <x:c r="Q2882" s="15" t="n">
        <x:v>88.77</x:v>
      </x:c>
      <x:c r="R2882" s="6" t="str">
        <x:v>m</x:v>
      </x:c>
      <x:c r="S2882" s="16" t="n">
        <x:v>0.01</x:v>
      </x:c>
      <x:c r="T2882" s="15" t="n">
        <x:v>1</x:v>
      </x:c>
      <x:c r="U2882" s="6" t="str">
        <x:v>Answer: 88.77</x:v>
      </x:c>
      <x:c r="V2882" s="6" t="str">
        <x:v>chain nearest-item, area and routing</x:v>
      </x:c>
      <x:c r="W2882" s="6" t="str">
        <x:v>Existing routing primitive. Missing full candidate search, area selection and task composition.</x:v>
      </x:c>
      <x:c r="X2882" s="6" t="str">
        <x:v>data/train/swiss-433/questions.jsonl</x:v>
      </x:c>
      <x:c r="Y2882" s="14" t="n">
        <x:v>3</x:v>
      </x:c>
      <x:c r="Z2882" s="6" t="str">
        <x:v>https://github.com/hagenhaeussler/Industrial-Agents-Hackathon-2026/blob/f41616590b69f3ea0c1cbfb41d6c35edd9ce53df/data/train/swiss-433/questions.jsonl#L3</x:v>
      </x:c>
      <x:c r="AA2882" s="6" t="str">
        <x:v>swiss_dwellings</x:v>
      </x:c>
      <x:c r="AB2882" s="6" t="str">
        <x:v>CC-BY-4.0</x:v>
      </x:c>
    </x:row>
    <x:row r="2883" ht="82" customHeight="1">
      <x:c r="A2883" s="14" t="n">
        <x:v>2878</x:v>
      </x:c>
      <x:c r="B2883" s="6" t="str">
        <x:v>errand</x:v>
      </x:c>
      <x:c r="C2883" s="6" t="str">
        <x:v>I'm in Kitchen 3.04 (apartment 18) (Floor 3). I need to grab a fire extinguisher from the room that has one closest to me, then carry it to the largest kitchen on the ground floor. I can carry it on the stairs. How far will I walk in total, in metres? Finish with a line 'Answer: &lt;number&gt;'.</x:v>
      </x:c>
      <x:c r="D2883" s="6" t="str">
        <x:v>47.8 m
Pickup: Corridor 3.01 (apartment 18)
Target: Kitchen 0.19 (apartment 6)</x:v>
      </x:c>
      <x:c r="E2883" s="6" t="str">
        <x:v>Reference supplied</x:v>
      </x:c>
      <x:c r="F2883" s="6" t="str">
        <x:v>train</x:v>
      </x:c>
      <x:c r="G2883" s="6" t="str">
        <x:v>swiss-442</x:v>
      </x:c>
      <x:c r="H2883" s="6" t="str">
        <x:v>swiss-442-H03</x:v>
      </x:c>
      <x:c r="I2883" s="6" t="str">
        <x:v>Compound tasks and changes</x:v>
      </x:c>
      <x:c r="J2883" s="6" t="str">
        <x:v>Benchmark</x:v>
      </x:c>
      <x:c r="K2883" s="6" t="str">
        <x:v>Answer: &lt;one number&gt;</x:v>
      </x:c>
      <x:c r="L2883" s="6" t="str">
        <x:v>T02, T03, T04, T05, T07, T14</x:v>
      </x:c>
      <x:c r="M2883" s="6" t="str">
        <x:v>Collect an item from its closest containing room, then deliver it to the largest requested room.</x:v>
      </x:c>
      <x:c r="N2883" s="6" t="str">
        <x:v>{"type":"number","value":47.8,"unit":"m","relative_tolerance":0.01,"absolute_tolerance":1,"via":"swiss-442-F3-S001","target":"swiss-442-F0-S019"}</x:v>
      </x:c>
      <x:c r="O2883" s="6" t="str">
        <x:v>{"start":"swiss-442-F3-S004","asset_type":"fire_extinguisher","floor_id":"swiss-442-F0","room_type":"kitchen"}</x:v>
      </x:c>
      <x:c r="P2883" s="6" t="str">
        <x:v>Nearest pickup by route cost first. Largest target by area. Stairs allowed. README routing profile.</x:v>
      </x:c>
      <x:c r="Q2883" s="15" t="n">
        <x:v>47.8</x:v>
      </x:c>
      <x:c r="R2883" s="6" t="str">
        <x:v>m</x:v>
      </x:c>
      <x:c r="S2883" s="16" t="n">
        <x:v>0.01</x:v>
      </x:c>
      <x:c r="T2883" s="15" t="n">
        <x:v>1</x:v>
      </x:c>
      <x:c r="U2883" s="6" t="str">
        <x:v>Answer: 47.8</x:v>
      </x:c>
      <x:c r="V2883" s="6" t="str">
        <x:v>chain nearest-item, area and routing</x:v>
      </x:c>
      <x:c r="W2883" s="6" t="str">
        <x:v>Existing routing primitive. Missing full candidate search, area selection and task composition.</x:v>
      </x:c>
      <x:c r="X2883" s="6" t="str">
        <x:v>data/train/swiss-442/questions.jsonl</x:v>
      </x:c>
      <x:c r="Y2883" s="14" t="n">
        <x:v>3</x:v>
      </x:c>
      <x:c r="Z2883" s="6" t="str">
        <x:v>https://github.com/hagenhaeussler/Industrial-Agents-Hackathon-2026/blob/f41616590b69f3ea0c1cbfb41d6c35edd9ce53df/data/train/swiss-442/questions.jsonl#L3</x:v>
      </x:c>
      <x:c r="AA2883" s="6" t="str">
        <x:v>swiss_dwellings</x:v>
      </x:c>
      <x:c r="AB2883" s="6" t="str">
        <x:v>CC-BY-4.0</x:v>
      </x:c>
    </x:row>
    <x:row r="2884" ht="72" customHeight="1">
      <x:c r="A2884" s="14" t="n">
        <x:v>2879</x:v>
      </x:c>
      <x:c r="B2884" s="6" t="str">
        <x:v>errand</x:v>
      </x:c>
      <x:c r="C2884" s="6" t="str">
        <x:v>I'm in Bathroom 2.11 (apartment 6) (Floor 2). I need to grab a microwave from the room that has one closest to me, then carry it to the largest bedroom on the floor 3. I can carry it on the stairs. How far will I walk in total, in metres? Finish with a line 'Answer: &lt;number&gt;'.</x:v>
      </x:c>
      <x:c r="D2884" s="6" t="str">
        <x:v>62.82 m
Pickup: Kitchen 1.02 (apartment 3)
Target: Bedroom 3.04 (apartment 7)</x:v>
      </x:c>
      <x:c r="E2884" s="6" t="str">
        <x:v>Reference supplied</x:v>
      </x:c>
      <x:c r="F2884" s="6" t="str">
        <x:v>train</x:v>
      </x:c>
      <x:c r="G2884" s="6" t="str">
        <x:v>swiss-5690</x:v>
      </x:c>
      <x:c r="H2884" s="6" t="str">
        <x:v>swiss-5690-H03</x:v>
      </x:c>
      <x:c r="I2884" s="6" t="str">
        <x:v>Compound tasks and changes</x:v>
      </x:c>
      <x:c r="J2884" s="6" t="str">
        <x:v>Benchmark</x:v>
      </x:c>
      <x:c r="K2884" s="6" t="str">
        <x:v>Answer: &lt;one number&gt;</x:v>
      </x:c>
      <x:c r="L2884" s="6" t="str">
        <x:v>T02, T03, T04, T05, T07, T14</x:v>
      </x:c>
      <x:c r="M2884" s="6" t="str">
        <x:v>Collect an item from its closest containing room, then deliver it to the largest requested room.</x:v>
      </x:c>
      <x:c r="N2884" s="6" t="str">
        <x:v>{"type":"number","value":62.82,"unit":"m","relative_tolerance":0.01,"absolute_tolerance":1,"via":"swiss-5690-F1-S002","target":"swiss-5690-F3-S004"}</x:v>
      </x:c>
      <x:c r="O2884" s="6" t="str">
        <x:v>{"start":"swiss-5690-F2-S011","asset_type":"microwave","floor_id":"swiss-5690-F3","room_type":"bedroom"}</x:v>
      </x:c>
      <x:c r="P2884" s="6" t="str">
        <x:v>Nearest pickup by route cost first. Largest target by area. Stairs allowed. README routing profile.</x:v>
      </x:c>
      <x:c r="Q2884" s="15" t="n">
        <x:v>62.82</x:v>
      </x:c>
      <x:c r="R2884" s="6" t="str">
        <x:v>m</x:v>
      </x:c>
      <x:c r="S2884" s="16" t="n">
        <x:v>0.01</x:v>
      </x:c>
      <x:c r="T2884" s="15" t="n">
        <x:v>1</x:v>
      </x:c>
      <x:c r="U2884" s="6" t="str">
        <x:v>Answer: 62.82</x:v>
      </x:c>
      <x:c r="V2884" s="6" t="str">
        <x:v>chain nearest-item, area and routing</x:v>
      </x:c>
      <x:c r="W2884" s="6" t="str">
        <x:v>Existing routing primitive. Missing full candidate search, area selection and task composition.</x:v>
      </x:c>
      <x:c r="X2884" s="6" t="str">
        <x:v>data/train/swiss-5690/questions.jsonl</x:v>
      </x:c>
      <x:c r="Y2884" s="14" t="n">
        <x:v>3</x:v>
      </x:c>
      <x:c r="Z2884" s="6" t="str">
        <x:v>https://github.com/hagenhaeussler/Industrial-Agents-Hackathon-2026/blob/f41616590b69f3ea0c1cbfb41d6c35edd9ce53df/data/train/swiss-5690/questions.jsonl#L3</x:v>
      </x:c>
      <x:c r="AA2884" s="6" t="str">
        <x:v>swiss_dwellings</x:v>
      </x:c>
      <x:c r="AB2884" s="6" t="str">
        <x:v>CC-BY-4.0</x:v>
      </x:c>
    </x:row>
    <x:row r="2885" ht="82" customHeight="1">
      <x:c r="A2885" s="14" t="n">
        <x:v>2880</x:v>
      </x:c>
      <x:c r="B2885" s="6" t="str">
        <x:v>errand</x:v>
      </x:c>
      <x:c r="C2885" s="6" t="str">
        <x:v>I'm in Bathroom 0.05 (apartment 2) (Ground floor). I need to grab a kitchen counter from the room that has one closest to me, then carry it to the largest kitchen on the floor 1. I can carry it on the stairs. How far will I walk in total, in metres? Finish with a line 'Answer: &lt;number&gt;'.</x:v>
      </x:c>
      <x:c r="D2885" s="6" t="str">
        <x:v>38.6 m
Pickup: Kitchen 0.07 (apartment 2)
Target: Kitchen 1.07 (apartment 4)</x:v>
      </x:c>
      <x:c r="E2885" s="6" t="str">
        <x:v>Reference supplied</x:v>
      </x:c>
      <x:c r="F2885" s="6" t="str">
        <x:v>train</x:v>
      </x:c>
      <x:c r="G2885" s="6" t="str">
        <x:v>swiss-6148</x:v>
      </x:c>
      <x:c r="H2885" s="6" t="str">
        <x:v>swiss-6148-H03</x:v>
      </x:c>
      <x:c r="I2885" s="6" t="str">
        <x:v>Compound tasks and changes</x:v>
      </x:c>
      <x:c r="J2885" s="6" t="str">
        <x:v>Benchmark</x:v>
      </x:c>
      <x:c r="K2885" s="6" t="str">
        <x:v>Answer: &lt;one number&gt;</x:v>
      </x:c>
      <x:c r="L2885" s="6" t="str">
        <x:v>T02, T03, T04, T05, T07, T14</x:v>
      </x:c>
      <x:c r="M2885" s="6" t="str">
        <x:v>Collect an item from its closest containing room, then deliver it to the largest requested room.</x:v>
      </x:c>
      <x:c r="N2885" s="6" t="str">
        <x:v>{"type":"number","value":38.6,"unit":"m","relative_tolerance":0.01,"absolute_tolerance":1,"via":"swiss-6148-F0-S007","target":"swiss-6148-F1-S007"}</x:v>
      </x:c>
      <x:c r="O2885" s="6" t="str">
        <x:v>{"start":"swiss-6148-F0-S005","asset_type":"kitchen_counter","floor_id":"swiss-6148-F1","room_type":"kitchen"}</x:v>
      </x:c>
      <x:c r="P2885" s="6" t="str">
        <x:v>Nearest pickup by route cost first. Largest target by area. Stairs allowed. README routing profile.</x:v>
      </x:c>
      <x:c r="Q2885" s="15" t="n">
        <x:v>38.6</x:v>
      </x:c>
      <x:c r="R2885" s="6" t="str">
        <x:v>m</x:v>
      </x:c>
      <x:c r="S2885" s="16" t="n">
        <x:v>0.01</x:v>
      </x:c>
      <x:c r="T2885" s="15" t="n">
        <x:v>1</x:v>
      </x:c>
      <x:c r="U2885" s="6" t="str">
        <x:v>Answer: 38.6</x:v>
      </x:c>
      <x:c r="V2885" s="6" t="str">
        <x:v>chain nearest-item, area and routing</x:v>
      </x:c>
      <x:c r="W2885" s="6" t="str">
        <x:v>Existing routing primitive. Missing full candidate search, area selection and task composition.</x:v>
      </x:c>
      <x:c r="X2885" s="6" t="str">
        <x:v>data/train/swiss-6148/questions.jsonl</x:v>
      </x:c>
      <x:c r="Y2885" s="14" t="n">
        <x:v>3</x:v>
      </x:c>
      <x:c r="Z2885" s="6" t="str">
        <x:v>https://github.com/hagenhaeussler/Industrial-Agents-Hackathon-2026/blob/f41616590b69f3ea0c1cbfb41d6c35edd9ce53df/data/train/swiss-6148/questions.jsonl#L3</x:v>
      </x:c>
      <x:c r="AA2885" s="6" t="str">
        <x:v>swiss_dwellings</x:v>
      </x:c>
      <x:c r="AB2885" s="6" t="str">
        <x:v>CC-BY-4.0</x:v>
      </x:c>
    </x:row>
    <x:row r="2886" ht="72" customHeight="1">
      <x:c r="A2886" s="14" t="n">
        <x:v>2881</x:v>
      </x:c>
      <x:c r="B2886" s="6" t="str">
        <x:v>errand</x:v>
      </x:c>
      <x:c r="C2886" s="6" t="str">
        <x:v>I'm in Bedroom 3.11 (apartment 8) (Floor 3). I need to grab a outdoor chair from the room that has one closest to me, then carry it to the largest bedroom on the floor 2. I can carry it on the stairs. How far will I walk in total, in metres? Finish with a line 'Answer: &lt;number&gt;'.</x:v>
      </x:c>
      <x:c r="D2886" s="6" t="str">
        <x:v>47.43 m
Pickup: Balcony 3.17 (apartment 8)
Target: Bedroom 2.12 (apartment 6)</x:v>
      </x:c>
      <x:c r="E2886" s="6" t="str">
        <x:v>Reference supplied</x:v>
      </x:c>
      <x:c r="F2886" s="6" t="str">
        <x:v>train</x:v>
      </x:c>
      <x:c r="G2886" s="6" t="str">
        <x:v>swiss-624</x:v>
      </x:c>
      <x:c r="H2886" s="6" t="str">
        <x:v>swiss-624-H03</x:v>
      </x:c>
      <x:c r="I2886" s="6" t="str">
        <x:v>Compound tasks and changes</x:v>
      </x:c>
      <x:c r="J2886" s="6" t="str">
        <x:v>Benchmark</x:v>
      </x:c>
      <x:c r="K2886" s="6" t="str">
        <x:v>Answer: &lt;one number&gt;</x:v>
      </x:c>
      <x:c r="L2886" s="6" t="str">
        <x:v>T02, T03, T04, T05, T07, T14</x:v>
      </x:c>
      <x:c r="M2886" s="6" t="str">
        <x:v>Collect an item from its closest containing room, then deliver it to the largest requested room.</x:v>
      </x:c>
      <x:c r="N2886" s="6" t="str">
        <x:v>{"type":"number","value":47.43,"unit":"m","relative_tolerance":0.01,"absolute_tolerance":1,"via":"swiss-624-F3-S017","target":"swiss-624-F2-S012"}</x:v>
      </x:c>
      <x:c r="O2886" s="6" t="str">
        <x:v>{"start":"swiss-624-F3-S011","asset_type":"outdoor_chair","floor_id":"swiss-624-F2","room_type":"bedroom"}</x:v>
      </x:c>
      <x:c r="P2886" s="6" t="str">
        <x:v>Nearest pickup by route cost first. Largest target by area. Stairs allowed. README routing profile.</x:v>
      </x:c>
      <x:c r="Q2886" s="15" t="n">
        <x:v>47.43</x:v>
      </x:c>
      <x:c r="R2886" s="6" t="str">
        <x:v>m</x:v>
      </x:c>
      <x:c r="S2886" s="16" t="n">
        <x:v>0.01</x:v>
      </x:c>
      <x:c r="T2886" s="15" t="n">
        <x:v>1</x:v>
      </x:c>
      <x:c r="U2886" s="6" t="str">
        <x:v>Answer: 47.43</x:v>
      </x:c>
      <x:c r="V2886" s="6" t="str">
        <x:v>chain nearest-item, area and routing</x:v>
      </x:c>
      <x:c r="W2886" s="6" t="str">
        <x:v>Existing routing primitive. Missing full candidate search, area selection and task composition.</x:v>
      </x:c>
      <x:c r="X2886" s="6" t="str">
        <x:v>data/train/swiss-624/questions.jsonl</x:v>
      </x:c>
      <x:c r="Y2886" s="14" t="n">
        <x:v>3</x:v>
      </x:c>
      <x:c r="Z2886" s="6" t="str">
        <x:v>https://github.com/hagenhaeussler/Industrial-Agents-Hackathon-2026/blob/f41616590b69f3ea0c1cbfb41d6c35edd9ce53df/data/train/swiss-624/questions.jsonl#L3</x:v>
      </x:c>
      <x:c r="AA2886" s="6" t="str">
        <x:v>swiss_dwellings</x:v>
      </x:c>
      <x:c r="AB2886" s="6" t="str">
        <x:v>CC-BY-4.0</x:v>
      </x:c>
    </x:row>
    <x:row r="2887" ht="72" customHeight="1">
      <x:c r="A2887" s="14" t="n">
        <x:v>2882</x:v>
      </x:c>
      <x:c r="B2887" s="6" t="str">
        <x:v>errand</x:v>
      </x:c>
      <x:c r="C2887" s="6" t="str">
        <x:v>I'm in Bathroom 1.13 (apartment 5) (Floor 1). I need to grab a desk from the room that has one closest to me, then carry it to the largest bathroom on the floor 3. I can carry it on the stairs. How far will I walk in total, in metres? Finish with a line 'Answer: &lt;number&gt;'.</x:v>
      </x:c>
      <x:c r="D2887" s="6" t="str">
        <x:v>48.83 m
Pickup: Bedroom 1.10 (apartment 5)
Target: Bathroom 3.05 (apartment 10)</x:v>
      </x:c>
      <x:c r="E2887" s="6" t="str">
        <x:v>Reference supplied</x:v>
      </x:c>
      <x:c r="F2887" s="6" t="str">
        <x:v>train</x:v>
      </x:c>
      <x:c r="G2887" s="6" t="str">
        <x:v>swiss-668</x:v>
      </x:c>
      <x:c r="H2887" s="6" t="str">
        <x:v>swiss-668-H03</x:v>
      </x:c>
      <x:c r="I2887" s="6" t="str">
        <x:v>Compound tasks and changes</x:v>
      </x:c>
      <x:c r="J2887" s="6" t="str">
        <x:v>Benchmark</x:v>
      </x:c>
      <x:c r="K2887" s="6" t="str">
        <x:v>Answer: &lt;one number&gt;</x:v>
      </x:c>
      <x:c r="L2887" s="6" t="str">
        <x:v>T02, T03, T04, T05, T07, T14</x:v>
      </x:c>
      <x:c r="M2887" s="6" t="str">
        <x:v>Collect an item from its closest containing room, then deliver it to the largest requested room.</x:v>
      </x:c>
      <x:c r="N2887" s="6" t="str">
        <x:v>{"type":"number","value":48.83,"unit":"m","relative_tolerance":0.01,"absolute_tolerance":1,"via":"swiss-668-F1-S010","target":"swiss-668-F3-S005"}</x:v>
      </x:c>
      <x:c r="O2887" s="6" t="str">
        <x:v>{"start":"swiss-668-F1-S013","asset_type":"desk","floor_id":"swiss-668-F3","room_type":"bathroom"}</x:v>
      </x:c>
      <x:c r="P2887" s="6" t="str">
        <x:v>Nearest pickup by route cost first. Largest target by area. Stairs allowed. README routing profile.</x:v>
      </x:c>
      <x:c r="Q2887" s="15" t="n">
        <x:v>48.83</x:v>
      </x:c>
      <x:c r="R2887" s="6" t="str">
        <x:v>m</x:v>
      </x:c>
      <x:c r="S2887" s="16" t="n">
        <x:v>0.01</x:v>
      </x:c>
      <x:c r="T2887" s="15" t="n">
        <x:v>1</x:v>
      </x:c>
      <x:c r="U2887" s="6" t="str">
        <x:v>Answer: 48.83</x:v>
      </x:c>
      <x:c r="V2887" s="6" t="str">
        <x:v>chain nearest-item, area and routing</x:v>
      </x:c>
      <x:c r="W2887" s="6" t="str">
        <x:v>Existing routing primitive. Missing full candidate search, area selection and task composition.</x:v>
      </x:c>
      <x:c r="X2887" s="6" t="str">
        <x:v>data/train/swiss-668/questions.jsonl</x:v>
      </x:c>
      <x:c r="Y2887" s="14" t="n">
        <x:v>3</x:v>
      </x:c>
      <x:c r="Z2887" s="6" t="str">
        <x:v>https://github.com/hagenhaeussler/Industrial-Agents-Hackathon-2026/blob/f41616590b69f3ea0c1cbfb41d6c35edd9ce53df/data/train/swiss-668/questions.jsonl#L3</x:v>
      </x:c>
      <x:c r="AA2887" s="6" t="str">
        <x:v>swiss_dwellings</x:v>
      </x:c>
      <x:c r="AB2887" s="6" t="str">
        <x:v>CC-BY-4.0</x:v>
      </x:c>
    </x:row>
    <x:row r="2888" ht="72" customHeight="1">
      <x:c r="A2888" s="14" t="n">
        <x:v>2883</x:v>
      </x:c>
      <x:c r="B2888" s="6" t="str">
        <x:v>errand</x:v>
      </x:c>
      <x:c r="C2888" s="6" t="str">
        <x:v>I'm in Bedroom 4.27 (apartment 36) (Floor 4). I need to grab a toilet from the room that has one closest to me, then carry it to the largest bedroom on the floor 4. I can carry it on the stairs. How far will I walk in total, in metres? Finish with a line 'Answer: &lt;number&gt;'.</x:v>
      </x:c>
      <x:c r="D2888" s="6" t="str">
        <x:v>15.89 m
Pickup: Bathroom 4.25 (apartment 36)
Target: Bedroom 4.21 (apartment 36)</x:v>
      </x:c>
      <x:c r="E2888" s="6" t="str">
        <x:v>Reference supplied</x:v>
      </x:c>
      <x:c r="F2888" s="6" t="str">
        <x:v>train</x:v>
      </x:c>
      <x:c r="G2888" s="6" t="str">
        <x:v>swiss-692</x:v>
      </x:c>
      <x:c r="H2888" s="6" t="str">
        <x:v>swiss-692-H03</x:v>
      </x:c>
      <x:c r="I2888" s="6" t="str">
        <x:v>Compound tasks and changes</x:v>
      </x:c>
      <x:c r="J2888" s="6" t="str">
        <x:v>Benchmark</x:v>
      </x:c>
      <x:c r="K2888" s="6" t="str">
        <x:v>Answer: &lt;one number&gt;</x:v>
      </x:c>
      <x:c r="L2888" s="6" t="str">
        <x:v>T02, T03, T04, T05, T07, T14</x:v>
      </x:c>
      <x:c r="M2888" s="6" t="str">
        <x:v>Collect an item from its closest containing room, then deliver it to the largest requested room.</x:v>
      </x:c>
      <x:c r="N2888" s="6" t="str">
        <x:v>{"type":"number","value":15.89,"unit":"m","relative_tolerance":0.01,"absolute_tolerance":1,"via":"swiss-692-F4-S025","target":"swiss-692-F4-S021"}</x:v>
      </x:c>
      <x:c r="O2888" s="6" t="str">
        <x:v>{"start":"swiss-692-F4-S027","asset_type":"toilet","floor_id":"swiss-692-F4","room_type":"bedroom"}</x:v>
      </x:c>
      <x:c r="P2888" s="6" t="str">
        <x:v>Nearest pickup by route cost first. Largest target by area. Stairs allowed. README routing profile.</x:v>
      </x:c>
      <x:c r="Q2888" s="15" t="n">
        <x:v>15.89</x:v>
      </x:c>
      <x:c r="R2888" s="6" t="str">
        <x:v>m</x:v>
      </x:c>
      <x:c r="S2888" s="16" t="n">
        <x:v>0.01</x:v>
      </x:c>
      <x:c r="T2888" s="15" t="n">
        <x:v>1</x:v>
      </x:c>
      <x:c r="U2888" s="6" t="str">
        <x:v>Answer: 15.89</x:v>
      </x:c>
      <x:c r="V2888" s="6" t="str">
        <x:v>chain nearest-item, area and routing</x:v>
      </x:c>
      <x:c r="W2888" s="6" t="str">
        <x:v>Existing routing primitive. Missing full candidate search, area selection and task composition.</x:v>
      </x:c>
      <x:c r="X2888" s="6" t="str">
        <x:v>data/train/swiss-692/questions.jsonl</x:v>
      </x:c>
      <x:c r="Y2888" s="14" t="n">
        <x:v>3</x:v>
      </x:c>
      <x:c r="Z2888" s="6" t="str">
        <x:v>https://github.com/hagenhaeussler/Industrial-Agents-Hackathon-2026/blob/f41616590b69f3ea0c1cbfb41d6c35edd9ce53df/data/train/swiss-692/questions.jsonl#L3</x:v>
      </x:c>
      <x:c r="AA2888" s="6" t="str">
        <x:v>swiss_dwellings</x:v>
      </x:c>
      <x:c r="AB2888" s="6" t="str">
        <x:v>CC-BY-4.0</x:v>
      </x:c>
    </x:row>
    <x:row r="2889" ht="72" customHeight="1">
      <x:c r="A2889" s="14" t="n">
        <x:v>2884</x:v>
      </x:c>
      <x:c r="B2889" s="6" t="str">
        <x:v>errand</x:v>
      </x:c>
      <x:c r="C2889" s="6" t="str">
        <x:v>I'm in Kitchen 6.29 (apartment 28) (Floor 6). I need to grab a sofa from the room that has one closest to me, then carry it to the largest bedroom on the floor 6. I can carry it on the stairs. How far will I walk in total, in metres? Finish with a line 'Answer: &lt;number&gt;'.</x:v>
      </x:c>
      <x:c r="D2889" s="6" t="str">
        <x:v>17.04 m
Pickup: Living room 6.30 (apartment 28)
Target: Bedroom 6.35 (apartment 28)</x:v>
      </x:c>
      <x:c r="E2889" s="6" t="str">
        <x:v>Reference supplied</x:v>
      </x:c>
      <x:c r="F2889" s="6" t="str">
        <x:v>train</x:v>
      </x:c>
      <x:c r="G2889" s="6" t="str">
        <x:v>swiss-921</x:v>
      </x:c>
      <x:c r="H2889" s="6" t="str">
        <x:v>swiss-921-H03</x:v>
      </x:c>
      <x:c r="I2889" s="6" t="str">
        <x:v>Compound tasks and changes</x:v>
      </x:c>
      <x:c r="J2889" s="6" t="str">
        <x:v>Benchmark</x:v>
      </x:c>
      <x:c r="K2889" s="6" t="str">
        <x:v>Answer: &lt;one number&gt;</x:v>
      </x:c>
      <x:c r="L2889" s="6" t="str">
        <x:v>T02, T03, T04, T05, T07, T14</x:v>
      </x:c>
      <x:c r="M2889" s="6" t="str">
        <x:v>Collect an item from its closest containing room, then deliver it to the largest requested room.</x:v>
      </x:c>
      <x:c r="N2889" s="6" t="str">
        <x:v>{"type":"number","value":17.04,"unit":"m","relative_tolerance":0.01,"absolute_tolerance":1,"via":"swiss-921-F6-S030","target":"swiss-921-F6-S035"}</x:v>
      </x:c>
      <x:c r="O2889" s="6" t="str">
        <x:v>{"start":"swiss-921-F6-S029","asset_type":"sofa","floor_id":"swiss-921-F6","room_type":"bedroom"}</x:v>
      </x:c>
      <x:c r="P2889" s="6" t="str">
        <x:v>Nearest pickup by route cost first. Largest target by area. Stairs allowed. README routing profile.</x:v>
      </x:c>
      <x:c r="Q2889" s="15" t="n">
        <x:v>17.04</x:v>
      </x:c>
      <x:c r="R2889" s="6" t="str">
        <x:v>m</x:v>
      </x:c>
      <x:c r="S2889" s="16" t="n">
        <x:v>0.01</x:v>
      </x:c>
      <x:c r="T2889" s="15" t="n">
        <x:v>1</x:v>
      </x:c>
      <x:c r="U2889" s="6" t="str">
        <x:v>Answer: 17.04</x:v>
      </x:c>
      <x:c r="V2889" s="6" t="str">
        <x:v>chain nearest-item, area and routing</x:v>
      </x:c>
      <x:c r="W2889" s="6" t="str">
        <x:v>Existing routing primitive. Missing full candidate search, area selection and task composition.</x:v>
      </x:c>
      <x:c r="X2889" s="6" t="str">
        <x:v>data/train/swiss-921/questions.jsonl</x:v>
      </x:c>
      <x:c r="Y2889" s="14" t="n">
        <x:v>3</x:v>
      </x:c>
      <x:c r="Z2889" s="6" t="str">
        <x:v>https://github.com/hagenhaeussler/Industrial-Agents-Hackathon-2026/blob/f41616590b69f3ea0c1cbfb41d6c35edd9ce53df/data/train/swiss-921/questions.jsonl#L3</x:v>
      </x:c>
      <x:c r="AA2889" s="6" t="str">
        <x:v>swiss_dwellings</x:v>
      </x:c>
      <x:c r="AB2889" s="6" t="str">
        <x:v>CC-BY-4.0</x:v>
      </x:c>
    </x:row>
    <x:row r="2890" ht="72" customHeight="1">
      <x:c r="A2890" s="14" t="n">
        <x:v>2885</x:v>
      </x:c>
      <x:c r="B2890" s="6" t="str">
        <x:v>errand</x:v>
      </x:c>
      <x:c r="C2890" s="6" t="str">
        <x:v>I'm in Generic room N2301 (Floor 2). I need to grab a coat rack from the room that has one closest to me, then carry it to the largest generic room on the floor 5. I can carry it on the stairs. How far will I walk in total, in metres? Finish with a line 'Answer: &lt;number&gt;'.</x:v>
      </x:c>
      <x:c r="D2890" s="6" t="str">
        <x:v>77.36 m
Pickup: Corridor N2332
Target: Generic room N5325</x:v>
      </x:c>
      <x:c r="E2890" s="6" t="str">
        <x:v>Reference supplied</x:v>
      </x:c>
      <x:c r="F2890" s="6" t="str">
        <x:v>dev</x:v>
      </x:c>
      <x:c r="G2890" s="6" t="str">
        <x:v>osm-way22744230</x:v>
      </x:c>
      <x:c r="H2890" s="6" t="str">
        <x:v>osm-way22744230-H04</x:v>
      </x:c>
      <x:c r="I2890" s="6" t="str">
        <x:v>Compound tasks and changes</x:v>
      </x:c>
      <x:c r="J2890" s="6" t="str">
        <x:v>Benchmark</x:v>
      </x:c>
      <x:c r="K2890" s="6" t="str">
        <x:v>Answer: &lt;one number&gt;</x:v>
      </x:c>
      <x:c r="L2890" s="6" t="str">
        <x:v>T02, T03, T04, T05, T07, T14</x:v>
      </x:c>
      <x:c r="M2890" s="6" t="str">
        <x:v>Collect an item from its closest containing room, then deliver it to the largest requested room.</x:v>
      </x:c>
      <x:c r="N2890" s="6" t="str">
        <x:v>{"type":"number","value":77.36,"unit":"m","relative_tolerance":0.01,"absolute_tolerance":1,"via":"osm-way22744230-F2-S005","target":"osm-way22744230-F5-S008"}</x:v>
      </x:c>
      <x:c r="O2890" s="6" t="str">
        <x:v>{"start":"osm-way22744230-F2-S004","asset_type":"coat_rack","floor_id":"osm-way22744230-F5","room_type":"generic_room"}</x:v>
      </x:c>
      <x:c r="P2890" s="6" t="str">
        <x:v>Nearest pickup by route cost first. Largest target by area. Stairs allowed. README routing profile.</x:v>
      </x:c>
      <x:c r="Q2890" s="15" t="n">
        <x:v>77.36</x:v>
      </x:c>
      <x:c r="R2890" s="6" t="str">
        <x:v>m</x:v>
      </x:c>
      <x:c r="S2890" s="16" t="n">
        <x:v>0.01</x:v>
      </x:c>
      <x:c r="T2890" s="15" t="n">
        <x:v>1</x:v>
      </x:c>
      <x:c r="U2890" s="6" t="str">
        <x:v>Answer: 77.36</x:v>
      </x:c>
      <x:c r="V2890" s="6" t="str">
        <x:v>chain nearest-item, area and routing</x:v>
      </x:c>
      <x:c r="W2890" s="6" t="str">
        <x:v>Existing routing primitive. Missing full candidate search, area selection and task composition.</x:v>
      </x:c>
      <x:c r="X2890" s="6" t="str">
        <x:v>data/dev/osm-way22744230/questions.jsonl</x:v>
      </x:c>
      <x:c r="Y2890" s="14" t="n">
        <x:v>4</x:v>
      </x:c>
      <x:c r="Z2890" s="6" t="str">
        <x:v>https://github.com/hagenhaeussler/Industrial-Agents-Hackathon-2026/blob/f41616590b69f3ea0c1cbfb41d6c35edd9ce53df/data/dev/osm-way22744230/questions.jsonl#L4</x:v>
      </x:c>
      <x:c r="AA2890" s="6" t="str">
        <x:v>osm_indoor</x:v>
      </x:c>
      <x:c r="AB2890" s="6" t="str">
        <x:v>ODbL-1.0</x:v>
      </x:c>
    </x:row>
    <x:row r="2891" ht="82" customHeight="1">
      <x:c r="A2891" s="14" t="n">
        <x:v>2886</x:v>
      </x:c>
      <x:c r="B2891" s="6" t="str">
        <x:v>errand</x:v>
      </x:c>
      <x:c r="C2891" s="6" t="str">
        <x:v>I'm in Generic room K19A (Basement 2). I need to grab a fire extinguisher from the room that has one closest to me, then carry it to the largest generic room on the ground floor. I can carry it on the stairs. How far will I walk in total, in metres? Finish with a line 'Answer: &lt;number&gt;'.</x:v>
      </x:c>
      <x:c r="D2891" s="6" t="str">
        <x:v>82.24 m
Pickup: Corridor K13
Target: Generic room E06A</x:v>
      </x:c>
      <x:c r="E2891" s="6" t="str">
        <x:v>Reference supplied</x:v>
      </x:c>
      <x:c r="F2891" s="6" t="str">
        <x:v>dev</x:v>
      </x:c>
      <x:c r="G2891" s="6" t="str">
        <x:v>osm-way27326387</x:v>
      </x:c>
      <x:c r="H2891" s="6" t="str">
        <x:v>osm-way27326387-H03</x:v>
      </x:c>
      <x:c r="I2891" s="6" t="str">
        <x:v>Compound tasks and changes</x:v>
      </x:c>
      <x:c r="J2891" s="6" t="str">
        <x:v>Benchmark</x:v>
      </x:c>
      <x:c r="K2891" s="6" t="str">
        <x:v>Answer: &lt;one number&gt;</x:v>
      </x:c>
      <x:c r="L2891" s="6" t="str">
        <x:v>T02, T03, T04, T05, T07, T14</x:v>
      </x:c>
      <x:c r="M2891" s="6" t="str">
        <x:v>Collect an item from its closest containing room, then deliver it to the largest requested room.</x:v>
      </x:c>
      <x:c r="N2891" s="6" t="str">
        <x:v>{"type":"number","value":82.24,"unit":"m","relative_tolerance":0.01,"absolute_tolerance":1,"via":"osm-way27326387-F-2-S015","target":"osm-way27326387-F0-S014"}</x:v>
      </x:c>
      <x:c r="O2891" s="6" t="str">
        <x:v>{"start":"osm-way27326387-F-2-S005","asset_type":"fire_extinguisher","floor_id":"osm-way27326387-F0","room_type":"generic_room"}</x:v>
      </x:c>
      <x:c r="P2891" s="6" t="str">
        <x:v>Nearest pickup by route cost first. Largest target by area. Stairs allowed. README routing profile.</x:v>
      </x:c>
      <x:c r="Q2891" s="15" t="n">
        <x:v>82.24</x:v>
      </x:c>
      <x:c r="R2891" s="6" t="str">
        <x:v>m</x:v>
      </x:c>
      <x:c r="S2891" s="16" t="n">
        <x:v>0.01</x:v>
      </x:c>
      <x:c r="T2891" s="15" t="n">
        <x:v>1</x:v>
      </x:c>
      <x:c r="U2891" s="6" t="str">
        <x:v>Answer: 82.24</x:v>
      </x:c>
      <x:c r="V2891" s="6" t="str">
        <x:v>chain nearest-item, area and routing</x:v>
      </x:c>
      <x:c r="W2891" s="6" t="str">
        <x:v>Existing routing primitive. Missing full candidate search, area selection and task composition.</x:v>
      </x:c>
      <x:c r="X2891" s="6" t="str">
        <x:v>data/dev/osm-way27326387/questions.jsonl</x:v>
      </x:c>
      <x:c r="Y2891" s="14" t="n">
        <x:v>3</x:v>
      </x:c>
      <x:c r="Z2891" s="6" t="str">
        <x:v>https://github.com/hagenhaeussler/Industrial-Agents-Hackathon-2026/blob/f41616590b69f3ea0c1cbfb41d6c35edd9ce53df/data/dev/osm-way27326387/questions.jsonl#L3</x:v>
      </x:c>
      <x:c r="AA2891" s="6" t="str">
        <x:v>osm_indoor</x:v>
      </x:c>
      <x:c r="AB2891" s="6" t="str">
        <x:v>ODbL-1.0</x:v>
      </x:c>
    </x:row>
    <x:row r="2892" ht="72" customHeight="1">
      <x:c r="A2892" s="14" t="n">
        <x:v>2887</x:v>
      </x:c>
      <x:c r="B2892" s="6" t="str">
        <x:v>errand</x:v>
      </x:c>
      <x:c r="C2892" s="6" t="str">
        <x:v>I'm in Lobby 0.13 (Ground floor). I need to grab a chair from the room that has one closest to me, then carry it to the largest generic room on the ground floor. I can carry it on the stairs. How far will I walk in total, in metres? Finish with a line 'Answer: &lt;number&gt;'.</x:v>
      </x:c>
      <x:c r="D2892" s="6" t="str">
        <x:v>163.96 m
Pickup: Starbucks
Target: Edeka</x:v>
      </x:c>
      <x:c r="E2892" s="6" t="str">
        <x:v>Reference supplied</x:v>
      </x:c>
      <x:c r="F2892" s="6" t="str">
        <x:v>dev</x:v>
      </x:c>
      <x:c r="G2892" s="6" t="str">
        <x:v>osm-way360544293</x:v>
      </x:c>
      <x:c r="H2892" s="6" t="str">
        <x:v>osm-way360544293-H03</x:v>
      </x:c>
      <x:c r="I2892" s="6" t="str">
        <x:v>Compound tasks and changes</x:v>
      </x:c>
      <x:c r="J2892" s="6" t="str">
        <x:v>Benchmark</x:v>
      </x:c>
      <x:c r="K2892" s="6" t="str">
        <x:v>Answer: &lt;one number&gt;</x:v>
      </x:c>
      <x:c r="L2892" s="6" t="str">
        <x:v>T02, T03, T04, T05, T07, T14</x:v>
      </x:c>
      <x:c r="M2892" s="6" t="str">
        <x:v>Collect an item from its closest containing room, then deliver it to the largest requested room.</x:v>
      </x:c>
      <x:c r="N2892" s="6" t="str">
        <x:v>{"type":"number","value":163.96,"unit":"m","relative_tolerance":0.01,"absolute_tolerance":1,"via":"osm-way360544293-F0-S010","target":"osm-way360544293-F0-S014"}</x:v>
      </x:c>
      <x:c r="O2892" s="6" t="str">
        <x:v>{"start":"osm-way360544293-F0-S013","asset_type":"chair","floor_id":"osm-way360544293-F0","room_type":"generic_room"}</x:v>
      </x:c>
      <x:c r="P2892" s="6" t="str">
        <x:v>Nearest pickup by route cost first. Largest target by area. Stairs allowed. README routing profile.</x:v>
      </x:c>
      <x:c r="Q2892" s="15" t="n">
        <x:v>163.96</x:v>
      </x:c>
      <x:c r="R2892" s="6" t="str">
        <x:v>m</x:v>
      </x:c>
      <x:c r="S2892" s="16" t="n">
        <x:v>0.01</x:v>
      </x:c>
      <x:c r="T2892" s="15" t="n">
        <x:v>1</x:v>
      </x:c>
      <x:c r="U2892" s="6" t="str">
        <x:v>Answer: 163.96</x:v>
      </x:c>
      <x:c r="V2892" s="6" t="str">
        <x:v>chain nearest-item, area and routing</x:v>
      </x:c>
      <x:c r="W2892" s="6" t="str">
        <x:v>Existing routing primitive. Missing full candidate search, area selection and task composition.</x:v>
      </x:c>
      <x:c r="X2892" s="6" t="str">
        <x:v>data/dev/osm-way360544293/questions.jsonl</x:v>
      </x:c>
      <x:c r="Y2892" s="14" t="n">
        <x:v>3</x:v>
      </x:c>
      <x:c r="Z2892" s="6" t="str">
        <x:v>https://github.com/hagenhaeussler/Industrial-Agents-Hackathon-2026/blob/f41616590b69f3ea0c1cbfb41d6c35edd9ce53df/data/dev/osm-way360544293/questions.jsonl#L3</x:v>
      </x:c>
      <x:c r="AA2892" s="6" t="str">
        <x:v>osm_indoor</x:v>
      </x:c>
      <x:c r="AB2892" s="6" t="str">
        <x:v>ODbL-1.0</x:v>
      </x:c>
    </x:row>
    <x:row r="2893" ht="72" customHeight="1">
      <x:c r="A2893" s="14" t="n">
        <x:v>2888</x:v>
      </x:c>
      <x:c r="B2893" s="6" t="str">
        <x:v>errand</x:v>
      </x:c>
      <x:c r="C2893" s="6" t="str">
        <x:v>I'm in Lab 4.22 (Floor 4). I need to grab a bookshelf from the room that has one closest to me, then carry it to the largest storage on the floor 4. I can carry it on the stairs. How far will I walk in total, in metres? Finish with a line 'Answer: &lt;number&gt;'.</x:v>
      </x:c>
      <x:c r="D2893" s="6" t="str">
        <x:v>37.38 m
Pickup: Office 4.24
Target: Storage 4.08</x:v>
      </x:c>
      <x:c r="E2893" s="6" t="str">
        <x:v>Reference supplied</x:v>
      </x:c>
      <x:c r="F2893" s="6" t="str">
        <x:v>dev</x:v>
      </x:c>
      <x:c r="G2893" s="6" t="str">
        <x:v>proc-campus-dev-000</x:v>
      </x:c>
      <x:c r="H2893" s="6" t="str">
        <x:v>proc-campus-dev-000-H04</x:v>
      </x:c>
      <x:c r="I2893" s="6" t="str">
        <x:v>Compound tasks and changes</x:v>
      </x:c>
      <x:c r="J2893" s="6" t="str">
        <x:v>Benchmark</x:v>
      </x:c>
      <x:c r="K2893" s="6" t="str">
        <x:v>Answer: &lt;one number&gt;</x:v>
      </x:c>
      <x:c r="L2893" s="6" t="str">
        <x:v>T02, T03, T04, T05, T07, T14</x:v>
      </x:c>
      <x:c r="M2893" s="6" t="str">
        <x:v>Collect an item from its closest containing room, then deliver it to the largest requested room.</x:v>
      </x:c>
      <x:c r="N2893" s="6" t="str">
        <x:v>{"type":"number","value":37.38,"unit":"m","relative_tolerance":0.01,"absolute_tolerance":1,"via":"proc-campus-dev-000-F4-S024","target":"proc-campus-dev-000-F4-S008"}</x:v>
      </x:c>
      <x:c r="O2893" s="6" t="str">
        <x:v>{"start":"proc-campus-dev-000-F4-S022","asset_type":"bookshelf","floor_id":"proc-campus-dev-000-F4","room_type":"storage"}</x:v>
      </x:c>
      <x:c r="P2893" s="6" t="str">
        <x:v>Nearest pickup by route cost first. Largest target by area. Stairs allowed. README routing profile.</x:v>
      </x:c>
      <x:c r="Q2893" s="15" t="n">
        <x:v>37.38</x:v>
      </x:c>
      <x:c r="R2893" s="6" t="str">
        <x:v>m</x:v>
      </x:c>
      <x:c r="S2893" s="16" t="n">
        <x:v>0.01</x:v>
      </x:c>
      <x:c r="T2893" s="15" t="n">
        <x:v>1</x:v>
      </x:c>
      <x:c r="U2893" s="6" t="str">
        <x:v>Answer: 37.38</x:v>
      </x:c>
      <x:c r="V2893" s="6" t="str">
        <x:v>chain nearest-item, area and routing</x:v>
      </x:c>
      <x:c r="W2893" s="6" t="str">
        <x:v>Existing routing primitive. Missing full candidate search, area selection and task composition.</x:v>
      </x:c>
      <x:c r="X2893" s="6" t="str">
        <x:v>data/dev/proc-campus-dev-000/questions.jsonl</x:v>
      </x:c>
      <x:c r="Y2893" s="14" t="n">
        <x:v>4</x:v>
      </x:c>
      <x:c r="Z2893" s="6" t="str">
        <x:v>https://github.com/hagenhaeussler/Industrial-Agents-Hackathon-2026/blob/f41616590b69f3ea0c1cbfb41d6c35edd9ce53df/data/dev/proc-campus-dev-000/questions.jsonl#L4</x:v>
      </x:c>
      <x:c r="AA2893" s="6" t="str">
        <x:v>procedural</x:v>
      </x:c>
      <x:c r="AB2893" s="6" t="str">
        <x:v>CC0-1.0</x:v>
      </x:c>
    </x:row>
    <x:row r="2894" ht="72" customHeight="1">
      <x:c r="A2894" s="14" t="n">
        <x:v>2889</x:v>
      </x:c>
      <x:c r="B2894" s="6" t="str">
        <x:v>errand</x:v>
      </x:c>
      <x:c r="C2894" s="6" t="str">
        <x:v>I'm in Toilet 0.19 (Ground floor). I need to grab a oscilloscope station from the room that has one closest to me, then carry it to the largest storage on the floor 2. I can carry it on the stairs. How far will I walk in total, in metres? Finish with a line 'Answer: &lt;number&gt;'.</x:v>
      </x:c>
      <x:c r="D2894" s="6" t="str">
        <x:v>100.67 m
Pickup: Lab 0.06
Target: Storage 2.06</x:v>
      </x:c>
      <x:c r="E2894" s="6" t="str">
        <x:v>Reference supplied</x:v>
      </x:c>
      <x:c r="F2894" s="6" t="str">
        <x:v>dev</x:v>
      </x:c>
      <x:c r="G2894" s="6" t="str">
        <x:v>proc-campus-dev-001</x:v>
      </x:c>
      <x:c r="H2894" s="6" t="str">
        <x:v>proc-campus-dev-001-H04</x:v>
      </x:c>
      <x:c r="I2894" s="6" t="str">
        <x:v>Compound tasks and changes</x:v>
      </x:c>
      <x:c r="J2894" s="6" t="str">
        <x:v>Benchmark</x:v>
      </x:c>
      <x:c r="K2894" s="6" t="str">
        <x:v>Answer: &lt;one number&gt;</x:v>
      </x:c>
      <x:c r="L2894" s="6" t="str">
        <x:v>T02, T03, T04, T05, T07, T14</x:v>
      </x:c>
      <x:c r="M2894" s="6" t="str">
        <x:v>Collect an item from its closest containing room, then deliver it to the largest requested room.</x:v>
      </x:c>
      <x:c r="N2894" s="6" t="str">
        <x:v>{"type":"number","value":100.67,"unit":"m","relative_tolerance":0.01,"absolute_tolerance":1,"via":"proc-campus-dev-001-F0-S006","target":"proc-campus-dev-001-F2-S006"}</x:v>
      </x:c>
      <x:c r="O2894" s="6" t="str">
        <x:v>{"start":"proc-campus-dev-001-F0-S019","asset_type":"oscilloscope_station","floor_id":"proc-campus-dev-001-F2","room_type":"storage"}</x:v>
      </x:c>
      <x:c r="P2894" s="6" t="str">
        <x:v>Nearest pickup by route cost first. Largest target by area. Stairs allowed. README routing profile.</x:v>
      </x:c>
      <x:c r="Q2894" s="15" t="n">
        <x:v>100.67</x:v>
      </x:c>
      <x:c r="R2894" s="6" t="str">
        <x:v>m</x:v>
      </x:c>
      <x:c r="S2894" s="16" t="n">
        <x:v>0.01</x:v>
      </x:c>
      <x:c r="T2894" s="15" t="n">
        <x:v>1</x:v>
      </x:c>
      <x:c r="U2894" s="6" t="str">
        <x:v>Answer: 100.67</x:v>
      </x:c>
      <x:c r="V2894" s="6" t="str">
        <x:v>chain nearest-item, area and routing</x:v>
      </x:c>
      <x:c r="W2894" s="6" t="str">
        <x:v>Existing routing primitive. Missing full candidate search, area selection and task composition.</x:v>
      </x:c>
      <x:c r="X2894" s="6" t="str">
        <x:v>data/dev/proc-campus-dev-001/questions.jsonl</x:v>
      </x:c>
      <x:c r="Y2894" s="14" t="n">
        <x:v>4</x:v>
      </x:c>
      <x:c r="Z2894" s="6" t="str">
        <x:v>https://github.com/hagenhaeussler/Industrial-Agents-Hackathon-2026/blob/f41616590b69f3ea0c1cbfb41d6c35edd9ce53df/data/dev/proc-campus-dev-001/questions.jsonl#L4</x:v>
      </x:c>
      <x:c r="AA2894" s="6" t="str">
        <x:v>procedural</x:v>
      </x:c>
      <x:c r="AB2894" s="6" t="str">
        <x:v>CC0-1.0</x:v>
      </x:c>
    </x:row>
    <x:row r="2895" ht="72" customHeight="1">
      <x:c r="A2895" s="14" t="n">
        <x:v>2890</x:v>
      </x:c>
      <x:c r="B2895" s="6" t="str">
        <x:v>errand</x:v>
      </x:c>
      <x:c r="C2895" s="6" t="str">
        <x:v>I'm in Office 3.29 (Floor 3). I need to grab a paper shelf from the room that has one closest to me, then carry it to the largest lab on the floor 5. I can carry it on the stairs. How far will I walk in total, in metres? Finish with a line 'Answer: &lt;number&gt;'.</x:v>
      </x:c>
      <x:c r="D2895" s="6" t="str">
        <x:v>75.86 m
Pickup: Print room 3.09
Target: Lab 5.08</x:v>
      </x:c>
      <x:c r="E2895" s="6" t="str">
        <x:v>Reference supplied</x:v>
      </x:c>
      <x:c r="F2895" s="6" t="str">
        <x:v>dev</x:v>
      </x:c>
      <x:c r="G2895" s="6" t="str">
        <x:v>proc-campus-dev-009</x:v>
      </x:c>
      <x:c r="H2895" s="6" t="str">
        <x:v>proc-campus-dev-009-H04</x:v>
      </x:c>
      <x:c r="I2895" s="6" t="str">
        <x:v>Compound tasks and changes</x:v>
      </x:c>
      <x:c r="J2895" s="6" t="str">
        <x:v>Benchmark</x:v>
      </x:c>
      <x:c r="K2895" s="6" t="str">
        <x:v>Answer: &lt;one number&gt;</x:v>
      </x:c>
      <x:c r="L2895" s="6" t="str">
        <x:v>T02, T03, T04, T05, T07, T14</x:v>
      </x:c>
      <x:c r="M2895" s="6" t="str">
        <x:v>Collect an item from its closest containing room, then deliver it to the largest requested room.</x:v>
      </x:c>
      <x:c r="N2895" s="6" t="str">
        <x:v>{"type":"number","value":75.86,"unit":"m","relative_tolerance":0.01,"absolute_tolerance":1,"via":"proc-campus-dev-009-F3-S009","target":"proc-campus-dev-009-F5-S008"}</x:v>
      </x:c>
      <x:c r="O2895" s="6" t="str">
        <x:v>{"start":"proc-campus-dev-009-F3-S029","asset_type":"paper_shelf","floor_id":"proc-campus-dev-009-F5","room_type":"lab"}</x:v>
      </x:c>
      <x:c r="P2895" s="6" t="str">
        <x:v>Nearest pickup by route cost first. Largest target by area. Stairs allowed. README routing profile.</x:v>
      </x:c>
      <x:c r="Q2895" s="15" t="n">
        <x:v>75.86</x:v>
      </x:c>
      <x:c r="R2895" s="6" t="str">
        <x:v>m</x:v>
      </x:c>
      <x:c r="S2895" s="16" t="n">
        <x:v>0.01</x:v>
      </x:c>
      <x:c r="T2895" s="15" t="n">
        <x:v>1</x:v>
      </x:c>
      <x:c r="U2895" s="6" t="str">
        <x:v>Answer: 75.86</x:v>
      </x:c>
      <x:c r="V2895" s="6" t="str">
        <x:v>chain nearest-item, area and routing</x:v>
      </x:c>
      <x:c r="W2895" s="6" t="str">
        <x:v>Existing routing primitive. Missing full candidate search, area selection and task composition.</x:v>
      </x:c>
      <x:c r="X2895" s="6" t="str">
        <x:v>data/dev/proc-campus-dev-009/questions.jsonl</x:v>
      </x:c>
      <x:c r="Y2895" s="14" t="n">
        <x:v>4</x:v>
      </x:c>
      <x:c r="Z2895" s="6" t="str">
        <x:v>https://github.com/hagenhaeussler/Industrial-Agents-Hackathon-2026/blob/f41616590b69f3ea0c1cbfb41d6c35edd9ce53df/data/dev/proc-campus-dev-009/questions.jsonl#L4</x:v>
      </x:c>
      <x:c r="AA2895" s="6" t="str">
        <x:v>procedural</x:v>
      </x:c>
      <x:c r="AB2895" s="6" t="str">
        <x:v>CC0-1.0</x:v>
      </x:c>
    </x:row>
    <x:row r="2896" ht="72" customHeight="1">
      <x:c r="A2896" s="14" t="n">
        <x:v>2891</x:v>
      </x:c>
      <x:c r="B2896" s="6" t="str">
        <x:v>errand</x:v>
      </x:c>
      <x:c r="C2896" s="6" t="str">
        <x:v>I'm in Office 0.38 (Ground floor). I need to grab a stove from the room that has one closest to me, then carry it to the largest kitchen on the floor 1. I can carry it on the stairs. How far will I walk in total, in metres? Finish with a line 'Answer: &lt;number&gt;'.</x:v>
      </x:c>
      <x:c r="D2896" s="6" t="str">
        <x:v>132.35 m
Pickup: Kitchen 0.28
Target: Kitchen 1.14</x:v>
      </x:c>
      <x:c r="E2896" s="6" t="str">
        <x:v>Reference supplied</x:v>
      </x:c>
      <x:c r="F2896" s="6" t="str">
        <x:v>dev</x:v>
      </x:c>
      <x:c r="G2896" s="6" t="str">
        <x:v>proc-factory-dev-003</x:v>
      </x:c>
      <x:c r="H2896" s="6" t="str">
        <x:v>proc-factory-dev-003-H04</x:v>
      </x:c>
      <x:c r="I2896" s="6" t="str">
        <x:v>Compound tasks and changes</x:v>
      </x:c>
      <x:c r="J2896" s="6" t="str">
        <x:v>Benchmark</x:v>
      </x:c>
      <x:c r="K2896" s="6" t="str">
        <x:v>Answer: &lt;one number&gt;</x:v>
      </x:c>
      <x:c r="L2896" s="6" t="str">
        <x:v>T02, T03, T04, T05, T07, T14</x:v>
      </x:c>
      <x:c r="M2896" s="6" t="str">
        <x:v>Collect an item from its closest containing room, then deliver it to the largest requested room.</x:v>
      </x:c>
      <x:c r="N2896" s="6" t="str">
        <x:v>{"type":"number","value":132.35,"unit":"m","relative_tolerance":0.01,"absolute_tolerance":1,"via":"proc-factory-dev-003-F0-S028","target":"proc-factory-dev-003-F1-S014"}</x:v>
      </x:c>
      <x:c r="O2896" s="6" t="str">
        <x:v>{"start":"proc-factory-dev-003-F0-S038","asset_type":"stove","floor_id":"proc-factory-dev-003-F1","room_type":"kitchen"}</x:v>
      </x:c>
      <x:c r="P2896" s="6" t="str">
        <x:v>Nearest pickup by route cost first. Largest target by area. Stairs allowed. README routing profile.</x:v>
      </x:c>
      <x:c r="Q2896" s="15" t="n">
        <x:v>132.35</x:v>
      </x:c>
      <x:c r="R2896" s="6" t="str">
        <x:v>m</x:v>
      </x:c>
      <x:c r="S2896" s="16" t="n">
        <x:v>0.01</x:v>
      </x:c>
      <x:c r="T2896" s="15" t="n">
        <x:v>1</x:v>
      </x:c>
      <x:c r="U2896" s="6" t="str">
        <x:v>Answer: 132.35</x:v>
      </x:c>
      <x:c r="V2896" s="6" t="str">
        <x:v>chain nearest-item, area and routing</x:v>
      </x:c>
      <x:c r="W2896" s="6" t="str">
        <x:v>Existing routing primitive. Missing full candidate search, area selection and task composition.</x:v>
      </x:c>
      <x:c r="X2896" s="6" t="str">
        <x:v>data/dev/proc-factory-dev-003/questions.jsonl</x:v>
      </x:c>
      <x:c r="Y2896" s="14" t="n">
        <x:v>4</x:v>
      </x:c>
      <x:c r="Z2896" s="6" t="str">
        <x:v>https://github.com/hagenhaeussler/Industrial-Agents-Hackathon-2026/blob/f41616590b69f3ea0c1cbfb41d6c35edd9ce53df/data/dev/proc-factory-dev-003/questions.jsonl#L4</x:v>
      </x:c>
      <x:c r="AA2896" s="6" t="str">
        <x:v>procedural</x:v>
      </x:c>
      <x:c r="AB2896" s="6" t="str">
        <x:v>CC0-1.0</x:v>
      </x:c>
    </x:row>
    <x:row r="2897" ht="72" customHeight="1">
      <x:c r="A2897" s="14" t="n">
        <x:v>2892</x:v>
      </x:c>
      <x:c r="B2897" s="6" t="str">
        <x:v>errand</x:v>
      </x:c>
      <x:c r="C2897" s="6" t="str">
        <x:v>I'm in Meeting room 2.30 (Floor 2). I need to grab a ups unit from the room that has one closest to me, then carry it to the largest meeting room on the ground floor. I can carry it on the stairs. How far will I walk in total, in metres? Finish with a line 'Answer: &lt;number&gt;'.</x:v>
      </x:c>
      <x:c r="D2897" s="6" t="str">
        <x:v>171.32 m
Pickup: Server room 2.10
Target: Meeting room 0.26</x:v>
      </x:c>
      <x:c r="E2897" s="6" t="str">
        <x:v>Reference supplied</x:v>
      </x:c>
      <x:c r="F2897" s="6" t="str">
        <x:v>dev</x:v>
      </x:c>
      <x:c r="G2897" s="6" t="str">
        <x:v>proc-factory-dev-005</x:v>
      </x:c>
      <x:c r="H2897" s="6" t="str">
        <x:v>proc-factory-dev-005-H04</x:v>
      </x:c>
      <x:c r="I2897" s="6" t="str">
        <x:v>Compound tasks and changes</x:v>
      </x:c>
      <x:c r="J2897" s="6" t="str">
        <x:v>Benchmark</x:v>
      </x:c>
      <x:c r="K2897" s="6" t="str">
        <x:v>Answer: &lt;one number&gt;</x:v>
      </x:c>
      <x:c r="L2897" s="6" t="str">
        <x:v>T02, T03, T04, T05, T07, T14</x:v>
      </x:c>
      <x:c r="M2897" s="6" t="str">
        <x:v>Collect an item from its closest containing room, then deliver it to the largest requested room.</x:v>
      </x:c>
      <x:c r="N2897" s="6" t="str">
        <x:v>{"type":"number","value":171.32,"unit":"m","relative_tolerance":0.01,"absolute_tolerance":1,"via":"proc-factory-dev-005-F2-S010","target":"proc-factory-dev-005-F0-S026"}</x:v>
      </x:c>
      <x:c r="O2897" s="6" t="str">
        <x:v>{"start":"proc-factory-dev-005-F2-S030","asset_type":"ups_unit","floor_id":"proc-factory-dev-005-F0","room_type":"meeting_room"}</x:v>
      </x:c>
      <x:c r="P2897" s="6" t="str">
        <x:v>Nearest pickup by route cost first. Largest target by area. Stairs allowed. README routing profile.</x:v>
      </x:c>
      <x:c r="Q2897" s="15" t="n">
        <x:v>171.32</x:v>
      </x:c>
      <x:c r="R2897" s="6" t="str">
        <x:v>m</x:v>
      </x:c>
      <x:c r="S2897" s="16" t="n">
        <x:v>0.01</x:v>
      </x:c>
      <x:c r="T2897" s="15" t="n">
        <x:v>1</x:v>
      </x:c>
      <x:c r="U2897" s="6" t="str">
        <x:v>Answer: 171.32</x:v>
      </x:c>
      <x:c r="V2897" s="6" t="str">
        <x:v>chain nearest-item, area and routing</x:v>
      </x:c>
      <x:c r="W2897" s="6" t="str">
        <x:v>Existing routing primitive. Missing full candidate search, area selection and task composition.</x:v>
      </x:c>
      <x:c r="X2897" s="6" t="str">
        <x:v>data/dev/proc-factory-dev-005/questions.jsonl</x:v>
      </x:c>
      <x:c r="Y2897" s="14" t="n">
        <x:v>4</x:v>
      </x:c>
      <x:c r="Z2897" s="6" t="str">
        <x:v>https://github.com/hagenhaeussler/Industrial-Agents-Hackathon-2026/blob/f41616590b69f3ea0c1cbfb41d6c35edd9ce53df/data/dev/proc-factory-dev-005/questions.jsonl#L4</x:v>
      </x:c>
      <x:c r="AA2897" s="6" t="str">
        <x:v>procedural</x:v>
      </x:c>
      <x:c r="AB2897" s="6" t="str">
        <x:v>CC0-1.0</x:v>
      </x:c>
    </x:row>
    <x:row r="2898" ht="82" customHeight="1">
      <x:c r="A2898" s="14" t="n">
        <x:v>2893</x:v>
      </x:c>
      <x:c r="B2898" s="6" t="str">
        <x:v>errand</x:v>
      </x:c>
      <x:c r="C2898" s="6" t="str">
        <x:v>I'm in Hall access 0.20 (Ground floor). I need to grab a filing cabinet from the room that has one closest to me, then carry it to the largest server room on the ground floor. I can carry it on the stairs. How far will I walk in total, in metres? Finish with a line 'Answer: &lt;number&gt;'.</x:v>
      </x:c>
      <x:c r="D2898" s="6" t="str">
        <x:v>37.91 m
Pickup: Office 0.24
Target: Server room 0.15</x:v>
      </x:c>
      <x:c r="E2898" s="6" t="str">
        <x:v>Reference supplied</x:v>
      </x:c>
      <x:c r="F2898" s="6" t="str">
        <x:v>dev</x:v>
      </x:c>
      <x:c r="G2898" s="6" t="str">
        <x:v>proc-factory-dev-007</x:v>
      </x:c>
      <x:c r="H2898" s="6" t="str">
        <x:v>proc-factory-dev-007-H04</x:v>
      </x:c>
      <x:c r="I2898" s="6" t="str">
        <x:v>Compound tasks and changes</x:v>
      </x:c>
      <x:c r="J2898" s="6" t="str">
        <x:v>Benchmark</x:v>
      </x:c>
      <x:c r="K2898" s="6" t="str">
        <x:v>Answer: &lt;one number&gt;</x:v>
      </x:c>
      <x:c r="L2898" s="6" t="str">
        <x:v>T02, T03, T04, T05, T07, T14</x:v>
      </x:c>
      <x:c r="M2898" s="6" t="str">
        <x:v>Collect an item from its closest containing room, then deliver it to the largest requested room.</x:v>
      </x:c>
      <x:c r="N2898" s="6" t="str">
        <x:v>{"type":"number","value":37.91,"unit":"m","relative_tolerance":0.01,"absolute_tolerance":1,"via":"proc-factory-dev-007-F0-S024","target":"proc-factory-dev-007-F0-S015"}</x:v>
      </x:c>
      <x:c r="O2898" s="6" t="str">
        <x:v>{"start":"proc-factory-dev-007-F0-S020","asset_type":"filing_cabinet","floor_id":"proc-factory-dev-007-F0","room_type":"server_room"}</x:v>
      </x:c>
      <x:c r="P2898" s="6" t="str">
        <x:v>Nearest pickup by route cost first. Largest target by area. Stairs allowed. README routing profile.</x:v>
      </x:c>
      <x:c r="Q2898" s="15" t="n">
        <x:v>37.91</x:v>
      </x:c>
      <x:c r="R2898" s="6" t="str">
        <x:v>m</x:v>
      </x:c>
      <x:c r="S2898" s="16" t="n">
        <x:v>0.01</x:v>
      </x:c>
      <x:c r="T2898" s="15" t="n">
        <x:v>1</x:v>
      </x:c>
      <x:c r="U2898" s="6" t="str">
        <x:v>Answer: 37.91</x:v>
      </x:c>
      <x:c r="V2898" s="6" t="str">
        <x:v>chain nearest-item, area and routing</x:v>
      </x:c>
      <x:c r="W2898" s="6" t="str">
        <x:v>Existing routing primitive. Missing full candidate search, area selection and task composition.</x:v>
      </x:c>
      <x:c r="X2898" s="6" t="str">
        <x:v>data/dev/proc-factory-dev-007/questions.jsonl</x:v>
      </x:c>
      <x:c r="Y2898" s="14" t="n">
        <x:v>4</x:v>
      </x:c>
      <x:c r="Z2898" s="6" t="str">
        <x:v>https://github.com/hagenhaeussler/Industrial-Agents-Hackathon-2026/blob/f41616590b69f3ea0c1cbfb41d6c35edd9ce53df/data/dev/proc-factory-dev-007/questions.jsonl#L4</x:v>
      </x:c>
      <x:c r="AA2898" s="6" t="str">
        <x:v>procedural</x:v>
      </x:c>
      <x:c r="AB2898" s="6" t="str">
        <x:v>CC0-1.0</x:v>
      </x:c>
    </x:row>
    <x:row r="2899" ht="72" customHeight="1">
      <x:c r="A2899" s="14" t="n">
        <x:v>2894</x:v>
      </x:c>
      <x:c r="B2899" s="6" t="str">
        <x:v>errand</x:v>
      </x:c>
      <x:c r="C2899" s="6" t="str">
        <x:v>I'm in Office 0.29 (Ground floor). I need to grab a fridge from the room that has one closest to me, then carry it to the largest meeting room on the floor 1. I can carry it on the stairs. How far will I walk in total, in metres? Finish with a line 'Answer: &lt;number&gt;'.</x:v>
      </x:c>
      <x:c r="D2899" s="6" t="str">
        <x:v>137.51 m
Pickup: Kitchen 0.38
Target: Meeting room 1.23</x:v>
      </x:c>
      <x:c r="E2899" s="6" t="str">
        <x:v>Reference supplied</x:v>
      </x:c>
      <x:c r="F2899" s="6" t="str">
        <x:v>dev</x:v>
      </x:c>
      <x:c r="G2899" s="6" t="str">
        <x:v>proc-factory-dev-008</x:v>
      </x:c>
      <x:c r="H2899" s="6" t="str">
        <x:v>proc-factory-dev-008-H04</x:v>
      </x:c>
      <x:c r="I2899" s="6" t="str">
        <x:v>Compound tasks and changes</x:v>
      </x:c>
      <x:c r="J2899" s="6" t="str">
        <x:v>Benchmark</x:v>
      </x:c>
      <x:c r="K2899" s="6" t="str">
        <x:v>Answer: &lt;one number&gt;</x:v>
      </x:c>
      <x:c r="L2899" s="6" t="str">
        <x:v>T02, T03, T04, T05, T07, T14</x:v>
      </x:c>
      <x:c r="M2899" s="6" t="str">
        <x:v>Collect an item from its closest containing room, then deliver it to the largest requested room.</x:v>
      </x:c>
      <x:c r="N2899" s="6" t="str">
        <x:v>{"type":"number","value":137.51,"unit":"m","relative_tolerance":0.01,"absolute_tolerance":1,"via":"proc-factory-dev-008-F0-S038","target":"proc-factory-dev-008-F1-S023"}</x:v>
      </x:c>
      <x:c r="O2899" s="6" t="str">
        <x:v>{"start":"proc-factory-dev-008-F0-S029","asset_type":"fridge","floor_id":"proc-factory-dev-008-F1","room_type":"meeting_room"}</x:v>
      </x:c>
      <x:c r="P2899" s="6" t="str">
        <x:v>Nearest pickup by route cost first. Largest target by area. Stairs allowed. README routing profile.</x:v>
      </x:c>
      <x:c r="Q2899" s="15" t="n">
        <x:v>137.51</x:v>
      </x:c>
      <x:c r="R2899" s="6" t="str">
        <x:v>m</x:v>
      </x:c>
      <x:c r="S2899" s="16" t="n">
        <x:v>0.01</x:v>
      </x:c>
      <x:c r="T2899" s="15" t="n">
        <x:v>1</x:v>
      </x:c>
      <x:c r="U2899" s="6" t="str">
        <x:v>Answer: 137.51</x:v>
      </x:c>
      <x:c r="V2899" s="6" t="str">
        <x:v>chain nearest-item, area and routing</x:v>
      </x:c>
      <x:c r="W2899" s="6" t="str">
        <x:v>Existing routing primitive. Missing full candidate search, area selection and task composition.</x:v>
      </x:c>
      <x:c r="X2899" s="6" t="str">
        <x:v>data/dev/proc-factory-dev-008/questions.jsonl</x:v>
      </x:c>
      <x:c r="Y2899" s="14" t="n">
        <x:v>4</x:v>
      </x:c>
      <x:c r="Z2899" s="6" t="str">
        <x:v>https://github.com/hagenhaeussler/Industrial-Agents-Hackathon-2026/blob/f41616590b69f3ea0c1cbfb41d6c35edd9ce53df/data/dev/proc-factory-dev-008/questions.jsonl#L4</x:v>
      </x:c>
      <x:c r="AA2899" s="6" t="str">
        <x:v>procedural</x:v>
      </x:c>
      <x:c r="AB2899" s="6" t="str">
        <x:v>CC0-1.0</x:v>
      </x:c>
    </x:row>
    <x:row r="2900" ht="72" customHeight="1">
      <x:c r="A2900" s="14" t="n">
        <x:v>2895</x:v>
      </x:c>
      <x:c r="B2900" s="6" t="str">
        <x:v>errand</x:v>
      </x:c>
      <x:c r="C2900" s="6" t="str">
        <x:v>I'm in Production zone H-A3 (Ground floor). I need to grab a plant from the room that has one closest to me, then carry it to the largest office on the floor 1. I can carry it on the stairs. How far will I walk in total, in metres? Finish with a line 'Answer: &lt;number&gt;'.</x:v>
      </x:c>
      <x:c r="D2900" s="6" t="str">
        <x:v>83.61 m
Pickup: Hall access 0.24
Target: Office 1.08</x:v>
      </x:c>
      <x:c r="E2900" s="6" t="str">
        <x:v>Reference supplied</x:v>
      </x:c>
      <x:c r="F2900" s="6" t="str">
        <x:v>dev</x:v>
      </x:c>
      <x:c r="G2900" s="6" t="str">
        <x:v>proc-factory-dev-010</x:v>
      </x:c>
      <x:c r="H2900" s="6" t="str">
        <x:v>proc-factory-dev-010-H04</x:v>
      </x:c>
      <x:c r="I2900" s="6" t="str">
        <x:v>Compound tasks and changes</x:v>
      </x:c>
      <x:c r="J2900" s="6" t="str">
        <x:v>Benchmark</x:v>
      </x:c>
      <x:c r="K2900" s="6" t="str">
        <x:v>Answer: &lt;one number&gt;</x:v>
      </x:c>
      <x:c r="L2900" s="6" t="str">
        <x:v>T02, T03, T04, T05, T07, T14</x:v>
      </x:c>
      <x:c r="M2900" s="6" t="str">
        <x:v>Collect an item from its closest containing room, then deliver it to the largest requested room.</x:v>
      </x:c>
      <x:c r="N2900" s="6" t="str">
        <x:v>{"type":"number","value":83.61,"unit":"m","relative_tolerance":0.01,"absolute_tolerance":1,"via":"proc-factory-dev-010-F0-S024","target":"proc-factory-dev-010-F1-S008"}</x:v>
      </x:c>
      <x:c r="O2900" s="6" t="str">
        <x:v>{"start":"proc-factory-dev-010-F0-S003","asset_type":"plant","floor_id":"proc-factory-dev-010-F1","room_type":"office"}</x:v>
      </x:c>
      <x:c r="P2900" s="6" t="str">
        <x:v>Nearest pickup by route cost first. Largest target by area. Stairs allowed. README routing profile.</x:v>
      </x:c>
      <x:c r="Q2900" s="15" t="n">
        <x:v>83.61</x:v>
      </x:c>
      <x:c r="R2900" s="6" t="str">
        <x:v>m</x:v>
      </x:c>
      <x:c r="S2900" s="16" t="n">
        <x:v>0.01</x:v>
      </x:c>
      <x:c r="T2900" s="15" t="n">
        <x:v>1</x:v>
      </x:c>
      <x:c r="U2900" s="6" t="str">
        <x:v>Answer: 83.61</x:v>
      </x:c>
      <x:c r="V2900" s="6" t="str">
        <x:v>chain nearest-item, area and routing</x:v>
      </x:c>
      <x:c r="W2900" s="6" t="str">
        <x:v>Existing routing primitive. Missing full candidate search, area selection and task composition.</x:v>
      </x:c>
      <x:c r="X2900" s="6" t="str">
        <x:v>data/dev/proc-factory-dev-010/questions.jsonl</x:v>
      </x:c>
      <x:c r="Y2900" s="14" t="n">
        <x:v>4</x:v>
      </x:c>
      <x:c r="Z2900" s="6" t="str">
        <x:v>https://github.com/hagenhaeussler/Industrial-Agents-Hackathon-2026/blob/f41616590b69f3ea0c1cbfb41d6c35edd9ce53df/data/dev/proc-factory-dev-010/questions.jsonl#L4</x:v>
      </x:c>
      <x:c r="AA2900" s="6" t="str">
        <x:v>procedural</x:v>
      </x:c>
      <x:c r="AB2900" s="6" t="str">
        <x:v>CC0-1.0</x:v>
      </x:c>
    </x:row>
    <x:row r="2901" ht="72" customHeight="1">
      <x:c r="A2901" s="14" t="n">
        <x:v>2896</x:v>
      </x:c>
      <x:c r="B2901" s="6" t="str">
        <x:v>errand</x:v>
      </x:c>
      <x:c r="C2901" s="6" t="str">
        <x:v>I'm in Toilet 0.33 (Ground floor). I need to grab a microwave from the room that has one closest to me, then carry it to the largest meeting room on the floor 2. I can carry it on the stairs. How far will I walk in total, in metres? Finish with a line 'Answer: &lt;number&gt;'.</x:v>
      </x:c>
      <x:c r="D2901" s="6" t="str">
        <x:v>207.74 m
Pickup: Kitchen 0.28
Target: Meeting room 2.05</x:v>
      </x:c>
      <x:c r="E2901" s="6" t="str">
        <x:v>Reference supplied</x:v>
      </x:c>
      <x:c r="F2901" s="6" t="str">
        <x:v>dev</x:v>
      </x:c>
      <x:c r="G2901" s="6" t="str">
        <x:v>proc-factory-dev-011</x:v>
      </x:c>
      <x:c r="H2901" s="6" t="str">
        <x:v>proc-factory-dev-011-H04</x:v>
      </x:c>
      <x:c r="I2901" s="6" t="str">
        <x:v>Compound tasks and changes</x:v>
      </x:c>
      <x:c r="J2901" s="6" t="str">
        <x:v>Benchmark</x:v>
      </x:c>
      <x:c r="K2901" s="6" t="str">
        <x:v>Answer: &lt;one number&gt;</x:v>
      </x:c>
      <x:c r="L2901" s="6" t="str">
        <x:v>T02, T03, T04, T05, T07, T14</x:v>
      </x:c>
      <x:c r="M2901" s="6" t="str">
        <x:v>Collect an item from its closest containing room, then deliver it to the largest requested room.</x:v>
      </x:c>
      <x:c r="N2901" s="6" t="str">
        <x:v>{"type":"number","value":207.74,"unit":"m","relative_tolerance":0.01,"absolute_tolerance":1,"via":"proc-factory-dev-011-F0-S028","target":"proc-factory-dev-011-F2-S005"}</x:v>
      </x:c>
      <x:c r="O2901" s="6" t="str">
        <x:v>{"start":"proc-factory-dev-011-F0-S033","asset_type":"microwave","floor_id":"proc-factory-dev-011-F2","room_type":"meeting_room"}</x:v>
      </x:c>
      <x:c r="P2901" s="6" t="str">
        <x:v>Nearest pickup by route cost first. Largest target by area. Stairs allowed. README routing profile.</x:v>
      </x:c>
      <x:c r="Q2901" s="15" t="n">
        <x:v>207.74</x:v>
      </x:c>
      <x:c r="R2901" s="6" t="str">
        <x:v>m</x:v>
      </x:c>
      <x:c r="S2901" s="16" t="n">
        <x:v>0.01</x:v>
      </x:c>
      <x:c r="T2901" s="15" t="n">
        <x:v>1</x:v>
      </x:c>
      <x:c r="U2901" s="6" t="str">
        <x:v>Answer: 207.74</x:v>
      </x:c>
      <x:c r="V2901" s="6" t="str">
        <x:v>chain nearest-item, area and routing</x:v>
      </x:c>
      <x:c r="W2901" s="6" t="str">
        <x:v>Existing routing primitive. Missing full candidate search, area selection and task composition.</x:v>
      </x:c>
      <x:c r="X2901" s="6" t="str">
        <x:v>data/dev/proc-factory-dev-011/questions.jsonl</x:v>
      </x:c>
      <x:c r="Y2901" s="14" t="n">
        <x:v>4</x:v>
      </x:c>
      <x:c r="Z2901" s="6" t="str">
        <x:v>https://github.com/hagenhaeussler/Industrial-Agents-Hackathon-2026/blob/f41616590b69f3ea0c1cbfb41d6c35edd9ce53df/data/dev/proc-factory-dev-011/questions.jsonl#L4</x:v>
      </x:c>
      <x:c r="AA2901" s="6" t="str">
        <x:v>procedural</x:v>
      </x:c>
      <x:c r="AB2901" s="6" t="str">
        <x:v>CC0-1.0</x:v>
      </x:c>
    </x:row>
    <x:row r="2902" ht="72" customHeight="1">
      <x:c r="A2902" s="14" t="n">
        <x:v>2897</x:v>
      </x:c>
      <x:c r="B2902" s="6" t="str">
        <x:v>errand</x:v>
      </x:c>
      <x:c r="C2902" s="6" t="str">
        <x:v>I'm in Toilet 0.36 (Ground floor). I need to grab a dining table from the room that has one closest to me, then carry it to the largest meeting room on the floor 1. I can carry it on the stairs. How far will I walk in total, in metres? Finish with a line 'Answer: &lt;number&gt;'.</x:v>
      </x:c>
      <x:c r="D2902" s="6" t="str">
        <x:v>165.75 m
Pickup: Kitchen 0.30
Target: Meeting room 1.06</x:v>
      </x:c>
      <x:c r="E2902" s="6" t="str">
        <x:v>Reference supplied</x:v>
      </x:c>
      <x:c r="F2902" s="6" t="str">
        <x:v>dev</x:v>
      </x:c>
      <x:c r="G2902" s="6" t="str">
        <x:v>proc-factory-dev-012</x:v>
      </x:c>
      <x:c r="H2902" s="6" t="str">
        <x:v>proc-factory-dev-012-H04</x:v>
      </x:c>
      <x:c r="I2902" s="6" t="str">
        <x:v>Compound tasks and changes</x:v>
      </x:c>
      <x:c r="J2902" s="6" t="str">
        <x:v>Benchmark</x:v>
      </x:c>
      <x:c r="K2902" s="6" t="str">
        <x:v>Answer: &lt;one number&gt;</x:v>
      </x:c>
      <x:c r="L2902" s="6" t="str">
        <x:v>T02, T03, T04, T05, T07, T14</x:v>
      </x:c>
      <x:c r="M2902" s="6" t="str">
        <x:v>Collect an item from its closest containing room, then deliver it to the largest requested room.</x:v>
      </x:c>
      <x:c r="N2902" s="6" t="str">
        <x:v>{"type":"number","value":165.75,"unit":"m","relative_tolerance":0.01,"absolute_tolerance":1,"via":"proc-factory-dev-012-F0-S030","target":"proc-factory-dev-012-F1-S006"}</x:v>
      </x:c>
      <x:c r="O2902" s="6" t="str">
        <x:v>{"start":"proc-factory-dev-012-F0-S036","asset_type":"dining_table","floor_id":"proc-factory-dev-012-F1","room_type":"meeting_room"}</x:v>
      </x:c>
      <x:c r="P2902" s="6" t="str">
        <x:v>Nearest pickup by route cost first. Largest target by area. Stairs allowed. README routing profile.</x:v>
      </x:c>
      <x:c r="Q2902" s="15" t="n">
        <x:v>165.75</x:v>
      </x:c>
      <x:c r="R2902" s="6" t="str">
        <x:v>m</x:v>
      </x:c>
      <x:c r="S2902" s="16" t="n">
        <x:v>0.01</x:v>
      </x:c>
      <x:c r="T2902" s="15" t="n">
        <x:v>1</x:v>
      </x:c>
      <x:c r="U2902" s="6" t="str">
        <x:v>Answer: 165.75</x:v>
      </x:c>
      <x:c r="V2902" s="6" t="str">
        <x:v>chain nearest-item, area and routing</x:v>
      </x:c>
      <x:c r="W2902" s="6" t="str">
        <x:v>Existing routing primitive. Missing full candidate search, area selection and task composition.</x:v>
      </x:c>
      <x:c r="X2902" s="6" t="str">
        <x:v>data/dev/proc-factory-dev-012/questions.jsonl</x:v>
      </x:c>
      <x:c r="Y2902" s="14" t="n">
        <x:v>4</x:v>
      </x:c>
      <x:c r="Z2902" s="6" t="str">
        <x:v>https://github.com/hagenhaeussler/Industrial-Agents-Hackathon-2026/blob/f41616590b69f3ea0c1cbfb41d6c35edd9ce53df/data/dev/proc-factory-dev-012/questions.jsonl#L4</x:v>
      </x:c>
      <x:c r="AA2902" s="6" t="str">
        <x:v>procedural</x:v>
      </x:c>
      <x:c r="AB2902" s="6" t="str">
        <x:v>CC0-1.0</x:v>
      </x:c>
    </x:row>
    <x:row r="2903" ht="72" customHeight="1">
      <x:c r="A2903" s="14" t="n">
        <x:v>2898</x:v>
      </x:c>
      <x:c r="B2903" s="6" t="str">
        <x:v>errand</x:v>
      </x:c>
      <x:c r="C2903" s="6" t="str">
        <x:v>I'm in Bedroom 0.04 (Ground floor). I need to grab a plant from the room that has one closest to me, then carry it to the largest bedroom on the ground floor. I can carry it on the stairs. How far will I walk in total, in metres? Finish with a line 'Answer: &lt;number&gt;'.</x:v>
      </x:c>
      <x:c r="D2903" s="6" t="str">
        <x:v>19.82 m
Pickup: Balcony 0.09
Target: Bedroom 0.03</x:v>
      </x:c>
      <x:c r="E2903" s="6" t="str">
        <x:v>Reference supplied</x:v>
      </x:c>
      <x:c r="F2903" s="6" t="str">
        <x:v>dev</x:v>
      </x:c>
      <x:c r="G2903" s="6" t="str">
        <x:v>resplan-1677</x:v>
      </x:c>
      <x:c r="H2903" s="6" t="str">
        <x:v>resplan-1677-H03</x:v>
      </x:c>
      <x:c r="I2903" s="6" t="str">
        <x:v>Compound tasks and changes</x:v>
      </x:c>
      <x:c r="J2903" s="6" t="str">
        <x:v>Benchmark</x:v>
      </x:c>
      <x:c r="K2903" s="6" t="str">
        <x:v>Answer: &lt;one number&gt;</x:v>
      </x:c>
      <x:c r="L2903" s="6" t="str">
        <x:v>T02, T03, T04, T05, T07, T14</x:v>
      </x:c>
      <x:c r="M2903" s="6" t="str">
        <x:v>Collect an item from its closest containing room, then deliver it to the largest requested room.</x:v>
      </x:c>
      <x:c r="N2903" s="6" t="str">
        <x:v>{"type":"number","value":19.82,"unit":"m","relative_tolerance":0.01,"absolute_tolerance":1,"via":"resplan-1677-F0-S009","target":"resplan-1677-F0-S003"}</x:v>
      </x:c>
      <x:c r="O2903" s="6" t="str">
        <x:v>{"start":"resplan-1677-F0-S004","asset_type":"plant","floor_id":"resplan-1677-F0","room_type":"bedroom"}</x:v>
      </x:c>
      <x:c r="P2903" s="6" t="str">
        <x:v>Nearest pickup by route cost first. Largest target by area. Stairs allowed. README routing profile.</x:v>
      </x:c>
      <x:c r="Q2903" s="15" t="n">
        <x:v>19.82</x:v>
      </x:c>
      <x:c r="R2903" s="6" t="str">
        <x:v>m</x:v>
      </x:c>
      <x:c r="S2903" s="16" t="n">
        <x:v>0.01</x:v>
      </x:c>
      <x:c r="T2903" s="15" t="n">
        <x:v>1</x:v>
      </x:c>
      <x:c r="U2903" s="6" t="str">
        <x:v>Answer: 19.82</x:v>
      </x:c>
      <x:c r="V2903" s="6" t="str">
        <x:v>chain nearest-item, area and routing</x:v>
      </x:c>
      <x:c r="W2903" s="6" t="str">
        <x:v>Existing routing primitive. Missing full candidate search, area selection and task composition.</x:v>
      </x:c>
      <x:c r="X2903" s="6" t="str">
        <x:v>data/dev/resplan-1677/questions.jsonl</x:v>
      </x:c>
      <x:c r="Y2903" s="14" t="n">
        <x:v>3</x:v>
      </x:c>
      <x:c r="Z2903" s="6" t="str">
        <x:v>https://github.com/hagenhaeussler/Industrial-Agents-Hackathon-2026/blob/f41616590b69f3ea0c1cbfb41d6c35edd9ce53df/data/dev/resplan-1677/questions.jsonl#L3</x:v>
      </x:c>
      <x:c r="AA2903" s="6" t="str">
        <x:v>resplan</x:v>
      </x:c>
      <x:c r="AB2903" s="6" t="str">
        <x:v>CC-BY-4.0</x:v>
      </x:c>
    </x:row>
    <x:row r="2904" ht="82" customHeight="1">
      <x:c r="A2904" s="14" t="n">
        <x:v>2899</x:v>
      </x:c>
      <x:c r="B2904" s="6" t="str">
        <x:v>errand</x:v>
      </x:c>
      <x:c r="C2904" s="6" t="str">
        <x:v>I'm in Bedroom 0.14 (apartment 2) (Ground floor). I need to grab a kitchen counter from the room that has one closest to me, then carry it to the largest bathroom on the ground floor. I can carry it on the stairs. How far will I walk in total, in metres? Finish with a line 'Answer: &lt;number&gt;'.</x:v>
      </x:c>
      <x:c r="D2904" s="6" t="str">
        <x:v>28.09 m
Pickup: Kitchen 0.15 (apartment 2)
Target: Bathroom 0.16 (apartment 2)</x:v>
      </x:c>
      <x:c r="E2904" s="6" t="str">
        <x:v>Reference supplied</x:v>
      </x:c>
      <x:c r="F2904" s="6" t="str">
        <x:v>dev</x:v>
      </x:c>
      <x:c r="G2904" s="6" t="str">
        <x:v>swiss-1785</x:v>
      </x:c>
      <x:c r="H2904" s="6" t="str">
        <x:v>swiss-1785-H03</x:v>
      </x:c>
      <x:c r="I2904" s="6" t="str">
        <x:v>Compound tasks and changes</x:v>
      </x:c>
      <x:c r="J2904" s="6" t="str">
        <x:v>Benchmark</x:v>
      </x:c>
      <x:c r="K2904" s="6" t="str">
        <x:v>Answer: &lt;one number&gt;</x:v>
      </x:c>
      <x:c r="L2904" s="6" t="str">
        <x:v>T02, T03, T04, T05, T07, T14</x:v>
      </x:c>
      <x:c r="M2904" s="6" t="str">
        <x:v>Collect an item from its closest containing room, then deliver it to the largest requested room.</x:v>
      </x:c>
      <x:c r="N2904" s="6" t="str">
        <x:v>{"type":"number","value":28.09,"unit":"m","relative_tolerance":0.01,"absolute_tolerance":1,"via":"swiss-1785-F0-S015","target":"swiss-1785-F0-S016"}</x:v>
      </x:c>
      <x:c r="O2904" s="6" t="str">
        <x:v>{"start":"swiss-1785-F0-S014","asset_type":"kitchen_counter","floor_id":"swiss-1785-F0","room_type":"bathroom"}</x:v>
      </x:c>
      <x:c r="P2904" s="6" t="str">
        <x:v>Nearest pickup by route cost first. Largest target by area. Stairs allowed. README routing profile.</x:v>
      </x:c>
      <x:c r="Q2904" s="15" t="n">
        <x:v>28.09</x:v>
      </x:c>
      <x:c r="R2904" s="6" t="str">
        <x:v>m</x:v>
      </x:c>
      <x:c r="S2904" s="16" t="n">
        <x:v>0.01</x:v>
      </x:c>
      <x:c r="T2904" s="15" t="n">
        <x:v>1</x:v>
      </x:c>
      <x:c r="U2904" s="6" t="str">
        <x:v>Answer: 28.09</x:v>
      </x:c>
      <x:c r="V2904" s="6" t="str">
        <x:v>chain nearest-item, area and routing</x:v>
      </x:c>
      <x:c r="W2904" s="6" t="str">
        <x:v>Existing routing primitive. Missing full candidate search, area selection and task composition.</x:v>
      </x:c>
      <x:c r="X2904" s="6" t="str">
        <x:v>data/dev/swiss-1785/questions.jsonl</x:v>
      </x:c>
      <x:c r="Y2904" s="14" t="n">
        <x:v>3</x:v>
      </x:c>
      <x:c r="Z2904" s="6" t="str">
        <x:v>https://github.com/hagenhaeussler/Industrial-Agents-Hackathon-2026/blob/f41616590b69f3ea0c1cbfb41d6c35edd9ce53df/data/dev/swiss-1785/questions.jsonl#L3</x:v>
      </x:c>
      <x:c r="AA2904" s="6" t="str">
        <x:v>swiss_dwellings</x:v>
      </x:c>
      <x:c r="AB2904" s="6" t="str">
        <x:v>CC-BY-4.0</x:v>
      </x:c>
    </x:row>
    <x:row r="2905" ht="72" customHeight="1">
      <x:c r="A2905" s="14" t="n">
        <x:v>2900</x:v>
      </x:c>
      <x:c r="B2905" s="6" t="str">
        <x:v>errand</x:v>
      </x:c>
      <x:c r="C2905" s="6" t="str">
        <x:v>I'm in Bedroom 2.24 (apartment 11) (Floor 2). I need to grab a fridge from the room that has one closest to me, then carry it to the largest bedroom on the floor 4. I can carry it on the stairs. How far will I walk in total, in metres? Finish with a line 'Answer: &lt;number&gt;'.</x:v>
      </x:c>
      <x:c r="D2905" s="6" t="str">
        <x:v>67.33 m
Pickup: Kitchen 2.22 (apartment 11)
Target: Bedroom 4.11 (apartment 18)</x:v>
      </x:c>
      <x:c r="E2905" s="6" t="str">
        <x:v>Reference supplied</x:v>
      </x:c>
      <x:c r="F2905" s="6" t="str">
        <x:v>dev</x:v>
      </x:c>
      <x:c r="G2905" s="6" t="str">
        <x:v>swiss-2211</x:v>
      </x:c>
      <x:c r="H2905" s="6" t="str">
        <x:v>swiss-2211-H03</x:v>
      </x:c>
      <x:c r="I2905" s="6" t="str">
        <x:v>Compound tasks and changes</x:v>
      </x:c>
      <x:c r="J2905" s="6" t="str">
        <x:v>Benchmark</x:v>
      </x:c>
      <x:c r="K2905" s="6" t="str">
        <x:v>Answer: &lt;one number&gt;</x:v>
      </x:c>
      <x:c r="L2905" s="6" t="str">
        <x:v>T02, T03, T04, T05, T07, T14</x:v>
      </x:c>
      <x:c r="M2905" s="6" t="str">
        <x:v>Collect an item from its closest containing room, then deliver it to the largest requested room.</x:v>
      </x:c>
      <x:c r="N2905" s="6" t="str">
        <x:v>{"type":"number","value":67.33,"unit":"m","relative_tolerance":0.01,"absolute_tolerance":1,"via":"swiss-2211-F2-S022","target":"swiss-2211-F4-S011"}</x:v>
      </x:c>
      <x:c r="O2905" s="6" t="str">
        <x:v>{"start":"swiss-2211-F2-S024","asset_type":"fridge","floor_id":"swiss-2211-F4","room_type":"bedroom"}</x:v>
      </x:c>
      <x:c r="P2905" s="6" t="str">
        <x:v>Nearest pickup by route cost first. Largest target by area. Stairs allowed. README routing profile.</x:v>
      </x:c>
      <x:c r="Q2905" s="15" t="n">
        <x:v>67.33</x:v>
      </x:c>
      <x:c r="R2905" s="6" t="str">
        <x:v>m</x:v>
      </x:c>
      <x:c r="S2905" s="16" t="n">
        <x:v>0.01</x:v>
      </x:c>
      <x:c r="T2905" s="15" t="n">
        <x:v>1</x:v>
      </x:c>
      <x:c r="U2905" s="6" t="str">
        <x:v>Answer: 67.33</x:v>
      </x:c>
      <x:c r="V2905" s="6" t="str">
        <x:v>chain nearest-item, area and routing</x:v>
      </x:c>
      <x:c r="W2905" s="6" t="str">
        <x:v>Existing routing primitive. Missing full candidate search, area selection and task composition.</x:v>
      </x:c>
      <x:c r="X2905" s="6" t="str">
        <x:v>data/dev/swiss-2211/questions.jsonl</x:v>
      </x:c>
      <x:c r="Y2905" s="14" t="n">
        <x:v>3</x:v>
      </x:c>
      <x:c r="Z2905" s="6" t="str">
        <x:v>https://github.com/hagenhaeussler/Industrial-Agents-Hackathon-2026/blob/f41616590b69f3ea0c1cbfb41d6c35edd9ce53df/data/dev/swiss-2211/questions.jsonl#L3</x:v>
      </x:c>
      <x:c r="AA2905" s="6" t="str">
        <x:v>swiss_dwellings</x:v>
      </x:c>
      <x:c r="AB2905" s="6" t="str">
        <x:v>CC-BY-4.0</x:v>
      </x:c>
    </x:row>
    <x:row r="2906" ht="72" customHeight="1">
      <x:c r="A2906" s="14" t="n">
        <x:v>2901</x:v>
      </x:c>
      <x:c r="B2906" s="6" t="str">
        <x:v>errand</x:v>
      </x:c>
      <x:c r="C2906" s="6" t="str">
        <x:v>I'm in Bedroom 1.14 (apartment 4) (Floor 1). I need to grab a bathtub from the room that has one closest to me, then carry it to the largest bedroom on the floor 1. I can carry it on the stairs. How far will I walk in total, in metres? Finish with a line 'Answer: &lt;number&gt;'.</x:v>
      </x:c>
      <x:c r="D2906" s="6" t="str">
        <x:v>9.02 m
Pickup: Bathroom 1.18 (apartment 4)
Target: Bedroom 1.16 (apartment 4)</x:v>
      </x:c>
      <x:c r="E2906" s="6" t="str">
        <x:v>Reference supplied</x:v>
      </x:c>
      <x:c r="F2906" s="6" t="str">
        <x:v>dev</x:v>
      </x:c>
      <x:c r="G2906" s="6" t="str">
        <x:v>swiss-450</x:v>
      </x:c>
      <x:c r="H2906" s="6" t="str">
        <x:v>swiss-450-H03</x:v>
      </x:c>
      <x:c r="I2906" s="6" t="str">
        <x:v>Compound tasks and changes</x:v>
      </x:c>
      <x:c r="J2906" s="6" t="str">
        <x:v>Benchmark</x:v>
      </x:c>
      <x:c r="K2906" s="6" t="str">
        <x:v>Answer: &lt;one number&gt;</x:v>
      </x:c>
      <x:c r="L2906" s="6" t="str">
        <x:v>T02, T03, T04, T05, T07, T14</x:v>
      </x:c>
      <x:c r="M2906" s="6" t="str">
        <x:v>Collect an item from its closest containing room, then deliver it to the largest requested room.</x:v>
      </x:c>
      <x:c r="N2906" s="6" t="str">
        <x:v>{"type":"number","value":9.02,"unit":"m","relative_tolerance":0.01,"absolute_tolerance":1,"via":"swiss-450-F1-S018","target":"swiss-450-F1-S016"}</x:v>
      </x:c>
      <x:c r="O2906" s="6" t="str">
        <x:v>{"start":"swiss-450-F1-S014","asset_type":"bathtub","floor_id":"swiss-450-F1","room_type":"bedroom"}</x:v>
      </x:c>
      <x:c r="P2906" s="6" t="str">
        <x:v>Nearest pickup by route cost first. Largest target by area. Stairs allowed. README routing profile.</x:v>
      </x:c>
      <x:c r="Q2906" s="15" t="n">
        <x:v>9.02</x:v>
      </x:c>
      <x:c r="R2906" s="6" t="str">
        <x:v>m</x:v>
      </x:c>
      <x:c r="S2906" s="16" t="n">
        <x:v>0.01</x:v>
      </x:c>
      <x:c r="T2906" s="15" t="n">
        <x:v>1</x:v>
      </x:c>
      <x:c r="U2906" s="6" t="str">
        <x:v>Answer: 9.02</x:v>
      </x:c>
      <x:c r="V2906" s="6" t="str">
        <x:v>chain nearest-item, area and routing</x:v>
      </x:c>
      <x:c r="W2906" s="6" t="str">
        <x:v>Existing routing primitive. Missing full candidate search, area selection and task composition.</x:v>
      </x:c>
      <x:c r="X2906" s="6" t="str">
        <x:v>data/dev/swiss-450/questions.jsonl</x:v>
      </x:c>
      <x:c r="Y2906" s="14" t="n">
        <x:v>3</x:v>
      </x:c>
      <x:c r="Z2906" s="6" t="str">
        <x:v>https://github.com/hagenhaeussler/Industrial-Agents-Hackathon-2026/blob/f41616590b69f3ea0c1cbfb41d6c35edd9ce53df/data/dev/swiss-450/questions.jsonl#L3</x:v>
      </x:c>
      <x:c r="AA2906" s="6" t="str">
        <x:v>swiss_dwellings</x:v>
      </x:c>
      <x:c r="AB2906" s="6" t="str">
        <x:v>CC-BY-4.0</x:v>
      </x:c>
    </x:row>
    <x:row r="2907" ht="72" customHeight="1">
      <x:c r="A2907" s="14" t="n">
        <x:v>2902</x:v>
      </x:c>
      <x:c r="B2907" s="6" t="str">
        <x:v>errand</x:v>
      </x:c>
      <x:c r="C2907" s="6" t="str">
        <x:v>I'm in Storage 3.12 (apartment 8) (Floor 3). I need to grab a wardrobe from the room that has one closest to me, then carry it to the largest bedroom on the floor 3. I can carry it on the stairs. How far will I walk in total, in metres? Finish with a line 'Answer: &lt;number&gt;'.</x:v>
      </x:c>
      <x:c r="D2907" s="6" t="str">
        <x:v>15.72 m
Pickup: Bedroom 3.17 (apartment 8)
Target: Bedroom 3.13 (apartment 8)</x:v>
      </x:c>
      <x:c r="E2907" s="6" t="str">
        <x:v>Reference supplied</x:v>
      </x:c>
      <x:c r="F2907" s="6" t="str">
        <x:v>dev</x:v>
      </x:c>
      <x:c r="G2907" s="6" t="str">
        <x:v>swiss-460</x:v>
      </x:c>
      <x:c r="H2907" s="6" t="str">
        <x:v>swiss-460-H03</x:v>
      </x:c>
      <x:c r="I2907" s="6" t="str">
        <x:v>Compound tasks and changes</x:v>
      </x:c>
      <x:c r="J2907" s="6" t="str">
        <x:v>Benchmark</x:v>
      </x:c>
      <x:c r="K2907" s="6" t="str">
        <x:v>Answer: &lt;one number&gt;</x:v>
      </x:c>
      <x:c r="L2907" s="6" t="str">
        <x:v>T02, T03, T04, T05, T07, T14</x:v>
      </x:c>
      <x:c r="M2907" s="6" t="str">
        <x:v>Collect an item from its closest containing room, then deliver it to the largest requested room.</x:v>
      </x:c>
      <x:c r="N2907" s="6" t="str">
        <x:v>{"type":"number","value":15.72,"unit":"m","relative_tolerance":0.01,"absolute_tolerance":1,"via":"swiss-460-F3-S017","target":"swiss-460-F3-S013"}</x:v>
      </x:c>
      <x:c r="O2907" s="6" t="str">
        <x:v>{"start":"swiss-460-F3-S012","asset_type":"wardrobe","floor_id":"swiss-460-F3","room_type":"bedroom"}</x:v>
      </x:c>
      <x:c r="P2907" s="6" t="str">
        <x:v>Nearest pickup by route cost first. Largest target by area. Stairs allowed. README routing profile.</x:v>
      </x:c>
      <x:c r="Q2907" s="15" t="n">
        <x:v>15.72</x:v>
      </x:c>
      <x:c r="R2907" s="6" t="str">
        <x:v>m</x:v>
      </x:c>
      <x:c r="S2907" s="16" t="n">
        <x:v>0.01</x:v>
      </x:c>
      <x:c r="T2907" s="15" t="n">
        <x:v>1</x:v>
      </x:c>
      <x:c r="U2907" s="6" t="str">
        <x:v>Answer: 15.72</x:v>
      </x:c>
      <x:c r="V2907" s="6" t="str">
        <x:v>chain nearest-item, area and routing</x:v>
      </x:c>
      <x:c r="W2907" s="6" t="str">
        <x:v>Existing routing primitive. Missing full candidate search, area selection and task composition.</x:v>
      </x:c>
      <x:c r="X2907" s="6" t="str">
        <x:v>data/dev/swiss-460/questions.jsonl</x:v>
      </x:c>
      <x:c r="Y2907" s="14" t="n">
        <x:v>3</x:v>
      </x:c>
      <x:c r="Z2907" s="6" t="str">
        <x:v>https://github.com/hagenhaeussler/Industrial-Agents-Hackathon-2026/blob/f41616590b69f3ea0c1cbfb41d6c35edd9ce53df/data/dev/swiss-460/questions.jsonl#L3</x:v>
      </x:c>
      <x:c r="AA2907" s="6" t="str">
        <x:v>swiss_dwellings</x:v>
      </x:c>
      <x:c r="AB2907" s="6" t="str">
        <x:v>CC-BY-4.0</x:v>
      </x:c>
    </x:row>
    <x:row r="2908" ht="72" customHeight="1">
      <x:c r="A2908" s="14" t="n">
        <x:v>2903</x:v>
      </x:c>
      <x:c r="B2908" s="6" t="str">
        <x:v>errand</x:v>
      </x:c>
      <x:c r="C2908" s="6" t="str">
        <x:v>I'm in Storage 2.57 (apartment 44) (Floor 2). I need to grab a plant from the room that has one closest to me, then carry it to the largest kitchen on the floor 2. I can carry it on the stairs. How far will I walk in total, in metres? Finish with a line 'Answer: &lt;number&gt;'.</x:v>
      </x:c>
      <x:c r="D2908" s="6" t="str">
        <x:v>31.15 m
Pickup: Balcony 2.61 (apartment 44)
Target: Kitchen 2.47 (apartment 42)</x:v>
      </x:c>
      <x:c r="E2908" s="6" t="str">
        <x:v>Reference supplied</x:v>
      </x:c>
      <x:c r="F2908" s="6" t="str">
        <x:v>dev</x:v>
      </x:c>
      <x:c r="G2908" s="6" t="str">
        <x:v>swiss-5097</x:v>
      </x:c>
      <x:c r="H2908" s="6" t="str">
        <x:v>swiss-5097-H03</x:v>
      </x:c>
      <x:c r="I2908" s="6" t="str">
        <x:v>Compound tasks and changes</x:v>
      </x:c>
      <x:c r="J2908" s="6" t="str">
        <x:v>Benchmark</x:v>
      </x:c>
      <x:c r="K2908" s="6" t="str">
        <x:v>Answer: &lt;one number&gt;</x:v>
      </x:c>
      <x:c r="L2908" s="6" t="str">
        <x:v>T02, T03, T04, T05, T07, T14</x:v>
      </x:c>
      <x:c r="M2908" s="6" t="str">
        <x:v>Collect an item from its closest containing room, then deliver it to the largest requested room.</x:v>
      </x:c>
      <x:c r="N2908" s="6" t="str">
        <x:v>{"type":"number","value":31.15,"unit":"m","relative_tolerance":0.01,"absolute_tolerance":1,"via":"swiss-5097-F2-S061","target":"swiss-5097-F2-S047"}</x:v>
      </x:c>
      <x:c r="O2908" s="6" t="str">
        <x:v>{"start":"swiss-5097-F2-S057","asset_type":"plant","floor_id":"swiss-5097-F2","room_type":"kitchen"}</x:v>
      </x:c>
      <x:c r="P2908" s="6" t="str">
        <x:v>Nearest pickup by route cost first. Largest target by area. Stairs allowed. README routing profile.</x:v>
      </x:c>
      <x:c r="Q2908" s="15" t="n">
        <x:v>31.15</x:v>
      </x:c>
      <x:c r="R2908" s="6" t="str">
        <x:v>m</x:v>
      </x:c>
      <x:c r="S2908" s="16" t="n">
        <x:v>0.01</x:v>
      </x:c>
      <x:c r="T2908" s="15" t="n">
        <x:v>1</x:v>
      </x:c>
      <x:c r="U2908" s="6" t="str">
        <x:v>Answer: 31.15</x:v>
      </x:c>
      <x:c r="V2908" s="6" t="str">
        <x:v>chain nearest-item, area and routing</x:v>
      </x:c>
      <x:c r="W2908" s="6" t="str">
        <x:v>Existing routing primitive. Missing full candidate search, area selection and task composition.</x:v>
      </x:c>
      <x:c r="X2908" s="6" t="str">
        <x:v>data/dev/swiss-5097/questions.jsonl</x:v>
      </x:c>
      <x:c r="Y2908" s="14" t="n">
        <x:v>3</x:v>
      </x:c>
      <x:c r="Z2908" s="6" t="str">
        <x:v>https://github.com/hagenhaeussler/Industrial-Agents-Hackathon-2026/blob/f41616590b69f3ea0c1cbfb41d6c35edd9ce53df/data/dev/swiss-5097/questions.jsonl#L3</x:v>
      </x:c>
      <x:c r="AA2908" s="6" t="str">
        <x:v>swiss_dwellings</x:v>
      </x:c>
      <x:c r="AB2908" s="6" t="str">
        <x:v>CC-BY-4.0</x:v>
      </x:c>
    </x:row>
    <x:row r="2909" ht="72" customHeight="1">
      <x:c r="A2909" s="14" t="n">
        <x:v>2904</x:v>
      </x:c>
      <x:c r="B2909" s="6" t="str">
        <x:v>errand</x:v>
      </x:c>
      <x:c r="C2909" s="6" t="str">
        <x:v>I'm in Generic room 1.10 (Floor 1). I need to grab a office chair from the room that has one closest to me, then carry it to the largest generic room on the floor 1. I can carry it on the stairs. How far will I walk in total, in metres? Finish with a line 'Answer: &lt;number&gt;'.</x:v>
      </x:c>
      <x:c r="D2909" s="6" t="str">
        <x:v>Withheld in public test data. No reference answer supplied.</x:v>
      </x:c>
      <x:c r="E2909" s="6" t="str">
        <x:v>Withheld</x:v>
      </x:c>
      <x:c r="F2909" s="6" t="str">
        <x:v>test</x:v>
      </x:c>
      <x:c r="G2909" s="6" t="str">
        <x:v>osm-way363805324</x:v>
      </x:c>
      <x:c r="H2909" s="6" t="str">
        <x:v>osm-way363805324-H03</x:v>
      </x:c>
      <x:c r="I2909" s="6" t="str">
        <x:v>Compound tasks and changes</x:v>
      </x:c>
      <x:c r="J2909" s="6" t="str">
        <x:v>Benchmark</x:v>
      </x:c>
      <x:c r="K2909" s="6" t="str">
        <x:v>Answer: &lt;one number&gt;</x:v>
      </x:c>
      <x:c r="L2909" s="6" t="str">
        <x:v>T02, T03, T04, T05, T07, T14</x:v>
      </x:c>
      <x:c r="M2909" s="6" t="str">
        <x:v>Collect an item from its closest containing room, then deliver it to the largest requested room.</x:v>
      </x:c>
      <x:c r="N2909" s="6"/>
      <x:c r="O2909" s="6"/>
      <x:c r="P2909" s="6" t="str">
        <x:v>Nearest pickup by route cost first. Largest target by area. Stairs allowed. README routing profile.</x:v>
      </x:c>
      <x:c r="Q2909" s="15"/>
      <x:c r="R2909" s="6"/>
      <x:c r="S2909" s="16"/>
      <x:c r="T2909" s="15"/>
      <x:c r="U2909" s="6"/>
      <x:c r="V2909" s="6"/>
      <x:c r="W2909" s="6" t="str">
        <x:v>Existing routing primitive. Missing full candidate search, area selection and task composition.</x:v>
      </x:c>
      <x:c r="X2909" s="6" t="str">
        <x:v>data/test/osm-way363805324/questions.jsonl</x:v>
      </x:c>
      <x:c r="Y2909" s="14" t="n">
        <x:v>3</x:v>
      </x:c>
      <x:c r="Z2909" s="6" t="str">
        <x:v>https://github.com/hagenhaeussler/Industrial-Agents-Hackathon-2026/blob/f41616590b69f3ea0c1cbfb41d6c35edd9ce53df/data/test/osm-way363805324/questions.jsonl#L3</x:v>
      </x:c>
      <x:c r="AA2909" s="6" t="str">
        <x:v>osm_indoor</x:v>
      </x:c>
      <x:c r="AB2909" s="6" t="str">
        <x:v>ODbL-1.0</x:v>
      </x:c>
    </x:row>
    <x:row r="2910" ht="82" customHeight="1">
      <x:c r="A2910" s="14" t="n">
        <x:v>2905</x:v>
      </x:c>
      <x:c r="B2910" s="6" t="str">
        <x:v>errand</x:v>
      </x:c>
      <x:c r="C2910" s="6" t="str">
        <x:v>I'm in Generic room N3820 (Floor 3). I need to grab a fire extinguisher from the room that has one closest to me, then carry it to the largest generic room on the floor 1. I can carry it on the stairs. How far will I walk in total, in metres? Finish with a line 'Answer: &lt;number&gt;'.</x:v>
      </x:c>
      <x:c r="D2910" s="6" t="str">
        <x:v>Withheld in public test data. No reference answer supplied.</x:v>
      </x:c>
      <x:c r="E2910" s="6" t="str">
        <x:v>Withheld</x:v>
      </x:c>
      <x:c r="F2910" s="6" t="str">
        <x:v>test</x:v>
      </x:c>
      <x:c r="G2910" s="6" t="str">
        <x:v>osm-way43035346</x:v>
      </x:c>
      <x:c r="H2910" s="6" t="str">
        <x:v>osm-way43035346-H03</x:v>
      </x:c>
      <x:c r="I2910" s="6" t="str">
        <x:v>Compound tasks and changes</x:v>
      </x:c>
      <x:c r="J2910" s="6" t="str">
        <x:v>Benchmark</x:v>
      </x:c>
      <x:c r="K2910" s="6" t="str">
        <x:v>Answer: &lt;one number&gt;</x:v>
      </x:c>
      <x:c r="L2910" s="6" t="str">
        <x:v>T02, T03, T04, T05, T07, T14</x:v>
      </x:c>
      <x:c r="M2910" s="6" t="str">
        <x:v>Collect an item from its closest containing room, then deliver it to the largest requested room.</x:v>
      </x:c>
      <x:c r="N2910" s="6"/>
      <x:c r="O2910" s="6"/>
      <x:c r="P2910" s="6" t="str">
        <x:v>Nearest pickup by route cost first. Largest target by area. Stairs allowed. README routing profile.</x:v>
      </x:c>
      <x:c r="Q2910" s="15"/>
      <x:c r="R2910" s="6"/>
      <x:c r="S2910" s="16"/>
      <x:c r="T2910" s="15"/>
      <x:c r="U2910" s="6"/>
      <x:c r="V2910" s="6"/>
      <x:c r="W2910" s="6" t="str">
        <x:v>Existing routing primitive. Missing full candidate search, area selection and task composition.</x:v>
      </x:c>
      <x:c r="X2910" s="6" t="str">
        <x:v>data/test/osm-way43035346/questions.jsonl</x:v>
      </x:c>
      <x:c r="Y2910" s="14" t="n">
        <x:v>3</x:v>
      </x:c>
      <x:c r="Z2910" s="6" t="str">
        <x:v>https://github.com/hagenhaeussler/Industrial-Agents-Hackathon-2026/blob/f41616590b69f3ea0c1cbfb41d6c35edd9ce53df/data/test/osm-way43035346/questions.jsonl#L3</x:v>
      </x:c>
      <x:c r="AA2910" s="6" t="str">
        <x:v>osm_indoor</x:v>
      </x:c>
      <x:c r="AB2910" s="6" t="str">
        <x:v>ODbL-1.0</x:v>
      </x:c>
    </x:row>
    <x:row r="2911" ht="72" customHeight="1">
      <x:c r="A2911" s="14" t="n">
        <x:v>2906</x:v>
      </x:c>
      <x:c r="B2911" s="6" t="str">
        <x:v>errand</x:v>
      </x:c>
      <x:c r="C2911" s="6" t="str">
        <x:v>I'm in Generic room 1508 (Floor 1). I need to grab a coat rack from the room that has one closest to me, then carry it to the largest generic room on the floor 2. I can carry it on the stairs. How far will I walk in total, in metres? Finish with a line 'Answer: &lt;number&gt;'.</x:v>
      </x:c>
      <x:c r="D2911" s="6" t="str">
        <x:v>Withheld in public test data. No reference answer supplied.</x:v>
      </x:c>
      <x:c r="E2911" s="6" t="str">
        <x:v>Withheld</x:v>
      </x:c>
      <x:c r="F2911" s="6" t="str">
        <x:v>test</x:v>
      </x:c>
      <x:c r="G2911" s="6" t="str">
        <x:v>osm-way50299584</x:v>
      </x:c>
      <x:c r="H2911" s="6" t="str">
        <x:v>osm-way50299584-H03</x:v>
      </x:c>
      <x:c r="I2911" s="6" t="str">
        <x:v>Compound tasks and changes</x:v>
      </x:c>
      <x:c r="J2911" s="6" t="str">
        <x:v>Benchmark</x:v>
      </x:c>
      <x:c r="K2911" s="6" t="str">
        <x:v>Answer: &lt;one number&gt;</x:v>
      </x:c>
      <x:c r="L2911" s="6" t="str">
        <x:v>T02, T03, T04, T05, T07, T14</x:v>
      </x:c>
      <x:c r="M2911" s="6" t="str">
        <x:v>Collect an item from its closest containing room, then deliver it to the largest requested room.</x:v>
      </x:c>
      <x:c r="N2911" s="6"/>
      <x:c r="O2911" s="6"/>
      <x:c r="P2911" s="6" t="str">
        <x:v>Nearest pickup by route cost first. Largest target by area. Stairs allowed. README routing profile.</x:v>
      </x:c>
      <x:c r="Q2911" s="15"/>
      <x:c r="R2911" s="6"/>
      <x:c r="S2911" s="16"/>
      <x:c r="T2911" s="15"/>
      <x:c r="U2911" s="6"/>
      <x:c r="V2911" s="6"/>
      <x:c r="W2911" s="6" t="str">
        <x:v>Existing routing primitive. Missing full candidate search, area selection and task composition.</x:v>
      </x:c>
      <x:c r="X2911" s="6" t="str">
        <x:v>data/test/osm-way50299584/questions.jsonl</x:v>
      </x:c>
      <x:c r="Y2911" s="14" t="n">
        <x:v>3</x:v>
      </x:c>
      <x:c r="Z2911" s="6" t="str">
        <x:v>https://github.com/hagenhaeussler/Industrial-Agents-Hackathon-2026/blob/f41616590b69f3ea0c1cbfb41d6c35edd9ce53df/data/test/osm-way50299584/questions.jsonl#L3</x:v>
      </x:c>
      <x:c r="AA2911" s="6" t="str">
        <x:v>osm_indoor</x:v>
      </x:c>
      <x:c r="AB2911" s="6" t="str">
        <x:v>ODbL-1.0</x:v>
      </x:c>
    </x:row>
    <x:row r="2912" ht="72" customHeight="1">
      <x:c r="A2912" s="14" t="n">
        <x:v>2907</x:v>
      </x:c>
      <x:c r="B2912" s="6" t="str">
        <x:v>errand</x:v>
      </x:c>
      <x:c r="C2912" s="6" t="str">
        <x:v>I'm in Generic room 1211D (Floor 1). I need to grab a desk from the room that has one closest to me, then carry it to the largest generic room on the floor 2. I can carry it on the stairs. How far will I walk in total, in metres? Finish with a line 'Answer: &lt;number&gt;'.</x:v>
      </x:c>
      <x:c r="D2912" s="6" t="str">
        <x:v>Withheld in public test data. No reference answer supplied.</x:v>
      </x:c>
      <x:c r="E2912" s="6" t="str">
        <x:v>Withheld</x:v>
      </x:c>
      <x:c r="F2912" s="6" t="str">
        <x:v>test</x:v>
      </x:c>
      <x:c r="G2912" s="6" t="str">
        <x:v>osm-way50300147</x:v>
      </x:c>
      <x:c r="H2912" s="6" t="str">
        <x:v>osm-way50300147-H03</x:v>
      </x:c>
      <x:c r="I2912" s="6" t="str">
        <x:v>Compound tasks and changes</x:v>
      </x:c>
      <x:c r="J2912" s="6" t="str">
        <x:v>Benchmark</x:v>
      </x:c>
      <x:c r="K2912" s="6" t="str">
        <x:v>Answer: &lt;one number&gt;</x:v>
      </x:c>
      <x:c r="L2912" s="6" t="str">
        <x:v>T02, T03, T04, T05, T07, T14</x:v>
      </x:c>
      <x:c r="M2912" s="6" t="str">
        <x:v>Collect an item from its closest containing room, then deliver it to the largest requested room.</x:v>
      </x:c>
      <x:c r="N2912" s="6"/>
      <x:c r="O2912" s="6"/>
      <x:c r="P2912" s="6" t="str">
        <x:v>Nearest pickup by route cost first. Largest target by area. Stairs allowed. README routing profile.</x:v>
      </x:c>
      <x:c r="Q2912" s="15"/>
      <x:c r="R2912" s="6"/>
      <x:c r="S2912" s="16"/>
      <x:c r="T2912" s="15"/>
      <x:c r="U2912" s="6"/>
      <x:c r="V2912" s="6"/>
      <x:c r="W2912" s="6" t="str">
        <x:v>Existing routing primitive. Missing full candidate search, area selection and task composition.</x:v>
      </x:c>
      <x:c r="X2912" s="6" t="str">
        <x:v>data/test/osm-way50300147/questions.jsonl</x:v>
      </x:c>
      <x:c r="Y2912" s="14" t="n">
        <x:v>3</x:v>
      </x:c>
      <x:c r="Z2912" s="6" t="str">
        <x:v>https://github.com/hagenhaeussler/Industrial-Agents-Hackathon-2026/blob/f41616590b69f3ea0c1cbfb41d6c35edd9ce53df/data/test/osm-way50300147/questions.jsonl#L3</x:v>
      </x:c>
      <x:c r="AA2912" s="6" t="str">
        <x:v>osm_indoor</x:v>
      </x:c>
      <x:c r="AB2912" s="6" t="str">
        <x:v>ODbL-1.0</x:v>
      </x:c>
    </x:row>
    <x:row r="2913" ht="72" customHeight="1">
      <x:c r="A2913" s="14" t="n">
        <x:v>2908</x:v>
      </x:c>
      <x:c r="B2913" s="6" t="str">
        <x:v>errand</x:v>
      </x:c>
      <x:c r="C2913" s="6" t="str">
        <x:v>I'm in Office 4.27 (Floor 4). I need to grab a coffee machine from the room that has one closest to me, then carry it to the largest meeting room on the floor 2. I can carry it on the stairs. How far will I walk in total, in metres? Finish with a line 'Answer: &lt;number&gt;'.</x:v>
      </x:c>
      <x:c r="D2913" s="6" t="str">
        <x:v>Withheld in public test data. No reference answer supplied.</x:v>
      </x:c>
      <x:c r="E2913" s="6" t="str">
        <x:v>Withheld</x:v>
      </x:c>
      <x:c r="F2913" s="6" t="str">
        <x:v>test</x:v>
      </x:c>
      <x:c r="G2913" s="6" t="str">
        <x:v>proc-campus-test-000</x:v>
      </x:c>
      <x:c r="H2913" s="6" t="str">
        <x:v>proc-campus-test-000-H04</x:v>
      </x:c>
      <x:c r="I2913" s="6" t="str">
        <x:v>Compound tasks and changes</x:v>
      </x:c>
      <x:c r="J2913" s="6" t="str">
        <x:v>Benchmark</x:v>
      </x:c>
      <x:c r="K2913" s="6" t="str">
        <x:v>Answer: &lt;one number&gt;</x:v>
      </x:c>
      <x:c r="L2913" s="6" t="str">
        <x:v>T02, T03, T04, T05, T07, T14</x:v>
      </x:c>
      <x:c r="M2913" s="6" t="str">
        <x:v>Collect an item from its closest containing room, then deliver it to the largest requested room.</x:v>
      </x:c>
      <x:c r="N2913" s="6"/>
      <x:c r="O2913" s="6"/>
      <x:c r="P2913" s="6" t="str">
        <x:v>Nearest pickup by route cost first. Largest target by area. Stairs allowed. README routing profile.</x:v>
      </x:c>
      <x:c r="Q2913" s="15"/>
      <x:c r="R2913" s="6"/>
      <x:c r="S2913" s="16"/>
      <x:c r="T2913" s="15"/>
      <x:c r="U2913" s="6"/>
      <x:c r="V2913" s="6"/>
      <x:c r="W2913" s="6" t="str">
        <x:v>Existing routing primitive. Missing full candidate search, area selection and task composition.</x:v>
      </x:c>
      <x:c r="X2913" s="6" t="str">
        <x:v>data/test/proc-campus-test-000/questions.jsonl</x:v>
      </x:c>
      <x:c r="Y2913" s="14" t="n">
        <x:v>4</x:v>
      </x:c>
      <x:c r="Z2913" s="6" t="str">
        <x:v>https://github.com/hagenhaeussler/Industrial-Agents-Hackathon-2026/blob/f41616590b69f3ea0c1cbfb41d6c35edd9ce53df/data/test/proc-campus-test-000/questions.jsonl#L4</x:v>
      </x:c>
      <x:c r="AA2913" s="6" t="str">
        <x:v>procedural</x:v>
      </x:c>
      <x:c r="AB2913" s="6" t="str">
        <x:v>CC0-1.0</x:v>
      </x:c>
    </x:row>
    <x:row r="2914" ht="72" customHeight="1">
      <x:c r="A2914" s="14" t="n">
        <x:v>2909</x:v>
      </x:c>
      <x:c r="B2914" s="6" t="str">
        <x:v>errand</x:v>
      </x:c>
      <x:c r="C2914" s="6" t="str">
        <x:v>I'm in Storage 0.12 (Ground floor). I need to grab a stove from the room that has one closest to me, then carry it to the largest lab on the floor 1. I can carry it on the stairs. How far will I walk in total, in metres? Finish with a line 'Answer: &lt;number&gt;'.</x:v>
      </x:c>
      <x:c r="D2914" s="6" t="str">
        <x:v>Withheld in public test data. No reference answer supplied.</x:v>
      </x:c>
      <x:c r="E2914" s="6" t="str">
        <x:v>Withheld</x:v>
      </x:c>
      <x:c r="F2914" s="6" t="str">
        <x:v>test</x:v>
      </x:c>
      <x:c r="G2914" s="6" t="str">
        <x:v>proc-campus-test-004</x:v>
      </x:c>
      <x:c r="H2914" s="6" t="str">
        <x:v>proc-campus-test-004-H04</x:v>
      </x:c>
      <x:c r="I2914" s="6" t="str">
        <x:v>Compound tasks and changes</x:v>
      </x:c>
      <x:c r="J2914" s="6" t="str">
        <x:v>Benchmark</x:v>
      </x:c>
      <x:c r="K2914" s="6" t="str">
        <x:v>Answer: &lt;one number&gt;</x:v>
      </x:c>
      <x:c r="L2914" s="6" t="str">
        <x:v>T02, T03, T04, T05, T07, T14</x:v>
      </x:c>
      <x:c r="M2914" s="6" t="str">
        <x:v>Collect an item from its closest containing room, then deliver it to the largest requested room.</x:v>
      </x:c>
      <x:c r="N2914" s="6"/>
      <x:c r="O2914" s="6"/>
      <x:c r="P2914" s="6" t="str">
        <x:v>Nearest pickup by route cost first. Largest target by area. Stairs allowed. README routing profile.</x:v>
      </x:c>
      <x:c r="Q2914" s="15"/>
      <x:c r="R2914" s="6"/>
      <x:c r="S2914" s="16"/>
      <x:c r="T2914" s="15"/>
      <x:c r="U2914" s="6"/>
      <x:c r="V2914" s="6"/>
      <x:c r="W2914" s="6" t="str">
        <x:v>Existing routing primitive. Missing full candidate search, area selection and task composition.</x:v>
      </x:c>
      <x:c r="X2914" s="6" t="str">
        <x:v>data/test/proc-campus-test-004/questions.jsonl</x:v>
      </x:c>
      <x:c r="Y2914" s="14" t="n">
        <x:v>4</x:v>
      </x:c>
      <x:c r="Z2914" s="6" t="str">
        <x:v>https://github.com/hagenhaeussler/Industrial-Agents-Hackathon-2026/blob/f41616590b69f3ea0c1cbfb41d6c35edd9ce53df/data/test/proc-campus-test-004/questions.jsonl#L4</x:v>
      </x:c>
      <x:c r="AA2914" s="6" t="str">
        <x:v>procedural</x:v>
      </x:c>
      <x:c r="AB2914" s="6" t="str">
        <x:v>CC0-1.0</x:v>
      </x:c>
    </x:row>
    <x:row r="2915" ht="72" customHeight="1">
      <x:c r="A2915" s="14" t="n">
        <x:v>2910</x:v>
      </x:c>
      <x:c r="B2915" s="6" t="str">
        <x:v>errand</x:v>
      </x:c>
      <x:c r="C2915" s="6" t="str">
        <x:v>I'm in Seminar room 2.37 (Floor 2). I need to grab a kitchen counter from the room that has one closest to me, then carry it to the largest storage on the floor 1. I can carry it on the stairs. How far will I walk in total, in metres? Finish with a line 'Answer: &lt;number&gt;'.</x:v>
      </x:c>
      <x:c r="D2915" s="6" t="str">
        <x:v>Withheld in public test data. No reference answer supplied.</x:v>
      </x:c>
      <x:c r="E2915" s="6" t="str">
        <x:v>Withheld</x:v>
      </x:c>
      <x:c r="F2915" s="6" t="str">
        <x:v>test</x:v>
      </x:c>
      <x:c r="G2915" s="6" t="str">
        <x:v>proc-campus-test-005</x:v>
      </x:c>
      <x:c r="H2915" s="6" t="str">
        <x:v>proc-campus-test-005-H04</x:v>
      </x:c>
      <x:c r="I2915" s="6" t="str">
        <x:v>Compound tasks and changes</x:v>
      </x:c>
      <x:c r="J2915" s="6" t="str">
        <x:v>Benchmark</x:v>
      </x:c>
      <x:c r="K2915" s="6" t="str">
        <x:v>Answer: &lt;one number&gt;</x:v>
      </x:c>
      <x:c r="L2915" s="6" t="str">
        <x:v>T02, T03, T04, T05, T07, T14</x:v>
      </x:c>
      <x:c r="M2915" s="6" t="str">
        <x:v>Collect an item from its closest containing room, then deliver it to the largest requested room.</x:v>
      </x:c>
      <x:c r="N2915" s="6"/>
      <x:c r="O2915" s="6"/>
      <x:c r="P2915" s="6" t="str">
        <x:v>Nearest pickup by route cost first. Largest target by area. Stairs allowed. README routing profile.</x:v>
      </x:c>
      <x:c r="Q2915" s="15"/>
      <x:c r="R2915" s="6"/>
      <x:c r="S2915" s="16"/>
      <x:c r="T2915" s="15"/>
      <x:c r="U2915" s="6"/>
      <x:c r="V2915" s="6"/>
      <x:c r="W2915" s="6" t="str">
        <x:v>Existing routing primitive. Missing full candidate search, area selection and task composition.</x:v>
      </x:c>
      <x:c r="X2915" s="6" t="str">
        <x:v>data/test/proc-campus-test-005/questions.jsonl</x:v>
      </x:c>
      <x:c r="Y2915" s="14" t="n">
        <x:v>4</x:v>
      </x:c>
      <x:c r="Z2915" s="6" t="str">
        <x:v>https://github.com/hagenhaeussler/Industrial-Agents-Hackathon-2026/blob/f41616590b69f3ea0c1cbfb41d6c35edd9ce53df/data/test/proc-campus-test-005/questions.jsonl#L4</x:v>
      </x:c>
      <x:c r="AA2915" s="6" t="str">
        <x:v>procedural</x:v>
      </x:c>
      <x:c r="AB2915" s="6" t="str">
        <x:v>CC0-1.0</x:v>
      </x:c>
    </x:row>
    <x:row r="2916" ht="72" customHeight="1">
      <x:c r="A2916" s="14" t="n">
        <x:v>2911</x:v>
      </x:c>
      <x:c r="B2916" s="6" t="str">
        <x:v>errand</x:v>
      </x:c>
      <x:c r="C2916" s="6" t="str">
        <x:v>I'm in Seminar room 3.21 (Floor 3). I need to grab a plant from the room that has one closest to me, then carry it to the largest meeting room on the floor 1. I can carry it on the stairs. How far will I walk in total, in metres? Finish with a line 'Answer: &lt;number&gt;'.</x:v>
      </x:c>
      <x:c r="D2916" s="6" t="str">
        <x:v>Withheld in public test data. No reference answer supplied.</x:v>
      </x:c>
      <x:c r="E2916" s="6" t="str">
        <x:v>Withheld</x:v>
      </x:c>
      <x:c r="F2916" s="6" t="str">
        <x:v>test</x:v>
      </x:c>
      <x:c r="G2916" s="6" t="str">
        <x:v>proc-campus-test-008</x:v>
      </x:c>
      <x:c r="H2916" s="6" t="str">
        <x:v>proc-campus-test-008-H04</x:v>
      </x:c>
      <x:c r="I2916" s="6" t="str">
        <x:v>Compound tasks and changes</x:v>
      </x:c>
      <x:c r="J2916" s="6" t="str">
        <x:v>Benchmark</x:v>
      </x:c>
      <x:c r="K2916" s="6" t="str">
        <x:v>Answer: &lt;one number&gt;</x:v>
      </x:c>
      <x:c r="L2916" s="6" t="str">
        <x:v>T02, T03, T04, T05, T07, T14</x:v>
      </x:c>
      <x:c r="M2916" s="6" t="str">
        <x:v>Collect an item from its closest containing room, then deliver it to the largest requested room.</x:v>
      </x:c>
      <x:c r="N2916" s="6"/>
      <x:c r="O2916" s="6"/>
      <x:c r="P2916" s="6" t="str">
        <x:v>Nearest pickup by route cost first. Largest target by area. Stairs allowed. README routing profile.</x:v>
      </x:c>
      <x:c r="Q2916" s="15"/>
      <x:c r="R2916" s="6"/>
      <x:c r="S2916" s="16"/>
      <x:c r="T2916" s="15"/>
      <x:c r="U2916" s="6"/>
      <x:c r="V2916" s="6"/>
      <x:c r="W2916" s="6" t="str">
        <x:v>Existing routing primitive. Missing full candidate search, area selection and task composition.</x:v>
      </x:c>
      <x:c r="X2916" s="6" t="str">
        <x:v>data/test/proc-campus-test-008/questions.jsonl</x:v>
      </x:c>
      <x:c r="Y2916" s="14" t="n">
        <x:v>4</x:v>
      </x:c>
      <x:c r="Z2916" s="6" t="str">
        <x:v>https://github.com/hagenhaeussler/Industrial-Agents-Hackathon-2026/blob/f41616590b69f3ea0c1cbfb41d6c35edd9ce53df/data/test/proc-campus-test-008/questions.jsonl#L4</x:v>
      </x:c>
      <x:c r="AA2916" s="6" t="str">
        <x:v>procedural</x:v>
      </x:c>
      <x:c r="AB2916" s="6" t="str">
        <x:v>CC0-1.0</x:v>
      </x:c>
    </x:row>
    <x:row r="2917" ht="72" customHeight="1">
      <x:c r="A2917" s="14" t="n">
        <x:v>2912</x:v>
      </x:c>
      <x:c r="B2917" s="6" t="str">
        <x:v>errand</x:v>
      </x:c>
      <x:c r="C2917" s="6" t="str">
        <x:v>I'm in Seminar room 3.22 (Floor 3). I need to grab a plant from the room that has one closest to me, then carry it to the largest lab on the floor 3. I can carry it on the stairs. How far will I walk in total, in metres? Finish with a line 'Answer: &lt;number&gt;'.</x:v>
      </x:c>
      <x:c r="D2917" s="6" t="str">
        <x:v>Withheld in public test data. No reference answer supplied.</x:v>
      </x:c>
      <x:c r="E2917" s="6" t="str">
        <x:v>Withheld</x:v>
      </x:c>
      <x:c r="F2917" s="6" t="str">
        <x:v>test</x:v>
      </x:c>
      <x:c r="G2917" s="6" t="str">
        <x:v>proc-campus-test-012</x:v>
      </x:c>
      <x:c r="H2917" s="6" t="str">
        <x:v>proc-campus-test-012-H04</x:v>
      </x:c>
      <x:c r="I2917" s="6" t="str">
        <x:v>Compound tasks and changes</x:v>
      </x:c>
      <x:c r="J2917" s="6" t="str">
        <x:v>Benchmark</x:v>
      </x:c>
      <x:c r="K2917" s="6" t="str">
        <x:v>Answer: &lt;one number&gt;</x:v>
      </x:c>
      <x:c r="L2917" s="6" t="str">
        <x:v>T02, T03, T04, T05, T07, T14</x:v>
      </x:c>
      <x:c r="M2917" s="6" t="str">
        <x:v>Collect an item from its closest containing room, then deliver it to the largest requested room.</x:v>
      </x:c>
      <x:c r="N2917" s="6"/>
      <x:c r="O2917" s="6"/>
      <x:c r="P2917" s="6" t="str">
        <x:v>Nearest pickup by route cost first. Largest target by area. Stairs allowed. README routing profile.</x:v>
      </x:c>
      <x:c r="Q2917" s="15"/>
      <x:c r="R2917" s="6"/>
      <x:c r="S2917" s="16"/>
      <x:c r="T2917" s="15"/>
      <x:c r="U2917" s="6"/>
      <x:c r="V2917" s="6"/>
      <x:c r="W2917" s="6" t="str">
        <x:v>Existing routing primitive. Missing full candidate search, area selection and task composition.</x:v>
      </x:c>
      <x:c r="X2917" s="6" t="str">
        <x:v>data/test/proc-campus-test-012/questions.jsonl</x:v>
      </x:c>
      <x:c r="Y2917" s="14" t="n">
        <x:v>4</x:v>
      </x:c>
      <x:c r="Z2917" s="6" t="str">
        <x:v>https://github.com/hagenhaeussler/Industrial-Agents-Hackathon-2026/blob/f41616590b69f3ea0c1cbfb41d6c35edd9ce53df/data/test/proc-campus-test-012/questions.jsonl#L4</x:v>
      </x:c>
      <x:c r="AA2917" s="6" t="str">
        <x:v>procedural</x:v>
      </x:c>
      <x:c r="AB2917" s="6" t="str">
        <x:v>CC0-1.0</x:v>
      </x:c>
    </x:row>
    <x:row r="2918" ht="72" customHeight="1">
      <x:c r="A2918" s="14" t="n">
        <x:v>2913</x:v>
      </x:c>
      <x:c r="B2918" s="6" t="str">
        <x:v>errand</x:v>
      </x:c>
      <x:c r="C2918" s="6" t="str">
        <x:v>I'm in Office 4.29 (Floor 4). I need to grab a chemical cabinet from the room that has one closest to me, then carry it to the largest lab on the floor 1. I can carry it on the stairs. How far will I walk in total, in metres? Finish with a line 'Answer: &lt;number&gt;'.</x:v>
      </x:c>
      <x:c r="D2918" s="6" t="str">
        <x:v>Withheld in public test data. No reference answer supplied.</x:v>
      </x:c>
      <x:c r="E2918" s="6" t="str">
        <x:v>Withheld</x:v>
      </x:c>
      <x:c r="F2918" s="6" t="str">
        <x:v>test</x:v>
      </x:c>
      <x:c r="G2918" s="6" t="str">
        <x:v>proc-campus-test-013</x:v>
      </x:c>
      <x:c r="H2918" s="6" t="str">
        <x:v>proc-campus-test-013-H04</x:v>
      </x:c>
      <x:c r="I2918" s="6" t="str">
        <x:v>Compound tasks and changes</x:v>
      </x:c>
      <x:c r="J2918" s="6" t="str">
        <x:v>Benchmark</x:v>
      </x:c>
      <x:c r="K2918" s="6" t="str">
        <x:v>Answer: &lt;one number&gt;</x:v>
      </x:c>
      <x:c r="L2918" s="6" t="str">
        <x:v>T02, T03, T04, T05, T07, T14</x:v>
      </x:c>
      <x:c r="M2918" s="6" t="str">
        <x:v>Collect an item from its closest containing room, then deliver it to the largest requested room.</x:v>
      </x:c>
      <x:c r="N2918" s="6"/>
      <x:c r="O2918" s="6"/>
      <x:c r="P2918" s="6" t="str">
        <x:v>Nearest pickup by route cost first. Largest target by area. Stairs allowed. README routing profile.</x:v>
      </x:c>
      <x:c r="Q2918" s="15"/>
      <x:c r="R2918" s="6"/>
      <x:c r="S2918" s="16"/>
      <x:c r="T2918" s="15"/>
      <x:c r="U2918" s="6"/>
      <x:c r="V2918" s="6"/>
      <x:c r="W2918" s="6" t="str">
        <x:v>Existing routing primitive. Missing full candidate search, area selection and task composition.</x:v>
      </x:c>
      <x:c r="X2918" s="6" t="str">
        <x:v>data/test/proc-campus-test-013/questions.jsonl</x:v>
      </x:c>
      <x:c r="Y2918" s="14" t="n">
        <x:v>4</x:v>
      </x:c>
      <x:c r="Z2918" s="6" t="str">
        <x:v>https://github.com/hagenhaeussler/Industrial-Agents-Hackathon-2026/blob/f41616590b69f3ea0c1cbfb41d6c35edd9ce53df/data/test/proc-campus-test-013/questions.jsonl#L4</x:v>
      </x:c>
      <x:c r="AA2918" s="6" t="str">
        <x:v>procedural</x:v>
      </x:c>
      <x:c r="AB2918" s="6" t="str">
        <x:v>CC0-1.0</x:v>
      </x:c>
    </x:row>
    <x:row r="2919" ht="72" customHeight="1">
      <x:c r="A2919" s="14" t="n">
        <x:v>2914</x:v>
      </x:c>
      <x:c r="B2919" s="6" t="str">
        <x:v>errand</x:v>
      </x:c>
      <x:c r="C2919" s="6" t="str">
        <x:v>I'm in Meeting room 1.10 (Floor 1). I need to grab a server rack from the room that has one closest to me, then carry it to the largest kitchen on the ground floor. I can carry it on the stairs. How far will I walk in total, in metres? Finish with a line 'Answer: &lt;number&gt;'.</x:v>
      </x:c>
      <x:c r="D2919" s="6" t="str">
        <x:v>Withheld in public test data. No reference answer supplied.</x:v>
      </x:c>
      <x:c r="E2919" s="6" t="str">
        <x:v>Withheld</x:v>
      </x:c>
      <x:c r="F2919" s="6" t="str">
        <x:v>test</x:v>
      </x:c>
      <x:c r="G2919" s="6" t="str">
        <x:v>proc-factory-test-003</x:v>
      </x:c>
      <x:c r="H2919" s="6" t="str">
        <x:v>proc-factory-test-003-H04</x:v>
      </x:c>
      <x:c r="I2919" s="6" t="str">
        <x:v>Compound tasks and changes</x:v>
      </x:c>
      <x:c r="J2919" s="6" t="str">
        <x:v>Benchmark</x:v>
      </x:c>
      <x:c r="K2919" s="6" t="str">
        <x:v>Answer: &lt;one number&gt;</x:v>
      </x:c>
      <x:c r="L2919" s="6" t="str">
        <x:v>T02, T03, T04, T05, T07, T14</x:v>
      </x:c>
      <x:c r="M2919" s="6" t="str">
        <x:v>Collect an item from its closest containing room, then deliver it to the largest requested room.</x:v>
      </x:c>
      <x:c r="N2919" s="6"/>
      <x:c r="O2919" s="6"/>
      <x:c r="P2919" s="6" t="str">
        <x:v>Nearest pickup by route cost first. Largest target by area. Stairs allowed. README routing profile.</x:v>
      </x:c>
      <x:c r="Q2919" s="15"/>
      <x:c r="R2919" s="6"/>
      <x:c r="S2919" s="16"/>
      <x:c r="T2919" s="15"/>
      <x:c r="U2919" s="6"/>
      <x:c r="V2919" s="6"/>
      <x:c r="W2919" s="6" t="str">
        <x:v>Existing routing primitive. Missing full candidate search, area selection and task composition.</x:v>
      </x:c>
      <x:c r="X2919" s="6" t="str">
        <x:v>data/test/proc-factory-test-003/questions.jsonl</x:v>
      </x:c>
      <x:c r="Y2919" s="14" t="n">
        <x:v>4</x:v>
      </x:c>
      <x:c r="Z2919" s="6" t="str">
        <x:v>https://github.com/hagenhaeussler/Industrial-Agents-Hackathon-2026/blob/f41616590b69f3ea0c1cbfb41d6c35edd9ce53df/data/test/proc-factory-test-003/questions.jsonl#L4</x:v>
      </x:c>
      <x:c r="AA2919" s="6" t="str">
        <x:v>procedural</x:v>
      </x:c>
      <x:c r="AB2919" s="6" t="str">
        <x:v>CC0-1.0</x:v>
      </x:c>
    </x:row>
    <x:row r="2920" ht="72" customHeight="1">
      <x:c r="A2920" s="14" t="n">
        <x:v>2915</x:v>
      </x:c>
      <x:c r="B2920" s="6" t="str">
        <x:v>errand</x:v>
      </x:c>
      <x:c r="C2920" s="6" t="str">
        <x:v>I'm in Office 1.05 (Floor 1). I need to grab a drill press from the room that has one closest to me, then carry it to the largest kitchen on the floor 1. I can carry it on the stairs. How far will I walk in total, in metres? Finish with a line 'Answer: &lt;number&gt;'.</x:v>
      </x:c>
      <x:c r="D2920" s="6" t="str">
        <x:v>Withheld in public test data. No reference answer supplied.</x:v>
      </x:c>
      <x:c r="E2920" s="6" t="str">
        <x:v>Withheld</x:v>
      </x:c>
      <x:c r="F2920" s="6" t="str">
        <x:v>test</x:v>
      </x:c>
      <x:c r="G2920" s="6" t="str">
        <x:v>proc-factory-test-007</x:v>
      </x:c>
      <x:c r="H2920" s="6" t="str">
        <x:v>proc-factory-test-007-H04</x:v>
      </x:c>
      <x:c r="I2920" s="6" t="str">
        <x:v>Compound tasks and changes</x:v>
      </x:c>
      <x:c r="J2920" s="6" t="str">
        <x:v>Benchmark</x:v>
      </x:c>
      <x:c r="K2920" s="6" t="str">
        <x:v>Answer: &lt;one number&gt;</x:v>
      </x:c>
      <x:c r="L2920" s="6" t="str">
        <x:v>T02, T03, T04, T05, T07, T14</x:v>
      </x:c>
      <x:c r="M2920" s="6" t="str">
        <x:v>Collect an item from its closest containing room, then deliver it to the largest requested room.</x:v>
      </x:c>
      <x:c r="N2920" s="6"/>
      <x:c r="O2920" s="6"/>
      <x:c r="P2920" s="6" t="str">
        <x:v>Nearest pickup by route cost first. Largest target by area. Stairs allowed. README routing profile.</x:v>
      </x:c>
      <x:c r="Q2920" s="15"/>
      <x:c r="R2920" s="6"/>
      <x:c r="S2920" s="16"/>
      <x:c r="T2920" s="15"/>
      <x:c r="U2920" s="6"/>
      <x:c r="V2920" s="6"/>
      <x:c r="W2920" s="6" t="str">
        <x:v>Existing routing primitive. Missing full candidate search, area selection and task composition.</x:v>
      </x:c>
      <x:c r="X2920" s="6" t="str">
        <x:v>data/test/proc-factory-test-007/questions.jsonl</x:v>
      </x:c>
      <x:c r="Y2920" s="14" t="n">
        <x:v>4</x:v>
      </x:c>
      <x:c r="Z2920" s="6" t="str">
        <x:v>https://github.com/hagenhaeussler/Industrial-Agents-Hackathon-2026/blob/f41616590b69f3ea0c1cbfb41d6c35edd9ce53df/data/test/proc-factory-test-007/questions.jsonl#L4</x:v>
      </x:c>
      <x:c r="AA2920" s="6" t="str">
        <x:v>procedural</x:v>
      </x:c>
      <x:c r="AB2920" s="6" t="str">
        <x:v>CC0-1.0</x:v>
      </x:c>
    </x:row>
    <x:row r="2921" ht="72" customHeight="1">
      <x:c r="A2921" s="14" t="n">
        <x:v>2916</x:v>
      </x:c>
      <x:c r="B2921" s="6" t="str">
        <x:v>errand</x:v>
      </x:c>
      <x:c r="C2921" s="6" t="str">
        <x:v>I'm in Office 1.12 (Floor 1). I need to grab a ups unit from the room that has one closest to me, then carry it to the largest meeting room on the ground floor. I can carry it on the stairs. How far will I walk in total, in metres? Finish with a line 'Answer: &lt;number&gt;'.</x:v>
      </x:c>
      <x:c r="D2921" s="6" t="str">
        <x:v>Withheld in public test data. No reference answer supplied.</x:v>
      </x:c>
      <x:c r="E2921" s="6" t="str">
        <x:v>Withheld</x:v>
      </x:c>
      <x:c r="F2921" s="6" t="str">
        <x:v>test</x:v>
      </x:c>
      <x:c r="G2921" s="6" t="str">
        <x:v>proc-factory-test-010</x:v>
      </x:c>
      <x:c r="H2921" s="6" t="str">
        <x:v>proc-factory-test-010-H04</x:v>
      </x:c>
      <x:c r="I2921" s="6" t="str">
        <x:v>Compound tasks and changes</x:v>
      </x:c>
      <x:c r="J2921" s="6" t="str">
        <x:v>Benchmark</x:v>
      </x:c>
      <x:c r="K2921" s="6" t="str">
        <x:v>Answer: &lt;one number&gt;</x:v>
      </x:c>
      <x:c r="L2921" s="6" t="str">
        <x:v>T02, T03, T04, T05, T07, T14</x:v>
      </x:c>
      <x:c r="M2921" s="6" t="str">
        <x:v>Collect an item from its closest containing room, then deliver it to the largest requested room.</x:v>
      </x:c>
      <x:c r="N2921" s="6"/>
      <x:c r="O2921" s="6"/>
      <x:c r="P2921" s="6" t="str">
        <x:v>Nearest pickup by route cost first. Largest target by area. Stairs allowed. README routing profile.</x:v>
      </x:c>
      <x:c r="Q2921" s="15"/>
      <x:c r="R2921" s="6"/>
      <x:c r="S2921" s="16"/>
      <x:c r="T2921" s="15"/>
      <x:c r="U2921" s="6"/>
      <x:c r="V2921" s="6"/>
      <x:c r="W2921" s="6" t="str">
        <x:v>Existing routing primitive. Missing full candidate search, area selection and task composition.</x:v>
      </x:c>
      <x:c r="X2921" s="6" t="str">
        <x:v>data/test/proc-factory-test-010/questions.jsonl</x:v>
      </x:c>
      <x:c r="Y2921" s="14" t="n">
        <x:v>4</x:v>
      </x:c>
      <x:c r="Z2921" s="6" t="str">
        <x:v>https://github.com/hagenhaeussler/Industrial-Agents-Hackathon-2026/blob/f41616590b69f3ea0c1cbfb41d6c35edd9ce53df/data/test/proc-factory-test-010/questions.jsonl#L4</x:v>
      </x:c>
      <x:c r="AA2921" s="6" t="str">
        <x:v>procedural</x:v>
      </x:c>
      <x:c r="AB2921" s="6" t="str">
        <x:v>CC0-1.0</x:v>
      </x:c>
    </x:row>
    <x:row r="2922" ht="72" customHeight="1">
      <x:c r="A2922" s="14" t="n">
        <x:v>2917</x:v>
      </x:c>
      <x:c r="B2922" s="6" t="str">
        <x:v>errand</x:v>
      </x:c>
      <x:c r="C2922" s="6" t="str">
        <x:v>I'm in Living room 0.01 (Ground floor). I need to grab a sink from the room that has one closest to me, then carry it to the largest bathroom on the ground floor. I can carry it on the stairs. How far will I walk in total, in metres? Finish with a line 'Answer: &lt;number&gt;'.</x:v>
      </x:c>
      <x:c r="D2922" s="6" t="str">
        <x:v>Withheld in public test data. No reference answer supplied.</x:v>
      </x:c>
      <x:c r="E2922" s="6" t="str">
        <x:v>Withheld</x:v>
      </x:c>
      <x:c r="F2922" s="6" t="str">
        <x:v>test</x:v>
      </x:c>
      <x:c r="G2922" s="6" t="str">
        <x:v>resplan-3573</x:v>
      </x:c>
      <x:c r="H2922" s="6" t="str">
        <x:v>resplan-3573-H04</x:v>
      </x:c>
      <x:c r="I2922" s="6" t="str">
        <x:v>Compound tasks and changes</x:v>
      </x:c>
      <x:c r="J2922" s="6" t="str">
        <x:v>Benchmark</x:v>
      </x:c>
      <x:c r="K2922" s="6" t="str">
        <x:v>Answer: &lt;one number&gt;</x:v>
      </x:c>
      <x:c r="L2922" s="6" t="str">
        <x:v>T02, T03, T04, T05, T07, T14</x:v>
      </x:c>
      <x:c r="M2922" s="6" t="str">
        <x:v>Collect an item from its closest containing room, then deliver it to the largest requested room.</x:v>
      </x:c>
      <x:c r="N2922" s="6"/>
      <x:c r="O2922" s="6"/>
      <x:c r="P2922" s="6" t="str">
        <x:v>Nearest pickup by route cost first. Largest target by area. Stairs allowed. README routing profile.</x:v>
      </x:c>
      <x:c r="Q2922" s="15"/>
      <x:c r="R2922" s="6"/>
      <x:c r="S2922" s="16"/>
      <x:c r="T2922" s="15"/>
      <x:c r="U2922" s="6"/>
      <x:c r="V2922" s="6"/>
      <x:c r="W2922" s="6" t="str">
        <x:v>Existing routing primitive. Missing full candidate search, area selection and task composition.</x:v>
      </x:c>
      <x:c r="X2922" s="6" t="str">
        <x:v>data/test/resplan-3573/questions.jsonl</x:v>
      </x:c>
      <x:c r="Y2922" s="14" t="n">
        <x:v>4</x:v>
      </x:c>
      <x:c r="Z2922" s="6" t="str">
        <x:v>https://github.com/hagenhaeussler/Industrial-Agents-Hackathon-2026/blob/f41616590b69f3ea0c1cbfb41d6c35edd9ce53df/data/test/resplan-3573/questions.jsonl#L4</x:v>
      </x:c>
      <x:c r="AA2922" s="6" t="str">
        <x:v>resplan</x:v>
      </x:c>
      <x:c r="AB2922" s="6" t="str">
        <x:v>CC-BY-4.0</x:v>
      </x:c>
    </x:row>
    <x:row r="2923" ht="82" customHeight="1">
      <x:c r="A2923" s="14" t="n">
        <x:v>2918</x:v>
      </x:c>
      <x:c r="B2923" s="6" t="str">
        <x:v>errand</x:v>
      </x:c>
      <x:c r="C2923" s="6" t="str">
        <x:v>I'm in Living room 4.07 (apartment 16) (Floor 4). I need to grab a microwave from the room that has one closest to me, then carry it to the largest living room on the floor 1. I can carry it on the stairs. How far will I walk in total, in metres? Finish with a line 'Answer: &lt;number&gt;'.</x:v>
      </x:c>
      <x:c r="D2923" s="6" t="str">
        <x:v>Withheld in public test data. No reference answer supplied.</x:v>
      </x:c>
      <x:c r="E2923" s="6" t="str">
        <x:v>Withheld</x:v>
      </x:c>
      <x:c r="F2923" s="6" t="str">
        <x:v>test</x:v>
      </x:c>
      <x:c r="G2923" s="6" t="str">
        <x:v>swiss-100</x:v>
      </x:c>
      <x:c r="H2923" s="6" t="str">
        <x:v>swiss-100-H03</x:v>
      </x:c>
      <x:c r="I2923" s="6" t="str">
        <x:v>Compound tasks and changes</x:v>
      </x:c>
      <x:c r="J2923" s="6" t="str">
        <x:v>Benchmark</x:v>
      </x:c>
      <x:c r="K2923" s="6" t="str">
        <x:v>Answer: &lt;one number&gt;</x:v>
      </x:c>
      <x:c r="L2923" s="6" t="str">
        <x:v>T02, T03, T04, T05, T07, T14</x:v>
      </x:c>
      <x:c r="M2923" s="6" t="str">
        <x:v>Collect an item from its closest containing room, then deliver it to the largest requested room.</x:v>
      </x:c>
      <x:c r="N2923" s="6"/>
      <x:c r="O2923" s="6"/>
      <x:c r="P2923" s="6" t="str">
        <x:v>Nearest pickup by route cost first. Largest target by area. Stairs allowed. README routing profile.</x:v>
      </x:c>
      <x:c r="Q2923" s="15"/>
      <x:c r="R2923" s="6"/>
      <x:c r="S2923" s="16"/>
      <x:c r="T2923" s="15"/>
      <x:c r="U2923" s="6"/>
      <x:c r="V2923" s="6"/>
      <x:c r="W2923" s="6" t="str">
        <x:v>Existing routing primitive. Missing full candidate search, area selection and task composition.</x:v>
      </x:c>
      <x:c r="X2923" s="6" t="str">
        <x:v>data/test/swiss-100/questions.jsonl</x:v>
      </x:c>
      <x:c r="Y2923" s="14" t="n">
        <x:v>3</x:v>
      </x:c>
      <x:c r="Z2923" s="6" t="str">
        <x:v>https://github.com/hagenhaeussler/Industrial-Agents-Hackathon-2026/blob/f41616590b69f3ea0c1cbfb41d6c35edd9ce53df/data/test/swiss-100/questions.jsonl#L3</x:v>
      </x:c>
      <x:c r="AA2923" s="6" t="str">
        <x:v>swiss_dwellings</x:v>
      </x:c>
      <x:c r="AB2923" s="6" t="str">
        <x:v>CC-BY-4.0</x:v>
      </x:c>
    </x:row>
    <x:row r="2924" ht="82" customHeight="1">
      <x:c r="A2924" s="14" t="n">
        <x:v>2919</x:v>
      </x:c>
      <x:c r="B2924" s="6" t="str">
        <x:v>errand</x:v>
      </x:c>
      <x:c r="C2924" s="6" t="str">
        <x:v>I'm in Bedroom 1.13 (apartment 4) (Floor 1). I need to grab a kitchen counter from the room that has one closest to me, then carry it to the largest bedroom on the ground floor. I can carry it on the stairs. How far will I walk in total, in metres? Finish with a line 'Answer: &lt;number&gt;'.</x:v>
      </x:c>
      <x:c r="D2924" s="6" t="str">
        <x:v>Withheld in public test data. No reference answer supplied.</x:v>
      </x:c>
      <x:c r="E2924" s="6" t="str">
        <x:v>Withheld</x:v>
      </x:c>
      <x:c r="F2924" s="6" t="str">
        <x:v>test</x:v>
      </x:c>
      <x:c r="G2924" s="6" t="str">
        <x:v>swiss-1671</x:v>
      </x:c>
      <x:c r="H2924" s="6" t="str">
        <x:v>swiss-1671-H03</x:v>
      </x:c>
      <x:c r="I2924" s="6" t="str">
        <x:v>Compound tasks and changes</x:v>
      </x:c>
      <x:c r="J2924" s="6" t="str">
        <x:v>Benchmark</x:v>
      </x:c>
      <x:c r="K2924" s="6" t="str">
        <x:v>Answer: &lt;one number&gt;</x:v>
      </x:c>
      <x:c r="L2924" s="6" t="str">
        <x:v>T02, T03, T04, T05, T07, T14</x:v>
      </x:c>
      <x:c r="M2924" s="6" t="str">
        <x:v>Collect an item from its closest containing room, then deliver it to the largest requested room.</x:v>
      </x:c>
      <x:c r="N2924" s="6"/>
      <x:c r="O2924" s="6"/>
      <x:c r="P2924" s="6" t="str">
        <x:v>Nearest pickup by route cost first. Largest target by area. Stairs allowed. README routing profile.</x:v>
      </x:c>
      <x:c r="Q2924" s="15"/>
      <x:c r="R2924" s="6"/>
      <x:c r="S2924" s="16"/>
      <x:c r="T2924" s="15"/>
      <x:c r="U2924" s="6"/>
      <x:c r="V2924" s="6"/>
      <x:c r="W2924" s="6" t="str">
        <x:v>Existing routing primitive. Missing full candidate search, area selection and task composition.</x:v>
      </x:c>
      <x:c r="X2924" s="6" t="str">
        <x:v>data/test/swiss-1671/questions.jsonl</x:v>
      </x:c>
      <x:c r="Y2924" s="14" t="n">
        <x:v>3</x:v>
      </x:c>
      <x:c r="Z2924" s="6" t="str">
        <x:v>https://github.com/hagenhaeussler/Industrial-Agents-Hackathon-2026/blob/f41616590b69f3ea0c1cbfb41d6c35edd9ce53df/data/test/swiss-1671/questions.jsonl#L3</x:v>
      </x:c>
      <x:c r="AA2924" s="6" t="str">
        <x:v>swiss_dwellings</x:v>
      </x:c>
      <x:c r="AB2924" s="6" t="str">
        <x:v>CC-BY-4.0</x:v>
      </x:c>
    </x:row>
    <x:row r="2925" ht="72" customHeight="1">
      <x:c r="A2925" s="14" t="n">
        <x:v>2920</x:v>
      </x:c>
      <x:c r="B2925" s="6" t="str">
        <x:v>errand</x:v>
      </x:c>
      <x:c r="C2925" s="6" t="str">
        <x:v>I'm in Bedroom 2.08 (apartment 5) (Floor 2). I need to grab a sofa from the room that has one closest to me, then carry it to the largest bedroom on the floor 3. I can carry it on the stairs. How far will I walk in total, in metres? Finish with a line 'Answer: &lt;number&gt;'.</x:v>
      </x:c>
      <x:c r="D2925" s="6" t="str">
        <x:v>Withheld in public test data. No reference answer supplied.</x:v>
      </x:c>
      <x:c r="E2925" s="6" t="str">
        <x:v>Withheld</x:v>
      </x:c>
      <x:c r="F2925" s="6" t="str">
        <x:v>test</x:v>
      </x:c>
      <x:c r="G2925" s="6" t="str">
        <x:v>swiss-17736</x:v>
      </x:c>
      <x:c r="H2925" s="6" t="str">
        <x:v>swiss-17736-H03</x:v>
      </x:c>
      <x:c r="I2925" s="6" t="str">
        <x:v>Compound tasks and changes</x:v>
      </x:c>
      <x:c r="J2925" s="6" t="str">
        <x:v>Benchmark</x:v>
      </x:c>
      <x:c r="K2925" s="6" t="str">
        <x:v>Answer: &lt;one number&gt;</x:v>
      </x:c>
      <x:c r="L2925" s="6" t="str">
        <x:v>T02, T03, T04, T05, T07, T14</x:v>
      </x:c>
      <x:c r="M2925" s="6" t="str">
        <x:v>Collect an item from its closest containing room, then deliver it to the largest requested room.</x:v>
      </x:c>
      <x:c r="N2925" s="6"/>
      <x:c r="O2925" s="6"/>
      <x:c r="P2925" s="6" t="str">
        <x:v>Nearest pickup by route cost first. Largest target by area. Stairs allowed. README routing profile.</x:v>
      </x:c>
      <x:c r="Q2925" s="15"/>
      <x:c r="R2925" s="6"/>
      <x:c r="S2925" s="16"/>
      <x:c r="T2925" s="15"/>
      <x:c r="U2925" s="6"/>
      <x:c r="V2925" s="6"/>
      <x:c r="W2925" s="6" t="str">
        <x:v>Existing routing primitive. Missing full candidate search, area selection and task composition.</x:v>
      </x:c>
      <x:c r="X2925" s="6" t="str">
        <x:v>data/test/swiss-17736/questions.jsonl</x:v>
      </x:c>
      <x:c r="Y2925" s="14" t="n">
        <x:v>3</x:v>
      </x:c>
      <x:c r="Z2925" s="6" t="str">
        <x:v>https://github.com/hagenhaeussler/Industrial-Agents-Hackathon-2026/blob/f41616590b69f3ea0c1cbfb41d6c35edd9ce53df/data/test/swiss-17736/questions.jsonl#L3</x:v>
      </x:c>
      <x:c r="AA2925" s="6" t="str">
        <x:v>swiss_dwellings</x:v>
      </x:c>
      <x:c r="AB2925" s="6" t="str">
        <x:v>CC-BY-4.0</x:v>
      </x:c>
    </x:row>
    <x:row r="2926" ht="72" customHeight="1">
      <x:c r="A2926" s="14" t="n">
        <x:v>2921</x:v>
      </x:c>
      <x:c r="B2926" s="6" t="str">
        <x:v>errand</x:v>
      </x:c>
      <x:c r="C2926" s="6" t="str">
        <x:v>I'm in Bedroom 1.22 (apartment 6) (Floor 1). I need to grab a dining table from the room that has one closest to me, then carry it to the largest bedroom on the floor 2. I can carry it on the stairs. How far will I walk in total, in metres? Finish with a line 'Answer: &lt;number&gt;'.</x:v>
      </x:c>
      <x:c r="D2926" s="6" t="str">
        <x:v>Withheld in public test data. No reference answer supplied.</x:v>
      </x:c>
      <x:c r="E2926" s="6" t="str">
        <x:v>Withheld</x:v>
      </x:c>
      <x:c r="F2926" s="6" t="str">
        <x:v>test</x:v>
      </x:c>
      <x:c r="G2926" s="6" t="str">
        <x:v>swiss-2080</x:v>
      </x:c>
      <x:c r="H2926" s="6" t="str">
        <x:v>swiss-2080-H03</x:v>
      </x:c>
      <x:c r="I2926" s="6" t="str">
        <x:v>Compound tasks and changes</x:v>
      </x:c>
      <x:c r="J2926" s="6" t="str">
        <x:v>Benchmark</x:v>
      </x:c>
      <x:c r="K2926" s="6" t="str">
        <x:v>Answer: &lt;one number&gt;</x:v>
      </x:c>
      <x:c r="L2926" s="6" t="str">
        <x:v>T02, T03, T04, T05, T07, T14</x:v>
      </x:c>
      <x:c r="M2926" s="6" t="str">
        <x:v>Collect an item from its closest containing room, then deliver it to the largest requested room.</x:v>
      </x:c>
      <x:c r="N2926" s="6"/>
      <x:c r="O2926" s="6"/>
      <x:c r="P2926" s="6" t="str">
        <x:v>Nearest pickup by route cost first. Largest target by area. Stairs allowed. README routing profile.</x:v>
      </x:c>
      <x:c r="Q2926" s="15"/>
      <x:c r="R2926" s="6"/>
      <x:c r="S2926" s="16"/>
      <x:c r="T2926" s="15"/>
      <x:c r="U2926" s="6"/>
      <x:c r="V2926" s="6"/>
      <x:c r="W2926" s="6" t="str">
        <x:v>Existing routing primitive. Missing full candidate search, area selection and task composition.</x:v>
      </x:c>
      <x:c r="X2926" s="6" t="str">
        <x:v>data/test/swiss-2080/questions.jsonl</x:v>
      </x:c>
      <x:c r="Y2926" s="14" t="n">
        <x:v>3</x:v>
      </x:c>
      <x:c r="Z2926" s="6" t="str">
        <x:v>https://github.com/hagenhaeussler/Industrial-Agents-Hackathon-2026/blob/f41616590b69f3ea0c1cbfb41d6c35edd9ce53df/data/test/swiss-2080/questions.jsonl#L3</x:v>
      </x:c>
      <x:c r="AA2926" s="6" t="str">
        <x:v>swiss_dwellings</x:v>
      </x:c>
      <x:c r="AB2926" s="6" t="str">
        <x:v>CC-BY-4.0</x:v>
      </x:c>
    </x:row>
    <x:row r="2927" ht="72" customHeight="1">
      <x:c r="A2927" s="14" t="n">
        <x:v>2922</x:v>
      </x:c>
      <x:c r="B2927" s="6" t="str">
        <x:v>errand</x:v>
      </x:c>
      <x:c r="C2927" s="6" t="str">
        <x:v>I'm in Kitchen 1.30 (apartment 8) (Floor 1). I need to grab a outdoor chair from the room that has one closest to me, then carry it to the largest storage on the floor 2. I can carry it on the stairs. How far will I walk in total, in metres? Finish with a line 'Answer: &lt;number&gt;'.</x:v>
      </x:c>
      <x:c r="D2927" s="6" t="str">
        <x:v>Withheld in public test data. No reference answer supplied.</x:v>
      </x:c>
      <x:c r="E2927" s="6" t="str">
        <x:v>Withheld</x:v>
      </x:c>
      <x:c r="F2927" s="6" t="str">
        <x:v>test</x:v>
      </x:c>
      <x:c r="G2927" s="6" t="str">
        <x:v>swiss-2873</x:v>
      </x:c>
      <x:c r="H2927" s="6" t="str">
        <x:v>swiss-2873-H03</x:v>
      </x:c>
      <x:c r="I2927" s="6" t="str">
        <x:v>Compound tasks and changes</x:v>
      </x:c>
      <x:c r="J2927" s="6" t="str">
        <x:v>Benchmark</x:v>
      </x:c>
      <x:c r="K2927" s="6" t="str">
        <x:v>Answer: &lt;one number&gt;</x:v>
      </x:c>
      <x:c r="L2927" s="6" t="str">
        <x:v>T02, T03, T04, T05, T07, T14</x:v>
      </x:c>
      <x:c r="M2927" s="6" t="str">
        <x:v>Collect an item from its closest containing room, then deliver it to the largest requested room.</x:v>
      </x:c>
      <x:c r="N2927" s="6"/>
      <x:c r="O2927" s="6"/>
      <x:c r="P2927" s="6" t="str">
        <x:v>Nearest pickup by route cost first. Largest target by area. Stairs allowed. README routing profile.</x:v>
      </x:c>
      <x:c r="Q2927" s="15"/>
      <x:c r="R2927" s="6"/>
      <x:c r="S2927" s="16"/>
      <x:c r="T2927" s="15"/>
      <x:c r="U2927" s="6"/>
      <x:c r="V2927" s="6"/>
      <x:c r="W2927" s="6" t="str">
        <x:v>Existing routing primitive. Missing full candidate search, area selection and task composition.</x:v>
      </x:c>
      <x:c r="X2927" s="6" t="str">
        <x:v>data/test/swiss-2873/questions.jsonl</x:v>
      </x:c>
      <x:c r="Y2927" s="14" t="n">
        <x:v>3</x:v>
      </x:c>
      <x:c r="Z2927" s="6" t="str">
        <x:v>https://github.com/hagenhaeussler/Industrial-Agents-Hackathon-2026/blob/f41616590b69f3ea0c1cbfb41d6c35edd9ce53df/data/test/swiss-2873/questions.jsonl#L3</x:v>
      </x:c>
      <x:c r="AA2927" s="6" t="str">
        <x:v>swiss_dwellings</x:v>
      </x:c>
      <x:c r="AB2927" s="6" t="str">
        <x:v>CC-BY-4.0</x:v>
      </x:c>
    </x:row>
    <x:row r="2928" ht="72" customHeight="1">
      <x:c r="A2928" s="14" t="n">
        <x:v>2923</x:v>
      </x:c>
      <x:c r="B2928" s="6" t="str">
        <x:v>errand</x:v>
      </x:c>
      <x:c r="C2928" s="6" t="str">
        <x:v>I'm in Storage 4.27 (apartment 19) (Floor 4). I need to grab a fridge from the room that has one closest to me, then carry it to the largest bedroom on the floor 9. I can carry it on the stairs. How far will I walk in total, in metres? Finish with a line 'Answer: &lt;number&gt;'.</x:v>
      </x:c>
      <x:c r="D2928" s="6" t="str">
        <x:v>Withheld in public test data. No reference answer supplied.</x:v>
      </x:c>
      <x:c r="E2928" s="6" t="str">
        <x:v>Withheld</x:v>
      </x:c>
      <x:c r="F2928" s="6" t="str">
        <x:v>test</x:v>
      </x:c>
      <x:c r="G2928" s="6" t="str">
        <x:v>swiss-482</x:v>
      </x:c>
      <x:c r="H2928" s="6" t="str">
        <x:v>swiss-482-H03</x:v>
      </x:c>
      <x:c r="I2928" s="6" t="str">
        <x:v>Compound tasks and changes</x:v>
      </x:c>
      <x:c r="J2928" s="6" t="str">
        <x:v>Benchmark</x:v>
      </x:c>
      <x:c r="K2928" s="6" t="str">
        <x:v>Answer: &lt;one number&gt;</x:v>
      </x:c>
      <x:c r="L2928" s="6" t="str">
        <x:v>T02, T03, T04, T05, T07, T14</x:v>
      </x:c>
      <x:c r="M2928" s="6" t="str">
        <x:v>Collect an item from its closest containing room, then deliver it to the largest requested room.</x:v>
      </x:c>
      <x:c r="N2928" s="6"/>
      <x:c r="O2928" s="6"/>
      <x:c r="P2928" s="6" t="str">
        <x:v>Nearest pickup by route cost first. Largest target by area. Stairs allowed. README routing profile.</x:v>
      </x:c>
      <x:c r="Q2928" s="15"/>
      <x:c r="R2928" s="6"/>
      <x:c r="S2928" s="16"/>
      <x:c r="T2928" s="15"/>
      <x:c r="U2928" s="6"/>
      <x:c r="V2928" s="6"/>
      <x:c r="W2928" s="6" t="str">
        <x:v>Existing routing primitive. Missing full candidate search, area selection and task composition.</x:v>
      </x:c>
      <x:c r="X2928" s="6" t="str">
        <x:v>data/test/swiss-482/questions.jsonl</x:v>
      </x:c>
      <x:c r="Y2928" s="14" t="n">
        <x:v>3</x:v>
      </x:c>
      <x:c r="Z2928" s="6" t="str">
        <x:v>https://github.com/hagenhaeussler/Industrial-Agents-Hackathon-2026/blob/f41616590b69f3ea0c1cbfb41d6c35edd9ce53df/data/test/swiss-482/questions.jsonl#L3</x:v>
      </x:c>
      <x:c r="AA2928" s="6" t="str">
        <x:v>swiss_dwellings</x:v>
      </x:c>
      <x:c r="AB2928" s="6" t="str">
        <x:v>CC-BY-4.0</x:v>
      </x:c>
    </x:row>
    <x:row r="2929" ht="82" customHeight="1">
      <x:c r="A2929" s="14" t="n">
        <x:v>2924</x:v>
      </x:c>
      <x:c r="B2929" s="6" t="str">
        <x:v>what_if_door</x:v>
      </x:c>
      <x:c r="C2929" s="6" t="str">
        <x:v>What if we add a door between Corridor N0110A (Ground floor) and Corridor N0123A (Ground floor), in the middle of the wall they share? How many rooms on the floor 2 would then have a shorter walk out of the building, to their nearest entrance, by more than 1 m? Finish with a line 'Answer: &lt;number&gt;'.</x:v>
      </x:c>
      <x:c r="D2929" s="6" t="str">
        <x:v>40 rooms</x:v>
      </x:c>
      <x:c r="E2929" s="6" t="str">
        <x:v>Reference supplied</x:v>
      </x:c>
      <x:c r="F2929" s="6" t="str">
        <x:v>train</x:v>
      </x:c>
      <x:c r="G2929" s="6" t="str">
        <x:v>osm-way58216509</x:v>
      </x:c>
      <x:c r="H2929" s="6" t="str">
        <x:v>osm-way58216509-H07</x:v>
      </x:c>
      <x:c r="I2929" s="6" t="str">
        <x:v>Compound tasks and changes</x:v>
      </x:c>
      <x:c r="J2929" s="6" t="str">
        <x:v>Benchmark</x:v>
      </x:c>
      <x:c r="K2929" s="6" t="str">
        <x:v>Answer: &lt;one exact integer&gt;</x:v>
      </x:c>
      <x:c r="L2929" s="6" t="str">
        <x:v>T02, T04, T05, T11, T14</x:v>
      </x:c>
      <x:c r="M2929" s="6" t="str">
        <x:v>Count rooms on another floor whose walk to the nearest exit improves by more than 1 m after adding a door.</x:v>
      </x:c>
      <x:c r="N2929" s="6" t="str">
        <x:v>{"type":"number","value":40,"unit":"rooms","relative_tolerance":0,"absolute_tolerance":0}</x:v>
      </x:c>
      <x:c r="O2929" s="6" t="str">
        <x:v>{"first":"osm-way58216509-F0-S013","second":"osm-way58216509-F0-S046","door_floor_id":"osm-way58216509-F0","floor_id":"osm-way58216509-F2"}</x:v>
      </x:c>
      <x:c r="P2929" s="6" t="str">
        <x:v>Shared-wall midpoint. Temporary edit. Count another floor. Nearest exit. Improvement strictly &gt;1 m.</x:v>
      </x:c>
      <x:c r="Q2929" s="15" t="n">
        <x:v>40</x:v>
      </x:c>
      <x:c r="R2929" s="6" t="str">
        <x:v>rooms</x:v>
      </x:c>
      <x:c r="S2929" s="16" t="n">
        <x:v>0</x:v>
      </x:c>
      <x:c r="T2929" s="15" t="n">
        <x:v>0</x:v>
      </x:c>
      <x:c r="U2929" s="6" t="str">
        <x:v>Answer: 40</x:v>
      </x:c>
      <x:c r="V2929" s="6" t="str">
        <x:v>what-if edit with effects on another floor</x:v>
      </x:c>
      <x:c r="W2929" s="6" t="str">
        <x:v>Partial: add_door mutates state using nearest polygon points, not the shared-wall midpoint. Missing baseline/edited impact analysis.</x:v>
      </x:c>
      <x:c r="X2929" s="6" t="str">
        <x:v>data/train/osm-way58216509/questions.jsonl</x:v>
      </x:c>
      <x:c r="Y2929" s="14" t="n">
        <x:v>7</x:v>
      </x:c>
      <x:c r="Z2929" s="6" t="str">
        <x:v>https://github.com/hagenhaeussler/Industrial-Agents-Hackathon-2026/blob/f41616590b69f3ea0c1cbfb41d6c35edd9ce53df/data/train/osm-way58216509/questions.jsonl#L7</x:v>
      </x:c>
      <x:c r="AA2929" s="6" t="str">
        <x:v>osm_indoor</x:v>
      </x:c>
      <x:c r="AB2929" s="6" t="str">
        <x:v>ODbL-1.0</x:v>
      </x:c>
    </x:row>
    <x:row r="2930" ht="82" customHeight="1">
      <x:c r="A2930" s="14" t="n">
        <x:v>2925</x:v>
      </x:c>
      <x:c r="B2930" s="6" t="str">
        <x:v>what_if_door</x:v>
      </x:c>
      <x:c r="C2930" s="6" t="str">
        <x:v>What if we add a door between Generic room N0197C (Ground floor) and Corridor N0123A (Ground floor), in the middle of the wall they share? How many rooms on the floor 2 would then have a shorter walk out of the building, to their nearest entrance, by more than 1 m? Finish with a line 'Answer: &lt;number&gt;'.</x:v>
      </x:c>
      <x:c r="D2930" s="6" t="str">
        <x:v>40 rooms</x:v>
      </x:c>
      <x:c r="E2930" s="6" t="str">
        <x:v>Reference supplied</x:v>
      </x:c>
      <x:c r="F2930" s="6" t="str">
        <x:v>train</x:v>
      </x:c>
      <x:c r="G2930" s="6" t="str">
        <x:v>osm-way58216509</x:v>
      </x:c>
      <x:c r="H2930" s="6" t="str">
        <x:v>osm-way58216509-H08</x:v>
      </x:c>
      <x:c r="I2930" s="6" t="str">
        <x:v>Compound tasks and changes</x:v>
      </x:c>
      <x:c r="J2930" s="6" t="str">
        <x:v>Benchmark</x:v>
      </x:c>
      <x:c r="K2930" s="6" t="str">
        <x:v>Answer: &lt;one exact integer&gt;</x:v>
      </x:c>
      <x:c r="L2930" s="6" t="str">
        <x:v>T02, T04, T05, T11, T14</x:v>
      </x:c>
      <x:c r="M2930" s="6" t="str">
        <x:v>Count rooms on another floor whose walk to the nearest exit improves by more than 1 m after adding a door.</x:v>
      </x:c>
      <x:c r="N2930" s="6" t="str">
        <x:v>{"type":"number","value":40,"unit":"rooms","relative_tolerance":0,"absolute_tolerance":0}</x:v>
      </x:c>
      <x:c r="O2930" s="6" t="str">
        <x:v>{"first":"osm-way58216509-F0-S023","second":"osm-way58216509-F0-S046","door_floor_id":"osm-way58216509-F0","floor_id":"osm-way58216509-F2"}</x:v>
      </x:c>
      <x:c r="P2930" s="6" t="str">
        <x:v>Shared-wall midpoint. Temporary edit. Count another floor. Nearest exit. Improvement strictly &gt;1 m.</x:v>
      </x:c>
      <x:c r="Q2930" s="15" t="n">
        <x:v>40</x:v>
      </x:c>
      <x:c r="R2930" s="6" t="str">
        <x:v>rooms</x:v>
      </x:c>
      <x:c r="S2930" s="16" t="n">
        <x:v>0</x:v>
      </x:c>
      <x:c r="T2930" s="15" t="n">
        <x:v>0</x:v>
      </x:c>
      <x:c r="U2930" s="6" t="str">
        <x:v>Answer: 40</x:v>
      </x:c>
      <x:c r="V2930" s="6" t="str">
        <x:v>what-if edit with effects on another floor</x:v>
      </x:c>
      <x:c r="W2930" s="6" t="str">
        <x:v>Partial: add_door mutates state using nearest polygon points, not the shared-wall midpoint. Missing baseline/edited impact analysis.</x:v>
      </x:c>
      <x:c r="X2930" s="6" t="str">
        <x:v>data/train/osm-way58216509/questions.jsonl</x:v>
      </x:c>
      <x:c r="Y2930" s="14" t="n">
        <x:v>8</x:v>
      </x:c>
      <x:c r="Z2930" s="6" t="str">
        <x:v>https://github.com/hagenhaeussler/Industrial-Agents-Hackathon-2026/blob/f41616590b69f3ea0c1cbfb41d6c35edd9ce53df/data/train/osm-way58216509/questions.jsonl#L8</x:v>
      </x:c>
      <x:c r="AA2930" s="6" t="str">
        <x:v>osm_indoor</x:v>
      </x:c>
      <x:c r="AB2930" s="6" t="str">
        <x:v>ODbL-1.0</x:v>
      </x:c>
    </x:row>
    <x:row r="2931" ht="82" customHeight="1">
      <x:c r="A2931" s="14" t="n">
        <x:v>2926</x:v>
      </x:c>
      <x:c r="B2931" s="6" t="str">
        <x:v>what_if_door</x:v>
      </x:c>
      <x:c r="C2931" s="6" t="str">
        <x:v>What if we add a door between Corridor 02.06.001 (Floor 2) and Corridor 2.402 (Floor 2), in the middle of the wall they share? How many rooms on the floor 3 would then have a shorter walk out of the building, to their nearest entrance, by more than 1 m? Finish with a line 'Answer: &lt;number&gt;'.</x:v>
      </x:c>
      <x:c r="D2931" s="6" t="str">
        <x:v>6 rooms</x:v>
      </x:c>
      <x:c r="E2931" s="6" t="str">
        <x:v>Reference supplied</x:v>
      </x:c>
      <x:c r="F2931" s="6" t="str">
        <x:v>dev</x:v>
      </x:c>
      <x:c r="G2931" s="6" t="str">
        <x:v>osm-way27917482</x:v>
      </x:c>
      <x:c r="H2931" s="6" t="str">
        <x:v>osm-way27917482-H08</x:v>
      </x:c>
      <x:c r="I2931" s="6" t="str">
        <x:v>Compound tasks and changes</x:v>
      </x:c>
      <x:c r="J2931" s="6" t="str">
        <x:v>Benchmark</x:v>
      </x:c>
      <x:c r="K2931" s="6" t="str">
        <x:v>Answer: &lt;one exact integer&gt;</x:v>
      </x:c>
      <x:c r="L2931" s="6" t="str">
        <x:v>T02, T04, T05, T11, T14</x:v>
      </x:c>
      <x:c r="M2931" s="6" t="str">
        <x:v>Count rooms on another floor whose walk to the nearest exit improves by more than 1 m after adding a door.</x:v>
      </x:c>
      <x:c r="N2931" s="6" t="str">
        <x:v>{"type":"number","value":6,"unit":"rooms","relative_tolerance":0,"absolute_tolerance":0}</x:v>
      </x:c>
      <x:c r="O2931" s="6" t="str">
        <x:v>{"first":"osm-way27917482-F2-S115","second":"osm-way27917482-F2-S402","door_floor_id":"osm-way27917482-F2","floor_id":"osm-way27917482-F3"}</x:v>
      </x:c>
      <x:c r="P2931" s="6" t="str">
        <x:v>Shared-wall midpoint. Temporary edit. Count another floor. Nearest exit. Improvement strictly &gt;1 m.</x:v>
      </x:c>
      <x:c r="Q2931" s="15" t="n">
        <x:v>6</x:v>
      </x:c>
      <x:c r="R2931" s="6" t="str">
        <x:v>rooms</x:v>
      </x:c>
      <x:c r="S2931" s="16" t="n">
        <x:v>0</x:v>
      </x:c>
      <x:c r="T2931" s="15" t="n">
        <x:v>0</x:v>
      </x:c>
      <x:c r="U2931" s="6" t="str">
        <x:v>Answer: 6</x:v>
      </x:c>
      <x:c r="V2931" s="6" t="str">
        <x:v>what-if edit with effects on another floor</x:v>
      </x:c>
      <x:c r="W2931" s="6" t="str">
        <x:v>Partial: add_door mutates state using nearest polygon points, not the shared-wall midpoint. Missing baseline/edited impact analysis.</x:v>
      </x:c>
      <x:c r="X2931" s="6" t="str">
        <x:v>data/dev/osm-way27917482/questions.jsonl</x:v>
      </x:c>
      <x:c r="Y2931" s="14" t="n">
        <x:v>8</x:v>
      </x:c>
      <x:c r="Z2931" s="6" t="str">
        <x:v>https://github.com/hagenhaeussler/Industrial-Agents-Hackathon-2026/blob/f41616590b69f3ea0c1cbfb41d6c35edd9ce53df/data/dev/osm-way27917482/questions.jsonl#L8</x:v>
      </x:c>
      <x:c r="AA2931" s="6" t="str">
        <x:v>osm_indoor</x:v>
      </x:c>
      <x:c r="AB2931" s="6" t="str">
        <x:v>ODbL-1.0</x:v>
      </x:c>
    </x:row>
    <x:row r="2932" ht="82" customHeight="1">
      <x:c r="A2932" s="14" t="n">
        <x:v>2927</x:v>
      </x:c>
      <x:c r="B2932" s="6" t="str">
        <x:v>what_if_door</x:v>
      </x:c>
      <x:c r="C2932" s="6" t="str">
        <x:v>What if we add a door between Generic room 00.13.010 (Ground floor) and Generic room 00.13.015 (Ground floor), in the middle of the wall they share? How many rooms on the basement 1 would then have a shorter walk out of the building, to their nearest entrance, by more than 1 m? Finish with a line 'Answer: &lt;number&gt;'.</x:v>
      </x:c>
      <x:c r="D2932" s="6" t="str">
        <x:v>2 rooms</x:v>
      </x:c>
      <x:c r="E2932" s="6" t="str">
        <x:v>Reference supplied</x:v>
      </x:c>
      <x:c r="F2932" s="6" t="str">
        <x:v>dev</x:v>
      </x:c>
      <x:c r="G2932" s="6" t="str">
        <x:v>osm-way27917482</x:v>
      </x:c>
      <x:c r="H2932" s="6" t="str">
        <x:v>osm-way27917482-H09</x:v>
      </x:c>
      <x:c r="I2932" s="6" t="str">
        <x:v>Compound tasks and changes</x:v>
      </x:c>
      <x:c r="J2932" s="6" t="str">
        <x:v>Benchmark</x:v>
      </x:c>
      <x:c r="K2932" s="6" t="str">
        <x:v>Answer: &lt;one exact integer&gt;</x:v>
      </x:c>
      <x:c r="L2932" s="6" t="str">
        <x:v>T02, T04, T05, T11, T14</x:v>
      </x:c>
      <x:c r="M2932" s="6" t="str">
        <x:v>Count rooms on another floor whose walk to the nearest exit improves by more than 1 m after adding a door.</x:v>
      </x:c>
      <x:c r="N2932" s="6" t="str">
        <x:v>{"type":"number","value":2,"unit":"rooms","relative_tolerance":0,"absolute_tolerance":0}</x:v>
      </x:c>
      <x:c r="O2932" s="6" t="str">
        <x:v>{"first":"osm-way27917482-F0-S170","second":"osm-way27917482-F0-S174","door_floor_id":"osm-way27917482-F0","floor_id":"osm-way27917482-F-1"}</x:v>
      </x:c>
      <x:c r="P2932" s="6" t="str">
        <x:v>Shared-wall midpoint. Temporary edit. Count another floor. Nearest exit. Improvement strictly &gt;1 m.</x:v>
      </x:c>
      <x:c r="Q2932" s="15" t="n">
        <x:v>2</x:v>
      </x:c>
      <x:c r="R2932" s="6" t="str">
        <x:v>rooms</x:v>
      </x:c>
      <x:c r="S2932" s="16" t="n">
        <x:v>0</x:v>
      </x:c>
      <x:c r="T2932" s="15" t="n">
        <x:v>0</x:v>
      </x:c>
      <x:c r="U2932" s="6" t="str">
        <x:v>Answer: 2</x:v>
      </x:c>
      <x:c r="V2932" s="6" t="str">
        <x:v>what-if edit with effects on another floor</x:v>
      </x:c>
      <x:c r="W2932" s="6" t="str">
        <x:v>Partial: add_door mutates state using nearest polygon points, not the shared-wall midpoint. Missing baseline/edited impact analysis.</x:v>
      </x:c>
      <x:c r="X2932" s="6" t="str">
        <x:v>data/dev/osm-way27917482/questions.jsonl</x:v>
      </x:c>
      <x:c r="Y2932" s="14" t="n">
        <x:v>9</x:v>
      </x:c>
      <x:c r="Z2932" s="6" t="str">
        <x:v>https://github.com/hagenhaeussler/Industrial-Agents-Hackathon-2026/blob/f41616590b69f3ea0c1cbfb41d6c35edd9ce53df/data/dev/osm-way27917482/questions.jsonl#L9</x:v>
      </x:c>
      <x:c r="AA2932" s="6" t="str">
        <x:v>osm_indoor</x:v>
      </x:c>
      <x:c r="AB2932" s="6" t="str">
        <x:v>ODbL-1.0</x:v>
      </x:c>
    </x:row>
    <x:row r="2933" ht="82" customHeight="1">
      <x:c r="A2933" s="14" t="n">
        <x:v>2928</x:v>
      </x:c>
      <x:c r="B2933" s="6" t="str">
        <x:v>what_if_door</x:v>
      </x:c>
      <x:c r="C2933" s="6" t="str">
        <x:v>What if we add a door between Generic room N0808 (Ground floor) and Generic room N0809 (Ground floor), in the middle of the wall they share? How many rooms on the floor 3 would then have a shorter walk out of the building, to their nearest entrance, by more than 1 m? Finish with a line 'Answer: &lt;number&gt;'.</x:v>
      </x:c>
      <x:c r="D2933" s="6" t="str">
        <x:v>Withheld in public test data. No reference answer supplied.</x:v>
      </x:c>
      <x:c r="E2933" s="6" t="str">
        <x:v>Withheld</x:v>
      </x:c>
      <x:c r="F2933" s="6" t="str">
        <x:v>test</x:v>
      </x:c>
      <x:c r="G2933" s="6" t="str">
        <x:v>osm-way43035346</x:v>
      </x:c>
      <x:c r="H2933" s="6" t="str">
        <x:v>osm-way43035346-H07</x:v>
      </x:c>
      <x:c r="I2933" s="6" t="str">
        <x:v>Compound tasks and changes</x:v>
      </x:c>
      <x:c r="J2933" s="6" t="str">
        <x:v>Benchmark</x:v>
      </x:c>
      <x:c r="K2933" s="6" t="str">
        <x:v>Answer: &lt;one exact integer&gt;</x:v>
      </x:c>
      <x:c r="L2933" s="6" t="str">
        <x:v>T02, T04, T05, T11, T14</x:v>
      </x:c>
      <x:c r="M2933" s="6" t="str">
        <x:v>Count rooms on another floor whose walk to the nearest exit improves by more than 1 m after adding a door.</x:v>
      </x:c>
      <x:c r="N2933" s="6"/>
      <x:c r="O2933" s="6"/>
      <x:c r="P2933" s="6" t="str">
        <x:v>Shared-wall midpoint. Temporary edit. Count another floor. Nearest exit. Improvement strictly &gt;1 m.</x:v>
      </x:c>
      <x:c r="Q2933" s="15"/>
      <x:c r="R2933" s="6"/>
      <x:c r="S2933" s="16"/>
      <x:c r="T2933" s="15"/>
      <x:c r="U2933" s="6"/>
      <x:c r="V2933" s="6"/>
      <x:c r="W2933" s="6" t="str">
        <x:v>Partial: add_door mutates state using nearest polygon points, not the shared-wall midpoint. Missing baseline/edited impact analysis.</x:v>
      </x:c>
      <x:c r="X2933" s="6" t="str">
        <x:v>data/test/osm-way43035346/questions.jsonl</x:v>
      </x:c>
      <x:c r="Y2933" s="14" t="n">
        <x:v>7</x:v>
      </x:c>
      <x:c r="Z2933" s="6" t="str">
        <x:v>https://github.com/hagenhaeussler/Industrial-Agents-Hackathon-2026/blob/f41616590b69f3ea0c1cbfb41d6c35edd9ce53df/data/test/osm-way43035346/questions.jsonl#L7</x:v>
      </x:c>
      <x:c r="AA2933" s="6" t="str">
        <x:v>osm_indoor</x:v>
      </x:c>
      <x:c r="AB2933" s="6" t="str">
        <x:v>ODbL-1.0</x:v>
      </x:c>
    </x:row>
    <x:row r="2934" ht="82" customHeight="1">
      <x:c r="A2934" s="14" t="n">
        <x:v>2929</x:v>
      </x:c>
      <x:c r="B2934" s="6" t="str">
        <x:v>what_if_door</x:v>
      </x:c>
      <x:c r="C2934" s="6" t="str">
        <x:v>What if we add a door between Corridor 0263 (Ground floor) and Corridor 0244 (Ground floor), in the middle of the wall they share? How many rooms on the basement 1 would then have a shorter walk out of the building, to their nearest entrance, by more than 1 m? Finish with a line 'Answer: &lt;number&gt;'.</x:v>
      </x:c>
      <x:c r="D2934" s="6" t="str">
        <x:v>Withheld in public test data. No reference answer supplied.</x:v>
      </x:c>
      <x:c r="E2934" s="6" t="str">
        <x:v>Withheld</x:v>
      </x:c>
      <x:c r="F2934" s="6" t="str">
        <x:v>test</x:v>
      </x:c>
      <x:c r="G2934" s="6" t="str">
        <x:v>osm-way50300147</x:v>
      </x:c>
      <x:c r="H2934" s="6" t="str">
        <x:v>osm-way50300147-H09</x:v>
      </x:c>
      <x:c r="I2934" s="6" t="str">
        <x:v>Compound tasks and changes</x:v>
      </x:c>
      <x:c r="J2934" s="6" t="str">
        <x:v>Benchmark</x:v>
      </x:c>
      <x:c r="K2934" s="6" t="str">
        <x:v>Answer: &lt;one exact integer&gt;</x:v>
      </x:c>
      <x:c r="L2934" s="6" t="str">
        <x:v>T02, T04, T05, T11, T14</x:v>
      </x:c>
      <x:c r="M2934" s="6" t="str">
        <x:v>Count rooms on another floor whose walk to the nearest exit improves by more than 1 m after adding a door.</x:v>
      </x:c>
      <x:c r="N2934" s="6"/>
      <x:c r="O2934" s="6"/>
      <x:c r="P2934" s="6" t="str">
        <x:v>Shared-wall midpoint. Temporary edit. Count another floor. Nearest exit. Improvement strictly &gt;1 m.</x:v>
      </x:c>
      <x:c r="Q2934" s="15"/>
      <x:c r="R2934" s="6"/>
      <x:c r="S2934" s="16"/>
      <x:c r="T2934" s="15"/>
      <x:c r="U2934" s="6"/>
      <x:c r="V2934" s="6"/>
      <x:c r="W2934" s="6" t="str">
        <x:v>Partial: add_door mutates state using nearest polygon points, not the shared-wall midpoint. Missing baseline/edited impact analysis.</x:v>
      </x:c>
      <x:c r="X2934" s="6" t="str">
        <x:v>data/test/osm-way50300147/questions.jsonl</x:v>
      </x:c>
      <x:c r="Y2934" s="14" t="n">
        <x:v>9</x:v>
      </x:c>
      <x:c r="Z2934" s="6" t="str">
        <x:v>https://github.com/hagenhaeussler/Industrial-Agents-Hackathon-2026/blob/f41616590b69f3ea0c1cbfb41d6c35edd9ce53df/data/test/osm-way50300147/questions.jsonl#L9</x:v>
      </x:c>
      <x:c r="AA2934" s="6" t="str">
        <x:v>osm_indoor</x:v>
      </x:c>
      <x:c r="AB2934" s="6" t="str">
        <x:v>ODbL-1.0</x:v>
      </x:c>
    </x:row>
    <x:row r="2935" ht="82" customHeight="1">
      <x:c r="A2935" s="14" t="n">
        <x:v>2930</x:v>
      </x:c>
      <x:c r="B2935" s="6" t="str">
        <x:v>what_if_door</x:v>
      </x:c>
      <x:c r="C2935" s="6" t="str">
        <x:v>What if we add a door between Lobby 0.01 (Ground floor) and Generic room 0293 (Ground floor), in the middle of the wall they share? How many rooms on the basement 1 would then have a shorter walk out of the building, to their nearest entrance, by more than 1 m? Finish with a line 'Answer: &lt;number&gt;'.</x:v>
      </x:c>
      <x:c r="D2935" s="6" t="str">
        <x:v>Withheld in public test data. No reference answer supplied.</x:v>
      </x:c>
      <x:c r="E2935" s="6" t="str">
        <x:v>Withheld</x:v>
      </x:c>
      <x:c r="F2935" s="6" t="str">
        <x:v>test</x:v>
      </x:c>
      <x:c r="G2935" s="6" t="str">
        <x:v>osm-way50300147</x:v>
      </x:c>
      <x:c r="H2935" s="6" t="str">
        <x:v>osm-way50300147-H10</x:v>
      </x:c>
      <x:c r="I2935" s="6" t="str">
        <x:v>Compound tasks and changes</x:v>
      </x:c>
      <x:c r="J2935" s="6" t="str">
        <x:v>Benchmark</x:v>
      </x:c>
      <x:c r="K2935" s="6" t="str">
        <x:v>Answer: &lt;one exact integer&gt;</x:v>
      </x:c>
      <x:c r="L2935" s="6" t="str">
        <x:v>T02, T04, T05, T11, T14</x:v>
      </x:c>
      <x:c r="M2935" s="6" t="str">
        <x:v>Count rooms on another floor whose walk to the nearest exit improves by more than 1 m after adding a door.</x:v>
      </x:c>
      <x:c r="N2935" s="6"/>
      <x:c r="O2935" s="6"/>
      <x:c r="P2935" s="6" t="str">
        <x:v>Shared-wall midpoint. Temporary edit. Count another floor. Nearest exit. Improvement strictly &gt;1 m.</x:v>
      </x:c>
      <x:c r="Q2935" s="15"/>
      <x:c r="R2935" s="6"/>
      <x:c r="S2935" s="16"/>
      <x:c r="T2935" s="15"/>
      <x:c r="U2935" s="6"/>
      <x:c r="V2935" s="6"/>
      <x:c r="W2935" s="6" t="str">
        <x:v>Partial: add_door mutates state using nearest polygon points, not the shared-wall midpoint. Missing baseline/edited impact analysis.</x:v>
      </x:c>
      <x:c r="X2935" s="6" t="str">
        <x:v>data/test/osm-way50300147/questions.jsonl</x:v>
      </x:c>
      <x:c r="Y2935" s="14" t="n">
        <x:v>10</x:v>
      </x:c>
      <x:c r="Z2935" s="6" t="str">
        <x:v>https://github.com/hagenhaeussler/Industrial-Agents-Hackathon-2026/blob/f41616590b69f3ea0c1cbfb41d6c35edd9ce53df/data/test/osm-way50300147/questions.jsonl#L10</x:v>
      </x:c>
      <x:c r="AA2935" s="6" t="str">
        <x:v>osm_indoor</x:v>
      </x:c>
      <x:c r="AB2935" s="6" t="str">
        <x:v>ODbL-1.0</x:v>
      </x:c>
    </x:row>
  </x:sheetData>
  <x:conditionalFormatting sqref="E6:E2935">
    <x:cfRule type="containsText" dxfId="0" priority="1" operator="containsText" text="Withheld"/>
  </x:conditionalFormatting>
  <x:pageMargins left="0.7" right="0.7" top="0.75" bottom="0.75" header="0.3" footer="0.3"/>
  <x:tableParts count="1">
    <x:tablePart xmlns:r="http://schemas.openxmlformats.org/officeDocument/2006/relationships" r:id="Rb62beb716be54598"/>
  </x:tableParts>
</x:worksheet>
</file>

<file path=xl/worksheets/sheet4.xml><?xml version="1.0" encoding="utf-8"?>
<x:worksheet xmlns:x="http://schemas.openxmlformats.org/spreadsheetml/2006/main">
  <x:sheetPr>
    <x:tabColor rgb="FF6C4CA0"/>
  </x:sheetPr>
  <x:sheetViews>
    <x:sheetView showGridLines="0" workbookViewId="0">
      <x:pane xSplit="2" ySplit="5" topLeftCell="C6" activePane="bottomRight" state="frozen"/>
    </x:sheetView>
  </x:sheetViews>
  <x:sheetFormatPr defaultRowHeight="15"/>
  <x:cols>
    <x:col min="1" max="1" width="10" hidden="0" customWidth="1"/>
    <x:col min="2" max="2" width="30" hidden="0" customWidth="1"/>
    <x:col min="3" max="3" width="64" hidden="0" customWidth="1"/>
    <x:col min="4" max="4" width="72" hidden="0" customWidth="1"/>
    <x:col min="5" max="5" width="70" hidden="0" customWidth="1"/>
    <x:col min="6" max="6" width="78" hidden="0" customWidth="1"/>
    <x:col min="7" max="7" width="90" hidden="0" customWidth="1"/>
    <x:col min="8" max="8" width="100" hidden="0" customWidth="1"/>
    <x:col min="9" max="9" width="85" hidden="0" customWidth="1"/>
    <x:col min="10" max="10" width="23" hidden="0" customWidth="1"/>
    <x:col min="11" max="11" width="22" hidden="0" customWidth="1"/>
    <x:col min="12" max="12" width="23" hidden="0" customWidth="1"/>
  </x:cols>
  <x:sheetData>
    <x:row r="1" ht="9" customHeight="1">
      <x:c r="A1" s="2"/>
      <x:c r="B1" s="2"/>
      <x:c r="C1" s="2"/>
      <x:c r="D1" s="2"/>
      <x:c r="E1" s="2"/>
      <x:c r="F1" s="2"/>
      <x:c r="G1" s="2"/>
      <x:c r="H1" s="2"/>
      <x:c r="I1" s="2"/>
      <x:c r="J1" s="2"/>
      <x:c r="K1" s="2"/>
      <x:c r="L1" s="2"/>
    </x:row>
    <x:row r="2" ht="22" customHeight="1">
      <x:c r="A2" s="3" t="str">
        <x:v>Agent skills and proposed tool contracts</x:v>
      </x:c>
      <x:c r="B2" s="2"/>
      <x:c r="C2" s="2"/>
      <x:c r="D2" s="2"/>
      <x:c r="E2" s="2"/>
      <x:c r="F2" s="2"/>
      <x:c r="G2" s="2"/>
      <x:c r="H2" s="2"/>
      <x:c r="I2" s="2"/>
      <x:c r="J2" s="2"/>
      <x:c r="K2" s="2"/>
      <x:c r="L2" s="2"/>
    </x:row>
    <x:row r="3" ht="22" customHeight="1">
      <x:c r="A3" s="4"/>
      <x:c r="B3" s="4"/>
      <x:c r="C3" s="4"/>
      <x:c r="D3" s="4"/>
      <x:c r="E3" s="4"/>
      <x:c r="F3" s="4"/>
      <x:c r="G3" s="4"/>
      <x:c r="H3" s="4"/>
      <x:c r="I3" s="2"/>
      <x:c r="J3" s="2"/>
      <x:c r="K3" s="2"/>
      <x:c r="L3" s="2"/>
    </x:row>
    <x:row r="4" ht="22" customHeight="1">
      <x:c r="A4" s="2"/>
      <x:c r="B4" s="2"/>
      <x:c r="C4" s="2"/>
      <x:c r="D4" s="2"/>
      <x:c r="E4" s="2"/>
      <x:c r="F4" s="2"/>
      <x:c r="G4" s="2"/>
      <x:c r="H4" s="2"/>
      <x:c r="I4" s="2"/>
      <x:c r="J4" s="2"/>
      <x:c r="K4" s="17" t="str">
        <x:v>Counts overlap across tools.</x:v>
      </x:c>
      <x:c r="L4" s="17"/>
    </x:row>
    <x:row r="5" ht="34" customHeight="1">
      <x:c r="A5" s="11" t="str">
        <x:v>Tool ID</x:v>
      </x:c>
      <x:c r="B5" s="12" t="str">
        <x:v>Proposed tool</x:v>
      </x:c>
      <x:c r="C5" s="12" t="str">
        <x:v>Purpose</x:v>
      </x:c>
      <x:c r="D5" s="12" t="str">
        <x:v>Inputs</x:v>
      </x:c>
      <x:c r="E5" s="12" t="str">
        <x:v>Outputs</x:v>
      </x:c>
      <x:c r="F5" s="12" t="str">
        <x:v>Used by question kinds</x:v>
      </x:c>
      <x:c r="G5" s="12" t="str">
        <x:v>Current starter support / gap</x:v>
      </x:c>
      <x:c r="H5" s="12" t="str">
        <x:v>Deterministic implementation</x:v>
      </x:c>
      <x:c r="I5" s="12" t="str">
        <x:v>Failure handling</x:v>
      </x:c>
      <x:c r="J5" s="12" t="str">
        <x:v>Implementation order</x:v>
      </x:c>
      <x:c r="K5" s="12" t="str">
        <x:v>Observed questions</x:v>
      </x:c>
      <x:c r="L5" s="13" t="str">
        <x:v>Benchmark questions</x:v>
      </x:c>
    </x:row>
    <x:row r="6" ht="42" customHeight="1">
      <x:c r="A6" s="6" t="str">
        <x:v>T01</x:v>
      </x:c>
      <x:c r="B6" s="6" t="str">
        <x:v>describe_building</x:v>
      </x:c>
      <x:c r="C6" s="6" t="str">
        <x:v>Expose identity, schema, floor levels, entrances and current version.</x:v>
      </x:c>
      <x:c r="D6" s="6" t="str">
        <x:v>building_id, version</x:v>
      </x:c>
      <x:c r="E6" s="6" t="str">
        <x:v>floors, entrances, connector IDs, source, units, validation warnings</x:v>
      </x:c>
      <x:c r="F6" s="6" t="str">
        <x:v>All kinds</x:v>
      </x:c>
      <x:c r="G6" s="6" t="str">
        <x:v>Partial: building_overview exists. Add schema/units/version and explicit validation warnings.</x:v>
      </x:c>
      <x:c r="H6" s="6" t="str">
        <x:v>Query authoritative model once. Never memorize building-specific answers.</x:v>
      </x:c>
      <x:c r="I6" s="6" t="str">
        <x:v>Return unknown building or invalid schema explicitly.</x:v>
      </x:c>
      <x:c r="J6" s="6" t="str">
        <x:v>Foundation</x:v>
      </x:c>
      <x:c r="K6" s="6" t="n">
        <x:v>2930</x:v>
      </x:c>
      <x:c r="L6" s="6" t="n">
        <x:v>800</x:v>
      </x:c>
    </x:row>
    <x:row r="7" ht="42" customHeight="1">
      <x:c r="A7" s="6" t="str">
        <x:v>T02</x:v>
      </x:c>
      <x:c r="B7" s="6" t="str">
        <x:v>resolve_entities</x:v>
      </x:c>
      <x:c r="C7" s="6" t="str">
        <x:v>Resolve text to stable room, asset, floor and connector IDs.</x:v>
      </x:c>
      <x:c r="D7" s="6" t="str">
        <x:v>building_id, query, entity_type, optional floor</x:v>
      </x:c>
      <x:c r="E7" s="6" t="str">
        <x:v>ranked matches, exact IDs, total matches, ambiguity</x:v>
      </x:c>
      <x:c r="F7" s="6" t="str">
        <x:v>All kinds</x:v>
      </x:c>
      <x:c r="G7" s="6" t="str">
        <x:v>Partial: search_building and resolve_space. Search output capped at 15.</x:v>
      </x:c>
      <x:c r="H7" s="6" t="str">
        <x:v>Normalize aliases and floor names. Use exact refs where unique. Support pagination.</x:v>
      </x:c>
      <x:c r="I7" s="6" t="str">
        <x:v>Ask one targeted clarification when multiple candidates remain.</x:v>
      </x:c>
      <x:c r="J7" s="6" t="str">
        <x:v>Foundation</x:v>
      </x:c>
      <x:c r="K7" s="6" t="n">
        <x:v>2930</x:v>
      </x:c>
      <x:c r="L7" s="6" t="n">
        <x:v>800</x:v>
      </x:c>
    </x:row>
    <x:row r="8" ht="42" customHeight="1">
      <x:c r="A8" s="6" t="str">
        <x:v>T03</x:v>
      </x:c>
      <x:c r="B8" s="6" t="str">
        <x:v>query_assets</x:v>
      </x:c>
      <x:c r="C8" s="6" t="str">
        <x:v>Find complete typed asset sets and exact counts.</x:v>
      </x:c>
      <x:c r="D8" s="6" t="str">
        <x:v>asset_type, optional floor_id/space_id, page</x:v>
      </x:c>
      <x:c r="E8" s="6" t="str">
        <x:v>matching assets, containing spaces, exact count</x:v>
      </x:c>
      <x:c r="F8" s="6" t="str">
        <x:v>locate, count, errand</x:v>
      </x:c>
      <x:c r="G8" s="6" t="str">
        <x:v>Partial: assets loaded and search exists. No typed aggregation tool.</x:v>
      </x:c>
      <x:c r="H8" s="6" t="str">
        <x:v>Filter full assets collection. Return compact complete counts separately from paginated rows.</x:v>
      </x:c>
      <x:c r="I8" s="6" t="str">
        <x:v>Distinguish no matches from failed query.</x:v>
      </x:c>
      <x:c r="J8" s="6" t="str">
        <x:v>Core</x:v>
      </x:c>
      <x:c r="K8" s="6" t="n">
        <x:v>905</x:v>
      </x:c>
      <x:c r="L8" s="6" t="n">
        <x:v>113</x:v>
      </x:c>
    </x:row>
    <x:row r="9" ht="42" customHeight="1">
      <x:c r="A9" s="6" t="str">
        <x:v>T04</x:v>
      </x:c>
      <x:c r="B9" s="6" t="str">
        <x:v>measure_rooms</x:v>
      </x:c>
      <x:c r="C9" s="6" t="str">
        <x:v>Return polygon areas/centroids, select largest rooms and sum areas.</x:v>
      </x:c>
      <x:c r="D9" s="6" t="str">
        <x:v>floor_id, room_type, operation, optional space IDs</x:v>
      </x:c>
      <x:c r="E9" s="6" t="str">
        <x:v>space IDs, labels, area_m2, centroid_xy, sum or maximum</x:v>
      </x:c>
      <x:c r="F9" s="6" t="str">
        <x:v>largest_room, floor_area_total, errand, straight_line_3d, what_if_door</x:v>
      </x:c>
      <x:c r="G9" s="6" t="str">
        <x:v>Gap: no exposed geometry tool. Shapely is already a project dependency.</x:v>
      </x:c>
      <x:c r="H9" s="6" t="str">
        <x:v>Area from polygon. Centroid for 3D questions. Representative point only for README route anchors.</x:v>
      </x:c>
      <x:c r="I9" s="6" t="str">
        <x:v>Validate polygons and report malformed geometry. Do not substitute bounding boxes.</x:v>
      </x:c>
      <x:c r="J9" s="6" t="str">
        <x:v>Core</x:v>
      </x:c>
      <x:c r="K9" s="6" t="n">
        <x:v>496</x:v>
      </x:c>
      <x:c r="L9" s="6" t="n">
        <x:v>496</x:v>
      </x:c>
    </x:row>
    <x:row r="10" ht="42" customHeight="1">
      <x:c r="A10" s="6" t="str">
        <x:v>T05</x:v>
      </x:c>
      <x:c r="B10" s="6" t="str">
        <x:v>route</x:v>
      </x:c>
      <x:c r="C10" s="6" t="str">
        <x:v>Compute paths with explicit cost profile and constraints.</x:v>
      </x:c>
      <x:c r="D10" s="6" t="str">
        <x:v>start, target, ordered via, cost_profile, step_free, min_width, closures, optional vehicle</x:v>
      </x:c>
      <x:c r="E10" s="6" t="str">
        <x:v>reachable, ordered space_ids, element_ids, model cost, profile, directions</x:v>
      </x:c>
      <x:c r="F10" s="6" t="str">
        <x:v>route, route_step_free, route_with_closure, tour, errand, wide_delivery_count, step_free_reachable_count, what_if_door</x:v>
      </x:c>
      <x:c r="G10" s="6" t="str">
        <x:v>Partial: find_route covers README, via and step_free. Missing width/vehicle filters and later geodesic model.</x:v>
      </x:c>
      <x:c r="H10" s="6" t="str">
        <x:v>README MultiGraph for supplied labels. Separate portal/geodesic router for later announced route checks.</x:v>
      </x:c>
      <x:c r="I10" s="6" t="str">
        <x:v>No valid route is an explicit result. Keep parallel lift/stair choices.</x:v>
      </x:c>
      <x:c r="J10" s="6" t="str">
        <x:v>Core</x:v>
      </x:c>
      <x:c r="K10" s="6" t="n">
        <x:v>1558</x:v>
      </x:c>
      <x:c r="L10" s="6" t="n">
        <x:v>220</x:v>
      </x:c>
    </x:row>
    <x:row r="11" ht="42" customHeight="1">
      <x:c r="A11" s="6" t="str">
        <x:v>T06</x:v>
      </x:c>
      <x:c r="B11" s="6" t="str">
        <x:v>reachable_rooms</x:v>
      </x:c>
      <x:c r="C11" s="6" t="str">
        <x:v>Count all reachable target-floor rooms under constraints.</x:v>
      </x:c>
      <x:c r="D11" s="6" t="str">
        <x:v>start, target floor, step_free, min_width, closures</x:v>
      </x:c>
      <x:c r="E11" s="6" t="str">
        <x:v>reachable room IDs, exact count, excluded transitions</x:v>
      </x:c>
      <x:c r="F11" s="6" t="str">
        <x:v>wide_delivery_count, step_free_reachable_count</x:v>
      </x:c>
      <x:c r="G11" s="6" t="str">
        <x:v>Gap: point-to-point routing exists but aggregate traversal is missing.</x:v>
      </x:c>
      <x:c r="H11" s="6" t="str">
        <x:v>Filter graph once and traverse once. Count type=room only.</x:v>
      </x:c>
      <x:c r="I11" s="6" t="str">
        <x:v>Preserve empty result as a valid zero. Reject unknown start/floor.</x:v>
      </x:c>
      <x:c r="J11" s="6" t="str">
        <x:v>Core</x:v>
      </x:c>
      <x:c r="K11" s="6" t="n">
        <x:v>100</x:v>
      </x:c>
      <x:c r="L11" s="6" t="n">
        <x:v>100</x:v>
      </x:c>
    </x:row>
    <x:row r="12" ht="42" customHeight="1">
      <x:c r="A12" s="6" t="str">
        <x:v>T07</x:v>
      </x:c>
      <x:c r="B12" s="6" t="str">
        <x:v>plan_errand</x:v>
      </x:c>
      <x:c r="C12" s="6" t="str">
        <x:v>Select nearest pickup, largest delivery room and two-leg route.</x:v>
      </x:c>
      <x:c r="D12" s="6" t="str">
        <x:v>start, asset_type, target floor, room_type, cost_profile</x:v>
      </x:c>
      <x:c r="E12" s="6" t="str">
        <x:v>pickup space, target space, leg paths, total metres</x:v>
      </x:c>
      <x:c r="F12" s="6" t="str">
        <x:v>errand</x:v>
      </x:c>
      <x:c r="G12" s="6" t="str">
        <x:v>Gap: composition missing; route primitive exists.</x:v>
      </x:c>
      <x:c r="H12" s="6" t="str">
        <x:v>Compare route distances to every candidate pickup room, then choose largest destination and sum legs.</x:v>
      </x:c>
      <x:c r="I12" s="6" t="str">
        <x:v>Do not silently replace nearest-pickup semantics with best-total-trip semantics.</x:v>
      </x:c>
      <x:c r="J12" s="6" t="str">
        <x:v>Core</x:v>
      </x:c>
      <x:c r="K12" s="6" t="n">
        <x:v>113</x:v>
      </x:c>
      <x:c r="L12" s="6" t="n">
        <x:v>113</x:v>
      </x:c>
    </x:row>
    <x:row r="13" ht="42" customHeight="1">
      <x:c r="A13" s="6" t="str">
        <x:v>T08</x:v>
      </x:c>
      <x:c r="B13" s="6" t="str">
        <x:v>shared_wall_neighbors</x:v>
      </x:c>
      <x:c r="C13" s="6" t="str">
        <x:v>Find rooms sharing the required wall run.</x:v>
      </x:c>
      <x:c r="D13" s="6" t="str">
        <x:v>space_id, min_shared_m=1, proximity_m=0.35</x:v>
      </x:c>
      <x:c r="E13" s="6" t="str">
        <x:v>neighbor IDs, shared lengths, exact count</x:v>
      </x:c>
      <x:c r="F13" s="6" t="str">
        <x:v>shared_walls_count</x:v>
      </x:c>
      <x:c r="G13" s="6" t="str">
        <x:v>Gap: no spatial boundary-neighbor tool.</x:v>
      </x:c>
      <x:c r="H13" s="6" t="str">
        <x:v>Boundary geometry with wall thickness tolerance, same floor and type=room filter.</x:v>
      </x:c>
      <x:c r="I13" s="6" t="str">
        <x:v>Corner contact is not 1 m of wall. Count each neighbor once.</x:v>
      </x:c>
      <x:c r="J13" s="6" t="str">
        <x:v>Core</x:v>
      </x:c>
      <x:c r="K13" s="6" t="n">
        <x:v>169</x:v>
      </x:c>
      <x:c r="L13" s="6" t="n">
        <x:v>169</x:v>
      </x:c>
    </x:row>
    <x:row r="14" ht="42" customHeight="1">
      <x:c r="A14" s="6" t="str">
        <x:v>T09</x:v>
      </x:c>
      <x:c r="B14" s="6" t="str">
        <x:v>stacked_room</x:v>
      </x:c>
      <x:c r="C14" s="6" t="str">
        <x:v>Find room with greatest overlap on the next floor.</x:v>
      </x:c>
      <x:c r="D14" s="6" t="str">
        <x:v>space_id, direction</x:v>
      </x:c>
      <x:c r="E14" s="6" t="str">
        <x:v>target room ID/label, overlap area, floor</x:v>
      </x:c>
      <x:c r="F14" s="6" t="str">
        <x:v>room_stacked</x:v>
      </x:c>
      <x:c r="G14" s="6" t="str">
        <x:v>Gap: no cross-floor overlap tool.</x:v>
      </x:c>
      <x:c r="H14" s="6" t="str">
        <x:v>Select adjacent floor in vertical order, then rank polygon intersection areas.</x:v>
      </x:c>
      <x:c r="I14" s="6" t="str">
        <x:v>Check shared XY frame. Report ambiguity or unavailable alignment.</x:v>
      </x:c>
      <x:c r="J14" s="6" t="str">
        <x:v>Core</x:v>
      </x:c>
      <x:c r="K14" s="6" t="n">
        <x:v>35</x:v>
      </x:c>
      <x:c r="L14" s="6" t="n">
        <x:v>35</x:v>
      </x:c>
    </x:row>
    <x:row r="15" ht="42" customHeight="1">
      <x:c r="A15" s="6" t="str">
        <x:v>T10</x:v>
      </x:c>
      <x:c r="B15" s="6" t="str">
        <x:v>distance_3d</x:v>
      </x:c>
      <x:c r="C15" s="6" t="str">
        <x:v>Measure centroid-to-centroid straight-line distance.</x:v>
      </x:c>
      <x:c r="D15" s="6" t="str">
        <x:v>first space_id, second space_id</x:v>
      </x:c>
      <x:c r="E15" s="6" t="str">
        <x:v>centroids_xyz, distance_m</x:v>
      </x:c>
      <x:c r="F15" s="6" t="str">
        <x:v>straight_line_3d</x:v>
      </x:c>
      <x:c r="G15" s="6" t="str">
        <x:v>Gap: no 3D metric tool.</x:v>
      </x:c>
      <x:c r="H15" s="6" t="str">
        <x:v>Euclidean distance using polygon centroids and actual floor elevation_m.</x:v>
      </x:c>
      <x:c r="I15" s="6" t="str">
        <x:v>Do not use representative route anchors or assumed storey heights.</x:v>
      </x:c>
      <x:c r="J15" s="6" t="str">
        <x:v>Core</x:v>
      </x:c>
      <x:c r="K15" s="6" t="n">
        <x:v>45</x:v>
      </x:c>
      <x:c r="L15" s="6" t="n">
        <x:v>45</x:v>
      </x:c>
    </x:row>
    <x:row r="16" ht="42" customHeight="1">
      <x:c r="A16" s="6" t="str">
        <x:v>T11</x:v>
      </x:c>
      <x:c r="B16" s="6" t="str">
        <x:v>simulate_door_impact</x:v>
      </x:c>
      <x:c r="C16" s="6" t="str">
        <x:v>Compare nearest-exit distances before and after a hypothetical door.</x:v>
      </x:c>
      <x:c r="D16" s="6" t="str">
        <x:v>two same-floor spaces, target floor, improvement_m=1, cost_profile</x:v>
      </x:c>
      <x:c r="E16" s="6" t="str">
        <x:v>door position, changed room IDs, before/after costs, count</x:v>
      </x:c>
      <x:c r="F16" s="6" t="str">
        <x:v>what_if_door</x:v>
      </x:c>
      <x:c r="G16" s="6" t="str">
        <x:v>Partial: add_door exists but mutates state and uses nearest points.</x:v>
      </x:c>
      <x:c r="H16" s="6" t="str">
        <x:v>Shared-wall midpoint, temporary graph overlay, unrounded distance deltas and strict &gt; threshold.</x:v>
      </x:c>
      <x:c r="I16" s="6" t="str">
        <x:v>Return invalid shared wall explicitly. Preserve baseline state.</x:v>
      </x:c>
      <x:c r="J16" s="6" t="str">
        <x:v>Core</x:v>
      </x:c>
      <x:c r="K16" s="6" t="n">
        <x:v>7</x:v>
      </x:c>
      <x:c r="L16" s="6" t="n">
        <x:v>7</x:v>
      </x:c>
    </x:row>
    <x:row r="17" ht="42" customHeight="1">
      <x:c r="A17" s="6" t="str">
        <x:v>T12</x:v>
      </x:c>
      <x:c r="B17" s="6" t="str">
        <x:v>propose_and_commit_edit</x:v>
      </x:c>
      <x:c r="C17" s="6" t="str">
        <x:v>Manage closures, door changes, confirmation and undo for live conversations.</x:v>
      </x:c>
      <x:c r="D17" s="6" t="str">
        <x:v>building_id, expected_version, edit payload, proposal_id, confirmation</x:v>
      </x:c>
      <x:c r="E17" s="6" t="str">
        <x:v>preview, impact, new version, event ID, undo token</x:v>
      </x:c>
      <x:c r="F17" s="6" t="str">
        <x:v>route_with_closure, what_if_door; live edits</x:v>
      </x:c>
      <x:c r="G17" s="6" t="str">
        <x:v>Partial: set_closed/add_door exist. Missing proposal/commit/undo/version lifecycle in inspected starter.</x:v>
      </x:c>
      <x:c r="H17" s="6" t="str">
        <x:v>Validate edits deterministically. Make commits idempotent. Use temporary overlays for hypothetical questions.</x:v>
      </x:c>
      <x:c r="I17" s="6" t="str">
        <x:v>Reject stale version. A what-if question must not imply a persistent commit.</x:v>
      </x:c>
      <x:c r="J17" s="6" t="str">
        <x:v>Live interaction</x:v>
      </x:c>
      <x:c r="K17" s="6" t="n">
        <x:v>138</x:v>
      </x:c>
      <x:c r="L17" s="6" t="n">
        <x:v>0</x:v>
      </x:c>
    </x:row>
    <x:row r="18" ht="42" customHeight="1">
      <x:c r="A18" s="6" t="str">
        <x:v>T13</x:v>
      </x:c>
      <x:c r="B18" s="6" t="str">
        <x:v>show_results</x:v>
      </x:c>
      <x:c r="C18" s="6" t="str">
        <x:v>Display resolved rooms, routes and hypothetical edits.</x:v>
      </x:c>
      <x:c r="D18" s="6" t="str">
        <x:v>building/version, space IDs, route geometry, overlay</x:v>
      </x:c>
      <x:c r="E18" s="6" t="str">
        <x:v>map highlights, ordered instructions, optional floor images</x:v>
      </x:c>
      <x:c r="F18" s="6" t="str">
        <x:v>locate, route, route_step_free, route_with_closure, tour; live interaction</x:v>
      </x:c>
      <x:c r="G18" s="6" t="str">
        <x:v>Partial: show_route renders last route as PNG. Search highlights and rich live overlays need work.</x:v>
      </x:c>
      <x:c r="H18" s="6" t="str">
        <x:v>Draw from deterministic results. Tie UI state to the same building version.</x:v>
      </x:c>
      <x:c r="I18" s="6" t="str">
        <x:v>Keep no-route messages consistent with map. Avoid fabricated path geometry.</x:v>
      </x:c>
      <x:c r="J18" s="6" t="str">
        <x:v>Live interaction</x:v>
      </x:c>
      <x:c r="K18" s="6" t="n">
        <x:v>1338</x:v>
      </x:c>
      <x:c r="L18" s="6" t="n">
        <x:v>0</x:v>
      </x:c>
    </x:row>
    <x:row r="19" ht="42" customHeight="1">
      <x:c r="A19" s="6" t="str">
        <x:v>T14</x:v>
      </x:c>
      <x:c r="B19" s="6" t="str">
        <x:v>serialize_and_check_answer</x:v>
      </x:c>
      <x:c r="C19" s="6" t="str">
        <x:v>Produce and validate the appropriate answer contract.</x:v>
      </x:c>
      <x:c r="D19" s="6" t="str">
        <x:v>question kind, deterministic result, evaluation profile</x:v>
      </x:c>
      <x:c r="E19" s="6" t="str">
        <x:v>full reply, committed Answer line or ordered route payload</x:v>
      </x:c>
      <x:c r="F19" s="6" t="str">
        <x:v>All kinds</x:v>
      </x:c>
      <x:c r="G19" s="6" t="str">
        <x:v>Partial: benchmark.score and evaluate modules exist. Integrate output formatting and profile dispatch.</x:v>
      </x:c>
      <x:c r="H19" s="6" t="str">
        <x:v>Benchmark: final Answer line, accepted room labels, exactly one number for numeric answers. Warm-up: state-based evaluator. Later route announcement: ordered spaces.</x:v>
      </x:c>
      <x:c r="I19" s="6" t="str">
        <x:v>Run source scorer on train/dev only. Never use reference answers or hidden inputs as production tools.</x:v>
      </x:c>
      <x:c r="J19" s="6" t="str">
        <x:v>Foundation</x:v>
      </x:c>
      <x:c r="K19" s="6" t="n">
        <x:v>2930</x:v>
      </x:c>
      <x:c r="L19" s="6" t="n">
        <x:v>800</x:v>
      </x:c>
    </x:row>
    <x:row r="20" ht="42" customHeight="1">
      <x:c r="A20" s="6" t="str">
        <x:v>T15</x:v>
      </x:c>
      <x:c r="B20" s="6" t="str">
        <x:v>load_and_validate_building</x:v>
      </x:c>
      <x:c r="C20" s="6" t="str">
        <x:v>Load an unseen building without changing algorithms or hardcoding IDs.</x:v>
      </x:c>
      <x:c r="D20" s="6" t="str">
        <x:v>building.json, optional equipment.csv, optional plan assets</x:v>
      </x:c>
      <x:c r="E20" s="6" t="str">
        <x:v>validated model, indexes, geometry and graph caches keyed by version</x:v>
      </x:c>
      <x:c r="F20" s="6" t="str">
        <x:v>All kinds</x:v>
      </x:c>
      <x:c r="G20" s="6" t="str">
        <x:v>Partial: BuildingMap.load reads JSON. No comprehensive schema/topology/alignment validator.</x:v>
      </x:c>
      <x:c r="H20" s="6" t="str">
        <x:v>Validate IDs, units, floor links, openings and connector stops. Rebuild caches per building/version.</x:v>
      </x:c>
      <x:c r="I20" s="6" t="str">
        <x:v>Raw PNG/SVG extraction is an optional ingestion workflow, distinct from loading supplied structured buildings.</x:v>
      </x:c>
      <x:c r="J20" s="6" t="str">
        <x:v>Foundation</x:v>
      </x:c>
      <x:c r="K20" s="6" t="n">
        <x:v>2930</x:v>
      </x:c>
      <x:c r="L20" s="6" t="n">
        <x:v>800</x:v>
      </x:c>
    </x:row>
  </x:sheetData>
  <x:pageMargins left="0.7" right="0.7" top="0.75" bottom="0.75" header="0.3" footer="0.3"/>
  <x:tableParts count="1">
    <x:tablePart xmlns:r="http://schemas.openxmlformats.org/officeDocument/2006/relationships" r:id="R1ec5448c51a44506"/>
  </x:tableParts>
</x:worksheet>
</file>

<file path=xl/worksheets/sheet5.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2" hidden="0" customWidth="1"/>
    <x:col min="2" max="2" width="55" hidden="0" customWidth="1"/>
    <x:col min="3" max="3" width="11" hidden="0" customWidth="1"/>
    <x:col min="4" max="4" width="25" hidden="0" customWidth="1"/>
    <x:col min="5" max="5" width="19" hidden="0" customWidth="1"/>
    <x:col min="6" max="6" width="10" hidden="0" customWidth="1"/>
    <x:col min="7" max="7" width="29" hidden="0" customWidth="1"/>
    <x:col min="8" max="8" width="12" hidden="0" customWidth="1"/>
    <x:col min="9" max="9" width="22" hidden="0" customWidth="1"/>
    <x:col min="10" max="10" width="13" hidden="0" customWidth="1"/>
    <x:col min="11" max="11" width="22" hidden="0" customWidth="1"/>
    <x:col min="12" max="12" width="22" hidden="0" customWidth="1"/>
    <x:col min="13" max="13" width="18" hidden="0" customWidth="1"/>
    <x:col min="14" max="14" width="22" hidden="0" customWidth="1"/>
    <x:col min="15" max="15" width="22" hidden="0" customWidth="1"/>
    <x:col min="16" max="16" width="19" hidden="0" customWidth="1"/>
    <x:col min="17" max="17" width="110" hidden="0" customWidth="1"/>
    <x:col min="18" max="18" width="13" hidden="0" customWidth="1"/>
    <x:col min="19" max="19" width="30" hidden="0" customWidth="1"/>
    <x:col min="20" max="20" width="85" hidden="0" customWidth="1"/>
    <x:col min="21" max="21" width="72" hidden="0" customWidth="1"/>
    <x:col min="22" max="22" width="80" hidden="0" customWidth="1"/>
  </x:cols>
  <x:sheetData>
    <x:row r="1" ht="9" customHeight="1">
      <x:c r="A1" s="2"/>
      <x:c r="B1" s="2"/>
      <x:c r="C1" s="2"/>
      <x:c r="D1" s="2"/>
      <x:c r="E1" s="2"/>
      <x:c r="F1" s="2"/>
      <x:c r="G1" s="2"/>
      <x:c r="H1" s="2"/>
      <x:c r="I1" s="2"/>
      <x:c r="J1" s="2"/>
      <x:c r="K1" s="2"/>
      <x:c r="L1" s="2"/>
      <x:c r="M1" s="2"/>
      <x:c r="N1" s="2"/>
      <x:c r="O1" s="2"/>
      <x:c r="P1" s="2"/>
      <x:c r="Q1" s="2"/>
      <x:c r="R1" s="2"/>
      <x:c r="S1" s="2"/>
      <x:c r="T1" s="2"/>
      <x:c r="U1" s="2"/>
      <x:c r="V1" s="2"/>
    </x:row>
    <x:row r="2" ht="22" customHeight="1">
      <x:c r="A2" s="3" t="str">
        <x:v>Building coverage</x:v>
      </x:c>
      <x:c r="B2" s="2"/>
      <x:c r="C2" s="2"/>
      <x:c r="D2" s="2"/>
      <x:c r="E2" s="2"/>
      <x:c r="F2" s="2"/>
      <x:c r="G2" s="2"/>
      <x:c r="H2" s="2"/>
      <x:c r="I2" s="2"/>
      <x:c r="J2" s="2"/>
      <x:c r="K2" s="2"/>
      <x:c r="L2" s="2"/>
      <x:c r="M2" s="2"/>
      <x:c r="N2" s="2"/>
      <x:c r="O2" s="2"/>
      <x:c r="P2" s="2"/>
      <x:c r="Q2" s="2"/>
      <x:c r="R2" s="2"/>
      <x:c r="S2" s="2"/>
      <x:c r="T2" s="2"/>
      <x:c r="U2" s="2"/>
      <x:c r="V2" s="2"/>
    </x:row>
    <x:row r="3" ht="22" customHeight="1">
      <x:c r="A3" s="4"/>
      <x:c r="B3" s="4"/>
      <x:c r="C3" s="4"/>
      <x:c r="D3" s="4"/>
      <x:c r="E3" s="4"/>
      <x:c r="F3" s="4"/>
      <x:c r="G3" s="4"/>
      <x:c r="H3" s="4"/>
      <x:c r="I3" s="2"/>
      <x:c r="J3" s="2"/>
      <x:c r="K3" s="2"/>
      <x:c r="L3" s="2"/>
      <x:c r="M3" s="2"/>
      <x:c r="N3" s="2"/>
      <x:c r="O3" s="2"/>
      <x:c r="P3" s="2"/>
      <x:c r="Q3" s="2"/>
      <x:c r="R3" s="2"/>
      <x:c r="S3" s="2"/>
      <x:c r="T3" s="2"/>
      <x:c r="U3" s="2"/>
      <x:c r="V3" s="2"/>
    </x:row>
    <x:row r="4" ht="22" customHeight="1">
      <x:c r="A4" s="2"/>
      <x:c r="B4" s="2"/>
      <x:c r="C4" s="2"/>
      <x:c r="D4" s="2"/>
      <x:c r="E4" s="2"/>
      <x:c r="F4" s="2"/>
      <x:c r="G4" s="2"/>
      <x:c r="H4" s="2"/>
      <x:c r="I4" s="2"/>
      <x:c r="J4" s="2"/>
      <x:c r="K4" s="2"/>
      <x:c r="L4" s="2"/>
      <x:c r="M4" s="2"/>
      <x:c r="N4" s="2"/>
      <x:c r="O4" s="2"/>
      <x:c r="P4" s="2"/>
      <x:c r="Q4" s="2"/>
      <x:c r="R4" s="2"/>
      <x:c r="S4" s="2"/>
      <x:c r="T4" s="2"/>
      <x:c r="U4" s="2"/>
      <x:c r="V4" s="2"/>
    </x:row>
    <x:row r="5" ht="34" customHeight="1">
      <x:c r="A5" s="11" t="str">
        <x:v>Building ID</x:v>
      </x:c>
      <x:c r="B5" s="12" t="str">
        <x:v>Building name</x:v>
      </x:c>
      <x:c r="C5" s="12" t="str">
        <x:v>Split</x:v>
      </x:c>
      <x:c r="D5" s="12" t="str">
        <x:v>Source family</x:v>
      </x:c>
      <x:c r="E5" s="12" t="str">
        <x:v>License</x:v>
      </x:c>
      <x:c r="F5" s="12" t="str">
        <x:v>Floors</x:v>
      </x:c>
      <x:c r="G5" s="12" t="str">
        <x:v>Floor levels</x:v>
      </x:c>
      <x:c r="H5" s="12" t="str">
        <x:v>Spaces</x:v>
      </x:c>
      <x:c r="I5" s="12" t="str">
        <x:v>Rooms (type=room)</x:v>
      </x:c>
      <x:c r="J5" s="12" t="str">
        <x:v>Assets</x:v>
      </x:c>
      <x:c r="K5" s="12" t="str">
        <x:v>Benchmark questions</x:v>
      </x:c>
      <x:c r="L5" s="12" t="str">
        <x:v>Warm-up questions</x:v>
      </x:c>
      <x:c r="M5" s="12" t="str">
        <x:v>All questions</x:v>
      </x:c>
      <x:c r="N5" s="12" t="str">
        <x:v>Reference answers</x:v>
      </x:c>
      <x:c r="O5" s="12" t="str">
        <x:v>Withheld answers</x:v>
      </x:c>
      <x:c r="P5" s="12" t="str">
        <x:v>Question kinds</x:v>
      </x:c>
      <x:c r="Q5" s="12" t="str">
        <x:v>Kinds present</x:v>
      </x:c>
      <x:c r="R5" s="12" t="str">
        <x:v>Has lift</x:v>
      </x:c>
      <x:c r="S5" s="12" t="str">
        <x:v>Has other vertical connector</x:v>
      </x:c>
      <x:c r="T5" s="12" t="str">
        <x:v>Dataset attribution</x:v>
      </x:c>
      <x:c r="U5" s="12" t="str">
        <x:v>Source model</x:v>
      </x:c>
      <x:c r="V5" s="13" t="str">
        <x:v>Source URL</x:v>
      </x:c>
    </x:row>
    <x:row r="6" ht="54" customHeight="1">
      <x:c r="A6" s="6" t="str">
        <x:v>osm-way22744230</x:v>
      </x:c>
      <x:c r="B6" s="6" t="str">
        <x:v>N3</x:v>
      </x:c>
      <x:c r="C6" s="6" t="str">
        <x:v>dev</x:v>
      </x:c>
      <x:c r="D6" s="6" t="str">
        <x:v>osm_indoor</x:v>
      </x:c>
      <x:c r="E6" s="6" t="str">
        <x:v>ODbL-1.0</x:v>
      </x:c>
      <x:c r="F6" s="18" t="n">
        <x:v>8</x:v>
      </x:c>
      <x:c r="G6" s="6" t="str">
        <x:v>-1, 0, 1, 2, 3, 4, 5, 6</x:v>
      </x:c>
      <x:c r="H6" s="18" t="n">
        <x:v>325</x:v>
      </x:c>
      <x:c r="I6" s="18" t="n">
        <x:v>243</x:v>
      </x:c>
      <x:c r="J6" s="18" t="n">
        <x:v>890</x:v>
      </x:c>
      <x:c r="K6" s="18" t="n">
        <x:v>9</x:v>
      </x:c>
      <x:c r="L6" s="18" t="n">
        <x:v>10</x:v>
      </x:c>
      <x:c r="M6" s="18" t="n">
        <x:v>19</x:v>
      </x:c>
      <x:c r="N6" s="18" t="n">
        <x:v>19</x:v>
      </x:c>
      <x:c r="O6" s="18" t="n">
        <x:v>0</x:v>
      </x:c>
      <x:c r="P6" s="18" t="n">
        <x:v>13</x:v>
      </x:c>
      <x:c r="Q6" s="6" t="str">
        <x:v>count, errand, floor_area_total, largest_room, locate, room_stacked, route, route_step_free, route_with_closure, shared_walls_count, step_free_reachable_count, straight_line_3d, tour</x:v>
      </x:c>
      <x:c r="R6" s="21" t="b">
        <x:v>1</x:v>
      </x:c>
      <x:c r="S6" s="21" t="b">
        <x:v>1</x:v>
      </x:c>
      <x:c r="T6" s="6" t="str">
        <x:v>© OpenStreetMap contributors, https://www.openstreetmap.org/copyright (ODbL)</x:v>
      </x:c>
      <x:c r="U6" s="6" t="str">
        <x:v>data/dev/osm-way22744230/building.json</x:v>
      </x:c>
      <x:c r="V6" s="6" t="str">
        <x:v>https://github.com/hagenhaeussler/Industrial-Agents-Hackathon-2026/blob/f41616590b69f3ea0c1cbfb41d6c35edd9ce53df/data/dev/osm-way22744230/building.json</x:v>
      </x:c>
    </x:row>
    <x:row r="7" ht="54" customHeight="1">
      <x:c r="A7" s="6" t="str">
        <x:v>osm-way27326387</x:v>
      </x:c>
      <x:c r="B7" s="6" t="str">
        <x:v>TUM 4107 Institutsgebäude 3</x:v>
      </x:c>
      <x:c r="C7" s="6" t="str">
        <x:v>dev</x:v>
      </x:c>
      <x:c r="D7" s="6" t="str">
        <x:v>osm_indoor</x:v>
      </x:c>
      <x:c r="E7" s="6" t="str">
        <x:v>ODbL-1.0</x:v>
      </x:c>
      <x:c r="F7" s="18" t="n">
        <x:v>3</x:v>
      </x:c>
      <x:c r="G7" s="6" t="str">
        <x:v>-2, 0, 1</x:v>
      </x:c>
      <x:c r="H7" s="18" t="n">
        <x:v>61</x:v>
      </x:c>
      <x:c r="I7" s="18" t="n">
        <x:v>52</x:v>
      </x:c>
      <x:c r="J7" s="18" t="n">
        <x:v>184</x:v>
      </x:c>
      <x:c r="K7" s="18" t="n">
        <x:v>8</x:v>
      </x:c>
      <x:c r="L7" s="18" t="n">
        <x:v>7</x:v>
      </x:c>
      <x:c r="M7" s="18" t="n">
        <x:v>15</x:v>
      </x:c>
      <x:c r="N7" s="18" t="n">
        <x:v>15</x:v>
      </x:c>
      <x:c r="O7" s="18" t="n">
        <x:v>0</x:v>
      </x:c>
      <x:c r="P7" s="18" t="n">
        <x:v>11</x:v>
      </x:c>
      <x:c r="Q7" s="6" t="str">
        <x:v>count, errand, floor_area_total, largest_room, room_stacked, route, route_step_free, route_with_closure, shared_walls_count, straight_line_3d, tour</x:v>
      </x:c>
      <x:c r="R7" s="21" t="b">
        <x:v>0</x:v>
      </x:c>
      <x:c r="S7" s="21" t="b">
        <x:v>1</x:v>
      </x:c>
      <x:c r="T7" s="6" t="str">
        <x:v>© OpenStreetMap contributors, https://www.openstreetmap.org/copyright (ODbL)</x:v>
      </x:c>
      <x:c r="U7" s="6" t="str">
        <x:v>data/dev/osm-way27326387/building.json</x:v>
      </x:c>
      <x:c r="V7" s="6" t="str">
        <x:v>https://github.com/hagenhaeussler/Industrial-Agents-Hackathon-2026/blob/f41616590b69f3ea0c1cbfb41d6c35edd9ce53df/data/dev/osm-way27326387/building.json</x:v>
      </x:c>
    </x:row>
    <x:row r="8" ht="54" customHeight="1">
      <x:c r="A8" s="6" t="str">
        <x:v>osm-way27917482</x:v>
      </x:c>
      <x:c r="B8" s="6" t="str">
        <x:v>TUM School of Computation, Information and Technology (CIT), Departments Informatik und Mathematik</x:v>
      </x:c>
      <x:c r="C8" s="6" t="str">
        <x:v>dev</x:v>
      </x:c>
      <x:c r="D8" s="6" t="str">
        <x:v>osm_indoor</x:v>
      </x:c>
      <x:c r="E8" s="6" t="str">
        <x:v>ODbL-1.0</x:v>
      </x:c>
      <x:c r="F8" s="18" t="n">
        <x:v>5</x:v>
      </x:c>
      <x:c r="G8" s="6" t="str">
        <x:v>-1, 0, 1, 2, 3</x:v>
      </x:c>
      <x:c r="H8" s="18" t="n">
        <x:v>1623</x:v>
      </x:c>
      <x:c r="I8" s="18" t="n">
        <x:v>1305</x:v>
      </x:c>
      <x:c r="J8" s="18" t="n">
        <x:v>5250</x:v>
      </x:c>
      <x:c r="K8" s="18" t="n">
        <x:v>9</x:v>
      </x:c>
      <x:c r="L8" s="18" t="n">
        <x:v>10</x:v>
      </x:c>
      <x:c r="M8" s="18" t="n">
        <x:v>19</x:v>
      </x:c>
      <x:c r="N8" s="18" t="n">
        <x:v>19</x:v>
      </x:c>
      <x:c r="O8" s="18" t="n">
        <x:v>0</x:v>
      </x:c>
      <x:c r="P8" s="18" t="n">
        <x:v>12</x:v>
      </x:c>
      <x:c r="Q8" s="6" t="str">
        <x:v>count, floor_area_total, largest_room, locate, room_stacked, route, route_step_free, route_with_closure, shared_walls_count, straight_line_3d, tour, what_if_door</x:v>
      </x:c>
      <x:c r="R8" s="21" t="b">
        <x:v>1</x:v>
      </x:c>
      <x:c r="S8" s="21" t="b">
        <x:v>1</x:v>
      </x:c>
      <x:c r="T8" s="6" t="str">
        <x:v>© OpenStreetMap contributors, https://www.openstreetmap.org/copyright (ODbL)</x:v>
      </x:c>
      <x:c r="U8" s="6" t="str">
        <x:v>data/dev/osm-way27917482/building.json</x:v>
      </x:c>
      <x:c r="V8" s="6" t="str">
        <x:v>https://github.com/hagenhaeussler/Industrial-Agents-Hackathon-2026/blob/f41616590b69f3ea0c1cbfb41d6c35edd9ce53df/data/dev/osm-way27917482/building.json</x:v>
      </x:c>
    </x:row>
    <x:row r="9" ht="54" customHeight="1">
      <x:c r="A9" s="6" t="str">
        <x:v>osm-way360544293</x:v>
      </x:c>
      <x:c r="B9" s="6" t="str">
        <x:v>Terminal 2</x:v>
      </x:c>
      <x:c r="C9" s="6" t="str">
        <x:v>dev</x:v>
      </x:c>
      <x:c r="D9" s="6" t="str">
        <x:v>osm_indoor</x:v>
      </x:c>
      <x:c r="E9" s="6" t="str">
        <x:v>ODbL-1.0</x:v>
      </x:c>
      <x:c r="F9" s="18" t="n">
        <x:v>3</x:v>
      </x:c>
      <x:c r="G9" s="6" t="str">
        <x:v>0, 1, 2</x:v>
      </x:c>
      <x:c r="H9" s="18" t="n">
        <x:v>46</x:v>
      </x:c>
      <x:c r="I9" s="18" t="n">
        <x:v>22</x:v>
      </x:c>
      <x:c r="J9" s="18" t="n">
        <x:v>217</x:v>
      </x:c>
      <x:c r="K9" s="18" t="n">
        <x:v>4</x:v>
      </x:c>
      <x:c r="L9" s="18" t="n">
        <x:v>9</x:v>
      </x:c>
      <x:c r="M9" s="18" t="n">
        <x:v>13</x:v>
      </x:c>
      <x:c r="N9" s="18" t="n">
        <x:v>13</x:v>
      </x:c>
      <x:c r="O9" s="18" t="n">
        <x:v>0</x:v>
      </x:c>
      <x:c r="P9" s="18" t="n">
        <x:v>9</x:v>
      </x:c>
      <x:c r="Q9" s="6" t="str">
        <x:v>count, errand, floor_area_total, largest_room, locate, route, route_step_free, straight_line_3d, tour</x:v>
      </x:c>
      <x:c r="R9" s="21" t="b">
        <x:v>1</x:v>
      </x:c>
      <x:c r="S9" s="21" t="b">
        <x:v>0</x:v>
      </x:c>
      <x:c r="T9" s="6" t="str">
        <x:v>© OpenStreetMap contributors, https://www.openstreetmap.org/copyright (ODbL)</x:v>
      </x:c>
      <x:c r="U9" s="6" t="str">
        <x:v>data/dev/osm-way360544293/building.json</x:v>
      </x:c>
      <x:c r="V9" s="6" t="str">
        <x:v>https://github.com/hagenhaeussler/Industrial-Agents-Hackathon-2026/blob/f41616590b69f3ea0c1cbfb41d6c35edd9ce53df/data/dev/osm-way360544293/building.json</x:v>
      </x:c>
    </x:row>
    <x:row r="10" ht="54" customHeight="1">
      <x:c r="A10" s="6" t="str">
        <x:v>proc-campus-dev-000</x:v>
      </x:c>
      <x:c r="B10" s="6" t="str">
        <x:v>Hörsaalzentrum 024</x:v>
      </x:c>
      <x:c r="C10" s="6" t="str">
        <x:v>dev</x:v>
      </x:c>
      <x:c r="D10" s="6" t="str">
        <x:v>procedural</x:v>
      </x:c>
      <x:c r="E10" s="6" t="str">
        <x:v>CC0-1.0</x:v>
      </x:c>
      <x:c r="F10" s="18" t="n">
        <x:v>5</x:v>
      </x:c>
      <x:c r="G10" s="6" t="str">
        <x:v>0, 1, 2, 3, 4</x:v>
      </x:c>
      <x:c r="H10" s="18" t="n">
        <x:v>152</x:v>
      </x:c>
      <x:c r="I10" s="18" t="n">
        <x:v>116</x:v>
      </x:c>
      <x:c r="J10" s="18" t="n">
        <x:v>944</x:v>
      </x:c>
      <x:c r="K10" s="18" t="n">
        <x:v>5</x:v>
      </x:c>
      <x:c r="L10" s="18" t="n">
        <x:v>10</x:v>
      </x:c>
      <x:c r="M10" s="18" t="n">
        <x:v>15</x:v>
      </x:c>
      <x:c r="N10" s="18" t="n">
        <x:v>15</x:v>
      </x:c>
      <x:c r="O10" s="18" t="n">
        <x:v>0</x:v>
      </x:c>
      <x:c r="P10" s="18" t="n">
        <x:v>11</x:v>
      </x:c>
      <x:c r="Q10" s="6" t="str">
        <x:v>count, errand, floor_area_total, largest_room, locate, route, route_step_free, route_with_closure, straight_line_3d, tour, wide_delivery_count</x:v>
      </x:c>
      <x:c r="R10" s="21" t="b">
        <x:v>1</x:v>
      </x:c>
      <x:c r="S10" s="21" t="b">
        <x:v>1</x:v>
      </x:c>
      <x:c r="T10" s="6" t="str">
        <x:v>Procedurally generated for the Munich hackathon (CC0)</x:v>
      </x:c>
      <x:c r="U10" s="6" t="str">
        <x:v>data/dev/proc-campus-dev-000/building.json</x:v>
      </x:c>
      <x:c r="V10" s="6" t="str">
        <x:v>https://github.com/hagenhaeussler/Industrial-Agents-Hackathon-2026/blob/f41616590b69f3ea0c1cbfb41d6c35edd9ce53df/data/dev/proc-campus-dev-000/building.json</x:v>
      </x:c>
    </x:row>
    <x:row r="11" ht="54" customHeight="1">
      <x:c r="A11" s="6" t="str">
        <x:v>proc-campus-dev-001</x:v>
      </x:c>
      <x:c r="B11" s="6" t="str">
        <x:v>Laborgebäude 025</x:v>
      </x:c>
      <x:c r="C11" s="6" t="str">
        <x:v>dev</x:v>
      </x:c>
      <x:c r="D11" s="6" t="str">
        <x:v>procedural</x:v>
      </x:c>
      <x:c r="E11" s="6" t="str">
        <x:v>CC0-1.0</x:v>
      </x:c>
      <x:c r="F11" s="18" t="n">
        <x:v>4</x:v>
      </x:c>
      <x:c r="G11" s="6" t="str">
        <x:v>0, 1, 2, 3</x:v>
      </x:c>
      <x:c r="H11" s="18" t="n">
        <x:v>97</x:v>
      </x:c>
      <x:c r="I11" s="18" t="n">
        <x:v>76</x:v>
      </x:c>
      <x:c r="J11" s="18" t="n">
        <x:v>582</x:v>
      </x:c>
      <x:c r="K11" s="18" t="n">
        <x:v>5</x:v>
      </x:c>
      <x:c r="L11" s="18" t="n">
        <x:v>10</x:v>
      </x:c>
      <x:c r="M11" s="18" t="n">
        <x:v>15</x:v>
      </x:c>
      <x:c r="N11" s="18" t="n">
        <x:v>15</x:v>
      </x:c>
      <x:c r="O11" s="18" t="n">
        <x:v>0</x:v>
      </x:c>
      <x:c r="P11" s="18" t="n">
        <x:v>11</x:v>
      </x:c>
      <x:c r="Q11" s="6" t="str">
        <x:v>count, errand, floor_area_total, largest_room, locate, route, route_step_free, route_with_closure, straight_line_3d, tour, wide_delivery_count</x:v>
      </x:c>
      <x:c r="R11" s="21" t="b">
        <x:v>1</x:v>
      </x:c>
      <x:c r="S11" s="21" t="b">
        <x:v>1</x:v>
      </x:c>
      <x:c r="T11" s="6" t="str">
        <x:v>Procedurally generated for the Munich hackathon (CC0)</x:v>
      </x:c>
      <x:c r="U11" s="6" t="str">
        <x:v>data/dev/proc-campus-dev-001/building.json</x:v>
      </x:c>
      <x:c r="V11" s="6" t="str">
        <x:v>https://github.com/hagenhaeussler/Industrial-Agents-Hackathon-2026/blob/f41616590b69f3ea0c1cbfb41d6c35edd9ce53df/data/dev/proc-campus-dev-001/building.json</x:v>
      </x:c>
    </x:row>
    <x:row r="12" ht="54" customHeight="1">
      <x:c r="A12" s="6" t="str">
        <x:v>proc-campus-dev-002</x:v>
      </x:c>
      <x:c r="B12" s="6" t="str">
        <x:v>Lehrgebäude 026</x:v>
      </x:c>
      <x:c r="C12" s="6" t="str">
        <x:v>dev</x:v>
      </x:c>
      <x:c r="D12" s="6" t="str">
        <x:v>procedural</x:v>
      </x:c>
      <x:c r="E12" s="6" t="str">
        <x:v>CC0-1.0</x:v>
      </x:c>
      <x:c r="F12" s="18" t="n">
        <x:v>4</x:v>
      </x:c>
      <x:c r="G12" s="6" t="str">
        <x:v>0, 1, 2, 3</x:v>
      </x:c>
      <x:c r="H12" s="18" t="n">
        <x:v>89</x:v>
      </x:c>
      <x:c r="I12" s="18" t="n">
        <x:v>68</x:v>
      </x:c>
      <x:c r="J12" s="18" t="n">
        <x:v>580</x:v>
      </x:c>
      <x:c r="K12" s="18" t="n">
        <x:v>3</x:v>
      </x:c>
      <x:c r="L12" s="18" t="n">
        <x:v>10</x:v>
      </x:c>
      <x:c r="M12" s="18" t="n">
        <x:v>13</x:v>
      </x:c>
      <x:c r="N12" s="18" t="n">
        <x:v>13</x:v>
      </x:c>
      <x:c r="O12" s="18" t="n">
        <x:v>0</x:v>
      </x:c>
      <x:c r="P12" s="18" t="n">
        <x:v>9</x:v>
      </x:c>
      <x:c r="Q12" s="6" t="str">
        <x:v>count, floor_area_total, locate, route, route_step_free, route_with_closure, straight_line_3d, tour, wide_delivery_count</x:v>
      </x:c>
      <x:c r="R12" s="21" t="b">
        <x:v>1</x:v>
      </x:c>
      <x:c r="S12" s="21" t="b">
        <x:v>1</x:v>
      </x:c>
      <x:c r="T12" s="6" t="str">
        <x:v>Procedurally generated for the Munich hackathon (CC0)</x:v>
      </x:c>
      <x:c r="U12" s="6" t="str">
        <x:v>data/dev/proc-campus-dev-002/building.json</x:v>
      </x:c>
      <x:c r="V12" s="6" t="str">
        <x:v>https://github.com/hagenhaeussler/Industrial-Agents-Hackathon-2026/blob/f41616590b69f3ea0c1cbfb41d6c35edd9ce53df/data/dev/proc-campus-dev-002/building.json</x:v>
      </x:c>
    </x:row>
    <x:row r="13" ht="54" customHeight="1">
      <x:c r="A13" s="6" t="str">
        <x:v>proc-campus-dev-006</x:v>
      </x:c>
      <x:c r="B13" s="6" t="str">
        <x:v>Lehrgebäude 030</x:v>
      </x:c>
      <x:c r="C13" s="6" t="str">
        <x:v>dev</x:v>
      </x:c>
      <x:c r="D13" s="6" t="str">
        <x:v>procedural</x:v>
      </x:c>
      <x:c r="E13" s="6" t="str">
        <x:v>CC0-1.0</x:v>
      </x:c>
      <x:c r="F13" s="18" t="n">
        <x:v>4</x:v>
      </x:c>
      <x:c r="G13" s="6" t="str">
        <x:v>0, 1, 2, 3</x:v>
      </x:c>
      <x:c r="H13" s="18" t="n">
        <x:v>85</x:v>
      </x:c>
      <x:c r="I13" s="18" t="n">
        <x:v>72</x:v>
      </x:c>
      <x:c r="J13" s="18" t="n">
        <x:v>626</x:v>
      </x:c>
      <x:c r="K13" s="18" t="n">
        <x:v>3</x:v>
      </x:c>
      <x:c r="L13" s="18" t="n">
        <x:v>10</x:v>
      </x:c>
      <x:c r="M13" s="18" t="n">
        <x:v>13</x:v>
      </x:c>
      <x:c r="N13" s="18" t="n">
        <x:v>13</x:v>
      </x:c>
      <x:c r="O13" s="18" t="n">
        <x:v>0</x:v>
      </x:c>
      <x:c r="P13" s="18" t="n">
        <x:v>9</x:v>
      </x:c>
      <x:c r="Q13" s="6" t="str">
        <x:v>count, floor_area_total, locate, route, route_step_free, route_with_closure, straight_line_3d, tour, wide_delivery_count</x:v>
      </x:c>
      <x:c r="R13" s="21" t="b">
        <x:v>1</x:v>
      </x:c>
      <x:c r="S13" s="21" t="b">
        <x:v>1</x:v>
      </x:c>
      <x:c r="T13" s="6" t="str">
        <x:v>Procedurally generated for the Munich hackathon (CC0)</x:v>
      </x:c>
      <x:c r="U13" s="6" t="str">
        <x:v>data/dev/proc-campus-dev-006/building.json</x:v>
      </x:c>
      <x:c r="V13" s="6" t="str">
        <x:v>https://github.com/hagenhaeussler/Industrial-Agents-Hackathon-2026/blob/f41616590b69f3ea0c1cbfb41d6c35edd9ce53df/data/dev/proc-campus-dev-006/building.json</x:v>
      </x:c>
    </x:row>
    <x:row r="14" ht="54" customHeight="1">
      <x:c r="A14" s="6" t="str">
        <x:v>proc-campus-dev-009</x:v>
      </x:c>
      <x:c r="B14" s="6" t="str">
        <x:v>Forschungsbau 033</x:v>
      </x:c>
      <x:c r="C14" s="6" t="str">
        <x:v>dev</x:v>
      </x:c>
      <x:c r="D14" s="6" t="str">
        <x:v>procedural</x:v>
      </x:c>
      <x:c r="E14" s="6" t="str">
        <x:v>CC0-1.0</x:v>
      </x:c>
      <x:c r="F14" s="18" t="n">
        <x:v>6</x:v>
      </x:c>
      <x:c r="G14" s="6" t="str">
        <x:v>0, 1, 2, 3, 4, 5</x:v>
      </x:c>
      <x:c r="H14" s="18" t="n">
        <x:v>207</x:v>
      </x:c>
      <x:c r="I14" s="18" t="n">
        <x:v>164</x:v>
      </x:c>
      <x:c r="J14" s="18" t="n">
        <x:v>1330</x:v>
      </x:c>
      <x:c r="K14" s="18" t="n">
        <x:v>5</x:v>
      </x:c>
      <x:c r="L14" s="18" t="n">
        <x:v>10</x:v>
      </x:c>
      <x:c r="M14" s="18" t="n">
        <x:v>15</x:v>
      </x:c>
      <x:c r="N14" s="18" t="n">
        <x:v>15</x:v>
      </x:c>
      <x:c r="O14" s="18" t="n">
        <x:v>0</x:v>
      </x:c>
      <x:c r="P14" s="18" t="n">
        <x:v>11</x:v>
      </x:c>
      <x:c r="Q14" s="6" t="str">
        <x:v>count, errand, floor_area_total, largest_room, locate, route, route_step_free, route_with_closure, straight_line_3d, tour, wide_delivery_count</x:v>
      </x:c>
      <x:c r="R14" s="21" t="b">
        <x:v>1</x:v>
      </x:c>
      <x:c r="S14" s="21" t="b">
        <x:v>1</x:v>
      </x:c>
      <x:c r="T14" s="6" t="str">
        <x:v>Procedurally generated for the Munich hackathon (CC0)</x:v>
      </x:c>
      <x:c r="U14" s="6" t="str">
        <x:v>data/dev/proc-campus-dev-009/building.json</x:v>
      </x:c>
      <x:c r="V14" s="6" t="str">
        <x:v>https://github.com/hagenhaeussler/Industrial-Agents-Hackathon-2026/blob/f41616590b69f3ea0c1cbfb41d6c35edd9ce53df/data/dev/proc-campus-dev-009/building.json</x:v>
      </x:c>
    </x:row>
    <x:row r="15" ht="54" customHeight="1">
      <x:c r="A15" s="6" t="str">
        <x:v>proc-campus-dev-013</x:v>
      </x:c>
      <x:c r="B15" s="6" t="str">
        <x:v>Laborgebäude 037</x:v>
      </x:c>
      <x:c r="C15" s="6" t="str">
        <x:v>dev</x:v>
      </x:c>
      <x:c r="D15" s="6" t="str">
        <x:v>procedural</x:v>
      </x:c>
      <x:c r="E15" s="6" t="str">
        <x:v>CC0-1.0</x:v>
      </x:c>
      <x:c r="F15" s="18" t="n">
        <x:v>3</x:v>
      </x:c>
      <x:c r="G15" s="6" t="str">
        <x:v>0, 1, 2</x:v>
      </x:c>
      <x:c r="H15" s="18" t="n">
        <x:v>63</x:v>
      </x:c>
      <x:c r="I15" s="18" t="n">
        <x:v>47</x:v>
      </x:c>
      <x:c r="J15" s="18" t="n">
        <x:v>423</x:v>
      </x:c>
      <x:c r="K15" s="18" t="n">
        <x:v>3</x:v>
      </x:c>
      <x:c r="L15" s="18" t="n">
        <x:v>10</x:v>
      </x:c>
      <x:c r="M15" s="18" t="n">
        <x:v>13</x:v>
      </x:c>
      <x:c r="N15" s="18" t="n">
        <x:v>13</x:v>
      </x:c>
      <x:c r="O15" s="18" t="n">
        <x:v>0</x:v>
      </x:c>
      <x:c r="P15" s="18" t="n">
        <x:v>9</x:v>
      </x:c>
      <x:c r="Q15" s="6" t="str">
        <x:v>count, floor_area_total, locate, route, route_step_free, route_with_closure, straight_line_3d, tour, wide_delivery_count</x:v>
      </x:c>
      <x:c r="R15" s="21" t="b">
        <x:v>1</x:v>
      </x:c>
      <x:c r="S15" s="21" t="b">
        <x:v>1</x:v>
      </x:c>
      <x:c r="T15" s="6" t="str">
        <x:v>Procedurally generated for the Munich hackathon (CC0)</x:v>
      </x:c>
      <x:c r="U15" s="6" t="str">
        <x:v>data/dev/proc-campus-dev-013/building.json</x:v>
      </x:c>
      <x:c r="V15" s="6" t="str">
        <x:v>https://github.com/hagenhaeussler/Industrial-Agents-Hackathon-2026/blob/f41616590b69f3ea0c1cbfb41d6c35edd9ce53df/data/dev/proc-campus-dev-013/building.json</x:v>
      </x:c>
    </x:row>
    <x:row r="16" ht="54" customHeight="1">
      <x:c r="A16" s="6" t="str">
        <x:v>proc-factory-dev-003</x:v>
      </x:c>
      <x:c r="B16" s="6" t="str">
        <x:v>Fertigung Ost 27</x:v>
      </x:c>
      <x:c r="C16" s="6" t="str">
        <x:v>dev</x:v>
      </x:c>
      <x:c r="D16" s="6" t="str">
        <x:v>procedural</x:v>
      </x:c>
      <x:c r="E16" s="6" t="str">
        <x:v>CC0-1.0</x:v>
      </x:c>
      <x:c r="F16" s="18" t="n">
        <x:v>2</x:v>
      </x:c>
      <x:c r="G16" s="6" t="str">
        <x:v>0, 1</x:v>
      </x:c>
      <x:c r="H16" s="18" t="n">
        <x:v>79</x:v>
      </x:c>
      <x:c r="I16" s="18" t="n">
        <x:v>56</x:v>
      </x:c>
      <x:c r="J16" s="18" t="n">
        <x:v>505</x:v>
      </x:c>
      <x:c r="K16" s="18" t="n">
        <x:v>5</x:v>
      </x:c>
      <x:c r="L16" s="18" t="n">
        <x:v>10</x:v>
      </x:c>
      <x:c r="M16" s="18" t="n">
        <x:v>15</x:v>
      </x:c>
      <x:c r="N16" s="18" t="n">
        <x:v>15</x:v>
      </x:c>
      <x:c r="O16" s="18" t="n">
        <x:v>0</x:v>
      </x:c>
      <x:c r="P16" s="18" t="n">
        <x:v>11</x:v>
      </x:c>
      <x:c r="Q16" s="6" t="str">
        <x:v>count, errand, floor_area_total, largest_room, locate, route, route_step_free, route_with_closure, shared_walls_count, tour, wide_delivery_count</x:v>
      </x:c>
      <x:c r="R16" s="21" t="b">
        <x:v>1</x:v>
      </x:c>
      <x:c r="S16" s="21" t="b">
        <x:v>1</x:v>
      </x:c>
      <x:c r="T16" s="6" t="str">
        <x:v>Procedurally generated for the Munich hackathon (CC0)</x:v>
      </x:c>
      <x:c r="U16" s="6" t="str">
        <x:v>data/dev/proc-factory-dev-003/building.json</x:v>
      </x:c>
      <x:c r="V16" s="6" t="str">
        <x:v>https://github.com/hagenhaeussler/Industrial-Agents-Hackathon-2026/blob/f41616590b69f3ea0c1cbfb41d6c35edd9ce53df/data/dev/proc-factory-dev-003/building.json</x:v>
      </x:c>
    </x:row>
    <x:row r="17" ht="54" customHeight="1">
      <x:c r="A17" s="6" t="str">
        <x:v>proc-factory-dev-004</x:v>
      </x:c>
      <x:c r="B17" s="6" t="str">
        <x:v>Halle Isar 28</x:v>
      </x:c>
      <x:c r="C17" s="6" t="str">
        <x:v>dev</x:v>
      </x:c>
      <x:c r="D17" s="6" t="str">
        <x:v>procedural</x:v>
      </x:c>
      <x:c r="E17" s="6" t="str">
        <x:v>CC0-1.0</x:v>
      </x:c>
      <x:c r="F17" s="18" t="n">
        <x:v>2</x:v>
      </x:c>
      <x:c r="G17" s="6" t="str">
        <x:v>0, 1</x:v>
      </x:c>
      <x:c r="H17" s="18" t="n">
        <x:v>50</x:v>
      </x:c>
      <x:c r="I17" s="18" t="n">
        <x:v>30</x:v>
      </x:c>
      <x:c r="J17" s="18" t="n">
        <x:v>280</x:v>
      </x:c>
      <x:c r="K17" s="18" t="n">
        <x:v>3</x:v>
      </x:c>
      <x:c r="L17" s="18" t="n">
        <x:v>10</x:v>
      </x:c>
      <x:c r="M17" s="18" t="n">
        <x:v>13</x:v>
      </x:c>
      <x:c r="N17" s="18" t="n">
        <x:v>13</x:v>
      </x:c>
      <x:c r="O17" s="18" t="n">
        <x:v>0</x:v>
      </x:c>
      <x:c r="P17" s="18" t="n">
        <x:v>9</x:v>
      </x:c>
      <x:c r="Q17" s="6" t="str">
        <x:v>count, floor_area_total, locate, route, route_step_free, route_with_closure, shared_walls_count, tour, wide_delivery_count</x:v>
      </x:c>
      <x:c r="R17" s="21" t="b">
        <x:v>1</x:v>
      </x:c>
      <x:c r="S17" s="21" t="b">
        <x:v>1</x:v>
      </x:c>
      <x:c r="T17" s="6" t="str">
        <x:v>Procedurally generated for the Munich hackathon (CC0)</x:v>
      </x:c>
      <x:c r="U17" s="6" t="str">
        <x:v>data/dev/proc-factory-dev-004/building.json</x:v>
      </x:c>
      <x:c r="V17" s="6" t="str">
        <x:v>https://github.com/hagenhaeussler/Industrial-Agents-Hackathon-2026/blob/f41616590b69f3ea0c1cbfb41d6c35edd9ce53df/data/dev/proc-factory-dev-004/building.json</x:v>
      </x:c>
    </x:row>
    <x:row r="18" ht="54" customHeight="1">
      <x:c r="A18" s="6" t="str">
        <x:v>proc-factory-dev-005</x:v>
      </x:c>
      <x:c r="B18" s="6" t="str">
        <x:v>Produktion West 29</x:v>
      </x:c>
      <x:c r="C18" s="6" t="str">
        <x:v>dev</x:v>
      </x:c>
      <x:c r="D18" s="6" t="str">
        <x:v>procedural</x:v>
      </x:c>
      <x:c r="E18" s="6" t="str">
        <x:v>CC0-1.0</x:v>
      </x:c>
      <x:c r="F18" s="18" t="n">
        <x:v>3</x:v>
      </x:c>
      <x:c r="G18" s="6" t="str">
        <x:v>0, 1, 2</x:v>
      </x:c>
      <x:c r="H18" s="18" t="n">
        <x:v>132</x:v>
      </x:c>
      <x:c r="I18" s="18" t="n">
        <x:v>103</x:v>
      </x:c>
      <x:c r="J18" s="18" t="n">
        <x:v>844</x:v>
      </x:c>
      <x:c r="K18" s="18" t="n">
        <x:v>6</x:v>
      </x:c>
      <x:c r="L18" s="18" t="n">
        <x:v>10</x:v>
      </x:c>
      <x:c r="M18" s="18" t="n">
        <x:v>16</x:v>
      </x:c>
      <x:c r="N18" s="18" t="n">
        <x:v>16</x:v>
      </x:c>
      <x:c r="O18" s="18" t="n">
        <x:v>0</x:v>
      </x:c>
      <x:c r="P18" s="18" t="n">
        <x:v>12</x:v>
      </x:c>
      <x:c r="Q18" s="6" t="str">
        <x:v>count, errand, floor_area_total, largest_room, locate, route, route_step_free, route_with_closure, shared_walls_count, straight_line_3d, tour, wide_delivery_count</x:v>
      </x:c>
      <x:c r="R18" s="21" t="b">
        <x:v>1</x:v>
      </x:c>
      <x:c r="S18" s="21" t="b">
        <x:v>1</x:v>
      </x:c>
      <x:c r="T18" s="6" t="str">
        <x:v>Procedurally generated for the Munich hackathon (CC0)</x:v>
      </x:c>
      <x:c r="U18" s="6" t="str">
        <x:v>data/dev/proc-factory-dev-005/building.json</x:v>
      </x:c>
      <x:c r="V18" s="6" t="str">
        <x:v>https://github.com/hagenhaeussler/Industrial-Agents-Hackathon-2026/blob/f41616590b69f3ea0c1cbfb41d6c35edd9ce53df/data/dev/proc-factory-dev-005/building.json</x:v>
      </x:c>
    </x:row>
    <x:row r="19" ht="54" customHeight="1">
      <x:c r="A19" s="6" t="str">
        <x:v>proc-factory-dev-007</x:v>
      </x:c>
      <x:c r="B19" s="6" t="str">
        <x:v>Fertigung Ost 31</x:v>
      </x:c>
      <x:c r="C19" s="6" t="str">
        <x:v>dev</x:v>
      </x:c>
      <x:c r="D19" s="6" t="str">
        <x:v>procedural</x:v>
      </x:c>
      <x:c r="E19" s="6" t="str">
        <x:v>CC0-1.0</x:v>
      </x:c>
      <x:c r="F19" s="18" t="n">
        <x:v>2</x:v>
      </x:c>
      <x:c r="G19" s="6" t="str">
        <x:v>0, 1</x:v>
      </x:c>
      <x:c r="H19" s="18" t="n">
        <x:v>45</x:v>
      </x:c>
      <x:c r="I19" s="18" t="n">
        <x:v>28</x:v>
      </x:c>
      <x:c r="J19" s="18" t="n">
        <x:v>259</x:v>
      </x:c>
      <x:c r="K19" s="18" t="n">
        <x:v>5</x:v>
      </x:c>
      <x:c r="L19" s="18" t="n">
        <x:v>10</x:v>
      </x:c>
      <x:c r="M19" s="18" t="n">
        <x:v>15</x:v>
      </x:c>
      <x:c r="N19" s="18" t="n">
        <x:v>15</x:v>
      </x:c>
      <x:c r="O19" s="18" t="n">
        <x:v>0</x:v>
      </x:c>
      <x:c r="P19" s="18" t="n">
        <x:v>11</x:v>
      </x:c>
      <x:c r="Q19" s="6" t="str">
        <x:v>count, errand, floor_area_total, largest_room, locate, route, route_step_free, route_with_closure, shared_walls_count, tour, wide_delivery_count</x:v>
      </x:c>
      <x:c r="R19" s="21" t="b">
        <x:v>1</x:v>
      </x:c>
      <x:c r="S19" s="21" t="b">
        <x:v>1</x:v>
      </x:c>
      <x:c r="T19" s="6" t="str">
        <x:v>Procedurally generated for the Munich hackathon (CC0)</x:v>
      </x:c>
      <x:c r="U19" s="6" t="str">
        <x:v>data/dev/proc-factory-dev-007/building.json</x:v>
      </x:c>
      <x:c r="V19" s="6" t="str">
        <x:v>https://github.com/hagenhaeussler/Industrial-Agents-Hackathon-2026/blob/f41616590b69f3ea0c1cbfb41d6c35edd9ce53df/data/dev/proc-factory-dev-007/building.json</x:v>
      </x:c>
    </x:row>
    <x:row r="20" ht="54" customHeight="1">
      <x:c r="A20" s="6" t="str">
        <x:v>proc-factory-dev-008</x:v>
      </x:c>
      <x:c r="B20" s="6" t="str">
        <x:v>Werk Süd 32</x:v>
      </x:c>
      <x:c r="C20" s="6" t="str">
        <x:v>dev</x:v>
      </x:c>
      <x:c r="D20" s="6" t="str">
        <x:v>procedural</x:v>
      </x:c>
      <x:c r="E20" s="6" t="str">
        <x:v>CC0-1.0</x:v>
      </x:c>
      <x:c r="F20" s="18" t="n">
        <x:v>2</x:v>
      </x:c>
      <x:c r="G20" s="6" t="str">
        <x:v>0, 1</x:v>
      </x:c>
      <x:c r="H20" s="18" t="n">
        <x:v>82</x:v>
      </x:c>
      <x:c r="I20" s="18" t="n">
        <x:v>50</x:v>
      </x:c>
      <x:c r="J20" s="18" t="n">
        <x:v>480</x:v>
      </x:c>
      <x:c r="K20" s="18" t="n">
        <x:v>5</x:v>
      </x:c>
      <x:c r="L20" s="18" t="n">
        <x:v>10</x:v>
      </x:c>
      <x:c r="M20" s="18" t="n">
        <x:v>15</x:v>
      </x:c>
      <x:c r="N20" s="18" t="n">
        <x:v>15</x:v>
      </x:c>
      <x:c r="O20" s="18" t="n">
        <x:v>0</x:v>
      </x:c>
      <x:c r="P20" s="18" t="n">
        <x:v>11</x:v>
      </x:c>
      <x:c r="Q20" s="6" t="str">
        <x:v>count, errand, floor_area_total, largest_room, locate, route, route_step_free, route_with_closure, shared_walls_count, tour, wide_delivery_count</x:v>
      </x:c>
      <x:c r="R20" s="21" t="b">
        <x:v>1</x:v>
      </x:c>
      <x:c r="S20" s="21" t="b">
        <x:v>1</x:v>
      </x:c>
      <x:c r="T20" s="6" t="str">
        <x:v>Procedurally generated for the Munich hackathon (CC0)</x:v>
      </x:c>
      <x:c r="U20" s="6" t="str">
        <x:v>data/dev/proc-factory-dev-008/building.json</x:v>
      </x:c>
      <x:c r="V20" s="6" t="str">
        <x:v>https://github.com/hagenhaeussler/Industrial-Agents-Hackathon-2026/blob/f41616590b69f3ea0c1cbfb41d6c35edd9ce53df/data/dev/proc-factory-dev-008/building.json</x:v>
      </x:c>
    </x:row>
    <x:row r="21" ht="54" customHeight="1">
      <x:c r="A21" s="6" t="str">
        <x:v>proc-factory-dev-010</x:v>
      </x:c>
      <x:c r="B21" s="6" t="str">
        <x:v>Werk Nord 34</x:v>
      </x:c>
      <x:c r="C21" s="6" t="str">
        <x:v>dev</x:v>
      </x:c>
      <x:c r="D21" s="6" t="str">
        <x:v>procedural</x:v>
      </x:c>
      <x:c r="E21" s="6" t="str">
        <x:v>CC0-1.0</x:v>
      </x:c>
      <x:c r="F21" s="18" t="n">
        <x:v>2</x:v>
      </x:c>
      <x:c r="G21" s="6" t="str">
        <x:v>0, 1</x:v>
      </x:c>
      <x:c r="H21" s="18" t="n">
        <x:v>52</x:v>
      </x:c>
      <x:c r="I21" s="18" t="n">
        <x:v>32</x:v>
      </x:c>
      <x:c r="J21" s="18" t="n">
        <x:v>269</x:v>
      </x:c>
      <x:c r="K21" s="18" t="n">
        <x:v>5</x:v>
      </x:c>
      <x:c r="L21" s="18" t="n">
        <x:v>10</x:v>
      </x:c>
      <x:c r="M21" s="18" t="n">
        <x:v>15</x:v>
      </x:c>
      <x:c r="N21" s="18" t="n">
        <x:v>15</x:v>
      </x:c>
      <x:c r="O21" s="18" t="n">
        <x:v>0</x:v>
      </x:c>
      <x:c r="P21" s="18" t="n">
        <x:v>11</x:v>
      </x:c>
      <x:c r="Q21" s="6" t="str">
        <x:v>count, errand, floor_area_total, largest_room, locate, route, route_step_free, route_with_closure, shared_walls_count, tour, wide_delivery_count</x:v>
      </x:c>
      <x:c r="R21" s="21" t="b">
        <x:v>1</x:v>
      </x:c>
      <x:c r="S21" s="21" t="b">
        <x:v>1</x:v>
      </x:c>
      <x:c r="T21" s="6" t="str">
        <x:v>Procedurally generated for the Munich hackathon (CC0)</x:v>
      </x:c>
      <x:c r="U21" s="6" t="str">
        <x:v>data/dev/proc-factory-dev-010/building.json</x:v>
      </x:c>
      <x:c r="V21" s="6" t="str">
        <x:v>https://github.com/hagenhaeussler/Industrial-Agents-Hackathon-2026/blob/f41616590b69f3ea0c1cbfb41d6c35edd9ce53df/data/dev/proc-factory-dev-010/building.json</x:v>
      </x:c>
    </x:row>
    <x:row r="22" ht="54" customHeight="1">
      <x:c r="A22" s="6" t="str">
        <x:v>proc-factory-dev-011</x:v>
      </x:c>
      <x:c r="B22" s="6" t="str">
        <x:v>Werk Süd 35</x:v>
      </x:c>
      <x:c r="C22" s="6" t="str">
        <x:v>dev</x:v>
      </x:c>
      <x:c r="D22" s="6" t="str">
        <x:v>procedural</x:v>
      </x:c>
      <x:c r="E22" s="6" t="str">
        <x:v>CC0-1.0</x:v>
      </x:c>
      <x:c r="F22" s="18" t="n">
        <x:v>3</x:v>
      </x:c>
      <x:c r="G22" s="6" t="str">
        <x:v>0, 1, 2</x:v>
      </x:c>
      <x:c r="H22" s="18" t="n">
        <x:v>140</x:v>
      </x:c>
      <x:c r="I22" s="18" t="n">
        <x:v>109</x:v>
      </x:c>
      <x:c r="J22" s="18" t="n">
        <x:v>914</x:v>
      </x:c>
      <x:c r="K22" s="18" t="n">
        <x:v>6</x:v>
      </x:c>
      <x:c r="L22" s="18" t="n">
        <x:v>10</x:v>
      </x:c>
      <x:c r="M22" s="18" t="n">
        <x:v>16</x:v>
      </x:c>
      <x:c r="N22" s="18" t="n">
        <x:v>16</x:v>
      </x:c>
      <x:c r="O22" s="18" t="n">
        <x:v>0</x:v>
      </x:c>
      <x:c r="P22" s="18" t="n">
        <x:v>12</x:v>
      </x:c>
      <x:c r="Q22" s="6" t="str">
        <x:v>count, errand, floor_area_total, largest_room, locate, route, route_step_free, route_with_closure, shared_walls_count, straight_line_3d, tour, wide_delivery_count</x:v>
      </x:c>
      <x:c r="R22" s="21" t="b">
        <x:v>1</x:v>
      </x:c>
      <x:c r="S22" s="21" t="b">
        <x:v>1</x:v>
      </x:c>
      <x:c r="T22" s="6" t="str">
        <x:v>Procedurally generated for the Munich hackathon (CC0)</x:v>
      </x:c>
      <x:c r="U22" s="6" t="str">
        <x:v>data/dev/proc-factory-dev-011/building.json</x:v>
      </x:c>
      <x:c r="V22" s="6" t="str">
        <x:v>https://github.com/hagenhaeussler/Industrial-Agents-Hackathon-2026/blob/f41616590b69f3ea0c1cbfb41d6c35edd9ce53df/data/dev/proc-factory-dev-011/building.json</x:v>
      </x:c>
    </x:row>
    <x:row r="23" ht="54" customHeight="1">
      <x:c r="A23" s="6" t="str">
        <x:v>proc-factory-dev-012</x:v>
      </x:c>
      <x:c r="B23" s="6" t="str">
        <x:v>Fertigung Ost 36</x:v>
      </x:c>
      <x:c r="C23" s="6" t="str">
        <x:v>dev</x:v>
      </x:c>
      <x:c r="D23" s="6" t="str">
        <x:v>procedural</x:v>
      </x:c>
      <x:c r="E23" s="6" t="str">
        <x:v>CC0-1.0</x:v>
      </x:c>
      <x:c r="F23" s="18" t="n">
        <x:v>3</x:v>
      </x:c>
      <x:c r="G23" s="6" t="str">
        <x:v>0, 1, 2</x:v>
      </x:c>
      <x:c r="H23" s="18" t="n">
        <x:v>129</x:v>
      </x:c>
      <x:c r="I23" s="18" t="n">
        <x:v>94</x:v>
      </x:c>
      <x:c r="J23" s="18" t="n">
        <x:v>805</x:v>
      </x:c>
      <x:c r="K23" s="18" t="n">
        <x:v>6</x:v>
      </x:c>
      <x:c r="L23" s="18" t="n">
        <x:v>10</x:v>
      </x:c>
      <x:c r="M23" s="18" t="n">
        <x:v>16</x:v>
      </x:c>
      <x:c r="N23" s="18" t="n">
        <x:v>16</x:v>
      </x:c>
      <x:c r="O23" s="18" t="n">
        <x:v>0</x:v>
      </x:c>
      <x:c r="P23" s="18" t="n">
        <x:v>12</x:v>
      </x:c>
      <x:c r="Q23" s="6" t="str">
        <x:v>count, errand, floor_area_total, largest_room, locate, route, route_step_free, route_with_closure, shared_walls_count, straight_line_3d, tour, wide_delivery_count</x:v>
      </x:c>
      <x:c r="R23" s="21" t="b">
        <x:v>1</x:v>
      </x:c>
      <x:c r="S23" s="21" t="b">
        <x:v>1</x:v>
      </x:c>
      <x:c r="T23" s="6" t="str">
        <x:v>Procedurally generated for the Munich hackathon (CC0)</x:v>
      </x:c>
      <x:c r="U23" s="6" t="str">
        <x:v>data/dev/proc-factory-dev-012/building.json</x:v>
      </x:c>
      <x:c r="V23" s="6" t="str">
        <x:v>https://github.com/hagenhaeussler/Industrial-Agents-Hackathon-2026/blob/f41616590b69f3ea0c1cbfb41d6c35edd9ce53df/data/dev/proc-factory-dev-012/building.json</x:v>
      </x:c>
    </x:row>
    <x:row r="24" ht="54" customHeight="1">
      <x:c r="A24" s="6" t="str">
        <x:v>resplan-14509</x:v>
      </x:c>
      <x:c r="B24" s="6" t="str">
        <x:v>Residence 14509</x:v>
      </x:c>
      <x:c r="C24" s="6" t="str">
        <x:v>dev</x:v>
      </x:c>
      <x:c r="D24" s="6" t="str">
        <x:v>resplan</x:v>
      </x:c>
      <x:c r="E24" s="6" t="str">
        <x:v>CC-BY-4.0</x:v>
      </x:c>
      <x:c r="F24" s="18" t="n">
        <x:v>1</x:v>
      </x:c>
      <x:c r="G24" s="6" t="str">
        <x:v>0</x:v>
      </x:c>
      <x:c r="H24" s="18" t="n">
        <x:v>6</x:v>
      </x:c>
      <x:c r="I24" s="18" t="n">
        <x:v>6</x:v>
      </x:c>
      <x:c r="J24" s="18" t="n">
        <x:v>22</x:v>
      </x:c>
      <x:c r="K24" s="18" t="n">
        <x:v>2</x:v>
      </x:c>
      <x:c r="L24" s="18" t="n">
        <x:v>9</x:v>
      </x:c>
      <x:c r="M24" s="18" t="n">
        <x:v>11</x:v>
      </x:c>
      <x:c r="N24" s="18" t="n">
        <x:v>11</x:v>
      </x:c>
      <x:c r="O24" s="18" t="n">
        <x:v>0</x:v>
      </x:c>
      <x:c r="P24" s="18" t="n">
        <x:v>7</x:v>
      </x:c>
      <x:c r="Q24" s="6" t="str">
        <x:v>count, locate, route, route_step_free, shared_walls_count, tour, wide_delivery_count</x:v>
      </x:c>
      <x:c r="R24" s="21" t="b">
        <x:v>0</x:v>
      </x:c>
      <x:c r="S24" s="21" t="b">
        <x:v>0</x:v>
      </x:c>
      <x:c r="T24" s="6" t="str">
        <x:v>ResPlan, Agour et al., https://github.com/m-agour/ResPlan (CC BY 4.0)</x:v>
      </x:c>
      <x:c r="U24" s="6" t="str">
        <x:v>data/dev/resplan-14509/building.json</x:v>
      </x:c>
      <x:c r="V24" s="6" t="str">
        <x:v>https://github.com/hagenhaeussler/Industrial-Agents-Hackathon-2026/blob/f41616590b69f3ea0c1cbfb41d6c35edd9ce53df/data/dev/resplan-14509/building.json</x:v>
      </x:c>
    </x:row>
    <x:row r="25" ht="54" customHeight="1">
      <x:c r="A25" s="6" t="str">
        <x:v>resplan-1465</x:v>
      </x:c>
      <x:c r="B25" s="6" t="str">
        <x:v>Residence 1465</x:v>
      </x:c>
      <x:c r="C25" s="6" t="str">
        <x:v>dev</x:v>
      </x:c>
      <x:c r="D25" s="6" t="str">
        <x:v>resplan</x:v>
      </x:c>
      <x:c r="E25" s="6" t="str">
        <x:v>CC-BY-4.0</x:v>
      </x:c>
      <x:c r="F25" s="18" t="n">
        <x:v>1</x:v>
      </x:c>
      <x:c r="G25" s="6" t="str">
        <x:v>0</x:v>
      </x:c>
      <x:c r="H25" s="18" t="n">
        <x:v>10</x:v>
      </x:c>
      <x:c r="I25" s="18" t="n">
        <x:v>6</x:v>
      </x:c>
      <x:c r="J25" s="18" t="n">
        <x:v>35</x:v>
      </x:c>
      <x:c r="K25" s="18" t="n">
        <x:v>0</x:v>
      </x:c>
      <x:c r="L25" s="18" t="n">
        <x:v>9</x:v>
      </x:c>
      <x:c r="M25" s="18" t="n">
        <x:v>9</x:v>
      </x:c>
      <x:c r="N25" s="18" t="n">
        <x:v>9</x:v>
      </x:c>
      <x:c r="O25" s="18" t="n">
        <x:v>0</x:v>
      </x:c>
      <x:c r="P25" s="18" t="n">
        <x:v>5</x:v>
      </x:c>
      <x:c r="Q25" s="6" t="str">
        <x:v>count, locate, route, route_step_free, tour</x:v>
      </x:c>
      <x:c r="R25" s="21" t="b">
        <x:v>0</x:v>
      </x:c>
      <x:c r="S25" s="21" t="b">
        <x:v>0</x:v>
      </x:c>
      <x:c r="T25" s="6" t="str">
        <x:v>ResPlan, Agour et al., https://github.com/m-agour/ResPlan (CC BY 4.0)</x:v>
      </x:c>
      <x:c r="U25" s="6" t="str">
        <x:v>data/dev/resplan-1465/building.json</x:v>
      </x:c>
      <x:c r="V25" s="6" t="str">
        <x:v>https://github.com/hagenhaeussler/Industrial-Agents-Hackathon-2026/blob/f41616590b69f3ea0c1cbfb41d6c35edd9ce53df/data/dev/resplan-1465/building.json</x:v>
      </x:c>
    </x:row>
    <x:row r="26" ht="54" customHeight="1">
      <x:c r="A26" s="6" t="str">
        <x:v>resplan-15179</x:v>
      </x:c>
      <x:c r="B26" s="6" t="str">
        <x:v>Residence 15179</x:v>
      </x:c>
      <x:c r="C26" s="6" t="str">
        <x:v>dev</x:v>
      </x:c>
      <x:c r="D26" s="6" t="str">
        <x:v>resplan</x:v>
      </x:c>
      <x:c r="E26" s="6" t="str">
        <x:v>CC-BY-4.0</x:v>
      </x:c>
      <x:c r="F26" s="18" t="n">
        <x:v>1</x:v>
      </x:c>
      <x:c r="G26" s="6" t="str">
        <x:v>0</x:v>
      </x:c>
      <x:c r="H26" s="18" t="n">
        <x:v>12</x:v>
      </x:c>
      <x:c r="I26" s="18" t="n">
        <x:v>9</x:v>
      </x:c>
      <x:c r="J26" s="18" t="n">
        <x:v>35</x:v>
      </x:c>
      <x:c r="K26" s="18" t="n">
        <x:v>3</x:v>
      </x:c>
      <x:c r="L26" s="18" t="n">
        <x:v>9</x:v>
      </x:c>
      <x:c r="M26" s="18" t="n">
        <x:v>12</x:v>
      </x:c>
      <x:c r="N26" s="18" t="n">
        <x:v>12</x:v>
      </x:c>
      <x:c r="O26" s="18" t="n">
        <x:v>0</x:v>
      </x:c>
      <x:c r="P26" s="18" t="n">
        <x:v>8</x:v>
      </x:c>
      <x:c r="Q26" s="6" t="str">
        <x:v>count, floor_area_total, locate, route, route_step_free, shared_walls_count, tour, wide_delivery_count</x:v>
      </x:c>
      <x:c r="R26" s="21" t="b">
        <x:v>0</x:v>
      </x:c>
      <x:c r="S26" s="21" t="b">
        <x:v>0</x:v>
      </x:c>
      <x:c r="T26" s="6" t="str">
        <x:v>ResPlan, Agour et al., https://github.com/m-agour/ResPlan (CC BY 4.0)</x:v>
      </x:c>
      <x:c r="U26" s="6" t="str">
        <x:v>data/dev/resplan-15179/building.json</x:v>
      </x:c>
      <x:c r="V26" s="6" t="str">
        <x:v>https://github.com/hagenhaeussler/Industrial-Agents-Hackathon-2026/blob/f41616590b69f3ea0c1cbfb41d6c35edd9ce53df/data/dev/resplan-15179/building.json</x:v>
      </x:c>
    </x:row>
    <x:row r="27" ht="54" customHeight="1">
      <x:c r="A27" s="6" t="str">
        <x:v>resplan-16154</x:v>
      </x:c>
      <x:c r="B27" s="6" t="str">
        <x:v>Residence 16154</x:v>
      </x:c>
      <x:c r="C27" s="6" t="str">
        <x:v>dev</x:v>
      </x:c>
      <x:c r="D27" s="6" t="str">
        <x:v>resplan</x:v>
      </x:c>
      <x:c r="E27" s="6" t="str">
        <x:v>CC-BY-4.0</x:v>
      </x:c>
      <x:c r="F27" s="18" t="n">
        <x:v>1</x:v>
      </x:c>
      <x:c r="G27" s="6" t="str">
        <x:v>0</x:v>
      </x:c>
      <x:c r="H27" s="18" t="n">
        <x:v>7</x:v>
      </x:c>
      <x:c r="I27" s="18" t="n">
        <x:v>6</x:v>
      </x:c>
      <x:c r="J27" s="18" t="n">
        <x:v>25</x:v>
      </x:c>
      <x:c r="K27" s="18" t="n">
        <x:v>2</x:v>
      </x:c>
      <x:c r="L27" s="18" t="n">
        <x:v>9</x:v>
      </x:c>
      <x:c r="M27" s="18" t="n">
        <x:v>11</x:v>
      </x:c>
      <x:c r="N27" s="18" t="n">
        <x:v>11</x:v>
      </x:c>
      <x:c r="O27" s="18" t="n">
        <x:v>0</x:v>
      </x:c>
      <x:c r="P27" s="18" t="n">
        <x:v>7</x:v>
      </x:c>
      <x:c r="Q27" s="6" t="str">
        <x:v>count, locate, route, route_step_free, shared_walls_count, tour, wide_delivery_count</x:v>
      </x:c>
      <x:c r="R27" s="21" t="b">
        <x:v>0</x:v>
      </x:c>
      <x:c r="S27" s="21" t="b">
        <x:v>0</x:v>
      </x:c>
      <x:c r="T27" s="6" t="str">
        <x:v>ResPlan, Agour et al., https://github.com/m-agour/ResPlan (CC BY 4.0)</x:v>
      </x:c>
      <x:c r="U27" s="6" t="str">
        <x:v>data/dev/resplan-16154/building.json</x:v>
      </x:c>
      <x:c r="V27" s="6" t="str">
        <x:v>https://github.com/hagenhaeussler/Industrial-Agents-Hackathon-2026/blob/f41616590b69f3ea0c1cbfb41d6c35edd9ce53df/data/dev/resplan-16154/building.json</x:v>
      </x:c>
    </x:row>
    <x:row r="28" ht="54" customHeight="1">
      <x:c r="A28" s="6" t="str">
        <x:v>resplan-1677</x:v>
      </x:c>
      <x:c r="B28" s="6" t="str">
        <x:v>Residence 1677</x:v>
      </x:c>
      <x:c r="C28" s="6" t="str">
        <x:v>dev</x:v>
      </x:c>
      <x:c r="D28" s="6" t="str">
        <x:v>resplan</x:v>
      </x:c>
      <x:c r="E28" s="6" t="str">
        <x:v>CC-BY-4.0</x:v>
      </x:c>
      <x:c r="F28" s="18" t="n">
        <x:v>1</x:v>
      </x:c>
      <x:c r="G28" s="6" t="str">
        <x:v>0</x:v>
      </x:c>
      <x:c r="H28" s="18" t="n">
        <x:v>10</x:v>
      </x:c>
      <x:c r="I28" s="18" t="n">
        <x:v>8</x:v>
      </x:c>
      <x:c r="J28" s="18" t="n">
        <x:v>40</x:v>
      </x:c>
      <x:c r="K28" s="18" t="n">
        <x:v>4</x:v>
      </x:c>
      <x:c r="L28" s="18" t="n">
        <x:v>9</x:v>
      </x:c>
      <x:c r="M28" s="18" t="n">
        <x:v>13</x:v>
      </x:c>
      <x:c r="N28" s="18" t="n">
        <x:v>13</x:v>
      </x:c>
      <x:c r="O28" s="18" t="n">
        <x:v>0</x:v>
      </x:c>
      <x:c r="P28" s="18" t="n">
        <x:v>9</x:v>
      </x:c>
      <x:c r="Q28" s="6" t="str">
        <x:v>count, errand, floor_area_total, largest_room, locate, route, route_step_free, shared_walls_count, tour</x:v>
      </x:c>
      <x:c r="R28" s="21" t="b">
        <x:v>0</x:v>
      </x:c>
      <x:c r="S28" s="21" t="b">
        <x:v>0</x:v>
      </x:c>
      <x:c r="T28" s="6" t="str">
        <x:v>ResPlan, Agour et al., https://github.com/m-agour/ResPlan (CC BY 4.0)</x:v>
      </x:c>
      <x:c r="U28" s="6" t="str">
        <x:v>data/dev/resplan-1677/building.json</x:v>
      </x:c>
      <x:c r="V28" s="6" t="str">
        <x:v>https://github.com/hagenhaeussler/Industrial-Agents-Hackathon-2026/blob/f41616590b69f3ea0c1cbfb41d6c35edd9ce53df/data/dev/resplan-1677/building.json</x:v>
      </x:c>
    </x:row>
    <x:row r="29" ht="54" customHeight="1">
      <x:c r="A29" s="6" t="str">
        <x:v>resplan-3832</x:v>
      </x:c>
      <x:c r="B29" s="6" t="str">
        <x:v>Residence 3832</x:v>
      </x:c>
      <x:c r="C29" s="6" t="str">
        <x:v>dev</x:v>
      </x:c>
      <x:c r="D29" s="6" t="str">
        <x:v>resplan</x:v>
      </x:c>
      <x:c r="E29" s="6" t="str">
        <x:v>CC-BY-4.0</x:v>
      </x:c>
      <x:c r="F29" s="18" t="n">
        <x:v>1</x:v>
      </x:c>
      <x:c r="G29" s="6" t="str">
        <x:v>0</x:v>
      </x:c>
      <x:c r="H29" s="18" t="n">
        <x:v>8</x:v>
      </x:c>
      <x:c r="I29" s="18" t="n">
        <x:v>7</x:v>
      </x:c>
      <x:c r="J29" s="18" t="n">
        <x:v>31</x:v>
      </x:c>
      <x:c r="K29" s="18" t="n">
        <x:v>2</x:v>
      </x:c>
      <x:c r="L29" s="18" t="n">
        <x:v>9</x:v>
      </x:c>
      <x:c r="M29" s="18" t="n">
        <x:v>11</x:v>
      </x:c>
      <x:c r="N29" s="18" t="n">
        <x:v>11</x:v>
      </x:c>
      <x:c r="O29" s="18" t="n">
        <x:v>0</x:v>
      </x:c>
      <x:c r="P29" s="18" t="n">
        <x:v>7</x:v>
      </x:c>
      <x:c r="Q29" s="6" t="str">
        <x:v>count, locate, route, route_step_free, shared_walls_count, tour, wide_delivery_count</x:v>
      </x:c>
      <x:c r="R29" s="21" t="b">
        <x:v>0</x:v>
      </x:c>
      <x:c r="S29" s="21" t="b">
        <x:v>0</x:v>
      </x:c>
      <x:c r="T29" s="6" t="str">
        <x:v>ResPlan, Agour et al., https://github.com/m-agour/ResPlan (CC BY 4.0)</x:v>
      </x:c>
      <x:c r="U29" s="6" t="str">
        <x:v>data/dev/resplan-3832/building.json</x:v>
      </x:c>
      <x:c r="V29" s="6" t="str">
        <x:v>https://github.com/hagenhaeussler/Industrial-Agents-Hackathon-2026/blob/f41616590b69f3ea0c1cbfb41d6c35edd9ce53df/data/dev/resplan-3832/building.json</x:v>
      </x:c>
    </x:row>
    <x:row r="30" ht="42" customHeight="1">
      <x:c r="A30" s="6" t="str">
        <x:v>resplan-439</x:v>
      </x:c>
      <x:c r="B30" s="6" t="str">
        <x:v>Residence 439</x:v>
      </x:c>
      <x:c r="C30" s="6" t="str">
        <x:v>dev</x:v>
      </x:c>
      <x:c r="D30" s="6" t="str">
        <x:v>resplan</x:v>
      </x:c>
      <x:c r="E30" s="6" t="str">
        <x:v>CC-BY-4.0</x:v>
      </x:c>
      <x:c r="F30" s="18" t="n">
        <x:v>1</x:v>
      </x:c>
      <x:c r="G30" s="6" t="str">
        <x:v>0</x:v>
      </x:c>
      <x:c r="H30" s="18" t="n">
        <x:v>8</x:v>
      </x:c>
      <x:c r="I30" s="18" t="n">
        <x:v>6</x:v>
      </x:c>
      <x:c r="J30" s="18" t="n">
        <x:v>30</x:v>
      </x:c>
      <x:c r="K30" s="18" t="n">
        <x:v>1</x:v>
      </x:c>
      <x:c r="L30" s="18" t="n">
        <x:v>9</x:v>
      </x:c>
      <x:c r="M30" s="18" t="n">
        <x:v>10</x:v>
      </x:c>
      <x:c r="N30" s="18" t="n">
        <x:v>10</x:v>
      </x:c>
      <x:c r="O30" s="18" t="n">
        <x:v>0</x:v>
      </x:c>
      <x:c r="P30" s="18" t="n">
        <x:v>6</x:v>
      </x:c>
      <x:c r="Q30" s="6" t="str">
        <x:v>count, locate, route, route_step_free, shared_walls_count, tour</x:v>
      </x:c>
      <x:c r="R30" s="21" t="b">
        <x:v>0</x:v>
      </x:c>
      <x:c r="S30" s="21" t="b">
        <x:v>0</x:v>
      </x:c>
      <x:c r="T30" s="6" t="str">
        <x:v>ResPlan, Agour et al., https://github.com/m-agour/ResPlan (CC BY 4.0)</x:v>
      </x:c>
      <x:c r="U30" s="6" t="str">
        <x:v>data/dev/resplan-439/building.json</x:v>
      </x:c>
      <x:c r="V30" s="6" t="str">
        <x:v>https://github.com/hagenhaeussler/Industrial-Agents-Hackathon-2026/blob/f41616590b69f3ea0c1cbfb41d6c35edd9ce53df/data/dev/resplan-439/building.json</x:v>
      </x:c>
    </x:row>
    <x:row r="31" ht="54" customHeight="1">
      <x:c r="A31" s="6" t="str">
        <x:v>resplan-7336</x:v>
      </x:c>
      <x:c r="B31" s="6" t="str">
        <x:v>Residence 7336</x:v>
      </x:c>
      <x:c r="C31" s="6" t="str">
        <x:v>dev</x:v>
      </x:c>
      <x:c r="D31" s="6" t="str">
        <x:v>resplan</x:v>
      </x:c>
      <x:c r="E31" s="6" t="str">
        <x:v>CC-BY-4.0</x:v>
      </x:c>
      <x:c r="F31" s="18" t="n">
        <x:v>1</x:v>
      </x:c>
      <x:c r="G31" s="6" t="str">
        <x:v>0</x:v>
      </x:c>
      <x:c r="H31" s="18" t="n">
        <x:v>9</x:v>
      </x:c>
      <x:c r="I31" s="18" t="n">
        <x:v>6</x:v>
      </x:c>
      <x:c r="J31" s="18" t="n">
        <x:v>29</x:v>
      </x:c>
      <x:c r="K31" s="18" t="n">
        <x:v>1</x:v>
      </x:c>
      <x:c r="L31" s="18" t="n">
        <x:v>9</x:v>
      </x:c>
      <x:c r="M31" s="18" t="n">
        <x:v>10</x:v>
      </x:c>
      <x:c r="N31" s="18" t="n">
        <x:v>10</x:v>
      </x:c>
      <x:c r="O31" s="18" t="n">
        <x:v>0</x:v>
      </x:c>
      <x:c r="P31" s="18" t="n">
        <x:v>6</x:v>
      </x:c>
      <x:c r="Q31" s="6" t="str">
        <x:v>count, locate, route, route_step_free, shared_walls_count, tour</x:v>
      </x:c>
      <x:c r="R31" s="21" t="b">
        <x:v>0</x:v>
      </x:c>
      <x:c r="S31" s="21" t="b">
        <x:v>0</x:v>
      </x:c>
      <x:c r="T31" s="6" t="str">
        <x:v>ResPlan, Agour et al., https://github.com/m-agour/ResPlan (CC BY 4.0)</x:v>
      </x:c>
      <x:c r="U31" s="6" t="str">
        <x:v>data/dev/resplan-7336/building.json</x:v>
      </x:c>
      <x:c r="V31" s="6" t="str">
        <x:v>https://github.com/hagenhaeussler/Industrial-Agents-Hackathon-2026/blob/f41616590b69f3ea0c1cbfb41d6c35edd9ce53df/data/dev/resplan-7336/building.json</x:v>
      </x:c>
    </x:row>
    <x:row r="32" ht="54" customHeight="1">
      <x:c r="A32" s="6" t="str">
        <x:v>resplan-8169</x:v>
      </x:c>
      <x:c r="B32" s="6" t="str">
        <x:v>Residence 8169</x:v>
      </x:c>
      <x:c r="C32" s="6" t="str">
        <x:v>dev</x:v>
      </x:c>
      <x:c r="D32" s="6" t="str">
        <x:v>resplan</x:v>
      </x:c>
      <x:c r="E32" s="6" t="str">
        <x:v>CC-BY-4.0</x:v>
      </x:c>
      <x:c r="F32" s="18" t="n">
        <x:v>1</x:v>
      </x:c>
      <x:c r="G32" s="6" t="str">
        <x:v>0</x:v>
      </x:c>
      <x:c r="H32" s="18" t="n">
        <x:v>6</x:v>
      </x:c>
      <x:c r="I32" s="18" t="n">
        <x:v>6</x:v>
      </x:c>
      <x:c r="J32" s="18" t="n">
        <x:v>25</x:v>
      </x:c>
      <x:c r="K32" s="18" t="n">
        <x:v>1</x:v>
      </x:c>
      <x:c r="L32" s="18" t="n">
        <x:v>9</x:v>
      </x:c>
      <x:c r="M32" s="18" t="n">
        <x:v>10</x:v>
      </x:c>
      <x:c r="N32" s="18" t="n">
        <x:v>10</x:v>
      </x:c>
      <x:c r="O32" s="18" t="n">
        <x:v>0</x:v>
      </x:c>
      <x:c r="P32" s="18" t="n">
        <x:v>6</x:v>
      </x:c>
      <x:c r="Q32" s="6" t="str">
        <x:v>count, locate, route, route_step_free, shared_walls_count, tour</x:v>
      </x:c>
      <x:c r="R32" s="21" t="b">
        <x:v>0</x:v>
      </x:c>
      <x:c r="S32" s="21" t="b">
        <x:v>0</x:v>
      </x:c>
      <x:c r="T32" s="6" t="str">
        <x:v>ResPlan, Agour et al., https://github.com/m-agour/ResPlan (CC BY 4.0)</x:v>
      </x:c>
      <x:c r="U32" s="6" t="str">
        <x:v>data/dev/resplan-8169/building.json</x:v>
      </x:c>
      <x:c r="V32" s="6" t="str">
        <x:v>https://github.com/hagenhaeussler/Industrial-Agents-Hackathon-2026/blob/f41616590b69f3ea0c1cbfb41d6c35edd9ce53df/data/dev/resplan-8169/building.json</x:v>
      </x:c>
    </x:row>
    <x:row r="33" ht="54" customHeight="1">
      <x:c r="A33" s="6" t="str">
        <x:v>resplan-8269</x:v>
      </x:c>
      <x:c r="B33" s="6" t="str">
        <x:v>Residence 8269</x:v>
      </x:c>
      <x:c r="C33" s="6" t="str">
        <x:v>dev</x:v>
      </x:c>
      <x:c r="D33" s="6" t="str">
        <x:v>resplan</x:v>
      </x:c>
      <x:c r="E33" s="6" t="str">
        <x:v>CC-BY-4.0</x:v>
      </x:c>
      <x:c r="F33" s="18" t="n">
        <x:v>1</x:v>
      </x:c>
      <x:c r="G33" s="6" t="str">
        <x:v>0</x:v>
      </x:c>
      <x:c r="H33" s="18" t="n">
        <x:v>5</x:v>
      </x:c>
      <x:c r="I33" s="18" t="n">
        <x:v>5</x:v>
      </x:c>
      <x:c r="J33" s="18" t="n">
        <x:v>20</x:v>
      </x:c>
      <x:c r="K33" s="18" t="n">
        <x:v>2</x:v>
      </x:c>
      <x:c r="L33" s="18" t="n">
        <x:v>9</x:v>
      </x:c>
      <x:c r="M33" s="18" t="n">
        <x:v>11</x:v>
      </x:c>
      <x:c r="N33" s="18" t="n">
        <x:v>11</x:v>
      </x:c>
      <x:c r="O33" s="18" t="n">
        <x:v>0</x:v>
      </x:c>
      <x:c r="P33" s="18" t="n">
        <x:v>7</x:v>
      </x:c>
      <x:c r="Q33" s="6" t="str">
        <x:v>count, locate, route, route_step_free, shared_walls_count, tour, wide_delivery_count</x:v>
      </x:c>
      <x:c r="R33" s="21" t="b">
        <x:v>0</x:v>
      </x:c>
      <x:c r="S33" s="21" t="b">
        <x:v>0</x:v>
      </x:c>
      <x:c r="T33" s="6" t="str">
        <x:v>ResPlan, Agour et al., https://github.com/m-agour/ResPlan (CC BY 4.0)</x:v>
      </x:c>
      <x:c r="U33" s="6" t="str">
        <x:v>data/dev/resplan-8269/building.json</x:v>
      </x:c>
      <x:c r="V33" s="6" t="str">
        <x:v>https://github.com/hagenhaeussler/Industrial-Agents-Hackathon-2026/blob/f41616590b69f3ea0c1cbfb41d6c35edd9ce53df/data/dev/resplan-8269/building.json</x:v>
      </x:c>
    </x:row>
    <x:row r="34" ht="42" customHeight="1">
      <x:c r="A34" s="6" t="str">
        <x:v>swiss-1689</x:v>
      </x:c>
      <x:c r="B34" s="6" t="str">
        <x:v>Residential building 1689</x:v>
      </x:c>
      <x:c r="C34" s="6" t="str">
        <x:v>dev</x:v>
      </x:c>
      <x:c r="D34" s="6" t="str">
        <x:v>swiss_dwellings</x:v>
      </x:c>
      <x:c r="E34" s="6" t="str">
        <x:v>CC-BY-4.0</x:v>
      </x:c>
      <x:c r="F34" s="18" t="n">
        <x:v>5</x:v>
      </x:c>
      <x:c r="G34" s="6" t="str">
        <x:v>-1, 0, 1, 2, 3</x:v>
      </x:c>
      <x:c r="H34" s="18" t="n">
        <x:v>362</x:v>
      </x:c>
      <x:c r="I34" s="18" t="n">
        <x:v>237</x:v>
      </x:c>
      <x:c r="J34" s="18" t="n">
        <x:v>940</x:v>
      </x:c>
      <x:c r="K34" s="18" t="n">
        <x:v>1</x:v>
      </x:c>
      <x:c r="L34" s="18" t="n">
        <x:v>7</x:v>
      </x:c>
      <x:c r="M34" s="18" t="n">
        <x:v>8</x:v>
      </x:c>
      <x:c r="N34" s="18" t="n">
        <x:v>8</x:v>
      </x:c>
      <x:c r="O34" s="18" t="n">
        <x:v>0</x:v>
      </x:c>
      <x:c r="P34" s="18" t="n">
        <x:v>6</x:v>
      </x:c>
      <x:c r="Q34" s="6" t="str">
        <x:v>count, floor_area_total, route, route_step_free, route_with_closure, tour</x:v>
      </x:c>
      <x:c r="R34" s="21" t="b">
        <x:v>1</x:v>
      </x:c>
      <x:c r="S34" s="21" t="b">
        <x:v>1</x:v>
      </x:c>
      <x:c r="T34" s="6" t="str">
        <x:v>Swiss Dwellings, Archilyse AG / Standfest et al., https://zenodo.org/records/7070952 (CC BY 4.0)</x:v>
      </x:c>
      <x:c r="U34" s="6" t="str">
        <x:v>data/dev/swiss-1689/building.json</x:v>
      </x:c>
      <x:c r="V34" s="6" t="str">
        <x:v>https://github.com/hagenhaeussler/Industrial-Agents-Hackathon-2026/blob/f41616590b69f3ea0c1cbfb41d6c35edd9ce53df/data/dev/swiss-1689/building.json</x:v>
      </x:c>
    </x:row>
    <x:row r="35" ht="42" customHeight="1">
      <x:c r="A35" s="6" t="str">
        <x:v>swiss-1785</x:v>
      </x:c>
      <x:c r="B35" s="6" t="str">
        <x:v>Residential building 1785</x:v>
      </x:c>
      <x:c r="C35" s="6" t="str">
        <x:v>dev</x:v>
      </x:c>
      <x:c r="D35" s="6" t="str">
        <x:v>swiss_dwellings</x:v>
      </x:c>
      <x:c r="E35" s="6" t="str">
        <x:v>CC-BY-4.0</x:v>
      </x:c>
      <x:c r="F35" s="18" t="n">
        <x:v>3</x:v>
      </x:c>
      <x:c r="G35" s="6" t="str">
        <x:v>0, 1, 2</x:v>
      </x:c>
      <x:c r="H35" s="18" t="n">
        <x:v>100</x:v>
      </x:c>
      <x:c r="I35" s="18" t="n">
        <x:v>70</x:v>
      </x:c>
      <x:c r="J35" s="18" t="n">
        <x:v>339</x:v>
      </x:c>
      <x:c r="K35" s="18" t="n">
        <x:v>3</x:v>
      </x:c>
      <x:c r="L35" s="18" t="n">
        <x:v>8</x:v>
      </x:c>
      <x:c r="M35" s="18" t="n">
        <x:v>11</x:v>
      </x:c>
      <x:c r="N35" s="18" t="n">
        <x:v>11</x:v>
      </x:c>
      <x:c r="O35" s="18" t="n">
        <x:v>0</x:v>
      </x:c>
      <x:c r="P35" s="18" t="n">
        <x:v>9</x:v>
      </x:c>
      <x:c r="Q35" s="6" t="str">
        <x:v>count, errand, floor_area_total, largest_room, locate, route, route_step_free, route_with_closure, tour</x:v>
      </x:c>
      <x:c r="R35" s="21" t="b">
        <x:v>1</x:v>
      </x:c>
      <x:c r="S35" s="21" t="b">
        <x:v>1</x:v>
      </x:c>
      <x:c r="T35" s="6" t="str">
        <x:v>Swiss Dwellings, Archilyse AG / Standfest et al., https://zenodo.org/records/7070952 (CC BY 4.0)</x:v>
      </x:c>
      <x:c r="U35" s="6" t="str">
        <x:v>data/dev/swiss-1785/building.json</x:v>
      </x:c>
      <x:c r="V35" s="6" t="str">
        <x:v>https://github.com/hagenhaeussler/Industrial-Agents-Hackathon-2026/blob/f41616590b69f3ea0c1cbfb41d6c35edd9ce53df/data/dev/swiss-1785/building.json</x:v>
      </x:c>
    </x:row>
    <x:row r="36" ht="42" customHeight="1">
      <x:c r="A36" s="6" t="str">
        <x:v>swiss-203</x:v>
      </x:c>
      <x:c r="B36" s="6" t="str">
        <x:v>Residential building 203</x:v>
      </x:c>
      <x:c r="C36" s="6" t="str">
        <x:v>dev</x:v>
      </x:c>
      <x:c r="D36" s="6" t="str">
        <x:v>swiss_dwellings</x:v>
      </x:c>
      <x:c r="E36" s="6" t="str">
        <x:v>CC-BY-4.0</x:v>
      </x:c>
      <x:c r="F36" s="18" t="n">
        <x:v>4</x:v>
      </x:c>
      <x:c r="G36" s="6" t="str">
        <x:v>0, 1, 2, 3</x:v>
      </x:c>
      <x:c r="H36" s="18" t="n">
        <x:v>144</x:v>
      </x:c>
      <x:c r="I36" s="18" t="n">
        <x:v>96</x:v>
      </x:c>
      <x:c r="J36" s="18" t="n">
        <x:v>424</x:v>
      </x:c>
      <x:c r="K36" s="18" t="n">
        <x:v>2</x:v>
      </x:c>
      <x:c r="L36" s="18" t="n">
        <x:v>7</x:v>
      </x:c>
      <x:c r="M36" s="18" t="n">
        <x:v>9</x:v>
      </x:c>
      <x:c r="N36" s="18" t="n">
        <x:v>9</x:v>
      </x:c>
      <x:c r="O36" s="18" t="n">
        <x:v>0</x:v>
      </x:c>
      <x:c r="P36" s="18" t="n">
        <x:v>7</x:v>
      </x:c>
      <x:c r="Q36" s="6" t="str">
        <x:v>count, floor_area_total, route, route_step_free, route_with_closure, shared_walls_count, tour</x:v>
      </x:c>
      <x:c r="R36" s="21" t="b">
        <x:v>0</x:v>
      </x:c>
      <x:c r="S36" s="21" t="b">
        <x:v>1</x:v>
      </x:c>
      <x:c r="T36" s="6" t="str">
        <x:v>Swiss Dwellings, Archilyse AG / Standfest et al., https://zenodo.org/records/7070952 (CC BY 4.0)</x:v>
      </x:c>
      <x:c r="U36" s="6" t="str">
        <x:v>data/dev/swiss-203/building.json</x:v>
      </x:c>
      <x:c r="V36" s="6" t="str">
        <x:v>https://github.com/hagenhaeussler/Industrial-Agents-Hackathon-2026/blob/f41616590b69f3ea0c1cbfb41d6c35edd9ce53df/data/dev/swiss-203/building.json</x:v>
      </x:c>
    </x:row>
    <x:row r="37" ht="42" customHeight="1">
      <x:c r="A37" s="6" t="str">
        <x:v>swiss-2074</x:v>
      </x:c>
      <x:c r="B37" s="6" t="str">
        <x:v>Residential building 2074</x:v>
      </x:c>
      <x:c r="C37" s="6" t="str">
        <x:v>dev</x:v>
      </x:c>
      <x:c r="D37" s="6" t="str">
        <x:v>swiss_dwellings</x:v>
      </x:c>
      <x:c r="E37" s="6" t="str">
        <x:v>CC-BY-4.0</x:v>
      </x:c>
      <x:c r="F37" s="18" t="n">
        <x:v>3</x:v>
      </x:c>
      <x:c r="G37" s="6" t="str">
        <x:v>0, 1, 2</x:v>
      </x:c>
      <x:c r="H37" s="18" t="n">
        <x:v>51</x:v>
      </x:c>
      <x:c r="I37" s="18" t="n">
        <x:v>33</x:v>
      </x:c>
      <x:c r="J37" s="18" t="n">
        <x:v>144</x:v>
      </x:c>
      <x:c r="K37" s="18" t="n">
        <x:v>1</x:v>
      </x:c>
      <x:c r="L37" s="18" t="n">
        <x:v>9</x:v>
      </x:c>
      <x:c r="M37" s="18" t="n">
        <x:v>10</x:v>
      </x:c>
      <x:c r="N37" s="18" t="n">
        <x:v>10</x:v>
      </x:c>
      <x:c r="O37" s="18" t="n">
        <x:v>0</x:v>
      </x:c>
      <x:c r="P37" s="18" t="n">
        <x:v>7</x:v>
      </x:c>
      <x:c r="Q37" s="6" t="str">
        <x:v>count, floor_area_total, locate, route, route_step_free, route_with_closure, tour</x:v>
      </x:c>
      <x:c r="R37" s="21" t="b">
        <x:v>0</x:v>
      </x:c>
      <x:c r="S37" s="21" t="b">
        <x:v>1</x:v>
      </x:c>
      <x:c r="T37" s="6" t="str">
        <x:v>Swiss Dwellings, Archilyse AG / Standfest et al., https://zenodo.org/records/7070952 (CC BY 4.0)</x:v>
      </x:c>
      <x:c r="U37" s="6" t="str">
        <x:v>data/dev/swiss-2074/building.json</x:v>
      </x:c>
      <x:c r="V37" s="6" t="str">
        <x:v>https://github.com/hagenhaeussler/Industrial-Agents-Hackathon-2026/blob/f41616590b69f3ea0c1cbfb41d6c35edd9ce53df/data/dev/swiss-2074/building.json</x:v>
      </x:c>
    </x:row>
    <x:row r="38" ht="42" customHeight="1">
      <x:c r="A38" s="6" t="str">
        <x:v>swiss-2211</x:v>
      </x:c>
      <x:c r="B38" s="6" t="str">
        <x:v>Residential building 2211</x:v>
      </x:c>
      <x:c r="C38" s="6" t="str">
        <x:v>dev</x:v>
      </x:c>
      <x:c r="D38" s="6" t="str">
        <x:v>swiss_dwellings</x:v>
      </x:c>
      <x:c r="E38" s="6" t="str">
        <x:v>CC-BY-4.0</x:v>
      </x:c>
      <x:c r="F38" s="18" t="n">
        <x:v>5</x:v>
      </x:c>
      <x:c r="G38" s="6" t="str">
        <x:v>0, 1, 2, 3, 4</x:v>
      </x:c>
      <x:c r="H38" s="18" t="n">
        <x:v>199</x:v>
      </x:c>
      <x:c r="I38" s="18" t="n">
        <x:v>146</x:v>
      </x:c>
      <x:c r="J38" s="18" t="n">
        <x:v>655</x:v>
      </x:c>
      <x:c r="K38" s="18" t="n">
        <x:v>3</x:v>
      </x:c>
      <x:c r="L38" s="18" t="n">
        <x:v>7</x:v>
      </x:c>
      <x:c r="M38" s="18" t="n">
        <x:v>10</x:v>
      </x:c>
      <x:c r="N38" s="18" t="n">
        <x:v>10</x:v>
      </x:c>
      <x:c r="O38" s="18" t="n">
        <x:v>0</x:v>
      </x:c>
      <x:c r="P38" s="18" t="n">
        <x:v>8</x:v>
      </x:c>
      <x:c r="Q38" s="6" t="str">
        <x:v>count, errand, floor_area_total, largest_room, route, route_step_free, route_with_closure, tour</x:v>
      </x:c>
      <x:c r="R38" s="21" t="b">
        <x:v>1</x:v>
      </x:c>
      <x:c r="S38" s="21" t="b">
        <x:v>1</x:v>
      </x:c>
      <x:c r="T38" s="6" t="str">
        <x:v>Swiss Dwellings, Archilyse AG / Standfest et al., https://zenodo.org/records/7070952 (CC BY 4.0)</x:v>
      </x:c>
      <x:c r="U38" s="6" t="str">
        <x:v>data/dev/swiss-2211/building.json</x:v>
      </x:c>
      <x:c r="V38" s="6" t="str">
        <x:v>https://github.com/hagenhaeussler/Industrial-Agents-Hackathon-2026/blob/f41616590b69f3ea0c1cbfb41d6c35edd9ce53df/data/dev/swiss-2211/building.json</x:v>
      </x:c>
    </x:row>
    <x:row r="39" ht="42" customHeight="1">
      <x:c r="A39" s="6" t="str">
        <x:v>swiss-2325</x:v>
      </x:c>
      <x:c r="B39" s="6" t="str">
        <x:v>Residential building 2325</x:v>
      </x:c>
      <x:c r="C39" s="6" t="str">
        <x:v>dev</x:v>
      </x:c>
      <x:c r="D39" s="6" t="str">
        <x:v>swiss_dwellings</x:v>
      </x:c>
      <x:c r="E39" s="6" t="str">
        <x:v>CC-BY-4.0</x:v>
      </x:c>
      <x:c r="F39" s="18" t="n">
        <x:v>6</x:v>
      </x:c>
      <x:c r="G39" s="6" t="str">
        <x:v>0, 1, 2, 3, 4, 5</x:v>
      </x:c>
      <x:c r="H39" s="18" t="n">
        <x:v>106</x:v>
      </x:c>
      <x:c r="I39" s="18" t="n">
        <x:v>72</x:v>
      </x:c>
      <x:c r="J39" s="18" t="n">
        <x:v>289</x:v>
      </x:c>
      <x:c r="K39" s="18" t="n">
        <x:v>1</x:v>
      </x:c>
      <x:c r="L39" s="18" t="n">
        <x:v>10</x:v>
      </x:c>
      <x:c r="M39" s="18" t="n">
        <x:v>11</x:v>
      </x:c>
      <x:c r="N39" s="18" t="n">
        <x:v>11</x:v>
      </x:c>
      <x:c r="O39" s="18" t="n">
        <x:v>0</x:v>
      </x:c>
      <x:c r="P39" s="18" t="n">
        <x:v>7</x:v>
      </x:c>
      <x:c r="Q39" s="6" t="str">
        <x:v>count, floor_area_total, locate, route, route_step_free, route_with_closure, tour</x:v>
      </x:c>
      <x:c r="R39" s="21" t="b">
        <x:v>1</x:v>
      </x:c>
      <x:c r="S39" s="21" t="b">
        <x:v>1</x:v>
      </x:c>
      <x:c r="T39" s="6" t="str">
        <x:v>Swiss Dwellings, Archilyse AG / Standfest et al., https://zenodo.org/records/7070952 (CC BY 4.0)</x:v>
      </x:c>
      <x:c r="U39" s="6" t="str">
        <x:v>data/dev/swiss-2325/building.json</x:v>
      </x:c>
      <x:c r="V39" s="6" t="str">
        <x:v>https://github.com/hagenhaeussler/Industrial-Agents-Hackathon-2026/blob/f41616590b69f3ea0c1cbfb41d6c35edd9ce53df/data/dev/swiss-2325/building.json</x:v>
      </x:c>
    </x:row>
    <x:row r="40" ht="42" customHeight="1">
      <x:c r="A40" s="6" t="str">
        <x:v>swiss-31</x:v>
      </x:c>
      <x:c r="B40" s="6" t="str">
        <x:v>Residential building 31</x:v>
      </x:c>
      <x:c r="C40" s="6" t="str">
        <x:v>dev</x:v>
      </x:c>
      <x:c r="D40" s="6" t="str">
        <x:v>swiss_dwellings</x:v>
      </x:c>
      <x:c r="E40" s="6" t="str">
        <x:v>CC-BY-4.0</x:v>
      </x:c>
      <x:c r="F40" s="18" t="n">
        <x:v>4</x:v>
      </x:c>
      <x:c r="G40" s="6" t="str">
        <x:v>0, 1, 2, 3</x:v>
      </x:c>
      <x:c r="H40" s="18" t="n">
        <x:v>132</x:v>
      </x:c>
      <x:c r="I40" s="18" t="n">
        <x:v>96</x:v>
      </x:c>
      <x:c r="J40" s="18" t="n">
        <x:v>371</x:v>
      </x:c>
      <x:c r="K40" s="18" t="n">
        <x:v>1</x:v>
      </x:c>
      <x:c r="L40" s="18" t="n">
        <x:v>8</x:v>
      </x:c>
      <x:c r="M40" s="18" t="n">
        <x:v>9</x:v>
      </x:c>
      <x:c r="N40" s="18" t="n">
        <x:v>9</x:v>
      </x:c>
      <x:c r="O40" s="18" t="n">
        <x:v>0</x:v>
      </x:c>
      <x:c r="P40" s="18" t="n">
        <x:v>7</x:v>
      </x:c>
      <x:c r="Q40" s="6" t="str">
        <x:v>count, floor_area_total, locate, route, route_step_free, route_with_closure, tour</x:v>
      </x:c>
      <x:c r="R40" s="21" t="b">
        <x:v>1</x:v>
      </x:c>
      <x:c r="S40" s="21" t="b">
        <x:v>1</x:v>
      </x:c>
      <x:c r="T40" s="6" t="str">
        <x:v>Swiss Dwellings, Archilyse AG / Standfest et al., https://zenodo.org/records/7070952 (CC BY 4.0)</x:v>
      </x:c>
      <x:c r="U40" s="6" t="str">
        <x:v>data/dev/swiss-31/building.json</x:v>
      </x:c>
      <x:c r="V40" s="6" t="str">
        <x:v>https://github.com/hagenhaeussler/Industrial-Agents-Hackathon-2026/blob/f41616590b69f3ea0c1cbfb41d6c35edd9ce53df/data/dev/swiss-31/building.json</x:v>
      </x:c>
    </x:row>
    <x:row r="41" ht="42" customHeight="1">
      <x:c r="A41" s="6" t="str">
        <x:v>swiss-3254</x:v>
      </x:c>
      <x:c r="B41" s="6" t="str">
        <x:v>Residential building 3254</x:v>
      </x:c>
      <x:c r="C41" s="6" t="str">
        <x:v>dev</x:v>
      </x:c>
      <x:c r="D41" s="6" t="str">
        <x:v>swiss_dwellings</x:v>
      </x:c>
      <x:c r="E41" s="6" t="str">
        <x:v>CC-BY-4.0</x:v>
      </x:c>
      <x:c r="F41" s="18" t="n">
        <x:v>3</x:v>
      </x:c>
      <x:c r="G41" s="6" t="str">
        <x:v>0, 1, 2</x:v>
      </x:c>
      <x:c r="H41" s="18" t="n">
        <x:v>59</x:v>
      </x:c>
      <x:c r="I41" s="18" t="n">
        <x:v>40</x:v>
      </x:c>
      <x:c r="J41" s="18" t="n">
        <x:v>170</x:v>
      </x:c>
      <x:c r="K41" s="18" t="n">
        <x:v>2</x:v>
      </x:c>
      <x:c r="L41" s="18" t="n">
        <x:v>9</x:v>
      </x:c>
      <x:c r="M41" s="18" t="n">
        <x:v>11</x:v>
      </x:c>
      <x:c r="N41" s="18" t="n">
        <x:v>11</x:v>
      </x:c>
      <x:c r="O41" s="18" t="n">
        <x:v>0</x:v>
      </x:c>
      <x:c r="P41" s="18" t="n">
        <x:v>8</x:v>
      </x:c>
      <x:c r="Q41" s="6" t="str">
        <x:v>count, floor_area_total, locate, route, route_step_free, route_with_closure, shared_walls_count, tour</x:v>
      </x:c>
      <x:c r="R41" s="21" t="b">
        <x:v>0</x:v>
      </x:c>
      <x:c r="S41" s="21" t="b">
        <x:v>1</x:v>
      </x:c>
      <x:c r="T41" s="6" t="str">
        <x:v>Swiss Dwellings, Archilyse AG / Standfest et al., https://zenodo.org/records/7070952 (CC BY 4.0)</x:v>
      </x:c>
      <x:c r="U41" s="6" t="str">
        <x:v>data/dev/swiss-3254/building.json</x:v>
      </x:c>
      <x:c r="V41" s="6" t="str">
        <x:v>https://github.com/hagenhaeussler/Industrial-Agents-Hackathon-2026/blob/f41616590b69f3ea0c1cbfb41d6c35edd9ce53df/data/dev/swiss-3254/building.json</x:v>
      </x:c>
    </x:row>
    <x:row r="42" ht="42" customHeight="1">
      <x:c r="A42" s="6" t="str">
        <x:v>swiss-450</x:v>
      </x:c>
      <x:c r="B42" s="6" t="str">
        <x:v>Residential building 450</x:v>
      </x:c>
      <x:c r="C42" s="6" t="str">
        <x:v>dev</x:v>
      </x:c>
      <x:c r="D42" s="6" t="str">
        <x:v>swiss_dwellings</x:v>
      </x:c>
      <x:c r="E42" s="6" t="str">
        <x:v>CC-BY-4.0</x:v>
      </x:c>
      <x:c r="F42" s="18" t="n">
        <x:v>4</x:v>
      </x:c>
      <x:c r="G42" s="6" t="str">
        <x:v>0, 1, 2, 3</x:v>
      </x:c>
      <x:c r="H42" s="18" t="n">
        <x:v>60</x:v>
      </x:c>
      <x:c r="I42" s="18" t="n">
        <x:v>41</x:v>
      </x:c>
      <x:c r="J42" s="18" t="n">
        <x:v>171</x:v>
      </x:c>
      <x:c r="K42" s="18" t="n">
        <x:v>4</x:v>
      </x:c>
      <x:c r="L42" s="18" t="n">
        <x:v>10</x:v>
      </x:c>
      <x:c r="M42" s="18" t="n">
        <x:v>14</x:v>
      </x:c>
      <x:c r="N42" s="18" t="n">
        <x:v>14</x:v>
      </x:c>
      <x:c r="O42" s="18" t="n">
        <x:v>0</x:v>
      </x:c>
      <x:c r="P42" s="18" t="n">
        <x:v>10</x:v>
      </x:c>
      <x:c r="Q42" s="6" t="str">
        <x:v>count, errand, floor_area_total, largest_room, locate, route, route_step_free, route_with_closure, shared_walls_count, tour</x:v>
      </x:c>
      <x:c r="R42" s="21" t="b">
        <x:v>0</x:v>
      </x:c>
      <x:c r="S42" s="21" t="b">
        <x:v>1</x:v>
      </x:c>
      <x:c r="T42" s="6" t="str">
        <x:v>Swiss Dwellings, Archilyse AG / Standfest et al., https://zenodo.org/records/7070952 (CC BY 4.0)</x:v>
      </x:c>
      <x:c r="U42" s="6" t="str">
        <x:v>data/dev/swiss-450/building.json</x:v>
      </x:c>
      <x:c r="V42" s="6" t="str">
        <x:v>https://github.com/hagenhaeussler/Industrial-Agents-Hackathon-2026/blob/f41616590b69f3ea0c1cbfb41d6c35edd9ce53df/data/dev/swiss-450/building.json</x:v>
      </x:c>
    </x:row>
    <x:row r="43" ht="42" customHeight="1">
      <x:c r="A43" s="6" t="str">
        <x:v>swiss-460</x:v>
      </x:c>
      <x:c r="B43" s="6" t="str">
        <x:v>Residential building 460</x:v>
      </x:c>
      <x:c r="C43" s="6" t="str">
        <x:v>dev</x:v>
      </x:c>
      <x:c r="D43" s="6" t="str">
        <x:v>swiss_dwellings</x:v>
      </x:c>
      <x:c r="E43" s="6" t="str">
        <x:v>CC-BY-4.0</x:v>
      </x:c>
      <x:c r="F43" s="18" t="n">
        <x:v>4</x:v>
      </x:c>
      <x:c r="G43" s="6" t="str">
        <x:v>0, 2, 3, 4</x:v>
      </x:c>
      <x:c r="H43" s="18" t="n">
        <x:v>69</x:v>
      </x:c>
      <x:c r="I43" s="18" t="n">
        <x:v>49</x:v>
      </x:c>
      <x:c r="J43" s="18" t="n">
        <x:v>144</x:v>
      </x:c>
      <x:c r="K43" s="18" t="n">
        <x:v>3</x:v>
      </x:c>
      <x:c r="L43" s="18" t="n">
        <x:v>10</x:v>
      </x:c>
      <x:c r="M43" s="18" t="n">
        <x:v>13</x:v>
      </x:c>
      <x:c r="N43" s="18" t="n">
        <x:v>13</x:v>
      </x:c>
      <x:c r="O43" s="18" t="n">
        <x:v>0</x:v>
      </x:c>
      <x:c r="P43" s="18" t="n">
        <x:v>9</x:v>
      </x:c>
      <x:c r="Q43" s="6" t="str">
        <x:v>count, errand, floor_area_total, largest_room, locate, route, route_step_free, route_with_closure, tour</x:v>
      </x:c>
      <x:c r="R43" s="21" t="b">
        <x:v>0</x:v>
      </x:c>
      <x:c r="S43" s="21" t="b">
        <x:v>1</x:v>
      </x:c>
      <x:c r="T43" s="6" t="str">
        <x:v>Swiss Dwellings, Archilyse AG / Standfest et al., https://zenodo.org/records/7070952 (CC BY 4.0)</x:v>
      </x:c>
      <x:c r="U43" s="6" t="str">
        <x:v>data/dev/swiss-460/building.json</x:v>
      </x:c>
      <x:c r="V43" s="6" t="str">
        <x:v>https://github.com/hagenhaeussler/Industrial-Agents-Hackathon-2026/blob/f41616590b69f3ea0c1cbfb41d6c35edd9ce53df/data/dev/swiss-460/building.json</x:v>
      </x:c>
    </x:row>
    <x:row r="44" ht="42" customHeight="1">
      <x:c r="A44" s="6" t="str">
        <x:v>swiss-5097</x:v>
      </x:c>
      <x:c r="B44" s="6" t="str">
        <x:v>Residential building 5097</x:v>
      </x:c>
      <x:c r="C44" s="6" t="str">
        <x:v>dev</x:v>
      </x:c>
      <x:c r="D44" s="6" t="str">
        <x:v>swiss_dwellings</x:v>
      </x:c>
      <x:c r="E44" s="6" t="str">
        <x:v>CC-BY-4.0</x:v>
      </x:c>
      <x:c r="F44" s="18" t="n">
        <x:v>4</x:v>
      </x:c>
      <x:c r="G44" s="6" t="str">
        <x:v>-1, 0, 1, 2</x:v>
      </x:c>
      <x:c r="H44" s="18" t="n">
        <x:v>302</x:v>
      </x:c>
      <x:c r="I44" s="18" t="n">
        <x:v>202</x:v>
      </x:c>
      <x:c r="J44" s="18" t="n">
        <x:v>927</x:v>
      </x:c>
      <x:c r="K44" s="18" t="n">
        <x:v>4</x:v>
      </x:c>
      <x:c r="L44" s="18" t="n">
        <x:v>8</x:v>
      </x:c>
      <x:c r="M44" s="18" t="n">
        <x:v>12</x:v>
      </x:c>
      <x:c r="N44" s="18" t="n">
        <x:v>12</x:v>
      </x:c>
      <x:c r="O44" s="18" t="n">
        <x:v>0</x:v>
      </x:c>
      <x:c r="P44" s="18" t="n">
        <x:v>10</x:v>
      </x:c>
      <x:c r="Q44" s="6" t="str">
        <x:v>count, errand, floor_area_total, largest_room, locate, route, route_step_free, route_with_closure, shared_walls_count, tour</x:v>
      </x:c>
      <x:c r="R44" s="21" t="b">
        <x:v>1</x:v>
      </x:c>
      <x:c r="S44" s="21" t="b">
        <x:v>1</x:v>
      </x:c>
      <x:c r="T44" s="6" t="str">
        <x:v>Swiss Dwellings, Archilyse AG / Standfest et al., https://zenodo.org/records/7070952 (CC BY 4.0)</x:v>
      </x:c>
      <x:c r="U44" s="6" t="str">
        <x:v>data/dev/swiss-5097/building.json</x:v>
      </x:c>
      <x:c r="V44" s="6" t="str">
        <x:v>https://github.com/hagenhaeussler/Industrial-Agents-Hackathon-2026/blob/f41616590b69f3ea0c1cbfb41d6c35edd9ce53df/data/dev/swiss-5097/building.json</x:v>
      </x:c>
    </x:row>
    <x:row r="45" ht="42" customHeight="1">
      <x:c r="A45" s="6" t="str">
        <x:v>swiss-5462</x:v>
      </x:c>
      <x:c r="B45" s="6" t="str">
        <x:v>Residential building 5462</x:v>
      </x:c>
      <x:c r="C45" s="6" t="str">
        <x:v>dev</x:v>
      </x:c>
      <x:c r="D45" s="6" t="str">
        <x:v>swiss_dwellings</x:v>
      </x:c>
      <x:c r="E45" s="6" t="str">
        <x:v>CC-BY-4.0</x:v>
      </x:c>
      <x:c r="F45" s="18" t="n">
        <x:v>3</x:v>
      </x:c>
      <x:c r="G45" s="6" t="str">
        <x:v>0, 1, 2</x:v>
      </x:c>
      <x:c r="H45" s="18" t="n">
        <x:v>22</x:v>
      </x:c>
      <x:c r="I45" s="18" t="n">
        <x:v>14</x:v>
      </x:c>
      <x:c r="J45" s="18" t="n">
        <x:v>72</x:v>
      </x:c>
      <x:c r="K45" s="18" t="n">
        <x:v>0</x:v>
      </x:c>
      <x:c r="L45" s="18" t="n">
        <x:v>10</x:v>
      </x:c>
      <x:c r="M45" s="18" t="n">
        <x:v>10</x:v>
      </x:c>
      <x:c r="N45" s="18" t="n">
        <x:v>10</x:v>
      </x:c>
      <x:c r="O45" s="18" t="n">
        <x:v>0</x:v>
      </x:c>
      <x:c r="P45" s="18" t="n">
        <x:v>6</x:v>
      </x:c>
      <x:c r="Q45" s="6" t="str">
        <x:v>count, locate, route, route_step_free, route_with_closure, tour</x:v>
      </x:c>
      <x:c r="R45" s="21" t="b">
        <x:v>0</x:v>
      </x:c>
      <x:c r="S45" s="21" t="b">
        <x:v>1</x:v>
      </x:c>
      <x:c r="T45" s="6" t="str">
        <x:v>Swiss Dwellings, Archilyse AG / Standfest et al., https://zenodo.org/records/7070952 (CC BY 4.0)</x:v>
      </x:c>
      <x:c r="U45" s="6" t="str">
        <x:v>data/dev/swiss-5462/building.json</x:v>
      </x:c>
      <x:c r="V45" s="6" t="str">
        <x:v>https://github.com/hagenhaeussler/Industrial-Agents-Hackathon-2026/blob/f41616590b69f3ea0c1cbfb41d6c35edd9ce53df/data/dev/swiss-5462/building.json</x:v>
      </x:c>
    </x:row>
    <x:row r="46" ht="54" customHeight="1">
      <x:c r="A46" s="6" t="str">
        <x:v>osm-way363805324</x:v>
      </x:c>
      <x:c r="B46" s="6" t="str">
        <x:v>EineWeltHaus</x:v>
      </x:c>
      <x:c r="C46" s="6" t="str">
        <x:v>test</x:v>
      </x:c>
      <x:c r="D46" s="6" t="str">
        <x:v>osm_indoor</x:v>
      </x:c>
      <x:c r="E46" s="6" t="str">
        <x:v>ODbL-1.0</x:v>
      </x:c>
      <x:c r="F46" s="18" t="n">
        <x:v>4</x:v>
      </x:c>
      <x:c r="G46" s="6" t="str">
        <x:v>-1, 0, 1, 2</x:v>
      </x:c>
      <x:c r="H46" s="18" t="n">
        <x:v>48</x:v>
      </x:c>
      <x:c r="I46" s="18" t="n">
        <x:v>35</x:v>
      </x:c>
      <x:c r="J46" s="18" t="n">
        <x:v>219</x:v>
      </x:c>
      <x:c r="K46" s="18" t="n">
        <x:v>7</x:v>
      </x:c>
      <x:c r="L46" s="18" t="n">
        <x:v>0</x:v>
      </x:c>
      <x:c r="M46" s="18" t="n">
        <x:v>7</x:v>
      </x:c>
      <x:c r="N46" s="18" t="n">
        <x:v>0</x:v>
      </x:c>
      <x:c r="O46" s="18" t="n">
        <x:v>7</x:v>
      </x:c>
      <x:c r="P46" s="18" t="n">
        <x:v>6</x:v>
      </x:c>
      <x:c r="Q46" s="6" t="str">
        <x:v>errand, floor_area_total, largest_room, room_stacked, shared_walls_count, straight_line_3d</x:v>
      </x:c>
      <x:c r="R46" s="21" t="b">
        <x:v>0</x:v>
      </x:c>
      <x:c r="S46" s="21" t="b">
        <x:v>1</x:v>
      </x:c>
      <x:c r="T46" s="6" t="str">
        <x:v>© OpenStreetMap contributors, https://www.openstreetmap.org/copyright (ODbL)</x:v>
      </x:c>
      <x:c r="U46" s="6" t="str">
        <x:v>data/test/osm-way363805324/building.json</x:v>
      </x:c>
      <x:c r="V46" s="6" t="str">
        <x:v>https://github.com/hagenhaeussler/Industrial-Agents-Hackathon-2026/blob/f41616590b69f3ea0c1cbfb41d6c35edd9ce53df/data/test/osm-way363805324/building.json</x:v>
      </x:c>
    </x:row>
    <x:row r="47" ht="54" customHeight="1">
      <x:c r="A47" s="6" t="str">
        <x:v>osm-way43035346</x:v>
      </x:c>
      <x:c r="B47" s="6" t="str">
        <x:v>N8</x:v>
      </x:c>
      <x:c r="C47" s="6" t="str">
        <x:v>test</x:v>
      </x:c>
      <x:c r="D47" s="6" t="str">
        <x:v>osm_indoor</x:v>
      </x:c>
      <x:c r="E47" s="6" t="str">
        <x:v>ODbL-1.0</x:v>
      </x:c>
      <x:c r="F47" s="18" t="n">
        <x:v>5</x:v>
      </x:c>
      <x:c r="G47" s="6" t="str">
        <x:v>-1, 0, 1, 2, 3</x:v>
      </x:c>
      <x:c r="H47" s="18" t="n">
        <x:v>140</x:v>
      </x:c>
      <x:c r="I47" s="18" t="n">
        <x:v>109</x:v>
      </x:c>
      <x:c r="J47" s="18" t="n">
        <x:v>441</x:v>
      </x:c>
      <x:c r="K47" s="18" t="n">
        <x:v>7</x:v>
      </x:c>
      <x:c r="L47" s="18" t="n">
        <x:v>0</x:v>
      </x:c>
      <x:c r="M47" s="18" t="n">
        <x:v>7</x:v>
      </x:c>
      <x:c r="N47" s="18" t="n">
        <x:v>0</x:v>
      </x:c>
      <x:c r="O47" s="18" t="n">
        <x:v>7</x:v>
      </x:c>
      <x:c r="P47" s="18" t="n">
        <x:v>7</x:v>
      </x:c>
      <x:c r="Q47" s="6" t="str">
        <x:v>errand, floor_area_total, largest_room, room_stacked, shared_walls_count, straight_line_3d, what_if_door</x:v>
      </x:c>
      <x:c r="R47" s="21" t="b">
        <x:v>1</x:v>
      </x:c>
      <x:c r="S47" s="21" t="b">
        <x:v>1</x:v>
      </x:c>
      <x:c r="T47" s="6" t="str">
        <x:v>© OpenStreetMap contributors, https://www.openstreetmap.org/copyright (ODbL)</x:v>
      </x:c>
      <x:c r="U47" s="6" t="str">
        <x:v>data/test/osm-way43035346/building.json</x:v>
      </x:c>
      <x:c r="V47" s="6" t="str">
        <x:v>https://github.com/hagenhaeussler/Industrial-Agents-Hackathon-2026/blob/f41616590b69f3ea0c1cbfb41d6c35edd9ce53df/data/test/osm-way43035346/building.json</x:v>
      </x:c>
    </x:row>
    <x:row r="48" ht="54" customHeight="1">
      <x:c r="A48" s="6" t="str">
        <x:v>osm-way50299584</x:v>
      </x:c>
      <x:c r="B48" s="6" t="str">
        <x:v>Wirtschaftswissenschaften</x:v>
      </x:c>
      <x:c r="C48" s="6" t="str">
        <x:v>test</x:v>
      </x:c>
      <x:c r="D48" s="6" t="str">
        <x:v>osm_indoor</x:v>
      </x:c>
      <x:c r="E48" s="6" t="str">
        <x:v>ODbL-1.0</x:v>
      </x:c>
      <x:c r="F48" s="18" t="n">
        <x:v>5</x:v>
      </x:c>
      <x:c r="G48" s="6" t="str">
        <x:v>-1, 0, 1, 2, 3</x:v>
      </x:c>
      <x:c r="H48" s="18" t="n">
        <x:v>275</x:v>
      </x:c>
      <x:c r="I48" s="18" t="n">
        <x:v>232</x:v>
      </x:c>
      <x:c r="J48" s="18" t="n">
        <x:v>879</x:v>
      </x:c>
      <x:c r="K48" s="18" t="n">
        <x:v>8</x:v>
      </x:c>
      <x:c r="L48" s="18" t="n">
        <x:v>0</x:v>
      </x:c>
      <x:c r="M48" s="18" t="n">
        <x:v>8</x:v>
      </x:c>
      <x:c r="N48" s="18" t="n">
        <x:v>0</x:v>
      </x:c>
      <x:c r="O48" s="18" t="n">
        <x:v>8</x:v>
      </x:c>
      <x:c r="P48" s="18" t="n">
        <x:v>6</x:v>
      </x:c>
      <x:c r="Q48" s="6" t="str">
        <x:v>errand, floor_area_total, largest_room, room_stacked, shared_walls_count, straight_line_3d</x:v>
      </x:c>
      <x:c r="R48" s="21" t="b">
        <x:v>1</x:v>
      </x:c>
      <x:c r="S48" s="21" t="b">
        <x:v>1</x:v>
      </x:c>
      <x:c r="T48" s="6" t="str">
        <x:v>© OpenStreetMap contributors, https://www.openstreetmap.org/copyright (ODbL)</x:v>
      </x:c>
      <x:c r="U48" s="6" t="str">
        <x:v>data/test/osm-way50299584/building.json</x:v>
      </x:c>
      <x:c r="V48" s="6" t="str">
        <x:v>https://github.com/hagenhaeussler/Industrial-Agents-Hackathon-2026/blob/f41616590b69f3ea0c1cbfb41d6c35edd9ce53df/data/test/osm-way50299584/building.json</x:v>
      </x:c>
    </x:row>
    <x:row r="49" ht="54" customHeight="1">
      <x:c r="A49" s="6" t="str">
        <x:v>osm-way50300147</x:v>
      </x:c>
      <x:c r="B49" s="6" t="str">
        <x:v>Arcisstraße 21</x:v>
      </x:c>
      <x:c r="C49" s="6" t="str">
        <x:v>test</x:v>
      </x:c>
      <x:c r="D49" s="6" t="str">
        <x:v>osm_indoor</x:v>
      </x:c>
      <x:c r="E49" s="6" t="str">
        <x:v>ODbL-1.0</x:v>
      </x:c>
      <x:c r="F49" s="18" t="n">
        <x:v>4</x:v>
      </x:c>
      <x:c r="G49" s="6" t="str">
        <x:v>-1, 0, 1, 2</x:v>
      </x:c>
      <x:c r="H49" s="18" t="n">
        <x:v>239</x:v>
      </x:c>
      <x:c r="I49" s="18" t="n">
        <x:v>169</x:v>
      </x:c>
      <x:c r="J49" s="18" t="n">
        <x:v>663</x:v>
      </x:c>
      <x:c r="K49" s="18" t="n">
        <x:v>10</x:v>
      </x:c>
      <x:c r="L49" s="18" t="n">
        <x:v>0</x:v>
      </x:c>
      <x:c r="M49" s="18" t="n">
        <x:v>10</x:v>
      </x:c>
      <x:c r="N49" s="18" t="n">
        <x:v>0</x:v>
      </x:c>
      <x:c r="O49" s="18" t="n">
        <x:v>10</x:v>
      </x:c>
      <x:c r="P49" s="18" t="n">
        <x:v>7</x:v>
      </x:c>
      <x:c r="Q49" s="6" t="str">
        <x:v>errand, floor_area_total, largest_room, room_stacked, shared_walls_count, straight_line_3d, what_if_door</x:v>
      </x:c>
      <x:c r="R49" s="21" t="b">
        <x:v>0</x:v>
      </x:c>
      <x:c r="S49" s="21" t="b">
        <x:v>1</x:v>
      </x:c>
      <x:c r="T49" s="6" t="str">
        <x:v>© OpenStreetMap contributors, https://www.openstreetmap.org/copyright (ODbL)</x:v>
      </x:c>
      <x:c r="U49" s="6" t="str">
        <x:v>data/test/osm-way50300147/building.json</x:v>
      </x:c>
      <x:c r="V49" s="6" t="str">
        <x:v>https://github.com/hagenhaeussler/Industrial-Agents-Hackathon-2026/blob/f41616590b69f3ea0c1cbfb41d6c35edd9ce53df/data/test/osm-way50300147/building.json</x:v>
      </x:c>
    </x:row>
    <x:row r="50" ht="54" customHeight="1">
      <x:c r="A50" s="6" t="str">
        <x:v>proc-campus-test-000</x:v>
      </x:c>
      <x:c r="B50" s="6" t="str">
        <x:v>Hörsaalzentrum 024</x:v>
      </x:c>
      <x:c r="C50" s="6" t="str">
        <x:v>test</x:v>
      </x:c>
      <x:c r="D50" s="6" t="str">
        <x:v>procedural</x:v>
      </x:c>
      <x:c r="E50" s="6" t="str">
        <x:v>CC0-1.0</x:v>
      </x:c>
      <x:c r="F50" s="18" t="n">
        <x:v>6</x:v>
      </x:c>
      <x:c r="G50" s="6" t="str">
        <x:v>-1, 0, 1, 2, 3, 4</x:v>
      </x:c>
      <x:c r="H50" s="18" t="n">
        <x:v>255</x:v>
      </x:c>
      <x:c r="I50" s="18" t="n">
        <x:v>194</x:v>
      </x:c>
      <x:c r="J50" s="18" t="n">
        <x:v>1567</x:v>
      </x:c>
      <x:c r="K50" s="18" t="n">
        <x:v>5</x:v>
      </x:c>
      <x:c r="L50" s="18" t="n">
        <x:v>0</x:v>
      </x:c>
      <x:c r="M50" s="18" t="n">
        <x:v>5</x:v>
      </x:c>
      <x:c r="N50" s="18" t="n">
        <x:v>0</x:v>
      </x:c>
      <x:c r="O50" s="18" t="n">
        <x:v>5</x:v>
      </x:c>
      <x:c r="P50" s="18" t="n">
        <x:v>5</x:v>
      </x:c>
      <x:c r="Q50" s="6" t="str">
        <x:v>errand, floor_area_total, largest_room, straight_line_3d, wide_delivery_count</x:v>
      </x:c>
      <x:c r="R50" s="21" t="b">
        <x:v>1</x:v>
      </x:c>
      <x:c r="S50" s="21" t="b">
        <x:v>1</x:v>
      </x:c>
      <x:c r="T50" s="6" t="str">
        <x:v>Procedurally generated for the Munich hackathon (CC0)</x:v>
      </x:c>
      <x:c r="U50" s="6" t="str">
        <x:v>data/test/proc-campus-test-000/building.json</x:v>
      </x:c>
      <x:c r="V50" s="6" t="str">
        <x:v>https://github.com/hagenhaeussler/Industrial-Agents-Hackathon-2026/blob/f41616590b69f3ea0c1cbfb41d6c35edd9ce53df/data/test/proc-campus-test-000/building.json</x:v>
      </x:c>
    </x:row>
    <x:row r="51" ht="54" customHeight="1">
      <x:c r="A51" s="6" t="str">
        <x:v>proc-campus-test-004</x:v>
      </x:c>
      <x:c r="B51" s="6" t="str">
        <x:v>Lehrgebäude 028</x:v>
      </x:c>
      <x:c r="C51" s="6" t="str">
        <x:v>test</x:v>
      </x:c>
      <x:c r="D51" s="6" t="str">
        <x:v>procedural</x:v>
      </x:c>
      <x:c r="E51" s="6" t="str">
        <x:v>CC0-1.0</x:v>
      </x:c>
      <x:c r="F51" s="18" t="n">
        <x:v>4</x:v>
      </x:c>
      <x:c r="G51" s="6" t="str">
        <x:v>0, 1, 2, 3</x:v>
      </x:c>
      <x:c r="H51" s="18" t="n">
        <x:v>101</x:v>
      </x:c>
      <x:c r="I51" s="18" t="n">
        <x:v>80</x:v>
      </x:c>
      <x:c r="J51" s="18" t="n">
        <x:v>711</x:v>
      </x:c>
      <x:c r="K51" s="18" t="n">
        <x:v>5</x:v>
      </x:c>
      <x:c r="L51" s="18" t="n">
        <x:v>0</x:v>
      </x:c>
      <x:c r="M51" s="18" t="n">
        <x:v>5</x:v>
      </x:c>
      <x:c r="N51" s="18" t="n">
        <x:v>0</x:v>
      </x:c>
      <x:c r="O51" s="18" t="n">
        <x:v>5</x:v>
      </x:c>
      <x:c r="P51" s="18" t="n">
        <x:v>5</x:v>
      </x:c>
      <x:c r="Q51" s="6" t="str">
        <x:v>errand, floor_area_total, largest_room, straight_line_3d, wide_delivery_count</x:v>
      </x:c>
      <x:c r="R51" s="21" t="b">
        <x:v>1</x:v>
      </x:c>
      <x:c r="S51" s="21" t="b">
        <x:v>1</x:v>
      </x:c>
      <x:c r="T51" s="6" t="str">
        <x:v>Procedurally generated for the Munich hackathon (CC0)</x:v>
      </x:c>
      <x:c r="U51" s="6" t="str">
        <x:v>data/test/proc-campus-test-004/building.json</x:v>
      </x:c>
      <x:c r="V51" s="6" t="str">
        <x:v>https://github.com/hagenhaeussler/Industrial-Agents-Hackathon-2026/blob/f41616590b69f3ea0c1cbfb41d6c35edd9ce53df/data/test/proc-campus-test-004/building.json</x:v>
      </x:c>
    </x:row>
    <x:row r="52" ht="54" customHeight="1">
      <x:c r="A52" s="6" t="str">
        <x:v>proc-campus-test-005</x:v>
      </x:c>
      <x:c r="B52" s="6" t="str">
        <x:v>Laborgebäude 029</x:v>
      </x:c>
      <x:c r="C52" s="6" t="str">
        <x:v>test</x:v>
      </x:c>
      <x:c r="D52" s="6" t="str">
        <x:v>procedural</x:v>
      </x:c>
      <x:c r="E52" s="6" t="str">
        <x:v>CC0-1.0</x:v>
      </x:c>
      <x:c r="F52" s="18" t="n">
        <x:v>6</x:v>
      </x:c>
      <x:c r="G52" s="6" t="str">
        <x:v>-1, 0, 1, 2, 3, 4</x:v>
      </x:c>
      <x:c r="H52" s="18" t="n">
        <x:v>279</x:v>
      </x:c>
      <x:c r="I52" s="18" t="n">
        <x:v>230</x:v>
      </x:c>
      <x:c r="J52" s="18" t="n">
        <x:v>2008</x:v>
      </x:c>
      <x:c r="K52" s="18" t="n">
        <x:v>6</x:v>
      </x:c>
      <x:c r="L52" s="18" t="n">
        <x:v>0</x:v>
      </x:c>
      <x:c r="M52" s="18" t="n">
        <x:v>6</x:v>
      </x:c>
      <x:c r="N52" s="18" t="n">
        <x:v>0</x:v>
      </x:c>
      <x:c r="O52" s="18" t="n">
        <x:v>6</x:v>
      </x:c>
      <x:c r="P52" s="18" t="n">
        <x:v>6</x:v>
      </x:c>
      <x:c r="Q52" s="6" t="str">
        <x:v>errand, floor_area_total, largest_room, shared_walls_count, straight_line_3d, wide_delivery_count</x:v>
      </x:c>
      <x:c r="R52" s="21" t="b">
        <x:v>1</x:v>
      </x:c>
      <x:c r="S52" s="21" t="b">
        <x:v>1</x:v>
      </x:c>
      <x:c r="T52" s="6" t="str">
        <x:v>Procedurally generated for the Munich hackathon (CC0)</x:v>
      </x:c>
      <x:c r="U52" s="6" t="str">
        <x:v>data/test/proc-campus-test-005/building.json</x:v>
      </x:c>
      <x:c r="V52" s="6" t="str">
        <x:v>https://github.com/hagenhaeussler/Industrial-Agents-Hackathon-2026/blob/f41616590b69f3ea0c1cbfb41d6c35edd9ce53df/data/test/proc-campus-test-005/building.json</x:v>
      </x:c>
    </x:row>
    <x:row r="53" ht="54" customHeight="1">
      <x:c r="A53" s="6" t="str">
        <x:v>proc-campus-test-008</x:v>
      </x:c>
      <x:c r="B53" s="6" t="str">
        <x:v>Laborgebäude 032</x:v>
      </x:c>
      <x:c r="C53" s="6" t="str">
        <x:v>test</x:v>
      </x:c>
      <x:c r="D53" s="6" t="str">
        <x:v>procedural</x:v>
      </x:c>
      <x:c r="E53" s="6" t="str">
        <x:v>CC0-1.0</x:v>
      </x:c>
      <x:c r="F53" s="18" t="n">
        <x:v>7</x:v>
      </x:c>
      <x:c r="G53" s="6" t="str">
        <x:v>-1, 0, 1, 2, 3, 4, 5</x:v>
      </x:c>
      <x:c r="H53" s="18" t="n">
        <x:v>200</x:v>
      </x:c>
      <x:c r="I53" s="18" t="n">
        <x:v>164</x:v>
      </x:c>
      <x:c r="J53" s="18" t="n">
        <x:v>1304</x:v>
      </x:c>
      <x:c r="K53" s="18" t="n">
        <x:v>5</x:v>
      </x:c>
      <x:c r="L53" s="18" t="n">
        <x:v>0</x:v>
      </x:c>
      <x:c r="M53" s="18" t="n">
        <x:v>5</x:v>
      </x:c>
      <x:c r="N53" s="18" t="n">
        <x:v>0</x:v>
      </x:c>
      <x:c r="O53" s="18" t="n">
        <x:v>5</x:v>
      </x:c>
      <x:c r="P53" s="18" t="n">
        <x:v>5</x:v>
      </x:c>
      <x:c r="Q53" s="6" t="str">
        <x:v>errand, floor_area_total, largest_room, straight_line_3d, wide_delivery_count</x:v>
      </x:c>
      <x:c r="R53" s="21" t="b">
        <x:v>1</x:v>
      </x:c>
      <x:c r="S53" s="21" t="b">
        <x:v>1</x:v>
      </x:c>
      <x:c r="T53" s="6" t="str">
        <x:v>Procedurally generated for the Munich hackathon (CC0)</x:v>
      </x:c>
      <x:c r="U53" s="6" t="str">
        <x:v>data/test/proc-campus-test-008/building.json</x:v>
      </x:c>
      <x:c r="V53" s="6" t="str">
        <x:v>https://github.com/hagenhaeussler/Industrial-Agents-Hackathon-2026/blob/f41616590b69f3ea0c1cbfb41d6c35edd9ce53df/data/test/proc-campus-test-008/building.json</x:v>
      </x:c>
    </x:row>
    <x:row r="54" ht="54" customHeight="1">
      <x:c r="A54" s="6" t="str">
        <x:v>proc-campus-test-012</x:v>
      </x:c>
      <x:c r="B54" s="6" t="str">
        <x:v>Lehrgebäude 036</x:v>
      </x:c>
      <x:c r="C54" s="6" t="str">
        <x:v>test</x:v>
      </x:c>
      <x:c r="D54" s="6" t="str">
        <x:v>procedural</x:v>
      </x:c>
      <x:c r="E54" s="6" t="str">
        <x:v>CC0-1.0</x:v>
      </x:c>
      <x:c r="F54" s="18" t="n">
        <x:v>5</x:v>
      </x:c>
      <x:c r="G54" s="6" t="str">
        <x:v>0, 1, 2, 3, 4</x:v>
      </x:c>
      <x:c r="H54" s="18" t="n">
        <x:v>157</x:v>
      </x:c>
      <x:c r="I54" s="18" t="n">
        <x:v>121</x:v>
      </x:c>
      <x:c r="J54" s="18" t="n">
        <x:v>1096</x:v>
      </x:c>
      <x:c r="K54" s="18" t="n">
        <x:v>5</x:v>
      </x:c>
      <x:c r="L54" s="18" t="n">
        <x:v>0</x:v>
      </x:c>
      <x:c r="M54" s="18" t="n">
        <x:v>5</x:v>
      </x:c>
      <x:c r="N54" s="18" t="n">
        <x:v>0</x:v>
      </x:c>
      <x:c r="O54" s="18" t="n">
        <x:v>5</x:v>
      </x:c>
      <x:c r="P54" s="18" t="n">
        <x:v>5</x:v>
      </x:c>
      <x:c r="Q54" s="6" t="str">
        <x:v>errand, floor_area_total, largest_room, straight_line_3d, wide_delivery_count</x:v>
      </x:c>
      <x:c r="R54" s="21" t="b">
        <x:v>1</x:v>
      </x:c>
      <x:c r="S54" s="21" t="b">
        <x:v>1</x:v>
      </x:c>
      <x:c r="T54" s="6" t="str">
        <x:v>Procedurally generated for the Munich hackathon (CC0)</x:v>
      </x:c>
      <x:c r="U54" s="6" t="str">
        <x:v>data/test/proc-campus-test-012/building.json</x:v>
      </x:c>
      <x:c r="V54" s="6" t="str">
        <x:v>https://github.com/hagenhaeussler/Industrial-Agents-Hackathon-2026/blob/f41616590b69f3ea0c1cbfb41d6c35edd9ce53df/data/test/proc-campus-test-012/building.json</x:v>
      </x:c>
    </x:row>
    <x:row r="55" ht="54" customHeight="1">
      <x:c r="A55" s="6" t="str">
        <x:v>proc-campus-test-013</x:v>
      </x:c>
      <x:c r="B55" s="6" t="str">
        <x:v>Forschungsbau 037</x:v>
      </x:c>
      <x:c r="C55" s="6" t="str">
        <x:v>test</x:v>
      </x:c>
      <x:c r="D55" s="6" t="str">
        <x:v>procedural</x:v>
      </x:c>
      <x:c r="E55" s="6" t="str">
        <x:v>CC0-1.0</x:v>
      </x:c>
      <x:c r="F55" s="18" t="n">
        <x:v>7</x:v>
      </x:c>
      <x:c r="G55" s="6" t="str">
        <x:v>-1, 0, 1, 2, 3, 4, 5</x:v>
      </x:c>
      <x:c r="H55" s="18" t="n">
        <x:v>284</x:v>
      </x:c>
      <x:c r="I55" s="18" t="n">
        <x:v>227</x:v>
      </x:c>
      <x:c r="J55" s="18" t="n">
        <x:v>1780</x:v>
      </x:c>
      <x:c r="K55" s="18" t="n">
        <x:v>5</x:v>
      </x:c>
      <x:c r="L55" s="18" t="n">
        <x:v>0</x:v>
      </x:c>
      <x:c r="M55" s="18" t="n">
        <x:v>5</x:v>
      </x:c>
      <x:c r="N55" s="18" t="n">
        <x:v>0</x:v>
      </x:c>
      <x:c r="O55" s="18" t="n">
        <x:v>5</x:v>
      </x:c>
      <x:c r="P55" s="18" t="n">
        <x:v>5</x:v>
      </x:c>
      <x:c r="Q55" s="6" t="str">
        <x:v>errand, floor_area_total, largest_room, straight_line_3d, wide_delivery_count</x:v>
      </x:c>
      <x:c r="R55" s="21" t="b">
        <x:v>1</x:v>
      </x:c>
      <x:c r="S55" s="21" t="b">
        <x:v>1</x:v>
      </x:c>
      <x:c r="T55" s="6" t="str">
        <x:v>Procedurally generated for the Munich hackathon (CC0)</x:v>
      </x:c>
      <x:c r="U55" s="6" t="str">
        <x:v>data/test/proc-campus-test-013/building.json</x:v>
      </x:c>
      <x:c r="V55" s="6" t="str">
        <x:v>https://github.com/hagenhaeussler/Industrial-Agents-Hackathon-2026/blob/f41616590b69f3ea0c1cbfb41d6c35edd9ce53df/data/test/proc-campus-test-013/building.json</x:v>
      </x:c>
    </x:row>
    <x:row r="56" ht="54" customHeight="1">
      <x:c r="A56" s="6" t="str">
        <x:v>proc-factory-test-001</x:v>
      </x:c>
      <x:c r="B56" s="6" t="str">
        <x:v>Werk Süd 25</x:v>
      </x:c>
      <x:c r="C56" s="6" t="str">
        <x:v>test</x:v>
      </x:c>
      <x:c r="D56" s="6" t="str">
        <x:v>procedural</x:v>
      </x:c>
      <x:c r="E56" s="6" t="str">
        <x:v>CC0-1.0</x:v>
      </x:c>
      <x:c r="F56" s="18" t="n">
        <x:v>2</x:v>
      </x:c>
      <x:c r="G56" s="6" t="str">
        <x:v>0, 1</x:v>
      </x:c>
      <x:c r="H56" s="18" t="n">
        <x:v>77</x:v>
      </x:c>
      <x:c r="I56" s="18" t="n">
        <x:v>54</x:v>
      </x:c>
      <x:c r="J56" s="18" t="n">
        <x:v>452</x:v>
      </x:c>
      <x:c r="K56" s="18" t="n">
        <x:v>3</x:v>
      </x:c>
      <x:c r="L56" s="18" t="n">
        <x:v>0</x:v>
      </x:c>
      <x:c r="M56" s="18" t="n">
        <x:v>3</x:v>
      </x:c>
      <x:c r="N56" s="18" t="n">
        <x:v>0</x:v>
      </x:c>
      <x:c r="O56" s="18" t="n">
        <x:v>3</x:v>
      </x:c>
      <x:c r="P56" s="18" t="n">
        <x:v>3</x:v>
      </x:c>
      <x:c r="Q56" s="6" t="str">
        <x:v>floor_area_total, shared_walls_count, wide_delivery_count</x:v>
      </x:c>
      <x:c r="R56" s="21" t="b">
        <x:v>1</x:v>
      </x:c>
      <x:c r="S56" s="21" t="b">
        <x:v>1</x:v>
      </x:c>
      <x:c r="T56" s="6" t="str">
        <x:v>Procedurally generated for the Munich hackathon (CC0)</x:v>
      </x:c>
      <x:c r="U56" s="6" t="str">
        <x:v>data/test/proc-factory-test-001/building.json</x:v>
      </x:c>
      <x:c r="V56" s="6" t="str">
        <x:v>https://github.com/hagenhaeussler/Industrial-Agents-Hackathon-2026/blob/f41616590b69f3ea0c1cbfb41d6c35edd9ce53df/data/test/proc-factory-test-001/building.json</x:v>
      </x:c>
    </x:row>
    <x:row r="57" ht="54" customHeight="1">
      <x:c r="A57" s="6" t="str">
        <x:v>proc-factory-test-002</x:v>
      </x:c>
      <x:c r="B57" s="6" t="str">
        <x:v>Halle Isar 26</x:v>
      </x:c>
      <x:c r="C57" s="6" t="str">
        <x:v>test</x:v>
      </x:c>
      <x:c r="D57" s="6" t="str">
        <x:v>procedural</x:v>
      </x:c>
      <x:c r="E57" s="6" t="str">
        <x:v>CC0-1.0</x:v>
      </x:c>
      <x:c r="F57" s="18" t="n">
        <x:v>3</x:v>
      </x:c>
      <x:c r="G57" s="6" t="str">
        <x:v>0, 1, 2</x:v>
      </x:c>
      <x:c r="H57" s="18" t="n">
        <x:v>129</x:v>
      </x:c>
      <x:c r="I57" s="18" t="n">
        <x:v>88</x:v>
      </x:c>
      <x:c r="J57" s="18" t="n">
        <x:v>884</x:v>
      </x:c>
      <x:c r="K57" s="18" t="n">
        <x:v>4</x:v>
      </x:c>
      <x:c r="L57" s="18" t="n">
        <x:v>0</x:v>
      </x:c>
      <x:c r="M57" s="18" t="n">
        <x:v>4</x:v>
      </x:c>
      <x:c r="N57" s="18" t="n">
        <x:v>0</x:v>
      </x:c>
      <x:c r="O57" s="18" t="n">
        <x:v>4</x:v>
      </x:c>
      <x:c r="P57" s="18" t="n">
        <x:v>4</x:v>
      </x:c>
      <x:c r="Q57" s="6" t="str">
        <x:v>floor_area_total, shared_walls_count, straight_line_3d, wide_delivery_count</x:v>
      </x:c>
      <x:c r="R57" s="21" t="b">
        <x:v>1</x:v>
      </x:c>
      <x:c r="S57" s="21" t="b">
        <x:v>1</x:v>
      </x:c>
      <x:c r="T57" s="6" t="str">
        <x:v>Procedurally generated for the Munich hackathon (CC0)</x:v>
      </x:c>
      <x:c r="U57" s="6" t="str">
        <x:v>data/test/proc-factory-test-002/building.json</x:v>
      </x:c>
      <x:c r="V57" s="6" t="str">
        <x:v>https://github.com/hagenhaeussler/Industrial-Agents-Hackathon-2026/blob/f41616590b69f3ea0c1cbfb41d6c35edd9ce53df/data/test/proc-factory-test-002/building.json</x:v>
      </x:c>
    </x:row>
    <x:row r="58" ht="54" customHeight="1">
      <x:c r="A58" s="6" t="str">
        <x:v>proc-factory-test-003</x:v>
      </x:c>
      <x:c r="B58" s="6" t="str">
        <x:v>Produktion West 27</x:v>
      </x:c>
      <x:c r="C58" s="6" t="str">
        <x:v>test</x:v>
      </x:c>
      <x:c r="D58" s="6" t="str">
        <x:v>procedural</x:v>
      </x:c>
      <x:c r="E58" s="6" t="str">
        <x:v>CC0-1.0</x:v>
      </x:c>
      <x:c r="F58" s="18" t="n">
        <x:v>3</x:v>
      </x:c>
      <x:c r="G58" s="6" t="str">
        <x:v>0, 1, 2</x:v>
      </x:c>
      <x:c r="H58" s="18" t="n">
        <x:v>144</x:v>
      </x:c>
      <x:c r="I58" s="18" t="n">
        <x:v>109</x:v>
      </x:c>
      <x:c r="J58" s="18" t="n">
        <x:v>885</x:v>
      </x:c>
      <x:c r="K58" s="18" t="n">
        <x:v>6</x:v>
      </x:c>
      <x:c r="L58" s="18" t="n">
        <x:v>0</x:v>
      </x:c>
      <x:c r="M58" s="18" t="n">
        <x:v>6</x:v>
      </x:c>
      <x:c r="N58" s="18" t="n">
        <x:v>0</x:v>
      </x:c>
      <x:c r="O58" s="18" t="n">
        <x:v>6</x:v>
      </x:c>
      <x:c r="P58" s="18" t="n">
        <x:v>6</x:v>
      </x:c>
      <x:c r="Q58" s="6" t="str">
        <x:v>errand, floor_area_total, largest_room, shared_walls_count, straight_line_3d, wide_delivery_count</x:v>
      </x:c>
      <x:c r="R58" s="21" t="b">
        <x:v>1</x:v>
      </x:c>
      <x:c r="S58" s="21" t="b">
        <x:v>1</x:v>
      </x:c>
      <x:c r="T58" s="6" t="str">
        <x:v>Procedurally generated for the Munich hackathon (CC0)</x:v>
      </x:c>
      <x:c r="U58" s="6" t="str">
        <x:v>data/test/proc-factory-test-003/building.json</x:v>
      </x:c>
      <x:c r="V58" s="6" t="str">
        <x:v>https://github.com/hagenhaeussler/Industrial-Agents-Hackathon-2026/blob/f41616590b69f3ea0c1cbfb41d6c35edd9ce53df/data/test/proc-factory-test-003/building.json</x:v>
      </x:c>
    </x:row>
    <x:row r="59" ht="54" customHeight="1">
      <x:c r="A59" s="6" t="str">
        <x:v>proc-factory-test-006</x:v>
      </x:c>
      <x:c r="B59" s="6" t="str">
        <x:v>Halle Isar 30</x:v>
      </x:c>
      <x:c r="C59" s="6" t="str">
        <x:v>test</x:v>
      </x:c>
      <x:c r="D59" s="6" t="str">
        <x:v>procedural</x:v>
      </x:c>
      <x:c r="E59" s="6" t="str">
        <x:v>CC0-1.0</x:v>
      </x:c>
      <x:c r="F59" s="18" t="n">
        <x:v>3</x:v>
      </x:c>
      <x:c r="G59" s="6" t="str">
        <x:v>0, 1, 2</x:v>
      </x:c>
      <x:c r="H59" s="18" t="n">
        <x:v>66</x:v>
      </x:c>
      <x:c r="I59" s="18" t="n">
        <x:v>43</x:v>
      </x:c>
      <x:c r="J59" s="18" t="n">
        <x:v>355</x:v>
      </x:c>
      <x:c r="K59" s="18" t="n">
        <x:v>4</x:v>
      </x:c>
      <x:c r="L59" s="18" t="n">
        <x:v>0</x:v>
      </x:c>
      <x:c r="M59" s="18" t="n">
        <x:v>4</x:v>
      </x:c>
      <x:c r="N59" s="18" t="n">
        <x:v>0</x:v>
      </x:c>
      <x:c r="O59" s="18" t="n">
        <x:v>4</x:v>
      </x:c>
      <x:c r="P59" s="18" t="n">
        <x:v>4</x:v>
      </x:c>
      <x:c r="Q59" s="6" t="str">
        <x:v>floor_area_total, shared_walls_count, straight_line_3d, wide_delivery_count</x:v>
      </x:c>
      <x:c r="R59" s="21" t="b">
        <x:v>1</x:v>
      </x:c>
      <x:c r="S59" s="21" t="b">
        <x:v>1</x:v>
      </x:c>
      <x:c r="T59" s="6" t="str">
        <x:v>Procedurally generated for the Munich hackathon (CC0)</x:v>
      </x:c>
      <x:c r="U59" s="6" t="str">
        <x:v>data/test/proc-factory-test-006/building.json</x:v>
      </x:c>
      <x:c r="V59" s="6" t="str">
        <x:v>https://github.com/hagenhaeussler/Industrial-Agents-Hackathon-2026/blob/f41616590b69f3ea0c1cbfb41d6c35edd9ce53df/data/test/proc-factory-test-006/building.json</x:v>
      </x:c>
    </x:row>
    <x:row r="60" ht="54" customHeight="1">
      <x:c r="A60" s="6" t="str">
        <x:v>proc-factory-test-007</x:v>
      </x:c>
      <x:c r="B60" s="6" t="str">
        <x:v>Fertigung Ost 31</x:v>
      </x:c>
      <x:c r="C60" s="6" t="str">
        <x:v>test</x:v>
      </x:c>
      <x:c r="D60" s="6" t="str">
        <x:v>procedural</x:v>
      </x:c>
      <x:c r="E60" s="6" t="str">
        <x:v>CC0-1.0</x:v>
      </x:c>
      <x:c r="F60" s="18" t="n">
        <x:v>3</x:v>
      </x:c>
      <x:c r="G60" s="6" t="str">
        <x:v>0, 1, 2</x:v>
      </x:c>
      <x:c r="H60" s="18" t="n">
        <x:v>138</x:v>
      </x:c>
      <x:c r="I60" s="18" t="n">
        <x:v>103</x:v>
      </x:c>
      <x:c r="J60" s="18" t="n">
        <x:v>891</x:v>
      </x:c>
      <x:c r="K60" s="18" t="n">
        <x:v>6</x:v>
      </x:c>
      <x:c r="L60" s="18" t="n">
        <x:v>0</x:v>
      </x:c>
      <x:c r="M60" s="18" t="n">
        <x:v>6</x:v>
      </x:c>
      <x:c r="N60" s="18" t="n">
        <x:v>0</x:v>
      </x:c>
      <x:c r="O60" s="18" t="n">
        <x:v>6</x:v>
      </x:c>
      <x:c r="P60" s="18" t="n">
        <x:v>6</x:v>
      </x:c>
      <x:c r="Q60" s="6" t="str">
        <x:v>errand, floor_area_total, largest_room, shared_walls_count, straight_line_3d, wide_delivery_count</x:v>
      </x:c>
      <x:c r="R60" s="21" t="b">
        <x:v>1</x:v>
      </x:c>
      <x:c r="S60" s="21" t="b">
        <x:v>1</x:v>
      </x:c>
      <x:c r="T60" s="6" t="str">
        <x:v>Procedurally generated for the Munich hackathon (CC0)</x:v>
      </x:c>
      <x:c r="U60" s="6" t="str">
        <x:v>data/test/proc-factory-test-007/building.json</x:v>
      </x:c>
      <x:c r="V60" s="6" t="str">
        <x:v>https://github.com/hagenhaeussler/Industrial-Agents-Hackathon-2026/blob/f41616590b69f3ea0c1cbfb41d6c35edd9ce53df/data/test/proc-factory-test-007/building.json</x:v>
      </x:c>
    </x:row>
    <x:row r="61" ht="54" customHeight="1">
      <x:c r="A61" s="6" t="str">
        <x:v>proc-factory-test-009</x:v>
      </x:c>
      <x:c r="B61" s="6" t="str">
        <x:v>Fertigung Ost 33</x:v>
      </x:c>
      <x:c r="C61" s="6" t="str">
        <x:v>test</x:v>
      </x:c>
      <x:c r="D61" s="6" t="str">
        <x:v>procedural</x:v>
      </x:c>
      <x:c r="E61" s="6" t="str">
        <x:v>CC0-1.0</x:v>
      </x:c>
      <x:c r="F61" s="18" t="n">
        <x:v>2</x:v>
      </x:c>
      <x:c r="G61" s="6" t="str">
        <x:v>0, 1</x:v>
      </x:c>
      <x:c r="H61" s="18" t="n">
        <x:v>80</x:v>
      </x:c>
      <x:c r="I61" s="18" t="n">
        <x:v>52</x:v>
      </x:c>
      <x:c r="J61" s="18" t="n">
        <x:v>551</x:v>
      </x:c>
      <x:c r="K61" s="18" t="n">
        <x:v>3</x:v>
      </x:c>
      <x:c r="L61" s="18" t="n">
        <x:v>0</x:v>
      </x:c>
      <x:c r="M61" s="18" t="n">
        <x:v>3</x:v>
      </x:c>
      <x:c r="N61" s="18" t="n">
        <x:v>0</x:v>
      </x:c>
      <x:c r="O61" s="18" t="n">
        <x:v>3</x:v>
      </x:c>
      <x:c r="P61" s="18" t="n">
        <x:v>3</x:v>
      </x:c>
      <x:c r="Q61" s="6" t="str">
        <x:v>floor_area_total, shared_walls_count, wide_delivery_count</x:v>
      </x:c>
      <x:c r="R61" s="21" t="b">
        <x:v>1</x:v>
      </x:c>
      <x:c r="S61" s="21" t="b">
        <x:v>1</x:v>
      </x:c>
      <x:c r="T61" s="6" t="str">
        <x:v>Procedurally generated for the Munich hackathon (CC0)</x:v>
      </x:c>
      <x:c r="U61" s="6" t="str">
        <x:v>data/test/proc-factory-test-009/building.json</x:v>
      </x:c>
      <x:c r="V61" s="6" t="str">
        <x:v>https://github.com/hagenhaeussler/Industrial-Agents-Hackathon-2026/blob/f41616590b69f3ea0c1cbfb41d6c35edd9ce53df/data/test/proc-factory-test-009/building.json</x:v>
      </x:c>
    </x:row>
    <x:row r="62" ht="54" customHeight="1">
      <x:c r="A62" s="6" t="str">
        <x:v>proc-factory-test-010</x:v>
      </x:c>
      <x:c r="B62" s="6" t="str">
        <x:v>Fertigung Ost 34</x:v>
      </x:c>
      <x:c r="C62" s="6" t="str">
        <x:v>test</x:v>
      </x:c>
      <x:c r="D62" s="6" t="str">
        <x:v>procedural</x:v>
      </x:c>
      <x:c r="E62" s="6" t="str">
        <x:v>CC0-1.0</x:v>
      </x:c>
      <x:c r="F62" s="18" t="n">
        <x:v>2</x:v>
      </x:c>
      <x:c r="G62" s="6" t="str">
        <x:v>0, 1</x:v>
      </x:c>
      <x:c r="H62" s="18" t="n">
        <x:v>80</x:v>
      </x:c>
      <x:c r="I62" s="18" t="n">
        <x:v>52</x:v>
      </x:c>
      <x:c r="J62" s="18" t="n">
        <x:v>544</x:v>
      </x:c>
      <x:c r="K62" s="18" t="n">
        <x:v>5</x:v>
      </x:c>
      <x:c r="L62" s="18" t="n">
        <x:v>0</x:v>
      </x:c>
      <x:c r="M62" s="18" t="n">
        <x:v>5</x:v>
      </x:c>
      <x:c r="N62" s="18" t="n">
        <x:v>0</x:v>
      </x:c>
      <x:c r="O62" s="18" t="n">
        <x:v>5</x:v>
      </x:c>
      <x:c r="P62" s="18" t="n">
        <x:v>5</x:v>
      </x:c>
      <x:c r="Q62" s="6" t="str">
        <x:v>errand, floor_area_total, largest_room, shared_walls_count, wide_delivery_count</x:v>
      </x:c>
      <x:c r="R62" s="21" t="b">
        <x:v>1</x:v>
      </x:c>
      <x:c r="S62" s="21" t="b">
        <x:v>1</x:v>
      </x:c>
      <x:c r="T62" s="6" t="str">
        <x:v>Procedurally generated for the Munich hackathon (CC0)</x:v>
      </x:c>
      <x:c r="U62" s="6" t="str">
        <x:v>data/test/proc-factory-test-010/building.json</x:v>
      </x:c>
      <x:c r="V62" s="6" t="str">
        <x:v>https://github.com/hagenhaeussler/Industrial-Agents-Hackathon-2026/blob/f41616590b69f3ea0c1cbfb41d6c35edd9ce53df/data/test/proc-factory-test-010/building.json</x:v>
      </x:c>
    </x:row>
    <x:row r="63" ht="54" customHeight="1">
      <x:c r="A63" s="6" t="str">
        <x:v>proc-factory-test-011</x:v>
      </x:c>
      <x:c r="B63" s="6" t="str">
        <x:v>Produktion West 35</x:v>
      </x:c>
      <x:c r="C63" s="6" t="str">
        <x:v>test</x:v>
      </x:c>
      <x:c r="D63" s="6" t="str">
        <x:v>procedural</x:v>
      </x:c>
      <x:c r="E63" s="6" t="str">
        <x:v>CC0-1.0</x:v>
      </x:c>
      <x:c r="F63" s="18" t="n">
        <x:v>3</x:v>
      </x:c>
      <x:c r="G63" s="6" t="str">
        <x:v>0, 1, 2</x:v>
      </x:c>
      <x:c r="H63" s="18" t="n">
        <x:v>124</x:v>
      </x:c>
      <x:c r="I63" s="18" t="n">
        <x:v>88</x:v>
      </x:c>
      <x:c r="J63" s="18" t="n">
        <x:v>794</x:v>
      </x:c>
      <x:c r="K63" s="18" t="n">
        <x:v>4</x:v>
      </x:c>
      <x:c r="L63" s="18" t="n">
        <x:v>0</x:v>
      </x:c>
      <x:c r="M63" s="18" t="n">
        <x:v>4</x:v>
      </x:c>
      <x:c r="N63" s="18" t="n">
        <x:v>0</x:v>
      </x:c>
      <x:c r="O63" s="18" t="n">
        <x:v>4</x:v>
      </x:c>
      <x:c r="P63" s="18" t="n">
        <x:v>4</x:v>
      </x:c>
      <x:c r="Q63" s="6" t="str">
        <x:v>floor_area_total, shared_walls_count, straight_line_3d, wide_delivery_count</x:v>
      </x:c>
      <x:c r="R63" s="21" t="b">
        <x:v>1</x:v>
      </x:c>
      <x:c r="S63" s="21" t="b">
        <x:v>1</x:v>
      </x:c>
      <x:c r="T63" s="6" t="str">
        <x:v>Procedurally generated for the Munich hackathon (CC0)</x:v>
      </x:c>
      <x:c r="U63" s="6" t="str">
        <x:v>data/test/proc-factory-test-011/building.json</x:v>
      </x:c>
      <x:c r="V63" s="6" t="str">
        <x:v>https://github.com/hagenhaeussler/Industrial-Agents-Hackathon-2026/blob/f41616590b69f3ea0c1cbfb41d6c35edd9ce53df/data/test/proc-factory-test-011/building.json</x:v>
      </x:c>
    </x:row>
    <x:row r="64" ht="54" customHeight="1">
      <x:c r="A64" s="6" t="str">
        <x:v>resplan-102</x:v>
      </x:c>
      <x:c r="B64" s="6" t="str">
        <x:v>Residence 102</x:v>
      </x:c>
      <x:c r="C64" s="6" t="str">
        <x:v>test</x:v>
      </x:c>
      <x:c r="D64" s="6" t="str">
        <x:v>resplan</x:v>
      </x:c>
      <x:c r="E64" s="6" t="str">
        <x:v>CC-BY-4.0</x:v>
      </x:c>
      <x:c r="F64" s="18" t="n">
        <x:v>1</x:v>
      </x:c>
      <x:c r="G64" s="6" t="str">
        <x:v>0</x:v>
      </x:c>
      <x:c r="H64" s="18" t="n">
        <x:v>7</x:v>
      </x:c>
      <x:c r="I64" s="18" t="n">
        <x:v>6</x:v>
      </x:c>
      <x:c r="J64" s="18" t="n">
        <x:v>19</x:v>
      </x:c>
      <x:c r="K64" s="18" t="n">
        <x:v>0</x:v>
      </x:c>
      <x:c r="L64" s="18" t="n">
        <x:v>0</x:v>
      </x:c>
      <x:c r="M64" s="18" t="n">
        <x:v>0</x:v>
      </x:c>
      <x:c r="N64" s="18" t="n">
        <x:v>0</x:v>
      </x:c>
      <x:c r="O64" s="18" t="n">
        <x:v>0</x:v>
      </x:c>
      <x:c r="P64" s="18" t="n">
        <x:v>0</x:v>
      </x:c>
      <x:c r="Q64" s="6" t="str"/>
      <x:c r="R64" s="21" t="b">
        <x:v>0</x:v>
      </x:c>
      <x:c r="S64" s="21" t="b">
        <x:v>0</x:v>
      </x:c>
      <x:c r="T64" s="6" t="str">
        <x:v>ResPlan, Agour et al., https://github.com/m-agour/ResPlan (CC BY 4.0)</x:v>
      </x:c>
      <x:c r="U64" s="6" t="str">
        <x:v>data/test/resplan-102/building.json</x:v>
      </x:c>
      <x:c r="V64" s="6" t="str">
        <x:v>https://github.com/hagenhaeussler/Industrial-Agents-Hackathon-2026/blob/f41616590b69f3ea0c1cbfb41d6c35edd9ce53df/data/test/resplan-102/building.json</x:v>
      </x:c>
    </x:row>
    <x:row r="65" ht="54" customHeight="1">
      <x:c r="A65" s="6" t="str">
        <x:v>resplan-1153</x:v>
      </x:c>
      <x:c r="B65" s="6" t="str">
        <x:v>Residence 1153</x:v>
      </x:c>
      <x:c r="C65" s="6" t="str">
        <x:v>test</x:v>
      </x:c>
      <x:c r="D65" s="6" t="str">
        <x:v>resplan</x:v>
      </x:c>
      <x:c r="E65" s="6" t="str">
        <x:v>CC-BY-4.0</x:v>
      </x:c>
      <x:c r="F65" s="18" t="n">
        <x:v>1</x:v>
      </x:c>
      <x:c r="G65" s="6" t="str">
        <x:v>0</x:v>
      </x:c>
      <x:c r="H65" s="18" t="n">
        <x:v>11</x:v>
      </x:c>
      <x:c r="I65" s="18" t="n">
        <x:v>10</x:v>
      </x:c>
      <x:c r="J65" s="18" t="n">
        <x:v>43</x:v>
      </x:c>
      <x:c r="K65" s="18" t="n">
        <x:v>2</x:v>
      </x:c>
      <x:c r="L65" s="18" t="n">
        <x:v>0</x:v>
      </x:c>
      <x:c r="M65" s="18" t="n">
        <x:v>2</x:v>
      </x:c>
      <x:c r="N65" s="18" t="n">
        <x:v>0</x:v>
      </x:c>
      <x:c r="O65" s="18" t="n">
        <x:v>2</x:v>
      </x:c>
      <x:c r="P65" s="18" t="n">
        <x:v>2</x:v>
      </x:c>
      <x:c r="Q65" s="6" t="str">
        <x:v>floor_area_total, shared_walls_count</x:v>
      </x:c>
      <x:c r="R65" s="21" t="b">
        <x:v>0</x:v>
      </x:c>
      <x:c r="S65" s="21" t="b">
        <x:v>0</x:v>
      </x:c>
      <x:c r="T65" s="6" t="str">
        <x:v>ResPlan, Agour et al., https://github.com/m-agour/ResPlan (CC BY 4.0)</x:v>
      </x:c>
      <x:c r="U65" s="6" t="str">
        <x:v>data/test/resplan-1153/building.json</x:v>
      </x:c>
      <x:c r="V65" s="6" t="str">
        <x:v>https://github.com/hagenhaeussler/Industrial-Agents-Hackathon-2026/blob/f41616590b69f3ea0c1cbfb41d6c35edd9ce53df/data/test/resplan-1153/building.json</x:v>
      </x:c>
    </x:row>
    <x:row r="66" ht="54" customHeight="1">
      <x:c r="A66" s="6" t="str">
        <x:v>resplan-12469</x:v>
      </x:c>
      <x:c r="B66" s="6" t="str">
        <x:v>Residence 12469</x:v>
      </x:c>
      <x:c r="C66" s="6" t="str">
        <x:v>test</x:v>
      </x:c>
      <x:c r="D66" s="6" t="str">
        <x:v>resplan</x:v>
      </x:c>
      <x:c r="E66" s="6" t="str">
        <x:v>CC-BY-4.0</x:v>
      </x:c>
      <x:c r="F66" s="18" t="n">
        <x:v>1</x:v>
      </x:c>
      <x:c r="G66" s="6" t="str">
        <x:v>0</x:v>
      </x:c>
      <x:c r="H66" s="18" t="n">
        <x:v>14</x:v>
      </x:c>
      <x:c r="I66" s="18" t="n">
        <x:v>12</x:v>
      </x:c>
      <x:c r="J66" s="18" t="n">
        <x:v>38</x:v>
      </x:c>
      <x:c r="K66" s="18" t="n">
        <x:v>3</x:v>
      </x:c>
      <x:c r="L66" s="18" t="n">
        <x:v>0</x:v>
      </x:c>
      <x:c r="M66" s="18" t="n">
        <x:v>3</x:v>
      </x:c>
      <x:c r="N66" s="18" t="n">
        <x:v>0</x:v>
      </x:c>
      <x:c r="O66" s="18" t="n">
        <x:v>3</x:v>
      </x:c>
      <x:c r="P66" s="18" t="n">
        <x:v>3</x:v>
      </x:c>
      <x:c r="Q66" s="6" t="str">
        <x:v>floor_area_total, shared_walls_count, wide_delivery_count</x:v>
      </x:c>
      <x:c r="R66" s="21" t="b">
        <x:v>0</x:v>
      </x:c>
      <x:c r="S66" s="21" t="b">
        <x:v>0</x:v>
      </x:c>
      <x:c r="T66" s="6" t="str">
        <x:v>ResPlan, Agour et al., https://github.com/m-agour/ResPlan (CC BY 4.0)</x:v>
      </x:c>
      <x:c r="U66" s="6" t="str">
        <x:v>data/test/resplan-12469/building.json</x:v>
      </x:c>
      <x:c r="V66" s="6" t="str">
        <x:v>https://github.com/hagenhaeussler/Industrial-Agents-Hackathon-2026/blob/f41616590b69f3ea0c1cbfb41d6c35edd9ce53df/data/test/resplan-12469/building.json</x:v>
      </x:c>
    </x:row>
    <x:row r="67" ht="54" customHeight="1">
      <x:c r="A67" s="6" t="str">
        <x:v>resplan-12962</x:v>
      </x:c>
      <x:c r="B67" s="6" t="str">
        <x:v>Residence 12962</x:v>
      </x:c>
      <x:c r="C67" s="6" t="str">
        <x:v>test</x:v>
      </x:c>
      <x:c r="D67" s="6" t="str">
        <x:v>resplan</x:v>
      </x:c>
      <x:c r="E67" s="6" t="str">
        <x:v>CC-BY-4.0</x:v>
      </x:c>
      <x:c r="F67" s="18" t="n">
        <x:v>1</x:v>
      </x:c>
      <x:c r="G67" s="6" t="str">
        <x:v>0</x:v>
      </x:c>
      <x:c r="H67" s="18" t="n">
        <x:v>8</x:v>
      </x:c>
      <x:c r="I67" s="18" t="n">
        <x:v>6</x:v>
      </x:c>
      <x:c r="J67" s="18" t="n">
        <x:v>36</x:v>
      </x:c>
      <x:c r="K67" s="18" t="n">
        <x:v>1</x:v>
      </x:c>
      <x:c r="L67" s="18" t="n">
        <x:v>0</x:v>
      </x:c>
      <x:c r="M67" s="18" t="n">
        <x:v>1</x:v>
      </x:c>
      <x:c r="N67" s="18" t="n">
        <x:v>0</x:v>
      </x:c>
      <x:c r="O67" s="18" t="n">
        <x:v>1</x:v>
      </x:c>
      <x:c r="P67" s="18" t="n">
        <x:v>1</x:v>
      </x:c>
      <x:c r="Q67" s="6" t="str">
        <x:v>shared_walls_count</x:v>
      </x:c>
      <x:c r="R67" s="21" t="b">
        <x:v>0</x:v>
      </x:c>
      <x:c r="S67" s="21" t="b">
        <x:v>0</x:v>
      </x:c>
      <x:c r="T67" s="6" t="str">
        <x:v>ResPlan, Agour et al., https://github.com/m-agour/ResPlan (CC BY 4.0)</x:v>
      </x:c>
      <x:c r="U67" s="6" t="str">
        <x:v>data/test/resplan-12962/building.json</x:v>
      </x:c>
      <x:c r="V67" s="6" t="str">
        <x:v>https://github.com/hagenhaeussler/Industrial-Agents-Hackathon-2026/blob/f41616590b69f3ea0c1cbfb41d6c35edd9ce53df/data/test/resplan-12962/building.json</x:v>
      </x:c>
    </x:row>
    <x:row r="68" ht="54" customHeight="1">
      <x:c r="A68" s="6" t="str">
        <x:v>resplan-13909</x:v>
      </x:c>
      <x:c r="B68" s="6" t="str">
        <x:v>Residence 13909</x:v>
      </x:c>
      <x:c r="C68" s="6" t="str">
        <x:v>test</x:v>
      </x:c>
      <x:c r="D68" s="6" t="str">
        <x:v>resplan</x:v>
      </x:c>
      <x:c r="E68" s="6" t="str">
        <x:v>CC-BY-4.0</x:v>
      </x:c>
      <x:c r="F68" s="18" t="n">
        <x:v>1</x:v>
      </x:c>
      <x:c r="G68" s="6" t="str">
        <x:v>0</x:v>
      </x:c>
      <x:c r="H68" s="18" t="n">
        <x:v>5</x:v>
      </x:c>
      <x:c r="I68" s="18" t="n">
        <x:v>5</x:v>
      </x:c>
      <x:c r="J68" s="18" t="n">
        <x:v>16</x:v>
      </x:c>
      <x:c r="K68" s="18" t="n">
        <x:v>0</x:v>
      </x:c>
      <x:c r="L68" s="18" t="n">
        <x:v>0</x:v>
      </x:c>
      <x:c r="M68" s="18" t="n">
        <x:v>0</x:v>
      </x:c>
      <x:c r="N68" s="18" t="n">
        <x:v>0</x:v>
      </x:c>
      <x:c r="O68" s="18" t="n">
        <x:v>0</x:v>
      </x:c>
      <x:c r="P68" s="18" t="n">
        <x:v>0</x:v>
      </x:c>
      <x:c r="Q68" s="6" t="str"/>
      <x:c r="R68" s="21" t="b">
        <x:v>0</x:v>
      </x:c>
      <x:c r="S68" s="21" t="b">
        <x:v>0</x:v>
      </x:c>
      <x:c r="T68" s="6" t="str">
        <x:v>ResPlan, Agour et al., https://github.com/m-agour/ResPlan (CC BY 4.0)</x:v>
      </x:c>
      <x:c r="U68" s="6" t="str">
        <x:v>data/test/resplan-13909/building.json</x:v>
      </x:c>
      <x:c r="V68" s="6" t="str">
        <x:v>https://github.com/hagenhaeussler/Industrial-Agents-Hackathon-2026/blob/f41616590b69f3ea0c1cbfb41d6c35edd9ce53df/data/test/resplan-13909/building.json</x:v>
      </x:c>
    </x:row>
    <x:row r="69" ht="54" customHeight="1">
      <x:c r="A69" s="6" t="str">
        <x:v>resplan-14307</x:v>
      </x:c>
      <x:c r="B69" s="6" t="str">
        <x:v>Residence 14307</x:v>
      </x:c>
      <x:c r="C69" s="6" t="str">
        <x:v>test</x:v>
      </x:c>
      <x:c r="D69" s="6" t="str">
        <x:v>resplan</x:v>
      </x:c>
      <x:c r="E69" s="6" t="str">
        <x:v>CC-BY-4.0</x:v>
      </x:c>
      <x:c r="F69" s="18" t="n">
        <x:v>1</x:v>
      </x:c>
      <x:c r="G69" s="6" t="str">
        <x:v>0</x:v>
      </x:c>
      <x:c r="H69" s="18" t="n">
        <x:v>6</x:v>
      </x:c>
      <x:c r="I69" s="18" t="n">
        <x:v>5</x:v>
      </x:c>
      <x:c r="J69" s="18" t="n">
        <x:v>18</x:v>
      </x:c>
      <x:c r="K69" s="18" t="n">
        <x:v>1</x:v>
      </x:c>
      <x:c r="L69" s="18" t="n">
        <x:v>0</x:v>
      </x:c>
      <x:c r="M69" s="18" t="n">
        <x:v>1</x:v>
      </x:c>
      <x:c r="N69" s="18" t="n">
        <x:v>0</x:v>
      </x:c>
      <x:c r="O69" s="18" t="n">
        <x:v>1</x:v>
      </x:c>
      <x:c r="P69" s="18" t="n">
        <x:v>1</x:v>
      </x:c>
      <x:c r="Q69" s="6" t="str">
        <x:v>shared_walls_count</x:v>
      </x:c>
      <x:c r="R69" s="21" t="b">
        <x:v>0</x:v>
      </x:c>
      <x:c r="S69" s="21" t="b">
        <x:v>0</x:v>
      </x:c>
      <x:c r="T69" s="6" t="str">
        <x:v>ResPlan, Agour et al., https://github.com/m-agour/ResPlan (CC BY 4.0)</x:v>
      </x:c>
      <x:c r="U69" s="6" t="str">
        <x:v>data/test/resplan-14307/building.json</x:v>
      </x:c>
      <x:c r="V69" s="6" t="str">
        <x:v>https://github.com/hagenhaeussler/Industrial-Agents-Hackathon-2026/blob/f41616590b69f3ea0c1cbfb41d6c35edd9ce53df/data/test/resplan-14307/building.json</x:v>
      </x:c>
    </x:row>
    <x:row r="70" ht="54" customHeight="1">
      <x:c r="A70" s="6" t="str">
        <x:v>resplan-3573</x:v>
      </x:c>
      <x:c r="B70" s="6" t="str">
        <x:v>Residence 3573</x:v>
      </x:c>
      <x:c r="C70" s="6" t="str">
        <x:v>test</x:v>
      </x:c>
      <x:c r="D70" s="6" t="str">
        <x:v>resplan</x:v>
      </x:c>
      <x:c r="E70" s="6" t="str">
        <x:v>CC-BY-4.0</x:v>
      </x:c>
      <x:c r="F70" s="18" t="n">
        <x:v>1</x:v>
      </x:c>
      <x:c r="G70" s="6" t="str">
        <x:v>0</x:v>
      </x:c>
      <x:c r="H70" s="18" t="n">
        <x:v>9</x:v>
      </x:c>
      <x:c r="I70" s="18" t="n">
        <x:v>8</x:v>
      </x:c>
      <x:c r="J70" s="18" t="n">
        <x:v>31</x:v>
      </x:c>
      <x:c r="K70" s="18" t="n">
        <x:v>5</x:v>
      </x:c>
      <x:c r="L70" s="18" t="n">
        <x:v>0</x:v>
      </x:c>
      <x:c r="M70" s="18" t="n">
        <x:v>5</x:v>
      </x:c>
      <x:c r="N70" s="18" t="n">
        <x:v>0</x:v>
      </x:c>
      <x:c r="O70" s="18" t="n">
        <x:v>5</x:v>
      </x:c>
      <x:c r="P70" s="18" t="n">
        <x:v>5</x:v>
      </x:c>
      <x:c r="Q70" s="6" t="str">
        <x:v>errand, floor_area_total, largest_room, shared_walls_count, wide_delivery_count</x:v>
      </x:c>
      <x:c r="R70" s="21" t="b">
        <x:v>0</x:v>
      </x:c>
      <x:c r="S70" s="21" t="b">
        <x:v>0</x:v>
      </x:c>
      <x:c r="T70" s="6" t="str">
        <x:v>ResPlan, Agour et al., https://github.com/m-agour/ResPlan (CC BY 4.0)</x:v>
      </x:c>
      <x:c r="U70" s="6" t="str">
        <x:v>data/test/resplan-3573/building.json</x:v>
      </x:c>
      <x:c r="V70" s="6" t="str">
        <x:v>https://github.com/hagenhaeussler/Industrial-Agents-Hackathon-2026/blob/f41616590b69f3ea0c1cbfb41d6c35edd9ce53df/data/test/resplan-3573/building.json</x:v>
      </x:c>
    </x:row>
    <x:row r="71" ht="54" customHeight="1">
      <x:c r="A71" s="6" t="str">
        <x:v>resplan-6532</x:v>
      </x:c>
      <x:c r="B71" s="6" t="str">
        <x:v>Residence 6532</x:v>
      </x:c>
      <x:c r="C71" s="6" t="str">
        <x:v>test</x:v>
      </x:c>
      <x:c r="D71" s="6" t="str">
        <x:v>resplan</x:v>
      </x:c>
      <x:c r="E71" s="6" t="str">
        <x:v>CC-BY-4.0</x:v>
      </x:c>
      <x:c r="F71" s="18" t="n">
        <x:v>1</x:v>
      </x:c>
      <x:c r="G71" s="6" t="str">
        <x:v>0</x:v>
      </x:c>
      <x:c r="H71" s="18" t="n">
        <x:v>7</x:v>
      </x:c>
      <x:c r="I71" s="18" t="n">
        <x:v>6</x:v>
      </x:c>
      <x:c r="J71" s="18" t="n">
        <x:v>26</x:v>
      </x:c>
      <x:c r="K71" s="18" t="n">
        <x:v>2</x:v>
      </x:c>
      <x:c r="L71" s="18" t="n">
        <x:v>0</x:v>
      </x:c>
      <x:c r="M71" s="18" t="n">
        <x:v>2</x:v>
      </x:c>
      <x:c r="N71" s="18" t="n">
        <x:v>0</x:v>
      </x:c>
      <x:c r="O71" s="18" t="n">
        <x:v>2</x:v>
      </x:c>
      <x:c r="P71" s="18" t="n">
        <x:v>2</x:v>
      </x:c>
      <x:c r="Q71" s="6" t="str">
        <x:v>shared_walls_count, wide_delivery_count</x:v>
      </x:c>
      <x:c r="R71" s="21" t="b">
        <x:v>0</x:v>
      </x:c>
      <x:c r="S71" s="21" t="b">
        <x:v>0</x:v>
      </x:c>
      <x:c r="T71" s="6" t="str">
        <x:v>ResPlan, Agour et al., https://github.com/m-agour/ResPlan (CC BY 4.0)</x:v>
      </x:c>
      <x:c r="U71" s="6" t="str">
        <x:v>data/test/resplan-6532/building.json</x:v>
      </x:c>
      <x:c r="V71" s="6" t="str">
        <x:v>https://github.com/hagenhaeussler/Industrial-Agents-Hackathon-2026/blob/f41616590b69f3ea0c1cbfb41d6c35edd9ce53df/data/test/resplan-6532/building.json</x:v>
      </x:c>
    </x:row>
    <x:row r="72" ht="54" customHeight="1">
      <x:c r="A72" s="6" t="str">
        <x:v>resplan-8357</x:v>
      </x:c>
      <x:c r="B72" s="6" t="str">
        <x:v>Residence 8357</x:v>
      </x:c>
      <x:c r="C72" s="6" t="str">
        <x:v>test</x:v>
      </x:c>
      <x:c r="D72" s="6" t="str">
        <x:v>resplan</x:v>
      </x:c>
      <x:c r="E72" s="6" t="str">
        <x:v>CC-BY-4.0</x:v>
      </x:c>
      <x:c r="F72" s="18" t="n">
        <x:v>1</x:v>
      </x:c>
      <x:c r="G72" s="6" t="str">
        <x:v>0</x:v>
      </x:c>
      <x:c r="H72" s="18" t="n">
        <x:v>7</x:v>
      </x:c>
      <x:c r="I72" s="18" t="n">
        <x:v>6</x:v>
      </x:c>
      <x:c r="J72" s="18" t="n">
        <x:v>31</x:v>
      </x:c>
      <x:c r="K72" s="18" t="n">
        <x:v>2</x:v>
      </x:c>
      <x:c r="L72" s="18" t="n">
        <x:v>0</x:v>
      </x:c>
      <x:c r="M72" s="18" t="n">
        <x:v>2</x:v>
      </x:c>
      <x:c r="N72" s="18" t="n">
        <x:v>0</x:v>
      </x:c>
      <x:c r="O72" s="18" t="n">
        <x:v>2</x:v>
      </x:c>
      <x:c r="P72" s="18" t="n">
        <x:v>2</x:v>
      </x:c>
      <x:c r="Q72" s="6" t="str">
        <x:v>shared_walls_count, wide_delivery_count</x:v>
      </x:c>
      <x:c r="R72" s="21" t="b">
        <x:v>0</x:v>
      </x:c>
      <x:c r="S72" s="21" t="b">
        <x:v>0</x:v>
      </x:c>
      <x:c r="T72" s="6" t="str">
        <x:v>ResPlan, Agour et al., https://github.com/m-agour/ResPlan (CC BY 4.0)</x:v>
      </x:c>
      <x:c r="U72" s="6" t="str">
        <x:v>data/test/resplan-8357/building.json</x:v>
      </x:c>
      <x:c r="V72" s="6" t="str">
        <x:v>https://github.com/hagenhaeussler/Industrial-Agents-Hackathon-2026/blob/f41616590b69f3ea0c1cbfb41d6c35edd9ce53df/data/test/resplan-8357/building.json</x:v>
      </x:c>
    </x:row>
    <x:row r="73" ht="54" customHeight="1">
      <x:c r="A73" s="6" t="str">
        <x:v>resplan-9751</x:v>
      </x:c>
      <x:c r="B73" s="6" t="str">
        <x:v>Residence 9751</x:v>
      </x:c>
      <x:c r="C73" s="6" t="str">
        <x:v>test</x:v>
      </x:c>
      <x:c r="D73" s="6" t="str">
        <x:v>resplan</x:v>
      </x:c>
      <x:c r="E73" s="6" t="str">
        <x:v>CC-BY-4.0</x:v>
      </x:c>
      <x:c r="F73" s="18" t="n">
        <x:v>1</x:v>
      </x:c>
      <x:c r="G73" s="6" t="str">
        <x:v>0</x:v>
      </x:c>
      <x:c r="H73" s="18" t="n">
        <x:v>7</x:v>
      </x:c>
      <x:c r="I73" s="18" t="n">
        <x:v>6</x:v>
      </x:c>
      <x:c r="J73" s="18" t="n">
        <x:v>27</x:v>
      </x:c>
      <x:c r="K73" s="18" t="n">
        <x:v>1</x:v>
      </x:c>
      <x:c r="L73" s="18" t="n">
        <x:v>0</x:v>
      </x:c>
      <x:c r="M73" s="18" t="n">
        <x:v>1</x:v>
      </x:c>
      <x:c r="N73" s="18" t="n">
        <x:v>0</x:v>
      </x:c>
      <x:c r="O73" s="18" t="n">
        <x:v>1</x:v>
      </x:c>
      <x:c r="P73" s="18" t="n">
        <x:v>1</x:v>
      </x:c>
      <x:c r="Q73" s="6" t="str">
        <x:v>shared_walls_count</x:v>
      </x:c>
      <x:c r="R73" s="21" t="b">
        <x:v>0</x:v>
      </x:c>
      <x:c r="S73" s="21" t="b">
        <x:v>0</x:v>
      </x:c>
      <x:c r="T73" s="6" t="str">
        <x:v>ResPlan, Agour et al., https://github.com/m-agour/ResPlan (CC BY 4.0)</x:v>
      </x:c>
      <x:c r="U73" s="6" t="str">
        <x:v>data/test/resplan-9751/building.json</x:v>
      </x:c>
      <x:c r="V73" s="6" t="str">
        <x:v>https://github.com/hagenhaeussler/Industrial-Agents-Hackathon-2026/blob/f41616590b69f3ea0c1cbfb41d6c35edd9ce53df/data/test/resplan-9751/building.json</x:v>
      </x:c>
    </x:row>
    <x:row r="74" ht="42" customHeight="1">
      <x:c r="A74" s="6" t="str">
        <x:v>swiss-100</x:v>
      </x:c>
      <x:c r="B74" s="6" t="str">
        <x:v>Residential building 100</x:v>
      </x:c>
      <x:c r="C74" s="6" t="str">
        <x:v>test</x:v>
      </x:c>
      <x:c r="D74" s="6" t="str">
        <x:v>swiss_dwellings</x:v>
      </x:c>
      <x:c r="E74" s="6" t="str">
        <x:v>CC-BY-4.0</x:v>
      </x:c>
      <x:c r="F74" s="18" t="n">
        <x:v>7</x:v>
      </x:c>
      <x:c r="G74" s="6" t="str">
        <x:v>0, 1, 2, 3, 4, 5, 6</x:v>
      </x:c>
      <x:c r="H74" s="18" t="n">
        <x:v>293</x:v>
      </x:c>
      <x:c r="I74" s="18" t="n">
        <x:v>182</x:v>
      </x:c>
      <x:c r="J74" s="18" t="n">
        <x:v>897</x:v>
      </x:c>
      <x:c r="K74" s="18" t="n">
        <x:v>3</x:v>
      </x:c>
      <x:c r="L74" s="18" t="n">
        <x:v>0</x:v>
      </x:c>
      <x:c r="M74" s="18" t="n">
        <x:v>3</x:v>
      </x:c>
      <x:c r="N74" s="18" t="n">
        <x:v>0</x:v>
      </x:c>
      <x:c r="O74" s="18" t="n">
        <x:v>3</x:v>
      </x:c>
      <x:c r="P74" s="18" t="n">
        <x:v>3</x:v>
      </x:c>
      <x:c r="Q74" s="6" t="str">
        <x:v>errand, floor_area_total, largest_room</x:v>
      </x:c>
      <x:c r="R74" s="21" t="b">
        <x:v>1</x:v>
      </x:c>
      <x:c r="S74" s="21" t="b">
        <x:v>1</x:v>
      </x:c>
      <x:c r="T74" s="6" t="str">
        <x:v>Swiss Dwellings, Archilyse AG / Standfest et al., https://zenodo.org/records/7070952 (CC BY 4.0)</x:v>
      </x:c>
      <x:c r="U74" s="6" t="str">
        <x:v>data/test/swiss-100/building.json</x:v>
      </x:c>
      <x:c r="V74" s="6" t="str">
        <x:v>https://github.com/hagenhaeussler/Industrial-Agents-Hackathon-2026/blob/f41616590b69f3ea0c1cbfb41d6c35edd9ce53df/data/test/swiss-100/building.json</x:v>
      </x:c>
    </x:row>
    <x:row r="75" ht="42" customHeight="1">
      <x:c r="A75" s="6" t="str">
        <x:v>swiss-1195</x:v>
      </x:c>
      <x:c r="B75" s="6" t="str">
        <x:v>Residential building 1195</x:v>
      </x:c>
      <x:c r="C75" s="6" t="str">
        <x:v>test</x:v>
      </x:c>
      <x:c r="D75" s="6" t="str">
        <x:v>swiss_dwellings</x:v>
      </x:c>
      <x:c r="E75" s="6" t="str">
        <x:v>CC-BY-4.0</x:v>
      </x:c>
      <x:c r="F75" s="18" t="n">
        <x:v>4</x:v>
      </x:c>
      <x:c r="G75" s="6" t="str">
        <x:v>0, 1, 2, 3</x:v>
      </x:c>
      <x:c r="H75" s="18" t="n">
        <x:v>144</x:v>
      </x:c>
      <x:c r="I75" s="18" t="n">
        <x:v>96</x:v>
      </x:c>
      <x:c r="J75" s="18" t="n">
        <x:v>377</x:v>
      </x:c>
      <x:c r="K75" s="18" t="n">
        <x:v>2</x:v>
      </x:c>
      <x:c r="L75" s="18" t="n">
        <x:v>0</x:v>
      </x:c>
      <x:c r="M75" s="18" t="n">
        <x:v>2</x:v>
      </x:c>
      <x:c r="N75" s="18" t="n">
        <x:v>0</x:v>
      </x:c>
      <x:c r="O75" s="18" t="n">
        <x:v>2</x:v>
      </x:c>
      <x:c r="P75" s="18" t="n">
        <x:v>2</x:v>
      </x:c>
      <x:c r="Q75" s="6" t="str">
        <x:v>floor_area_total, shared_walls_count</x:v>
      </x:c>
      <x:c r="R75" s="21" t="b">
        <x:v>0</x:v>
      </x:c>
      <x:c r="S75" s="21" t="b">
        <x:v>1</x:v>
      </x:c>
      <x:c r="T75" s="6" t="str">
        <x:v>Swiss Dwellings, Archilyse AG / Standfest et al., https://zenodo.org/records/7070952 (CC BY 4.0)</x:v>
      </x:c>
      <x:c r="U75" s="6" t="str">
        <x:v>data/test/swiss-1195/building.json</x:v>
      </x:c>
      <x:c r="V75" s="6" t="str">
        <x:v>https://github.com/hagenhaeussler/Industrial-Agents-Hackathon-2026/blob/f41616590b69f3ea0c1cbfb41d6c35edd9ce53df/data/test/swiss-1195/building.json</x:v>
      </x:c>
    </x:row>
    <x:row r="76" ht="42" customHeight="1">
      <x:c r="A76" s="6" t="str">
        <x:v>swiss-1671</x:v>
      </x:c>
      <x:c r="B76" s="6" t="str">
        <x:v>Residential building 1671</x:v>
      </x:c>
      <x:c r="C76" s="6" t="str">
        <x:v>test</x:v>
      </x:c>
      <x:c r="D76" s="6" t="str">
        <x:v>swiss_dwellings</x:v>
      </x:c>
      <x:c r="E76" s="6" t="str">
        <x:v>CC-BY-4.0</x:v>
      </x:c>
      <x:c r="F76" s="18" t="n">
        <x:v>4</x:v>
      </x:c>
      <x:c r="G76" s="6" t="str">
        <x:v>0, 1, 2, 3</x:v>
      </x:c>
      <x:c r="H76" s="18" t="n">
        <x:v>68</x:v>
      </x:c>
      <x:c r="I76" s="18" t="n">
        <x:v>50</x:v>
      </x:c>
      <x:c r="J76" s="18" t="n">
        <x:v>180</x:v>
      </x:c>
      <x:c r="K76" s="18" t="n">
        <x:v>4</x:v>
      </x:c>
      <x:c r="L76" s="18" t="n">
        <x:v>0</x:v>
      </x:c>
      <x:c r="M76" s="18" t="n">
        <x:v>4</x:v>
      </x:c>
      <x:c r="N76" s="18" t="n">
        <x:v>0</x:v>
      </x:c>
      <x:c r="O76" s="18" t="n">
        <x:v>4</x:v>
      </x:c>
      <x:c r="P76" s="18" t="n">
        <x:v>4</x:v>
      </x:c>
      <x:c r="Q76" s="6" t="str">
        <x:v>errand, floor_area_total, largest_room, shared_walls_count</x:v>
      </x:c>
      <x:c r="R76" s="21" t="b">
        <x:v>1</x:v>
      </x:c>
      <x:c r="S76" s="21" t="b">
        <x:v>1</x:v>
      </x:c>
      <x:c r="T76" s="6" t="str">
        <x:v>Swiss Dwellings, Archilyse AG / Standfest et al., https://zenodo.org/records/7070952 (CC BY 4.0)</x:v>
      </x:c>
      <x:c r="U76" s="6" t="str">
        <x:v>data/test/swiss-1671/building.json</x:v>
      </x:c>
      <x:c r="V76" s="6" t="str">
        <x:v>https://github.com/hagenhaeussler/Industrial-Agents-Hackathon-2026/blob/f41616590b69f3ea0c1cbfb41d6c35edd9ce53df/data/test/swiss-1671/building.json</x:v>
      </x:c>
    </x:row>
    <x:row r="77" ht="54" customHeight="1">
      <x:c r="A77" s="6" t="str">
        <x:v>swiss-17033</x:v>
      </x:c>
      <x:c r="B77" s="6" t="str">
        <x:v>Residential building 17033</x:v>
      </x:c>
      <x:c r="C77" s="6" t="str">
        <x:v>test</x:v>
      </x:c>
      <x:c r="D77" s="6" t="str">
        <x:v>swiss_dwellings</x:v>
      </x:c>
      <x:c r="E77" s="6" t="str">
        <x:v>CC-BY-4.0</x:v>
      </x:c>
      <x:c r="F77" s="18" t="n">
        <x:v>2</x:v>
      </x:c>
      <x:c r="G77" s="6" t="str">
        <x:v>0, 1</x:v>
      </x:c>
      <x:c r="H77" s="18" t="n">
        <x:v>26</x:v>
      </x:c>
      <x:c r="I77" s="18" t="n">
        <x:v>20</x:v>
      </x:c>
      <x:c r="J77" s="18" t="n">
        <x:v>96</x:v>
      </x:c>
      <x:c r="K77" s="18" t="n">
        <x:v>1</x:v>
      </x:c>
      <x:c r="L77" s="18" t="n">
        <x:v>0</x:v>
      </x:c>
      <x:c r="M77" s="18" t="n">
        <x:v>1</x:v>
      </x:c>
      <x:c r="N77" s="18" t="n">
        <x:v>0</x:v>
      </x:c>
      <x:c r="O77" s="18" t="n">
        <x:v>1</x:v>
      </x:c>
      <x:c r="P77" s="18" t="n">
        <x:v>1</x:v>
      </x:c>
      <x:c r="Q77" s="6" t="str">
        <x:v>floor_area_total</x:v>
      </x:c>
      <x:c r="R77" s="21" t="b">
        <x:v>0</x:v>
      </x:c>
      <x:c r="S77" s="21" t="b">
        <x:v>1</x:v>
      </x:c>
      <x:c r="T77" s="6" t="str">
        <x:v>Swiss Dwellings, Archilyse AG / Standfest et al., https://zenodo.org/records/7070952 (CC BY 4.0)</x:v>
      </x:c>
      <x:c r="U77" s="6" t="str">
        <x:v>data/test/swiss-17033/building.json</x:v>
      </x:c>
      <x:c r="V77" s="6" t="str">
        <x:v>https://github.com/hagenhaeussler/Industrial-Agents-Hackathon-2026/blob/f41616590b69f3ea0c1cbfb41d6c35edd9ce53df/data/test/swiss-17033/building.json</x:v>
      </x:c>
    </x:row>
    <x:row r="78" ht="42" customHeight="1">
      <x:c r="A78" s="6" t="str">
        <x:v>swiss-1760</x:v>
      </x:c>
      <x:c r="B78" s="6" t="str">
        <x:v>Residential building 1760</x:v>
      </x:c>
      <x:c r="C78" s="6" t="str">
        <x:v>test</x:v>
      </x:c>
      <x:c r="D78" s="6" t="str">
        <x:v>swiss_dwellings</x:v>
      </x:c>
      <x:c r="E78" s="6" t="str">
        <x:v>CC-BY-4.0</x:v>
      </x:c>
      <x:c r="F78" s="18" t="n">
        <x:v>3</x:v>
      </x:c>
      <x:c r="G78" s="6" t="str">
        <x:v>0, 1, 2</x:v>
      </x:c>
      <x:c r="H78" s="18" t="n">
        <x:v>114</x:v>
      </x:c>
      <x:c r="I78" s="18" t="n">
        <x:v>76</x:v>
      </x:c>
      <x:c r="J78" s="18" t="n">
        <x:v>320</x:v>
      </x:c>
      <x:c r="K78" s="18" t="n">
        <x:v>2</x:v>
      </x:c>
      <x:c r="L78" s="18" t="n">
        <x:v>0</x:v>
      </x:c>
      <x:c r="M78" s="18" t="n">
        <x:v>2</x:v>
      </x:c>
      <x:c r="N78" s="18" t="n">
        <x:v>0</x:v>
      </x:c>
      <x:c r="O78" s="18" t="n">
        <x:v>2</x:v>
      </x:c>
      <x:c r="P78" s="18" t="n">
        <x:v>2</x:v>
      </x:c>
      <x:c r="Q78" s="6" t="str">
        <x:v>floor_area_total, largest_room</x:v>
      </x:c>
      <x:c r="R78" s="21" t="b">
        <x:v>0</x:v>
      </x:c>
      <x:c r="S78" s="21" t="b">
        <x:v>1</x:v>
      </x:c>
      <x:c r="T78" s="6" t="str">
        <x:v>Swiss Dwellings, Archilyse AG / Standfest et al., https://zenodo.org/records/7070952 (CC BY 4.0)</x:v>
      </x:c>
      <x:c r="U78" s="6" t="str">
        <x:v>data/test/swiss-1760/building.json</x:v>
      </x:c>
      <x:c r="V78" s="6" t="str">
        <x:v>https://github.com/hagenhaeussler/Industrial-Agents-Hackathon-2026/blob/f41616590b69f3ea0c1cbfb41d6c35edd9ce53df/data/test/swiss-1760/building.json</x:v>
      </x:c>
    </x:row>
    <x:row r="79" ht="54" customHeight="1">
      <x:c r="A79" s="6" t="str">
        <x:v>swiss-17736</x:v>
      </x:c>
      <x:c r="B79" s="6" t="str">
        <x:v>Residential building 17736</x:v>
      </x:c>
      <x:c r="C79" s="6" t="str">
        <x:v>test</x:v>
      </x:c>
      <x:c r="D79" s="6" t="str">
        <x:v>swiss_dwellings</x:v>
      </x:c>
      <x:c r="E79" s="6" t="str">
        <x:v>CC-BY-4.0</x:v>
      </x:c>
      <x:c r="F79" s="18" t="n">
        <x:v>4</x:v>
      </x:c>
      <x:c r="G79" s="6" t="str">
        <x:v>0, 1, 2, 3</x:v>
      </x:c>
      <x:c r="H79" s="18" t="n">
        <x:v>83</x:v>
      </x:c>
      <x:c r="I79" s="18" t="n">
        <x:v>58</x:v>
      </x:c>
      <x:c r="J79" s="18" t="n">
        <x:v>275</x:v>
      </x:c>
      <x:c r="K79" s="18" t="n">
        <x:v>3</x:v>
      </x:c>
      <x:c r="L79" s="18" t="n">
        <x:v>0</x:v>
      </x:c>
      <x:c r="M79" s="18" t="n">
        <x:v>3</x:v>
      </x:c>
      <x:c r="N79" s="18" t="n">
        <x:v>0</x:v>
      </x:c>
      <x:c r="O79" s="18" t="n">
        <x:v>3</x:v>
      </x:c>
      <x:c r="P79" s="18" t="n">
        <x:v>3</x:v>
      </x:c>
      <x:c r="Q79" s="6" t="str">
        <x:v>errand, floor_area_total, largest_room</x:v>
      </x:c>
      <x:c r="R79" s="21" t="b">
        <x:v>1</x:v>
      </x:c>
      <x:c r="S79" s="21" t="b">
        <x:v>1</x:v>
      </x:c>
      <x:c r="T79" s="6" t="str">
        <x:v>Swiss Dwellings, Archilyse AG / Standfest et al., https://zenodo.org/records/7070952 (CC BY 4.0)</x:v>
      </x:c>
      <x:c r="U79" s="6" t="str">
        <x:v>data/test/swiss-17736/building.json</x:v>
      </x:c>
      <x:c r="V79" s="6" t="str">
        <x:v>https://github.com/hagenhaeussler/Industrial-Agents-Hackathon-2026/blob/f41616590b69f3ea0c1cbfb41d6c35edd9ce53df/data/test/swiss-17736/building.json</x:v>
      </x:c>
    </x:row>
    <x:row r="80" ht="42" customHeight="1">
      <x:c r="A80" s="6" t="str">
        <x:v>swiss-1825</x:v>
      </x:c>
      <x:c r="B80" s="6" t="str">
        <x:v>Residential building 1825</x:v>
      </x:c>
      <x:c r="C80" s="6" t="str">
        <x:v>test</x:v>
      </x:c>
      <x:c r="D80" s="6" t="str">
        <x:v>swiss_dwellings</x:v>
      </x:c>
      <x:c r="E80" s="6" t="str">
        <x:v>CC-BY-4.0</x:v>
      </x:c>
      <x:c r="F80" s="18" t="n">
        <x:v>4</x:v>
      </x:c>
      <x:c r="G80" s="6" t="str">
        <x:v>0, 1, 2, 3</x:v>
      </x:c>
      <x:c r="H80" s="18" t="n">
        <x:v>148</x:v>
      </x:c>
      <x:c r="I80" s="18" t="n">
        <x:v>92</x:v>
      </x:c>
      <x:c r="J80" s="18" t="n">
        <x:v>431</x:v>
      </x:c>
      <x:c r="K80" s="18" t="n">
        <x:v>1</x:v>
      </x:c>
      <x:c r="L80" s="18" t="n">
        <x:v>0</x:v>
      </x:c>
      <x:c r="M80" s="18" t="n">
        <x:v>1</x:v>
      </x:c>
      <x:c r="N80" s="18" t="n">
        <x:v>0</x:v>
      </x:c>
      <x:c r="O80" s="18" t="n">
        <x:v>1</x:v>
      </x:c>
      <x:c r="P80" s="18" t="n">
        <x:v>1</x:v>
      </x:c>
      <x:c r="Q80" s="6" t="str">
        <x:v>floor_area_total</x:v>
      </x:c>
      <x:c r="R80" s="21" t="b">
        <x:v>0</x:v>
      </x:c>
      <x:c r="S80" s="21" t="b">
        <x:v>1</x:v>
      </x:c>
      <x:c r="T80" s="6" t="str">
        <x:v>Swiss Dwellings, Archilyse AG / Standfest et al., https://zenodo.org/records/7070952 (CC BY 4.0)</x:v>
      </x:c>
      <x:c r="U80" s="6" t="str">
        <x:v>data/test/swiss-1825/building.json</x:v>
      </x:c>
      <x:c r="V80" s="6" t="str">
        <x:v>https://github.com/hagenhaeussler/Industrial-Agents-Hackathon-2026/blob/f41616590b69f3ea0c1cbfb41d6c35edd9ce53df/data/test/swiss-1825/building.json</x:v>
      </x:c>
    </x:row>
    <x:row r="81" ht="42" customHeight="1">
      <x:c r="A81" s="6" t="str">
        <x:v>swiss-2</x:v>
      </x:c>
      <x:c r="B81" s="6" t="str">
        <x:v>Residential building 2</x:v>
      </x:c>
      <x:c r="C81" s="6" t="str">
        <x:v>test</x:v>
      </x:c>
      <x:c r="D81" s="6" t="str">
        <x:v>swiss_dwellings</x:v>
      </x:c>
      <x:c r="E81" s="6" t="str">
        <x:v>CC-BY-4.0</x:v>
      </x:c>
      <x:c r="F81" s="18" t="n">
        <x:v>6</x:v>
      </x:c>
      <x:c r="G81" s="6" t="str">
        <x:v>0, 1, 2, 3, 4, 5</x:v>
      </x:c>
      <x:c r="H81" s="18" t="n">
        <x:v>79</x:v>
      </x:c>
      <x:c r="I81" s="18" t="n">
        <x:v>50</x:v>
      </x:c>
      <x:c r="J81" s="18" t="n">
        <x:v>242</x:v>
      </x:c>
      <x:c r="K81" s="18" t="n">
        <x:v>1</x:v>
      </x:c>
      <x:c r="L81" s="18" t="n">
        <x:v>0</x:v>
      </x:c>
      <x:c r="M81" s="18" t="n">
        <x:v>1</x:v>
      </x:c>
      <x:c r="N81" s="18" t="n">
        <x:v>0</x:v>
      </x:c>
      <x:c r="O81" s="18" t="n">
        <x:v>1</x:v>
      </x:c>
      <x:c r="P81" s="18" t="n">
        <x:v>1</x:v>
      </x:c>
      <x:c r="Q81" s="6" t="str">
        <x:v>floor_area_total</x:v>
      </x:c>
      <x:c r="R81" s="21" t="b">
        <x:v>0</x:v>
      </x:c>
      <x:c r="S81" s="21" t="b">
        <x:v>1</x:v>
      </x:c>
      <x:c r="T81" s="6" t="str">
        <x:v>Swiss Dwellings, Archilyse AG / Standfest et al., https://zenodo.org/records/7070952 (CC BY 4.0)</x:v>
      </x:c>
      <x:c r="U81" s="6" t="str">
        <x:v>data/test/swiss-2/building.json</x:v>
      </x:c>
      <x:c r="V81" s="6" t="str">
        <x:v>https://github.com/hagenhaeussler/Industrial-Agents-Hackathon-2026/blob/f41616590b69f3ea0c1cbfb41d6c35edd9ce53df/data/test/swiss-2/building.json</x:v>
      </x:c>
    </x:row>
    <x:row r="82" ht="42" customHeight="1">
      <x:c r="A82" s="6" t="str">
        <x:v>swiss-2080</x:v>
      </x:c>
      <x:c r="B82" s="6" t="str">
        <x:v>Residential building 2080</x:v>
      </x:c>
      <x:c r="C82" s="6" t="str">
        <x:v>test</x:v>
      </x:c>
      <x:c r="D82" s="6" t="str">
        <x:v>swiss_dwellings</x:v>
      </x:c>
      <x:c r="E82" s="6" t="str">
        <x:v>CC-BY-4.0</x:v>
      </x:c>
      <x:c r="F82" s="18" t="n">
        <x:v>4</x:v>
      </x:c>
      <x:c r="G82" s="6" t="str">
        <x:v>0, 1, 2, 3</x:v>
      </x:c>
      <x:c r="H82" s="18" t="n">
        <x:v>92</x:v>
      </x:c>
      <x:c r="I82" s="18" t="n">
        <x:v>64</x:v>
      </x:c>
      <x:c r="J82" s="18" t="n">
        <x:v>294</x:v>
      </x:c>
      <x:c r="K82" s="18" t="n">
        <x:v>4</x:v>
      </x:c>
      <x:c r="L82" s="18" t="n">
        <x:v>0</x:v>
      </x:c>
      <x:c r="M82" s="18" t="n">
        <x:v>4</x:v>
      </x:c>
      <x:c r="N82" s="18" t="n">
        <x:v>0</x:v>
      </x:c>
      <x:c r="O82" s="18" t="n">
        <x:v>4</x:v>
      </x:c>
      <x:c r="P82" s="18" t="n">
        <x:v>4</x:v>
      </x:c>
      <x:c r="Q82" s="6" t="str">
        <x:v>errand, floor_area_total, largest_room, shared_walls_count</x:v>
      </x:c>
      <x:c r="R82" s="21" t="b">
        <x:v>1</x:v>
      </x:c>
      <x:c r="S82" s="21" t="b">
        <x:v>1</x:v>
      </x:c>
      <x:c r="T82" s="6" t="str">
        <x:v>Swiss Dwellings, Archilyse AG / Standfest et al., https://zenodo.org/records/7070952 (CC BY 4.0)</x:v>
      </x:c>
      <x:c r="U82" s="6" t="str">
        <x:v>data/test/swiss-2080/building.json</x:v>
      </x:c>
      <x:c r="V82" s="6" t="str">
        <x:v>https://github.com/hagenhaeussler/Industrial-Agents-Hackathon-2026/blob/f41616590b69f3ea0c1cbfb41d6c35edd9ce53df/data/test/swiss-2080/building.json</x:v>
      </x:c>
    </x:row>
    <x:row r="83" ht="42" customHeight="1">
      <x:c r="A83" s="6" t="str">
        <x:v>swiss-2873</x:v>
      </x:c>
      <x:c r="B83" s="6" t="str">
        <x:v>Residential building 2873</x:v>
      </x:c>
      <x:c r="C83" s="6" t="str">
        <x:v>test</x:v>
      </x:c>
      <x:c r="D83" s="6" t="str">
        <x:v>swiss_dwellings</x:v>
      </x:c>
      <x:c r="E83" s="6" t="str">
        <x:v>CC-BY-4.0</x:v>
      </x:c>
      <x:c r="F83" s="18" t="n">
        <x:v>3</x:v>
      </x:c>
      <x:c r="G83" s="6" t="str">
        <x:v>0, 1, 2</x:v>
      </x:c>
      <x:c r="H83" s="18" t="n">
        <x:v>115</x:v>
      </x:c>
      <x:c r="I83" s="18" t="n">
        <x:v>83</x:v>
      </x:c>
      <x:c r="J83" s="18" t="n">
        <x:v>348</x:v>
      </x:c>
      <x:c r="K83" s="18" t="n">
        <x:v>4</x:v>
      </x:c>
      <x:c r="L83" s="18" t="n">
        <x:v>0</x:v>
      </x:c>
      <x:c r="M83" s="18" t="n">
        <x:v>4</x:v>
      </x:c>
      <x:c r="N83" s="18" t="n">
        <x:v>0</x:v>
      </x:c>
      <x:c r="O83" s="18" t="n">
        <x:v>4</x:v>
      </x:c>
      <x:c r="P83" s="18" t="n">
        <x:v>4</x:v>
      </x:c>
      <x:c r="Q83" s="6" t="str">
        <x:v>errand, floor_area_total, largest_room, shared_walls_count</x:v>
      </x:c>
      <x:c r="R83" s="21" t="b">
        <x:v>1</x:v>
      </x:c>
      <x:c r="S83" s="21" t="b">
        <x:v>1</x:v>
      </x:c>
      <x:c r="T83" s="6" t="str">
        <x:v>Swiss Dwellings, Archilyse AG / Standfest et al., https://zenodo.org/records/7070952 (CC BY 4.0)</x:v>
      </x:c>
      <x:c r="U83" s="6" t="str">
        <x:v>data/test/swiss-2873/building.json</x:v>
      </x:c>
      <x:c r="V83" s="6" t="str">
        <x:v>https://github.com/hagenhaeussler/Industrial-Agents-Hackathon-2026/blob/f41616590b69f3ea0c1cbfb41d6c35edd9ce53df/data/test/swiss-2873/building.json</x:v>
      </x:c>
    </x:row>
    <x:row r="84" ht="42" customHeight="1">
      <x:c r="A84" s="6" t="str">
        <x:v>swiss-482</x:v>
      </x:c>
      <x:c r="B84" s="6" t="str">
        <x:v>Residential building 482</x:v>
      </x:c>
      <x:c r="C84" s="6" t="str">
        <x:v>test</x:v>
      </x:c>
      <x:c r="D84" s="6" t="str">
        <x:v>swiss_dwellings</x:v>
      </x:c>
      <x:c r="E84" s="6" t="str">
        <x:v>CC-BY-4.0</x:v>
      </x:c>
      <x:c r="F84" s="18" t="n">
        <x:v>10</x:v>
      </x:c>
      <x:c r="G84" s="6" t="str">
        <x:v>0, 1, 2, 3, 4, 5, 6, 7, 8, 9</x:v>
      </x:c>
      <x:c r="H84" s="18" t="n">
        <x:v>336</x:v>
      </x:c>
      <x:c r="I84" s="18" t="n">
        <x:v>245</x:v>
      </x:c>
      <x:c r="J84" s="18" t="n">
        <x:v>1017</x:v>
      </x:c>
      <x:c r="K84" s="18" t="n">
        <x:v>4</x:v>
      </x:c>
      <x:c r="L84" s="18" t="n">
        <x:v>0</x:v>
      </x:c>
      <x:c r="M84" s="18" t="n">
        <x:v>4</x:v>
      </x:c>
      <x:c r="N84" s="18" t="n">
        <x:v>0</x:v>
      </x:c>
      <x:c r="O84" s="18" t="n">
        <x:v>4</x:v>
      </x:c>
      <x:c r="P84" s="18" t="n">
        <x:v>4</x:v>
      </x:c>
      <x:c r="Q84" s="6" t="str">
        <x:v>errand, floor_area_total, largest_room, shared_walls_count</x:v>
      </x:c>
      <x:c r="R84" s="21" t="b">
        <x:v>1</x:v>
      </x:c>
      <x:c r="S84" s="21" t="b">
        <x:v>1</x:v>
      </x:c>
      <x:c r="T84" s="6" t="str">
        <x:v>Swiss Dwellings, Archilyse AG / Standfest et al., https://zenodo.org/records/7070952 (CC BY 4.0)</x:v>
      </x:c>
      <x:c r="U84" s="6" t="str">
        <x:v>data/test/swiss-482/building.json</x:v>
      </x:c>
      <x:c r="V84" s="6" t="str">
        <x:v>https://github.com/hagenhaeussler/Industrial-Agents-Hackathon-2026/blob/f41616590b69f3ea0c1cbfb41d6c35edd9ce53df/data/test/swiss-482/building.json</x:v>
      </x:c>
    </x:row>
    <x:row r="85" ht="42" customHeight="1">
      <x:c r="A85" s="6" t="str">
        <x:v>swiss-6128</x:v>
      </x:c>
      <x:c r="B85" s="6" t="str">
        <x:v>Residential building 6128</x:v>
      </x:c>
      <x:c r="C85" s="6" t="str">
        <x:v>test</x:v>
      </x:c>
      <x:c r="D85" s="6" t="str">
        <x:v>swiss_dwellings</x:v>
      </x:c>
      <x:c r="E85" s="6" t="str">
        <x:v>CC-BY-4.0</x:v>
      </x:c>
      <x:c r="F85" s="18" t="n">
        <x:v>3</x:v>
      </x:c>
      <x:c r="G85" s="6" t="str">
        <x:v>0, 1, 2</x:v>
      </x:c>
      <x:c r="H85" s="18" t="n">
        <x:v>36</x:v>
      </x:c>
      <x:c r="I85" s="18" t="n">
        <x:v>24</x:v>
      </x:c>
      <x:c r="J85" s="18" t="n">
        <x:v>110</x:v>
      </x:c>
      <x:c r="K85" s="18" t="n">
        <x:v>1</x:v>
      </x:c>
      <x:c r="L85" s="18" t="n">
        <x:v>0</x:v>
      </x:c>
      <x:c r="M85" s="18" t="n">
        <x:v>1</x:v>
      </x:c>
      <x:c r="N85" s="18" t="n">
        <x:v>0</x:v>
      </x:c>
      <x:c r="O85" s="18" t="n">
        <x:v>1</x:v>
      </x:c>
      <x:c r="P85" s="18" t="n">
        <x:v>1</x:v>
      </x:c>
      <x:c r="Q85" s="6" t="str">
        <x:v>floor_area_total</x:v>
      </x:c>
      <x:c r="R85" s="21" t="b">
        <x:v>0</x:v>
      </x:c>
      <x:c r="S85" s="21" t="b">
        <x:v>1</x:v>
      </x:c>
      <x:c r="T85" s="6" t="str">
        <x:v>Swiss Dwellings, Archilyse AG / Standfest et al., https://zenodo.org/records/7070952 (CC BY 4.0)</x:v>
      </x:c>
      <x:c r="U85" s="6" t="str">
        <x:v>data/test/swiss-6128/building.json</x:v>
      </x:c>
      <x:c r="V85" s="6" t="str">
        <x:v>https://github.com/hagenhaeussler/Industrial-Agents-Hackathon-2026/blob/f41616590b69f3ea0c1cbfb41d6c35edd9ce53df/data/test/swiss-6128/building.json</x:v>
      </x:c>
    </x:row>
    <x:row r="86" ht="54" customHeight="1">
      <x:c r="A86" s="6" t="str">
        <x:v>osm-way10053349</x:v>
      </x:c>
      <x:c r="B86" s="6" t="str">
        <x:v>Hauptgebäude</x:v>
      </x:c>
      <x:c r="C86" s="6" t="str">
        <x:v>train</x:v>
      </x:c>
      <x:c r="D86" s="6" t="str">
        <x:v>osm_indoor</x:v>
      </x:c>
      <x:c r="E86" s="6" t="str">
        <x:v>ODbL-1.0</x:v>
      </x:c>
      <x:c r="F86" s="18" t="n">
        <x:v>4</x:v>
      </x:c>
      <x:c r="G86" s="6" t="str">
        <x:v>-1, 0, 1, 2</x:v>
      </x:c>
      <x:c r="H86" s="18" t="n">
        <x:v>136</x:v>
      </x:c>
      <x:c r="I86" s="18" t="n">
        <x:v>108</x:v>
      </x:c>
      <x:c r="J86" s="18" t="n">
        <x:v>429</x:v>
      </x:c>
      <x:c r="K86" s="18" t="n">
        <x:v>2</x:v>
      </x:c>
      <x:c r="L86" s="18" t="n">
        <x:v>8</x:v>
      </x:c>
      <x:c r="M86" s="18" t="n">
        <x:v>10</x:v>
      </x:c>
      <x:c r="N86" s="18" t="n">
        <x:v>10</x:v>
      </x:c>
      <x:c r="O86" s="18" t="n">
        <x:v>0</x:v>
      </x:c>
      <x:c r="P86" s="18" t="n">
        <x:v>7</x:v>
      </x:c>
      <x:c r="Q86" s="6" t="str">
        <x:v>count, floor_area_total, locate, route, route_step_free, shared_walls_count, tour</x:v>
      </x:c>
      <x:c r="R86" s="21" t="b">
        <x:v>0</x:v>
      </x:c>
      <x:c r="S86" s="21" t="b">
        <x:v>1</x:v>
      </x:c>
      <x:c r="T86" s="6" t="str">
        <x:v>© OpenStreetMap contributors, https://www.openstreetmap.org/copyright (ODbL)</x:v>
      </x:c>
      <x:c r="U86" s="6" t="str">
        <x:v>data/train/osm-way10053349/building.json</x:v>
      </x:c>
      <x:c r="V86" s="6" t="str">
        <x:v>https://github.com/hagenhaeussler/Industrial-Agents-Hackathon-2026/blob/f41616590b69f3ea0c1cbfb41d6c35edd9ce53df/data/train/osm-way10053349/building.json</x:v>
      </x:c>
    </x:row>
    <x:row r="87" ht="54" customHeight="1">
      <x:c r="A87" s="6" t="str">
        <x:v>osm-way13507441</x:v>
      </x:c>
      <x:c r="B87" s="6" t="str">
        <x:v>Wolf-Ferrari-Haus</x:v>
      </x:c>
      <x:c r="C87" s="6" t="str">
        <x:v>train</x:v>
      </x:c>
      <x:c r="D87" s="6" t="str">
        <x:v>osm_indoor</x:v>
      </x:c>
      <x:c r="E87" s="6" t="str">
        <x:v>ODbL-1.0</x:v>
      </x:c>
      <x:c r="F87" s="18" t="n">
        <x:v>3</x:v>
      </x:c>
      <x:c r="G87" s="6" t="str">
        <x:v>0, 1, 2</x:v>
      </x:c>
      <x:c r="H87" s="18" t="n">
        <x:v>28</x:v>
      </x:c>
      <x:c r="I87" s="18" t="n">
        <x:v>13</x:v>
      </x:c>
      <x:c r="J87" s="18" t="n">
        <x:v>133</x:v>
      </x:c>
      <x:c r="K87" s="18" t="n">
        <x:v>7</x:v>
      </x:c>
      <x:c r="L87" s="18" t="n">
        <x:v>9</x:v>
      </x:c>
      <x:c r="M87" s="18" t="n">
        <x:v>16</x:v>
      </x:c>
      <x:c r="N87" s="18" t="n">
        <x:v>16</x:v>
      </x:c>
      <x:c r="O87" s="18" t="n">
        <x:v>0</x:v>
      </x:c>
      <x:c r="P87" s="18" t="n">
        <x:v>10</x:v>
      </x:c>
      <x:c r="Q87" s="6" t="str">
        <x:v>count, errand, floor_area_total, largest_room, locate, room_stacked, route, route_step_free, shared_walls_count, tour</x:v>
      </x:c>
      <x:c r="R87" s="21" t="b">
        <x:v>1</x:v>
      </x:c>
      <x:c r="S87" s="21" t="b">
        <x:v>1</x:v>
      </x:c>
      <x:c r="T87" s="6" t="str">
        <x:v>© OpenStreetMap contributors, https://www.openstreetmap.org/copyright (ODbL)</x:v>
      </x:c>
      <x:c r="U87" s="6" t="str">
        <x:v>data/train/osm-way13507441/building.json</x:v>
      </x:c>
      <x:c r="V87" s="6" t="str">
        <x:v>https://github.com/hagenhaeussler/Industrial-Agents-Hackathon-2026/blob/f41616590b69f3ea0c1cbfb41d6c35edd9ce53df/data/train/osm-way13507441/building.json</x:v>
      </x:c>
    </x:row>
    <x:row r="88" ht="54" customHeight="1">
      <x:c r="A88" s="6" t="str">
        <x:v>osm-way19183732</x:v>
      </x:c>
      <x:c r="B88" s="6" t="str">
        <x:v>Mensa Arcisstraße</x:v>
      </x:c>
      <x:c r="C88" s="6" t="str">
        <x:v>train</x:v>
      </x:c>
      <x:c r="D88" s="6" t="str">
        <x:v>osm_indoor</x:v>
      </x:c>
      <x:c r="E88" s="6" t="str">
        <x:v>ODbL-1.0</x:v>
      </x:c>
      <x:c r="F88" s="18" t="n">
        <x:v>2</x:v>
      </x:c>
      <x:c r="G88" s="6" t="str">
        <x:v>0, 1</x:v>
      </x:c>
      <x:c r="H88" s="18" t="n">
        <x:v>49</x:v>
      </x:c>
      <x:c r="I88" s="18" t="n">
        <x:v>36</x:v>
      </x:c>
      <x:c r="J88" s="18" t="n">
        <x:v>207</x:v>
      </x:c>
      <x:c r="K88" s="18" t="n">
        <x:v>2</x:v>
      </x:c>
      <x:c r="L88" s="18" t="n">
        <x:v>9</x:v>
      </x:c>
      <x:c r="M88" s="18" t="n">
        <x:v>11</x:v>
      </x:c>
      <x:c r="N88" s="18" t="n">
        <x:v>11</x:v>
      </x:c>
      <x:c r="O88" s="18" t="n">
        <x:v>0</x:v>
      </x:c>
      <x:c r="P88" s="18" t="n">
        <x:v>7</x:v>
      </x:c>
      <x:c r="Q88" s="6" t="str">
        <x:v>count, floor_area_total, locate, route, route_step_free, shared_walls_count, tour</x:v>
      </x:c>
      <x:c r="R88" s="21" t="b">
        <x:v>1</x:v>
      </x:c>
      <x:c r="S88" s="21" t="b">
        <x:v>0</x:v>
      </x:c>
      <x:c r="T88" s="6" t="str">
        <x:v>© OpenStreetMap contributors, https://www.openstreetmap.org/copyright (ODbL)</x:v>
      </x:c>
      <x:c r="U88" s="6" t="str">
        <x:v>data/train/osm-way19183732/building.json</x:v>
      </x:c>
      <x:c r="V88" s="6" t="str">
        <x:v>https://github.com/hagenhaeussler/Industrial-Agents-Hackathon-2026/blob/f41616590b69f3ea0c1cbfb41d6c35edd9ce53df/data/train/osm-way19183732/building.json</x:v>
      </x:c>
    </x:row>
    <x:row r="89" ht="54" customHeight="1">
      <x:c r="A89" s="6" t="str">
        <x:v>osm-way37850565</x:v>
      </x:c>
      <x:c r="B89" s="6" t="str">
        <x:v>Haus der Weiterbildung</x:v>
      </x:c>
      <x:c r="C89" s="6" t="str">
        <x:v>train</x:v>
      </x:c>
      <x:c r="D89" s="6" t="str">
        <x:v>osm_indoor</x:v>
      </x:c>
      <x:c r="E89" s="6" t="str">
        <x:v>ODbL-1.0</x:v>
      </x:c>
      <x:c r="F89" s="18" t="n">
        <x:v>3</x:v>
      </x:c>
      <x:c r="G89" s="6" t="str">
        <x:v>0, 1, 2</x:v>
      </x:c>
      <x:c r="H89" s="18" t="n">
        <x:v>35</x:v>
      </x:c>
      <x:c r="I89" s="18" t="n">
        <x:v>22</x:v>
      </x:c>
      <x:c r="J89" s="18" t="n">
        <x:v>156</x:v>
      </x:c>
      <x:c r="K89" s="18" t="n">
        <x:v>5</x:v>
      </x:c>
      <x:c r="L89" s="18" t="n">
        <x:v>10</x:v>
      </x:c>
      <x:c r="M89" s="18" t="n">
        <x:v>15</x:v>
      </x:c>
      <x:c r="N89" s="18" t="n">
        <x:v>15</x:v>
      </x:c>
      <x:c r="O89" s="18" t="n">
        <x:v>0</x:v>
      </x:c>
      <x:c r="P89" s="18" t="n">
        <x:v>10</x:v>
      </x:c>
      <x:c r="Q89" s="6" t="str">
        <x:v>count, floor_area_total, locate, room_stacked, route, route_step_free, route_with_closure, shared_walls_count, straight_line_3d, tour</x:v>
      </x:c>
      <x:c r="R89" s="21" t="b">
        <x:v>1</x:v>
      </x:c>
      <x:c r="S89" s="21" t="b">
        <x:v>1</x:v>
      </x:c>
      <x:c r="T89" s="6" t="str">
        <x:v>© OpenStreetMap contributors, https://www.openstreetmap.org/copyright (ODbL)</x:v>
      </x:c>
      <x:c r="U89" s="6" t="str">
        <x:v>data/train/osm-way37850565/building.json</x:v>
      </x:c>
      <x:c r="V89" s="6" t="str">
        <x:v>https://github.com/hagenhaeussler/Industrial-Agents-Hackathon-2026/blob/f41616590b69f3ea0c1cbfb41d6c35edd9ce53df/data/train/osm-way37850565/building.json</x:v>
      </x:c>
    </x:row>
    <x:row r="90" ht="54" customHeight="1">
      <x:c r="A90" s="6" t="str">
        <x:v>osm-way476929995</x:v>
      </x:c>
      <x:c r="B90" s="6" t="str">
        <x:v>StudiTUM</x:v>
      </x:c>
      <x:c r="C90" s="6" t="str">
        <x:v>train</x:v>
      </x:c>
      <x:c r="D90" s="6" t="str">
        <x:v>osm_indoor</x:v>
      </x:c>
      <x:c r="E90" s="6" t="str">
        <x:v>ODbL-1.0</x:v>
      </x:c>
      <x:c r="F90" s="18" t="n">
        <x:v>6</x:v>
      </x:c>
      <x:c r="G90" s="6" t="str">
        <x:v>-1, 0, 1, 2, 3, 4</x:v>
      </x:c>
      <x:c r="H90" s="18" t="n">
        <x:v>64</x:v>
      </x:c>
      <x:c r="I90" s="18" t="n">
        <x:v>43</x:v>
      </x:c>
      <x:c r="J90" s="18" t="n">
        <x:v>601</x:v>
      </x:c>
      <x:c r="K90" s="18" t="n">
        <x:v>6</x:v>
      </x:c>
      <x:c r="L90" s="18" t="n">
        <x:v>10</x:v>
      </x:c>
      <x:c r="M90" s="18" t="n">
        <x:v>16</x:v>
      </x:c>
      <x:c r="N90" s="18" t="n">
        <x:v>16</x:v>
      </x:c>
      <x:c r="O90" s="18" t="n">
        <x:v>0</x:v>
      </x:c>
      <x:c r="P90" s="18" t="n">
        <x:v>10</x:v>
      </x:c>
      <x:c r="Q90" s="6" t="str">
        <x:v>count, floor_area_total, locate, room_stacked, route, route_step_free, route_with_closure, shared_walls_count, straight_line_3d, tour</x:v>
      </x:c>
      <x:c r="R90" s="21" t="b">
        <x:v>1</x:v>
      </x:c>
      <x:c r="S90" s="21" t="b">
        <x:v>0</x:v>
      </x:c>
      <x:c r="T90" s="6" t="str">
        <x:v>© OpenStreetMap contributors, https://www.openstreetmap.org/copyright (ODbL)</x:v>
      </x:c>
      <x:c r="U90" s="6" t="str">
        <x:v>data/train/osm-way476929995/building.json</x:v>
      </x:c>
      <x:c r="V90" s="6" t="str">
        <x:v>https://github.com/hagenhaeussler/Industrial-Agents-Hackathon-2026/blob/f41616590b69f3ea0c1cbfb41d6c35edd9ce53df/data/train/osm-way476929995/building.json</x:v>
      </x:c>
    </x:row>
    <x:row r="91" ht="54" customHeight="1">
      <x:c r="A91" s="6" t="str">
        <x:v>osm-way50299720</x:v>
      </x:c>
      <x:c r="B91" s="6" t="str">
        <x:v>Landwirtschaftsbau</x:v>
      </x:c>
      <x:c r="C91" s="6" t="str">
        <x:v>train</x:v>
      </x:c>
      <x:c r="D91" s="6" t="str">
        <x:v>osm_indoor</x:v>
      </x:c>
      <x:c r="E91" s="6" t="str">
        <x:v>ODbL-1.0</x:v>
      </x:c>
      <x:c r="F91" s="18" t="n">
        <x:v>6</x:v>
      </x:c>
      <x:c r="G91" s="6" t="str">
        <x:v>-2, -1, 0, 1, 2, 3</x:v>
      </x:c>
      <x:c r="H91" s="18" t="n">
        <x:v>179</x:v>
      </x:c>
      <x:c r="I91" s="18" t="n">
        <x:v>141</x:v>
      </x:c>
      <x:c r="J91" s="18" t="n">
        <x:v>547</x:v>
      </x:c>
      <x:c r="K91" s="18" t="n">
        <x:v>8</x:v>
      </x:c>
      <x:c r="L91" s="18" t="n">
        <x:v>7</x:v>
      </x:c>
      <x:c r="M91" s="18" t="n">
        <x:v>15</x:v>
      </x:c>
      <x:c r="N91" s="18" t="n">
        <x:v>15</x:v>
      </x:c>
      <x:c r="O91" s="18" t="n">
        <x:v>0</x:v>
      </x:c>
      <x:c r="P91" s="18" t="n">
        <x:v>11</x:v>
      </x:c>
      <x:c r="Q91" s="6" t="str">
        <x:v>count, errand, floor_area_total, largest_room, locate, room_stacked, route, route_step_free, shared_walls_count, straight_line_3d, tour</x:v>
      </x:c>
      <x:c r="R91" s="21" t="b">
        <x:v>1</x:v>
      </x:c>
      <x:c r="S91" s="21" t="b">
        <x:v>1</x:v>
      </x:c>
      <x:c r="T91" s="6" t="str">
        <x:v>© OpenStreetMap contributors, https://www.openstreetmap.org/copyright (ODbL)</x:v>
      </x:c>
      <x:c r="U91" s="6" t="str">
        <x:v>data/train/osm-way50299720/building.json</x:v>
      </x:c>
      <x:c r="V91" s="6" t="str">
        <x:v>https://github.com/hagenhaeussler/Industrial-Agents-Hackathon-2026/blob/f41616590b69f3ea0c1cbfb41d6c35edd9ce53df/data/train/osm-way50299720/building.json</x:v>
      </x:c>
    </x:row>
    <x:row r="92" ht="54" customHeight="1">
      <x:c r="A92" s="6" t="str">
        <x:v>osm-way52060470</x:v>
      </x:c>
      <x:c r="B92" s="6" t="str">
        <x:v>Pasing Arcaden</x:v>
      </x:c>
      <x:c r="C92" s="6" t="str">
        <x:v>train</x:v>
      </x:c>
      <x:c r="D92" s="6" t="str">
        <x:v>osm_indoor</x:v>
      </x:c>
      <x:c r="E92" s="6" t="str">
        <x:v>ODbL-1.0</x:v>
      </x:c>
      <x:c r="F92" s="18" t="n">
        <x:v>3</x:v>
      </x:c>
      <x:c r="G92" s="6" t="str">
        <x:v>-1, 0, 1</x:v>
      </x:c>
      <x:c r="H92" s="18" t="n">
        <x:v>146</x:v>
      </x:c>
      <x:c r="I92" s="18" t="n">
        <x:v>146</x:v>
      </x:c>
      <x:c r="J92" s="18" t="n">
        <x:v>770</x:v>
      </x:c>
      <x:c r="K92" s="18" t="n">
        <x:v>6</x:v>
      </x:c>
      <x:c r="L92" s="18" t="n">
        <x:v>8</x:v>
      </x:c>
      <x:c r="M92" s="18" t="n">
        <x:v>14</x:v>
      </x:c>
      <x:c r="N92" s="18" t="n">
        <x:v>14</x:v>
      </x:c>
      <x:c r="O92" s="18" t="n">
        <x:v>0</x:v>
      </x:c>
      <x:c r="P92" s="18" t="n">
        <x:v>9</x:v>
      </x:c>
      <x:c r="Q92" s="6" t="str">
        <x:v>count, floor_area_total, largest_room, locate, room_stacked, route, route_step_free, straight_line_3d, tour</x:v>
      </x:c>
      <x:c r="R92" s="21" t="b">
        <x:v>0</x:v>
      </x:c>
      <x:c r="S92" s="21" t="b">
        <x:v>0</x:v>
      </x:c>
      <x:c r="T92" s="6" t="str">
        <x:v>© OpenStreetMap contributors, https://www.openstreetmap.org/copyright (ODbL)</x:v>
      </x:c>
      <x:c r="U92" s="6" t="str">
        <x:v>data/train/osm-way52060470/building.json</x:v>
      </x:c>
      <x:c r="V92" s="6" t="str">
        <x:v>https://github.com/hagenhaeussler/Industrial-Agents-Hackathon-2026/blob/f41616590b69f3ea0c1cbfb41d6c35edd9ce53df/data/train/osm-way52060470/building.json</x:v>
      </x:c>
    </x:row>
    <x:row r="93" ht="54" customHeight="1">
      <x:c r="A93" s="6" t="str">
        <x:v>osm-way58216509</x:v>
      </x:c>
      <x:c r="B93" s="6" t="str">
        <x:v>U-Trakt</x:v>
      </x:c>
      <x:c r="C93" s="6" t="str">
        <x:v>train</x:v>
      </x:c>
      <x:c r="D93" s="6" t="str">
        <x:v>osm_indoor</x:v>
      </x:c>
      <x:c r="E93" s="6" t="str">
        <x:v>ODbL-1.0</x:v>
      </x:c>
      <x:c r="F93" s="18" t="n">
        <x:v>2</x:v>
      </x:c>
      <x:c r="G93" s="6" t="str">
        <x:v>0, 2</x:v>
      </x:c>
      <x:c r="H93" s="18" t="n">
        <x:v>271</x:v>
      </x:c>
      <x:c r="I93" s="18" t="n">
        <x:v>208</x:v>
      </x:c>
      <x:c r="J93" s="18" t="n">
        <x:v>751</x:v>
      </x:c>
      <x:c r="K93" s="18" t="n">
        <x:v>8</x:v>
      </x:c>
      <x:c r="L93" s="18" t="n">
        <x:v>7</x:v>
      </x:c>
      <x:c r="M93" s="18" t="n">
        <x:v>15</x:v>
      </x:c>
      <x:c r="N93" s="18" t="n">
        <x:v>15</x:v>
      </x:c>
      <x:c r="O93" s="18" t="n">
        <x:v>0</x:v>
      </x:c>
      <x:c r="P93" s="18" t="n">
        <x:v>12</x:v>
      </x:c>
      <x:c r="Q93" s="6" t="str">
        <x:v>count, errand, floor_area_total, largest_room, route, route_step_free, route_with_closure, shared_walls_count, step_free_reachable_count, straight_line_3d, tour, what_if_door</x:v>
      </x:c>
      <x:c r="R93" s="21" t="b">
        <x:v>1</x:v>
      </x:c>
      <x:c r="S93" s="21" t="b">
        <x:v>1</x:v>
      </x:c>
      <x:c r="T93" s="6" t="str">
        <x:v>© OpenStreetMap contributors, https://www.openstreetmap.org/copyright (ODbL)</x:v>
      </x:c>
      <x:c r="U93" s="6" t="str">
        <x:v>data/train/osm-way58216509/building.json</x:v>
      </x:c>
      <x:c r="V93" s="6" t="str">
        <x:v>https://github.com/hagenhaeussler/Industrial-Agents-Hackathon-2026/blob/f41616590b69f3ea0c1cbfb41d6c35edd9ce53df/data/train/osm-way58216509/building.json</x:v>
      </x:c>
    </x:row>
    <x:row r="94" ht="54" customHeight="1">
      <x:c r="A94" s="6" t="str">
        <x:v>osm-way61408163</x:v>
      </x:c>
      <x:c r="B94" s="6" t="str">
        <x:v>Thierschbau</x:v>
      </x:c>
      <x:c r="C94" s="6" t="str">
        <x:v>train</x:v>
      </x:c>
      <x:c r="D94" s="6" t="str">
        <x:v>osm_indoor</x:v>
      </x:c>
      <x:c r="E94" s="6" t="str">
        <x:v>ODbL-1.0</x:v>
      </x:c>
      <x:c r="F94" s="18" t="n">
        <x:v>3</x:v>
      </x:c>
      <x:c r="G94" s="6" t="str">
        <x:v>-1, 0, 1</x:v>
      </x:c>
      <x:c r="H94" s="18" t="n">
        <x:v>210</x:v>
      </x:c>
      <x:c r="I94" s="18" t="n">
        <x:v>158</x:v>
      </x:c>
      <x:c r="J94" s="18" t="n">
        <x:v>687</x:v>
      </x:c>
      <x:c r="K94" s="18" t="n">
        <x:v>8</x:v>
      </x:c>
      <x:c r="L94" s="18" t="n">
        <x:v>9</x:v>
      </x:c>
      <x:c r="M94" s="18" t="n">
        <x:v>17</x:v>
      </x:c>
      <x:c r="N94" s="18" t="n">
        <x:v>17</x:v>
      </x:c>
      <x:c r="O94" s="18" t="n">
        <x:v>0</x:v>
      </x:c>
      <x:c r="P94" s="18" t="n">
        <x:v>12</x:v>
      </x:c>
      <x:c r="Q94" s="6" t="str">
        <x:v>count, errand, floor_area_total, largest_room, locate, room_stacked, route, route_step_free, route_with_closure, shared_walls_count, straight_line_3d, tour</x:v>
      </x:c>
      <x:c r="R94" s="21" t="b">
        <x:v>1</x:v>
      </x:c>
      <x:c r="S94" s="21" t="b">
        <x:v>1</x:v>
      </x:c>
      <x:c r="T94" s="6" t="str">
        <x:v>© OpenStreetMap contributors, https://www.openstreetmap.org/copyright (ODbL)</x:v>
      </x:c>
      <x:c r="U94" s="6" t="str">
        <x:v>data/train/osm-way61408163/building.json</x:v>
      </x:c>
      <x:c r="V94" s="6" t="str">
        <x:v>https://github.com/hagenhaeussler/Industrial-Agents-Hackathon-2026/blob/f41616590b69f3ea0c1cbfb41d6c35edd9ce53df/data/train/osm-way61408163/building.json</x:v>
      </x:c>
    </x:row>
    <x:row r="95" ht="54" customHeight="1">
      <x:c r="A95" s="6" t="str">
        <x:v>proc-campus-train-000</x:v>
      </x:c>
      <x:c r="B95" s="6" t="str">
        <x:v>Forschungsbau 024</x:v>
      </x:c>
      <x:c r="C95" s="6" t="str">
        <x:v>train</x:v>
      </x:c>
      <x:c r="D95" s="6" t="str">
        <x:v>procedural</x:v>
      </x:c>
      <x:c r="E95" s="6" t="str">
        <x:v>CC0-1.0</x:v>
      </x:c>
      <x:c r="F95" s="18" t="n">
        <x:v>4</x:v>
      </x:c>
      <x:c r="G95" s="6" t="str">
        <x:v>0, 1, 2, 3</x:v>
      </x:c>
      <x:c r="H95" s="18" t="n">
        <x:v>89</x:v>
      </x:c>
      <x:c r="I95" s="18" t="n">
        <x:v>68</x:v>
      </x:c>
      <x:c r="J95" s="18" t="n">
        <x:v>576</x:v>
      </x:c>
      <x:c r="K95" s="18" t="n">
        <x:v>5</x:v>
      </x:c>
      <x:c r="L95" s="18" t="n">
        <x:v>10</x:v>
      </x:c>
      <x:c r="M95" s="18" t="n">
        <x:v>15</x:v>
      </x:c>
      <x:c r="N95" s="18" t="n">
        <x:v>15</x:v>
      </x:c>
      <x:c r="O95" s="18" t="n">
        <x:v>0</x:v>
      </x:c>
      <x:c r="P95" s="18" t="n">
        <x:v>11</x:v>
      </x:c>
      <x:c r="Q95" s="6" t="str">
        <x:v>count, errand, floor_area_total, largest_room, locate, route, route_step_free, route_with_closure, straight_line_3d, tour, wide_delivery_count</x:v>
      </x:c>
      <x:c r="R95" s="21" t="b">
        <x:v>1</x:v>
      </x:c>
      <x:c r="S95" s="21" t="b">
        <x:v>1</x:v>
      </x:c>
      <x:c r="T95" s="6" t="str">
        <x:v>Procedurally generated for the Munich hackathon (CC0)</x:v>
      </x:c>
      <x:c r="U95" s="6" t="str">
        <x:v>data/train/proc-campus-train-000/building.json</x:v>
      </x:c>
      <x:c r="V95" s="6" t="str">
        <x:v>https://github.com/hagenhaeussler/Industrial-Agents-Hackathon-2026/blob/f41616590b69f3ea0c1cbfb41d6c35edd9ce53df/data/train/proc-campus-train-000/building.json</x:v>
      </x:c>
    </x:row>
    <x:row r="96" ht="54" customHeight="1">
      <x:c r="A96" s="6" t="str">
        <x:v>proc-campus-train-001</x:v>
      </x:c>
      <x:c r="B96" s="6" t="str">
        <x:v>Lehrgebäude 025</x:v>
      </x:c>
      <x:c r="C96" s="6" t="str">
        <x:v>train</x:v>
      </x:c>
      <x:c r="D96" s="6" t="str">
        <x:v>procedural</x:v>
      </x:c>
      <x:c r="E96" s="6" t="str">
        <x:v>CC0-1.0</x:v>
      </x:c>
      <x:c r="F96" s="18" t="n">
        <x:v>4</x:v>
      </x:c>
      <x:c r="G96" s="6" t="str">
        <x:v>0, 1, 2, 3</x:v>
      </x:c>
      <x:c r="H96" s="18" t="n">
        <x:v>81</x:v>
      </x:c>
      <x:c r="I96" s="18" t="n">
        <x:v>68</x:v>
      </x:c>
      <x:c r="J96" s="18" t="n">
        <x:v>615</x:v>
      </x:c>
      <x:c r="K96" s="18" t="n">
        <x:v>5</x:v>
      </x:c>
      <x:c r="L96" s="18" t="n">
        <x:v>10</x:v>
      </x:c>
      <x:c r="M96" s="18" t="n">
        <x:v>15</x:v>
      </x:c>
      <x:c r="N96" s="18" t="n">
        <x:v>15</x:v>
      </x:c>
      <x:c r="O96" s="18" t="n">
        <x:v>0</x:v>
      </x:c>
      <x:c r="P96" s="18" t="n">
        <x:v>11</x:v>
      </x:c>
      <x:c r="Q96" s="6" t="str">
        <x:v>count, errand, floor_area_total, largest_room, locate, route, route_step_free, route_with_closure, straight_line_3d, tour, wide_delivery_count</x:v>
      </x:c>
      <x:c r="R96" s="21" t="b">
        <x:v>1</x:v>
      </x:c>
      <x:c r="S96" s="21" t="b">
        <x:v>1</x:v>
      </x:c>
      <x:c r="T96" s="6" t="str">
        <x:v>Procedurally generated for the Munich hackathon (CC0)</x:v>
      </x:c>
      <x:c r="U96" s="6" t="str">
        <x:v>data/train/proc-campus-train-001/building.json</x:v>
      </x:c>
      <x:c r="V96" s="6" t="str">
        <x:v>https://github.com/hagenhaeussler/Industrial-Agents-Hackathon-2026/blob/f41616590b69f3ea0c1cbfb41d6c35edd9ce53df/data/train/proc-campus-train-001/building.json</x:v>
      </x:c>
    </x:row>
    <x:row r="97" ht="54" customHeight="1">
      <x:c r="A97" s="6" t="str">
        <x:v>proc-campus-train-002</x:v>
      </x:c>
      <x:c r="B97" s="6" t="str">
        <x:v>Lehrgebäude 026</x:v>
      </x:c>
      <x:c r="C97" s="6" t="str">
        <x:v>train</x:v>
      </x:c>
      <x:c r="D97" s="6" t="str">
        <x:v>procedural</x:v>
      </x:c>
      <x:c r="E97" s="6" t="str">
        <x:v>CC0-1.0</x:v>
      </x:c>
      <x:c r="F97" s="18" t="n">
        <x:v>4</x:v>
      </x:c>
      <x:c r="G97" s="6" t="str">
        <x:v>0, 1, 2, 3</x:v>
      </x:c>
      <x:c r="H97" s="18" t="n">
        <x:v>69</x:v>
      </x:c>
      <x:c r="I97" s="18" t="n">
        <x:v>56</x:v>
      </x:c>
      <x:c r="J97" s="18" t="n">
        <x:v>485</x:v>
      </x:c>
      <x:c r="K97" s="18" t="n">
        <x:v>5</x:v>
      </x:c>
      <x:c r="L97" s="18" t="n">
        <x:v>10</x:v>
      </x:c>
      <x:c r="M97" s="18" t="n">
        <x:v>15</x:v>
      </x:c>
      <x:c r="N97" s="18" t="n">
        <x:v>15</x:v>
      </x:c>
      <x:c r="O97" s="18" t="n">
        <x:v>0</x:v>
      </x:c>
      <x:c r="P97" s="18" t="n">
        <x:v>11</x:v>
      </x:c>
      <x:c r="Q97" s="6" t="str">
        <x:v>count, errand, floor_area_total, largest_room, locate, route, route_step_free, route_with_closure, straight_line_3d, tour, wide_delivery_count</x:v>
      </x:c>
      <x:c r="R97" s="21" t="b">
        <x:v>1</x:v>
      </x:c>
      <x:c r="S97" s="21" t="b">
        <x:v>1</x:v>
      </x:c>
      <x:c r="T97" s="6" t="str">
        <x:v>Procedurally generated for the Munich hackathon (CC0)</x:v>
      </x:c>
      <x:c r="U97" s="6" t="str">
        <x:v>data/train/proc-campus-train-002/building.json</x:v>
      </x:c>
      <x:c r="V97" s="6" t="str">
        <x:v>https://github.com/hagenhaeussler/Industrial-Agents-Hackathon-2026/blob/f41616590b69f3ea0c1cbfb41d6c35edd9ce53df/data/train/proc-campus-train-002/building.json</x:v>
      </x:c>
    </x:row>
    <x:row r="98" ht="54" customHeight="1">
      <x:c r="A98" s="6" t="str">
        <x:v>proc-campus-train-003</x:v>
      </x:c>
      <x:c r="B98" s="6" t="str">
        <x:v>Laborgebäude 027</x:v>
      </x:c>
      <x:c r="C98" s="6" t="str">
        <x:v>train</x:v>
      </x:c>
      <x:c r="D98" s="6" t="str">
        <x:v>procedural</x:v>
      </x:c>
      <x:c r="E98" s="6" t="str">
        <x:v>CC0-1.0</x:v>
      </x:c>
      <x:c r="F98" s="18" t="n">
        <x:v>3</x:v>
      </x:c>
      <x:c r="G98" s="6" t="str">
        <x:v>0, 1, 2</x:v>
      </x:c>
      <x:c r="H98" s="18" t="n">
        <x:v>57</x:v>
      </x:c>
      <x:c r="I98" s="18" t="n">
        <x:v>47</x:v>
      </x:c>
      <x:c r="J98" s="18" t="n">
        <x:v>420</x:v>
      </x:c>
      <x:c r="K98" s="18" t="n">
        <x:v>3</x:v>
      </x:c>
      <x:c r="L98" s="18" t="n">
        <x:v>10</x:v>
      </x:c>
      <x:c r="M98" s="18" t="n">
        <x:v>13</x:v>
      </x:c>
      <x:c r="N98" s="18" t="n">
        <x:v>13</x:v>
      </x:c>
      <x:c r="O98" s="18" t="n">
        <x:v>0</x:v>
      </x:c>
      <x:c r="P98" s="18" t="n">
        <x:v>9</x:v>
      </x:c>
      <x:c r="Q98" s="6" t="str">
        <x:v>count, floor_area_total, locate, route, route_step_free, route_with_closure, straight_line_3d, tour, wide_delivery_count</x:v>
      </x:c>
      <x:c r="R98" s="21" t="b">
        <x:v>1</x:v>
      </x:c>
      <x:c r="S98" s="21" t="b">
        <x:v>1</x:v>
      </x:c>
      <x:c r="T98" s="6" t="str">
        <x:v>Procedurally generated for the Munich hackathon (CC0)</x:v>
      </x:c>
      <x:c r="U98" s="6" t="str">
        <x:v>data/train/proc-campus-train-003/building.json</x:v>
      </x:c>
      <x:c r="V98" s="6" t="str">
        <x:v>https://github.com/hagenhaeussler/Industrial-Agents-Hackathon-2026/blob/f41616590b69f3ea0c1cbfb41d6c35edd9ce53df/data/train/proc-campus-train-003/building.json</x:v>
      </x:c>
    </x:row>
    <x:row r="99" ht="54" customHeight="1">
      <x:c r="A99" s="6" t="str">
        <x:v>proc-campus-train-004</x:v>
      </x:c>
      <x:c r="B99" s="6" t="str">
        <x:v>Laborgebäude 028</x:v>
      </x:c>
      <x:c r="C99" s="6" t="str">
        <x:v>train</x:v>
      </x:c>
      <x:c r="D99" s="6" t="str">
        <x:v>procedural</x:v>
      </x:c>
      <x:c r="E99" s="6" t="str">
        <x:v>CC0-1.0</x:v>
      </x:c>
      <x:c r="F99" s="18" t="n">
        <x:v>3</x:v>
      </x:c>
      <x:c r="G99" s="6" t="str">
        <x:v>0, 1, 2</x:v>
      </x:c>
      <x:c r="H99" s="18" t="n">
        <x:v>75</x:v>
      </x:c>
      <x:c r="I99" s="18" t="n">
        <x:v>65</x:v>
      </x:c>
      <x:c r="J99" s="18" t="n">
        <x:v>555</x:v>
      </x:c>
      <x:c r="K99" s="18" t="n">
        <x:v>5</x:v>
      </x:c>
      <x:c r="L99" s="18" t="n">
        <x:v>10</x:v>
      </x:c>
      <x:c r="M99" s="18" t="n">
        <x:v>15</x:v>
      </x:c>
      <x:c r="N99" s="18" t="n">
        <x:v>15</x:v>
      </x:c>
      <x:c r="O99" s="18" t="n">
        <x:v>0</x:v>
      </x:c>
      <x:c r="P99" s="18" t="n">
        <x:v>11</x:v>
      </x:c>
      <x:c r="Q99" s="6" t="str">
        <x:v>count, errand, floor_area_total, largest_room, locate, route, route_step_free, route_with_closure, straight_line_3d, tour, wide_delivery_count</x:v>
      </x:c>
      <x:c r="R99" s="21" t="b">
        <x:v>1</x:v>
      </x:c>
      <x:c r="S99" s="21" t="b">
        <x:v>1</x:v>
      </x:c>
      <x:c r="T99" s="6" t="str">
        <x:v>Procedurally generated for the Munich hackathon (CC0)</x:v>
      </x:c>
      <x:c r="U99" s="6" t="str">
        <x:v>data/train/proc-campus-train-004/building.json</x:v>
      </x:c>
      <x:c r="V99" s="6" t="str">
        <x:v>https://github.com/hagenhaeussler/Industrial-Agents-Hackathon-2026/blob/f41616590b69f3ea0c1cbfb41d6c35edd9ce53df/data/train/proc-campus-train-004/building.json</x:v>
      </x:c>
    </x:row>
    <x:row r="100" ht="54" customHeight="1">
      <x:c r="A100" s="6" t="str">
        <x:v>proc-campus-train-011</x:v>
      </x:c>
      <x:c r="B100" s="6" t="str">
        <x:v>Laborgebäude 035</x:v>
      </x:c>
      <x:c r="C100" s="6" t="str">
        <x:v>train</x:v>
      </x:c>
      <x:c r="D100" s="6" t="str">
        <x:v>procedural</x:v>
      </x:c>
      <x:c r="E100" s="6" t="str">
        <x:v>CC0-1.0</x:v>
      </x:c>
      <x:c r="F100" s="18" t="n">
        <x:v>4</x:v>
      </x:c>
      <x:c r="G100" s="6" t="str">
        <x:v>0, 1, 2, 3</x:v>
      </x:c>
      <x:c r="H100" s="18" t="n">
        <x:v>85</x:v>
      </x:c>
      <x:c r="I100" s="18" t="n">
        <x:v>72</x:v>
      </x:c>
      <x:c r="J100" s="18" t="n">
        <x:v>599</x:v>
      </x:c>
      <x:c r="K100" s="18" t="n">
        <x:v>5</x:v>
      </x:c>
      <x:c r="L100" s="18" t="n">
        <x:v>10</x:v>
      </x:c>
      <x:c r="M100" s="18" t="n">
        <x:v>15</x:v>
      </x:c>
      <x:c r="N100" s="18" t="n">
        <x:v>15</x:v>
      </x:c>
      <x:c r="O100" s="18" t="n">
        <x:v>0</x:v>
      </x:c>
      <x:c r="P100" s="18" t="n">
        <x:v>11</x:v>
      </x:c>
      <x:c r="Q100" s="6" t="str">
        <x:v>count, errand, floor_area_total, largest_room, locate, route, route_step_free, route_with_closure, straight_line_3d, tour, wide_delivery_count</x:v>
      </x:c>
      <x:c r="R100" s="21" t="b">
        <x:v>1</x:v>
      </x:c>
      <x:c r="S100" s="21" t="b">
        <x:v>1</x:v>
      </x:c>
      <x:c r="T100" s="6" t="str">
        <x:v>Procedurally generated for the Munich hackathon (CC0)</x:v>
      </x:c>
      <x:c r="U100" s="6" t="str">
        <x:v>data/train/proc-campus-train-011/building.json</x:v>
      </x:c>
      <x:c r="V100" s="6" t="str">
        <x:v>https://github.com/hagenhaeussler/Industrial-Agents-Hackathon-2026/blob/f41616590b69f3ea0c1cbfb41d6c35edd9ce53df/data/train/proc-campus-train-011/building.json</x:v>
      </x:c>
    </x:row>
    <x:row r="101" ht="54" customHeight="1">
      <x:c r="A101" s="6" t="str">
        <x:v>proc-campus-train-012</x:v>
      </x:c>
      <x:c r="B101" s="6" t="str">
        <x:v>Institutsgebäude 036</x:v>
      </x:c>
      <x:c r="C101" s="6" t="str">
        <x:v>train</x:v>
      </x:c>
      <x:c r="D101" s="6" t="str">
        <x:v>procedural</x:v>
      </x:c>
      <x:c r="E101" s="6" t="str">
        <x:v>CC0-1.0</x:v>
      </x:c>
      <x:c r="F101" s="18" t="n">
        <x:v>3</x:v>
      </x:c>
      <x:c r="G101" s="6" t="str">
        <x:v>0, 1, 2</x:v>
      </x:c>
      <x:c r="H101" s="18" t="n">
        <x:v>54</x:v>
      </x:c>
      <x:c r="I101" s="18" t="n">
        <x:v>44</x:v>
      </x:c>
      <x:c r="J101" s="18" t="n">
        <x:v>404</x:v>
      </x:c>
      <x:c r="K101" s="18" t="n">
        <x:v>3</x:v>
      </x:c>
      <x:c r="L101" s="18" t="n">
        <x:v>10</x:v>
      </x:c>
      <x:c r="M101" s="18" t="n">
        <x:v>13</x:v>
      </x:c>
      <x:c r="N101" s="18" t="n">
        <x:v>13</x:v>
      </x:c>
      <x:c r="O101" s="18" t="n">
        <x:v>0</x:v>
      </x:c>
      <x:c r="P101" s="18" t="n">
        <x:v>9</x:v>
      </x:c>
      <x:c r="Q101" s="6" t="str">
        <x:v>count, floor_area_total, locate, route, route_step_free, route_with_closure, straight_line_3d, tour, wide_delivery_count</x:v>
      </x:c>
      <x:c r="R101" s="21" t="b">
        <x:v>1</x:v>
      </x:c>
      <x:c r="S101" s="21" t="b">
        <x:v>1</x:v>
      </x:c>
      <x:c r="T101" s="6" t="str">
        <x:v>Procedurally generated for the Munich hackathon (CC0)</x:v>
      </x:c>
      <x:c r="U101" s="6" t="str">
        <x:v>data/train/proc-campus-train-012/building.json</x:v>
      </x:c>
      <x:c r="V101" s="6" t="str">
        <x:v>https://github.com/hagenhaeussler/Industrial-Agents-Hackathon-2026/blob/f41616590b69f3ea0c1cbfb41d6c35edd9ce53df/data/train/proc-campus-train-012/building.json</x:v>
      </x:c>
    </x:row>
    <x:row r="102" ht="54" customHeight="1">
      <x:c r="A102" s="6" t="str">
        <x:v>proc-campus-train-013</x:v>
      </x:c>
      <x:c r="B102" s="6" t="str">
        <x:v>Laborgebäude 037</x:v>
      </x:c>
      <x:c r="C102" s="6" t="str">
        <x:v>train</x:v>
      </x:c>
      <x:c r="D102" s="6" t="str">
        <x:v>procedural</x:v>
      </x:c>
      <x:c r="E102" s="6" t="str">
        <x:v>CC0-1.0</x:v>
      </x:c>
      <x:c r="F102" s="18" t="n">
        <x:v>4</x:v>
      </x:c>
      <x:c r="G102" s="6" t="str">
        <x:v>0, 1, 2, 3</x:v>
      </x:c>
      <x:c r="H102" s="18" t="n">
        <x:v>97</x:v>
      </x:c>
      <x:c r="I102" s="18" t="n">
        <x:v>76</x:v>
      </x:c>
      <x:c r="J102" s="18" t="n">
        <x:v>611</x:v>
      </x:c>
      <x:c r="K102" s="18" t="n">
        <x:v>3</x:v>
      </x:c>
      <x:c r="L102" s="18" t="n">
        <x:v>10</x:v>
      </x:c>
      <x:c r="M102" s="18" t="n">
        <x:v>13</x:v>
      </x:c>
      <x:c r="N102" s="18" t="n">
        <x:v>13</x:v>
      </x:c>
      <x:c r="O102" s="18" t="n">
        <x:v>0</x:v>
      </x:c>
      <x:c r="P102" s="18" t="n">
        <x:v>9</x:v>
      </x:c>
      <x:c r="Q102" s="6" t="str">
        <x:v>count, floor_area_total, locate, route, route_step_free, route_with_closure, straight_line_3d, tour, wide_delivery_count</x:v>
      </x:c>
      <x:c r="R102" s="21" t="b">
        <x:v>1</x:v>
      </x:c>
      <x:c r="S102" s="21" t="b">
        <x:v>1</x:v>
      </x:c>
      <x:c r="T102" s="6" t="str">
        <x:v>Procedurally generated for the Munich hackathon (CC0)</x:v>
      </x:c>
      <x:c r="U102" s="6" t="str">
        <x:v>data/train/proc-campus-train-013/building.json</x:v>
      </x:c>
      <x:c r="V102" s="6" t="str">
        <x:v>https://github.com/hagenhaeussler/Industrial-Agents-Hackathon-2026/blob/f41616590b69f3ea0c1cbfb41d6c35edd9ce53df/data/train/proc-campus-train-013/building.json</x:v>
      </x:c>
    </x:row>
    <x:row r="103" ht="54" customHeight="1">
      <x:c r="A103" s="6" t="str">
        <x:v>proc-campus-train-014</x:v>
      </x:c>
      <x:c r="B103" s="6" t="str">
        <x:v>Forschungsbau 038</x:v>
      </x:c>
      <x:c r="C103" s="6" t="str">
        <x:v>train</x:v>
      </x:c>
      <x:c r="D103" s="6" t="str">
        <x:v>procedural</x:v>
      </x:c>
      <x:c r="E103" s="6" t="str">
        <x:v>CC0-1.0</x:v>
      </x:c>
      <x:c r="F103" s="18" t="n">
        <x:v>4</x:v>
      </x:c>
      <x:c r="G103" s="6" t="str">
        <x:v>0, 1, 2, 3</x:v>
      </x:c>
      <x:c r="H103" s="18" t="n">
        <x:v>101</x:v>
      </x:c>
      <x:c r="I103" s="18" t="n">
        <x:v>88</x:v>
      </x:c>
      <x:c r="J103" s="18" t="n">
        <x:v>753</x:v>
      </x:c>
      <x:c r="K103" s="18" t="n">
        <x:v>5</x:v>
      </x:c>
      <x:c r="L103" s="18" t="n">
        <x:v>10</x:v>
      </x:c>
      <x:c r="M103" s="18" t="n">
        <x:v>15</x:v>
      </x:c>
      <x:c r="N103" s="18" t="n">
        <x:v>15</x:v>
      </x:c>
      <x:c r="O103" s="18" t="n">
        <x:v>0</x:v>
      </x:c>
      <x:c r="P103" s="18" t="n">
        <x:v>11</x:v>
      </x:c>
      <x:c r="Q103" s="6" t="str">
        <x:v>count, errand, floor_area_total, largest_room, locate, route, route_step_free, route_with_closure, straight_line_3d, tour, wide_delivery_count</x:v>
      </x:c>
      <x:c r="R103" s="21" t="b">
        <x:v>1</x:v>
      </x:c>
      <x:c r="S103" s="21" t="b">
        <x:v>1</x:v>
      </x:c>
      <x:c r="T103" s="6" t="str">
        <x:v>Procedurally generated for the Munich hackathon (CC0)</x:v>
      </x:c>
      <x:c r="U103" s="6" t="str">
        <x:v>data/train/proc-campus-train-014/building.json</x:v>
      </x:c>
      <x:c r="V103" s="6" t="str">
        <x:v>https://github.com/hagenhaeussler/Industrial-Agents-Hackathon-2026/blob/f41616590b69f3ea0c1cbfb41d6c35edd9ce53df/data/train/proc-campus-train-014/building.json</x:v>
      </x:c>
    </x:row>
    <x:row r="104" ht="54" customHeight="1">
      <x:c r="A104" s="6" t="str">
        <x:v>proc-campus-train-016</x:v>
      </x:c>
      <x:c r="B104" s="6" t="str">
        <x:v>Hörsaalzentrum 040</x:v>
      </x:c>
      <x:c r="C104" s="6" t="str">
        <x:v>train</x:v>
      </x:c>
      <x:c r="D104" s="6" t="str">
        <x:v>procedural</x:v>
      </x:c>
      <x:c r="E104" s="6" t="str">
        <x:v>CC0-1.0</x:v>
      </x:c>
      <x:c r="F104" s="18" t="n">
        <x:v>3</x:v>
      </x:c>
      <x:c r="G104" s="6" t="str">
        <x:v>0, 1, 2</x:v>
      </x:c>
      <x:c r="H104" s="18" t="n">
        <x:v>72</x:v>
      </x:c>
      <x:c r="I104" s="18" t="n">
        <x:v>56</x:v>
      </x:c>
      <x:c r="J104" s="18" t="n">
        <x:v>514</x:v>
      </x:c>
      <x:c r="K104" s="18" t="n">
        <x:v>3</x:v>
      </x:c>
      <x:c r="L104" s="18" t="n">
        <x:v>10</x:v>
      </x:c>
      <x:c r="M104" s="18" t="n">
        <x:v>13</x:v>
      </x:c>
      <x:c r="N104" s="18" t="n">
        <x:v>13</x:v>
      </x:c>
      <x:c r="O104" s="18" t="n">
        <x:v>0</x:v>
      </x:c>
      <x:c r="P104" s="18" t="n">
        <x:v>9</x:v>
      </x:c>
      <x:c r="Q104" s="6" t="str">
        <x:v>count, floor_area_total, locate, route, route_step_free, route_with_closure, straight_line_3d, tour, wide_delivery_count</x:v>
      </x:c>
      <x:c r="R104" s="21" t="b">
        <x:v>1</x:v>
      </x:c>
      <x:c r="S104" s="21" t="b">
        <x:v>1</x:v>
      </x:c>
      <x:c r="T104" s="6" t="str">
        <x:v>Procedurally generated for the Munich hackathon (CC0)</x:v>
      </x:c>
      <x:c r="U104" s="6" t="str">
        <x:v>data/train/proc-campus-train-016/building.json</x:v>
      </x:c>
      <x:c r="V104" s="6" t="str">
        <x:v>https://github.com/hagenhaeussler/Industrial-Agents-Hackathon-2026/blob/f41616590b69f3ea0c1cbfb41d6c35edd9ce53df/data/train/proc-campus-train-016/building.json</x:v>
      </x:c>
    </x:row>
    <x:row r="105" ht="54" customHeight="1">
      <x:c r="A105" s="6" t="str">
        <x:v>proc-campus-train-019</x:v>
      </x:c>
      <x:c r="B105" s="6" t="str">
        <x:v>Lehrgebäude 043</x:v>
      </x:c>
      <x:c r="C105" s="6" t="str">
        <x:v>train</x:v>
      </x:c>
      <x:c r="D105" s="6" t="str">
        <x:v>procedural</x:v>
      </x:c>
      <x:c r="E105" s="6" t="str">
        <x:v>CC0-1.0</x:v>
      </x:c>
      <x:c r="F105" s="18" t="n">
        <x:v>3</x:v>
      </x:c>
      <x:c r="G105" s="6" t="str">
        <x:v>0, 1, 2</x:v>
      </x:c>
      <x:c r="H105" s="18" t="n">
        <x:v>63</x:v>
      </x:c>
      <x:c r="I105" s="18" t="n">
        <x:v>53</x:v>
      </x:c>
      <x:c r="J105" s="18" t="n">
        <x:v>465</x:v>
      </x:c>
      <x:c r="K105" s="18" t="n">
        <x:v>5</x:v>
      </x:c>
      <x:c r="L105" s="18" t="n">
        <x:v>10</x:v>
      </x:c>
      <x:c r="M105" s="18" t="n">
        <x:v>15</x:v>
      </x:c>
      <x:c r="N105" s="18" t="n">
        <x:v>15</x:v>
      </x:c>
      <x:c r="O105" s="18" t="n">
        <x:v>0</x:v>
      </x:c>
      <x:c r="P105" s="18" t="n">
        <x:v>11</x:v>
      </x:c>
      <x:c r="Q105" s="6" t="str">
        <x:v>count, errand, floor_area_total, largest_room, locate, route, route_step_free, route_with_closure, straight_line_3d, tour, wide_delivery_count</x:v>
      </x:c>
      <x:c r="R105" s="21" t="b">
        <x:v>1</x:v>
      </x:c>
      <x:c r="S105" s="21" t="b">
        <x:v>1</x:v>
      </x:c>
      <x:c r="T105" s="6" t="str">
        <x:v>Procedurally generated for the Munich hackathon (CC0)</x:v>
      </x:c>
      <x:c r="U105" s="6" t="str">
        <x:v>data/train/proc-campus-train-019/building.json</x:v>
      </x:c>
      <x:c r="V105" s="6" t="str">
        <x:v>https://github.com/hagenhaeussler/Industrial-Agents-Hackathon-2026/blob/f41616590b69f3ea0c1cbfb41d6c35edd9ce53df/data/train/proc-campus-train-019/building.json</x:v>
      </x:c>
    </x:row>
    <x:row r="106" ht="54" customHeight="1">
      <x:c r="A106" s="6" t="str">
        <x:v>proc-factory-train-005</x:v>
      </x:c>
      <x:c r="B106" s="6" t="str">
        <x:v>Werk Garching 29</x:v>
      </x:c>
      <x:c r="C106" s="6" t="str">
        <x:v>train</x:v>
      </x:c>
      <x:c r="D106" s="6" t="str">
        <x:v>procedural</x:v>
      </x:c>
      <x:c r="E106" s="6" t="str">
        <x:v>CC0-1.0</x:v>
      </x:c>
      <x:c r="F106" s="18" t="n">
        <x:v>2</x:v>
      </x:c>
      <x:c r="G106" s="6" t="str">
        <x:v>0, 1</x:v>
      </x:c>
      <x:c r="H106" s="18" t="n">
        <x:v>54</x:v>
      </x:c>
      <x:c r="I106" s="18" t="n">
        <x:v>34</x:v>
      </x:c>
      <x:c r="J106" s="18" t="n">
        <x:v>304</x:v>
      </x:c>
      <x:c r="K106" s="18" t="n">
        <x:v>5</x:v>
      </x:c>
      <x:c r="L106" s="18" t="n">
        <x:v>10</x:v>
      </x:c>
      <x:c r="M106" s="18" t="n">
        <x:v>15</x:v>
      </x:c>
      <x:c r="N106" s="18" t="n">
        <x:v>15</x:v>
      </x:c>
      <x:c r="O106" s="18" t="n">
        <x:v>0</x:v>
      </x:c>
      <x:c r="P106" s="18" t="n">
        <x:v>11</x:v>
      </x:c>
      <x:c r="Q106" s="6" t="str">
        <x:v>count, errand, floor_area_total, largest_room, locate, route, route_step_free, route_with_closure, shared_walls_count, tour, wide_delivery_count</x:v>
      </x:c>
      <x:c r="R106" s="21" t="b">
        <x:v>1</x:v>
      </x:c>
      <x:c r="S106" s="21" t="b">
        <x:v>1</x:v>
      </x:c>
      <x:c r="T106" s="6" t="str">
        <x:v>Procedurally generated for the Munich hackathon (CC0)</x:v>
      </x:c>
      <x:c r="U106" s="6" t="str">
        <x:v>data/train/proc-factory-train-005/building.json</x:v>
      </x:c>
      <x:c r="V106" s="6" t="str">
        <x:v>https://github.com/hagenhaeussler/Industrial-Agents-Hackathon-2026/blob/f41616590b69f3ea0c1cbfb41d6c35edd9ce53df/data/train/proc-factory-train-005/building.json</x:v>
      </x:c>
    </x:row>
    <x:row r="107" ht="54" customHeight="1">
      <x:c r="A107" s="6" t="str">
        <x:v>proc-factory-train-006</x:v>
      </x:c>
      <x:c r="B107" s="6" t="str">
        <x:v>Werk Süd 30</x:v>
      </x:c>
      <x:c r="C107" s="6" t="str">
        <x:v>train</x:v>
      </x:c>
      <x:c r="D107" s="6" t="str">
        <x:v>procedural</x:v>
      </x:c>
      <x:c r="E107" s="6" t="str">
        <x:v>CC0-1.0</x:v>
      </x:c>
      <x:c r="F107" s="18" t="n">
        <x:v>2</x:v>
      </x:c>
      <x:c r="G107" s="6" t="str">
        <x:v>0, 1</x:v>
      </x:c>
      <x:c r="H107" s="18" t="n">
        <x:v>39</x:v>
      </x:c>
      <x:c r="I107" s="18" t="n">
        <x:v>22</x:v>
      </x:c>
      <x:c r="J107" s="18" t="n">
        <x:v>210</x:v>
      </x:c>
      <x:c r="K107" s="18" t="n">
        <x:v>5</x:v>
      </x:c>
      <x:c r="L107" s="18" t="n">
        <x:v>10</x:v>
      </x:c>
      <x:c r="M107" s="18" t="n">
        <x:v>15</x:v>
      </x:c>
      <x:c r="N107" s="18" t="n">
        <x:v>15</x:v>
      </x:c>
      <x:c r="O107" s="18" t="n">
        <x:v>0</x:v>
      </x:c>
      <x:c r="P107" s="18" t="n">
        <x:v>11</x:v>
      </x:c>
      <x:c r="Q107" s="6" t="str">
        <x:v>count, errand, floor_area_total, largest_room, locate, route, route_step_free, route_with_closure, shared_walls_count, tour, wide_delivery_count</x:v>
      </x:c>
      <x:c r="R107" s="21" t="b">
        <x:v>1</x:v>
      </x:c>
      <x:c r="S107" s="21" t="b">
        <x:v>1</x:v>
      </x:c>
      <x:c r="T107" s="6" t="str">
        <x:v>Procedurally generated for the Munich hackathon (CC0)</x:v>
      </x:c>
      <x:c r="U107" s="6" t="str">
        <x:v>data/train/proc-factory-train-006/building.json</x:v>
      </x:c>
      <x:c r="V107" s="6" t="str">
        <x:v>https://github.com/hagenhaeussler/Industrial-Agents-Hackathon-2026/blob/f41616590b69f3ea0c1cbfb41d6c35edd9ce53df/data/train/proc-factory-train-006/building.json</x:v>
      </x:c>
    </x:row>
    <x:row r="108" ht="54" customHeight="1">
      <x:c r="A108" s="6" t="str">
        <x:v>proc-factory-train-007</x:v>
      </x:c>
      <x:c r="B108" s="6" t="str">
        <x:v>Produktion West 31</x:v>
      </x:c>
      <x:c r="C108" s="6" t="str">
        <x:v>train</x:v>
      </x:c>
      <x:c r="D108" s="6" t="str">
        <x:v>procedural</x:v>
      </x:c>
      <x:c r="E108" s="6" t="str">
        <x:v>CC0-1.0</x:v>
      </x:c>
      <x:c r="F108" s="18" t="n">
        <x:v>2</x:v>
      </x:c>
      <x:c r="G108" s="6" t="str">
        <x:v>0, 1</x:v>
      </x:c>
      <x:c r="H108" s="18" t="n">
        <x:v>54</x:v>
      </x:c>
      <x:c r="I108" s="18" t="n">
        <x:v>34</x:v>
      </x:c>
      <x:c r="J108" s="18" t="n">
        <x:v>297</x:v>
      </x:c>
      <x:c r="K108" s="18" t="n">
        <x:v>5</x:v>
      </x:c>
      <x:c r="L108" s="18" t="n">
        <x:v>10</x:v>
      </x:c>
      <x:c r="M108" s="18" t="n">
        <x:v>15</x:v>
      </x:c>
      <x:c r="N108" s="18" t="n">
        <x:v>15</x:v>
      </x:c>
      <x:c r="O108" s="18" t="n">
        <x:v>0</x:v>
      </x:c>
      <x:c r="P108" s="18" t="n">
        <x:v>11</x:v>
      </x:c>
      <x:c r="Q108" s="6" t="str">
        <x:v>count, errand, floor_area_total, largest_room, locate, route, route_step_free, route_with_closure, shared_walls_count, tour, wide_delivery_count</x:v>
      </x:c>
      <x:c r="R108" s="21" t="b">
        <x:v>1</x:v>
      </x:c>
      <x:c r="S108" s="21" t="b">
        <x:v>1</x:v>
      </x:c>
      <x:c r="T108" s="6" t="str">
        <x:v>Procedurally generated for the Munich hackathon (CC0)</x:v>
      </x:c>
      <x:c r="U108" s="6" t="str">
        <x:v>data/train/proc-factory-train-007/building.json</x:v>
      </x:c>
      <x:c r="V108" s="6" t="str">
        <x:v>https://github.com/hagenhaeussler/Industrial-Agents-Hackathon-2026/blob/f41616590b69f3ea0c1cbfb41d6c35edd9ce53df/data/train/proc-factory-train-007/building.json</x:v>
      </x:c>
    </x:row>
    <x:row r="109" ht="54" customHeight="1">
      <x:c r="A109" s="6" t="str">
        <x:v>proc-factory-train-008</x:v>
      </x:c>
      <x:c r="B109" s="6" t="str">
        <x:v>Werk Garching 32</x:v>
      </x:c>
      <x:c r="C109" s="6" t="str">
        <x:v>train</x:v>
      </x:c>
      <x:c r="D109" s="6" t="str">
        <x:v>procedural</x:v>
      </x:c>
      <x:c r="E109" s="6" t="str">
        <x:v>CC0-1.0</x:v>
      </x:c>
      <x:c r="F109" s="18" t="n">
        <x:v>2</x:v>
      </x:c>
      <x:c r="G109" s="6" t="str">
        <x:v>0, 1</x:v>
      </x:c>
      <x:c r="H109" s="18" t="n">
        <x:v>39</x:v>
      </x:c>
      <x:c r="I109" s="18" t="n">
        <x:v>22</x:v>
      </x:c>
      <x:c r="J109" s="18" t="n">
        <x:v>215</x:v>
      </x:c>
      <x:c r="K109" s="18" t="n">
        <x:v>3</x:v>
      </x:c>
      <x:c r="L109" s="18" t="n">
        <x:v>10</x:v>
      </x:c>
      <x:c r="M109" s="18" t="n">
        <x:v>13</x:v>
      </x:c>
      <x:c r="N109" s="18" t="n">
        <x:v>13</x:v>
      </x:c>
      <x:c r="O109" s="18" t="n">
        <x:v>0</x:v>
      </x:c>
      <x:c r="P109" s="18" t="n">
        <x:v>9</x:v>
      </x:c>
      <x:c r="Q109" s="6" t="str">
        <x:v>count, floor_area_total, locate, route, route_step_free, route_with_closure, shared_walls_count, tour, wide_delivery_count</x:v>
      </x:c>
      <x:c r="R109" s="21" t="b">
        <x:v>1</x:v>
      </x:c>
      <x:c r="S109" s="21" t="b">
        <x:v>1</x:v>
      </x:c>
      <x:c r="T109" s="6" t="str">
        <x:v>Procedurally generated for the Munich hackathon (CC0)</x:v>
      </x:c>
      <x:c r="U109" s="6" t="str">
        <x:v>data/train/proc-factory-train-008/building.json</x:v>
      </x:c>
      <x:c r="V109" s="6" t="str">
        <x:v>https://github.com/hagenhaeussler/Industrial-Agents-Hackathon-2026/blob/f41616590b69f3ea0c1cbfb41d6c35edd9ce53df/data/train/proc-factory-train-008/building.json</x:v>
      </x:c>
    </x:row>
    <x:row r="110" ht="54" customHeight="1">
      <x:c r="A110" s="6" t="str">
        <x:v>proc-factory-train-009</x:v>
      </x:c>
      <x:c r="B110" s="6" t="str">
        <x:v>Produktion West 33</x:v>
      </x:c>
      <x:c r="C110" s="6" t="str">
        <x:v>train</x:v>
      </x:c>
      <x:c r="D110" s="6" t="str">
        <x:v>procedural</x:v>
      </x:c>
      <x:c r="E110" s="6" t="str">
        <x:v>CC0-1.0</x:v>
      </x:c>
      <x:c r="F110" s="18" t="n">
        <x:v>2</x:v>
      </x:c>
      <x:c r="G110" s="6" t="str">
        <x:v>0, 1</x:v>
      </x:c>
      <x:c r="H110" s="18" t="n">
        <x:v>60</x:v>
      </x:c>
      <x:c r="I110" s="18" t="n">
        <x:v>40</x:v>
      </x:c>
      <x:c r="J110" s="18" t="n">
        <x:v>367</x:v>
      </x:c>
      <x:c r="K110" s="18" t="n">
        <x:v>5</x:v>
      </x:c>
      <x:c r="L110" s="18" t="n">
        <x:v>10</x:v>
      </x:c>
      <x:c r="M110" s="18" t="n">
        <x:v>15</x:v>
      </x:c>
      <x:c r="N110" s="18" t="n">
        <x:v>15</x:v>
      </x:c>
      <x:c r="O110" s="18" t="n">
        <x:v>0</x:v>
      </x:c>
      <x:c r="P110" s="18" t="n">
        <x:v>11</x:v>
      </x:c>
      <x:c r="Q110" s="6" t="str">
        <x:v>count, errand, floor_area_total, largest_room, locate, route, route_step_free, route_with_closure, shared_walls_count, tour, wide_delivery_count</x:v>
      </x:c>
      <x:c r="R110" s="21" t="b">
        <x:v>1</x:v>
      </x:c>
      <x:c r="S110" s="21" t="b">
        <x:v>1</x:v>
      </x:c>
      <x:c r="T110" s="6" t="str">
        <x:v>Procedurally generated for the Munich hackathon (CC0)</x:v>
      </x:c>
      <x:c r="U110" s="6" t="str">
        <x:v>data/train/proc-factory-train-009/building.json</x:v>
      </x:c>
      <x:c r="V110" s="6" t="str">
        <x:v>https://github.com/hagenhaeussler/Industrial-Agents-Hackathon-2026/blob/f41616590b69f3ea0c1cbfb41d6c35edd9ce53df/data/train/proc-factory-train-009/building.json</x:v>
      </x:c>
    </x:row>
    <x:row r="111" ht="54" customHeight="1">
      <x:c r="A111" s="6" t="str">
        <x:v>proc-factory-train-010</x:v>
      </x:c>
      <x:c r="B111" s="6" t="str">
        <x:v>Halle Isar 34</x:v>
      </x:c>
      <x:c r="C111" s="6" t="str">
        <x:v>train</x:v>
      </x:c>
      <x:c r="D111" s="6" t="str">
        <x:v>procedural</x:v>
      </x:c>
      <x:c r="E111" s="6" t="str">
        <x:v>CC0-1.0</x:v>
      </x:c>
      <x:c r="F111" s="18" t="n">
        <x:v>2</x:v>
      </x:c>
      <x:c r="G111" s="6" t="str">
        <x:v>0, 1</x:v>
      </x:c>
      <x:c r="H111" s="18" t="n">
        <x:v>47</x:v>
      </x:c>
      <x:c r="I111" s="18" t="n">
        <x:v>30</x:v>
      </x:c>
      <x:c r="J111" s="18" t="n">
        <x:v>280</x:v>
      </x:c>
      <x:c r="K111" s="18" t="n">
        <x:v>3</x:v>
      </x:c>
      <x:c r="L111" s="18" t="n">
        <x:v>10</x:v>
      </x:c>
      <x:c r="M111" s="18" t="n">
        <x:v>13</x:v>
      </x:c>
      <x:c r="N111" s="18" t="n">
        <x:v>13</x:v>
      </x:c>
      <x:c r="O111" s="18" t="n">
        <x:v>0</x:v>
      </x:c>
      <x:c r="P111" s="18" t="n">
        <x:v>9</x:v>
      </x:c>
      <x:c r="Q111" s="6" t="str">
        <x:v>count, floor_area_total, locate, route, route_step_free, route_with_closure, shared_walls_count, tour, wide_delivery_count</x:v>
      </x:c>
      <x:c r="R111" s="21" t="b">
        <x:v>1</x:v>
      </x:c>
      <x:c r="S111" s="21" t="b">
        <x:v>1</x:v>
      </x:c>
      <x:c r="T111" s="6" t="str">
        <x:v>Procedurally generated for the Munich hackathon (CC0)</x:v>
      </x:c>
      <x:c r="U111" s="6" t="str">
        <x:v>data/train/proc-factory-train-010/building.json</x:v>
      </x:c>
      <x:c r="V111" s="6" t="str">
        <x:v>https://github.com/hagenhaeussler/Industrial-Agents-Hackathon-2026/blob/f41616590b69f3ea0c1cbfb41d6c35edd9ce53df/data/train/proc-factory-train-010/building.json</x:v>
      </x:c>
    </x:row>
    <x:row r="112" ht="54" customHeight="1">
      <x:c r="A112" s="6" t="str">
        <x:v>proc-factory-train-015</x:v>
      </x:c>
      <x:c r="B112" s="6" t="str">
        <x:v>Produktion West 39</x:v>
      </x:c>
      <x:c r="C112" s="6" t="str">
        <x:v>train</x:v>
      </x:c>
      <x:c r="D112" s="6" t="str">
        <x:v>procedural</x:v>
      </x:c>
      <x:c r="E112" s="6" t="str">
        <x:v>CC0-1.0</x:v>
      </x:c>
      <x:c r="F112" s="18" t="n">
        <x:v>2</x:v>
      </x:c>
      <x:c r="G112" s="6" t="str">
        <x:v>0, 1</x:v>
      </x:c>
      <x:c r="H112" s="18" t="n">
        <x:v>49</x:v>
      </x:c>
      <x:c r="I112" s="18" t="n">
        <x:v>32</x:v>
      </x:c>
      <x:c r="J112" s="18" t="n">
        <x:v>304</x:v>
      </x:c>
      <x:c r="K112" s="18" t="n">
        <x:v>5</x:v>
      </x:c>
      <x:c r="L112" s="18" t="n">
        <x:v>10</x:v>
      </x:c>
      <x:c r="M112" s="18" t="n">
        <x:v>15</x:v>
      </x:c>
      <x:c r="N112" s="18" t="n">
        <x:v>15</x:v>
      </x:c>
      <x:c r="O112" s="18" t="n">
        <x:v>0</x:v>
      </x:c>
      <x:c r="P112" s="18" t="n">
        <x:v>11</x:v>
      </x:c>
      <x:c r="Q112" s="6" t="str">
        <x:v>count, errand, floor_area_total, largest_room, locate, route, route_step_free, route_with_closure, shared_walls_count, tour, wide_delivery_count</x:v>
      </x:c>
      <x:c r="R112" s="21" t="b">
        <x:v>1</x:v>
      </x:c>
      <x:c r="S112" s="21" t="b">
        <x:v>1</x:v>
      </x:c>
      <x:c r="T112" s="6" t="str">
        <x:v>Procedurally generated for the Munich hackathon (CC0)</x:v>
      </x:c>
      <x:c r="U112" s="6" t="str">
        <x:v>data/train/proc-factory-train-015/building.json</x:v>
      </x:c>
      <x:c r="V112" s="6" t="str">
        <x:v>https://github.com/hagenhaeussler/Industrial-Agents-Hackathon-2026/blob/f41616590b69f3ea0c1cbfb41d6c35edd9ce53df/data/train/proc-factory-train-015/building.json</x:v>
      </x:c>
    </x:row>
    <x:row r="113" ht="54" customHeight="1">
      <x:c r="A113" s="6" t="str">
        <x:v>proc-factory-train-017</x:v>
      </x:c>
      <x:c r="B113" s="6" t="str">
        <x:v>Fertigung Ost 41</x:v>
      </x:c>
      <x:c r="C113" s="6" t="str">
        <x:v>train</x:v>
      </x:c>
      <x:c r="D113" s="6" t="str">
        <x:v>procedural</x:v>
      </x:c>
      <x:c r="E113" s="6" t="str">
        <x:v>CC0-1.0</x:v>
      </x:c>
      <x:c r="F113" s="18" t="n">
        <x:v>2</x:v>
      </x:c>
      <x:c r="G113" s="6" t="str">
        <x:v>0, 1</x:v>
      </x:c>
      <x:c r="H113" s="18" t="n">
        <x:v>33</x:v>
      </x:c>
      <x:c r="I113" s="18" t="n">
        <x:v>16</x:v>
      </x:c>
      <x:c r="J113" s="18" t="n">
        <x:v>171</x:v>
      </x:c>
      <x:c r="K113" s="18" t="n">
        <x:v>3</x:v>
      </x:c>
      <x:c r="L113" s="18" t="n">
        <x:v>10</x:v>
      </x:c>
      <x:c r="M113" s="18" t="n">
        <x:v>13</x:v>
      </x:c>
      <x:c r="N113" s="18" t="n">
        <x:v>13</x:v>
      </x:c>
      <x:c r="O113" s="18" t="n">
        <x:v>0</x:v>
      </x:c>
      <x:c r="P113" s="18" t="n">
        <x:v>9</x:v>
      </x:c>
      <x:c r="Q113" s="6" t="str">
        <x:v>count, floor_area_total, locate, route, route_step_free, route_with_closure, shared_walls_count, tour, wide_delivery_count</x:v>
      </x:c>
      <x:c r="R113" s="21" t="b">
        <x:v>1</x:v>
      </x:c>
      <x:c r="S113" s="21" t="b">
        <x:v>1</x:v>
      </x:c>
      <x:c r="T113" s="6" t="str">
        <x:v>Procedurally generated for the Munich hackathon (CC0)</x:v>
      </x:c>
      <x:c r="U113" s="6" t="str">
        <x:v>data/train/proc-factory-train-017/building.json</x:v>
      </x:c>
      <x:c r="V113" s="6" t="str">
        <x:v>https://github.com/hagenhaeussler/Industrial-Agents-Hackathon-2026/blob/f41616590b69f3ea0c1cbfb41d6c35edd9ce53df/data/train/proc-factory-train-017/building.json</x:v>
      </x:c>
    </x:row>
    <x:row r="114" ht="54" customHeight="1">
      <x:c r="A114" s="6" t="str">
        <x:v>proc-factory-train-018</x:v>
      </x:c>
      <x:c r="B114" s="6" t="str">
        <x:v>Werk Süd 42</x:v>
      </x:c>
      <x:c r="C114" s="6" t="str">
        <x:v>train</x:v>
      </x:c>
      <x:c r="D114" s="6" t="str">
        <x:v>procedural</x:v>
      </x:c>
      <x:c r="E114" s="6" t="str">
        <x:v>CC0-1.0</x:v>
      </x:c>
      <x:c r="F114" s="18" t="n">
        <x:v>2</x:v>
      </x:c>
      <x:c r="G114" s="6" t="str">
        <x:v>0, 1</x:v>
      </x:c>
      <x:c r="H114" s="18" t="n">
        <x:v>43</x:v>
      </x:c>
      <x:c r="I114" s="18" t="n">
        <x:v>26</x:v>
      </x:c>
      <x:c r="J114" s="18" t="n">
        <x:v>207</x:v>
      </x:c>
      <x:c r="K114" s="18" t="n">
        <x:v>3</x:v>
      </x:c>
      <x:c r="L114" s="18" t="n">
        <x:v>10</x:v>
      </x:c>
      <x:c r="M114" s="18" t="n">
        <x:v>13</x:v>
      </x:c>
      <x:c r="N114" s="18" t="n">
        <x:v>13</x:v>
      </x:c>
      <x:c r="O114" s="18" t="n">
        <x:v>0</x:v>
      </x:c>
      <x:c r="P114" s="18" t="n">
        <x:v>9</x:v>
      </x:c>
      <x:c r="Q114" s="6" t="str">
        <x:v>count, floor_area_total, locate, route, route_step_free, route_with_closure, shared_walls_count, tour, wide_delivery_count</x:v>
      </x:c>
      <x:c r="R114" s="21" t="b">
        <x:v>1</x:v>
      </x:c>
      <x:c r="S114" s="21" t="b">
        <x:v>1</x:v>
      </x:c>
      <x:c r="T114" s="6" t="str">
        <x:v>Procedurally generated for the Munich hackathon (CC0)</x:v>
      </x:c>
      <x:c r="U114" s="6" t="str">
        <x:v>data/train/proc-factory-train-018/building.json</x:v>
      </x:c>
      <x:c r="V114" s="6" t="str">
        <x:v>https://github.com/hagenhaeussler/Industrial-Agents-Hackathon-2026/blob/f41616590b69f3ea0c1cbfb41d6c35edd9ce53df/data/train/proc-factory-train-018/building.json</x:v>
      </x:c>
    </x:row>
    <x:row r="115" ht="54" customHeight="1">
      <x:c r="A115" s="6" t="str">
        <x:v>proc-factory-train-020</x:v>
      </x:c>
      <x:c r="B115" s="6" t="str">
        <x:v>Werk Nord 44</x:v>
      </x:c>
      <x:c r="C115" s="6" t="str">
        <x:v>train</x:v>
      </x:c>
      <x:c r="D115" s="6" t="str">
        <x:v>procedural</x:v>
      </x:c>
      <x:c r="E115" s="6" t="str">
        <x:v>CC0-1.0</x:v>
      </x:c>
      <x:c r="F115" s="18" t="n">
        <x:v>2</x:v>
      </x:c>
      <x:c r="G115" s="6" t="str">
        <x:v>0, 1</x:v>
      </x:c>
      <x:c r="H115" s="18" t="n">
        <x:v>41</x:v>
      </x:c>
      <x:c r="I115" s="18" t="n">
        <x:v>24</x:v>
      </x:c>
      <x:c r="J115" s="18" t="n">
        <x:v>248</x:v>
      </x:c>
      <x:c r="K115" s="18" t="n">
        <x:v>3</x:v>
      </x:c>
      <x:c r="L115" s="18" t="n">
        <x:v>10</x:v>
      </x:c>
      <x:c r="M115" s="18" t="n">
        <x:v>13</x:v>
      </x:c>
      <x:c r="N115" s="18" t="n">
        <x:v>13</x:v>
      </x:c>
      <x:c r="O115" s="18" t="n">
        <x:v>0</x:v>
      </x:c>
      <x:c r="P115" s="18" t="n">
        <x:v>9</x:v>
      </x:c>
      <x:c r="Q115" s="6" t="str">
        <x:v>count, floor_area_total, locate, route, route_step_free, route_with_closure, shared_walls_count, tour, wide_delivery_count</x:v>
      </x:c>
      <x:c r="R115" s="21" t="b">
        <x:v>1</x:v>
      </x:c>
      <x:c r="S115" s="21" t="b">
        <x:v>1</x:v>
      </x:c>
      <x:c r="T115" s="6" t="str">
        <x:v>Procedurally generated for the Munich hackathon (CC0)</x:v>
      </x:c>
      <x:c r="U115" s="6" t="str">
        <x:v>data/train/proc-factory-train-020/building.json</x:v>
      </x:c>
      <x:c r="V115" s="6" t="str">
        <x:v>https://github.com/hagenhaeussler/Industrial-Agents-Hackathon-2026/blob/f41616590b69f3ea0c1cbfb41d6c35edd9ce53df/data/train/proc-factory-train-020/building.json</x:v>
      </x:c>
    </x:row>
    <x:row r="116" ht="54" customHeight="1">
      <x:c r="A116" s="6" t="str">
        <x:v>resplan-10002</x:v>
      </x:c>
      <x:c r="B116" s="6" t="str">
        <x:v>Residence 10002</x:v>
      </x:c>
      <x:c r="C116" s="6" t="str">
        <x:v>train</x:v>
      </x:c>
      <x:c r="D116" s="6" t="str">
        <x:v>resplan</x:v>
      </x:c>
      <x:c r="E116" s="6" t="str">
        <x:v>CC-BY-4.0</x:v>
      </x:c>
      <x:c r="F116" s="18" t="n">
        <x:v>1</x:v>
      </x:c>
      <x:c r="G116" s="6" t="str">
        <x:v>0</x:v>
      </x:c>
      <x:c r="H116" s="18" t="n">
        <x:v>8</x:v>
      </x:c>
      <x:c r="I116" s="18" t="n">
        <x:v>5</x:v>
      </x:c>
      <x:c r="J116" s="18" t="n">
        <x:v>22</x:v>
      </x:c>
      <x:c r="K116" s="18" t="n">
        <x:v>0</x:v>
      </x:c>
      <x:c r="L116" s="18" t="n">
        <x:v>9</x:v>
      </x:c>
      <x:c r="M116" s="18" t="n">
        <x:v>9</x:v>
      </x:c>
      <x:c r="N116" s="18" t="n">
        <x:v>9</x:v>
      </x:c>
      <x:c r="O116" s="18" t="n">
        <x:v>0</x:v>
      </x:c>
      <x:c r="P116" s="18" t="n">
        <x:v>5</x:v>
      </x:c>
      <x:c r="Q116" s="6" t="str">
        <x:v>count, locate, route, route_step_free, tour</x:v>
      </x:c>
      <x:c r="R116" s="21" t="b">
        <x:v>0</x:v>
      </x:c>
      <x:c r="S116" s="21" t="b">
        <x:v>0</x:v>
      </x:c>
      <x:c r="T116" s="6" t="str">
        <x:v>ResPlan, Agour et al., https://github.com/m-agour/ResPlan (CC BY 4.0)</x:v>
      </x:c>
      <x:c r="U116" s="6" t="str">
        <x:v>data/train/resplan-10002/building.json</x:v>
      </x:c>
      <x:c r="V116" s="6" t="str">
        <x:v>https://github.com/hagenhaeussler/Industrial-Agents-Hackathon-2026/blob/f41616590b69f3ea0c1cbfb41d6c35edd9ce53df/data/train/resplan-10002/building.json</x:v>
      </x:c>
    </x:row>
    <x:row r="117" ht="54" customHeight="1">
      <x:c r="A117" s="6" t="str">
        <x:v>resplan-10192</x:v>
      </x:c>
      <x:c r="B117" s="6" t="str">
        <x:v>Residence 10192</x:v>
      </x:c>
      <x:c r="C117" s="6" t="str">
        <x:v>train</x:v>
      </x:c>
      <x:c r="D117" s="6" t="str">
        <x:v>resplan</x:v>
      </x:c>
      <x:c r="E117" s="6" t="str">
        <x:v>CC-BY-4.0</x:v>
      </x:c>
      <x:c r="F117" s="18" t="n">
        <x:v>1</x:v>
      </x:c>
      <x:c r="G117" s="6" t="str">
        <x:v>0</x:v>
      </x:c>
      <x:c r="H117" s="18" t="n">
        <x:v>5</x:v>
      </x:c>
      <x:c r="I117" s="18" t="n">
        <x:v>5</x:v>
      </x:c>
      <x:c r="J117" s="18" t="n">
        <x:v>17</x:v>
      </x:c>
      <x:c r="K117" s="18" t="n">
        <x:v>1</x:v>
      </x:c>
      <x:c r="L117" s="18" t="n">
        <x:v>9</x:v>
      </x:c>
      <x:c r="M117" s="18" t="n">
        <x:v>10</x:v>
      </x:c>
      <x:c r="N117" s="18" t="n">
        <x:v>10</x:v>
      </x:c>
      <x:c r="O117" s="18" t="n">
        <x:v>0</x:v>
      </x:c>
      <x:c r="P117" s="18" t="n">
        <x:v>6</x:v>
      </x:c>
      <x:c r="Q117" s="6" t="str">
        <x:v>count, locate, route, route_step_free, shared_walls_count, tour</x:v>
      </x:c>
      <x:c r="R117" s="21" t="b">
        <x:v>0</x:v>
      </x:c>
      <x:c r="S117" s="21" t="b">
        <x:v>0</x:v>
      </x:c>
      <x:c r="T117" s="6" t="str">
        <x:v>ResPlan, Agour et al., https://github.com/m-agour/ResPlan (CC BY 4.0)</x:v>
      </x:c>
      <x:c r="U117" s="6" t="str">
        <x:v>data/train/resplan-10192/building.json</x:v>
      </x:c>
      <x:c r="V117" s="6" t="str">
        <x:v>https://github.com/hagenhaeussler/Industrial-Agents-Hackathon-2026/blob/f41616590b69f3ea0c1cbfb41d6c35edd9ce53df/data/train/resplan-10192/building.json</x:v>
      </x:c>
    </x:row>
    <x:row r="118" ht="54" customHeight="1">
      <x:c r="A118" s="6" t="str">
        <x:v>resplan-10428</x:v>
      </x:c>
      <x:c r="B118" s="6" t="str">
        <x:v>Residence 10428</x:v>
      </x:c>
      <x:c r="C118" s="6" t="str">
        <x:v>train</x:v>
      </x:c>
      <x:c r="D118" s="6" t="str">
        <x:v>resplan</x:v>
      </x:c>
      <x:c r="E118" s="6" t="str">
        <x:v>CC-BY-4.0</x:v>
      </x:c>
      <x:c r="F118" s="18" t="n">
        <x:v>1</x:v>
      </x:c>
      <x:c r="G118" s="6" t="str">
        <x:v>0</x:v>
      </x:c>
      <x:c r="H118" s="18" t="n">
        <x:v>8</x:v>
      </x:c>
      <x:c r="I118" s="18" t="n">
        <x:v>6</x:v>
      </x:c>
      <x:c r="J118" s="18" t="n">
        <x:v>27</x:v>
      </x:c>
      <x:c r="K118" s="18" t="n">
        <x:v>0</x:v>
      </x:c>
      <x:c r="L118" s="18" t="n">
        <x:v>9</x:v>
      </x:c>
      <x:c r="M118" s="18" t="n">
        <x:v>9</x:v>
      </x:c>
      <x:c r="N118" s="18" t="n">
        <x:v>9</x:v>
      </x:c>
      <x:c r="O118" s="18" t="n">
        <x:v>0</x:v>
      </x:c>
      <x:c r="P118" s="18" t="n">
        <x:v>5</x:v>
      </x:c>
      <x:c r="Q118" s="6" t="str">
        <x:v>count, locate, route, route_step_free, tour</x:v>
      </x:c>
      <x:c r="R118" s="21" t="b">
        <x:v>0</x:v>
      </x:c>
      <x:c r="S118" s="21" t="b">
        <x:v>0</x:v>
      </x:c>
      <x:c r="T118" s="6" t="str">
        <x:v>ResPlan, Agour et al., https://github.com/m-agour/ResPlan (CC BY 4.0)</x:v>
      </x:c>
      <x:c r="U118" s="6" t="str">
        <x:v>data/train/resplan-10428/building.json</x:v>
      </x:c>
      <x:c r="V118" s="6" t="str">
        <x:v>https://github.com/hagenhaeussler/Industrial-Agents-Hackathon-2026/blob/f41616590b69f3ea0c1cbfb41d6c35edd9ce53df/data/train/resplan-10428/building.json</x:v>
      </x:c>
    </x:row>
    <x:row r="119" ht="54" customHeight="1">
      <x:c r="A119" s="6" t="str">
        <x:v>resplan-10504</x:v>
      </x:c>
      <x:c r="B119" s="6" t="str">
        <x:v>Residence 10504</x:v>
      </x:c>
      <x:c r="C119" s="6" t="str">
        <x:v>train</x:v>
      </x:c>
      <x:c r="D119" s="6" t="str">
        <x:v>resplan</x:v>
      </x:c>
      <x:c r="E119" s="6" t="str">
        <x:v>CC-BY-4.0</x:v>
      </x:c>
      <x:c r="F119" s="18" t="n">
        <x:v>1</x:v>
      </x:c>
      <x:c r="G119" s="6" t="str">
        <x:v>0</x:v>
      </x:c>
      <x:c r="H119" s="18" t="n">
        <x:v>10</x:v>
      </x:c>
      <x:c r="I119" s="18" t="n">
        <x:v>7</x:v>
      </x:c>
      <x:c r="J119" s="18" t="n">
        <x:v>29</x:v>
      </x:c>
      <x:c r="K119" s="18" t="n">
        <x:v>2</x:v>
      </x:c>
      <x:c r="L119" s="18" t="n">
        <x:v>9</x:v>
      </x:c>
      <x:c r="M119" s="18" t="n">
        <x:v>11</x:v>
      </x:c>
      <x:c r="N119" s="18" t="n">
        <x:v>11</x:v>
      </x:c>
      <x:c r="O119" s="18" t="n">
        <x:v>0</x:v>
      </x:c>
      <x:c r="P119" s="18" t="n">
        <x:v>7</x:v>
      </x:c>
      <x:c r="Q119" s="6" t="str">
        <x:v>count, floor_area_total, locate, route, route_step_free, shared_walls_count, tour</x:v>
      </x:c>
      <x:c r="R119" s="21" t="b">
        <x:v>0</x:v>
      </x:c>
      <x:c r="S119" s="21" t="b">
        <x:v>0</x:v>
      </x:c>
      <x:c r="T119" s="6" t="str">
        <x:v>ResPlan, Agour et al., https://github.com/m-agour/ResPlan (CC BY 4.0)</x:v>
      </x:c>
      <x:c r="U119" s="6" t="str">
        <x:v>data/train/resplan-10504/building.json</x:v>
      </x:c>
      <x:c r="V119" s="6" t="str">
        <x:v>https://github.com/hagenhaeussler/Industrial-Agents-Hackathon-2026/blob/f41616590b69f3ea0c1cbfb41d6c35edd9ce53df/data/train/resplan-10504/building.json</x:v>
      </x:c>
    </x:row>
    <x:row r="120" ht="54" customHeight="1">
      <x:c r="A120" s="6" t="str">
        <x:v>resplan-10650</x:v>
      </x:c>
      <x:c r="B120" s="6" t="str">
        <x:v>Residence 10650</x:v>
      </x:c>
      <x:c r="C120" s="6" t="str">
        <x:v>train</x:v>
      </x:c>
      <x:c r="D120" s="6" t="str">
        <x:v>resplan</x:v>
      </x:c>
      <x:c r="E120" s="6" t="str">
        <x:v>CC-BY-4.0</x:v>
      </x:c>
      <x:c r="F120" s="18" t="n">
        <x:v>1</x:v>
      </x:c>
      <x:c r="G120" s="6" t="str">
        <x:v>0</x:v>
      </x:c>
      <x:c r="H120" s="18" t="n">
        <x:v>7</x:v>
      </x:c>
      <x:c r="I120" s="18" t="n">
        <x:v>6</x:v>
      </x:c>
      <x:c r="J120" s="18" t="n">
        <x:v>26</x:v>
      </x:c>
      <x:c r="K120" s="18" t="n">
        <x:v>1</x:v>
      </x:c>
      <x:c r="L120" s="18" t="n">
        <x:v>9</x:v>
      </x:c>
      <x:c r="M120" s="18" t="n">
        <x:v>10</x:v>
      </x:c>
      <x:c r="N120" s="18" t="n">
        <x:v>10</x:v>
      </x:c>
      <x:c r="O120" s="18" t="n">
        <x:v>0</x:v>
      </x:c>
      <x:c r="P120" s="18" t="n">
        <x:v>6</x:v>
      </x:c>
      <x:c r="Q120" s="6" t="str">
        <x:v>count, locate, route, route_step_free, shared_walls_count, tour</x:v>
      </x:c>
      <x:c r="R120" s="21" t="b">
        <x:v>0</x:v>
      </x:c>
      <x:c r="S120" s="21" t="b">
        <x:v>0</x:v>
      </x:c>
      <x:c r="T120" s="6" t="str">
        <x:v>ResPlan, Agour et al., https://github.com/m-agour/ResPlan (CC BY 4.0)</x:v>
      </x:c>
      <x:c r="U120" s="6" t="str">
        <x:v>data/train/resplan-10650/building.json</x:v>
      </x:c>
      <x:c r="V120" s="6" t="str">
        <x:v>https://github.com/hagenhaeussler/Industrial-Agents-Hackathon-2026/blob/f41616590b69f3ea0c1cbfb41d6c35edd9ce53df/data/train/resplan-10650/building.json</x:v>
      </x:c>
    </x:row>
    <x:row r="121" ht="54" customHeight="1">
      <x:c r="A121" s="6" t="str">
        <x:v>resplan-10882</x:v>
      </x:c>
      <x:c r="B121" s="6" t="str">
        <x:v>Residence 10882</x:v>
      </x:c>
      <x:c r="C121" s="6" t="str">
        <x:v>train</x:v>
      </x:c>
      <x:c r="D121" s="6" t="str">
        <x:v>resplan</x:v>
      </x:c>
      <x:c r="E121" s="6" t="str">
        <x:v>CC-BY-4.0</x:v>
      </x:c>
      <x:c r="F121" s="18" t="n">
        <x:v>1</x:v>
      </x:c>
      <x:c r="G121" s="6" t="str">
        <x:v>0</x:v>
      </x:c>
      <x:c r="H121" s="18" t="n">
        <x:v>10</x:v>
      </x:c>
      <x:c r="I121" s="18" t="n">
        <x:v>8</x:v>
      </x:c>
      <x:c r="J121" s="18" t="n">
        <x:v>35</x:v>
      </x:c>
      <x:c r="K121" s="18" t="n">
        <x:v>2</x:v>
      </x:c>
      <x:c r="L121" s="18" t="n">
        <x:v>9</x:v>
      </x:c>
      <x:c r="M121" s="18" t="n">
        <x:v>11</x:v>
      </x:c>
      <x:c r="N121" s="18" t="n">
        <x:v>11</x:v>
      </x:c>
      <x:c r="O121" s="18" t="n">
        <x:v>0</x:v>
      </x:c>
      <x:c r="P121" s="18" t="n">
        <x:v>7</x:v>
      </x:c>
      <x:c r="Q121" s="6" t="str">
        <x:v>count, floor_area_total, locate, route, route_step_free, shared_walls_count, tour</x:v>
      </x:c>
      <x:c r="R121" s="21" t="b">
        <x:v>0</x:v>
      </x:c>
      <x:c r="S121" s="21" t="b">
        <x:v>0</x:v>
      </x:c>
      <x:c r="T121" s="6" t="str">
        <x:v>ResPlan, Agour et al., https://github.com/m-agour/ResPlan (CC BY 4.0)</x:v>
      </x:c>
      <x:c r="U121" s="6" t="str">
        <x:v>data/train/resplan-10882/building.json</x:v>
      </x:c>
      <x:c r="V121" s="6" t="str">
        <x:v>https://github.com/hagenhaeussler/Industrial-Agents-Hackathon-2026/blob/f41616590b69f3ea0c1cbfb41d6c35edd9ce53df/data/train/resplan-10882/building.json</x:v>
      </x:c>
    </x:row>
    <x:row r="122" ht="54" customHeight="1">
      <x:c r="A122" s="6" t="str">
        <x:v>resplan-1095</x:v>
      </x:c>
      <x:c r="B122" s="6" t="str">
        <x:v>Residence 1095</x:v>
      </x:c>
      <x:c r="C122" s="6" t="str">
        <x:v>train</x:v>
      </x:c>
      <x:c r="D122" s="6" t="str">
        <x:v>resplan</x:v>
      </x:c>
      <x:c r="E122" s="6" t="str">
        <x:v>CC-BY-4.0</x:v>
      </x:c>
      <x:c r="F122" s="18" t="n">
        <x:v>1</x:v>
      </x:c>
      <x:c r="G122" s="6" t="str">
        <x:v>0</x:v>
      </x:c>
      <x:c r="H122" s="18" t="n">
        <x:v>11</x:v>
      </x:c>
      <x:c r="I122" s="18" t="n">
        <x:v>8</x:v>
      </x:c>
      <x:c r="J122" s="18" t="n">
        <x:v>39</x:v>
      </x:c>
      <x:c r="K122" s="18" t="n">
        <x:v>5</x:v>
      </x:c>
      <x:c r="L122" s="18" t="n">
        <x:v>9</x:v>
      </x:c>
      <x:c r="M122" s="18" t="n">
        <x:v>14</x:v>
      </x:c>
      <x:c r="N122" s="18" t="n">
        <x:v>14</x:v>
      </x:c>
      <x:c r="O122" s="18" t="n">
        <x:v>0</x:v>
      </x:c>
      <x:c r="P122" s="18" t="n">
        <x:v>10</x:v>
      </x:c>
      <x:c r="Q122" s="6" t="str">
        <x:v>count, errand, floor_area_total, largest_room, locate, route, route_step_free, shared_walls_count, tour, wide_delivery_count</x:v>
      </x:c>
      <x:c r="R122" s="21" t="b">
        <x:v>0</x:v>
      </x:c>
      <x:c r="S122" s="21" t="b">
        <x:v>0</x:v>
      </x:c>
      <x:c r="T122" s="6" t="str">
        <x:v>ResPlan, Agour et al., https://github.com/m-agour/ResPlan (CC BY 4.0)</x:v>
      </x:c>
      <x:c r="U122" s="6" t="str">
        <x:v>data/train/resplan-1095/building.json</x:v>
      </x:c>
      <x:c r="V122" s="6" t="str">
        <x:v>https://github.com/hagenhaeussler/Industrial-Agents-Hackathon-2026/blob/f41616590b69f3ea0c1cbfb41d6c35edd9ce53df/data/train/resplan-1095/building.json</x:v>
      </x:c>
    </x:row>
    <x:row r="123" ht="54" customHeight="1">
      <x:c r="A123" s="6" t="str">
        <x:v>resplan-11076</x:v>
      </x:c>
      <x:c r="B123" s="6" t="str">
        <x:v>Residence 11076</x:v>
      </x:c>
      <x:c r="C123" s="6" t="str">
        <x:v>train</x:v>
      </x:c>
      <x:c r="D123" s="6" t="str">
        <x:v>resplan</x:v>
      </x:c>
      <x:c r="E123" s="6" t="str">
        <x:v>CC-BY-4.0</x:v>
      </x:c>
      <x:c r="F123" s="18" t="n">
        <x:v>1</x:v>
      </x:c>
      <x:c r="G123" s="6" t="str">
        <x:v>0</x:v>
      </x:c>
      <x:c r="H123" s="18" t="n">
        <x:v>8</x:v>
      </x:c>
      <x:c r="I123" s="18" t="n">
        <x:v>7</x:v>
      </x:c>
      <x:c r="J123" s="18" t="n">
        <x:v>27</x:v>
      </x:c>
      <x:c r="K123" s="18" t="n">
        <x:v>0</x:v>
      </x:c>
      <x:c r="L123" s="18" t="n">
        <x:v>9</x:v>
      </x:c>
      <x:c r="M123" s="18" t="n">
        <x:v>9</x:v>
      </x:c>
      <x:c r="N123" s="18" t="n">
        <x:v>9</x:v>
      </x:c>
      <x:c r="O123" s="18" t="n">
        <x:v>0</x:v>
      </x:c>
      <x:c r="P123" s="18" t="n">
        <x:v>5</x:v>
      </x:c>
      <x:c r="Q123" s="6" t="str">
        <x:v>count, locate, route, route_step_free, tour</x:v>
      </x:c>
      <x:c r="R123" s="21" t="b">
        <x:v>0</x:v>
      </x:c>
      <x:c r="S123" s="21" t="b">
        <x:v>0</x:v>
      </x:c>
      <x:c r="T123" s="6" t="str">
        <x:v>ResPlan, Agour et al., https://github.com/m-agour/ResPlan (CC BY 4.0)</x:v>
      </x:c>
      <x:c r="U123" s="6" t="str">
        <x:v>data/train/resplan-11076/building.json</x:v>
      </x:c>
      <x:c r="V123" s="6" t="str">
        <x:v>https://github.com/hagenhaeussler/Industrial-Agents-Hackathon-2026/blob/f41616590b69f3ea0c1cbfb41d6c35edd9ce53df/data/train/resplan-11076/building.json</x:v>
      </x:c>
    </x:row>
    <x:row r="124" ht="54" customHeight="1">
      <x:c r="A124" s="6" t="str">
        <x:v>resplan-11706</x:v>
      </x:c>
      <x:c r="B124" s="6" t="str">
        <x:v>Residence 11706</x:v>
      </x:c>
      <x:c r="C124" s="6" t="str">
        <x:v>train</x:v>
      </x:c>
      <x:c r="D124" s="6" t="str">
        <x:v>resplan</x:v>
      </x:c>
      <x:c r="E124" s="6" t="str">
        <x:v>CC-BY-4.0</x:v>
      </x:c>
      <x:c r="F124" s="18" t="n">
        <x:v>1</x:v>
      </x:c>
      <x:c r="G124" s="6" t="str">
        <x:v>0</x:v>
      </x:c>
      <x:c r="H124" s="18" t="n">
        <x:v>7</x:v>
      </x:c>
      <x:c r="I124" s="18" t="n">
        <x:v>6</x:v>
      </x:c>
      <x:c r="J124" s="18" t="n">
        <x:v>29</x:v>
      </x:c>
      <x:c r="K124" s="18" t="n">
        <x:v>1</x:v>
      </x:c>
      <x:c r="L124" s="18" t="n">
        <x:v>9</x:v>
      </x:c>
      <x:c r="M124" s="18" t="n">
        <x:v>10</x:v>
      </x:c>
      <x:c r="N124" s="18" t="n">
        <x:v>10</x:v>
      </x:c>
      <x:c r="O124" s="18" t="n">
        <x:v>0</x:v>
      </x:c>
      <x:c r="P124" s="18" t="n">
        <x:v>6</x:v>
      </x:c>
      <x:c r="Q124" s="6" t="str">
        <x:v>count, locate, route, route_step_free, shared_walls_count, tour</x:v>
      </x:c>
      <x:c r="R124" s="21" t="b">
        <x:v>0</x:v>
      </x:c>
      <x:c r="S124" s="21" t="b">
        <x:v>0</x:v>
      </x:c>
      <x:c r="T124" s="6" t="str">
        <x:v>ResPlan, Agour et al., https://github.com/m-agour/ResPlan (CC BY 4.0)</x:v>
      </x:c>
      <x:c r="U124" s="6" t="str">
        <x:v>data/train/resplan-11706/building.json</x:v>
      </x:c>
      <x:c r="V124" s="6" t="str">
        <x:v>https://github.com/hagenhaeussler/Industrial-Agents-Hackathon-2026/blob/f41616590b69f3ea0c1cbfb41d6c35edd9ce53df/data/train/resplan-11706/building.json</x:v>
      </x:c>
    </x:row>
    <x:row r="125" ht="54" customHeight="1">
      <x:c r="A125" s="6" t="str">
        <x:v>resplan-11816</x:v>
      </x:c>
      <x:c r="B125" s="6" t="str">
        <x:v>Residence 11816</x:v>
      </x:c>
      <x:c r="C125" s="6" t="str">
        <x:v>train</x:v>
      </x:c>
      <x:c r="D125" s="6" t="str">
        <x:v>resplan</x:v>
      </x:c>
      <x:c r="E125" s="6" t="str">
        <x:v>CC-BY-4.0</x:v>
      </x:c>
      <x:c r="F125" s="18" t="n">
        <x:v>1</x:v>
      </x:c>
      <x:c r="G125" s="6" t="str">
        <x:v>0</x:v>
      </x:c>
      <x:c r="H125" s="18" t="n">
        <x:v>6</x:v>
      </x:c>
      <x:c r="I125" s="18" t="n">
        <x:v>6</x:v>
      </x:c>
      <x:c r="J125" s="18" t="n">
        <x:v>29</x:v>
      </x:c>
      <x:c r="K125" s="18" t="n">
        <x:v>2</x:v>
      </x:c>
      <x:c r="L125" s="18" t="n">
        <x:v>9</x:v>
      </x:c>
      <x:c r="M125" s="18" t="n">
        <x:v>11</x:v>
      </x:c>
      <x:c r="N125" s="18" t="n">
        <x:v>11</x:v>
      </x:c>
      <x:c r="O125" s="18" t="n">
        <x:v>0</x:v>
      </x:c>
      <x:c r="P125" s="18" t="n">
        <x:v>7</x:v>
      </x:c>
      <x:c r="Q125" s="6" t="str">
        <x:v>count, locate, route, route_step_free, shared_walls_count, tour, wide_delivery_count</x:v>
      </x:c>
      <x:c r="R125" s="21" t="b">
        <x:v>0</x:v>
      </x:c>
      <x:c r="S125" s="21" t="b">
        <x:v>0</x:v>
      </x:c>
      <x:c r="T125" s="6" t="str">
        <x:v>ResPlan, Agour et al., https://github.com/m-agour/ResPlan (CC BY 4.0)</x:v>
      </x:c>
      <x:c r="U125" s="6" t="str">
        <x:v>data/train/resplan-11816/building.json</x:v>
      </x:c>
      <x:c r="V125" s="6" t="str">
        <x:v>https://github.com/hagenhaeussler/Industrial-Agents-Hackathon-2026/blob/f41616590b69f3ea0c1cbfb41d6c35edd9ce53df/data/train/resplan-11816/building.json</x:v>
      </x:c>
    </x:row>
    <x:row r="126" ht="54" customHeight="1">
      <x:c r="A126" s="6" t="str">
        <x:v>resplan-120</x:v>
      </x:c>
      <x:c r="B126" s="6" t="str">
        <x:v>Residence 120</x:v>
      </x:c>
      <x:c r="C126" s="6" t="str">
        <x:v>train</x:v>
      </x:c>
      <x:c r="D126" s="6" t="str">
        <x:v>resplan</x:v>
      </x:c>
      <x:c r="E126" s="6" t="str">
        <x:v>CC-BY-4.0</x:v>
      </x:c>
      <x:c r="F126" s="18" t="n">
        <x:v>1</x:v>
      </x:c>
      <x:c r="G126" s="6" t="str">
        <x:v>0</x:v>
      </x:c>
      <x:c r="H126" s="18" t="n">
        <x:v>9</x:v>
      </x:c>
      <x:c r="I126" s="18" t="n">
        <x:v>7</x:v>
      </x:c>
      <x:c r="J126" s="18" t="n">
        <x:v>29</x:v>
      </x:c>
      <x:c r="K126" s="18" t="n">
        <x:v>5</x:v>
      </x:c>
      <x:c r="L126" s="18" t="n">
        <x:v>9</x:v>
      </x:c>
      <x:c r="M126" s="18" t="n">
        <x:v>14</x:v>
      </x:c>
      <x:c r="N126" s="18" t="n">
        <x:v>14</x:v>
      </x:c>
      <x:c r="O126" s="18" t="n">
        <x:v>0</x:v>
      </x:c>
      <x:c r="P126" s="18" t="n">
        <x:v>10</x:v>
      </x:c>
      <x:c r="Q126" s="6" t="str">
        <x:v>count, errand, floor_area_total, largest_room, locate, route, route_step_free, shared_walls_count, tour, wide_delivery_count</x:v>
      </x:c>
      <x:c r="R126" s="21" t="b">
        <x:v>0</x:v>
      </x:c>
      <x:c r="S126" s="21" t="b">
        <x:v>0</x:v>
      </x:c>
      <x:c r="T126" s="6" t="str">
        <x:v>ResPlan, Agour et al., https://github.com/m-agour/ResPlan (CC BY 4.0)</x:v>
      </x:c>
      <x:c r="U126" s="6" t="str">
        <x:v>data/train/resplan-120/building.json</x:v>
      </x:c>
      <x:c r="V126" s="6" t="str">
        <x:v>https://github.com/hagenhaeussler/Industrial-Agents-Hackathon-2026/blob/f41616590b69f3ea0c1cbfb41d6c35edd9ce53df/data/train/resplan-120/building.json</x:v>
      </x:c>
    </x:row>
    <x:row r="127" ht="54" customHeight="1">
      <x:c r="A127" s="6" t="str">
        <x:v>resplan-12034</x:v>
      </x:c>
      <x:c r="B127" s="6" t="str">
        <x:v>Residence 12034</x:v>
      </x:c>
      <x:c r="C127" s="6" t="str">
        <x:v>train</x:v>
      </x:c>
      <x:c r="D127" s="6" t="str">
        <x:v>resplan</x:v>
      </x:c>
      <x:c r="E127" s="6" t="str">
        <x:v>CC-BY-4.0</x:v>
      </x:c>
      <x:c r="F127" s="18" t="n">
        <x:v>1</x:v>
      </x:c>
      <x:c r="G127" s="6" t="str">
        <x:v>0</x:v>
      </x:c>
      <x:c r="H127" s="18" t="n">
        <x:v>8</x:v>
      </x:c>
      <x:c r="I127" s="18" t="n">
        <x:v>6</x:v>
      </x:c>
      <x:c r="J127" s="18" t="n">
        <x:v>28</x:v>
      </x:c>
      <x:c r="K127" s="18" t="n">
        <x:v>1</x:v>
      </x:c>
      <x:c r="L127" s="18" t="n">
        <x:v>9</x:v>
      </x:c>
      <x:c r="M127" s="18" t="n">
        <x:v>10</x:v>
      </x:c>
      <x:c r="N127" s="18" t="n">
        <x:v>10</x:v>
      </x:c>
      <x:c r="O127" s="18" t="n">
        <x:v>0</x:v>
      </x:c>
      <x:c r="P127" s="18" t="n">
        <x:v>6</x:v>
      </x:c>
      <x:c r="Q127" s="6" t="str">
        <x:v>count, locate, route, route_step_free, tour, wide_delivery_count</x:v>
      </x:c>
      <x:c r="R127" s="21" t="b">
        <x:v>0</x:v>
      </x:c>
      <x:c r="S127" s="21" t="b">
        <x:v>0</x:v>
      </x:c>
      <x:c r="T127" s="6" t="str">
        <x:v>ResPlan, Agour et al., https://github.com/m-agour/ResPlan (CC BY 4.0)</x:v>
      </x:c>
      <x:c r="U127" s="6" t="str">
        <x:v>data/train/resplan-12034/building.json</x:v>
      </x:c>
      <x:c r="V127" s="6" t="str">
        <x:v>https://github.com/hagenhaeussler/Industrial-Agents-Hackathon-2026/blob/f41616590b69f3ea0c1cbfb41d6c35edd9ce53df/data/train/resplan-12034/building.json</x:v>
      </x:c>
    </x:row>
    <x:row r="128" ht="54" customHeight="1">
      <x:c r="A128" s="6" t="str">
        <x:v>resplan-1224</x:v>
      </x:c>
      <x:c r="B128" s="6" t="str">
        <x:v>Residence 1224</x:v>
      </x:c>
      <x:c r="C128" s="6" t="str">
        <x:v>train</x:v>
      </x:c>
      <x:c r="D128" s="6" t="str">
        <x:v>resplan</x:v>
      </x:c>
      <x:c r="E128" s="6" t="str">
        <x:v>CC-BY-4.0</x:v>
      </x:c>
      <x:c r="F128" s="18" t="n">
        <x:v>1</x:v>
      </x:c>
      <x:c r="G128" s="6" t="str">
        <x:v>0</x:v>
      </x:c>
      <x:c r="H128" s="18" t="n">
        <x:v>7</x:v>
      </x:c>
      <x:c r="I128" s="18" t="n">
        <x:v>6</x:v>
      </x:c>
      <x:c r="J128" s="18" t="n">
        <x:v>22</x:v>
      </x:c>
      <x:c r="K128" s="18" t="n">
        <x:v>2</x:v>
      </x:c>
      <x:c r="L128" s="18" t="n">
        <x:v>9</x:v>
      </x:c>
      <x:c r="M128" s="18" t="n">
        <x:v>11</x:v>
      </x:c>
      <x:c r="N128" s="18" t="n">
        <x:v>11</x:v>
      </x:c>
      <x:c r="O128" s="18" t="n">
        <x:v>0</x:v>
      </x:c>
      <x:c r="P128" s="18" t="n">
        <x:v>7</x:v>
      </x:c>
      <x:c r="Q128" s="6" t="str">
        <x:v>count, locate, route, route_step_free, shared_walls_count, tour, wide_delivery_count</x:v>
      </x:c>
      <x:c r="R128" s="21" t="b">
        <x:v>0</x:v>
      </x:c>
      <x:c r="S128" s="21" t="b">
        <x:v>0</x:v>
      </x:c>
      <x:c r="T128" s="6" t="str">
        <x:v>ResPlan, Agour et al., https://github.com/m-agour/ResPlan (CC BY 4.0)</x:v>
      </x:c>
      <x:c r="U128" s="6" t="str">
        <x:v>data/train/resplan-1224/building.json</x:v>
      </x:c>
      <x:c r="V128" s="6" t="str">
        <x:v>https://github.com/hagenhaeussler/Industrial-Agents-Hackathon-2026/blob/f41616590b69f3ea0c1cbfb41d6c35edd9ce53df/data/train/resplan-1224/building.json</x:v>
      </x:c>
    </x:row>
    <x:row r="129" ht="54" customHeight="1">
      <x:c r="A129" s="6" t="str">
        <x:v>resplan-12304</x:v>
      </x:c>
      <x:c r="B129" s="6" t="str">
        <x:v>Residence 12304</x:v>
      </x:c>
      <x:c r="C129" s="6" t="str">
        <x:v>train</x:v>
      </x:c>
      <x:c r="D129" s="6" t="str">
        <x:v>resplan</x:v>
      </x:c>
      <x:c r="E129" s="6" t="str">
        <x:v>CC-BY-4.0</x:v>
      </x:c>
      <x:c r="F129" s="18" t="n">
        <x:v>1</x:v>
      </x:c>
      <x:c r="G129" s="6" t="str">
        <x:v>0</x:v>
      </x:c>
      <x:c r="H129" s="18" t="n">
        <x:v>5</x:v>
      </x:c>
      <x:c r="I129" s="18" t="n">
        <x:v>5</x:v>
      </x:c>
      <x:c r="J129" s="18" t="n">
        <x:v>22</x:v>
      </x:c>
      <x:c r="K129" s="18" t="n">
        <x:v>2</x:v>
      </x:c>
      <x:c r="L129" s="18" t="n">
        <x:v>9</x:v>
      </x:c>
      <x:c r="M129" s="18" t="n">
        <x:v>11</x:v>
      </x:c>
      <x:c r="N129" s="18" t="n">
        <x:v>11</x:v>
      </x:c>
      <x:c r="O129" s="18" t="n">
        <x:v>0</x:v>
      </x:c>
      <x:c r="P129" s="18" t="n">
        <x:v>7</x:v>
      </x:c>
      <x:c r="Q129" s="6" t="str">
        <x:v>count, locate, route, route_step_free, shared_walls_count, tour, wide_delivery_count</x:v>
      </x:c>
      <x:c r="R129" s="21" t="b">
        <x:v>0</x:v>
      </x:c>
      <x:c r="S129" s="21" t="b">
        <x:v>0</x:v>
      </x:c>
      <x:c r="T129" s="6" t="str">
        <x:v>ResPlan, Agour et al., https://github.com/m-agour/ResPlan (CC BY 4.0)</x:v>
      </x:c>
      <x:c r="U129" s="6" t="str">
        <x:v>data/train/resplan-12304/building.json</x:v>
      </x:c>
      <x:c r="V129" s="6" t="str">
        <x:v>https://github.com/hagenhaeussler/Industrial-Agents-Hackathon-2026/blob/f41616590b69f3ea0c1cbfb41d6c35edd9ce53df/data/train/resplan-12304/building.json</x:v>
      </x:c>
    </x:row>
    <x:row r="130" ht="54" customHeight="1">
      <x:c r="A130" s="6" t="str">
        <x:v>resplan-12336</x:v>
      </x:c>
      <x:c r="B130" s="6" t="str">
        <x:v>Residence 12336</x:v>
      </x:c>
      <x:c r="C130" s="6" t="str">
        <x:v>train</x:v>
      </x:c>
      <x:c r="D130" s="6" t="str">
        <x:v>resplan</x:v>
      </x:c>
      <x:c r="E130" s="6" t="str">
        <x:v>CC-BY-4.0</x:v>
      </x:c>
      <x:c r="F130" s="18" t="n">
        <x:v>1</x:v>
      </x:c>
      <x:c r="G130" s="6" t="str">
        <x:v>0</x:v>
      </x:c>
      <x:c r="H130" s="18" t="n">
        <x:v>8</x:v>
      </x:c>
      <x:c r="I130" s="18" t="n">
        <x:v>7</x:v>
      </x:c>
      <x:c r="J130" s="18" t="n">
        <x:v>22</x:v>
      </x:c>
      <x:c r="K130" s="18" t="n">
        <x:v>1</x:v>
      </x:c>
      <x:c r="L130" s="18" t="n">
        <x:v>9</x:v>
      </x:c>
      <x:c r="M130" s="18" t="n">
        <x:v>10</x:v>
      </x:c>
      <x:c r="N130" s="18" t="n">
        <x:v>10</x:v>
      </x:c>
      <x:c r="O130" s="18" t="n">
        <x:v>0</x:v>
      </x:c>
      <x:c r="P130" s="18" t="n">
        <x:v>6</x:v>
      </x:c>
      <x:c r="Q130" s="6" t="str">
        <x:v>count, locate, route, route_step_free, shared_walls_count, tour</x:v>
      </x:c>
      <x:c r="R130" s="21" t="b">
        <x:v>0</x:v>
      </x:c>
      <x:c r="S130" s="21" t="b">
        <x:v>0</x:v>
      </x:c>
      <x:c r="T130" s="6" t="str">
        <x:v>ResPlan, Agour et al., https://github.com/m-agour/ResPlan (CC BY 4.0)</x:v>
      </x:c>
      <x:c r="U130" s="6" t="str">
        <x:v>data/train/resplan-12336/building.json</x:v>
      </x:c>
      <x:c r="V130" s="6" t="str">
        <x:v>https://github.com/hagenhaeussler/Industrial-Agents-Hackathon-2026/blob/f41616590b69f3ea0c1cbfb41d6c35edd9ce53df/data/train/resplan-12336/building.json</x:v>
      </x:c>
    </x:row>
    <x:row r="131" ht="54" customHeight="1">
      <x:c r="A131" s="6" t="str">
        <x:v>resplan-12462</x:v>
      </x:c>
      <x:c r="B131" s="6" t="str">
        <x:v>Residence 12462</x:v>
      </x:c>
      <x:c r="C131" s="6" t="str">
        <x:v>train</x:v>
      </x:c>
      <x:c r="D131" s="6" t="str">
        <x:v>resplan</x:v>
      </x:c>
      <x:c r="E131" s="6" t="str">
        <x:v>CC-BY-4.0</x:v>
      </x:c>
      <x:c r="F131" s="18" t="n">
        <x:v>1</x:v>
      </x:c>
      <x:c r="G131" s="6" t="str">
        <x:v>0</x:v>
      </x:c>
      <x:c r="H131" s="18" t="n">
        <x:v>8</x:v>
      </x:c>
      <x:c r="I131" s="18" t="n">
        <x:v>8</x:v>
      </x:c>
      <x:c r="J131" s="18" t="n">
        <x:v>32</x:v>
      </x:c>
      <x:c r="K131" s="18" t="n">
        <x:v>1</x:v>
      </x:c>
      <x:c r="L131" s="18" t="n">
        <x:v>9</x:v>
      </x:c>
      <x:c r="M131" s="18" t="n">
        <x:v>10</x:v>
      </x:c>
      <x:c r="N131" s="18" t="n">
        <x:v>10</x:v>
      </x:c>
      <x:c r="O131" s="18" t="n">
        <x:v>0</x:v>
      </x:c>
      <x:c r="P131" s="18" t="n">
        <x:v>6</x:v>
      </x:c>
      <x:c r="Q131" s="6" t="str">
        <x:v>count, floor_area_total, locate, route, route_step_free, tour</x:v>
      </x:c>
      <x:c r="R131" s="21" t="b">
        <x:v>0</x:v>
      </x:c>
      <x:c r="S131" s="21" t="b">
        <x:v>0</x:v>
      </x:c>
      <x:c r="T131" s="6" t="str">
        <x:v>ResPlan, Agour et al., https://github.com/m-agour/ResPlan (CC BY 4.0)</x:v>
      </x:c>
      <x:c r="U131" s="6" t="str">
        <x:v>data/train/resplan-12462/building.json</x:v>
      </x:c>
      <x:c r="V131" s="6" t="str">
        <x:v>https://github.com/hagenhaeussler/Industrial-Agents-Hackathon-2026/blob/f41616590b69f3ea0c1cbfb41d6c35edd9ce53df/data/train/resplan-12462/building.json</x:v>
      </x:c>
    </x:row>
    <x:row r="132" ht="54" customHeight="1">
      <x:c r="A132" s="6" t="str">
        <x:v>resplan-12750</x:v>
      </x:c>
      <x:c r="B132" s="6" t="str">
        <x:v>Residence 12750</x:v>
      </x:c>
      <x:c r="C132" s="6" t="str">
        <x:v>train</x:v>
      </x:c>
      <x:c r="D132" s="6" t="str">
        <x:v>resplan</x:v>
      </x:c>
      <x:c r="E132" s="6" t="str">
        <x:v>CC-BY-4.0</x:v>
      </x:c>
      <x:c r="F132" s="18" t="n">
        <x:v>1</x:v>
      </x:c>
      <x:c r="G132" s="6" t="str">
        <x:v>0</x:v>
      </x:c>
      <x:c r="H132" s="18" t="n">
        <x:v>5</x:v>
      </x:c>
      <x:c r="I132" s="18" t="n">
        <x:v>5</x:v>
      </x:c>
      <x:c r="J132" s="18" t="n">
        <x:v>21</x:v>
      </x:c>
      <x:c r="K132" s="18" t="n">
        <x:v>2</x:v>
      </x:c>
      <x:c r="L132" s="18" t="n">
        <x:v>9</x:v>
      </x:c>
      <x:c r="M132" s="18" t="n">
        <x:v>11</x:v>
      </x:c>
      <x:c r="N132" s="18" t="n">
        <x:v>11</x:v>
      </x:c>
      <x:c r="O132" s="18" t="n">
        <x:v>0</x:v>
      </x:c>
      <x:c r="P132" s="18" t="n">
        <x:v>7</x:v>
      </x:c>
      <x:c r="Q132" s="6" t="str">
        <x:v>count, locate, route, route_step_free, shared_walls_count, tour, wide_delivery_count</x:v>
      </x:c>
      <x:c r="R132" s="21" t="b">
        <x:v>0</x:v>
      </x:c>
      <x:c r="S132" s="21" t="b">
        <x:v>0</x:v>
      </x:c>
      <x:c r="T132" s="6" t="str">
        <x:v>ResPlan, Agour et al., https://github.com/m-agour/ResPlan (CC BY 4.0)</x:v>
      </x:c>
      <x:c r="U132" s="6" t="str">
        <x:v>data/train/resplan-12750/building.json</x:v>
      </x:c>
      <x:c r="V132" s="6" t="str">
        <x:v>https://github.com/hagenhaeussler/Industrial-Agents-Hackathon-2026/blob/f41616590b69f3ea0c1cbfb41d6c35edd9ce53df/data/train/resplan-12750/building.json</x:v>
      </x:c>
    </x:row>
    <x:row r="133" ht="54" customHeight="1">
      <x:c r="A133" s="6" t="str">
        <x:v>resplan-12844</x:v>
      </x:c>
      <x:c r="B133" s="6" t="str">
        <x:v>Residence 12844</x:v>
      </x:c>
      <x:c r="C133" s="6" t="str">
        <x:v>train</x:v>
      </x:c>
      <x:c r="D133" s="6" t="str">
        <x:v>resplan</x:v>
      </x:c>
      <x:c r="E133" s="6" t="str">
        <x:v>CC-BY-4.0</x:v>
      </x:c>
      <x:c r="F133" s="18" t="n">
        <x:v>1</x:v>
      </x:c>
      <x:c r="G133" s="6" t="str">
        <x:v>0</x:v>
      </x:c>
      <x:c r="H133" s="18" t="n">
        <x:v>7</x:v>
      </x:c>
      <x:c r="I133" s="18" t="n">
        <x:v>7</x:v>
      </x:c>
      <x:c r="J133" s="18" t="n">
        <x:v>28</x:v>
      </x:c>
      <x:c r="K133" s="18" t="n">
        <x:v>2</x:v>
      </x:c>
      <x:c r="L133" s="18" t="n">
        <x:v>9</x:v>
      </x:c>
      <x:c r="M133" s="18" t="n">
        <x:v>11</x:v>
      </x:c>
      <x:c r="N133" s="18" t="n">
        <x:v>11</x:v>
      </x:c>
      <x:c r="O133" s="18" t="n">
        <x:v>0</x:v>
      </x:c>
      <x:c r="P133" s="18" t="n">
        <x:v>7</x:v>
      </x:c>
      <x:c r="Q133" s="6" t="str">
        <x:v>count, floor_area_total, locate, route, route_step_free, shared_walls_count, tour</x:v>
      </x:c>
      <x:c r="R133" s="21" t="b">
        <x:v>0</x:v>
      </x:c>
      <x:c r="S133" s="21" t="b">
        <x:v>0</x:v>
      </x:c>
      <x:c r="T133" s="6" t="str">
        <x:v>ResPlan, Agour et al., https://github.com/m-agour/ResPlan (CC BY 4.0)</x:v>
      </x:c>
      <x:c r="U133" s="6" t="str">
        <x:v>data/train/resplan-12844/building.json</x:v>
      </x:c>
      <x:c r="V133" s="6" t="str">
        <x:v>https://github.com/hagenhaeussler/Industrial-Agents-Hackathon-2026/blob/f41616590b69f3ea0c1cbfb41d6c35edd9ce53df/data/train/resplan-12844/building.json</x:v>
      </x:c>
    </x:row>
    <x:row r="134" ht="54" customHeight="1">
      <x:c r="A134" s="6" t="str">
        <x:v>resplan-12867</x:v>
      </x:c>
      <x:c r="B134" s="6" t="str">
        <x:v>Residence 12867</x:v>
      </x:c>
      <x:c r="C134" s="6" t="str">
        <x:v>train</x:v>
      </x:c>
      <x:c r="D134" s="6" t="str">
        <x:v>resplan</x:v>
      </x:c>
      <x:c r="E134" s="6" t="str">
        <x:v>CC-BY-4.0</x:v>
      </x:c>
      <x:c r="F134" s="18" t="n">
        <x:v>1</x:v>
      </x:c>
      <x:c r="G134" s="6" t="str">
        <x:v>0</x:v>
      </x:c>
      <x:c r="H134" s="18" t="n">
        <x:v>9</x:v>
      </x:c>
      <x:c r="I134" s="18" t="n">
        <x:v>6</x:v>
      </x:c>
      <x:c r="J134" s="18" t="n">
        <x:v>30</x:v>
      </x:c>
      <x:c r="K134" s="18" t="n">
        <x:v>2</x:v>
      </x:c>
      <x:c r="L134" s="18" t="n">
        <x:v>9</x:v>
      </x:c>
      <x:c r="M134" s="18" t="n">
        <x:v>11</x:v>
      </x:c>
      <x:c r="N134" s="18" t="n">
        <x:v>11</x:v>
      </x:c>
      <x:c r="O134" s="18" t="n">
        <x:v>0</x:v>
      </x:c>
      <x:c r="P134" s="18" t="n">
        <x:v>7</x:v>
      </x:c>
      <x:c r="Q134" s="6" t="str">
        <x:v>count, floor_area_total, locate, route, route_step_free, tour, wide_delivery_count</x:v>
      </x:c>
      <x:c r="R134" s="21" t="b">
        <x:v>0</x:v>
      </x:c>
      <x:c r="S134" s="21" t="b">
        <x:v>0</x:v>
      </x:c>
      <x:c r="T134" s="6" t="str">
        <x:v>ResPlan, Agour et al., https://github.com/m-agour/ResPlan (CC BY 4.0)</x:v>
      </x:c>
      <x:c r="U134" s="6" t="str">
        <x:v>data/train/resplan-12867/building.json</x:v>
      </x:c>
      <x:c r="V134" s="6" t="str">
        <x:v>https://github.com/hagenhaeussler/Industrial-Agents-Hackathon-2026/blob/f41616590b69f3ea0c1cbfb41d6c35edd9ce53df/data/train/resplan-12867/building.json</x:v>
      </x:c>
    </x:row>
    <x:row r="135" ht="54" customHeight="1">
      <x:c r="A135" s="6" t="str">
        <x:v>resplan-12878</x:v>
      </x:c>
      <x:c r="B135" s="6" t="str">
        <x:v>Residence 12878</x:v>
      </x:c>
      <x:c r="C135" s="6" t="str">
        <x:v>train</x:v>
      </x:c>
      <x:c r="D135" s="6" t="str">
        <x:v>resplan</x:v>
      </x:c>
      <x:c r="E135" s="6" t="str">
        <x:v>CC-BY-4.0</x:v>
      </x:c>
      <x:c r="F135" s="18" t="n">
        <x:v>1</x:v>
      </x:c>
      <x:c r="G135" s="6" t="str">
        <x:v>0</x:v>
      </x:c>
      <x:c r="H135" s="18" t="n">
        <x:v>7</x:v>
      </x:c>
      <x:c r="I135" s="18" t="n">
        <x:v>6</x:v>
      </x:c>
      <x:c r="J135" s="18" t="n">
        <x:v>25</x:v>
      </x:c>
      <x:c r="K135" s="18" t="n">
        <x:v>1</x:v>
      </x:c>
      <x:c r="L135" s="18" t="n">
        <x:v>9</x:v>
      </x:c>
      <x:c r="M135" s="18" t="n">
        <x:v>10</x:v>
      </x:c>
      <x:c r="N135" s="18" t="n">
        <x:v>10</x:v>
      </x:c>
      <x:c r="O135" s="18" t="n">
        <x:v>0</x:v>
      </x:c>
      <x:c r="P135" s="18" t="n">
        <x:v>6</x:v>
      </x:c>
      <x:c r="Q135" s="6" t="str">
        <x:v>count, locate, route, route_step_free, shared_walls_count, tour</x:v>
      </x:c>
      <x:c r="R135" s="21" t="b">
        <x:v>0</x:v>
      </x:c>
      <x:c r="S135" s="21" t="b">
        <x:v>0</x:v>
      </x:c>
      <x:c r="T135" s="6" t="str">
        <x:v>ResPlan, Agour et al., https://github.com/m-agour/ResPlan (CC BY 4.0)</x:v>
      </x:c>
      <x:c r="U135" s="6" t="str">
        <x:v>data/train/resplan-12878/building.json</x:v>
      </x:c>
      <x:c r="V135" s="6" t="str">
        <x:v>https://github.com/hagenhaeussler/Industrial-Agents-Hackathon-2026/blob/f41616590b69f3ea0c1cbfb41d6c35edd9ce53df/data/train/resplan-12878/building.json</x:v>
      </x:c>
    </x:row>
    <x:row r="136" ht="54" customHeight="1">
      <x:c r="A136" s="6" t="str">
        <x:v>resplan-12897</x:v>
      </x:c>
      <x:c r="B136" s="6" t="str">
        <x:v>Residence 12897</x:v>
      </x:c>
      <x:c r="C136" s="6" t="str">
        <x:v>train</x:v>
      </x:c>
      <x:c r="D136" s="6" t="str">
        <x:v>resplan</x:v>
      </x:c>
      <x:c r="E136" s="6" t="str">
        <x:v>CC-BY-4.0</x:v>
      </x:c>
      <x:c r="F136" s="18" t="n">
        <x:v>1</x:v>
      </x:c>
      <x:c r="G136" s="6" t="str">
        <x:v>0</x:v>
      </x:c>
      <x:c r="H136" s="18" t="n">
        <x:v>7</x:v>
      </x:c>
      <x:c r="I136" s="18" t="n">
        <x:v>6</x:v>
      </x:c>
      <x:c r="J136" s="18" t="n">
        <x:v>23</x:v>
      </x:c>
      <x:c r="K136" s="18" t="n">
        <x:v>0</x:v>
      </x:c>
      <x:c r="L136" s="18" t="n">
        <x:v>9</x:v>
      </x:c>
      <x:c r="M136" s="18" t="n">
        <x:v>9</x:v>
      </x:c>
      <x:c r="N136" s="18" t="n">
        <x:v>9</x:v>
      </x:c>
      <x:c r="O136" s="18" t="n">
        <x:v>0</x:v>
      </x:c>
      <x:c r="P136" s="18" t="n">
        <x:v>5</x:v>
      </x:c>
      <x:c r="Q136" s="6" t="str">
        <x:v>count, locate, route, route_step_free, tour</x:v>
      </x:c>
      <x:c r="R136" s="21" t="b">
        <x:v>0</x:v>
      </x:c>
      <x:c r="S136" s="21" t="b">
        <x:v>0</x:v>
      </x:c>
      <x:c r="T136" s="6" t="str">
        <x:v>ResPlan, Agour et al., https://github.com/m-agour/ResPlan (CC BY 4.0)</x:v>
      </x:c>
      <x:c r="U136" s="6" t="str">
        <x:v>data/train/resplan-12897/building.json</x:v>
      </x:c>
      <x:c r="V136" s="6" t="str">
        <x:v>https://github.com/hagenhaeussler/Industrial-Agents-Hackathon-2026/blob/f41616590b69f3ea0c1cbfb41d6c35edd9ce53df/data/train/resplan-12897/building.json</x:v>
      </x:c>
    </x:row>
    <x:row r="137" ht="54" customHeight="1">
      <x:c r="A137" s="6" t="str">
        <x:v>resplan-12985</x:v>
      </x:c>
      <x:c r="B137" s="6" t="str">
        <x:v>Residence 12985</x:v>
      </x:c>
      <x:c r="C137" s="6" t="str">
        <x:v>train</x:v>
      </x:c>
      <x:c r="D137" s="6" t="str">
        <x:v>resplan</x:v>
      </x:c>
      <x:c r="E137" s="6" t="str">
        <x:v>CC-BY-4.0</x:v>
      </x:c>
      <x:c r="F137" s="18" t="n">
        <x:v>1</x:v>
      </x:c>
      <x:c r="G137" s="6" t="str">
        <x:v>0</x:v>
      </x:c>
      <x:c r="H137" s="18" t="n">
        <x:v>13</x:v>
      </x:c>
      <x:c r="I137" s="18" t="n">
        <x:v>10</x:v>
      </x:c>
      <x:c r="J137" s="18" t="n">
        <x:v>39</x:v>
      </x:c>
      <x:c r="K137" s="18" t="n">
        <x:v>4</x:v>
      </x:c>
      <x:c r="L137" s="18" t="n">
        <x:v>9</x:v>
      </x:c>
      <x:c r="M137" s="18" t="n">
        <x:v>13</x:v>
      </x:c>
      <x:c r="N137" s="18" t="n">
        <x:v>13</x:v>
      </x:c>
      <x:c r="O137" s="18" t="n">
        <x:v>0</x:v>
      </x:c>
      <x:c r="P137" s="18" t="n">
        <x:v>9</x:v>
      </x:c>
      <x:c r="Q137" s="6" t="str">
        <x:v>count, errand, floor_area_total, largest_room, locate, route, route_step_free, shared_walls_count, tour</x:v>
      </x:c>
      <x:c r="R137" s="21" t="b">
        <x:v>0</x:v>
      </x:c>
      <x:c r="S137" s="21" t="b">
        <x:v>0</x:v>
      </x:c>
      <x:c r="T137" s="6" t="str">
        <x:v>ResPlan, Agour et al., https://github.com/m-agour/ResPlan (CC BY 4.0)</x:v>
      </x:c>
      <x:c r="U137" s="6" t="str">
        <x:v>data/train/resplan-12985/building.json</x:v>
      </x:c>
      <x:c r="V137" s="6" t="str">
        <x:v>https://github.com/hagenhaeussler/Industrial-Agents-Hackathon-2026/blob/f41616590b69f3ea0c1cbfb41d6c35edd9ce53df/data/train/resplan-12985/building.json</x:v>
      </x:c>
    </x:row>
    <x:row r="138" ht="54" customHeight="1">
      <x:c r="A138" s="6" t="str">
        <x:v>resplan-13024</x:v>
      </x:c>
      <x:c r="B138" s="6" t="str">
        <x:v>Residence 13024</x:v>
      </x:c>
      <x:c r="C138" s="6" t="str">
        <x:v>train</x:v>
      </x:c>
      <x:c r="D138" s="6" t="str">
        <x:v>resplan</x:v>
      </x:c>
      <x:c r="E138" s="6" t="str">
        <x:v>CC-BY-4.0</x:v>
      </x:c>
      <x:c r="F138" s="18" t="n">
        <x:v>1</x:v>
      </x:c>
      <x:c r="G138" s="6" t="str">
        <x:v>0</x:v>
      </x:c>
      <x:c r="H138" s="18" t="n">
        <x:v>8</x:v>
      </x:c>
      <x:c r="I138" s="18" t="n">
        <x:v>7</x:v>
      </x:c>
      <x:c r="J138" s="18" t="n">
        <x:v>31</x:v>
      </x:c>
      <x:c r="K138" s="18" t="n">
        <x:v>4</x:v>
      </x:c>
      <x:c r="L138" s="18" t="n">
        <x:v>9</x:v>
      </x:c>
      <x:c r="M138" s="18" t="n">
        <x:v>13</x:v>
      </x:c>
      <x:c r="N138" s="18" t="n">
        <x:v>13</x:v>
      </x:c>
      <x:c r="O138" s="18" t="n">
        <x:v>0</x:v>
      </x:c>
      <x:c r="P138" s="18" t="n">
        <x:v>9</x:v>
      </x:c>
      <x:c r="Q138" s="6" t="str">
        <x:v>count, errand, floor_area_total, largest_room, locate, route, route_step_free, shared_walls_count, tour</x:v>
      </x:c>
      <x:c r="R138" s="21" t="b">
        <x:v>0</x:v>
      </x:c>
      <x:c r="S138" s="21" t="b">
        <x:v>0</x:v>
      </x:c>
      <x:c r="T138" s="6" t="str">
        <x:v>ResPlan, Agour et al., https://github.com/m-agour/ResPlan (CC BY 4.0)</x:v>
      </x:c>
      <x:c r="U138" s="6" t="str">
        <x:v>data/train/resplan-13024/building.json</x:v>
      </x:c>
      <x:c r="V138" s="6" t="str">
        <x:v>https://github.com/hagenhaeussler/Industrial-Agents-Hackathon-2026/blob/f41616590b69f3ea0c1cbfb41d6c35edd9ce53df/data/train/resplan-13024/building.json</x:v>
      </x:c>
    </x:row>
    <x:row r="139" ht="54" customHeight="1">
      <x:c r="A139" s="6" t="str">
        <x:v>resplan-13846</x:v>
      </x:c>
      <x:c r="B139" s="6" t="str">
        <x:v>Residence 13846</x:v>
      </x:c>
      <x:c r="C139" s="6" t="str">
        <x:v>train</x:v>
      </x:c>
      <x:c r="D139" s="6" t="str">
        <x:v>resplan</x:v>
      </x:c>
      <x:c r="E139" s="6" t="str">
        <x:v>CC-BY-4.0</x:v>
      </x:c>
      <x:c r="F139" s="18" t="n">
        <x:v>1</x:v>
      </x:c>
      <x:c r="G139" s="6" t="str">
        <x:v>0</x:v>
      </x:c>
      <x:c r="H139" s="18" t="n">
        <x:v>11</x:v>
      </x:c>
      <x:c r="I139" s="18" t="n">
        <x:v>8</x:v>
      </x:c>
      <x:c r="J139" s="18" t="n">
        <x:v>32</x:v>
      </x:c>
      <x:c r="K139" s="18" t="n">
        <x:v>3</x:v>
      </x:c>
      <x:c r="L139" s="18" t="n">
        <x:v>9</x:v>
      </x:c>
      <x:c r="M139" s="18" t="n">
        <x:v>12</x:v>
      </x:c>
      <x:c r="N139" s="18" t="n">
        <x:v>12</x:v>
      </x:c>
      <x:c r="O139" s="18" t="n">
        <x:v>0</x:v>
      </x:c>
      <x:c r="P139" s="18" t="n">
        <x:v>8</x:v>
      </x:c>
      <x:c r="Q139" s="6" t="str">
        <x:v>count, floor_area_total, locate, route, route_step_free, shared_walls_count, tour, wide_delivery_count</x:v>
      </x:c>
      <x:c r="R139" s="21" t="b">
        <x:v>0</x:v>
      </x:c>
      <x:c r="S139" s="21" t="b">
        <x:v>0</x:v>
      </x:c>
      <x:c r="T139" s="6" t="str">
        <x:v>ResPlan, Agour et al., https://github.com/m-agour/ResPlan (CC BY 4.0)</x:v>
      </x:c>
      <x:c r="U139" s="6" t="str">
        <x:v>data/train/resplan-13846/building.json</x:v>
      </x:c>
      <x:c r="V139" s="6" t="str">
        <x:v>https://github.com/hagenhaeussler/Industrial-Agents-Hackathon-2026/blob/f41616590b69f3ea0c1cbfb41d6c35edd9ce53df/data/train/resplan-13846/building.json</x:v>
      </x:c>
    </x:row>
    <x:row r="140" ht="54" customHeight="1">
      <x:c r="A140" s="6" t="str">
        <x:v>resplan-14012</x:v>
      </x:c>
      <x:c r="B140" s="6" t="str">
        <x:v>Residence 14012</x:v>
      </x:c>
      <x:c r="C140" s="6" t="str">
        <x:v>train</x:v>
      </x:c>
      <x:c r="D140" s="6" t="str">
        <x:v>resplan</x:v>
      </x:c>
      <x:c r="E140" s="6" t="str">
        <x:v>CC-BY-4.0</x:v>
      </x:c>
      <x:c r="F140" s="18" t="n">
        <x:v>1</x:v>
      </x:c>
      <x:c r="G140" s="6" t="str">
        <x:v>0</x:v>
      </x:c>
      <x:c r="H140" s="18" t="n">
        <x:v>5</x:v>
      </x:c>
      <x:c r="I140" s="18" t="n">
        <x:v>5</x:v>
      </x:c>
      <x:c r="J140" s="18" t="n">
        <x:v>19</x:v>
      </x:c>
      <x:c r="K140" s="18" t="n">
        <x:v>0</x:v>
      </x:c>
      <x:c r="L140" s="18" t="n">
        <x:v>9</x:v>
      </x:c>
      <x:c r="M140" s="18" t="n">
        <x:v>9</x:v>
      </x:c>
      <x:c r="N140" s="18" t="n">
        <x:v>9</x:v>
      </x:c>
      <x:c r="O140" s="18" t="n">
        <x:v>0</x:v>
      </x:c>
      <x:c r="P140" s="18" t="n">
        <x:v>5</x:v>
      </x:c>
      <x:c r="Q140" s="6" t="str">
        <x:v>count, locate, route, route_step_free, tour</x:v>
      </x:c>
      <x:c r="R140" s="21" t="b">
        <x:v>0</x:v>
      </x:c>
      <x:c r="S140" s="21" t="b">
        <x:v>0</x:v>
      </x:c>
      <x:c r="T140" s="6" t="str">
        <x:v>ResPlan, Agour et al., https://github.com/m-agour/ResPlan (CC BY 4.0)</x:v>
      </x:c>
      <x:c r="U140" s="6" t="str">
        <x:v>data/train/resplan-14012/building.json</x:v>
      </x:c>
      <x:c r="V140" s="6" t="str">
        <x:v>https://github.com/hagenhaeussler/Industrial-Agents-Hackathon-2026/blob/f41616590b69f3ea0c1cbfb41d6c35edd9ce53df/data/train/resplan-14012/building.json</x:v>
      </x:c>
    </x:row>
    <x:row r="141" ht="54" customHeight="1">
      <x:c r="A141" s="6" t="str">
        <x:v>resplan-14211</x:v>
      </x:c>
      <x:c r="B141" s="6" t="str">
        <x:v>Residence 14211</x:v>
      </x:c>
      <x:c r="C141" s="6" t="str">
        <x:v>train</x:v>
      </x:c>
      <x:c r="D141" s="6" t="str">
        <x:v>resplan</x:v>
      </x:c>
      <x:c r="E141" s="6" t="str">
        <x:v>CC-BY-4.0</x:v>
      </x:c>
      <x:c r="F141" s="18" t="n">
        <x:v>1</x:v>
      </x:c>
      <x:c r="G141" s="6" t="str">
        <x:v>0</x:v>
      </x:c>
      <x:c r="H141" s="18" t="n">
        <x:v>7</x:v>
      </x:c>
      <x:c r="I141" s="18" t="n">
        <x:v>6</x:v>
      </x:c>
      <x:c r="J141" s="18" t="n">
        <x:v>25</x:v>
      </x:c>
      <x:c r="K141" s="18" t="n">
        <x:v>2</x:v>
      </x:c>
      <x:c r="L141" s="18" t="n">
        <x:v>9</x:v>
      </x:c>
      <x:c r="M141" s="18" t="n">
        <x:v>11</x:v>
      </x:c>
      <x:c r="N141" s="18" t="n">
        <x:v>11</x:v>
      </x:c>
      <x:c r="O141" s="18" t="n">
        <x:v>0</x:v>
      </x:c>
      <x:c r="P141" s="18" t="n">
        <x:v>7</x:v>
      </x:c>
      <x:c r="Q141" s="6" t="str">
        <x:v>count, locate, route, route_step_free, shared_walls_count, tour, wide_delivery_count</x:v>
      </x:c>
      <x:c r="R141" s="21" t="b">
        <x:v>0</x:v>
      </x:c>
      <x:c r="S141" s="21" t="b">
        <x:v>0</x:v>
      </x:c>
      <x:c r="T141" s="6" t="str">
        <x:v>ResPlan, Agour et al., https://github.com/m-agour/ResPlan (CC BY 4.0)</x:v>
      </x:c>
      <x:c r="U141" s="6" t="str">
        <x:v>data/train/resplan-14211/building.json</x:v>
      </x:c>
      <x:c r="V141" s="6" t="str">
        <x:v>https://github.com/hagenhaeussler/Industrial-Agents-Hackathon-2026/blob/f41616590b69f3ea0c1cbfb41d6c35edd9ce53df/data/train/resplan-14211/building.json</x:v>
      </x:c>
    </x:row>
    <x:row r="142" ht="54" customHeight="1">
      <x:c r="A142" s="6" t="str">
        <x:v>resplan-14407</x:v>
      </x:c>
      <x:c r="B142" s="6" t="str">
        <x:v>Residence 14407</x:v>
      </x:c>
      <x:c r="C142" s="6" t="str">
        <x:v>train</x:v>
      </x:c>
      <x:c r="D142" s="6" t="str">
        <x:v>resplan</x:v>
      </x:c>
      <x:c r="E142" s="6" t="str">
        <x:v>CC-BY-4.0</x:v>
      </x:c>
      <x:c r="F142" s="18" t="n">
        <x:v>1</x:v>
      </x:c>
      <x:c r="G142" s="6" t="str">
        <x:v>0</x:v>
      </x:c>
      <x:c r="H142" s="18" t="n">
        <x:v>12</x:v>
      </x:c>
      <x:c r="I142" s="18" t="n">
        <x:v>8</x:v>
      </x:c>
      <x:c r="J142" s="18" t="n">
        <x:v>41</x:v>
      </x:c>
      <x:c r="K142" s="18" t="n">
        <x:v>2</x:v>
      </x:c>
      <x:c r="L142" s="18" t="n">
        <x:v>9</x:v>
      </x:c>
      <x:c r="M142" s="18" t="n">
        <x:v>11</x:v>
      </x:c>
      <x:c r="N142" s="18" t="n">
        <x:v>11</x:v>
      </x:c>
      <x:c r="O142" s="18" t="n">
        <x:v>0</x:v>
      </x:c>
      <x:c r="P142" s="18" t="n">
        <x:v>7</x:v>
      </x:c>
      <x:c r="Q142" s="6" t="str">
        <x:v>count, floor_area_total, locate, route, route_step_free, shared_walls_count, tour</x:v>
      </x:c>
      <x:c r="R142" s="21" t="b">
        <x:v>0</x:v>
      </x:c>
      <x:c r="S142" s="21" t="b">
        <x:v>0</x:v>
      </x:c>
      <x:c r="T142" s="6" t="str">
        <x:v>ResPlan, Agour et al., https://github.com/m-agour/ResPlan (CC BY 4.0)</x:v>
      </x:c>
      <x:c r="U142" s="6" t="str">
        <x:v>data/train/resplan-14407/building.json</x:v>
      </x:c>
      <x:c r="V142" s="6" t="str">
        <x:v>https://github.com/hagenhaeussler/Industrial-Agents-Hackathon-2026/blob/f41616590b69f3ea0c1cbfb41d6c35edd9ce53df/data/train/resplan-14407/building.json</x:v>
      </x:c>
    </x:row>
    <x:row r="143" ht="54" customHeight="1">
      <x:c r="A143" s="6" t="str">
        <x:v>resplan-14602</x:v>
      </x:c>
      <x:c r="B143" s="6" t="str">
        <x:v>Residence 14602</x:v>
      </x:c>
      <x:c r="C143" s="6" t="str">
        <x:v>train</x:v>
      </x:c>
      <x:c r="D143" s="6" t="str">
        <x:v>resplan</x:v>
      </x:c>
      <x:c r="E143" s="6" t="str">
        <x:v>CC-BY-4.0</x:v>
      </x:c>
      <x:c r="F143" s="18" t="n">
        <x:v>1</x:v>
      </x:c>
      <x:c r="G143" s="6" t="str">
        <x:v>0</x:v>
      </x:c>
      <x:c r="H143" s="18" t="n">
        <x:v>9</x:v>
      </x:c>
      <x:c r="I143" s="18" t="n">
        <x:v>7</x:v>
      </x:c>
      <x:c r="J143" s="18" t="n">
        <x:v>30</x:v>
      </x:c>
      <x:c r="K143" s="18" t="n">
        <x:v>5</x:v>
      </x:c>
      <x:c r="L143" s="18" t="n">
        <x:v>9</x:v>
      </x:c>
      <x:c r="M143" s="18" t="n">
        <x:v>14</x:v>
      </x:c>
      <x:c r="N143" s="18" t="n">
        <x:v>14</x:v>
      </x:c>
      <x:c r="O143" s="18" t="n">
        <x:v>0</x:v>
      </x:c>
      <x:c r="P143" s="18" t="n">
        <x:v>10</x:v>
      </x:c>
      <x:c r="Q143" s="6" t="str">
        <x:v>count, errand, floor_area_total, largest_room, locate, route, route_step_free, shared_walls_count, tour, wide_delivery_count</x:v>
      </x:c>
      <x:c r="R143" s="21" t="b">
        <x:v>0</x:v>
      </x:c>
      <x:c r="S143" s="21" t="b">
        <x:v>0</x:v>
      </x:c>
      <x:c r="T143" s="6" t="str">
        <x:v>ResPlan, Agour et al., https://github.com/m-agour/ResPlan (CC BY 4.0)</x:v>
      </x:c>
      <x:c r="U143" s="6" t="str">
        <x:v>data/train/resplan-14602/building.json</x:v>
      </x:c>
      <x:c r="V143" s="6" t="str">
        <x:v>https://github.com/hagenhaeussler/Industrial-Agents-Hackathon-2026/blob/f41616590b69f3ea0c1cbfb41d6c35edd9ce53df/data/train/resplan-14602/building.json</x:v>
      </x:c>
    </x:row>
    <x:row r="144" ht="54" customHeight="1">
      <x:c r="A144" s="6" t="str">
        <x:v>resplan-15074</x:v>
      </x:c>
      <x:c r="B144" s="6" t="str">
        <x:v>Residence 15074</x:v>
      </x:c>
      <x:c r="C144" s="6" t="str">
        <x:v>train</x:v>
      </x:c>
      <x:c r="D144" s="6" t="str">
        <x:v>resplan</x:v>
      </x:c>
      <x:c r="E144" s="6" t="str">
        <x:v>CC-BY-4.0</x:v>
      </x:c>
      <x:c r="F144" s="18" t="n">
        <x:v>1</x:v>
      </x:c>
      <x:c r="G144" s="6" t="str">
        <x:v>0</x:v>
      </x:c>
      <x:c r="H144" s="18" t="n">
        <x:v>8</x:v>
      </x:c>
      <x:c r="I144" s="18" t="n">
        <x:v>7</x:v>
      </x:c>
      <x:c r="J144" s="18" t="n">
        <x:v>29</x:v>
      </x:c>
      <x:c r="K144" s="18" t="n">
        <x:v>2</x:v>
      </x:c>
      <x:c r="L144" s="18" t="n">
        <x:v>9</x:v>
      </x:c>
      <x:c r="M144" s="18" t="n">
        <x:v>11</x:v>
      </x:c>
      <x:c r="N144" s="18" t="n">
        <x:v>11</x:v>
      </x:c>
      <x:c r="O144" s="18" t="n">
        <x:v>0</x:v>
      </x:c>
      <x:c r="P144" s="18" t="n">
        <x:v>7</x:v>
      </x:c>
      <x:c r="Q144" s="6" t="str">
        <x:v>count, floor_area_total, locate, route, route_step_free, shared_walls_count, tour</x:v>
      </x:c>
      <x:c r="R144" s="21" t="b">
        <x:v>0</x:v>
      </x:c>
      <x:c r="S144" s="21" t="b">
        <x:v>0</x:v>
      </x:c>
      <x:c r="T144" s="6" t="str">
        <x:v>ResPlan, Agour et al., https://github.com/m-agour/ResPlan (CC BY 4.0)</x:v>
      </x:c>
      <x:c r="U144" s="6" t="str">
        <x:v>data/train/resplan-15074/building.json</x:v>
      </x:c>
      <x:c r="V144" s="6" t="str">
        <x:v>https://github.com/hagenhaeussler/Industrial-Agents-Hackathon-2026/blob/f41616590b69f3ea0c1cbfb41d6c35edd9ce53df/data/train/resplan-15074/building.json</x:v>
      </x:c>
    </x:row>
    <x:row r="145" ht="54" customHeight="1">
      <x:c r="A145" s="6" t="str">
        <x:v>resplan-15183</x:v>
      </x:c>
      <x:c r="B145" s="6" t="str">
        <x:v>Residence 15183</x:v>
      </x:c>
      <x:c r="C145" s="6" t="str">
        <x:v>train</x:v>
      </x:c>
      <x:c r="D145" s="6" t="str">
        <x:v>resplan</x:v>
      </x:c>
      <x:c r="E145" s="6" t="str">
        <x:v>CC-BY-4.0</x:v>
      </x:c>
      <x:c r="F145" s="18" t="n">
        <x:v>1</x:v>
      </x:c>
      <x:c r="G145" s="6" t="str">
        <x:v>0</x:v>
      </x:c>
      <x:c r="H145" s="18" t="n">
        <x:v>7</x:v>
      </x:c>
      <x:c r="I145" s="18" t="n">
        <x:v>6</x:v>
      </x:c>
      <x:c r="J145" s="18" t="n">
        <x:v>29</x:v>
      </x:c>
      <x:c r="K145" s="18" t="n">
        <x:v>2</x:v>
      </x:c>
      <x:c r="L145" s="18" t="n">
        <x:v>9</x:v>
      </x:c>
      <x:c r="M145" s="18" t="n">
        <x:v>11</x:v>
      </x:c>
      <x:c r="N145" s="18" t="n">
        <x:v>11</x:v>
      </x:c>
      <x:c r="O145" s="18" t="n">
        <x:v>0</x:v>
      </x:c>
      <x:c r="P145" s="18" t="n">
        <x:v>7</x:v>
      </x:c>
      <x:c r="Q145" s="6" t="str">
        <x:v>count, locate, route, route_step_free, shared_walls_count, tour, wide_delivery_count</x:v>
      </x:c>
      <x:c r="R145" s="21" t="b">
        <x:v>0</x:v>
      </x:c>
      <x:c r="S145" s="21" t="b">
        <x:v>0</x:v>
      </x:c>
      <x:c r="T145" s="6" t="str">
        <x:v>ResPlan, Agour et al., https://github.com/m-agour/ResPlan (CC BY 4.0)</x:v>
      </x:c>
      <x:c r="U145" s="6" t="str">
        <x:v>data/train/resplan-15183/building.json</x:v>
      </x:c>
      <x:c r="V145" s="6" t="str">
        <x:v>https://github.com/hagenhaeussler/Industrial-Agents-Hackathon-2026/blob/f41616590b69f3ea0c1cbfb41d6c35edd9ce53df/data/train/resplan-15183/building.json</x:v>
      </x:c>
    </x:row>
    <x:row r="146" ht="54" customHeight="1">
      <x:c r="A146" s="6" t="str">
        <x:v>resplan-15550</x:v>
      </x:c>
      <x:c r="B146" s="6" t="str">
        <x:v>Residence 15550</x:v>
      </x:c>
      <x:c r="C146" s="6" t="str">
        <x:v>train</x:v>
      </x:c>
      <x:c r="D146" s="6" t="str">
        <x:v>resplan</x:v>
      </x:c>
      <x:c r="E146" s="6" t="str">
        <x:v>CC-BY-4.0</x:v>
      </x:c>
      <x:c r="F146" s="18" t="n">
        <x:v>1</x:v>
      </x:c>
      <x:c r="G146" s="6" t="str">
        <x:v>0</x:v>
      </x:c>
      <x:c r="H146" s="18" t="n">
        <x:v>7</x:v>
      </x:c>
      <x:c r="I146" s="18" t="n">
        <x:v>6</x:v>
      </x:c>
      <x:c r="J146" s="18" t="n">
        <x:v>25</x:v>
      </x:c>
      <x:c r="K146" s="18" t="n">
        <x:v>1</x:v>
      </x:c>
      <x:c r="L146" s="18" t="n">
        <x:v>9</x:v>
      </x:c>
      <x:c r="M146" s="18" t="n">
        <x:v>10</x:v>
      </x:c>
      <x:c r="N146" s="18" t="n">
        <x:v>10</x:v>
      </x:c>
      <x:c r="O146" s="18" t="n">
        <x:v>0</x:v>
      </x:c>
      <x:c r="P146" s="18" t="n">
        <x:v>6</x:v>
      </x:c>
      <x:c r="Q146" s="6" t="str">
        <x:v>count, locate, route, route_step_free, shared_walls_count, tour</x:v>
      </x:c>
      <x:c r="R146" s="21" t="b">
        <x:v>0</x:v>
      </x:c>
      <x:c r="S146" s="21" t="b">
        <x:v>0</x:v>
      </x:c>
      <x:c r="T146" s="6" t="str">
        <x:v>ResPlan, Agour et al., https://github.com/m-agour/ResPlan (CC BY 4.0)</x:v>
      </x:c>
      <x:c r="U146" s="6" t="str">
        <x:v>data/train/resplan-15550/building.json</x:v>
      </x:c>
      <x:c r="V146" s="6" t="str">
        <x:v>https://github.com/hagenhaeussler/Industrial-Agents-Hackathon-2026/blob/f41616590b69f3ea0c1cbfb41d6c35edd9ce53df/data/train/resplan-15550/building.json</x:v>
      </x:c>
    </x:row>
    <x:row r="147" ht="54" customHeight="1">
      <x:c r="A147" s="6" t="str">
        <x:v>resplan-15793</x:v>
      </x:c>
      <x:c r="B147" s="6" t="str">
        <x:v>Residence 15793</x:v>
      </x:c>
      <x:c r="C147" s="6" t="str">
        <x:v>train</x:v>
      </x:c>
      <x:c r="D147" s="6" t="str">
        <x:v>resplan</x:v>
      </x:c>
      <x:c r="E147" s="6" t="str">
        <x:v>CC-BY-4.0</x:v>
      </x:c>
      <x:c r="F147" s="18" t="n">
        <x:v>1</x:v>
      </x:c>
      <x:c r="G147" s="6" t="str">
        <x:v>0</x:v>
      </x:c>
      <x:c r="H147" s="18" t="n">
        <x:v>7</x:v>
      </x:c>
      <x:c r="I147" s="18" t="n">
        <x:v>6</x:v>
      </x:c>
      <x:c r="J147" s="18" t="n">
        <x:v>30</x:v>
      </x:c>
      <x:c r="K147" s="18" t="n">
        <x:v>1</x:v>
      </x:c>
      <x:c r="L147" s="18" t="n">
        <x:v>9</x:v>
      </x:c>
      <x:c r="M147" s="18" t="n">
        <x:v>10</x:v>
      </x:c>
      <x:c r="N147" s="18" t="n">
        <x:v>10</x:v>
      </x:c>
      <x:c r="O147" s="18" t="n">
        <x:v>0</x:v>
      </x:c>
      <x:c r="P147" s="18" t="n">
        <x:v>6</x:v>
      </x:c>
      <x:c r="Q147" s="6" t="str">
        <x:v>count, locate, route, route_step_free, shared_walls_count, tour</x:v>
      </x:c>
      <x:c r="R147" s="21" t="b">
        <x:v>0</x:v>
      </x:c>
      <x:c r="S147" s="21" t="b">
        <x:v>0</x:v>
      </x:c>
      <x:c r="T147" s="6" t="str">
        <x:v>ResPlan, Agour et al., https://github.com/m-agour/ResPlan (CC BY 4.0)</x:v>
      </x:c>
      <x:c r="U147" s="6" t="str">
        <x:v>data/train/resplan-15793/building.json</x:v>
      </x:c>
      <x:c r="V147" s="6" t="str">
        <x:v>https://github.com/hagenhaeussler/Industrial-Agents-Hackathon-2026/blob/f41616590b69f3ea0c1cbfb41d6c35edd9ce53df/data/train/resplan-15793/building.json</x:v>
      </x:c>
    </x:row>
    <x:row r="148" ht="54" customHeight="1">
      <x:c r="A148" s="6" t="str">
        <x:v>resplan-16021</x:v>
      </x:c>
      <x:c r="B148" s="6" t="str">
        <x:v>Residence 16021</x:v>
      </x:c>
      <x:c r="C148" s="6" t="str">
        <x:v>train</x:v>
      </x:c>
      <x:c r="D148" s="6" t="str">
        <x:v>resplan</x:v>
      </x:c>
      <x:c r="E148" s="6" t="str">
        <x:v>CC-BY-4.0</x:v>
      </x:c>
      <x:c r="F148" s="18" t="n">
        <x:v>1</x:v>
      </x:c>
      <x:c r="G148" s="6" t="str">
        <x:v>0</x:v>
      </x:c>
      <x:c r="H148" s="18" t="n">
        <x:v>5</x:v>
      </x:c>
      <x:c r="I148" s="18" t="n">
        <x:v>5</x:v>
      </x:c>
      <x:c r="J148" s="18" t="n">
        <x:v>22</x:v>
      </x:c>
      <x:c r="K148" s="18" t="n">
        <x:v>1</x:v>
      </x:c>
      <x:c r="L148" s="18" t="n">
        <x:v>9</x:v>
      </x:c>
      <x:c r="M148" s="18" t="n">
        <x:v>10</x:v>
      </x:c>
      <x:c r="N148" s="18" t="n">
        <x:v>10</x:v>
      </x:c>
      <x:c r="O148" s="18" t="n">
        <x:v>0</x:v>
      </x:c>
      <x:c r="P148" s="18" t="n">
        <x:v>6</x:v>
      </x:c>
      <x:c r="Q148" s="6" t="str">
        <x:v>count, locate, route, route_step_free, tour, wide_delivery_count</x:v>
      </x:c>
      <x:c r="R148" s="21" t="b">
        <x:v>0</x:v>
      </x:c>
      <x:c r="S148" s="21" t="b">
        <x:v>0</x:v>
      </x:c>
      <x:c r="T148" s="6" t="str">
        <x:v>ResPlan, Agour et al., https://github.com/m-agour/ResPlan (CC BY 4.0)</x:v>
      </x:c>
      <x:c r="U148" s="6" t="str">
        <x:v>data/train/resplan-16021/building.json</x:v>
      </x:c>
      <x:c r="V148" s="6" t="str">
        <x:v>https://github.com/hagenhaeussler/Industrial-Agents-Hackathon-2026/blob/f41616590b69f3ea0c1cbfb41d6c35edd9ce53df/data/train/resplan-16021/building.json</x:v>
      </x:c>
    </x:row>
    <x:row r="149" ht="54" customHeight="1">
      <x:c r="A149" s="6" t="str">
        <x:v>resplan-16188</x:v>
      </x:c>
      <x:c r="B149" s="6" t="str">
        <x:v>Residence 16188</x:v>
      </x:c>
      <x:c r="C149" s="6" t="str">
        <x:v>train</x:v>
      </x:c>
      <x:c r="D149" s="6" t="str">
        <x:v>resplan</x:v>
      </x:c>
      <x:c r="E149" s="6" t="str">
        <x:v>CC-BY-4.0</x:v>
      </x:c>
      <x:c r="F149" s="18" t="n">
        <x:v>1</x:v>
      </x:c>
      <x:c r="G149" s="6" t="str">
        <x:v>0</x:v>
      </x:c>
      <x:c r="H149" s="18" t="n">
        <x:v>10</x:v>
      </x:c>
      <x:c r="I149" s="18" t="n">
        <x:v>8</x:v>
      </x:c>
      <x:c r="J149" s="18" t="n">
        <x:v>37</x:v>
      </x:c>
      <x:c r="K149" s="18" t="n">
        <x:v>2</x:v>
      </x:c>
      <x:c r="L149" s="18" t="n">
        <x:v>9</x:v>
      </x:c>
      <x:c r="M149" s="18" t="n">
        <x:v>11</x:v>
      </x:c>
      <x:c r="N149" s="18" t="n">
        <x:v>11</x:v>
      </x:c>
      <x:c r="O149" s="18" t="n">
        <x:v>0</x:v>
      </x:c>
      <x:c r="P149" s="18" t="n">
        <x:v>7</x:v>
      </x:c>
      <x:c r="Q149" s="6" t="str">
        <x:v>count, floor_area_total, locate, route, route_step_free, tour, wide_delivery_count</x:v>
      </x:c>
      <x:c r="R149" s="21" t="b">
        <x:v>0</x:v>
      </x:c>
      <x:c r="S149" s="21" t="b">
        <x:v>0</x:v>
      </x:c>
      <x:c r="T149" s="6" t="str">
        <x:v>ResPlan, Agour et al., https://github.com/m-agour/ResPlan (CC BY 4.0)</x:v>
      </x:c>
      <x:c r="U149" s="6" t="str">
        <x:v>data/train/resplan-16188/building.json</x:v>
      </x:c>
      <x:c r="V149" s="6" t="str">
        <x:v>https://github.com/hagenhaeussler/Industrial-Agents-Hackathon-2026/blob/f41616590b69f3ea0c1cbfb41d6c35edd9ce53df/data/train/resplan-16188/building.json</x:v>
      </x:c>
    </x:row>
    <x:row r="150" ht="54" customHeight="1">
      <x:c r="A150" s="6" t="str">
        <x:v>resplan-16407</x:v>
      </x:c>
      <x:c r="B150" s="6" t="str">
        <x:v>Residence 16407</x:v>
      </x:c>
      <x:c r="C150" s="6" t="str">
        <x:v>train</x:v>
      </x:c>
      <x:c r="D150" s="6" t="str">
        <x:v>resplan</x:v>
      </x:c>
      <x:c r="E150" s="6" t="str">
        <x:v>CC-BY-4.0</x:v>
      </x:c>
      <x:c r="F150" s="18" t="n">
        <x:v>1</x:v>
      </x:c>
      <x:c r="G150" s="6" t="str">
        <x:v>0</x:v>
      </x:c>
      <x:c r="H150" s="18" t="n">
        <x:v>7</x:v>
      </x:c>
      <x:c r="I150" s="18" t="n">
        <x:v>7</x:v>
      </x:c>
      <x:c r="J150" s="18" t="n">
        <x:v>26</x:v>
      </x:c>
      <x:c r="K150" s="18" t="n">
        <x:v>2</x:v>
      </x:c>
      <x:c r="L150" s="18" t="n">
        <x:v>9</x:v>
      </x:c>
      <x:c r="M150" s="18" t="n">
        <x:v>11</x:v>
      </x:c>
      <x:c r="N150" s="18" t="n">
        <x:v>11</x:v>
      </x:c>
      <x:c r="O150" s="18" t="n">
        <x:v>0</x:v>
      </x:c>
      <x:c r="P150" s="18" t="n">
        <x:v>7</x:v>
      </x:c>
      <x:c r="Q150" s="6" t="str">
        <x:v>count, floor_area_total, locate, route, route_step_free, shared_walls_count, tour</x:v>
      </x:c>
      <x:c r="R150" s="21" t="b">
        <x:v>0</x:v>
      </x:c>
      <x:c r="S150" s="21" t="b">
        <x:v>0</x:v>
      </x:c>
      <x:c r="T150" s="6" t="str">
        <x:v>ResPlan, Agour et al., https://github.com/m-agour/ResPlan (CC BY 4.0)</x:v>
      </x:c>
      <x:c r="U150" s="6" t="str">
        <x:v>data/train/resplan-16407/building.json</x:v>
      </x:c>
      <x:c r="V150" s="6" t="str">
        <x:v>https://github.com/hagenhaeussler/Industrial-Agents-Hackathon-2026/blob/f41616590b69f3ea0c1cbfb41d6c35edd9ce53df/data/train/resplan-16407/building.json</x:v>
      </x:c>
    </x:row>
    <x:row r="151" ht="54" customHeight="1">
      <x:c r="A151" s="6" t="str">
        <x:v>resplan-16484</x:v>
      </x:c>
      <x:c r="B151" s="6" t="str">
        <x:v>Residence 16484</x:v>
      </x:c>
      <x:c r="C151" s="6" t="str">
        <x:v>train</x:v>
      </x:c>
      <x:c r="D151" s="6" t="str">
        <x:v>resplan</x:v>
      </x:c>
      <x:c r="E151" s="6" t="str">
        <x:v>CC-BY-4.0</x:v>
      </x:c>
      <x:c r="F151" s="18" t="n">
        <x:v>1</x:v>
      </x:c>
      <x:c r="G151" s="6" t="str">
        <x:v>0</x:v>
      </x:c>
      <x:c r="H151" s="18" t="n">
        <x:v>10</x:v>
      </x:c>
      <x:c r="I151" s="18" t="n">
        <x:v>9</x:v>
      </x:c>
      <x:c r="J151" s="18" t="n">
        <x:v>31</x:v>
      </x:c>
      <x:c r="K151" s="18" t="n">
        <x:v>5</x:v>
      </x:c>
      <x:c r="L151" s="18" t="n">
        <x:v>9</x:v>
      </x:c>
      <x:c r="M151" s="18" t="n">
        <x:v>14</x:v>
      </x:c>
      <x:c r="N151" s="18" t="n">
        <x:v>14</x:v>
      </x:c>
      <x:c r="O151" s="18" t="n">
        <x:v>0</x:v>
      </x:c>
      <x:c r="P151" s="18" t="n">
        <x:v>10</x:v>
      </x:c>
      <x:c r="Q151" s="6" t="str">
        <x:v>count, errand, floor_area_total, largest_room, locate, route, route_step_free, shared_walls_count, tour, wide_delivery_count</x:v>
      </x:c>
      <x:c r="R151" s="21" t="b">
        <x:v>0</x:v>
      </x:c>
      <x:c r="S151" s="21" t="b">
        <x:v>0</x:v>
      </x:c>
      <x:c r="T151" s="6" t="str">
        <x:v>ResPlan, Agour et al., https://github.com/m-agour/ResPlan (CC BY 4.0)</x:v>
      </x:c>
      <x:c r="U151" s="6" t="str">
        <x:v>data/train/resplan-16484/building.json</x:v>
      </x:c>
      <x:c r="V151" s="6" t="str">
        <x:v>https://github.com/hagenhaeussler/Industrial-Agents-Hackathon-2026/blob/f41616590b69f3ea0c1cbfb41d6c35edd9ce53df/data/train/resplan-16484/building.json</x:v>
      </x:c>
    </x:row>
    <x:row r="152" ht="54" customHeight="1">
      <x:c r="A152" s="6" t="str">
        <x:v>resplan-16645</x:v>
      </x:c>
      <x:c r="B152" s="6" t="str">
        <x:v>Residence 16645</x:v>
      </x:c>
      <x:c r="C152" s="6" t="str">
        <x:v>train</x:v>
      </x:c>
      <x:c r="D152" s="6" t="str">
        <x:v>resplan</x:v>
      </x:c>
      <x:c r="E152" s="6" t="str">
        <x:v>CC-BY-4.0</x:v>
      </x:c>
      <x:c r="F152" s="18" t="n">
        <x:v>1</x:v>
      </x:c>
      <x:c r="G152" s="6" t="str">
        <x:v>0</x:v>
      </x:c>
      <x:c r="H152" s="18" t="n">
        <x:v>6</x:v>
      </x:c>
      <x:c r="I152" s="18" t="n">
        <x:v>6</x:v>
      </x:c>
      <x:c r="J152" s="18" t="n">
        <x:v>23</x:v>
      </x:c>
      <x:c r="K152" s="18" t="n">
        <x:v>0</x:v>
      </x:c>
      <x:c r="L152" s="18" t="n">
        <x:v>9</x:v>
      </x:c>
      <x:c r="M152" s="18" t="n">
        <x:v>9</x:v>
      </x:c>
      <x:c r="N152" s="18" t="n">
        <x:v>9</x:v>
      </x:c>
      <x:c r="O152" s="18" t="n">
        <x:v>0</x:v>
      </x:c>
      <x:c r="P152" s="18" t="n">
        <x:v>5</x:v>
      </x:c>
      <x:c r="Q152" s="6" t="str">
        <x:v>count, locate, route, route_step_free, tour</x:v>
      </x:c>
      <x:c r="R152" s="21" t="b">
        <x:v>0</x:v>
      </x:c>
      <x:c r="S152" s="21" t="b">
        <x:v>0</x:v>
      </x:c>
      <x:c r="T152" s="6" t="str">
        <x:v>ResPlan, Agour et al., https://github.com/m-agour/ResPlan (CC BY 4.0)</x:v>
      </x:c>
      <x:c r="U152" s="6" t="str">
        <x:v>data/train/resplan-16645/building.json</x:v>
      </x:c>
      <x:c r="V152" s="6" t="str">
        <x:v>https://github.com/hagenhaeussler/Industrial-Agents-Hackathon-2026/blob/f41616590b69f3ea0c1cbfb41d6c35edd9ce53df/data/train/resplan-16645/building.json</x:v>
      </x:c>
    </x:row>
    <x:row r="153" ht="54" customHeight="1">
      <x:c r="A153" s="6" t="str">
        <x:v>resplan-16778</x:v>
      </x:c>
      <x:c r="B153" s="6" t="str">
        <x:v>Residence 16778</x:v>
      </x:c>
      <x:c r="C153" s="6" t="str">
        <x:v>train</x:v>
      </x:c>
      <x:c r="D153" s="6" t="str">
        <x:v>resplan</x:v>
      </x:c>
      <x:c r="E153" s="6" t="str">
        <x:v>CC-BY-4.0</x:v>
      </x:c>
      <x:c r="F153" s="18" t="n">
        <x:v>1</x:v>
      </x:c>
      <x:c r="G153" s="6" t="str">
        <x:v>0</x:v>
      </x:c>
      <x:c r="H153" s="18" t="n">
        <x:v>8</x:v>
      </x:c>
      <x:c r="I153" s="18" t="n">
        <x:v>7</x:v>
      </x:c>
      <x:c r="J153" s="18" t="n">
        <x:v>30</x:v>
      </x:c>
      <x:c r="K153" s="18" t="n">
        <x:v>4</x:v>
      </x:c>
      <x:c r="L153" s="18" t="n">
        <x:v>9</x:v>
      </x:c>
      <x:c r="M153" s="18" t="n">
        <x:v>13</x:v>
      </x:c>
      <x:c r="N153" s="18" t="n">
        <x:v>13</x:v>
      </x:c>
      <x:c r="O153" s="18" t="n">
        <x:v>0</x:v>
      </x:c>
      <x:c r="P153" s="18" t="n">
        <x:v>9</x:v>
      </x:c>
      <x:c r="Q153" s="6" t="str">
        <x:v>count, floor_area_total, largest_room, locate, route, route_step_free, shared_walls_count, tour, wide_delivery_count</x:v>
      </x:c>
      <x:c r="R153" s="21" t="b">
        <x:v>0</x:v>
      </x:c>
      <x:c r="S153" s="21" t="b">
        <x:v>0</x:v>
      </x:c>
      <x:c r="T153" s="6" t="str">
        <x:v>ResPlan, Agour et al., https://github.com/m-agour/ResPlan (CC BY 4.0)</x:v>
      </x:c>
      <x:c r="U153" s="6" t="str">
        <x:v>data/train/resplan-16778/building.json</x:v>
      </x:c>
      <x:c r="V153" s="6" t="str">
        <x:v>https://github.com/hagenhaeussler/Industrial-Agents-Hackathon-2026/blob/f41616590b69f3ea0c1cbfb41d6c35edd9ce53df/data/train/resplan-16778/building.json</x:v>
      </x:c>
    </x:row>
    <x:row r="154" ht="54" customHeight="1">
      <x:c r="A154" s="6" t="str">
        <x:v>resplan-1702</x:v>
      </x:c>
      <x:c r="B154" s="6" t="str">
        <x:v>Residence 1702</x:v>
      </x:c>
      <x:c r="C154" s="6" t="str">
        <x:v>train</x:v>
      </x:c>
      <x:c r="D154" s="6" t="str">
        <x:v>resplan</x:v>
      </x:c>
      <x:c r="E154" s="6" t="str">
        <x:v>CC-BY-4.0</x:v>
      </x:c>
      <x:c r="F154" s="18" t="n">
        <x:v>1</x:v>
      </x:c>
      <x:c r="G154" s="6" t="str">
        <x:v>0</x:v>
      </x:c>
      <x:c r="H154" s="18" t="n">
        <x:v>8</x:v>
      </x:c>
      <x:c r="I154" s="18" t="n">
        <x:v>6</x:v>
      </x:c>
      <x:c r="J154" s="18" t="n">
        <x:v>25</x:v>
      </x:c>
      <x:c r="K154" s="18" t="n">
        <x:v>1</x:v>
      </x:c>
      <x:c r="L154" s="18" t="n">
        <x:v>9</x:v>
      </x:c>
      <x:c r="M154" s="18" t="n">
        <x:v>10</x:v>
      </x:c>
      <x:c r="N154" s="18" t="n">
        <x:v>10</x:v>
      </x:c>
      <x:c r="O154" s="18" t="n">
        <x:v>0</x:v>
      </x:c>
      <x:c r="P154" s="18" t="n">
        <x:v>6</x:v>
      </x:c>
      <x:c r="Q154" s="6" t="str">
        <x:v>count, locate, route, route_step_free, shared_walls_count, tour</x:v>
      </x:c>
      <x:c r="R154" s="21" t="b">
        <x:v>0</x:v>
      </x:c>
      <x:c r="S154" s="21" t="b">
        <x:v>0</x:v>
      </x:c>
      <x:c r="T154" s="6" t="str">
        <x:v>ResPlan, Agour et al., https://github.com/m-agour/ResPlan (CC BY 4.0)</x:v>
      </x:c>
      <x:c r="U154" s="6" t="str">
        <x:v>data/train/resplan-1702/building.json</x:v>
      </x:c>
      <x:c r="V154" s="6" t="str">
        <x:v>https://github.com/hagenhaeussler/Industrial-Agents-Hackathon-2026/blob/f41616590b69f3ea0c1cbfb41d6c35edd9ce53df/data/train/resplan-1702/building.json</x:v>
      </x:c>
    </x:row>
    <x:row r="155" ht="54" customHeight="1">
      <x:c r="A155" s="6" t="str">
        <x:v>resplan-1804</x:v>
      </x:c>
      <x:c r="B155" s="6" t="str">
        <x:v>Residence 1804</x:v>
      </x:c>
      <x:c r="C155" s="6" t="str">
        <x:v>train</x:v>
      </x:c>
      <x:c r="D155" s="6" t="str">
        <x:v>resplan</x:v>
      </x:c>
      <x:c r="E155" s="6" t="str">
        <x:v>CC-BY-4.0</x:v>
      </x:c>
      <x:c r="F155" s="18" t="n">
        <x:v>1</x:v>
      </x:c>
      <x:c r="G155" s="6" t="str">
        <x:v>0</x:v>
      </x:c>
      <x:c r="H155" s="18" t="n">
        <x:v>7</x:v>
      </x:c>
      <x:c r="I155" s="18" t="n">
        <x:v>6</x:v>
      </x:c>
      <x:c r="J155" s="18" t="n">
        <x:v>23</x:v>
      </x:c>
      <x:c r="K155" s="18" t="n">
        <x:v>1</x:v>
      </x:c>
      <x:c r="L155" s="18" t="n">
        <x:v>9</x:v>
      </x:c>
      <x:c r="M155" s="18" t="n">
        <x:v>10</x:v>
      </x:c>
      <x:c r="N155" s="18" t="n">
        <x:v>10</x:v>
      </x:c>
      <x:c r="O155" s="18" t="n">
        <x:v>0</x:v>
      </x:c>
      <x:c r="P155" s="18" t="n">
        <x:v>6</x:v>
      </x:c>
      <x:c r="Q155" s="6" t="str">
        <x:v>count, locate, route, route_step_free, shared_walls_count, tour</x:v>
      </x:c>
      <x:c r="R155" s="21" t="b">
        <x:v>0</x:v>
      </x:c>
      <x:c r="S155" s="21" t="b">
        <x:v>0</x:v>
      </x:c>
      <x:c r="T155" s="6" t="str">
        <x:v>ResPlan, Agour et al., https://github.com/m-agour/ResPlan (CC BY 4.0)</x:v>
      </x:c>
      <x:c r="U155" s="6" t="str">
        <x:v>data/train/resplan-1804/building.json</x:v>
      </x:c>
      <x:c r="V155" s="6" t="str">
        <x:v>https://github.com/hagenhaeussler/Industrial-Agents-Hackathon-2026/blob/f41616590b69f3ea0c1cbfb41d6c35edd9ce53df/data/train/resplan-1804/building.json</x:v>
      </x:c>
    </x:row>
    <x:row r="156" ht="54" customHeight="1">
      <x:c r="A156" s="6" t="str">
        <x:v>resplan-2100</x:v>
      </x:c>
      <x:c r="B156" s="6" t="str">
        <x:v>Residence 2100</x:v>
      </x:c>
      <x:c r="C156" s="6" t="str">
        <x:v>train</x:v>
      </x:c>
      <x:c r="D156" s="6" t="str">
        <x:v>resplan</x:v>
      </x:c>
      <x:c r="E156" s="6" t="str">
        <x:v>CC-BY-4.0</x:v>
      </x:c>
      <x:c r="F156" s="18" t="n">
        <x:v>1</x:v>
      </x:c>
      <x:c r="G156" s="6" t="str">
        <x:v>0</x:v>
      </x:c>
      <x:c r="H156" s="18" t="n">
        <x:v>10</x:v>
      </x:c>
      <x:c r="I156" s="18" t="n">
        <x:v>8</x:v>
      </x:c>
      <x:c r="J156" s="18" t="n">
        <x:v>35</x:v>
      </x:c>
      <x:c r="K156" s="18" t="n">
        <x:v>3</x:v>
      </x:c>
      <x:c r="L156" s="18" t="n">
        <x:v>9</x:v>
      </x:c>
      <x:c r="M156" s="18" t="n">
        <x:v>12</x:v>
      </x:c>
      <x:c r="N156" s="18" t="n">
        <x:v>12</x:v>
      </x:c>
      <x:c r="O156" s="18" t="n">
        <x:v>0</x:v>
      </x:c>
      <x:c r="P156" s="18" t="n">
        <x:v>8</x:v>
      </x:c>
      <x:c r="Q156" s="6" t="str">
        <x:v>count, floor_area_total, locate, route, route_step_free, shared_walls_count, tour, wide_delivery_count</x:v>
      </x:c>
      <x:c r="R156" s="21" t="b">
        <x:v>0</x:v>
      </x:c>
      <x:c r="S156" s="21" t="b">
        <x:v>0</x:v>
      </x:c>
      <x:c r="T156" s="6" t="str">
        <x:v>ResPlan, Agour et al., https://github.com/m-agour/ResPlan (CC BY 4.0)</x:v>
      </x:c>
      <x:c r="U156" s="6" t="str">
        <x:v>data/train/resplan-2100/building.json</x:v>
      </x:c>
      <x:c r="V156" s="6" t="str">
        <x:v>https://github.com/hagenhaeussler/Industrial-Agents-Hackathon-2026/blob/f41616590b69f3ea0c1cbfb41d6c35edd9ce53df/data/train/resplan-2100/building.json</x:v>
      </x:c>
    </x:row>
    <x:row r="157" ht="54" customHeight="1">
      <x:c r="A157" s="6" t="str">
        <x:v>resplan-2247</x:v>
      </x:c>
      <x:c r="B157" s="6" t="str">
        <x:v>Residence 2247</x:v>
      </x:c>
      <x:c r="C157" s="6" t="str">
        <x:v>train</x:v>
      </x:c>
      <x:c r="D157" s="6" t="str">
        <x:v>resplan</x:v>
      </x:c>
      <x:c r="E157" s="6" t="str">
        <x:v>CC-BY-4.0</x:v>
      </x:c>
      <x:c r="F157" s="18" t="n">
        <x:v>1</x:v>
      </x:c>
      <x:c r="G157" s="6" t="str">
        <x:v>0</x:v>
      </x:c>
      <x:c r="H157" s="18" t="n">
        <x:v>6</x:v>
      </x:c>
      <x:c r="I157" s="18" t="n">
        <x:v>5</x:v>
      </x:c>
      <x:c r="J157" s="18" t="n">
        <x:v>20</x:v>
      </x:c>
      <x:c r="K157" s="18" t="n">
        <x:v>2</x:v>
      </x:c>
      <x:c r="L157" s="18" t="n">
        <x:v>9</x:v>
      </x:c>
      <x:c r="M157" s="18" t="n">
        <x:v>11</x:v>
      </x:c>
      <x:c r="N157" s="18" t="n">
        <x:v>11</x:v>
      </x:c>
      <x:c r="O157" s="18" t="n">
        <x:v>0</x:v>
      </x:c>
      <x:c r="P157" s="18" t="n">
        <x:v>7</x:v>
      </x:c>
      <x:c r="Q157" s="6" t="str">
        <x:v>count, locate, route, route_step_free, shared_walls_count, tour, wide_delivery_count</x:v>
      </x:c>
      <x:c r="R157" s="21" t="b">
        <x:v>0</x:v>
      </x:c>
      <x:c r="S157" s="21" t="b">
        <x:v>0</x:v>
      </x:c>
      <x:c r="T157" s="6" t="str">
        <x:v>ResPlan, Agour et al., https://github.com/m-agour/ResPlan (CC BY 4.0)</x:v>
      </x:c>
      <x:c r="U157" s="6" t="str">
        <x:v>data/train/resplan-2247/building.json</x:v>
      </x:c>
      <x:c r="V157" s="6" t="str">
        <x:v>https://github.com/hagenhaeussler/Industrial-Agents-Hackathon-2026/blob/f41616590b69f3ea0c1cbfb41d6c35edd9ce53df/data/train/resplan-2247/building.json</x:v>
      </x:c>
    </x:row>
    <x:row r="158" ht="54" customHeight="1">
      <x:c r="A158" s="6" t="str">
        <x:v>resplan-2478</x:v>
      </x:c>
      <x:c r="B158" s="6" t="str">
        <x:v>Residence 2478</x:v>
      </x:c>
      <x:c r="C158" s="6" t="str">
        <x:v>train</x:v>
      </x:c>
      <x:c r="D158" s="6" t="str">
        <x:v>resplan</x:v>
      </x:c>
      <x:c r="E158" s="6" t="str">
        <x:v>CC-BY-4.0</x:v>
      </x:c>
      <x:c r="F158" s="18" t="n">
        <x:v>1</x:v>
      </x:c>
      <x:c r="G158" s="6" t="str">
        <x:v>0</x:v>
      </x:c>
      <x:c r="H158" s="18" t="n">
        <x:v>10</x:v>
      </x:c>
      <x:c r="I158" s="18" t="n">
        <x:v>7</x:v>
      </x:c>
      <x:c r="J158" s="18" t="n">
        <x:v>42</x:v>
      </x:c>
      <x:c r="K158" s="18" t="n">
        <x:v>2</x:v>
      </x:c>
      <x:c r="L158" s="18" t="n">
        <x:v>9</x:v>
      </x:c>
      <x:c r="M158" s="18" t="n">
        <x:v>11</x:v>
      </x:c>
      <x:c r="N158" s="18" t="n">
        <x:v>11</x:v>
      </x:c>
      <x:c r="O158" s="18" t="n">
        <x:v>0</x:v>
      </x:c>
      <x:c r="P158" s="18" t="n">
        <x:v>7</x:v>
      </x:c>
      <x:c r="Q158" s="6" t="str">
        <x:v>count, floor_area_total, locate, route, route_step_free, shared_walls_count, tour</x:v>
      </x:c>
      <x:c r="R158" s="21" t="b">
        <x:v>0</x:v>
      </x:c>
      <x:c r="S158" s="21" t="b">
        <x:v>0</x:v>
      </x:c>
      <x:c r="T158" s="6" t="str">
        <x:v>ResPlan, Agour et al., https://github.com/m-agour/ResPlan (CC BY 4.0)</x:v>
      </x:c>
      <x:c r="U158" s="6" t="str">
        <x:v>data/train/resplan-2478/building.json</x:v>
      </x:c>
      <x:c r="V158" s="6" t="str">
        <x:v>https://github.com/hagenhaeussler/Industrial-Agents-Hackathon-2026/blob/f41616590b69f3ea0c1cbfb41d6c35edd9ce53df/data/train/resplan-2478/building.json</x:v>
      </x:c>
    </x:row>
    <x:row r="159" ht="54" customHeight="1">
      <x:c r="A159" s="6" t="str">
        <x:v>resplan-2515</x:v>
      </x:c>
      <x:c r="B159" s="6" t="str">
        <x:v>Residence 2515</x:v>
      </x:c>
      <x:c r="C159" s="6" t="str">
        <x:v>train</x:v>
      </x:c>
      <x:c r="D159" s="6" t="str">
        <x:v>resplan</x:v>
      </x:c>
      <x:c r="E159" s="6" t="str">
        <x:v>CC-BY-4.0</x:v>
      </x:c>
      <x:c r="F159" s="18" t="n">
        <x:v>1</x:v>
      </x:c>
      <x:c r="G159" s="6" t="str">
        <x:v>0</x:v>
      </x:c>
      <x:c r="H159" s="18" t="n">
        <x:v>9</x:v>
      </x:c>
      <x:c r="I159" s="18" t="n">
        <x:v>7</x:v>
      </x:c>
      <x:c r="J159" s="18" t="n">
        <x:v>30</x:v>
      </x:c>
      <x:c r="K159" s="18" t="n">
        <x:v>4</x:v>
      </x:c>
      <x:c r="L159" s="18" t="n">
        <x:v>9</x:v>
      </x:c>
      <x:c r="M159" s="18" t="n">
        <x:v>13</x:v>
      </x:c>
      <x:c r="N159" s="18" t="n">
        <x:v>13</x:v>
      </x:c>
      <x:c r="O159" s="18" t="n">
        <x:v>0</x:v>
      </x:c>
      <x:c r="P159" s="18" t="n">
        <x:v>9</x:v>
      </x:c>
      <x:c r="Q159" s="6" t="str">
        <x:v>count, errand, floor_area_total, largest_room, locate, route, route_step_free, shared_walls_count, tour</x:v>
      </x:c>
      <x:c r="R159" s="21" t="b">
        <x:v>0</x:v>
      </x:c>
      <x:c r="S159" s="21" t="b">
        <x:v>0</x:v>
      </x:c>
      <x:c r="T159" s="6" t="str">
        <x:v>ResPlan, Agour et al., https://github.com/m-agour/ResPlan (CC BY 4.0)</x:v>
      </x:c>
      <x:c r="U159" s="6" t="str">
        <x:v>data/train/resplan-2515/building.json</x:v>
      </x:c>
      <x:c r="V159" s="6" t="str">
        <x:v>https://github.com/hagenhaeussler/Industrial-Agents-Hackathon-2026/blob/f41616590b69f3ea0c1cbfb41d6c35edd9ce53df/data/train/resplan-2515/building.json</x:v>
      </x:c>
    </x:row>
    <x:row r="160" ht="54" customHeight="1">
      <x:c r="A160" s="6" t="str">
        <x:v>resplan-2587</x:v>
      </x:c>
      <x:c r="B160" s="6" t="str">
        <x:v>Residence 2587</x:v>
      </x:c>
      <x:c r="C160" s="6" t="str">
        <x:v>train</x:v>
      </x:c>
      <x:c r="D160" s="6" t="str">
        <x:v>resplan</x:v>
      </x:c>
      <x:c r="E160" s="6" t="str">
        <x:v>CC-BY-4.0</x:v>
      </x:c>
      <x:c r="F160" s="18" t="n">
        <x:v>1</x:v>
      </x:c>
      <x:c r="G160" s="6" t="str">
        <x:v>0</x:v>
      </x:c>
      <x:c r="H160" s="18" t="n">
        <x:v>8</x:v>
      </x:c>
      <x:c r="I160" s="18" t="n">
        <x:v>6</x:v>
      </x:c>
      <x:c r="J160" s="18" t="n">
        <x:v>29</x:v>
      </x:c>
      <x:c r="K160" s="18" t="n">
        <x:v>1</x:v>
      </x:c>
      <x:c r="L160" s="18" t="n">
        <x:v>9</x:v>
      </x:c>
      <x:c r="M160" s="18" t="n">
        <x:v>10</x:v>
      </x:c>
      <x:c r="N160" s="18" t="n">
        <x:v>10</x:v>
      </x:c>
      <x:c r="O160" s="18" t="n">
        <x:v>0</x:v>
      </x:c>
      <x:c r="P160" s="18" t="n">
        <x:v>6</x:v>
      </x:c>
      <x:c r="Q160" s="6" t="str">
        <x:v>count, locate, route, route_step_free, shared_walls_count, tour</x:v>
      </x:c>
      <x:c r="R160" s="21" t="b">
        <x:v>0</x:v>
      </x:c>
      <x:c r="S160" s="21" t="b">
        <x:v>0</x:v>
      </x:c>
      <x:c r="T160" s="6" t="str">
        <x:v>ResPlan, Agour et al., https://github.com/m-agour/ResPlan (CC BY 4.0)</x:v>
      </x:c>
      <x:c r="U160" s="6" t="str">
        <x:v>data/train/resplan-2587/building.json</x:v>
      </x:c>
      <x:c r="V160" s="6" t="str">
        <x:v>https://github.com/hagenhaeussler/Industrial-Agents-Hackathon-2026/blob/f41616590b69f3ea0c1cbfb41d6c35edd9ce53df/data/train/resplan-2587/building.json</x:v>
      </x:c>
    </x:row>
    <x:row r="161" ht="54" customHeight="1">
      <x:c r="A161" s="6" t="str">
        <x:v>resplan-3207</x:v>
      </x:c>
      <x:c r="B161" s="6" t="str">
        <x:v>Residence 3207</x:v>
      </x:c>
      <x:c r="C161" s="6" t="str">
        <x:v>train</x:v>
      </x:c>
      <x:c r="D161" s="6" t="str">
        <x:v>resplan</x:v>
      </x:c>
      <x:c r="E161" s="6" t="str">
        <x:v>CC-BY-4.0</x:v>
      </x:c>
      <x:c r="F161" s="18" t="n">
        <x:v>1</x:v>
      </x:c>
      <x:c r="G161" s="6" t="str">
        <x:v>0</x:v>
      </x:c>
      <x:c r="H161" s="18" t="n">
        <x:v>10</x:v>
      </x:c>
      <x:c r="I161" s="18" t="n">
        <x:v>9</x:v>
      </x:c>
      <x:c r="J161" s="18" t="n">
        <x:v>34</x:v>
      </x:c>
      <x:c r="K161" s="18" t="n">
        <x:v>3</x:v>
      </x:c>
      <x:c r="L161" s="18" t="n">
        <x:v>9</x:v>
      </x:c>
      <x:c r="M161" s="18" t="n">
        <x:v>12</x:v>
      </x:c>
      <x:c r="N161" s="18" t="n">
        <x:v>12</x:v>
      </x:c>
      <x:c r="O161" s="18" t="n">
        <x:v>0</x:v>
      </x:c>
      <x:c r="P161" s="18" t="n">
        <x:v>8</x:v>
      </x:c>
      <x:c r="Q161" s="6" t="str">
        <x:v>count, floor_area_total, locate, route, route_step_free, shared_walls_count, tour, wide_delivery_count</x:v>
      </x:c>
      <x:c r="R161" s="21" t="b">
        <x:v>0</x:v>
      </x:c>
      <x:c r="S161" s="21" t="b">
        <x:v>0</x:v>
      </x:c>
      <x:c r="T161" s="6" t="str">
        <x:v>ResPlan, Agour et al., https://github.com/m-agour/ResPlan (CC BY 4.0)</x:v>
      </x:c>
      <x:c r="U161" s="6" t="str">
        <x:v>data/train/resplan-3207/building.json</x:v>
      </x:c>
      <x:c r="V161" s="6" t="str">
        <x:v>https://github.com/hagenhaeussler/Industrial-Agents-Hackathon-2026/blob/f41616590b69f3ea0c1cbfb41d6c35edd9ce53df/data/train/resplan-3207/building.json</x:v>
      </x:c>
    </x:row>
    <x:row r="162" ht="54" customHeight="1">
      <x:c r="A162" s="6" t="str">
        <x:v>resplan-3221</x:v>
      </x:c>
      <x:c r="B162" s="6" t="str">
        <x:v>Residence 3221</x:v>
      </x:c>
      <x:c r="C162" s="6" t="str">
        <x:v>train</x:v>
      </x:c>
      <x:c r="D162" s="6" t="str">
        <x:v>resplan</x:v>
      </x:c>
      <x:c r="E162" s="6" t="str">
        <x:v>CC-BY-4.0</x:v>
      </x:c>
      <x:c r="F162" s="18" t="n">
        <x:v>1</x:v>
      </x:c>
      <x:c r="G162" s="6" t="str">
        <x:v>0</x:v>
      </x:c>
      <x:c r="H162" s="18" t="n">
        <x:v>10</x:v>
      </x:c>
      <x:c r="I162" s="18" t="n">
        <x:v>9</x:v>
      </x:c>
      <x:c r="J162" s="18" t="n">
        <x:v>32</x:v>
      </x:c>
      <x:c r="K162" s="18" t="n">
        <x:v>4</x:v>
      </x:c>
      <x:c r="L162" s="18" t="n">
        <x:v>9</x:v>
      </x:c>
      <x:c r="M162" s="18" t="n">
        <x:v>13</x:v>
      </x:c>
      <x:c r="N162" s="18" t="n">
        <x:v>13</x:v>
      </x:c>
      <x:c r="O162" s="18" t="n">
        <x:v>0</x:v>
      </x:c>
      <x:c r="P162" s="18" t="n">
        <x:v>9</x:v>
      </x:c>
      <x:c r="Q162" s="6" t="str">
        <x:v>count, errand, floor_area_total, largest_room, locate, route, route_step_free, shared_walls_count, tour</x:v>
      </x:c>
      <x:c r="R162" s="21" t="b">
        <x:v>0</x:v>
      </x:c>
      <x:c r="S162" s="21" t="b">
        <x:v>0</x:v>
      </x:c>
      <x:c r="T162" s="6" t="str">
        <x:v>ResPlan, Agour et al., https://github.com/m-agour/ResPlan (CC BY 4.0)</x:v>
      </x:c>
      <x:c r="U162" s="6" t="str">
        <x:v>data/train/resplan-3221/building.json</x:v>
      </x:c>
      <x:c r="V162" s="6" t="str">
        <x:v>https://github.com/hagenhaeussler/Industrial-Agents-Hackathon-2026/blob/f41616590b69f3ea0c1cbfb41d6c35edd9ce53df/data/train/resplan-3221/building.json</x:v>
      </x:c>
    </x:row>
    <x:row r="163" ht="54" customHeight="1">
      <x:c r="A163" s="6" t="str">
        <x:v>resplan-3562</x:v>
      </x:c>
      <x:c r="B163" s="6" t="str">
        <x:v>Residence 3562</x:v>
      </x:c>
      <x:c r="C163" s="6" t="str">
        <x:v>train</x:v>
      </x:c>
      <x:c r="D163" s="6" t="str">
        <x:v>resplan</x:v>
      </x:c>
      <x:c r="E163" s="6" t="str">
        <x:v>CC-BY-4.0</x:v>
      </x:c>
      <x:c r="F163" s="18" t="n">
        <x:v>1</x:v>
      </x:c>
      <x:c r="G163" s="6" t="str">
        <x:v>0</x:v>
      </x:c>
      <x:c r="H163" s="18" t="n">
        <x:v>8</x:v>
      </x:c>
      <x:c r="I163" s="18" t="n">
        <x:v>8</x:v>
      </x:c>
      <x:c r="J163" s="18" t="n">
        <x:v>27</x:v>
      </x:c>
      <x:c r="K163" s="18" t="n">
        <x:v>2</x:v>
      </x:c>
      <x:c r="L163" s="18" t="n">
        <x:v>9</x:v>
      </x:c>
      <x:c r="M163" s="18" t="n">
        <x:v>11</x:v>
      </x:c>
      <x:c r="N163" s="18" t="n">
        <x:v>11</x:v>
      </x:c>
      <x:c r="O163" s="18" t="n">
        <x:v>0</x:v>
      </x:c>
      <x:c r="P163" s="18" t="n">
        <x:v>7</x:v>
      </x:c>
      <x:c r="Q163" s="6" t="str">
        <x:v>count, floor_area_total, locate, route, route_step_free, tour, wide_delivery_count</x:v>
      </x:c>
      <x:c r="R163" s="21" t="b">
        <x:v>0</x:v>
      </x:c>
      <x:c r="S163" s="21" t="b">
        <x:v>0</x:v>
      </x:c>
      <x:c r="T163" s="6" t="str">
        <x:v>ResPlan, Agour et al., https://github.com/m-agour/ResPlan (CC BY 4.0)</x:v>
      </x:c>
      <x:c r="U163" s="6" t="str">
        <x:v>data/train/resplan-3562/building.json</x:v>
      </x:c>
      <x:c r="V163" s="6" t="str">
        <x:v>https://github.com/hagenhaeussler/Industrial-Agents-Hackathon-2026/blob/f41616590b69f3ea0c1cbfb41d6c35edd9ce53df/data/train/resplan-3562/building.json</x:v>
      </x:c>
    </x:row>
    <x:row r="164" ht="54" customHeight="1">
      <x:c r="A164" s="6" t="str">
        <x:v>resplan-3806</x:v>
      </x:c>
      <x:c r="B164" s="6" t="str">
        <x:v>Residence 3806</x:v>
      </x:c>
      <x:c r="C164" s="6" t="str">
        <x:v>train</x:v>
      </x:c>
      <x:c r="D164" s="6" t="str">
        <x:v>resplan</x:v>
      </x:c>
      <x:c r="E164" s="6" t="str">
        <x:v>CC-BY-4.0</x:v>
      </x:c>
      <x:c r="F164" s="18" t="n">
        <x:v>1</x:v>
      </x:c>
      <x:c r="G164" s="6" t="str">
        <x:v>0</x:v>
      </x:c>
      <x:c r="H164" s="18" t="n">
        <x:v>14</x:v>
      </x:c>
      <x:c r="I164" s="18" t="n">
        <x:v>11</x:v>
      </x:c>
      <x:c r="J164" s="18" t="n">
        <x:v>42</x:v>
      </x:c>
      <x:c r="K164" s="18" t="n">
        <x:v>3</x:v>
      </x:c>
      <x:c r="L164" s="18" t="n">
        <x:v>9</x:v>
      </x:c>
      <x:c r="M164" s="18" t="n">
        <x:v>12</x:v>
      </x:c>
      <x:c r="N164" s="18" t="n">
        <x:v>12</x:v>
      </x:c>
      <x:c r="O164" s="18" t="n">
        <x:v>0</x:v>
      </x:c>
      <x:c r="P164" s="18" t="n">
        <x:v>8</x:v>
      </x:c>
      <x:c r="Q164" s="6" t="str">
        <x:v>count, floor_area_total, locate, route, route_step_free, shared_walls_count, tour, wide_delivery_count</x:v>
      </x:c>
      <x:c r="R164" s="21" t="b">
        <x:v>0</x:v>
      </x:c>
      <x:c r="S164" s="21" t="b">
        <x:v>0</x:v>
      </x:c>
      <x:c r="T164" s="6" t="str">
        <x:v>ResPlan, Agour et al., https://github.com/m-agour/ResPlan (CC BY 4.0)</x:v>
      </x:c>
      <x:c r="U164" s="6" t="str">
        <x:v>data/train/resplan-3806/building.json</x:v>
      </x:c>
      <x:c r="V164" s="6" t="str">
        <x:v>https://github.com/hagenhaeussler/Industrial-Agents-Hackathon-2026/blob/f41616590b69f3ea0c1cbfb41d6c35edd9ce53df/data/train/resplan-3806/building.json</x:v>
      </x:c>
    </x:row>
    <x:row r="165" ht="54" customHeight="1">
      <x:c r="A165" s="6" t="str">
        <x:v>resplan-3971</x:v>
      </x:c>
      <x:c r="B165" s="6" t="str">
        <x:v>Residence 3971</x:v>
      </x:c>
      <x:c r="C165" s="6" t="str">
        <x:v>train</x:v>
      </x:c>
      <x:c r="D165" s="6" t="str">
        <x:v>resplan</x:v>
      </x:c>
      <x:c r="E165" s="6" t="str">
        <x:v>CC-BY-4.0</x:v>
      </x:c>
      <x:c r="F165" s="18" t="n">
        <x:v>1</x:v>
      </x:c>
      <x:c r="G165" s="6" t="str">
        <x:v>0</x:v>
      </x:c>
      <x:c r="H165" s="18" t="n">
        <x:v>8</x:v>
      </x:c>
      <x:c r="I165" s="18" t="n">
        <x:v>6</x:v>
      </x:c>
      <x:c r="J165" s="18" t="n">
        <x:v>28</x:v>
      </x:c>
      <x:c r="K165" s="18" t="n">
        <x:v>2</x:v>
      </x:c>
      <x:c r="L165" s="18" t="n">
        <x:v>9</x:v>
      </x:c>
      <x:c r="M165" s="18" t="n">
        <x:v>11</x:v>
      </x:c>
      <x:c r="N165" s="18" t="n">
        <x:v>11</x:v>
      </x:c>
      <x:c r="O165" s="18" t="n">
        <x:v>0</x:v>
      </x:c>
      <x:c r="P165" s="18" t="n">
        <x:v>7</x:v>
      </x:c>
      <x:c r="Q165" s="6" t="str">
        <x:v>count, locate, route, route_step_free, shared_walls_count, tour, wide_delivery_count</x:v>
      </x:c>
      <x:c r="R165" s="21" t="b">
        <x:v>0</x:v>
      </x:c>
      <x:c r="S165" s="21" t="b">
        <x:v>0</x:v>
      </x:c>
      <x:c r="T165" s="6" t="str">
        <x:v>ResPlan, Agour et al., https://github.com/m-agour/ResPlan (CC BY 4.0)</x:v>
      </x:c>
      <x:c r="U165" s="6" t="str">
        <x:v>data/train/resplan-3971/building.json</x:v>
      </x:c>
      <x:c r="V165" s="6" t="str">
        <x:v>https://github.com/hagenhaeussler/Industrial-Agents-Hackathon-2026/blob/f41616590b69f3ea0c1cbfb41d6c35edd9ce53df/data/train/resplan-3971/building.json</x:v>
      </x:c>
    </x:row>
    <x:row r="166" ht="54" customHeight="1">
      <x:c r="A166" s="6" t="str">
        <x:v>resplan-4294</x:v>
      </x:c>
      <x:c r="B166" s="6" t="str">
        <x:v>Residence 4294</x:v>
      </x:c>
      <x:c r="C166" s="6" t="str">
        <x:v>train</x:v>
      </x:c>
      <x:c r="D166" s="6" t="str">
        <x:v>resplan</x:v>
      </x:c>
      <x:c r="E166" s="6" t="str">
        <x:v>CC-BY-4.0</x:v>
      </x:c>
      <x:c r="F166" s="18" t="n">
        <x:v>1</x:v>
      </x:c>
      <x:c r="G166" s="6" t="str">
        <x:v>0</x:v>
      </x:c>
      <x:c r="H166" s="18" t="n">
        <x:v>5</x:v>
      </x:c>
      <x:c r="I166" s="18" t="n">
        <x:v>5</x:v>
      </x:c>
      <x:c r="J166" s="18" t="n">
        <x:v>18</x:v>
      </x:c>
      <x:c r="K166" s="18" t="n">
        <x:v>0</x:v>
      </x:c>
      <x:c r="L166" s="18" t="n">
        <x:v>9</x:v>
      </x:c>
      <x:c r="M166" s="18" t="n">
        <x:v>9</x:v>
      </x:c>
      <x:c r="N166" s="18" t="n">
        <x:v>9</x:v>
      </x:c>
      <x:c r="O166" s="18" t="n">
        <x:v>0</x:v>
      </x:c>
      <x:c r="P166" s="18" t="n">
        <x:v>5</x:v>
      </x:c>
      <x:c r="Q166" s="6" t="str">
        <x:v>count, locate, route, route_step_free, tour</x:v>
      </x:c>
      <x:c r="R166" s="21" t="b">
        <x:v>0</x:v>
      </x:c>
      <x:c r="S166" s="21" t="b">
        <x:v>0</x:v>
      </x:c>
      <x:c r="T166" s="6" t="str">
        <x:v>ResPlan, Agour et al., https://github.com/m-agour/ResPlan (CC BY 4.0)</x:v>
      </x:c>
      <x:c r="U166" s="6" t="str">
        <x:v>data/train/resplan-4294/building.json</x:v>
      </x:c>
      <x:c r="V166" s="6" t="str">
        <x:v>https://github.com/hagenhaeussler/Industrial-Agents-Hackathon-2026/blob/f41616590b69f3ea0c1cbfb41d6c35edd9ce53df/data/train/resplan-4294/building.json</x:v>
      </x:c>
    </x:row>
    <x:row r="167" ht="54" customHeight="1">
      <x:c r="A167" s="6" t="str">
        <x:v>resplan-4303</x:v>
      </x:c>
      <x:c r="B167" s="6" t="str">
        <x:v>Residence 4303</x:v>
      </x:c>
      <x:c r="C167" s="6" t="str">
        <x:v>train</x:v>
      </x:c>
      <x:c r="D167" s="6" t="str">
        <x:v>resplan</x:v>
      </x:c>
      <x:c r="E167" s="6" t="str">
        <x:v>CC-BY-4.0</x:v>
      </x:c>
      <x:c r="F167" s="18" t="n">
        <x:v>1</x:v>
      </x:c>
      <x:c r="G167" s="6" t="str">
        <x:v>0</x:v>
      </x:c>
      <x:c r="H167" s="18" t="n">
        <x:v>7</x:v>
      </x:c>
      <x:c r="I167" s="18" t="n">
        <x:v>6</x:v>
      </x:c>
      <x:c r="J167" s="18" t="n">
        <x:v>29</x:v>
      </x:c>
      <x:c r="K167" s="18" t="n">
        <x:v>1</x:v>
      </x:c>
      <x:c r="L167" s="18" t="n">
        <x:v>9</x:v>
      </x:c>
      <x:c r="M167" s="18" t="n">
        <x:v>10</x:v>
      </x:c>
      <x:c r="N167" s="18" t="n">
        <x:v>10</x:v>
      </x:c>
      <x:c r="O167" s="18" t="n">
        <x:v>0</x:v>
      </x:c>
      <x:c r="P167" s="18" t="n">
        <x:v>6</x:v>
      </x:c>
      <x:c r="Q167" s="6" t="str">
        <x:v>count, locate, route, route_step_free, shared_walls_count, tour</x:v>
      </x:c>
      <x:c r="R167" s="21" t="b">
        <x:v>0</x:v>
      </x:c>
      <x:c r="S167" s="21" t="b">
        <x:v>0</x:v>
      </x:c>
      <x:c r="T167" s="6" t="str">
        <x:v>ResPlan, Agour et al., https://github.com/m-agour/ResPlan (CC BY 4.0)</x:v>
      </x:c>
      <x:c r="U167" s="6" t="str">
        <x:v>data/train/resplan-4303/building.json</x:v>
      </x:c>
      <x:c r="V167" s="6" t="str">
        <x:v>https://github.com/hagenhaeussler/Industrial-Agents-Hackathon-2026/blob/f41616590b69f3ea0c1cbfb41d6c35edd9ce53df/data/train/resplan-4303/building.json</x:v>
      </x:c>
    </x:row>
    <x:row r="168" ht="54" customHeight="1">
      <x:c r="A168" s="6" t="str">
        <x:v>resplan-433</x:v>
      </x:c>
      <x:c r="B168" s="6" t="str">
        <x:v>Residence 433</x:v>
      </x:c>
      <x:c r="C168" s="6" t="str">
        <x:v>train</x:v>
      </x:c>
      <x:c r="D168" s="6" t="str">
        <x:v>resplan</x:v>
      </x:c>
      <x:c r="E168" s="6" t="str">
        <x:v>CC-BY-4.0</x:v>
      </x:c>
      <x:c r="F168" s="18" t="n">
        <x:v>1</x:v>
      </x:c>
      <x:c r="G168" s="6" t="str">
        <x:v>0</x:v>
      </x:c>
      <x:c r="H168" s="18" t="n">
        <x:v>5</x:v>
      </x:c>
      <x:c r="I168" s="18" t="n">
        <x:v>5</x:v>
      </x:c>
      <x:c r="J168" s="18" t="n">
        <x:v>16</x:v>
      </x:c>
      <x:c r="K168" s="18" t="n">
        <x:v>1</x:v>
      </x:c>
      <x:c r="L168" s="18" t="n">
        <x:v>8</x:v>
      </x:c>
      <x:c r="M168" s="18" t="n">
        <x:v>9</x:v>
      </x:c>
      <x:c r="N168" s="18" t="n">
        <x:v>9</x:v>
      </x:c>
      <x:c r="O168" s="18" t="n">
        <x:v>0</x:v>
      </x:c>
      <x:c r="P168" s="18" t="n">
        <x:v>5</x:v>
      </x:c>
      <x:c r="Q168" s="6" t="str">
        <x:v>locate, route, route_step_free, tour, wide_delivery_count</x:v>
      </x:c>
      <x:c r="R168" s="21" t="b">
        <x:v>0</x:v>
      </x:c>
      <x:c r="S168" s="21" t="b">
        <x:v>0</x:v>
      </x:c>
      <x:c r="T168" s="6" t="str">
        <x:v>ResPlan, Agour et al., https://github.com/m-agour/ResPlan (CC BY 4.0)</x:v>
      </x:c>
      <x:c r="U168" s="6" t="str">
        <x:v>data/train/resplan-433/building.json</x:v>
      </x:c>
      <x:c r="V168" s="6" t="str">
        <x:v>https://github.com/hagenhaeussler/Industrial-Agents-Hackathon-2026/blob/f41616590b69f3ea0c1cbfb41d6c35edd9ce53df/data/train/resplan-433/building.json</x:v>
      </x:c>
    </x:row>
    <x:row r="169" ht="54" customHeight="1">
      <x:c r="A169" s="6" t="str">
        <x:v>resplan-4378</x:v>
      </x:c>
      <x:c r="B169" s="6" t="str">
        <x:v>Residence 4378</x:v>
      </x:c>
      <x:c r="C169" s="6" t="str">
        <x:v>train</x:v>
      </x:c>
      <x:c r="D169" s="6" t="str">
        <x:v>resplan</x:v>
      </x:c>
      <x:c r="E169" s="6" t="str">
        <x:v>CC-BY-4.0</x:v>
      </x:c>
      <x:c r="F169" s="18" t="n">
        <x:v>1</x:v>
      </x:c>
      <x:c r="G169" s="6" t="str">
        <x:v>0</x:v>
      </x:c>
      <x:c r="H169" s="18" t="n">
        <x:v>7</x:v>
      </x:c>
      <x:c r="I169" s="18" t="n">
        <x:v>6</x:v>
      </x:c>
      <x:c r="J169" s="18" t="n">
        <x:v>25</x:v>
      </x:c>
      <x:c r="K169" s="18" t="n">
        <x:v>1</x:v>
      </x:c>
      <x:c r="L169" s="18" t="n">
        <x:v>9</x:v>
      </x:c>
      <x:c r="M169" s="18" t="n">
        <x:v>10</x:v>
      </x:c>
      <x:c r="N169" s="18" t="n">
        <x:v>10</x:v>
      </x:c>
      <x:c r="O169" s="18" t="n">
        <x:v>0</x:v>
      </x:c>
      <x:c r="P169" s="18" t="n">
        <x:v>6</x:v>
      </x:c>
      <x:c r="Q169" s="6" t="str">
        <x:v>count, locate, route, route_step_free, shared_walls_count, tour</x:v>
      </x:c>
      <x:c r="R169" s="21" t="b">
        <x:v>0</x:v>
      </x:c>
      <x:c r="S169" s="21" t="b">
        <x:v>0</x:v>
      </x:c>
      <x:c r="T169" s="6" t="str">
        <x:v>ResPlan, Agour et al., https://github.com/m-agour/ResPlan (CC BY 4.0)</x:v>
      </x:c>
      <x:c r="U169" s="6" t="str">
        <x:v>data/train/resplan-4378/building.json</x:v>
      </x:c>
      <x:c r="V169" s="6" t="str">
        <x:v>https://github.com/hagenhaeussler/Industrial-Agents-Hackathon-2026/blob/f41616590b69f3ea0c1cbfb41d6c35edd9ce53df/data/train/resplan-4378/building.json</x:v>
      </x:c>
    </x:row>
    <x:row r="170" ht="54" customHeight="1">
      <x:c r="A170" s="6" t="str">
        <x:v>resplan-4429</x:v>
      </x:c>
      <x:c r="B170" s="6" t="str">
        <x:v>Residence 4429</x:v>
      </x:c>
      <x:c r="C170" s="6" t="str">
        <x:v>train</x:v>
      </x:c>
      <x:c r="D170" s="6" t="str">
        <x:v>resplan</x:v>
      </x:c>
      <x:c r="E170" s="6" t="str">
        <x:v>CC-BY-4.0</x:v>
      </x:c>
      <x:c r="F170" s="18" t="n">
        <x:v>1</x:v>
      </x:c>
      <x:c r="G170" s="6" t="str">
        <x:v>0</x:v>
      </x:c>
      <x:c r="H170" s="18" t="n">
        <x:v>7</x:v>
      </x:c>
      <x:c r="I170" s="18" t="n">
        <x:v>6</x:v>
      </x:c>
      <x:c r="J170" s="18" t="n">
        <x:v>21</x:v>
      </x:c>
      <x:c r="K170" s="18" t="n">
        <x:v>2</x:v>
      </x:c>
      <x:c r="L170" s="18" t="n">
        <x:v>9</x:v>
      </x:c>
      <x:c r="M170" s="18" t="n">
        <x:v>11</x:v>
      </x:c>
      <x:c r="N170" s="18" t="n">
        <x:v>11</x:v>
      </x:c>
      <x:c r="O170" s="18" t="n">
        <x:v>0</x:v>
      </x:c>
      <x:c r="P170" s="18" t="n">
        <x:v>7</x:v>
      </x:c>
      <x:c r="Q170" s="6" t="str">
        <x:v>count, locate, route, route_step_free, shared_walls_count, tour, wide_delivery_count</x:v>
      </x:c>
      <x:c r="R170" s="21" t="b">
        <x:v>0</x:v>
      </x:c>
      <x:c r="S170" s="21" t="b">
        <x:v>0</x:v>
      </x:c>
      <x:c r="T170" s="6" t="str">
        <x:v>ResPlan, Agour et al., https://github.com/m-agour/ResPlan (CC BY 4.0)</x:v>
      </x:c>
      <x:c r="U170" s="6" t="str">
        <x:v>data/train/resplan-4429/building.json</x:v>
      </x:c>
      <x:c r="V170" s="6" t="str">
        <x:v>https://github.com/hagenhaeussler/Industrial-Agents-Hackathon-2026/blob/f41616590b69f3ea0c1cbfb41d6c35edd9ce53df/data/train/resplan-4429/building.json</x:v>
      </x:c>
    </x:row>
    <x:row r="171" ht="54" customHeight="1">
      <x:c r="A171" s="6" t="str">
        <x:v>resplan-4453</x:v>
      </x:c>
      <x:c r="B171" s="6" t="str">
        <x:v>Residence 4453</x:v>
      </x:c>
      <x:c r="C171" s="6" t="str">
        <x:v>train</x:v>
      </x:c>
      <x:c r="D171" s="6" t="str">
        <x:v>resplan</x:v>
      </x:c>
      <x:c r="E171" s="6" t="str">
        <x:v>CC-BY-4.0</x:v>
      </x:c>
      <x:c r="F171" s="18" t="n">
        <x:v>1</x:v>
      </x:c>
      <x:c r="G171" s="6" t="str">
        <x:v>0</x:v>
      </x:c>
      <x:c r="H171" s="18" t="n">
        <x:v>8</x:v>
      </x:c>
      <x:c r="I171" s="18" t="n">
        <x:v>7</x:v>
      </x:c>
      <x:c r="J171" s="18" t="n">
        <x:v>35</x:v>
      </x:c>
      <x:c r="K171" s="18" t="n">
        <x:v>4</x:v>
      </x:c>
      <x:c r="L171" s="18" t="n">
        <x:v>9</x:v>
      </x:c>
      <x:c r="M171" s="18" t="n">
        <x:v>13</x:v>
      </x:c>
      <x:c r="N171" s="18" t="n">
        <x:v>13</x:v>
      </x:c>
      <x:c r="O171" s="18" t="n">
        <x:v>0</x:v>
      </x:c>
      <x:c r="P171" s="18" t="n">
        <x:v>9</x:v>
      </x:c>
      <x:c r="Q171" s="6" t="str">
        <x:v>count, errand, floor_area_total, largest_room, locate, route, route_step_free, shared_walls_count, tour</x:v>
      </x:c>
      <x:c r="R171" s="21" t="b">
        <x:v>0</x:v>
      </x:c>
      <x:c r="S171" s="21" t="b">
        <x:v>0</x:v>
      </x:c>
      <x:c r="T171" s="6" t="str">
        <x:v>ResPlan, Agour et al., https://github.com/m-agour/ResPlan (CC BY 4.0)</x:v>
      </x:c>
      <x:c r="U171" s="6" t="str">
        <x:v>data/train/resplan-4453/building.json</x:v>
      </x:c>
      <x:c r="V171" s="6" t="str">
        <x:v>https://github.com/hagenhaeussler/Industrial-Agents-Hackathon-2026/blob/f41616590b69f3ea0c1cbfb41d6c35edd9ce53df/data/train/resplan-4453/building.json</x:v>
      </x:c>
    </x:row>
    <x:row r="172" ht="54" customHeight="1">
      <x:c r="A172" s="6" t="str">
        <x:v>resplan-457</x:v>
      </x:c>
      <x:c r="B172" s="6" t="str">
        <x:v>Residence 457</x:v>
      </x:c>
      <x:c r="C172" s="6" t="str">
        <x:v>train</x:v>
      </x:c>
      <x:c r="D172" s="6" t="str">
        <x:v>resplan</x:v>
      </x:c>
      <x:c r="E172" s="6" t="str">
        <x:v>CC-BY-4.0</x:v>
      </x:c>
      <x:c r="F172" s="18" t="n">
        <x:v>1</x:v>
      </x:c>
      <x:c r="G172" s="6" t="str">
        <x:v>0</x:v>
      </x:c>
      <x:c r="H172" s="18" t="n">
        <x:v>7</x:v>
      </x:c>
      <x:c r="I172" s="18" t="n">
        <x:v>6</x:v>
      </x:c>
      <x:c r="J172" s="18" t="n">
        <x:v>25</x:v>
      </x:c>
      <x:c r="K172" s="18" t="n">
        <x:v>0</x:v>
      </x:c>
      <x:c r="L172" s="18" t="n">
        <x:v>9</x:v>
      </x:c>
      <x:c r="M172" s="18" t="n">
        <x:v>9</x:v>
      </x:c>
      <x:c r="N172" s="18" t="n">
        <x:v>9</x:v>
      </x:c>
      <x:c r="O172" s="18" t="n">
        <x:v>0</x:v>
      </x:c>
      <x:c r="P172" s="18" t="n">
        <x:v>5</x:v>
      </x:c>
      <x:c r="Q172" s="6" t="str">
        <x:v>count, locate, route, route_step_free, tour</x:v>
      </x:c>
      <x:c r="R172" s="21" t="b">
        <x:v>0</x:v>
      </x:c>
      <x:c r="S172" s="21" t="b">
        <x:v>0</x:v>
      </x:c>
      <x:c r="T172" s="6" t="str">
        <x:v>ResPlan, Agour et al., https://github.com/m-agour/ResPlan (CC BY 4.0)</x:v>
      </x:c>
      <x:c r="U172" s="6" t="str">
        <x:v>data/train/resplan-457/building.json</x:v>
      </x:c>
      <x:c r="V172" s="6" t="str">
        <x:v>https://github.com/hagenhaeussler/Industrial-Agents-Hackathon-2026/blob/f41616590b69f3ea0c1cbfb41d6c35edd9ce53df/data/train/resplan-457/building.json</x:v>
      </x:c>
    </x:row>
    <x:row r="173" ht="54" customHeight="1">
      <x:c r="A173" s="6" t="str">
        <x:v>resplan-47</x:v>
      </x:c>
      <x:c r="B173" s="6" t="str">
        <x:v>Residence 47</x:v>
      </x:c>
      <x:c r="C173" s="6" t="str">
        <x:v>train</x:v>
      </x:c>
      <x:c r="D173" s="6" t="str">
        <x:v>resplan</x:v>
      </x:c>
      <x:c r="E173" s="6" t="str">
        <x:v>CC-BY-4.0</x:v>
      </x:c>
      <x:c r="F173" s="18" t="n">
        <x:v>1</x:v>
      </x:c>
      <x:c r="G173" s="6" t="str">
        <x:v>0</x:v>
      </x:c>
      <x:c r="H173" s="18" t="n">
        <x:v>13</x:v>
      </x:c>
      <x:c r="I173" s="18" t="n">
        <x:v>10</x:v>
      </x:c>
      <x:c r="J173" s="18" t="n">
        <x:v>47</x:v>
      </x:c>
      <x:c r="K173" s="18" t="n">
        <x:v>4</x:v>
      </x:c>
      <x:c r="L173" s="18" t="n">
        <x:v>9</x:v>
      </x:c>
      <x:c r="M173" s="18" t="n">
        <x:v>13</x:v>
      </x:c>
      <x:c r="N173" s="18" t="n">
        <x:v>13</x:v>
      </x:c>
      <x:c r="O173" s="18" t="n">
        <x:v>0</x:v>
      </x:c>
      <x:c r="P173" s="18" t="n">
        <x:v>9</x:v>
      </x:c>
      <x:c r="Q173" s="6" t="str">
        <x:v>count, errand, floor_area_total, largest_room, locate, route, route_step_free, shared_walls_count, tour</x:v>
      </x:c>
      <x:c r="R173" s="21" t="b">
        <x:v>0</x:v>
      </x:c>
      <x:c r="S173" s="21" t="b">
        <x:v>0</x:v>
      </x:c>
      <x:c r="T173" s="6" t="str">
        <x:v>ResPlan, Agour et al., https://github.com/m-agour/ResPlan (CC BY 4.0)</x:v>
      </x:c>
      <x:c r="U173" s="6" t="str">
        <x:v>data/train/resplan-47/building.json</x:v>
      </x:c>
      <x:c r="V173" s="6" t="str">
        <x:v>https://github.com/hagenhaeussler/Industrial-Agents-Hackathon-2026/blob/f41616590b69f3ea0c1cbfb41d6c35edd9ce53df/data/train/resplan-47/building.json</x:v>
      </x:c>
    </x:row>
    <x:row r="174" ht="54" customHeight="1">
      <x:c r="A174" s="6" t="str">
        <x:v>resplan-5277</x:v>
      </x:c>
      <x:c r="B174" s="6" t="str">
        <x:v>Residence 5277</x:v>
      </x:c>
      <x:c r="C174" s="6" t="str">
        <x:v>train</x:v>
      </x:c>
      <x:c r="D174" s="6" t="str">
        <x:v>resplan</x:v>
      </x:c>
      <x:c r="E174" s="6" t="str">
        <x:v>CC-BY-4.0</x:v>
      </x:c>
      <x:c r="F174" s="18" t="n">
        <x:v>1</x:v>
      </x:c>
      <x:c r="G174" s="6" t="str">
        <x:v>0</x:v>
      </x:c>
      <x:c r="H174" s="18" t="n">
        <x:v>6</x:v>
      </x:c>
      <x:c r="I174" s="18" t="n">
        <x:v>5</x:v>
      </x:c>
      <x:c r="J174" s="18" t="n">
        <x:v>23</x:v>
      </x:c>
      <x:c r="K174" s="18" t="n">
        <x:v>2</x:v>
      </x:c>
      <x:c r="L174" s="18" t="n">
        <x:v>9</x:v>
      </x:c>
      <x:c r="M174" s="18" t="n">
        <x:v>11</x:v>
      </x:c>
      <x:c r="N174" s="18" t="n">
        <x:v>11</x:v>
      </x:c>
      <x:c r="O174" s="18" t="n">
        <x:v>0</x:v>
      </x:c>
      <x:c r="P174" s="18" t="n">
        <x:v>7</x:v>
      </x:c>
      <x:c r="Q174" s="6" t="str">
        <x:v>count, locate, route, route_step_free, shared_walls_count, tour, wide_delivery_count</x:v>
      </x:c>
      <x:c r="R174" s="21" t="b">
        <x:v>0</x:v>
      </x:c>
      <x:c r="S174" s="21" t="b">
        <x:v>0</x:v>
      </x:c>
      <x:c r="T174" s="6" t="str">
        <x:v>ResPlan, Agour et al., https://github.com/m-agour/ResPlan (CC BY 4.0)</x:v>
      </x:c>
      <x:c r="U174" s="6" t="str">
        <x:v>data/train/resplan-5277/building.json</x:v>
      </x:c>
      <x:c r="V174" s="6" t="str">
        <x:v>https://github.com/hagenhaeussler/Industrial-Agents-Hackathon-2026/blob/f41616590b69f3ea0c1cbfb41d6c35edd9ce53df/data/train/resplan-5277/building.json</x:v>
      </x:c>
    </x:row>
    <x:row r="175" ht="54" customHeight="1">
      <x:c r="A175" s="6" t="str">
        <x:v>resplan-553</x:v>
      </x:c>
      <x:c r="B175" s="6" t="str">
        <x:v>Residence 553</x:v>
      </x:c>
      <x:c r="C175" s="6" t="str">
        <x:v>train</x:v>
      </x:c>
      <x:c r="D175" s="6" t="str">
        <x:v>resplan</x:v>
      </x:c>
      <x:c r="E175" s="6" t="str">
        <x:v>CC-BY-4.0</x:v>
      </x:c>
      <x:c r="F175" s="18" t="n">
        <x:v>1</x:v>
      </x:c>
      <x:c r="G175" s="6" t="str">
        <x:v>0</x:v>
      </x:c>
      <x:c r="H175" s="18" t="n">
        <x:v>5</x:v>
      </x:c>
      <x:c r="I175" s="18" t="n">
        <x:v>5</x:v>
      </x:c>
      <x:c r="J175" s="18" t="n">
        <x:v>25</x:v>
      </x:c>
      <x:c r="K175" s="18" t="n">
        <x:v>1</x:v>
      </x:c>
      <x:c r="L175" s="18" t="n">
        <x:v>9</x:v>
      </x:c>
      <x:c r="M175" s="18" t="n">
        <x:v>10</x:v>
      </x:c>
      <x:c r="N175" s="18" t="n">
        <x:v>10</x:v>
      </x:c>
      <x:c r="O175" s="18" t="n">
        <x:v>0</x:v>
      </x:c>
      <x:c r="P175" s="18" t="n">
        <x:v>6</x:v>
      </x:c>
      <x:c r="Q175" s="6" t="str">
        <x:v>count, locate, route, route_step_free, shared_walls_count, tour</x:v>
      </x:c>
      <x:c r="R175" s="21" t="b">
        <x:v>0</x:v>
      </x:c>
      <x:c r="S175" s="21" t="b">
        <x:v>0</x:v>
      </x:c>
      <x:c r="T175" s="6" t="str">
        <x:v>ResPlan, Agour et al., https://github.com/m-agour/ResPlan (CC BY 4.0)</x:v>
      </x:c>
      <x:c r="U175" s="6" t="str">
        <x:v>data/train/resplan-553/building.json</x:v>
      </x:c>
      <x:c r="V175" s="6" t="str">
        <x:v>https://github.com/hagenhaeussler/Industrial-Agents-Hackathon-2026/blob/f41616590b69f3ea0c1cbfb41d6c35edd9ce53df/data/train/resplan-553/building.json</x:v>
      </x:c>
    </x:row>
    <x:row r="176" ht="54" customHeight="1">
      <x:c r="A176" s="6" t="str">
        <x:v>resplan-56</x:v>
      </x:c>
      <x:c r="B176" s="6" t="str">
        <x:v>Residence 56</x:v>
      </x:c>
      <x:c r="C176" s="6" t="str">
        <x:v>train</x:v>
      </x:c>
      <x:c r="D176" s="6" t="str">
        <x:v>resplan</x:v>
      </x:c>
      <x:c r="E176" s="6" t="str">
        <x:v>CC-BY-4.0</x:v>
      </x:c>
      <x:c r="F176" s="18" t="n">
        <x:v>1</x:v>
      </x:c>
      <x:c r="G176" s="6" t="str">
        <x:v>0</x:v>
      </x:c>
      <x:c r="H176" s="18" t="n">
        <x:v>6</x:v>
      </x:c>
      <x:c r="I176" s="18" t="n">
        <x:v>6</x:v>
      </x:c>
      <x:c r="J176" s="18" t="n">
        <x:v>25</x:v>
      </x:c>
      <x:c r="K176" s="18" t="n">
        <x:v>1</x:v>
      </x:c>
      <x:c r="L176" s="18" t="n">
        <x:v>9</x:v>
      </x:c>
      <x:c r="M176" s="18" t="n">
        <x:v>10</x:v>
      </x:c>
      <x:c r="N176" s="18" t="n">
        <x:v>10</x:v>
      </x:c>
      <x:c r="O176" s="18" t="n">
        <x:v>0</x:v>
      </x:c>
      <x:c r="P176" s="18" t="n">
        <x:v>6</x:v>
      </x:c>
      <x:c r="Q176" s="6" t="str">
        <x:v>count, locate, route, route_step_free, shared_walls_count, tour</x:v>
      </x:c>
      <x:c r="R176" s="21" t="b">
        <x:v>0</x:v>
      </x:c>
      <x:c r="S176" s="21" t="b">
        <x:v>0</x:v>
      </x:c>
      <x:c r="T176" s="6" t="str">
        <x:v>ResPlan, Agour et al., https://github.com/m-agour/ResPlan (CC BY 4.0)</x:v>
      </x:c>
      <x:c r="U176" s="6" t="str">
        <x:v>data/train/resplan-56/building.json</x:v>
      </x:c>
      <x:c r="V176" s="6" t="str">
        <x:v>https://github.com/hagenhaeussler/Industrial-Agents-Hackathon-2026/blob/f41616590b69f3ea0c1cbfb41d6c35edd9ce53df/data/train/resplan-56/building.json</x:v>
      </x:c>
    </x:row>
    <x:row r="177" ht="54" customHeight="1">
      <x:c r="A177" s="6" t="str">
        <x:v>resplan-5783</x:v>
      </x:c>
      <x:c r="B177" s="6" t="str">
        <x:v>Residence 5783</x:v>
      </x:c>
      <x:c r="C177" s="6" t="str">
        <x:v>train</x:v>
      </x:c>
      <x:c r="D177" s="6" t="str">
        <x:v>resplan</x:v>
      </x:c>
      <x:c r="E177" s="6" t="str">
        <x:v>CC-BY-4.0</x:v>
      </x:c>
      <x:c r="F177" s="18" t="n">
        <x:v>1</x:v>
      </x:c>
      <x:c r="G177" s="6" t="str">
        <x:v>0</x:v>
      </x:c>
      <x:c r="H177" s="18" t="n">
        <x:v>7</x:v>
      </x:c>
      <x:c r="I177" s="18" t="n">
        <x:v>6</x:v>
      </x:c>
      <x:c r="J177" s="18" t="n">
        <x:v>25</x:v>
      </x:c>
      <x:c r="K177" s="18" t="n">
        <x:v>1</x:v>
      </x:c>
      <x:c r="L177" s="18" t="n">
        <x:v>9</x:v>
      </x:c>
      <x:c r="M177" s="18" t="n">
        <x:v>10</x:v>
      </x:c>
      <x:c r="N177" s="18" t="n">
        <x:v>10</x:v>
      </x:c>
      <x:c r="O177" s="18" t="n">
        <x:v>0</x:v>
      </x:c>
      <x:c r="P177" s="18" t="n">
        <x:v>6</x:v>
      </x:c>
      <x:c r="Q177" s="6" t="str">
        <x:v>count, locate, route, route_step_free, shared_walls_count, tour</x:v>
      </x:c>
      <x:c r="R177" s="21" t="b">
        <x:v>0</x:v>
      </x:c>
      <x:c r="S177" s="21" t="b">
        <x:v>0</x:v>
      </x:c>
      <x:c r="T177" s="6" t="str">
        <x:v>ResPlan, Agour et al., https://github.com/m-agour/ResPlan (CC BY 4.0)</x:v>
      </x:c>
      <x:c r="U177" s="6" t="str">
        <x:v>data/train/resplan-5783/building.json</x:v>
      </x:c>
      <x:c r="V177" s="6" t="str">
        <x:v>https://github.com/hagenhaeussler/Industrial-Agents-Hackathon-2026/blob/f41616590b69f3ea0c1cbfb41d6c35edd9ce53df/data/train/resplan-5783/building.json</x:v>
      </x:c>
    </x:row>
    <x:row r="178" ht="54" customHeight="1">
      <x:c r="A178" s="6" t="str">
        <x:v>resplan-5871</x:v>
      </x:c>
      <x:c r="B178" s="6" t="str">
        <x:v>Residence 5871</x:v>
      </x:c>
      <x:c r="C178" s="6" t="str">
        <x:v>train</x:v>
      </x:c>
      <x:c r="D178" s="6" t="str">
        <x:v>resplan</x:v>
      </x:c>
      <x:c r="E178" s="6" t="str">
        <x:v>CC-BY-4.0</x:v>
      </x:c>
      <x:c r="F178" s="18" t="n">
        <x:v>1</x:v>
      </x:c>
      <x:c r="G178" s="6" t="str">
        <x:v>0</x:v>
      </x:c>
      <x:c r="H178" s="18" t="n">
        <x:v>7</x:v>
      </x:c>
      <x:c r="I178" s="18" t="n">
        <x:v>7</x:v>
      </x:c>
      <x:c r="J178" s="18" t="n">
        <x:v>26</x:v>
      </x:c>
      <x:c r="K178" s="18" t="n">
        <x:v>2</x:v>
      </x:c>
      <x:c r="L178" s="18" t="n">
        <x:v>9</x:v>
      </x:c>
      <x:c r="M178" s="18" t="n">
        <x:v>11</x:v>
      </x:c>
      <x:c r="N178" s="18" t="n">
        <x:v>11</x:v>
      </x:c>
      <x:c r="O178" s="18" t="n">
        <x:v>0</x:v>
      </x:c>
      <x:c r="P178" s="18" t="n">
        <x:v>7</x:v>
      </x:c>
      <x:c r="Q178" s="6" t="str">
        <x:v>count, floor_area_total, locate, route, route_step_free, shared_walls_count, tour</x:v>
      </x:c>
      <x:c r="R178" s="21" t="b">
        <x:v>0</x:v>
      </x:c>
      <x:c r="S178" s="21" t="b">
        <x:v>0</x:v>
      </x:c>
      <x:c r="T178" s="6" t="str">
        <x:v>ResPlan, Agour et al., https://github.com/m-agour/ResPlan (CC BY 4.0)</x:v>
      </x:c>
      <x:c r="U178" s="6" t="str">
        <x:v>data/train/resplan-5871/building.json</x:v>
      </x:c>
      <x:c r="V178" s="6" t="str">
        <x:v>https://github.com/hagenhaeussler/Industrial-Agents-Hackathon-2026/blob/f41616590b69f3ea0c1cbfb41d6c35edd9ce53df/data/train/resplan-5871/building.json</x:v>
      </x:c>
    </x:row>
    <x:row r="179" ht="54" customHeight="1">
      <x:c r="A179" s="6" t="str">
        <x:v>resplan-6242</x:v>
      </x:c>
      <x:c r="B179" s="6" t="str">
        <x:v>Residence 6242</x:v>
      </x:c>
      <x:c r="C179" s="6" t="str">
        <x:v>train</x:v>
      </x:c>
      <x:c r="D179" s="6" t="str">
        <x:v>resplan</x:v>
      </x:c>
      <x:c r="E179" s="6" t="str">
        <x:v>CC-BY-4.0</x:v>
      </x:c>
      <x:c r="F179" s="18" t="n">
        <x:v>1</x:v>
      </x:c>
      <x:c r="G179" s="6" t="str">
        <x:v>0</x:v>
      </x:c>
      <x:c r="H179" s="18" t="n">
        <x:v>9</x:v>
      </x:c>
      <x:c r="I179" s="18" t="n">
        <x:v>8</x:v>
      </x:c>
      <x:c r="J179" s="18" t="n">
        <x:v>31</x:v>
      </x:c>
      <x:c r="K179" s="18" t="n">
        <x:v>1</x:v>
      </x:c>
      <x:c r="L179" s="18" t="n">
        <x:v>9</x:v>
      </x:c>
      <x:c r="M179" s="18" t="n">
        <x:v>10</x:v>
      </x:c>
      <x:c r="N179" s="18" t="n">
        <x:v>10</x:v>
      </x:c>
      <x:c r="O179" s="18" t="n">
        <x:v>0</x:v>
      </x:c>
      <x:c r="P179" s="18" t="n">
        <x:v>6</x:v>
      </x:c>
      <x:c r="Q179" s="6" t="str">
        <x:v>count, floor_area_total, locate, route, route_step_free, tour</x:v>
      </x:c>
      <x:c r="R179" s="21" t="b">
        <x:v>0</x:v>
      </x:c>
      <x:c r="S179" s="21" t="b">
        <x:v>0</x:v>
      </x:c>
      <x:c r="T179" s="6" t="str">
        <x:v>ResPlan, Agour et al., https://github.com/m-agour/ResPlan (CC BY 4.0)</x:v>
      </x:c>
      <x:c r="U179" s="6" t="str">
        <x:v>data/train/resplan-6242/building.json</x:v>
      </x:c>
      <x:c r="V179" s="6" t="str">
        <x:v>https://github.com/hagenhaeussler/Industrial-Agents-Hackathon-2026/blob/f41616590b69f3ea0c1cbfb41d6c35edd9ce53df/data/train/resplan-6242/building.json</x:v>
      </x:c>
    </x:row>
    <x:row r="180" ht="54" customHeight="1">
      <x:c r="A180" s="6" t="str">
        <x:v>resplan-6565</x:v>
      </x:c>
      <x:c r="B180" s="6" t="str">
        <x:v>Residence 6565</x:v>
      </x:c>
      <x:c r="C180" s="6" t="str">
        <x:v>train</x:v>
      </x:c>
      <x:c r="D180" s="6" t="str">
        <x:v>resplan</x:v>
      </x:c>
      <x:c r="E180" s="6" t="str">
        <x:v>CC-BY-4.0</x:v>
      </x:c>
      <x:c r="F180" s="18" t="n">
        <x:v>1</x:v>
      </x:c>
      <x:c r="G180" s="6" t="str">
        <x:v>0</x:v>
      </x:c>
      <x:c r="H180" s="18" t="n">
        <x:v>7</x:v>
      </x:c>
      <x:c r="I180" s="18" t="n">
        <x:v>6</x:v>
      </x:c>
      <x:c r="J180" s="18" t="n">
        <x:v>25</x:v>
      </x:c>
      <x:c r="K180" s="18" t="n">
        <x:v>2</x:v>
      </x:c>
      <x:c r="L180" s="18" t="n">
        <x:v>9</x:v>
      </x:c>
      <x:c r="M180" s="18" t="n">
        <x:v>11</x:v>
      </x:c>
      <x:c r="N180" s="18" t="n">
        <x:v>11</x:v>
      </x:c>
      <x:c r="O180" s="18" t="n">
        <x:v>0</x:v>
      </x:c>
      <x:c r="P180" s="18" t="n">
        <x:v>7</x:v>
      </x:c>
      <x:c r="Q180" s="6" t="str">
        <x:v>count, locate, route, route_step_free, shared_walls_count, tour, wide_delivery_count</x:v>
      </x:c>
      <x:c r="R180" s="21" t="b">
        <x:v>0</x:v>
      </x:c>
      <x:c r="S180" s="21" t="b">
        <x:v>0</x:v>
      </x:c>
      <x:c r="T180" s="6" t="str">
        <x:v>ResPlan, Agour et al., https://github.com/m-agour/ResPlan (CC BY 4.0)</x:v>
      </x:c>
      <x:c r="U180" s="6" t="str">
        <x:v>data/train/resplan-6565/building.json</x:v>
      </x:c>
      <x:c r="V180" s="6" t="str">
        <x:v>https://github.com/hagenhaeussler/Industrial-Agents-Hackathon-2026/blob/f41616590b69f3ea0c1cbfb41d6c35edd9ce53df/data/train/resplan-6565/building.json</x:v>
      </x:c>
    </x:row>
    <x:row r="181" ht="54" customHeight="1">
      <x:c r="A181" s="6" t="str">
        <x:v>resplan-666</x:v>
      </x:c>
      <x:c r="B181" s="6" t="str">
        <x:v>Residence 666</x:v>
      </x:c>
      <x:c r="C181" s="6" t="str">
        <x:v>train</x:v>
      </x:c>
      <x:c r="D181" s="6" t="str">
        <x:v>resplan</x:v>
      </x:c>
      <x:c r="E181" s="6" t="str">
        <x:v>CC-BY-4.0</x:v>
      </x:c>
      <x:c r="F181" s="18" t="n">
        <x:v>1</x:v>
      </x:c>
      <x:c r="G181" s="6" t="str">
        <x:v>0</x:v>
      </x:c>
      <x:c r="H181" s="18" t="n">
        <x:v>11</x:v>
      </x:c>
      <x:c r="I181" s="18" t="n">
        <x:v>9</x:v>
      </x:c>
      <x:c r="J181" s="18" t="n">
        <x:v>34</x:v>
      </x:c>
      <x:c r="K181" s="18" t="n">
        <x:v>3</x:v>
      </x:c>
      <x:c r="L181" s="18" t="n">
        <x:v>9</x:v>
      </x:c>
      <x:c r="M181" s="18" t="n">
        <x:v>12</x:v>
      </x:c>
      <x:c r="N181" s="18" t="n">
        <x:v>12</x:v>
      </x:c>
      <x:c r="O181" s="18" t="n">
        <x:v>0</x:v>
      </x:c>
      <x:c r="P181" s="18" t="n">
        <x:v>8</x:v>
      </x:c>
      <x:c r="Q181" s="6" t="str">
        <x:v>count, floor_area_total, locate, route, route_step_free, shared_walls_count, tour, wide_delivery_count</x:v>
      </x:c>
      <x:c r="R181" s="21" t="b">
        <x:v>0</x:v>
      </x:c>
      <x:c r="S181" s="21" t="b">
        <x:v>0</x:v>
      </x:c>
      <x:c r="T181" s="6" t="str">
        <x:v>ResPlan, Agour et al., https://github.com/m-agour/ResPlan (CC BY 4.0)</x:v>
      </x:c>
      <x:c r="U181" s="6" t="str">
        <x:v>data/train/resplan-666/building.json</x:v>
      </x:c>
      <x:c r="V181" s="6" t="str">
        <x:v>https://github.com/hagenhaeussler/Industrial-Agents-Hackathon-2026/blob/f41616590b69f3ea0c1cbfb41d6c35edd9ce53df/data/train/resplan-666/building.json</x:v>
      </x:c>
    </x:row>
    <x:row r="182" ht="54" customHeight="1">
      <x:c r="A182" s="6" t="str">
        <x:v>resplan-6994</x:v>
      </x:c>
      <x:c r="B182" s="6" t="str">
        <x:v>Residence 6994</x:v>
      </x:c>
      <x:c r="C182" s="6" t="str">
        <x:v>train</x:v>
      </x:c>
      <x:c r="D182" s="6" t="str">
        <x:v>resplan</x:v>
      </x:c>
      <x:c r="E182" s="6" t="str">
        <x:v>CC-BY-4.0</x:v>
      </x:c>
      <x:c r="F182" s="18" t="n">
        <x:v>1</x:v>
      </x:c>
      <x:c r="G182" s="6" t="str">
        <x:v>0</x:v>
      </x:c>
      <x:c r="H182" s="18" t="n">
        <x:v>10</x:v>
      </x:c>
      <x:c r="I182" s="18" t="n">
        <x:v>8</x:v>
      </x:c>
      <x:c r="J182" s="18" t="n">
        <x:v>31</x:v>
      </x:c>
      <x:c r="K182" s="18" t="n">
        <x:v>4</x:v>
      </x:c>
      <x:c r="L182" s="18" t="n">
        <x:v>9</x:v>
      </x:c>
      <x:c r="M182" s="18" t="n">
        <x:v>13</x:v>
      </x:c>
      <x:c r="N182" s="18" t="n">
        <x:v>13</x:v>
      </x:c>
      <x:c r="O182" s="18" t="n">
        <x:v>0</x:v>
      </x:c>
      <x:c r="P182" s="18" t="n">
        <x:v>9</x:v>
      </x:c>
      <x:c r="Q182" s="6" t="str">
        <x:v>count, errand, floor_area_total, largest_room, locate, route, route_step_free, shared_walls_count, tour</x:v>
      </x:c>
      <x:c r="R182" s="21" t="b">
        <x:v>0</x:v>
      </x:c>
      <x:c r="S182" s="21" t="b">
        <x:v>0</x:v>
      </x:c>
      <x:c r="T182" s="6" t="str">
        <x:v>ResPlan, Agour et al., https://github.com/m-agour/ResPlan (CC BY 4.0)</x:v>
      </x:c>
      <x:c r="U182" s="6" t="str">
        <x:v>data/train/resplan-6994/building.json</x:v>
      </x:c>
      <x:c r="V182" s="6" t="str">
        <x:v>https://github.com/hagenhaeussler/Industrial-Agents-Hackathon-2026/blob/f41616590b69f3ea0c1cbfb41d6c35edd9ce53df/data/train/resplan-6994/building.json</x:v>
      </x:c>
    </x:row>
    <x:row r="183" ht="54" customHeight="1">
      <x:c r="A183" s="6" t="str">
        <x:v>resplan-7151</x:v>
      </x:c>
      <x:c r="B183" s="6" t="str">
        <x:v>Residence 7151</x:v>
      </x:c>
      <x:c r="C183" s="6" t="str">
        <x:v>train</x:v>
      </x:c>
      <x:c r="D183" s="6" t="str">
        <x:v>resplan</x:v>
      </x:c>
      <x:c r="E183" s="6" t="str">
        <x:v>CC-BY-4.0</x:v>
      </x:c>
      <x:c r="F183" s="18" t="n">
        <x:v>1</x:v>
      </x:c>
      <x:c r="G183" s="6" t="str">
        <x:v>0</x:v>
      </x:c>
      <x:c r="H183" s="18" t="n">
        <x:v>7</x:v>
      </x:c>
      <x:c r="I183" s="18" t="n">
        <x:v>6</x:v>
      </x:c>
      <x:c r="J183" s="18" t="n">
        <x:v>28</x:v>
      </x:c>
      <x:c r="K183" s="18" t="n">
        <x:v>2</x:v>
      </x:c>
      <x:c r="L183" s="18" t="n">
        <x:v>9</x:v>
      </x:c>
      <x:c r="M183" s="18" t="n">
        <x:v>11</x:v>
      </x:c>
      <x:c r="N183" s="18" t="n">
        <x:v>11</x:v>
      </x:c>
      <x:c r="O183" s="18" t="n">
        <x:v>0</x:v>
      </x:c>
      <x:c r="P183" s="18" t="n">
        <x:v>7</x:v>
      </x:c>
      <x:c r="Q183" s="6" t="str">
        <x:v>count, locate, route, route_step_free, shared_walls_count, tour, wide_delivery_count</x:v>
      </x:c>
      <x:c r="R183" s="21" t="b">
        <x:v>0</x:v>
      </x:c>
      <x:c r="S183" s="21" t="b">
        <x:v>0</x:v>
      </x:c>
      <x:c r="T183" s="6" t="str">
        <x:v>ResPlan, Agour et al., https://github.com/m-agour/ResPlan (CC BY 4.0)</x:v>
      </x:c>
      <x:c r="U183" s="6" t="str">
        <x:v>data/train/resplan-7151/building.json</x:v>
      </x:c>
      <x:c r="V183" s="6" t="str">
        <x:v>https://github.com/hagenhaeussler/Industrial-Agents-Hackathon-2026/blob/f41616590b69f3ea0c1cbfb41d6c35edd9ce53df/data/train/resplan-7151/building.json</x:v>
      </x:c>
    </x:row>
    <x:row r="184" ht="54" customHeight="1">
      <x:c r="A184" s="6" t="str">
        <x:v>resplan-7471</x:v>
      </x:c>
      <x:c r="B184" s="6" t="str">
        <x:v>Residence 7471</x:v>
      </x:c>
      <x:c r="C184" s="6" t="str">
        <x:v>train</x:v>
      </x:c>
      <x:c r="D184" s="6" t="str">
        <x:v>resplan</x:v>
      </x:c>
      <x:c r="E184" s="6" t="str">
        <x:v>CC-BY-4.0</x:v>
      </x:c>
      <x:c r="F184" s="18" t="n">
        <x:v>1</x:v>
      </x:c>
      <x:c r="G184" s="6" t="str">
        <x:v>0</x:v>
      </x:c>
      <x:c r="H184" s="18" t="n">
        <x:v>6</x:v>
      </x:c>
      <x:c r="I184" s="18" t="n">
        <x:v>6</x:v>
      </x:c>
      <x:c r="J184" s="18" t="n">
        <x:v>22</x:v>
      </x:c>
      <x:c r="K184" s="18" t="n">
        <x:v>2</x:v>
      </x:c>
      <x:c r="L184" s="18" t="n">
        <x:v>9</x:v>
      </x:c>
      <x:c r="M184" s="18" t="n">
        <x:v>11</x:v>
      </x:c>
      <x:c r="N184" s="18" t="n">
        <x:v>11</x:v>
      </x:c>
      <x:c r="O184" s="18" t="n">
        <x:v>0</x:v>
      </x:c>
      <x:c r="P184" s="18" t="n">
        <x:v>7</x:v>
      </x:c>
      <x:c r="Q184" s="6" t="str">
        <x:v>count, locate, route, route_step_free, shared_walls_count, tour, wide_delivery_count</x:v>
      </x:c>
      <x:c r="R184" s="21" t="b">
        <x:v>0</x:v>
      </x:c>
      <x:c r="S184" s="21" t="b">
        <x:v>0</x:v>
      </x:c>
      <x:c r="T184" s="6" t="str">
        <x:v>ResPlan, Agour et al., https://github.com/m-agour/ResPlan (CC BY 4.0)</x:v>
      </x:c>
      <x:c r="U184" s="6" t="str">
        <x:v>data/train/resplan-7471/building.json</x:v>
      </x:c>
      <x:c r="V184" s="6" t="str">
        <x:v>https://github.com/hagenhaeussler/Industrial-Agents-Hackathon-2026/blob/f41616590b69f3ea0c1cbfb41d6c35edd9ce53df/data/train/resplan-7471/building.json</x:v>
      </x:c>
    </x:row>
    <x:row r="185" ht="54" customHeight="1">
      <x:c r="A185" s="6" t="str">
        <x:v>resplan-7667</x:v>
      </x:c>
      <x:c r="B185" s="6" t="str">
        <x:v>Residence 7667</x:v>
      </x:c>
      <x:c r="C185" s="6" t="str">
        <x:v>train</x:v>
      </x:c>
      <x:c r="D185" s="6" t="str">
        <x:v>resplan</x:v>
      </x:c>
      <x:c r="E185" s="6" t="str">
        <x:v>CC-BY-4.0</x:v>
      </x:c>
      <x:c r="F185" s="18" t="n">
        <x:v>1</x:v>
      </x:c>
      <x:c r="G185" s="6" t="str">
        <x:v>0</x:v>
      </x:c>
      <x:c r="H185" s="18" t="n">
        <x:v>7</x:v>
      </x:c>
      <x:c r="I185" s="18" t="n">
        <x:v>6</x:v>
      </x:c>
      <x:c r="J185" s="18" t="n">
        <x:v>27</x:v>
      </x:c>
      <x:c r="K185" s="18" t="n">
        <x:v>2</x:v>
      </x:c>
      <x:c r="L185" s="18" t="n">
        <x:v>9</x:v>
      </x:c>
      <x:c r="M185" s="18" t="n">
        <x:v>11</x:v>
      </x:c>
      <x:c r="N185" s="18" t="n">
        <x:v>11</x:v>
      </x:c>
      <x:c r="O185" s="18" t="n">
        <x:v>0</x:v>
      </x:c>
      <x:c r="P185" s="18" t="n">
        <x:v>7</x:v>
      </x:c>
      <x:c r="Q185" s="6" t="str">
        <x:v>count, locate, route, route_step_free, shared_walls_count, tour, wide_delivery_count</x:v>
      </x:c>
      <x:c r="R185" s="21" t="b">
        <x:v>0</x:v>
      </x:c>
      <x:c r="S185" s="21" t="b">
        <x:v>0</x:v>
      </x:c>
      <x:c r="T185" s="6" t="str">
        <x:v>ResPlan, Agour et al., https://github.com/m-agour/ResPlan (CC BY 4.0)</x:v>
      </x:c>
      <x:c r="U185" s="6" t="str">
        <x:v>data/train/resplan-7667/building.json</x:v>
      </x:c>
      <x:c r="V185" s="6" t="str">
        <x:v>https://github.com/hagenhaeussler/Industrial-Agents-Hackathon-2026/blob/f41616590b69f3ea0c1cbfb41d6c35edd9ce53df/data/train/resplan-7667/building.json</x:v>
      </x:c>
    </x:row>
    <x:row r="186" ht="54" customHeight="1">
      <x:c r="A186" s="6" t="str">
        <x:v>resplan-7709</x:v>
      </x:c>
      <x:c r="B186" s="6" t="str">
        <x:v>Residence 7709</x:v>
      </x:c>
      <x:c r="C186" s="6" t="str">
        <x:v>train</x:v>
      </x:c>
      <x:c r="D186" s="6" t="str">
        <x:v>resplan</x:v>
      </x:c>
      <x:c r="E186" s="6" t="str">
        <x:v>CC-BY-4.0</x:v>
      </x:c>
      <x:c r="F186" s="18" t="n">
        <x:v>1</x:v>
      </x:c>
      <x:c r="G186" s="6" t="str">
        <x:v>0</x:v>
      </x:c>
      <x:c r="H186" s="18" t="n">
        <x:v>6</x:v>
      </x:c>
      <x:c r="I186" s="18" t="n">
        <x:v>6</x:v>
      </x:c>
      <x:c r="J186" s="18" t="n">
        <x:v>28</x:v>
      </x:c>
      <x:c r="K186" s="18" t="n">
        <x:v>1</x:v>
      </x:c>
      <x:c r="L186" s="18" t="n">
        <x:v>9</x:v>
      </x:c>
      <x:c r="M186" s="18" t="n">
        <x:v>10</x:v>
      </x:c>
      <x:c r="N186" s="18" t="n">
        <x:v>10</x:v>
      </x:c>
      <x:c r="O186" s="18" t="n">
        <x:v>0</x:v>
      </x:c>
      <x:c r="P186" s="18" t="n">
        <x:v>6</x:v>
      </x:c>
      <x:c r="Q186" s="6" t="str">
        <x:v>count, locate, route, route_step_free, shared_walls_count, tour</x:v>
      </x:c>
      <x:c r="R186" s="21" t="b">
        <x:v>0</x:v>
      </x:c>
      <x:c r="S186" s="21" t="b">
        <x:v>0</x:v>
      </x:c>
      <x:c r="T186" s="6" t="str">
        <x:v>ResPlan, Agour et al., https://github.com/m-agour/ResPlan (CC BY 4.0)</x:v>
      </x:c>
      <x:c r="U186" s="6" t="str">
        <x:v>data/train/resplan-7709/building.json</x:v>
      </x:c>
      <x:c r="V186" s="6" t="str">
        <x:v>https://github.com/hagenhaeussler/Industrial-Agents-Hackathon-2026/blob/f41616590b69f3ea0c1cbfb41d6c35edd9ce53df/data/train/resplan-7709/building.json</x:v>
      </x:c>
    </x:row>
    <x:row r="187" ht="54" customHeight="1">
      <x:c r="A187" s="6" t="str">
        <x:v>resplan-7948</x:v>
      </x:c>
      <x:c r="B187" s="6" t="str">
        <x:v>Residence 7948</x:v>
      </x:c>
      <x:c r="C187" s="6" t="str">
        <x:v>train</x:v>
      </x:c>
      <x:c r="D187" s="6" t="str">
        <x:v>resplan</x:v>
      </x:c>
      <x:c r="E187" s="6" t="str">
        <x:v>CC-BY-4.0</x:v>
      </x:c>
      <x:c r="F187" s="18" t="n">
        <x:v>1</x:v>
      </x:c>
      <x:c r="G187" s="6" t="str">
        <x:v>0</x:v>
      </x:c>
      <x:c r="H187" s="18" t="n">
        <x:v>8</x:v>
      </x:c>
      <x:c r="I187" s="18" t="n">
        <x:v>6</x:v>
      </x:c>
      <x:c r="J187" s="18" t="n">
        <x:v>29</x:v>
      </x:c>
      <x:c r="K187" s="18" t="n">
        <x:v>0</x:v>
      </x:c>
      <x:c r="L187" s="18" t="n">
        <x:v>9</x:v>
      </x:c>
      <x:c r="M187" s="18" t="n">
        <x:v>9</x:v>
      </x:c>
      <x:c r="N187" s="18" t="n">
        <x:v>9</x:v>
      </x:c>
      <x:c r="O187" s="18" t="n">
        <x:v>0</x:v>
      </x:c>
      <x:c r="P187" s="18" t="n">
        <x:v>5</x:v>
      </x:c>
      <x:c r="Q187" s="6" t="str">
        <x:v>count, locate, route, route_step_free, tour</x:v>
      </x:c>
      <x:c r="R187" s="21" t="b">
        <x:v>0</x:v>
      </x:c>
      <x:c r="S187" s="21" t="b">
        <x:v>0</x:v>
      </x:c>
      <x:c r="T187" s="6" t="str">
        <x:v>ResPlan, Agour et al., https://github.com/m-agour/ResPlan (CC BY 4.0)</x:v>
      </x:c>
      <x:c r="U187" s="6" t="str">
        <x:v>data/train/resplan-7948/building.json</x:v>
      </x:c>
      <x:c r="V187" s="6" t="str">
        <x:v>https://github.com/hagenhaeussler/Industrial-Agents-Hackathon-2026/blob/f41616590b69f3ea0c1cbfb41d6c35edd9ce53df/data/train/resplan-7948/building.json</x:v>
      </x:c>
    </x:row>
    <x:row r="188" ht="54" customHeight="1">
      <x:c r="A188" s="6" t="str">
        <x:v>resplan-8006</x:v>
      </x:c>
      <x:c r="B188" s="6" t="str">
        <x:v>Residence 8006</x:v>
      </x:c>
      <x:c r="C188" s="6" t="str">
        <x:v>train</x:v>
      </x:c>
      <x:c r="D188" s="6" t="str">
        <x:v>resplan</x:v>
      </x:c>
      <x:c r="E188" s="6" t="str">
        <x:v>CC-BY-4.0</x:v>
      </x:c>
      <x:c r="F188" s="18" t="n">
        <x:v>1</x:v>
      </x:c>
      <x:c r="G188" s="6" t="str">
        <x:v>0</x:v>
      </x:c>
      <x:c r="H188" s="18" t="n">
        <x:v>7</x:v>
      </x:c>
      <x:c r="I188" s="18" t="n">
        <x:v>5</x:v>
      </x:c>
      <x:c r="J188" s="18" t="n">
        <x:v>22</x:v>
      </x:c>
      <x:c r="K188" s="18" t="n">
        <x:v>1</x:v>
      </x:c>
      <x:c r="L188" s="18" t="n">
        <x:v>9</x:v>
      </x:c>
      <x:c r="M188" s="18" t="n">
        <x:v>10</x:v>
      </x:c>
      <x:c r="N188" s="18" t="n">
        <x:v>10</x:v>
      </x:c>
      <x:c r="O188" s="18" t="n">
        <x:v>0</x:v>
      </x:c>
      <x:c r="P188" s="18" t="n">
        <x:v>6</x:v>
      </x:c>
      <x:c r="Q188" s="6" t="str">
        <x:v>count, locate, route, route_step_free, shared_walls_count, tour</x:v>
      </x:c>
      <x:c r="R188" s="21" t="b">
        <x:v>0</x:v>
      </x:c>
      <x:c r="S188" s="21" t="b">
        <x:v>0</x:v>
      </x:c>
      <x:c r="T188" s="6" t="str">
        <x:v>ResPlan, Agour et al., https://github.com/m-agour/ResPlan (CC BY 4.0)</x:v>
      </x:c>
      <x:c r="U188" s="6" t="str">
        <x:v>data/train/resplan-8006/building.json</x:v>
      </x:c>
      <x:c r="V188" s="6" t="str">
        <x:v>https://github.com/hagenhaeussler/Industrial-Agents-Hackathon-2026/blob/f41616590b69f3ea0c1cbfb41d6c35edd9ce53df/data/train/resplan-8006/building.json</x:v>
      </x:c>
    </x:row>
    <x:row r="189" ht="54" customHeight="1">
      <x:c r="A189" s="6" t="str">
        <x:v>resplan-8080</x:v>
      </x:c>
      <x:c r="B189" s="6" t="str">
        <x:v>Residence 8080</x:v>
      </x:c>
      <x:c r="C189" s="6" t="str">
        <x:v>train</x:v>
      </x:c>
      <x:c r="D189" s="6" t="str">
        <x:v>resplan</x:v>
      </x:c>
      <x:c r="E189" s="6" t="str">
        <x:v>CC-BY-4.0</x:v>
      </x:c>
      <x:c r="F189" s="18" t="n">
        <x:v>1</x:v>
      </x:c>
      <x:c r="G189" s="6" t="str">
        <x:v>0</x:v>
      </x:c>
      <x:c r="H189" s="18" t="n">
        <x:v>6</x:v>
      </x:c>
      <x:c r="I189" s="18" t="n">
        <x:v>6</x:v>
      </x:c>
      <x:c r="J189" s="18" t="n">
        <x:v>25</x:v>
      </x:c>
      <x:c r="K189" s="18" t="n">
        <x:v>2</x:v>
      </x:c>
      <x:c r="L189" s="18" t="n">
        <x:v>9</x:v>
      </x:c>
      <x:c r="M189" s="18" t="n">
        <x:v>11</x:v>
      </x:c>
      <x:c r="N189" s="18" t="n">
        <x:v>11</x:v>
      </x:c>
      <x:c r="O189" s="18" t="n">
        <x:v>0</x:v>
      </x:c>
      <x:c r="P189" s="18" t="n">
        <x:v>7</x:v>
      </x:c>
      <x:c r="Q189" s="6" t="str">
        <x:v>count, locate, route, route_step_free, shared_walls_count, tour, wide_delivery_count</x:v>
      </x:c>
      <x:c r="R189" s="21" t="b">
        <x:v>0</x:v>
      </x:c>
      <x:c r="S189" s="21" t="b">
        <x:v>0</x:v>
      </x:c>
      <x:c r="T189" s="6" t="str">
        <x:v>ResPlan, Agour et al., https://github.com/m-agour/ResPlan (CC BY 4.0)</x:v>
      </x:c>
      <x:c r="U189" s="6" t="str">
        <x:v>data/train/resplan-8080/building.json</x:v>
      </x:c>
      <x:c r="V189" s="6" t="str">
        <x:v>https://github.com/hagenhaeussler/Industrial-Agents-Hackathon-2026/blob/f41616590b69f3ea0c1cbfb41d6c35edd9ce53df/data/train/resplan-8080/building.json</x:v>
      </x:c>
    </x:row>
    <x:row r="190" ht="54" customHeight="1">
      <x:c r="A190" s="6" t="str">
        <x:v>resplan-8174</x:v>
      </x:c>
      <x:c r="B190" s="6" t="str">
        <x:v>Residence 8174</x:v>
      </x:c>
      <x:c r="C190" s="6" t="str">
        <x:v>train</x:v>
      </x:c>
      <x:c r="D190" s="6" t="str">
        <x:v>resplan</x:v>
      </x:c>
      <x:c r="E190" s="6" t="str">
        <x:v>CC-BY-4.0</x:v>
      </x:c>
      <x:c r="F190" s="18" t="n">
        <x:v>1</x:v>
      </x:c>
      <x:c r="G190" s="6" t="str">
        <x:v>0</x:v>
      </x:c>
      <x:c r="H190" s="18" t="n">
        <x:v>9</x:v>
      </x:c>
      <x:c r="I190" s="18" t="n">
        <x:v>8</x:v>
      </x:c>
      <x:c r="J190" s="18" t="n">
        <x:v>31</x:v>
      </x:c>
      <x:c r="K190" s="18" t="n">
        <x:v>4</x:v>
      </x:c>
      <x:c r="L190" s="18" t="n">
        <x:v>9</x:v>
      </x:c>
      <x:c r="M190" s="18" t="n">
        <x:v>13</x:v>
      </x:c>
      <x:c r="N190" s="18" t="n">
        <x:v>13</x:v>
      </x:c>
      <x:c r="O190" s="18" t="n">
        <x:v>0</x:v>
      </x:c>
      <x:c r="P190" s="18" t="n">
        <x:v>9</x:v>
      </x:c>
      <x:c r="Q190" s="6" t="str">
        <x:v>count, errand, floor_area_total, largest_room, locate, route, route_step_free, shared_walls_count, tour</x:v>
      </x:c>
      <x:c r="R190" s="21" t="b">
        <x:v>0</x:v>
      </x:c>
      <x:c r="S190" s="21" t="b">
        <x:v>0</x:v>
      </x:c>
      <x:c r="T190" s="6" t="str">
        <x:v>ResPlan, Agour et al., https://github.com/m-agour/ResPlan (CC BY 4.0)</x:v>
      </x:c>
      <x:c r="U190" s="6" t="str">
        <x:v>data/train/resplan-8174/building.json</x:v>
      </x:c>
      <x:c r="V190" s="6" t="str">
        <x:v>https://github.com/hagenhaeussler/Industrial-Agents-Hackathon-2026/blob/f41616590b69f3ea0c1cbfb41d6c35edd9ce53df/data/train/resplan-8174/building.json</x:v>
      </x:c>
    </x:row>
    <x:row r="191" ht="54" customHeight="1">
      <x:c r="A191" s="6" t="str">
        <x:v>resplan-8431</x:v>
      </x:c>
      <x:c r="B191" s="6" t="str">
        <x:v>Residence 8431</x:v>
      </x:c>
      <x:c r="C191" s="6" t="str">
        <x:v>train</x:v>
      </x:c>
      <x:c r="D191" s="6" t="str">
        <x:v>resplan</x:v>
      </x:c>
      <x:c r="E191" s="6" t="str">
        <x:v>CC-BY-4.0</x:v>
      </x:c>
      <x:c r="F191" s="18" t="n">
        <x:v>1</x:v>
      </x:c>
      <x:c r="G191" s="6" t="str">
        <x:v>0</x:v>
      </x:c>
      <x:c r="H191" s="18" t="n">
        <x:v>8</x:v>
      </x:c>
      <x:c r="I191" s="18" t="n">
        <x:v>6</x:v>
      </x:c>
      <x:c r="J191" s="18" t="n">
        <x:v>26</x:v>
      </x:c>
      <x:c r="K191" s="18" t="n">
        <x:v>0</x:v>
      </x:c>
      <x:c r="L191" s="18" t="n">
        <x:v>9</x:v>
      </x:c>
      <x:c r="M191" s="18" t="n">
        <x:v>9</x:v>
      </x:c>
      <x:c r="N191" s="18" t="n">
        <x:v>9</x:v>
      </x:c>
      <x:c r="O191" s="18" t="n">
        <x:v>0</x:v>
      </x:c>
      <x:c r="P191" s="18" t="n">
        <x:v>5</x:v>
      </x:c>
      <x:c r="Q191" s="6" t="str">
        <x:v>count, locate, route, route_step_free, tour</x:v>
      </x:c>
      <x:c r="R191" s="21" t="b">
        <x:v>0</x:v>
      </x:c>
      <x:c r="S191" s="21" t="b">
        <x:v>0</x:v>
      </x:c>
      <x:c r="T191" s="6" t="str">
        <x:v>ResPlan, Agour et al., https://github.com/m-agour/ResPlan (CC BY 4.0)</x:v>
      </x:c>
      <x:c r="U191" s="6" t="str">
        <x:v>data/train/resplan-8431/building.json</x:v>
      </x:c>
      <x:c r="V191" s="6" t="str">
        <x:v>https://github.com/hagenhaeussler/Industrial-Agents-Hackathon-2026/blob/f41616590b69f3ea0c1cbfb41d6c35edd9ce53df/data/train/resplan-8431/building.json</x:v>
      </x:c>
    </x:row>
    <x:row r="192" ht="54" customHeight="1">
      <x:c r="A192" s="6" t="str">
        <x:v>resplan-8449</x:v>
      </x:c>
      <x:c r="B192" s="6" t="str">
        <x:v>Residence 8449</x:v>
      </x:c>
      <x:c r="C192" s="6" t="str">
        <x:v>train</x:v>
      </x:c>
      <x:c r="D192" s="6" t="str">
        <x:v>resplan</x:v>
      </x:c>
      <x:c r="E192" s="6" t="str">
        <x:v>CC-BY-4.0</x:v>
      </x:c>
      <x:c r="F192" s="18" t="n">
        <x:v>1</x:v>
      </x:c>
      <x:c r="G192" s="6" t="str">
        <x:v>0</x:v>
      </x:c>
      <x:c r="H192" s="18" t="n">
        <x:v>8</x:v>
      </x:c>
      <x:c r="I192" s="18" t="n">
        <x:v>6</x:v>
      </x:c>
      <x:c r="J192" s="18" t="n">
        <x:v>33</x:v>
      </x:c>
      <x:c r="K192" s="18" t="n">
        <x:v>1</x:v>
      </x:c>
      <x:c r="L192" s="18" t="n">
        <x:v>9</x:v>
      </x:c>
      <x:c r="M192" s="18" t="n">
        <x:v>10</x:v>
      </x:c>
      <x:c r="N192" s="18" t="n">
        <x:v>10</x:v>
      </x:c>
      <x:c r="O192" s="18" t="n">
        <x:v>0</x:v>
      </x:c>
      <x:c r="P192" s="18" t="n">
        <x:v>6</x:v>
      </x:c>
      <x:c r="Q192" s="6" t="str">
        <x:v>count, locate, route, route_step_free, shared_walls_count, tour</x:v>
      </x:c>
      <x:c r="R192" s="21" t="b">
        <x:v>0</x:v>
      </x:c>
      <x:c r="S192" s="21" t="b">
        <x:v>0</x:v>
      </x:c>
      <x:c r="T192" s="6" t="str">
        <x:v>ResPlan, Agour et al., https://github.com/m-agour/ResPlan (CC BY 4.0)</x:v>
      </x:c>
      <x:c r="U192" s="6" t="str">
        <x:v>data/train/resplan-8449/building.json</x:v>
      </x:c>
      <x:c r="V192" s="6" t="str">
        <x:v>https://github.com/hagenhaeussler/Industrial-Agents-Hackathon-2026/blob/f41616590b69f3ea0c1cbfb41d6c35edd9ce53df/data/train/resplan-8449/building.json</x:v>
      </x:c>
    </x:row>
    <x:row r="193" ht="54" customHeight="1">
      <x:c r="A193" s="6" t="str">
        <x:v>resplan-8565</x:v>
      </x:c>
      <x:c r="B193" s="6" t="str">
        <x:v>Residence 8565</x:v>
      </x:c>
      <x:c r="C193" s="6" t="str">
        <x:v>train</x:v>
      </x:c>
      <x:c r="D193" s="6" t="str">
        <x:v>resplan</x:v>
      </x:c>
      <x:c r="E193" s="6" t="str">
        <x:v>CC-BY-4.0</x:v>
      </x:c>
      <x:c r="F193" s="18" t="n">
        <x:v>1</x:v>
      </x:c>
      <x:c r="G193" s="6" t="str">
        <x:v>0</x:v>
      </x:c>
      <x:c r="H193" s="18" t="n">
        <x:v>13</x:v>
      </x:c>
      <x:c r="I193" s="18" t="n">
        <x:v>10</x:v>
      </x:c>
      <x:c r="J193" s="18" t="n">
        <x:v>43</x:v>
      </x:c>
      <x:c r="K193" s="18" t="n">
        <x:v>5</x:v>
      </x:c>
      <x:c r="L193" s="18" t="n">
        <x:v>9</x:v>
      </x:c>
      <x:c r="M193" s="18" t="n">
        <x:v>14</x:v>
      </x:c>
      <x:c r="N193" s="18" t="n">
        <x:v>14</x:v>
      </x:c>
      <x:c r="O193" s="18" t="n">
        <x:v>0</x:v>
      </x:c>
      <x:c r="P193" s="18" t="n">
        <x:v>10</x:v>
      </x:c>
      <x:c r="Q193" s="6" t="str">
        <x:v>count, errand, floor_area_total, largest_room, locate, route, route_step_free, shared_walls_count, tour, wide_delivery_count</x:v>
      </x:c>
      <x:c r="R193" s="21" t="b">
        <x:v>0</x:v>
      </x:c>
      <x:c r="S193" s="21" t="b">
        <x:v>0</x:v>
      </x:c>
      <x:c r="T193" s="6" t="str">
        <x:v>ResPlan, Agour et al., https://github.com/m-agour/ResPlan (CC BY 4.0)</x:v>
      </x:c>
      <x:c r="U193" s="6" t="str">
        <x:v>data/train/resplan-8565/building.json</x:v>
      </x:c>
      <x:c r="V193" s="6" t="str">
        <x:v>https://github.com/hagenhaeussler/Industrial-Agents-Hackathon-2026/blob/f41616590b69f3ea0c1cbfb41d6c35edd9ce53df/data/train/resplan-8565/building.json</x:v>
      </x:c>
    </x:row>
    <x:row r="194" ht="54" customHeight="1">
      <x:c r="A194" s="6" t="str">
        <x:v>resplan-8889</x:v>
      </x:c>
      <x:c r="B194" s="6" t="str">
        <x:v>Residence 8889</x:v>
      </x:c>
      <x:c r="C194" s="6" t="str">
        <x:v>train</x:v>
      </x:c>
      <x:c r="D194" s="6" t="str">
        <x:v>resplan</x:v>
      </x:c>
      <x:c r="E194" s="6" t="str">
        <x:v>CC-BY-4.0</x:v>
      </x:c>
      <x:c r="F194" s="18" t="n">
        <x:v>1</x:v>
      </x:c>
      <x:c r="G194" s="6" t="str">
        <x:v>0</x:v>
      </x:c>
      <x:c r="H194" s="18" t="n">
        <x:v>7</x:v>
      </x:c>
      <x:c r="I194" s="18" t="n">
        <x:v>7</x:v>
      </x:c>
      <x:c r="J194" s="18" t="n">
        <x:v>27</x:v>
      </x:c>
      <x:c r="K194" s="18" t="n">
        <x:v>2</x:v>
      </x:c>
      <x:c r="L194" s="18" t="n">
        <x:v>9</x:v>
      </x:c>
      <x:c r="M194" s="18" t="n">
        <x:v>11</x:v>
      </x:c>
      <x:c r="N194" s="18" t="n">
        <x:v>11</x:v>
      </x:c>
      <x:c r="O194" s="18" t="n">
        <x:v>0</x:v>
      </x:c>
      <x:c r="P194" s="18" t="n">
        <x:v>7</x:v>
      </x:c>
      <x:c r="Q194" s="6" t="str">
        <x:v>count, locate, route, route_step_free, shared_walls_count, tour, wide_delivery_count</x:v>
      </x:c>
      <x:c r="R194" s="21" t="b">
        <x:v>0</x:v>
      </x:c>
      <x:c r="S194" s="21" t="b">
        <x:v>0</x:v>
      </x:c>
      <x:c r="T194" s="6" t="str">
        <x:v>ResPlan, Agour et al., https://github.com/m-agour/ResPlan (CC BY 4.0)</x:v>
      </x:c>
      <x:c r="U194" s="6" t="str">
        <x:v>data/train/resplan-8889/building.json</x:v>
      </x:c>
      <x:c r="V194" s="6" t="str">
        <x:v>https://github.com/hagenhaeussler/Industrial-Agents-Hackathon-2026/blob/f41616590b69f3ea0c1cbfb41d6c35edd9ce53df/data/train/resplan-8889/building.json</x:v>
      </x:c>
    </x:row>
    <x:row r="195" ht="54" customHeight="1">
      <x:c r="A195" s="6" t="str">
        <x:v>resplan-9082</x:v>
      </x:c>
      <x:c r="B195" s="6" t="str">
        <x:v>Residence 9082</x:v>
      </x:c>
      <x:c r="C195" s="6" t="str">
        <x:v>train</x:v>
      </x:c>
      <x:c r="D195" s="6" t="str">
        <x:v>resplan</x:v>
      </x:c>
      <x:c r="E195" s="6" t="str">
        <x:v>CC-BY-4.0</x:v>
      </x:c>
      <x:c r="F195" s="18" t="n">
        <x:v>1</x:v>
      </x:c>
      <x:c r="G195" s="6" t="str">
        <x:v>0</x:v>
      </x:c>
      <x:c r="H195" s="18" t="n">
        <x:v>13</x:v>
      </x:c>
      <x:c r="I195" s="18" t="n">
        <x:v>10</x:v>
      </x:c>
      <x:c r="J195" s="18" t="n">
        <x:v>34</x:v>
      </x:c>
      <x:c r="K195" s="18" t="n">
        <x:v>5</x:v>
      </x:c>
      <x:c r="L195" s="18" t="n">
        <x:v>9</x:v>
      </x:c>
      <x:c r="M195" s="18" t="n">
        <x:v>14</x:v>
      </x:c>
      <x:c r="N195" s="18" t="n">
        <x:v>14</x:v>
      </x:c>
      <x:c r="O195" s="18" t="n">
        <x:v>0</x:v>
      </x:c>
      <x:c r="P195" s="18" t="n">
        <x:v>10</x:v>
      </x:c>
      <x:c r="Q195" s="6" t="str">
        <x:v>count, errand, floor_area_total, largest_room, locate, route, route_step_free, shared_walls_count, tour, wide_delivery_count</x:v>
      </x:c>
      <x:c r="R195" s="21" t="b">
        <x:v>0</x:v>
      </x:c>
      <x:c r="S195" s="21" t="b">
        <x:v>0</x:v>
      </x:c>
      <x:c r="T195" s="6" t="str">
        <x:v>ResPlan, Agour et al., https://github.com/m-agour/ResPlan (CC BY 4.0)</x:v>
      </x:c>
      <x:c r="U195" s="6" t="str">
        <x:v>data/train/resplan-9082/building.json</x:v>
      </x:c>
      <x:c r="V195" s="6" t="str">
        <x:v>https://github.com/hagenhaeussler/Industrial-Agents-Hackathon-2026/blob/f41616590b69f3ea0c1cbfb41d6c35edd9ce53df/data/train/resplan-9082/building.json</x:v>
      </x:c>
    </x:row>
    <x:row r="196" ht="54" customHeight="1">
      <x:c r="A196" s="6" t="str">
        <x:v>resplan-9204</x:v>
      </x:c>
      <x:c r="B196" s="6" t="str">
        <x:v>Residence 9204</x:v>
      </x:c>
      <x:c r="C196" s="6" t="str">
        <x:v>train</x:v>
      </x:c>
      <x:c r="D196" s="6" t="str">
        <x:v>resplan</x:v>
      </x:c>
      <x:c r="E196" s="6" t="str">
        <x:v>CC-BY-4.0</x:v>
      </x:c>
      <x:c r="F196" s="18" t="n">
        <x:v>1</x:v>
      </x:c>
      <x:c r="G196" s="6" t="str">
        <x:v>0</x:v>
      </x:c>
      <x:c r="H196" s="18" t="n">
        <x:v>10</x:v>
      </x:c>
      <x:c r="I196" s="18" t="n">
        <x:v>7</x:v>
      </x:c>
      <x:c r="J196" s="18" t="n">
        <x:v>32</x:v>
      </x:c>
      <x:c r="K196" s="18" t="n">
        <x:v>3</x:v>
      </x:c>
      <x:c r="L196" s="18" t="n">
        <x:v>9</x:v>
      </x:c>
      <x:c r="M196" s="18" t="n">
        <x:v>12</x:v>
      </x:c>
      <x:c r="N196" s="18" t="n">
        <x:v>12</x:v>
      </x:c>
      <x:c r="O196" s="18" t="n">
        <x:v>0</x:v>
      </x:c>
      <x:c r="P196" s="18" t="n">
        <x:v>8</x:v>
      </x:c>
      <x:c r="Q196" s="6" t="str">
        <x:v>count, floor_area_total, locate, route, route_step_free, shared_walls_count, tour, wide_delivery_count</x:v>
      </x:c>
      <x:c r="R196" s="21" t="b">
        <x:v>0</x:v>
      </x:c>
      <x:c r="S196" s="21" t="b">
        <x:v>0</x:v>
      </x:c>
      <x:c r="T196" s="6" t="str">
        <x:v>ResPlan, Agour et al., https://github.com/m-agour/ResPlan (CC BY 4.0)</x:v>
      </x:c>
      <x:c r="U196" s="6" t="str">
        <x:v>data/train/resplan-9204/building.json</x:v>
      </x:c>
      <x:c r="V196" s="6" t="str">
        <x:v>https://github.com/hagenhaeussler/Industrial-Agents-Hackathon-2026/blob/f41616590b69f3ea0c1cbfb41d6c35edd9ce53df/data/train/resplan-9204/building.json</x:v>
      </x:c>
    </x:row>
    <x:row r="197" ht="54" customHeight="1">
      <x:c r="A197" s="6" t="str">
        <x:v>resplan-9416</x:v>
      </x:c>
      <x:c r="B197" s="6" t="str">
        <x:v>Residence 9416</x:v>
      </x:c>
      <x:c r="C197" s="6" t="str">
        <x:v>train</x:v>
      </x:c>
      <x:c r="D197" s="6" t="str">
        <x:v>resplan</x:v>
      </x:c>
      <x:c r="E197" s="6" t="str">
        <x:v>CC-BY-4.0</x:v>
      </x:c>
      <x:c r="F197" s="18" t="n">
        <x:v>1</x:v>
      </x:c>
      <x:c r="G197" s="6" t="str">
        <x:v>0</x:v>
      </x:c>
      <x:c r="H197" s="18" t="n">
        <x:v>8</x:v>
      </x:c>
      <x:c r="I197" s="18" t="n">
        <x:v>6</x:v>
      </x:c>
      <x:c r="J197" s="18" t="n">
        <x:v>29</x:v>
      </x:c>
      <x:c r="K197" s="18" t="n">
        <x:v>2</x:v>
      </x:c>
      <x:c r="L197" s="18" t="n">
        <x:v>9</x:v>
      </x:c>
      <x:c r="M197" s="18" t="n">
        <x:v>11</x:v>
      </x:c>
      <x:c r="N197" s="18" t="n">
        <x:v>11</x:v>
      </x:c>
      <x:c r="O197" s="18" t="n">
        <x:v>0</x:v>
      </x:c>
      <x:c r="P197" s="18" t="n">
        <x:v>7</x:v>
      </x:c>
      <x:c r="Q197" s="6" t="str">
        <x:v>count, locate, route, route_step_free, shared_walls_count, tour, wide_delivery_count</x:v>
      </x:c>
      <x:c r="R197" s="21" t="b">
        <x:v>0</x:v>
      </x:c>
      <x:c r="S197" s="21" t="b">
        <x:v>0</x:v>
      </x:c>
      <x:c r="T197" s="6" t="str">
        <x:v>ResPlan, Agour et al., https://github.com/m-agour/ResPlan (CC BY 4.0)</x:v>
      </x:c>
      <x:c r="U197" s="6" t="str">
        <x:v>data/train/resplan-9416/building.json</x:v>
      </x:c>
      <x:c r="V197" s="6" t="str">
        <x:v>https://github.com/hagenhaeussler/Industrial-Agents-Hackathon-2026/blob/f41616590b69f3ea0c1cbfb41d6c35edd9ce53df/data/train/resplan-9416/building.json</x:v>
      </x:c>
    </x:row>
    <x:row r="198" ht="54" customHeight="1">
      <x:c r="A198" s="6" t="str">
        <x:v>resplan-9515</x:v>
      </x:c>
      <x:c r="B198" s="6" t="str">
        <x:v>Residence 9515</x:v>
      </x:c>
      <x:c r="C198" s="6" t="str">
        <x:v>train</x:v>
      </x:c>
      <x:c r="D198" s="6" t="str">
        <x:v>resplan</x:v>
      </x:c>
      <x:c r="E198" s="6" t="str">
        <x:v>CC-BY-4.0</x:v>
      </x:c>
      <x:c r="F198" s="18" t="n">
        <x:v>1</x:v>
      </x:c>
      <x:c r="G198" s="6" t="str">
        <x:v>0</x:v>
      </x:c>
      <x:c r="H198" s="18" t="n">
        <x:v>9</x:v>
      </x:c>
      <x:c r="I198" s="18" t="n">
        <x:v>7</x:v>
      </x:c>
      <x:c r="J198" s="18" t="n">
        <x:v>34</x:v>
      </x:c>
      <x:c r="K198" s="18" t="n">
        <x:v>1</x:v>
      </x:c>
      <x:c r="L198" s="18" t="n">
        <x:v>9</x:v>
      </x:c>
      <x:c r="M198" s="18" t="n">
        <x:v>10</x:v>
      </x:c>
      <x:c r="N198" s="18" t="n">
        <x:v>10</x:v>
      </x:c>
      <x:c r="O198" s="18" t="n">
        <x:v>0</x:v>
      </x:c>
      <x:c r="P198" s="18" t="n">
        <x:v>6</x:v>
      </x:c>
      <x:c r="Q198" s="6" t="str">
        <x:v>count, floor_area_total, locate, route, route_step_free, tour</x:v>
      </x:c>
      <x:c r="R198" s="21" t="b">
        <x:v>0</x:v>
      </x:c>
      <x:c r="S198" s="21" t="b">
        <x:v>0</x:v>
      </x:c>
      <x:c r="T198" s="6" t="str">
        <x:v>ResPlan, Agour et al., https://github.com/m-agour/ResPlan (CC BY 4.0)</x:v>
      </x:c>
      <x:c r="U198" s="6" t="str">
        <x:v>data/train/resplan-9515/building.json</x:v>
      </x:c>
      <x:c r="V198" s="6" t="str">
        <x:v>https://github.com/hagenhaeussler/Industrial-Agents-Hackathon-2026/blob/f41616590b69f3ea0c1cbfb41d6c35edd9ce53df/data/train/resplan-9515/building.json</x:v>
      </x:c>
    </x:row>
    <x:row r="199" ht="54" customHeight="1">
      <x:c r="A199" s="6" t="str">
        <x:v>resplan-9809</x:v>
      </x:c>
      <x:c r="B199" s="6" t="str">
        <x:v>Residence 9809</x:v>
      </x:c>
      <x:c r="C199" s="6" t="str">
        <x:v>train</x:v>
      </x:c>
      <x:c r="D199" s="6" t="str">
        <x:v>resplan</x:v>
      </x:c>
      <x:c r="E199" s="6" t="str">
        <x:v>CC-BY-4.0</x:v>
      </x:c>
      <x:c r="F199" s="18" t="n">
        <x:v>1</x:v>
      </x:c>
      <x:c r="G199" s="6" t="str">
        <x:v>0</x:v>
      </x:c>
      <x:c r="H199" s="18" t="n">
        <x:v>9</x:v>
      </x:c>
      <x:c r="I199" s="18" t="n">
        <x:v>8</x:v>
      </x:c>
      <x:c r="J199" s="18" t="n">
        <x:v>38</x:v>
      </x:c>
      <x:c r="K199" s="18" t="n">
        <x:v>4</x:v>
      </x:c>
      <x:c r="L199" s="18" t="n">
        <x:v>9</x:v>
      </x:c>
      <x:c r="M199" s="18" t="n">
        <x:v>13</x:v>
      </x:c>
      <x:c r="N199" s="18" t="n">
        <x:v>13</x:v>
      </x:c>
      <x:c r="O199" s="18" t="n">
        <x:v>0</x:v>
      </x:c>
      <x:c r="P199" s="18" t="n">
        <x:v>9</x:v>
      </x:c>
      <x:c r="Q199" s="6" t="str">
        <x:v>count, errand, floor_area_total, largest_room, locate, route, route_step_free, shared_walls_count, tour</x:v>
      </x:c>
      <x:c r="R199" s="21" t="b">
        <x:v>0</x:v>
      </x:c>
      <x:c r="S199" s="21" t="b">
        <x:v>0</x:v>
      </x:c>
      <x:c r="T199" s="6" t="str">
        <x:v>ResPlan, Agour et al., https://github.com/m-agour/ResPlan (CC BY 4.0)</x:v>
      </x:c>
      <x:c r="U199" s="6" t="str">
        <x:v>data/train/resplan-9809/building.json</x:v>
      </x:c>
      <x:c r="V199" s="6" t="str">
        <x:v>https://github.com/hagenhaeussler/Industrial-Agents-Hackathon-2026/blob/f41616590b69f3ea0c1cbfb41d6c35edd9ce53df/data/train/resplan-9809/building.json</x:v>
      </x:c>
    </x:row>
    <x:row r="200" ht="54" customHeight="1">
      <x:c r="A200" s="6" t="str">
        <x:v>resplan-9872</x:v>
      </x:c>
      <x:c r="B200" s="6" t="str">
        <x:v>Residence 9872</x:v>
      </x:c>
      <x:c r="C200" s="6" t="str">
        <x:v>train</x:v>
      </x:c>
      <x:c r="D200" s="6" t="str">
        <x:v>resplan</x:v>
      </x:c>
      <x:c r="E200" s="6" t="str">
        <x:v>CC-BY-4.0</x:v>
      </x:c>
      <x:c r="F200" s="18" t="n">
        <x:v>1</x:v>
      </x:c>
      <x:c r="G200" s="6" t="str">
        <x:v>0</x:v>
      </x:c>
      <x:c r="H200" s="18" t="n">
        <x:v>7</x:v>
      </x:c>
      <x:c r="I200" s="18" t="n">
        <x:v>6</x:v>
      </x:c>
      <x:c r="J200" s="18" t="n">
        <x:v>28</x:v>
      </x:c>
      <x:c r="K200" s="18" t="n">
        <x:v>2</x:v>
      </x:c>
      <x:c r="L200" s="18" t="n">
        <x:v>9</x:v>
      </x:c>
      <x:c r="M200" s="18" t="n">
        <x:v>11</x:v>
      </x:c>
      <x:c r="N200" s="18" t="n">
        <x:v>11</x:v>
      </x:c>
      <x:c r="O200" s="18" t="n">
        <x:v>0</x:v>
      </x:c>
      <x:c r="P200" s="18" t="n">
        <x:v>7</x:v>
      </x:c>
      <x:c r="Q200" s="6" t="str">
        <x:v>count, locate, route, route_step_free, shared_walls_count, tour, wide_delivery_count</x:v>
      </x:c>
      <x:c r="R200" s="21" t="b">
        <x:v>0</x:v>
      </x:c>
      <x:c r="S200" s="21" t="b">
        <x:v>0</x:v>
      </x:c>
      <x:c r="T200" s="6" t="str">
        <x:v>ResPlan, Agour et al., https://github.com/m-agour/ResPlan (CC BY 4.0)</x:v>
      </x:c>
      <x:c r="U200" s="6" t="str">
        <x:v>data/train/resplan-9872/building.json</x:v>
      </x:c>
      <x:c r="V200" s="6" t="str">
        <x:v>https://github.com/hagenhaeussler/Industrial-Agents-Hackathon-2026/blob/f41616590b69f3ea0c1cbfb41d6c35edd9ce53df/data/train/resplan-9872/building.json</x:v>
      </x:c>
    </x:row>
    <x:row r="201" ht="54" customHeight="1">
      <x:c r="A201" s="6" t="str">
        <x:v>swiss-1075</x:v>
      </x:c>
      <x:c r="B201" s="6" t="str">
        <x:v>Residential building 1075</x:v>
      </x:c>
      <x:c r="C201" s="6" t="str">
        <x:v>train</x:v>
      </x:c>
      <x:c r="D201" s="6" t="str">
        <x:v>swiss_dwellings</x:v>
      </x:c>
      <x:c r="E201" s="6" t="str">
        <x:v>CC-BY-4.0</x:v>
      </x:c>
      <x:c r="F201" s="18" t="n">
        <x:v>3</x:v>
      </x:c>
      <x:c r="G201" s="6" t="str">
        <x:v>0, 1, 2</x:v>
      </x:c>
      <x:c r="H201" s="18" t="n">
        <x:v>50</x:v>
      </x:c>
      <x:c r="I201" s="18" t="n">
        <x:v>34</x:v>
      </x:c>
      <x:c r="J201" s="18" t="n">
        <x:v>167</x:v>
      </x:c>
      <x:c r="K201" s="18" t="n">
        <x:v>4</x:v>
      </x:c>
      <x:c r="L201" s="18" t="n">
        <x:v>10</x:v>
      </x:c>
      <x:c r="M201" s="18" t="n">
        <x:v>14</x:v>
      </x:c>
      <x:c r="N201" s="18" t="n">
        <x:v>14</x:v>
      </x:c>
      <x:c r="O201" s="18" t="n">
        <x:v>0</x:v>
      </x:c>
      <x:c r="P201" s="18" t="n">
        <x:v>10</x:v>
      </x:c>
      <x:c r="Q201" s="6" t="str">
        <x:v>count, errand, floor_area_total, largest_room, locate, route, route_step_free, route_with_closure, shared_walls_count, tour</x:v>
      </x:c>
      <x:c r="R201" s="21" t="b">
        <x:v>0</x:v>
      </x:c>
      <x:c r="S201" s="21" t="b">
        <x:v>1</x:v>
      </x:c>
      <x:c r="T201" s="6" t="str">
        <x:v>Swiss Dwellings, Archilyse AG / Standfest et al., https://zenodo.org/records/7070952 (CC BY 4.0)</x:v>
      </x:c>
      <x:c r="U201" s="6" t="str">
        <x:v>data/train/swiss-1075/building.json</x:v>
      </x:c>
      <x:c r="V201" s="6" t="str">
        <x:v>https://github.com/hagenhaeussler/Industrial-Agents-Hackathon-2026/blob/f41616590b69f3ea0c1cbfb41d6c35edd9ce53df/data/train/swiss-1075/building.json</x:v>
      </x:c>
    </x:row>
    <x:row r="202" ht="54" customHeight="1">
      <x:c r="A202" s="6" t="str">
        <x:v>swiss-1104</x:v>
      </x:c>
      <x:c r="B202" s="6" t="str">
        <x:v>Residential building 1104</x:v>
      </x:c>
      <x:c r="C202" s="6" t="str">
        <x:v>train</x:v>
      </x:c>
      <x:c r="D202" s="6" t="str">
        <x:v>swiss_dwellings</x:v>
      </x:c>
      <x:c r="E202" s="6" t="str">
        <x:v>CC-BY-4.0</x:v>
      </x:c>
      <x:c r="F202" s="18" t="n">
        <x:v>5</x:v>
      </x:c>
      <x:c r="G202" s="6" t="str">
        <x:v>0, 1, 2, 3, 4</x:v>
      </x:c>
      <x:c r="H202" s="18" t="n">
        <x:v>143</x:v>
      </x:c>
      <x:c r="I202" s="18" t="n">
        <x:v>89</x:v>
      </x:c>
      <x:c r="J202" s="18" t="n">
        <x:v>429</x:v>
      </x:c>
      <x:c r="K202" s="18" t="n">
        <x:v>1</x:v>
      </x:c>
      <x:c r="L202" s="18" t="n">
        <x:v>7</x:v>
      </x:c>
      <x:c r="M202" s="18" t="n">
        <x:v>8</x:v>
      </x:c>
      <x:c r="N202" s="18" t="n">
        <x:v>8</x:v>
      </x:c>
      <x:c r="O202" s="18" t="n">
        <x:v>0</x:v>
      </x:c>
      <x:c r="P202" s="18" t="n">
        <x:v>6</x:v>
      </x:c>
      <x:c r="Q202" s="6" t="str">
        <x:v>count, floor_area_total, route, route_step_free, route_with_closure, tour</x:v>
      </x:c>
      <x:c r="R202" s="21" t="b">
        <x:v>0</x:v>
      </x:c>
      <x:c r="S202" s="21" t="b">
        <x:v>1</x:v>
      </x:c>
      <x:c r="T202" s="6" t="str">
        <x:v>Swiss Dwellings, Archilyse AG / Standfest et al., https://zenodo.org/records/7070952 (CC BY 4.0)</x:v>
      </x:c>
      <x:c r="U202" s="6" t="str">
        <x:v>data/train/swiss-1104/building.json</x:v>
      </x:c>
      <x:c r="V202" s="6" t="str">
        <x:v>https://github.com/hagenhaeussler/Industrial-Agents-Hackathon-2026/blob/f41616590b69f3ea0c1cbfb41d6c35edd9ce53df/data/train/swiss-1104/building.json</x:v>
      </x:c>
    </x:row>
    <x:row r="203" ht="54" customHeight="1">
      <x:c r="A203" s="6" t="str">
        <x:v>swiss-1110</x:v>
      </x:c>
      <x:c r="B203" s="6" t="str">
        <x:v>Residential building 1110</x:v>
      </x:c>
      <x:c r="C203" s="6" t="str">
        <x:v>train</x:v>
      </x:c>
      <x:c r="D203" s="6" t="str">
        <x:v>swiss_dwellings</x:v>
      </x:c>
      <x:c r="E203" s="6" t="str">
        <x:v>CC-BY-4.0</x:v>
      </x:c>
      <x:c r="F203" s="18" t="n">
        <x:v>6</x:v>
      </x:c>
      <x:c r="G203" s="6" t="str">
        <x:v>0, 1, 2, 3, 4, 5</x:v>
      </x:c>
      <x:c r="H203" s="18" t="n">
        <x:v>191</x:v>
      </x:c>
      <x:c r="I203" s="18" t="n">
        <x:v>123</x:v>
      </x:c>
      <x:c r="J203" s="18" t="n">
        <x:v>586</x:v>
      </x:c>
      <x:c r="K203" s="18" t="n">
        <x:v>4</x:v>
      </x:c>
      <x:c r="L203" s="18" t="n">
        <x:v>8</x:v>
      </x:c>
      <x:c r="M203" s="18" t="n">
        <x:v>12</x:v>
      </x:c>
      <x:c r="N203" s="18" t="n">
        <x:v>12</x:v>
      </x:c>
      <x:c r="O203" s="18" t="n">
        <x:v>0</x:v>
      </x:c>
      <x:c r="P203" s="18" t="n">
        <x:v>10</x:v>
      </x:c>
      <x:c r="Q203" s="6" t="str">
        <x:v>count, errand, floor_area_total, largest_room, locate, route, route_step_free, route_with_closure, shared_walls_count, tour</x:v>
      </x:c>
      <x:c r="R203" s="21" t="b">
        <x:v>1</x:v>
      </x:c>
      <x:c r="S203" s="21" t="b">
        <x:v>1</x:v>
      </x:c>
      <x:c r="T203" s="6" t="str">
        <x:v>Swiss Dwellings, Archilyse AG / Standfest et al., https://zenodo.org/records/7070952 (CC BY 4.0)</x:v>
      </x:c>
      <x:c r="U203" s="6" t="str">
        <x:v>data/train/swiss-1110/building.json</x:v>
      </x:c>
      <x:c r="V203" s="6" t="str">
        <x:v>https://github.com/hagenhaeussler/Industrial-Agents-Hackathon-2026/blob/f41616590b69f3ea0c1cbfb41d6c35edd9ce53df/data/train/swiss-1110/building.json</x:v>
      </x:c>
    </x:row>
    <x:row r="204" ht="42" customHeight="1">
      <x:c r="A204" s="6" t="str">
        <x:v>swiss-116</x:v>
      </x:c>
      <x:c r="B204" s="6" t="str">
        <x:v>Residential building 116</x:v>
      </x:c>
      <x:c r="C204" s="6" t="str">
        <x:v>train</x:v>
      </x:c>
      <x:c r="D204" s="6" t="str">
        <x:v>swiss_dwellings</x:v>
      </x:c>
      <x:c r="E204" s="6" t="str">
        <x:v>CC-BY-4.0</x:v>
      </x:c>
      <x:c r="F204" s="18" t="n">
        <x:v>3</x:v>
      </x:c>
      <x:c r="G204" s="6" t="str">
        <x:v>0, 1, 2</x:v>
      </x:c>
      <x:c r="H204" s="18" t="n">
        <x:v>159</x:v>
      </x:c>
      <x:c r="I204" s="18" t="n">
        <x:v>99</x:v>
      </x:c>
      <x:c r="J204" s="18" t="n">
        <x:v>407</x:v>
      </x:c>
      <x:c r="K204" s="18" t="n">
        <x:v>3</x:v>
      </x:c>
      <x:c r="L204" s="18" t="n">
        <x:v>8</x:v>
      </x:c>
      <x:c r="M204" s="18" t="n">
        <x:v>11</x:v>
      </x:c>
      <x:c r="N204" s="18" t="n">
        <x:v>11</x:v>
      </x:c>
      <x:c r="O204" s="18" t="n">
        <x:v>0</x:v>
      </x:c>
      <x:c r="P204" s="18" t="n">
        <x:v>9</x:v>
      </x:c>
      <x:c r="Q204" s="6" t="str">
        <x:v>count, errand, floor_area_total, largest_room, locate, route, route_step_free, route_with_closure, tour</x:v>
      </x:c>
      <x:c r="R204" s="21" t="b">
        <x:v>0</x:v>
      </x:c>
      <x:c r="S204" s="21" t="b">
        <x:v>1</x:v>
      </x:c>
      <x:c r="T204" s="6" t="str">
        <x:v>Swiss Dwellings, Archilyse AG / Standfest et al., https://zenodo.org/records/7070952 (CC BY 4.0)</x:v>
      </x:c>
      <x:c r="U204" s="6" t="str">
        <x:v>data/train/swiss-116/building.json</x:v>
      </x:c>
      <x:c r="V204" s="6" t="str">
        <x:v>https://github.com/hagenhaeussler/Industrial-Agents-Hackathon-2026/blob/f41616590b69f3ea0c1cbfb41d6c35edd9ce53df/data/train/swiss-116/building.json</x:v>
      </x:c>
    </x:row>
    <x:row r="205" ht="42" customHeight="1">
      <x:c r="A205" s="6" t="str">
        <x:v>swiss-120</x:v>
      </x:c>
      <x:c r="B205" s="6" t="str">
        <x:v>Residential building 120</x:v>
      </x:c>
      <x:c r="C205" s="6" t="str">
        <x:v>train</x:v>
      </x:c>
      <x:c r="D205" s="6" t="str">
        <x:v>swiss_dwellings</x:v>
      </x:c>
      <x:c r="E205" s="6" t="str">
        <x:v>CC-BY-4.0</x:v>
      </x:c>
      <x:c r="F205" s="18" t="n">
        <x:v>3</x:v>
      </x:c>
      <x:c r="G205" s="6" t="str">
        <x:v>0, 1, 2</x:v>
      </x:c>
      <x:c r="H205" s="18" t="n">
        <x:v>105</x:v>
      </x:c>
      <x:c r="I205" s="18" t="n">
        <x:v>65</x:v>
      </x:c>
      <x:c r="J205" s="18" t="n">
        <x:v>356</x:v>
      </x:c>
      <x:c r="K205" s="18" t="n">
        <x:v>3</x:v>
      </x:c>
      <x:c r="L205" s="18" t="n">
        <x:v>7</x:v>
      </x:c>
      <x:c r="M205" s="18" t="n">
        <x:v>10</x:v>
      </x:c>
      <x:c r="N205" s="18" t="n">
        <x:v>10</x:v>
      </x:c>
      <x:c r="O205" s="18" t="n">
        <x:v>0</x:v>
      </x:c>
      <x:c r="P205" s="18" t="n">
        <x:v>8</x:v>
      </x:c>
      <x:c r="Q205" s="6" t="str">
        <x:v>count, errand, floor_area_total, largest_room, route, route_step_free, route_with_closure, tour</x:v>
      </x:c>
      <x:c r="R205" s="21" t="b">
        <x:v>0</x:v>
      </x:c>
      <x:c r="S205" s="21" t="b">
        <x:v>1</x:v>
      </x:c>
      <x:c r="T205" s="6" t="str">
        <x:v>Swiss Dwellings, Archilyse AG / Standfest et al., https://zenodo.org/records/7070952 (CC BY 4.0)</x:v>
      </x:c>
      <x:c r="U205" s="6" t="str">
        <x:v>data/train/swiss-120/building.json</x:v>
      </x:c>
      <x:c r="V205" s="6" t="str">
        <x:v>https://github.com/hagenhaeussler/Industrial-Agents-Hackathon-2026/blob/f41616590b69f3ea0c1cbfb41d6c35edd9ce53df/data/train/swiss-120/building.json</x:v>
      </x:c>
    </x:row>
    <x:row r="206" ht="54" customHeight="1">
      <x:c r="A206" s="6" t="str">
        <x:v>swiss-1224</x:v>
      </x:c>
      <x:c r="B206" s="6" t="str">
        <x:v>Residential building 1224</x:v>
      </x:c>
      <x:c r="C206" s="6" t="str">
        <x:v>train</x:v>
      </x:c>
      <x:c r="D206" s="6" t="str">
        <x:v>swiss_dwellings</x:v>
      </x:c>
      <x:c r="E206" s="6" t="str">
        <x:v>CC-BY-4.0</x:v>
      </x:c>
      <x:c r="F206" s="18" t="n">
        <x:v>3</x:v>
      </x:c>
      <x:c r="G206" s="6" t="str">
        <x:v>0, 1, 2</x:v>
      </x:c>
      <x:c r="H206" s="18" t="n">
        <x:v>189</x:v>
      </x:c>
      <x:c r="I206" s="18" t="n">
        <x:v>108</x:v>
      </x:c>
      <x:c r="J206" s="18" t="n">
        <x:v>465</x:v>
      </x:c>
      <x:c r="K206" s="18" t="n">
        <x:v>1</x:v>
      </x:c>
      <x:c r="L206" s="18" t="n">
        <x:v>7</x:v>
      </x:c>
      <x:c r="M206" s="18" t="n">
        <x:v>8</x:v>
      </x:c>
      <x:c r="N206" s="18" t="n">
        <x:v>8</x:v>
      </x:c>
      <x:c r="O206" s="18" t="n">
        <x:v>0</x:v>
      </x:c>
      <x:c r="P206" s="18" t="n">
        <x:v>6</x:v>
      </x:c>
      <x:c r="Q206" s="6" t="str">
        <x:v>count, floor_area_total, route, route_step_free, route_with_closure, tour</x:v>
      </x:c>
      <x:c r="R206" s="21" t="b">
        <x:v>0</x:v>
      </x:c>
      <x:c r="S206" s="21" t="b">
        <x:v>1</x:v>
      </x:c>
      <x:c r="T206" s="6" t="str">
        <x:v>Swiss Dwellings, Archilyse AG / Standfest et al., https://zenodo.org/records/7070952 (CC BY 4.0)</x:v>
      </x:c>
      <x:c r="U206" s="6" t="str">
        <x:v>data/train/swiss-1224/building.json</x:v>
      </x:c>
      <x:c r="V206" s="6" t="str">
        <x:v>https://github.com/hagenhaeussler/Industrial-Agents-Hackathon-2026/blob/f41616590b69f3ea0c1cbfb41d6c35edd9ce53df/data/train/swiss-1224/building.json</x:v>
      </x:c>
    </x:row>
    <x:row r="207" ht="54" customHeight="1">
      <x:c r="A207" s="6" t="str">
        <x:v>swiss-1283</x:v>
      </x:c>
      <x:c r="B207" s="6" t="str">
        <x:v>Residential building 1283</x:v>
      </x:c>
      <x:c r="C207" s="6" t="str">
        <x:v>train</x:v>
      </x:c>
      <x:c r="D207" s="6" t="str">
        <x:v>swiss_dwellings</x:v>
      </x:c>
      <x:c r="E207" s="6" t="str">
        <x:v>CC-BY-4.0</x:v>
      </x:c>
      <x:c r="F207" s="18" t="n">
        <x:v>3</x:v>
      </x:c>
      <x:c r="G207" s="6" t="str">
        <x:v>0, 1, 2</x:v>
      </x:c>
      <x:c r="H207" s="18" t="n">
        <x:v>52</x:v>
      </x:c>
      <x:c r="I207" s="18" t="n">
        <x:v>38</x:v>
      </x:c>
      <x:c r="J207" s="18" t="n">
        <x:v>164</x:v>
      </x:c>
      <x:c r="K207" s="18" t="n">
        <x:v>3</x:v>
      </x:c>
      <x:c r="L207" s="18" t="n">
        <x:v>8</x:v>
      </x:c>
      <x:c r="M207" s="18" t="n">
        <x:v>11</x:v>
      </x:c>
      <x:c r="N207" s="18" t="n">
        <x:v>11</x:v>
      </x:c>
      <x:c r="O207" s="18" t="n">
        <x:v>0</x:v>
      </x:c>
      <x:c r="P207" s="18" t="n">
        <x:v>9</x:v>
      </x:c>
      <x:c r="Q207" s="6" t="str">
        <x:v>count, errand, floor_area_total, largest_room, locate, route, route_step_free, route_with_closure, tour</x:v>
      </x:c>
      <x:c r="R207" s="21" t="b">
        <x:v>0</x:v>
      </x:c>
      <x:c r="S207" s="21" t="b">
        <x:v>1</x:v>
      </x:c>
      <x:c r="T207" s="6" t="str">
        <x:v>Swiss Dwellings, Archilyse AG / Standfest et al., https://zenodo.org/records/7070952 (CC BY 4.0)</x:v>
      </x:c>
      <x:c r="U207" s="6" t="str">
        <x:v>data/train/swiss-1283/building.json</x:v>
      </x:c>
      <x:c r="V207" s="6" t="str">
        <x:v>https://github.com/hagenhaeussler/Industrial-Agents-Hackathon-2026/blob/f41616590b69f3ea0c1cbfb41d6c35edd9ce53df/data/train/swiss-1283/building.json</x:v>
      </x:c>
    </x:row>
    <x:row r="208" ht="54" customHeight="1">
      <x:c r="A208" s="6" t="str">
        <x:v>swiss-1355</x:v>
      </x:c>
      <x:c r="B208" s="6" t="str">
        <x:v>Residential building 1355</x:v>
      </x:c>
      <x:c r="C208" s="6" t="str">
        <x:v>train</x:v>
      </x:c>
      <x:c r="D208" s="6" t="str">
        <x:v>swiss_dwellings</x:v>
      </x:c>
      <x:c r="E208" s="6" t="str">
        <x:v>CC-BY-4.0</x:v>
      </x:c>
      <x:c r="F208" s="18" t="n">
        <x:v>3</x:v>
      </x:c>
      <x:c r="G208" s="6" t="str">
        <x:v>0, 1, 2</x:v>
      </x:c>
      <x:c r="H208" s="18" t="n">
        <x:v>51</x:v>
      </x:c>
      <x:c r="I208" s="18" t="n">
        <x:v>33</x:v>
      </x:c>
      <x:c r="J208" s="18" t="n">
        <x:v>139</x:v>
      </x:c>
      <x:c r="K208" s="18" t="n">
        <x:v>1</x:v>
      </x:c>
      <x:c r="L208" s="18" t="n">
        <x:v>7</x:v>
      </x:c>
      <x:c r="M208" s="18" t="n">
        <x:v>8</x:v>
      </x:c>
      <x:c r="N208" s="18" t="n">
        <x:v>8</x:v>
      </x:c>
      <x:c r="O208" s="18" t="n">
        <x:v>0</x:v>
      </x:c>
      <x:c r="P208" s="18" t="n">
        <x:v>6</x:v>
      </x:c>
      <x:c r="Q208" s="6" t="str">
        <x:v>count, floor_area_total, route, route_step_free, route_with_closure, tour</x:v>
      </x:c>
      <x:c r="R208" s="21" t="b">
        <x:v>0</x:v>
      </x:c>
      <x:c r="S208" s="21" t="b">
        <x:v>1</x:v>
      </x:c>
      <x:c r="T208" s="6" t="str">
        <x:v>Swiss Dwellings, Archilyse AG / Standfest et al., https://zenodo.org/records/7070952 (CC BY 4.0)</x:v>
      </x:c>
      <x:c r="U208" s="6" t="str">
        <x:v>data/train/swiss-1355/building.json</x:v>
      </x:c>
      <x:c r="V208" s="6" t="str">
        <x:v>https://github.com/hagenhaeussler/Industrial-Agents-Hackathon-2026/blob/f41616590b69f3ea0c1cbfb41d6c35edd9ce53df/data/train/swiss-1355/building.json</x:v>
      </x:c>
    </x:row>
    <x:row r="209" ht="54" customHeight="1">
      <x:c r="A209" s="6" t="str">
        <x:v>swiss-1390</x:v>
      </x:c>
      <x:c r="B209" s="6" t="str">
        <x:v>Residential building 1390</x:v>
      </x:c>
      <x:c r="C209" s="6" t="str">
        <x:v>train</x:v>
      </x:c>
      <x:c r="D209" s="6" t="str">
        <x:v>swiss_dwellings</x:v>
      </x:c>
      <x:c r="E209" s="6" t="str">
        <x:v>CC-BY-4.0</x:v>
      </x:c>
      <x:c r="F209" s="18" t="n">
        <x:v>4</x:v>
      </x:c>
      <x:c r="G209" s="6" t="str">
        <x:v>0, 1, 2, 3</x:v>
      </x:c>
      <x:c r="H209" s="18" t="n">
        <x:v>172</x:v>
      </x:c>
      <x:c r="I209" s="18" t="n">
        <x:v>124</x:v>
      </x:c>
      <x:c r="J209" s="18" t="n">
        <x:v>517</x:v>
      </x:c>
      <x:c r="K209" s="18" t="n">
        <x:v>4</x:v>
      </x:c>
      <x:c r="L209" s="18" t="n">
        <x:v>8</x:v>
      </x:c>
      <x:c r="M209" s="18" t="n">
        <x:v>12</x:v>
      </x:c>
      <x:c r="N209" s="18" t="n">
        <x:v>12</x:v>
      </x:c>
      <x:c r="O209" s="18" t="n">
        <x:v>0</x:v>
      </x:c>
      <x:c r="P209" s="18" t="n">
        <x:v>10</x:v>
      </x:c>
      <x:c r="Q209" s="6" t="str">
        <x:v>count, errand, floor_area_total, largest_room, locate, route, route_step_free, route_with_closure, shared_walls_count, tour</x:v>
      </x:c>
      <x:c r="R209" s="21" t="b">
        <x:v>0</x:v>
      </x:c>
      <x:c r="S209" s="21" t="b">
        <x:v>1</x:v>
      </x:c>
      <x:c r="T209" s="6" t="str">
        <x:v>Swiss Dwellings, Archilyse AG / Standfest et al., https://zenodo.org/records/7070952 (CC BY 4.0)</x:v>
      </x:c>
      <x:c r="U209" s="6" t="str">
        <x:v>data/train/swiss-1390/building.json</x:v>
      </x:c>
      <x:c r="V209" s="6" t="str">
        <x:v>https://github.com/hagenhaeussler/Industrial-Agents-Hackathon-2026/blob/f41616590b69f3ea0c1cbfb41d6c35edd9ce53df/data/train/swiss-1390/building.json</x:v>
      </x:c>
    </x:row>
    <x:row r="210" ht="54" customHeight="1">
      <x:c r="A210" s="6" t="str">
        <x:v>swiss-1433</x:v>
      </x:c>
      <x:c r="B210" s="6" t="str">
        <x:v>Residential building 1433</x:v>
      </x:c>
      <x:c r="C210" s="6" t="str">
        <x:v>train</x:v>
      </x:c>
      <x:c r="D210" s="6" t="str">
        <x:v>swiss_dwellings</x:v>
      </x:c>
      <x:c r="E210" s="6" t="str">
        <x:v>CC-BY-4.0</x:v>
      </x:c>
      <x:c r="F210" s="18" t="n">
        <x:v>3</x:v>
      </x:c>
      <x:c r="G210" s="6" t="str">
        <x:v>0, 1, 2</x:v>
      </x:c>
      <x:c r="H210" s="18" t="n">
        <x:v>49</x:v>
      </x:c>
      <x:c r="I210" s="18" t="n">
        <x:v>36</x:v>
      </x:c>
      <x:c r="J210" s="18" t="n">
        <x:v>141</x:v>
      </x:c>
      <x:c r="K210" s="18" t="n">
        <x:v>1</x:v>
      </x:c>
      <x:c r="L210" s="18" t="n">
        <x:v>9</x:v>
      </x:c>
      <x:c r="M210" s="18" t="n">
        <x:v>10</x:v>
      </x:c>
      <x:c r="N210" s="18" t="n">
        <x:v>10</x:v>
      </x:c>
      <x:c r="O210" s="18" t="n">
        <x:v>0</x:v>
      </x:c>
      <x:c r="P210" s="18" t="n">
        <x:v>7</x:v>
      </x:c>
      <x:c r="Q210" s="6" t="str">
        <x:v>count, floor_area_total, locate, route, route_step_free, route_with_closure, tour</x:v>
      </x:c>
      <x:c r="R210" s="21" t="b">
        <x:v>0</x:v>
      </x:c>
      <x:c r="S210" s="21" t="b">
        <x:v>1</x:v>
      </x:c>
      <x:c r="T210" s="6" t="str">
        <x:v>Swiss Dwellings, Archilyse AG / Standfest et al., https://zenodo.org/records/7070952 (CC BY 4.0)</x:v>
      </x:c>
      <x:c r="U210" s="6" t="str">
        <x:v>data/train/swiss-1433/building.json</x:v>
      </x:c>
      <x:c r="V210" s="6" t="str">
        <x:v>https://github.com/hagenhaeussler/Industrial-Agents-Hackathon-2026/blob/f41616590b69f3ea0c1cbfb41d6c35edd9ce53df/data/train/swiss-1433/building.json</x:v>
      </x:c>
    </x:row>
    <x:row r="211" ht="54" customHeight="1">
      <x:c r="A211" s="6" t="str">
        <x:v>swiss-1444</x:v>
      </x:c>
      <x:c r="B211" s="6" t="str">
        <x:v>Residential building 1444</x:v>
      </x:c>
      <x:c r="C211" s="6" t="str">
        <x:v>train</x:v>
      </x:c>
      <x:c r="D211" s="6" t="str">
        <x:v>swiss_dwellings</x:v>
      </x:c>
      <x:c r="E211" s="6" t="str">
        <x:v>CC-BY-4.0</x:v>
      </x:c>
      <x:c r="F211" s="18" t="n">
        <x:v>3</x:v>
      </x:c>
      <x:c r="G211" s="6" t="str">
        <x:v>0, 1, 2</x:v>
      </x:c>
      <x:c r="H211" s="18" t="n">
        <x:v>162</x:v>
      </x:c>
      <x:c r="I211" s="18" t="n">
        <x:v>102</x:v>
      </x:c>
      <x:c r="J211" s="18" t="n">
        <x:v>360</x:v>
      </x:c>
      <x:c r="K211" s="18" t="n">
        <x:v>3</x:v>
      </x:c>
      <x:c r="L211" s="18" t="n">
        <x:v>8</x:v>
      </x:c>
      <x:c r="M211" s="18" t="n">
        <x:v>11</x:v>
      </x:c>
      <x:c r="N211" s="18" t="n">
        <x:v>11</x:v>
      </x:c>
      <x:c r="O211" s="18" t="n">
        <x:v>0</x:v>
      </x:c>
      <x:c r="P211" s="18" t="n">
        <x:v>9</x:v>
      </x:c>
      <x:c r="Q211" s="6" t="str">
        <x:v>count, floor_area_total, locate, route, route_step_free, route_with_closure, shared_walls_count, tour, wide_delivery_count</x:v>
      </x:c>
      <x:c r="R211" s="21" t="b">
        <x:v>0</x:v>
      </x:c>
      <x:c r="S211" s="21" t="b">
        <x:v>1</x:v>
      </x:c>
      <x:c r="T211" s="6" t="str">
        <x:v>Swiss Dwellings, Archilyse AG / Standfest et al., https://zenodo.org/records/7070952 (CC BY 4.0)</x:v>
      </x:c>
      <x:c r="U211" s="6" t="str">
        <x:v>data/train/swiss-1444/building.json</x:v>
      </x:c>
      <x:c r="V211" s="6" t="str">
        <x:v>https://github.com/hagenhaeussler/Industrial-Agents-Hackathon-2026/blob/f41616590b69f3ea0c1cbfb41d6c35edd9ce53df/data/train/swiss-1444/building.json</x:v>
      </x:c>
    </x:row>
    <x:row r="212" ht="54" customHeight="1">
      <x:c r="A212" s="6" t="str">
        <x:v>swiss-1457</x:v>
      </x:c>
      <x:c r="B212" s="6" t="str">
        <x:v>Residential building 1457</x:v>
      </x:c>
      <x:c r="C212" s="6" t="str">
        <x:v>train</x:v>
      </x:c>
      <x:c r="D212" s="6" t="str">
        <x:v>swiss_dwellings</x:v>
      </x:c>
      <x:c r="E212" s="6" t="str">
        <x:v>CC-BY-4.0</x:v>
      </x:c>
      <x:c r="F212" s="18" t="n">
        <x:v>4</x:v>
      </x:c>
      <x:c r="G212" s="6" t="str">
        <x:v>0, 1, 2, 3</x:v>
      </x:c>
      <x:c r="H212" s="18" t="n">
        <x:v>79</x:v>
      </x:c>
      <x:c r="I212" s="18" t="n">
        <x:v>50</x:v>
      </x:c>
      <x:c r="J212" s="18" t="n">
        <x:v>230</x:v>
      </x:c>
      <x:c r="K212" s="18" t="n">
        <x:v>4</x:v>
      </x:c>
      <x:c r="L212" s="18" t="n">
        <x:v>9</x:v>
      </x:c>
      <x:c r="M212" s="18" t="n">
        <x:v>13</x:v>
      </x:c>
      <x:c r="N212" s="18" t="n">
        <x:v>13</x:v>
      </x:c>
      <x:c r="O212" s="18" t="n">
        <x:v>0</x:v>
      </x:c>
      <x:c r="P212" s="18" t="n">
        <x:v>10</x:v>
      </x:c>
      <x:c r="Q212" s="6" t="str">
        <x:v>count, errand, floor_area_total, largest_room, locate, route, route_step_free, route_with_closure, shared_walls_count, tour</x:v>
      </x:c>
      <x:c r="R212" s="21" t="b">
        <x:v>0</x:v>
      </x:c>
      <x:c r="S212" s="21" t="b">
        <x:v>1</x:v>
      </x:c>
      <x:c r="T212" s="6" t="str">
        <x:v>Swiss Dwellings, Archilyse AG / Standfest et al., https://zenodo.org/records/7070952 (CC BY 4.0)</x:v>
      </x:c>
      <x:c r="U212" s="6" t="str">
        <x:v>data/train/swiss-1457/building.json</x:v>
      </x:c>
      <x:c r="V212" s="6" t="str">
        <x:v>https://github.com/hagenhaeussler/Industrial-Agents-Hackathon-2026/blob/f41616590b69f3ea0c1cbfb41d6c35edd9ce53df/data/train/swiss-1457/building.json</x:v>
      </x:c>
    </x:row>
    <x:row r="213" ht="54" customHeight="1">
      <x:c r="A213" s="6" t="str">
        <x:v>swiss-1463</x:v>
      </x:c>
      <x:c r="B213" s="6" t="str">
        <x:v>Residential building 1463</x:v>
      </x:c>
      <x:c r="C213" s="6" t="str">
        <x:v>train</x:v>
      </x:c>
      <x:c r="D213" s="6" t="str">
        <x:v>swiss_dwellings</x:v>
      </x:c>
      <x:c r="E213" s="6" t="str">
        <x:v>CC-BY-4.0</x:v>
      </x:c>
      <x:c r="F213" s="18" t="n">
        <x:v>5</x:v>
      </x:c>
      <x:c r="G213" s="6" t="str">
        <x:v>0, 1, 2, 3, 4</x:v>
      </x:c>
      <x:c r="H213" s="18" t="n">
        <x:v>94</x:v>
      </x:c>
      <x:c r="I213" s="18" t="n">
        <x:v>75</x:v>
      </x:c>
      <x:c r="J213" s="18" t="n">
        <x:v>264</x:v>
      </x:c>
      <x:c r="K213" s="18" t="n">
        <x:v>1</x:v>
      </x:c>
      <x:c r="L213" s="18" t="n">
        <x:v>8</x:v>
      </x:c>
      <x:c r="M213" s="18" t="n">
        <x:v>9</x:v>
      </x:c>
      <x:c r="N213" s="18" t="n">
        <x:v>9</x:v>
      </x:c>
      <x:c r="O213" s="18" t="n">
        <x:v>0</x:v>
      </x:c>
      <x:c r="P213" s="18" t="n">
        <x:v>7</x:v>
      </x:c>
      <x:c r="Q213" s="6" t="str">
        <x:v>count, floor_area_total, locate, route, route_step_free, route_with_closure, tour</x:v>
      </x:c>
      <x:c r="R213" s="21" t="b">
        <x:v>0</x:v>
      </x:c>
      <x:c r="S213" s="21" t="b">
        <x:v>1</x:v>
      </x:c>
      <x:c r="T213" s="6" t="str">
        <x:v>Swiss Dwellings, Archilyse AG / Standfest et al., https://zenodo.org/records/7070952 (CC BY 4.0)</x:v>
      </x:c>
      <x:c r="U213" s="6" t="str">
        <x:v>data/train/swiss-1463/building.json</x:v>
      </x:c>
      <x:c r="V213" s="6" t="str">
        <x:v>https://github.com/hagenhaeussler/Industrial-Agents-Hackathon-2026/blob/f41616590b69f3ea0c1cbfb41d6c35edd9ce53df/data/train/swiss-1463/building.json</x:v>
      </x:c>
    </x:row>
    <x:row r="214" ht="54" customHeight="1">
      <x:c r="A214" s="6" t="str">
        <x:v>swiss-1470</x:v>
      </x:c>
      <x:c r="B214" s="6" t="str">
        <x:v>Residential building 1470</x:v>
      </x:c>
      <x:c r="C214" s="6" t="str">
        <x:v>train</x:v>
      </x:c>
      <x:c r="D214" s="6" t="str">
        <x:v>swiss_dwellings</x:v>
      </x:c>
      <x:c r="E214" s="6" t="str">
        <x:v>CC-BY-4.0</x:v>
      </x:c>
      <x:c r="F214" s="18" t="n">
        <x:v>3</x:v>
      </x:c>
      <x:c r="G214" s="6" t="str">
        <x:v>0, 1, 2</x:v>
      </x:c>
      <x:c r="H214" s="18" t="n">
        <x:v>67</x:v>
      </x:c>
      <x:c r="I214" s="18" t="n">
        <x:v>44</x:v>
      </x:c>
      <x:c r="J214" s="18" t="n">
        <x:v>181</x:v>
      </x:c>
      <x:c r="K214" s="18" t="n">
        <x:v>4</x:v>
      </x:c>
      <x:c r="L214" s="18" t="n">
        <x:v>10</x:v>
      </x:c>
      <x:c r="M214" s="18" t="n">
        <x:v>14</x:v>
      </x:c>
      <x:c r="N214" s="18" t="n">
        <x:v>14</x:v>
      </x:c>
      <x:c r="O214" s="18" t="n">
        <x:v>0</x:v>
      </x:c>
      <x:c r="P214" s="18" t="n">
        <x:v>10</x:v>
      </x:c>
      <x:c r="Q214" s="6" t="str">
        <x:v>count, errand, floor_area_total, largest_room, locate, route, route_step_free, route_with_closure, shared_walls_count, tour</x:v>
      </x:c>
      <x:c r="R214" s="21" t="b">
        <x:v>0</x:v>
      </x:c>
      <x:c r="S214" s="21" t="b">
        <x:v>1</x:v>
      </x:c>
      <x:c r="T214" s="6" t="str">
        <x:v>Swiss Dwellings, Archilyse AG / Standfest et al., https://zenodo.org/records/7070952 (CC BY 4.0)</x:v>
      </x:c>
      <x:c r="U214" s="6" t="str">
        <x:v>data/train/swiss-1470/building.json</x:v>
      </x:c>
      <x:c r="V214" s="6" t="str">
        <x:v>https://github.com/hagenhaeussler/Industrial-Agents-Hackathon-2026/blob/f41616590b69f3ea0c1cbfb41d6c35edd9ce53df/data/train/swiss-1470/building.json</x:v>
      </x:c>
    </x:row>
    <x:row r="215" ht="42" customHeight="1">
      <x:c r="A215" s="6" t="str">
        <x:v>swiss-148</x:v>
      </x:c>
      <x:c r="B215" s="6" t="str">
        <x:v>Residential building 148</x:v>
      </x:c>
      <x:c r="C215" s="6" t="str">
        <x:v>train</x:v>
      </x:c>
      <x:c r="D215" s="6" t="str">
        <x:v>swiss_dwellings</x:v>
      </x:c>
      <x:c r="E215" s="6" t="str">
        <x:v>CC-BY-4.0</x:v>
      </x:c>
      <x:c r="F215" s="18" t="n">
        <x:v>4</x:v>
      </x:c>
      <x:c r="G215" s="6" t="str">
        <x:v>0, 1, 2, 3</x:v>
      </x:c>
      <x:c r="H215" s="18" t="n">
        <x:v>87</x:v>
      </x:c>
      <x:c r="I215" s="18" t="n">
        <x:v>62</x:v>
      </x:c>
      <x:c r="J215" s="18" t="n">
        <x:v>211</x:v>
      </x:c>
      <x:c r="K215" s="18" t="n">
        <x:v>4</x:v>
      </x:c>
      <x:c r="L215" s="18" t="n">
        <x:v>9</x:v>
      </x:c>
      <x:c r="M215" s="18" t="n">
        <x:v>13</x:v>
      </x:c>
      <x:c r="N215" s="18" t="n">
        <x:v>13</x:v>
      </x:c>
      <x:c r="O215" s="18" t="n">
        <x:v>0</x:v>
      </x:c>
      <x:c r="P215" s="18" t="n">
        <x:v>10</x:v>
      </x:c>
      <x:c r="Q215" s="6" t="str">
        <x:v>count, errand, floor_area_total, largest_room, locate, route, route_step_free, route_with_closure, shared_walls_count, tour</x:v>
      </x:c>
      <x:c r="R215" s="21" t="b">
        <x:v>0</x:v>
      </x:c>
      <x:c r="S215" s="21" t="b">
        <x:v>1</x:v>
      </x:c>
      <x:c r="T215" s="6" t="str">
        <x:v>Swiss Dwellings, Archilyse AG / Standfest et al., https://zenodo.org/records/7070952 (CC BY 4.0)</x:v>
      </x:c>
      <x:c r="U215" s="6" t="str">
        <x:v>data/train/swiss-148/building.json</x:v>
      </x:c>
      <x:c r="V215" s="6" t="str">
        <x:v>https://github.com/hagenhaeussler/Industrial-Agents-Hackathon-2026/blob/f41616590b69f3ea0c1cbfb41d6c35edd9ce53df/data/train/swiss-148/building.json</x:v>
      </x:c>
    </x:row>
    <x:row r="216" ht="54" customHeight="1">
      <x:c r="A216" s="6" t="str">
        <x:v>swiss-1543</x:v>
      </x:c>
      <x:c r="B216" s="6" t="str">
        <x:v>Residential building 1543</x:v>
      </x:c>
      <x:c r="C216" s="6" t="str">
        <x:v>train</x:v>
      </x:c>
      <x:c r="D216" s="6" t="str">
        <x:v>swiss_dwellings</x:v>
      </x:c>
      <x:c r="E216" s="6" t="str">
        <x:v>CC-BY-4.0</x:v>
      </x:c>
      <x:c r="F216" s="18" t="n">
        <x:v>4</x:v>
      </x:c>
      <x:c r="G216" s="6" t="str">
        <x:v>0, 1, 2, 3</x:v>
      </x:c>
      <x:c r="H216" s="18" t="n">
        <x:v>121</x:v>
      </x:c>
      <x:c r="I216" s="18" t="n">
        <x:v>75</x:v>
      </x:c>
      <x:c r="J216" s="18" t="n">
        <x:v>353</x:v>
      </x:c>
      <x:c r="K216" s="18" t="n">
        <x:v>1</x:v>
      </x:c>
      <x:c r="L216" s="18" t="n">
        <x:v>8</x:v>
      </x:c>
      <x:c r="M216" s="18" t="n">
        <x:v>9</x:v>
      </x:c>
      <x:c r="N216" s="18" t="n">
        <x:v>9</x:v>
      </x:c>
      <x:c r="O216" s="18" t="n">
        <x:v>0</x:v>
      </x:c>
      <x:c r="P216" s="18" t="n">
        <x:v>7</x:v>
      </x:c>
      <x:c r="Q216" s="6" t="str">
        <x:v>count, floor_area_total, locate, route, route_step_free, route_with_closure, tour</x:v>
      </x:c>
      <x:c r="R216" s="21" t="b">
        <x:v>0</x:v>
      </x:c>
      <x:c r="S216" s="21" t="b">
        <x:v>1</x:v>
      </x:c>
      <x:c r="T216" s="6" t="str">
        <x:v>Swiss Dwellings, Archilyse AG / Standfest et al., https://zenodo.org/records/7070952 (CC BY 4.0)</x:v>
      </x:c>
      <x:c r="U216" s="6" t="str">
        <x:v>data/train/swiss-1543/building.json</x:v>
      </x:c>
      <x:c r="V216" s="6" t="str">
        <x:v>https://github.com/hagenhaeussler/Industrial-Agents-Hackathon-2026/blob/f41616590b69f3ea0c1cbfb41d6c35edd9ce53df/data/train/swiss-1543/building.json</x:v>
      </x:c>
    </x:row>
    <x:row r="217" ht="54" customHeight="1">
      <x:c r="A217" s="6" t="str">
        <x:v>swiss-15503</x:v>
      </x:c>
      <x:c r="B217" s="6" t="str">
        <x:v>Residential building 15503</x:v>
      </x:c>
      <x:c r="C217" s="6" t="str">
        <x:v>train</x:v>
      </x:c>
      <x:c r="D217" s="6" t="str">
        <x:v>swiss_dwellings</x:v>
      </x:c>
      <x:c r="E217" s="6" t="str">
        <x:v>CC-BY-4.0</x:v>
      </x:c>
      <x:c r="F217" s="18" t="n">
        <x:v>7</x:v>
      </x:c>
      <x:c r="G217" s="6" t="str">
        <x:v>-1, 0, 1, 2, 3, 4, 5</x:v>
      </x:c>
      <x:c r="H217" s="18" t="n">
        <x:v>98</x:v>
      </x:c>
      <x:c r="I217" s="18" t="n">
        <x:v>52</x:v>
      </x:c>
      <x:c r="J217" s="18" t="n">
        <x:v>283</x:v>
      </x:c>
      <x:c r="K217" s="18" t="n">
        <x:v>1</x:v>
      </x:c>
      <x:c r="L217" s="18" t="n">
        <x:v>9</x:v>
      </x:c>
      <x:c r="M217" s="18" t="n">
        <x:v>10</x:v>
      </x:c>
      <x:c r="N217" s="18" t="n">
        <x:v>10</x:v>
      </x:c>
      <x:c r="O217" s="18" t="n">
        <x:v>0</x:v>
      </x:c>
      <x:c r="P217" s="18" t="n">
        <x:v>7</x:v>
      </x:c>
      <x:c r="Q217" s="6" t="str">
        <x:v>count, floor_area_total, locate, route, route_step_free, route_with_closure, tour</x:v>
      </x:c>
      <x:c r="R217" s="21" t="b">
        <x:v>1</x:v>
      </x:c>
      <x:c r="S217" s="21" t="b">
        <x:v>1</x:v>
      </x:c>
      <x:c r="T217" s="6" t="str">
        <x:v>Swiss Dwellings, Archilyse AG / Standfest et al., https://zenodo.org/records/7070952 (CC BY 4.0)</x:v>
      </x:c>
      <x:c r="U217" s="6" t="str">
        <x:v>data/train/swiss-15503/building.json</x:v>
      </x:c>
      <x:c r="V217" s="6" t="str">
        <x:v>https://github.com/hagenhaeussler/Industrial-Agents-Hackathon-2026/blob/f41616590b69f3ea0c1cbfb41d6c35edd9ce53df/data/train/swiss-15503/building.json</x:v>
      </x:c>
    </x:row>
    <x:row r="218" ht="54" customHeight="1">
      <x:c r="A218" s="6" t="str">
        <x:v>swiss-1571</x:v>
      </x:c>
      <x:c r="B218" s="6" t="str">
        <x:v>Residential building 1571</x:v>
      </x:c>
      <x:c r="C218" s="6" t="str">
        <x:v>train</x:v>
      </x:c>
      <x:c r="D218" s="6" t="str">
        <x:v>swiss_dwellings</x:v>
      </x:c>
      <x:c r="E218" s="6" t="str">
        <x:v>CC-BY-4.0</x:v>
      </x:c>
      <x:c r="F218" s="18" t="n">
        <x:v>3</x:v>
      </x:c>
      <x:c r="G218" s="6" t="str">
        <x:v>0, 1, 2</x:v>
      </x:c>
      <x:c r="H218" s="18" t="n">
        <x:v>116</x:v>
      </x:c>
      <x:c r="I218" s="18" t="n">
        <x:v>78</x:v>
      </x:c>
      <x:c r="J218" s="18" t="n">
        <x:v>340</x:v>
      </x:c>
      <x:c r="K218" s="18" t="n">
        <x:v>2</x:v>
      </x:c>
      <x:c r="L218" s="18" t="n">
        <x:v>9</x:v>
      </x:c>
      <x:c r="M218" s="18" t="n">
        <x:v>11</x:v>
      </x:c>
      <x:c r="N218" s="18" t="n">
        <x:v>11</x:v>
      </x:c>
      <x:c r="O218" s="18" t="n">
        <x:v>0</x:v>
      </x:c>
      <x:c r="P218" s="18" t="n">
        <x:v>8</x:v>
      </x:c>
      <x:c r="Q218" s="6" t="str">
        <x:v>count, floor_area_total, locate, route, route_step_free, route_with_closure, shared_walls_count, tour</x:v>
      </x:c>
      <x:c r="R218" s="21" t="b">
        <x:v>0</x:v>
      </x:c>
      <x:c r="S218" s="21" t="b">
        <x:v>1</x:v>
      </x:c>
      <x:c r="T218" s="6" t="str">
        <x:v>Swiss Dwellings, Archilyse AG / Standfest et al., https://zenodo.org/records/7070952 (CC BY 4.0)</x:v>
      </x:c>
      <x:c r="U218" s="6" t="str">
        <x:v>data/train/swiss-1571/building.json</x:v>
      </x:c>
      <x:c r="V218" s="6" t="str">
        <x:v>https://github.com/hagenhaeussler/Industrial-Agents-Hackathon-2026/blob/f41616590b69f3ea0c1cbfb41d6c35edd9ce53df/data/train/swiss-1571/building.json</x:v>
      </x:c>
    </x:row>
    <x:row r="219" ht="54" customHeight="1">
      <x:c r="A219" s="6" t="str">
        <x:v>swiss-16357</x:v>
      </x:c>
      <x:c r="B219" s="6" t="str">
        <x:v>Residential building 16357</x:v>
      </x:c>
      <x:c r="C219" s="6" t="str">
        <x:v>train</x:v>
      </x:c>
      <x:c r="D219" s="6" t="str">
        <x:v>swiss_dwellings</x:v>
      </x:c>
      <x:c r="E219" s="6" t="str">
        <x:v>CC-BY-4.0</x:v>
      </x:c>
      <x:c r="F219" s="18" t="n">
        <x:v>3</x:v>
      </x:c>
      <x:c r="G219" s="6" t="str">
        <x:v>0, 1, 2</x:v>
      </x:c>
      <x:c r="H219" s="18" t="n">
        <x:v>20</x:v>
      </x:c>
      <x:c r="I219" s="18" t="n">
        <x:v>12</x:v>
      </x:c>
      <x:c r="J219" s="18" t="n">
        <x:v>68</x:v>
      </x:c>
      <x:c r="K219" s="18" t="n">
        <x:v>0</x:v>
      </x:c>
      <x:c r="L219" s="18" t="n">
        <x:v>10</x:v>
      </x:c>
      <x:c r="M219" s="18" t="n">
        <x:v>10</x:v>
      </x:c>
      <x:c r="N219" s="18" t="n">
        <x:v>10</x:v>
      </x:c>
      <x:c r="O219" s="18" t="n">
        <x:v>0</x:v>
      </x:c>
      <x:c r="P219" s="18" t="n">
        <x:v>6</x:v>
      </x:c>
      <x:c r="Q219" s="6" t="str">
        <x:v>count, locate, route, route_step_free, route_with_closure, tour</x:v>
      </x:c>
      <x:c r="R219" s="21" t="b">
        <x:v>0</x:v>
      </x:c>
      <x:c r="S219" s="21" t="b">
        <x:v>1</x:v>
      </x:c>
      <x:c r="T219" s="6" t="str">
        <x:v>Swiss Dwellings, Archilyse AG / Standfest et al., https://zenodo.org/records/7070952 (CC BY 4.0)</x:v>
      </x:c>
      <x:c r="U219" s="6" t="str">
        <x:v>data/train/swiss-16357/building.json</x:v>
      </x:c>
      <x:c r="V219" s="6" t="str">
        <x:v>https://github.com/hagenhaeussler/Industrial-Agents-Hackathon-2026/blob/f41616590b69f3ea0c1cbfb41d6c35edd9ce53df/data/train/swiss-16357/building.json</x:v>
      </x:c>
    </x:row>
    <x:row r="220" ht="54" customHeight="1">
      <x:c r="A220" s="6" t="str">
        <x:v>swiss-1650</x:v>
      </x:c>
      <x:c r="B220" s="6" t="str">
        <x:v>Residential building 1650</x:v>
      </x:c>
      <x:c r="C220" s="6" t="str">
        <x:v>train</x:v>
      </x:c>
      <x:c r="D220" s="6" t="str">
        <x:v>swiss_dwellings</x:v>
      </x:c>
      <x:c r="E220" s="6" t="str">
        <x:v>CC-BY-4.0</x:v>
      </x:c>
      <x:c r="F220" s="18" t="n">
        <x:v>4</x:v>
      </x:c>
      <x:c r="G220" s="6" t="str">
        <x:v>0, 1, 2, 3</x:v>
      </x:c>
      <x:c r="H220" s="18" t="n">
        <x:v>88</x:v>
      </x:c>
      <x:c r="I220" s="18" t="n">
        <x:v>54</x:v>
      </x:c>
      <x:c r="J220" s="18" t="n">
        <x:v>260</x:v>
      </x:c>
      <x:c r="K220" s="18" t="n">
        <x:v>4</x:v>
      </x:c>
      <x:c r="L220" s="18" t="n">
        <x:v>9</x:v>
      </x:c>
      <x:c r="M220" s="18" t="n">
        <x:v>13</x:v>
      </x:c>
      <x:c r="N220" s="18" t="n">
        <x:v>13</x:v>
      </x:c>
      <x:c r="O220" s="18" t="n">
        <x:v>0</x:v>
      </x:c>
      <x:c r="P220" s="18" t="n">
        <x:v>10</x:v>
      </x:c>
      <x:c r="Q220" s="6" t="str">
        <x:v>count, errand, floor_area_total, largest_room, locate, route, route_step_free, route_with_closure, shared_walls_count, tour</x:v>
      </x:c>
      <x:c r="R220" s="21" t="b">
        <x:v>1</x:v>
      </x:c>
      <x:c r="S220" s="21" t="b">
        <x:v>1</x:v>
      </x:c>
      <x:c r="T220" s="6" t="str">
        <x:v>Swiss Dwellings, Archilyse AG / Standfest et al., https://zenodo.org/records/7070952 (CC BY 4.0)</x:v>
      </x:c>
      <x:c r="U220" s="6" t="str">
        <x:v>data/train/swiss-1650/building.json</x:v>
      </x:c>
      <x:c r="V220" s="6" t="str">
        <x:v>https://github.com/hagenhaeussler/Industrial-Agents-Hackathon-2026/blob/f41616590b69f3ea0c1cbfb41d6c35edd9ce53df/data/train/swiss-1650/building.json</x:v>
      </x:c>
    </x:row>
    <x:row r="221" ht="54" customHeight="1">
      <x:c r="A221" s="6" t="str">
        <x:v>swiss-18196</x:v>
      </x:c>
      <x:c r="B221" s="6" t="str">
        <x:v>Residential building 18196</x:v>
      </x:c>
      <x:c r="C221" s="6" t="str">
        <x:v>train</x:v>
      </x:c>
      <x:c r="D221" s="6" t="str">
        <x:v>swiss_dwellings</x:v>
      </x:c>
      <x:c r="E221" s="6" t="str">
        <x:v>CC-BY-4.0</x:v>
      </x:c>
      <x:c r="F221" s="18" t="n">
        <x:v>5</x:v>
      </x:c>
      <x:c r="G221" s="6" t="str">
        <x:v>0, 1, 2, 3, 4</x:v>
      </x:c>
      <x:c r="H221" s="18" t="n">
        <x:v>75</x:v>
      </x:c>
      <x:c r="I221" s="18" t="n">
        <x:v>49</x:v>
      </x:c>
      <x:c r="J221" s="18" t="n">
        <x:v>225</x:v>
      </x:c>
      <x:c r="K221" s="18" t="n">
        <x:v>4</x:v>
      </x:c>
      <x:c r="L221" s="18" t="n">
        <x:v>9</x:v>
      </x:c>
      <x:c r="M221" s="18" t="n">
        <x:v>13</x:v>
      </x:c>
      <x:c r="N221" s="18" t="n">
        <x:v>13</x:v>
      </x:c>
      <x:c r="O221" s="18" t="n">
        <x:v>0</x:v>
      </x:c>
      <x:c r="P221" s="18" t="n">
        <x:v>10</x:v>
      </x:c>
      <x:c r="Q221" s="6" t="str">
        <x:v>count, errand, floor_area_total, largest_room, locate, route, route_step_free, route_with_closure, shared_walls_count, tour</x:v>
      </x:c>
      <x:c r="R221" s="21" t="b">
        <x:v>0</x:v>
      </x:c>
      <x:c r="S221" s="21" t="b">
        <x:v>1</x:v>
      </x:c>
      <x:c r="T221" s="6" t="str">
        <x:v>Swiss Dwellings, Archilyse AG / Standfest et al., https://zenodo.org/records/7070952 (CC BY 4.0)</x:v>
      </x:c>
      <x:c r="U221" s="6" t="str">
        <x:v>data/train/swiss-18196/building.json</x:v>
      </x:c>
      <x:c r="V221" s="6" t="str">
        <x:v>https://github.com/hagenhaeussler/Industrial-Agents-Hackathon-2026/blob/f41616590b69f3ea0c1cbfb41d6c35edd9ce53df/data/train/swiss-18196/building.json</x:v>
      </x:c>
    </x:row>
    <x:row r="222" ht="54" customHeight="1">
      <x:c r="A222" s="6" t="str">
        <x:v>swiss-18256</x:v>
      </x:c>
      <x:c r="B222" s="6" t="str">
        <x:v>Residential building 18256</x:v>
      </x:c>
      <x:c r="C222" s="6" t="str">
        <x:v>train</x:v>
      </x:c>
      <x:c r="D222" s="6" t="str">
        <x:v>swiss_dwellings</x:v>
      </x:c>
      <x:c r="E222" s="6" t="str">
        <x:v>CC-BY-4.0</x:v>
      </x:c>
      <x:c r="F222" s="18" t="n">
        <x:v>5</x:v>
      </x:c>
      <x:c r="G222" s="6" t="str">
        <x:v>0, 1, 2, 3, 4</x:v>
      </x:c>
      <x:c r="H222" s="18" t="n">
        <x:v>119</x:v>
      </x:c>
      <x:c r="I222" s="18" t="n">
        <x:v>84</x:v>
      </x:c>
      <x:c r="J222" s="18" t="n">
        <x:v>363</x:v>
      </x:c>
      <x:c r="K222" s="18" t="n">
        <x:v>3</x:v>
      </x:c>
      <x:c r="L222" s="18" t="n">
        <x:v>9</x:v>
      </x:c>
      <x:c r="M222" s="18" t="n">
        <x:v>12</x:v>
      </x:c>
      <x:c r="N222" s="18" t="n">
        <x:v>12</x:v>
      </x:c>
      <x:c r="O222" s="18" t="n">
        <x:v>0</x:v>
      </x:c>
      <x:c r="P222" s="18" t="n">
        <x:v>9</x:v>
      </x:c>
      <x:c r="Q222" s="6" t="str">
        <x:v>count, errand, floor_area_total, largest_room, locate, route, route_step_free, route_with_closure, tour</x:v>
      </x:c>
      <x:c r="R222" s="21" t="b">
        <x:v>1</x:v>
      </x:c>
      <x:c r="S222" s="21" t="b">
        <x:v>1</x:v>
      </x:c>
      <x:c r="T222" s="6" t="str">
        <x:v>Swiss Dwellings, Archilyse AG / Standfest et al., https://zenodo.org/records/7070952 (CC BY 4.0)</x:v>
      </x:c>
      <x:c r="U222" s="6" t="str">
        <x:v>data/train/swiss-18256/building.json</x:v>
      </x:c>
      <x:c r="V222" s="6" t="str">
        <x:v>https://github.com/hagenhaeussler/Industrial-Agents-Hackathon-2026/blob/f41616590b69f3ea0c1cbfb41d6c35edd9ce53df/data/train/swiss-18256/building.json</x:v>
      </x:c>
    </x:row>
    <x:row r="223" ht="54" customHeight="1">
      <x:c r="A223" s="6" t="str">
        <x:v>swiss-18260</x:v>
      </x:c>
      <x:c r="B223" s="6" t="str">
        <x:v>Residential building 18260</x:v>
      </x:c>
      <x:c r="C223" s="6" t="str">
        <x:v>train</x:v>
      </x:c>
      <x:c r="D223" s="6" t="str">
        <x:v>swiss_dwellings</x:v>
      </x:c>
      <x:c r="E223" s="6" t="str">
        <x:v>CC-BY-4.0</x:v>
      </x:c>
      <x:c r="F223" s="18" t="n">
        <x:v>3</x:v>
      </x:c>
      <x:c r="G223" s="6" t="str">
        <x:v>0, 1, 2</x:v>
      </x:c>
      <x:c r="H223" s="18" t="n">
        <x:v>51</x:v>
      </x:c>
      <x:c r="I223" s="18" t="n">
        <x:v>36</x:v>
      </x:c>
      <x:c r="J223" s="18" t="n">
        <x:v>171</x:v>
      </x:c>
      <x:c r="K223" s="18" t="n">
        <x:v>1</x:v>
      </x:c>
      <x:c r="L223" s="18" t="n">
        <x:v>10</x:v>
      </x:c>
      <x:c r="M223" s="18" t="n">
        <x:v>11</x:v>
      </x:c>
      <x:c r="N223" s="18" t="n">
        <x:v>11</x:v>
      </x:c>
      <x:c r="O223" s="18" t="n">
        <x:v>0</x:v>
      </x:c>
      <x:c r="P223" s="18" t="n">
        <x:v>7</x:v>
      </x:c>
      <x:c r="Q223" s="6" t="str">
        <x:v>count, floor_area_total, locate, route, route_step_free, route_with_closure, tour</x:v>
      </x:c>
      <x:c r="R223" s="21" t="b">
        <x:v>0</x:v>
      </x:c>
      <x:c r="S223" s="21" t="b">
        <x:v>1</x:v>
      </x:c>
      <x:c r="T223" s="6" t="str">
        <x:v>Swiss Dwellings, Archilyse AG / Standfest et al., https://zenodo.org/records/7070952 (CC BY 4.0)</x:v>
      </x:c>
      <x:c r="U223" s="6" t="str">
        <x:v>data/train/swiss-18260/building.json</x:v>
      </x:c>
      <x:c r="V223" s="6" t="str">
        <x:v>https://github.com/hagenhaeussler/Industrial-Agents-Hackathon-2026/blob/f41616590b69f3ea0c1cbfb41d6c35edd9ce53df/data/train/swiss-18260/building.json</x:v>
      </x:c>
    </x:row>
    <x:row r="224" ht="54" customHeight="1">
      <x:c r="A224" s="6" t="str">
        <x:v>swiss-1828</x:v>
      </x:c>
      <x:c r="B224" s="6" t="str">
        <x:v>Residential building 1828</x:v>
      </x:c>
      <x:c r="C224" s="6" t="str">
        <x:v>train</x:v>
      </x:c>
      <x:c r="D224" s="6" t="str">
        <x:v>swiss_dwellings</x:v>
      </x:c>
      <x:c r="E224" s="6" t="str">
        <x:v>CC-BY-4.0</x:v>
      </x:c>
      <x:c r="F224" s="18" t="n">
        <x:v>5</x:v>
      </x:c>
      <x:c r="G224" s="6" t="str">
        <x:v>0, 1, 2, 3, 4</x:v>
      </x:c>
      <x:c r="H224" s="18" t="n">
        <x:v>64</x:v>
      </x:c>
      <x:c r="I224" s="18" t="n">
        <x:v>48</x:v>
      </x:c>
      <x:c r="J224" s="18" t="n">
        <x:v>186</x:v>
      </x:c>
      <x:c r="K224" s="18" t="n">
        <x:v>3</x:v>
      </x:c>
      <x:c r="L224" s="18" t="n">
        <x:v>9</x:v>
      </x:c>
      <x:c r="M224" s="18" t="n">
        <x:v>12</x:v>
      </x:c>
      <x:c r="N224" s="18" t="n">
        <x:v>12</x:v>
      </x:c>
      <x:c r="O224" s="18" t="n">
        <x:v>0</x:v>
      </x:c>
      <x:c r="P224" s="18" t="n">
        <x:v>9</x:v>
      </x:c>
      <x:c r="Q224" s="6" t="str">
        <x:v>count, errand, floor_area_total, largest_room, locate, route, route_step_free, route_with_closure, tour</x:v>
      </x:c>
      <x:c r="R224" s="21" t="b">
        <x:v>0</x:v>
      </x:c>
      <x:c r="S224" s="21" t="b">
        <x:v>1</x:v>
      </x:c>
      <x:c r="T224" s="6" t="str">
        <x:v>Swiss Dwellings, Archilyse AG / Standfest et al., https://zenodo.org/records/7070952 (CC BY 4.0)</x:v>
      </x:c>
      <x:c r="U224" s="6" t="str">
        <x:v>data/train/swiss-1828/building.json</x:v>
      </x:c>
      <x:c r="V224" s="6" t="str">
        <x:v>https://github.com/hagenhaeussler/Industrial-Agents-Hackathon-2026/blob/f41616590b69f3ea0c1cbfb41d6c35edd9ce53df/data/train/swiss-1828/building.json</x:v>
      </x:c>
    </x:row>
    <x:row r="225" ht="54" customHeight="1">
      <x:c r="A225" s="6" t="str">
        <x:v>swiss-1829</x:v>
      </x:c>
      <x:c r="B225" s="6" t="str">
        <x:v>Residential building 1829</x:v>
      </x:c>
      <x:c r="C225" s="6" t="str">
        <x:v>train</x:v>
      </x:c>
      <x:c r="D225" s="6" t="str">
        <x:v>swiss_dwellings</x:v>
      </x:c>
      <x:c r="E225" s="6" t="str">
        <x:v>CC-BY-4.0</x:v>
      </x:c>
      <x:c r="F225" s="18" t="n">
        <x:v>6</x:v>
      </x:c>
      <x:c r="G225" s="6" t="str">
        <x:v>0, 1, 2, 3, 4, 5</x:v>
      </x:c>
      <x:c r="H225" s="18" t="n">
        <x:v>109</x:v>
      </x:c>
      <x:c r="I225" s="18" t="n">
        <x:v>67</x:v>
      </x:c>
      <x:c r="J225" s="18" t="n">
        <x:v>310</x:v>
      </x:c>
      <x:c r="K225" s="18" t="n">
        <x:v>3</x:v>
      </x:c>
      <x:c r="L225" s="18" t="n">
        <x:v>9</x:v>
      </x:c>
      <x:c r="M225" s="18" t="n">
        <x:v>12</x:v>
      </x:c>
      <x:c r="N225" s="18" t="n">
        <x:v>12</x:v>
      </x:c>
      <x:c r="O225" s="18" t="n">
        <x:v>0</x:v>
      </x:c>
      <x:c r="P225" s="18" t="n">
        <x:v>9</x:v>
      </x:c>
      <x:c r="Q225" s="6" t="str">
        <x:v>count, errand, floor_area_total, largest_room, locate, route, route_step_free, route_with_closure, tour</x:v>
      </x:c>
      <x:c r="R225" s="21" t="b">
        <x:v>0</x:v>
      </x:c>
      <x:c r="S225" s="21" t="b">
        <x:v>1</x:v>
      </x:c>
      <x:c r="T225" s="6" t="str">
        <x:v>Swiss Dwellings, Archilyse AG / Standfest et al., https://zenodo.org/records/7070952 (CC BY 4.0)</x:v>
      </x:c>
      <x:c r="U225" s="6" t="str">
        <x:v>data/train/swiss-1829/building.json</x:v>
      </x:c>
      <x:c r="V225" s="6" t="str">
        <x:v>https://github.com/hagenhaeussler/Industrial-Agents-Hackathon-2026/blob/f41616590b69f3ea0c1cbfb41d6c35edd9ce53df/data/train/swiss-1829/building.json</x:v>
      </x:c>
    </x:row>
    <x:row r="226" ht="54" customHeight="1">
      <x:c r="A226" s="6" t="str">
        <x:v>swiss-1860</x:v>
      </x:c>
      <x:c r="B226" s="6" t="str">
        <x:v>Residential building 1860</x:v>
      </x:c>
      <x:c r="C226" s="6" t="str">
        <x:v>train</x:v>
      </x:c>
      <x:c r="D226" s="6" t="str">
        <x:v>swiss_dwellings</x:v>
      </x:c>
      <x:c r="E226" s="6" t="str">
        <x:v>CC-BY-4.0</x:v>
      </x:c>
      <x:c r="F226" s="18" t="n">
        <x:v>5</x:v>
      </x:c>
      <x:c r="G226" s="6" t="str">
        <x:v>0, 1, 2, 3, 4</x:v>
      </x:c>
      <x:c r="H226" s="18" t="n">
        <x:v>152</x:v>
      </x:c>
      <x:c r="I226" s="18" t="n">
        <x:v>82</x:v>
      </x:c>
      <x:c r="J226" s="18" t="n">
        <x:v>320</x:v>
      </x:c>
      <x:c r="K226" s="18" t="n">
        <x:v>2</x:v>
      </x:c>
      <x:c r="L226" s="18" t="n">
        <x:v>7</x:v>
      </x:c>
      <x:c r="M226" s="18" t="n">
        <x:v>9</x:v>
      </x:c>
      <x:c r="N226" s="18" t="n">
        <x:v>9</x:v>
      </x:c>
      <x:c r="O226" s="18" t="n">
        <x:v>0</x:v>
      </x:c>
      <x:c r="P226" s="18" t="n">
        <x:v>7</x:v>
      </x:c>
      <x:c r="Q226" s="6" t="str">
        <x:v>count, floor_area_total, route, route_step_free, route_with_closure, shared_walls_count, tour</x:v>
      </x:c>
      <x:c r="R226" s="21" t="b">
        <x:v>1</x:v>
      </x:c>
      <x:c r="S226" s="21" t="b">
        <x:v>1</x:v>
      </x:c>
      <x:c r="T226" s="6" t="str">
        <x:v>Swiss Dwellings, Archilyse AG / Standfest et al., https://zenodo.org/records/7070952 (CC BY 4.0)</x:v>
      </x:c>
      <x:c r="U226" s="6" t="str">
        <x:v>data/train/swiss-1860/building.json</x:v>
      </x:c>
      <x:c r="V226" s="6" t="str">
        <x:v>https://github.com/hagenhaeussler/Industrial-Agents-Hackathon-2026/blob/f41616590b69f3ea0c1cbfb41d6c35edd9ce53df/data/train/swiss-1860/building.json</x:v>
      </x:c>
    </x:row>
    <x:row r="227" ht="54" customHeight="1">
      <x:c r="A227" s="6" t="str">
        <x:v>swiss-1883</x:v>
      </x:c>
      <x:c r="B227" s="6" t="str">
        <x:v>Residential building 1883</x:v>
      </x:c>
      <x:c r="C227" s="6" t="str">
        <x:v>train</x:v>
      </x:c>
      <x:c r="D227" s="6" t="str">
        <x:v>swiss_dwellings</x:v>
      </x:c>
      <x:c r="E227" s="6" t="str">
        <x:v>CC-BY-4.0</x:v>
      </x:c>
      <x:c r="F227" s="18" t="n">
        <x:v>4</x:v>
      </x:c>
      <x:c r="G227" s="6" t="str">
        <x:v>0, 1, 2, 3</x:v>
      </x:c>
      <x:c r="H227" s="18" t="n">
        <x:v>136</x:v>
      </x:c>
      <x:c r="I227" s="18" t="n">
        <x:v>86</x:v>
      </x:c>
      <x:c r="J227" s="18" t="n">
        <x:v>406</x:v>
      </x:c>
      <x:c r="K227" s="18" t="n">
        <x:v>4</x:v>
      </x:c>
      <x:c r="L227" s="18" t="n">
        <x:v>7</x:v>
      </x:c>
      <x:c r="M227" s="18" t="n">
        <x:v>11</x:v>
      </x:c>
      <x:c r="N227" s="18" t="n">
        <x:v>11</x:v>
      </x:c>
      <x:c r="O227" s="18" t="n">
        <x:v>0</x:v>
      </x:c>
      <x:c r="P227" s="18" t="n">
        <x:v>9</x:v>
      </x:c>
      <x:c r="Q227" s="6" t="str">
        <x:v>count, errand, floor_area_total, largest_room, route, route_step_free, route_with_closure, shared_walls_count, tour</x:v>
      </x:c>
      <x:c r="R227" s="21" t="b">
        <x:v>0</x:v>
      </x:c>
      <x:c r="S227" s="21" t="b">
        <x:v>1</x:v>
      </x:c>
      <x:c r="T227" s="6" t="str">
        <x:v>Swiss Dwellings, Archilyse AG / Standfest et al., https://zenodo.org/records/7070952 (CC BY 4.0)</x:v>
      </x:c>
      <x:c r="U227" s="6" t="str">
        <x:v>data/train/swiss-1883/building.json</x:v>
      </x:c>
      <x:c r="V227" s="6" t="str">
        <x:v>https://github.com/hagenhaeussler/Industrial-Agents-Hackathon-2026/blob/f41616590b69f3ea0c1cbfb41d6c35edd9ce53df/data/train/swiss-1883/building.json</x:v>
      </x:c>
    </x:row>
    <x:row r="228" ht="54" customHeight="1">
      <x:c r="A228" s="6" t="str">
        <x:v>swiss-1889</x:v>
      </x:c>
      <x:c r="B228" s="6" t="str">
        <x:v>Residential building 1889</x:v>
      </x:c>
      <x:c r="C228" s="6" t="str">
        <x:v>train</x:v>
      </x:c>
      <x:c r="D228" s="6" t="str">
        <x:v>swiss_dwellings</x:v>
      </x:c>
      <x:c r="E228" s="6" t="str">
        <x:v>CC-BY-4.0</x:v>
      </x:c>
      <x:c r="F228" s="18" t="n">
        <x:v>4</x:v>
      </x:c>
      <x:c r="G228" s="6" t="str">
        <x:v>0, 1, 2, 3</x:v>
      </x:c>
      <x:c r="H228" s="18" t="n">
        <x:v>131</x:v>
      </x:c>
      <x:c r="I228" s="18" t="n">
        <x:v>86</x:v>
      </x:c>
      <x:c r="J228" s="18" t="n">
        <x:v>410</x:v>
      </x:c>
      <x:c r="K228" s="18" t="n">
        <x:v>1</x:v>
      </x:c>
      <x:c r="L228" s="18" t="n">
        <x:v>9</x:v>
      </x:c>
      <x:c r="M228" s="18" t="n">
        <x:v>10</x:v>
      </x:c>
      <x:c r="N228" s="18" t="n">
        <x:v>10</x:v>
      </x:c>
      <x:c r="O228" s="18" t="n">
        <x:v>0</x:v>
      </x:c>
      <x:c r="P228" s="18" t="n">
        <x:v>7</x:v>
      </x:c>
      <x:c r="Q228" s="6" t="str">
        <x:v>count, floor_area_total, locate, route, route_step_free, route_with_closure, tour</x:v>
      </x:c>
      <x:c r="R228" s="21" t="b">
        <x:v>0</x:v>
      </x:c>
      <x:c r="S228" s="21" t="b">
        <x:v>1</x:v>
      </x:c>
      <x:c r="T228" s="6" t="str">
        <x:v>Swiss Dwellings, Archilyse AG / Standfest et al., https://zenodo.org/records/7070952 (CC BY 4.0)</x:v>
      </x:c>
      <x:c r="U228" s="6" t="str">
        <x:v>data/train/swiss-1889/building.json</x:v>
      </x:c>
      <x:c r="V228" s="6" t="str">
        <x:v>https://github.com/hagenhaeussler/Industrial-Agents-Hackathon-2026/blob/f41616590b69f3ea0c1cbfb41d6c35edd9ce53df/data/train/swiss-1889/building.json</x:v>
      </x:c>
    </x:row>
    <x:row r="229" ht="54" customHeight="1">
      <x:c r="A229" s="6" t="str">
        <x:v>swiss-1898</x:v>
      </x:c>
      <x:c r="B229" s="6" t="str">
        <x:v>Residential building 1898</x:v>
      </x:c>
      <x:c r="C229" s="6" t="str">
        <x:v>train</x:v>
      </x:c>
      <x:c r="D229" s="6" t="str">
        <x:v>swiss_dwellings</x:v>
      </x:c>
      <x:c r="E229" s="6" t="str">
        <x:v>CC-BY-4.0</x:v>
      </x:c>
      <x:c r="F229" s="18" t="n">
        <x:v>3</x:v>
      </x:c>
      <x:c r="G229" s="6" t="str">
        <x:v>0, 1, 2</x:v>
      </x:c>
      <x:c r="H229" s="18" t="n">
        <x:v>66</x:v>
      </x:c>
      <x:c r="I229" s="18" t="n">
        <x:v>45</x:v>
      </x:c>
      <x:c r="J229" s="18" t="n">
        <x:v>174</x:v>
      </x:c>
      <x:c r="K229" s="18" t="n">
        <x:v>1</x:v>
      </x:c>
      <x:c r="L229" s="18" t="n">
        <x:v>9</x:v>
      </x:c>
      <x:c r="M229" s="18" t="n">
        <x:v>10</x:v>
      </x:c>
      <x:c r="N229" s="18" t="n">
        <x:v>10</x:v>
      </x:c>
      <x:c r="O229" s="18" t="n">
        <x:v>0</x:v>
      </x:c>
      <x:c r="P229" s="18" t="n">
        <x:v>7</x:v>
      </x:c>
      <x:c r="Q229" s="6" t="str">
        <x:v>count, floor_area_total, locate, route, route_step_free, route_with_closure, tour</x:v>
      </x:c>
      <x:c r="R229" s="21" t="b">
        <x:v>0</x:v>
      </x:c>
      <x:c r="S229" s="21" t="b">
        <x:v>1</x:v>
      </x:c>
      <x:c r="T229" s="6" t="str">
        <x:v>Swiss Dwellings, Archilyse AG / Standfest et al., https://zenodo.org/records/7070952 (CC BY 4.0)</x:v>
      </x:c>
      <x:c r="U229" s="6" t="str">
        <x:v>data/train/swiss-1898/building.json</x:v>
      </x:c>
      <x:c r="V229" s="6" t="str">
        <x:v>https://github.com/hagenhaeussler/Industrial-Agents-Hackathon-2026/blob/f41616590b69f3ea0c1cbfb41d6c35edd9ce53df/data/train/swiss-1898/building.json</x:v>
      </x:c>
    </x:row>
    <x:row r="230" ht="54" customHeight="1">
      <x:c r="A230" s="6" t="str">
        <x:v>swiss-1922</x:v>
      </x:c>
      <x:c r="B230" s="6" t="str">
        <x:v>Residential building 1922</x:v>
      </x:c>
      <x:c r="C230" s="6" t="str">
        <x:v>train</x:v>
      </x:c>
      <x:c r="D230" s="6" t="str">
        <x:v>swiss_dwellings</x:v>
      </x:c>
      <x:c r="E230" s="6" t="str">
        <x:v>CC-BY-4.0</x:v>
      </x:c>
      <x:c r="F230" s="18" t="n">
        <x:v>6</x:v>
      </x:c>
      <x:c r="G230" s="6" t="str">
        <x:v>0, 1, 2, 3, 4, 5</x:v>
      </x:c>
      <x:c r="H230" s="18" t="n">
        <x:v>362</x:v>
      </x:c>
      <x:c r="I230" s="18" t="n">
        <x:v>243</x:v>
      </x:c>
      <x:c r="J230" s="18" t="n">
        <x:v>1099</x:v>
      </x:c>
      <x:c r="K230" s="18" t="n">
        <x:v>4</x:v>
      </x:c>
      <x:c r="L230" s="18" t="n">
        <x:v>8</x:v>
      </x:c>
      <x:c r="M230" s="18" t="n">
        <x:v>12</x:v>
      </x:c>
      <x:c r="N230" s="18" t="n">
        <x:v>12</x:v>
      </x:c>
      <x:c r="O230" s="18" t="n">
        <x:v>0</x:v>
      </x:c>
      <x:c r="P230" s="18" t="n">
        <x:v>10</x:v>
      </x:c>
      <x:c r="Q230" s="6" t="str">
        <x:v>count, errand, floor_area_total, largest_room, locate, route, route_step_free, route_with_closure, shared_walls_count, tour</x:v>
      </x:c>
      <x:c r="R230" s="21" t="b">
        <x:v>1</x:v>
      </x:c>
      <x:c r="S230" s="21" t="b">
        <x:v>1</x:v>
      </x:c>
      <x:c r="T230" s="6" t="str">
        <x:v>Swiss Dwellings, Archilyse AG / Standfest et al., https://zenodo.org/records/7070952 (CC BY 4.0)</x:v>
      </x:c>
      <x:c r="U230" s="6" t="str">
        <x:v>data/train/swiss-1922/building.json</x:v>
      </x:c>
      <x:c r="V230" s="6" t="str">
        <x:v>https://github.com/hagenhaeussler/Industrial-Agents-Hackathon-2026/blob/f41616590b69f3ea0c1cbfb41d6c35edd9ce53df/data/train/swiss-1922/building.json</x:v>
      </x:c>
    </x:row>
    <x:row r="231" ht="54" customHeight="1">
      <x:c r="A231" s="6" t="str">
        <x:v>swiss-1928</x:v>
      </x:c>
      <x:c r="B231" s="6" t="str">
        <x:v>Residential building 1928</x:v>
      </x:c>
      <x:c r="C231" s="6" t="str">
        <x:v>train</x:v>
      </x:c>
      <x:c r="D231" s="6" t="str">
        <x:v>swiss_dwellings</x:v>
      </x:c>
      <x:c r="E231" s="6" t="str">
        <x:v>CC-BY-4.0</x:v>
      </x:c>
      <x:c r="F231" s="18" t="n">
        <x:v>4</x:v>
      </x:c>
      <x:c r="G231" s="6" t="str">
        <x:v>0, 1, 2, 3</x:v>
      </x:c>
      <x:c r="H231" s="18" t="n">
        <x:v>58</x:v>
      </x:c>
      <x:c r="I231" s="18" t="n">
        <x:v>41</x:v>
      </x:c>
      <x:c r="J231" s="18" t="n">
        <x:v>183</x:v>
      </x:c>
      <x:c r="K231" s="18" t="n">
        <x:v>1</x:v>
      </x:c>
      <x:c r="L231" s="18" t="n">
        <x:v>10</x:v>
      </x:c>
      <x:c r="M231" s="18" t="n">
        <x:v>11</x:v>
      </x:c>
      <x:c r="N231" s="18" t="n">
        <x:v>11</x:v>
      </x:c>
      <x:c r="O231" s="18" t="n">
        <x:v>0</x:v>
      </x:c>
      <x:c r="P231" s="18" t="n">
        <x:v>7</x:v>
      </x:c>
      <x:c r="Q231" s="6" t="str">
        <x:v>count, floor_area_total, locate, route, route_step_free, route_with_closure, tour</x:v>
      </x:c>
      <x:c r="R231" s="21" t="b">
        <x:v>0</x:v>
      </x:c>
      <x:c r="S231" s="21" t="b">
        <x:v>1</x:v>
      </x:c>
      <x:c r="T231" s="6" t="str">
        <x:v>Swiss Dwellings, Archilyse AG / Standfest et al., https://zenodo.org/records/7070952 (CC BY 4.0)</x:v>
      </x:c>
      <x:c r="U231" s="6" t="str">
        <x:v>data/train/swiss-1928/building.json</x:v>
      </x:c>
      <x:c r="V231" s="6" t="str">
        <x:v>https://github.com/hagenhaeussler/Industrial-Agents-Hackathon-2026/blob/f41616590b69f3ea0c1cbfb41d6c35edd9ce53df/data/train/swiss-1928/building.json</x:v>
      </x:c>
    </x:row>
    <x:row r="232" ht="54" customHeight="1">
      <x:c r="A232" s="6" t="str">
        <x:v>swiss-1936</x:v>
      </x:c>
      <x:c r="B232" s="6" t="str">
        <x:v>Residential building 1936</x:v>
      </x:c>
      <x:c r="C232" s="6" t="str">
        <x:v>train</x:v>
      </x:c>
      <x:c r="D232" s="6" t="str">
        <x:v>swiss_dwellings</x:v>
      </x:c>
      <x:c r="E232" s="6" t="str">
        <x:v>CC-BY-4.0</x:v>
      </x:c>
      <x:c r="F232" s="18" t="n">
        <x:v>4</x:v>
      </x:c>
      <x:c r="G232" s="6" t="str">
        <x:v>0, 1, 2, 3</x:v>
      </x:c>
      <x:c r="H232" s="18" t="n">
        <x:v>81</x:v>
      </x:c>
      <x:c r="I232" s="18" t="n">
        <x:v>58</x:v>
      </x:c>
      <x:c r="J232" s="18" t="n">
        <x:v>248</x:v>
      </x:c>
      <x:c r="K232" s="18" t="n">
        <x:v>4</x:v>
      </x:c>
      <x:c r="L232" s="18" t="n">
        <x:v>8</x:v>
      </x:c>
      <x:c r="M232" s="18" t="n">
        <x:v>12</x:v>
      </x:c>
      <x:c r="N232" s="18" t="n">
        <x:v>12</x:v>
      </x:c>
      <x:c r="O232" s="18" t="n">
        <x:v>0</x:v>
      </x:c>
      <x:c r="P232" s="18" t="n">
        <x:v>10</x:v>
      </x:c>
      <x:c r="Q232" s="6" t="str">
        <x:v>count, errand, floor_area_total, largest_room, locate, route, route_step_free, route_with_closure, shared_walls_count, tour</x:v>
      </x:c>
      <x:c r="R232" s="21" t="b">
        <x:v>1</x:v>
      </x:c>
      <x:c r="S232" s="21" t="b">
        <x:v>1</x:v>
      </x:c>
      <x:c r="T232" s="6" t="str">
        <x:v>Swiss Dwellings, Archilyse AG / Standfest et al., https://zenodo.org/records/7070952 (CC BY 4.0)</x:v>
      </x:c>
      <x:c r="U232" s="6" t="str">
        <x:v>data/train/swiss-1936/building.json</x:v>
      </x:c>
      <x:c r="V232" s="6" t="str">
        <x:v>https://github.com/hagenhaeussler/Industrial-Agents-Hackathon-2026/blob/f41616590b69f3ea0c1cbfb41d6c35edd9ce53df/data/train/swiss-1936/building.json</x:v>
      </x:c>
    </x:row>
    <x:row r="233" ht="54" customHeight="1">
      <x:c r="A233" s="6" t="str">
        <x:v>swiss-1956</x:v>
      </x:c>
      <x:c r="B233" s="6" t="str">
        <x:v>Residential building 1956</x:v>
      </x:c>
      <x:c r="C233" s="6" t="str">
        <x:v>train</x:v>
      </x:c>
      <x:c r="D233" s="6" t="str">
        <x:v>swiss_dwellings</x:v>
      </x:c>
      <x:c r="E233" s="6" t="str">
        <x:v>CC-BY-4.0</x:v>
      </x:c>
      <x:c r="F233" s="18" t="n">
        <x:v>4</x:v>
      </x:c>
      <x:c r="G233" s="6" t="str">
        <x:v>0, 1, 2, 3</x:v>
      </x:c>
      <x:c r="H233" s="18" t="n">
        <x:v>107</x:v>
      </x:c>
      <x:c r="I233" s="18" t="n">
        <x:v>87</x:v>
      </x:c>
      <x:c r="J233" s="18" t="n">
        <x:v>342</x:v>
      </x:c>
      <x:c r="K233" s="18" t="n">
        <x:v>1</x:v>
      </x:c>
      <x:c r="L233" s="18" t="n">
        <x:v>7</x:v>
      </x:c>
      <x:c r="M233" s="18" t="n">
        <x:v>8</x:v>
      </x:c>
      <x:c r="N233" s="18" t="n">
        <x:v>8</x:v>
      </x:c>
      <x:c r="O233" s="18" t="n">
        <x:v>0</x:v>
      </x:c>
      <x:c r="P233" s="18" t="n">
        <x:v>6</x:v>
      </x:c>
      <x:c r="Q233" s="6" t="str">
        <x:v>count, floor_area_total, route, route_step_free, route_with_closure, tour</x:v>
      </x:c>
      <x:c r="R233" s="21" t="b">
        <x:v>0</x:v>
      </x:c>
      <x:c r="S233" s="21" t="b">
        <x:v>1</x:v>
      </x:c>
      <x:c r="T233" s="6" t="str">
        <x:v>Swiss Dwellings, Archilyse AG / Standfest et al., https://zenodo.org/records/7070952 (CC BY 4.0)</x:v>
      </x:c>
      <x:c r="U233" s="6" t="str">
        <x:v>data/train/swiss-1956/building.json</x:v>
      </x:c>
      <x:c r="V233" s="6" t="str">
        <x:v>https://github.com/hagenhaeussler/Industrial-Agents-Hackathon-2026/blob/f41616590b69f3ea0c1cbfb41d6c35edd9ce53df/data/train/swiss-1956/building.json</x:v>
      </x:c>
    </x:row>
    <x:row r="234" ht="54" customHeight="1">
      <x:c r="A234" s="6" t="str">
        <x:v>swiss-1970</x:v>
      </x:c>
      <x:c r="B234" s="6" t="str">
        <x:v>Residential building 1970</x:v>
      </x:c>
      <x:c r="C234" s="6" t="str">
        <x:v>train</x:v>
      </x:c>
      <x:c r="D234" s="6" t="str">
        <x:v>swiss_dwellings</x:v>
      </x:c>
      <x:c r="E234" s="6" t="str">
        <x:v>CC-BY-4.0</x:v>
      </x:c>
      <x:c r="F234" s="18" t="n">
        <x:v>4</x:v>
      </x:c>
      <x:c r="G234" s="6" t="str">
        <x:v>-1, 0, 1, 2</x:v>
      </x:c>
      <x:c r="H234" s="18" t="n">
        <x:v>128</x:v>
      </x:c>
      <x:c r="I234" s="18" t="n">
        <x:v>68</x:v>
      </x:c>
      <x:c r="J234" s="18" t="n">
        <x:v>319</x:v>
      </x:c>
      <x:c r="K234" s="18" t="n">
        <x:v>1</x:v>
      </x:c>
      <x:c r="L234" s="18" t="n">
        <x:v>10</x:v>
      </x:c>
      <x:c r="M234" s="18" t="n">
        <x:v>11</x:v>
      </x:c>
      <x:c r="N234" s="18" t="n">
        <x:v>11</x:v>
      </x:c>
      <x:c r="O234" s="18" t="n">
        <x:v>0</x:v>
      </x:c>
      <x:c r="P234" s="18" t="n">
        <x:v>7</x:v>
      </x:c>
      <x:c r="Q234" s="6" t="str">
        <x:v>count, floor_area_total, locate, route, route_step_free, route_with_closure, tour</x:v>
      </x:c>
      <x:c r="R234" s="21" t="b">
        <x:v>0</x:v>
      </x:c>
      <x:c r="S234" s="21" t="b">
        <x:v>1</x:v>
      </x:c>
      <x:c r="T234" s="6" t="str">
        <x:v>Swiss Dwellings, Archilyse AG / Standfest et al., https://zenodo.org/records/7070952 (CC BY 4.0)</x:v>
      </x:c>
      <x:c r="U234" s="6" t="str">
        <x:v>data/train/swiss-1970/building.json</x:v>
      </x:c>
      <x:c r="V234" s="6" t="str">
        <x:v>https://github.com/hagenhaeussler/Industrial-Agents-Hackathon-2026/blob/f41616590b69f3ea0c1cbfb41d6c35edd9ce53df/data/train/swiss-1970/building.json</x:v>
      </x:c>
    </x:row>
    <x:row r="235" ht="54" customHeight="1">
      <x:c r="A235" s="6" t="str">
        <x:v>swiss-2049</x:v>
      </x:c>
      <x:c r="B235" s="6" t="str">
        <x:v>Residential building 2049</x:v>
      </x:c>
      <x:c r="C235" s="6" t="str">
        <x:v>train</x:v>
      </x:c>
      <x:c r="D235" s="6" t="str">
        <x:v>swiss_dwellings</x:v>
      </x:c>
      <x:c r="E235" s="6" t="str">
        <x:v>CC-BY-4.0</x:v>
      </x:c>
      <x:c r="F235" s="18" t="n">
        <x:v>5</x:v>
      </x:c>
      <x:c r="G235" s="6" t="str">
        <x:v>0, 1, 2, 3, 4</x:v>
      </x:c>
      <x:c r="H235" s="18" t="n">
        <x:v>190</x:v>
      </x:c>
      <x:c r="I235" s="18" t="n">
        <x:v>130</x:v>
      </x:c>
      <x:c r="J235" s="18" t="n">
        <x:v>623</x:v>
      </x:c>
      <x:c r="K235" s="18" t="n">
        <x:v>1</x:v>
      </x:c>
      <x:c r="L235" s="18" t="n">
        <x:v>7</x:v>
      </x:c>
      <x:c r="M235" s="18" t="n">
        <x:v>8</x:v>
      </x:c>
      <x:c r="N235" s="18" t="n">
        <x:v>8</x:v>
      </x:c>
      <x:c r="O235" s="18" t="n">
        <x:v>0</x:v>
      </x:c>
      <x:c r="P235" s="18" t="n">
        <x:v>6</x:v>
      </x:c>
      <x:c r="Q235" s="6" t="str">
        <x:v>count, floor_area_total, route, route_step_free, route_with_closure, tour</x:v>
      </x:c>
      <x:c r="R235" s="21" t="b">
        <x:v>1</x:v>
      </x:c>
      <x:c r="S235" s="21" t="b">
        <x:v>1</x:v>
      </x:c>
      <x:c r="T235" s="6" t="str">
        <x:v>Swiss Dwellings, Archilyse AG / Standfest et al., https://zenodo.org/records/7070952 (CC BY 4.0)</x:v>
      </x:c>
      <x:c r="U235" s="6" t="str">
        <x:v>data/train/swiss-2049/building.json</x:v>
      </x:c>
      <x:c r="V235" s="6" t="str">
        <x:v>https://github.com/hagenhaeussler/Industrial-Agents-Hackathon-2026/blob/f41616590b69f3ea0c1cbfb41d6c35edd9ce53df/data/train/swiss-2049/building.json</x:v>
      </x:c>
    </x:row>
    <x:row r="236" ht="54" customHeight="1">
      <x:c r="A236" s="6" t="str">
        <x:v>swiss-2084</x:v>
      </x:c>
      <x:c r="B236" s="6" t="str">
        <x:v>Residential building 2084</x:v>
      </x:c>
      <x:c r="C236" s="6" t="str">
        <x:v>train</x:v>
      </x:c>
      <x:c r="D236" s="6" t="str">
        <x:v>swiss_dwellings</x:v>
      </x:c>
      <x:c r="E236" s="6" t="str">
        <x:v>CC-BY-4.0</x:v>
      </x:c>
      <x:c r="F236" s="18" t="n">
        <x:v>6</x:v>
      </x:c>
      <x:c r="G236" s="6" t="str">
        <x:v>0, 1, 2, 3, 4, 5</x:v>
      </x:c>
      <x:c r="H236" s="18" t="n">
        <x:v>162</x:v>
      </x:c>
      <x:c r="I236" s="18" t="n">
        <x:v>113</x:v>
      </x:c>
      <x:c r="J236" s="18" t="n">
        <x:v>457</x:v>
      </x:c>
      <x:c r="K236" s="18" t="n">
        <x:v>5</x:v>
      </x:c>
      <x:c r="L236" s="18" t="n">
        <x:v>7</x:v>
      </x:c>
      <x:c r="M236" s="18" t="n">
        <x:v>12</x:v>
      </x:c>
      <x:c r="N236" s="18" t="n">
        <x:v>12</x:v>
      </x:c>
      <x:c r="O236" s="18" t="n">
        <x:v>0</x:v>
      </x:c>
      <x:c r="P236" s="18" t="n">
        <x:v>10</x:v>
      </x:c>
      <x:c r="Q236" s="6" t="str">
        <x:v>count, errand, floor_area_total, largest_room, route, route_step_free, route_with_closure, shared_walls_count, tour, wide_delivery_count</x:v>
      </x:c>
      <x:c r="R236" s="21" t="b">
        <x:v>1</x:v>
      </x:c>
      <x:c r="S236" s="21" t="b">
        <x:v>1</x:v>
      </x:c>
      <x:c r="T236" s="6" t="str">
        <x:v>Swiss Dwellings, Archilyse AG / Standfest et al., https://zenodo.org/records/7070952 (CC BY 4.0)</x:v>
      </x:c>
      <x:c r="U236" s="6" t="str">
        <x:v>data/train/swiss-2084/building.json</x:v>
      </x:c>
      <x:c r="V236" s="6" t="str">
        <x:v>https://github.com/hagenhaeussler/Industrial-Agents-Hackathon-2026/blob/f41616590b69f3ea0c1cbfb41d6c35edd9ce53df/data/train/swiss-2084/building.json</x:v>
      </x:c>
    </x:row>
    <x:row r="237" ht="42" customHeight="1">
      <x:c r="A237" s="6" t="str">
        <x:v>swiss-210</x:v>
      </x:c>
      <x:c r="B237" s="6" t="str">
        <x:v>Residential building 210</x:v>
      </x:c>
      <x:c r="C237" s="6" t="str">
        <x:v>train</x:v>
      </x:c>
      <x:c r="D237" s="6" t="str">
        <x:v>swiss_dwellings</x:v>
      </x:c>
      <x:c r="E237" s="6" t="str">
        <x:v>CC-BY-4.0</x:v>
      </x:c>
      <x:c r="F237" s="18" t="n">
        <x:v>4</x:v>
      </x:c>
      <x:c r="G237" s="6" t="str">
        <x:v>0, 1, 2, 3</x:v>
      </x:c>
      <x:c r="H237" s="18" t="n">
        <x:v>219</x:v>
      </x:c>
      <x:c r="I237" s="18" t="n">
        <x:v>147</x:v>
      </x:c>
      <x:c r="J237" s="18" t="n">
        <x:v>583</x:v>
      </x:c>
      <x:c r="K237" s="18" t="n">
        <x:v>4</x:v>
      </x:c>
      <x:c r="L237" s="18" t="n">
        <x:v>8</x:v>
      </x:c>
      <x:c r="M237" s="18" t="n">
        <x:v>12</x:v>
      </x:c>
      <x:c r="N237" s="18" t="n">
        <x:v>12</x:v>
      </x:c>
      <x:c r="O237" s="18" t="n">
        <x:v>0</x:v>
      </x:c>
      <x:c r="P237" s="18" t="n">
        <x:v>10</x:v>
      </x:c>
      <x:c r="Q237" s="6" t="str">
        <x:v>count, errand, floor_area_total, largest_room, locate, route, route_step_free, route_with_closure, shared_walls_count, tour</x:v>
      </x:c>
      <x:c r="R237" s="21" t="b">
        <x:v>1</x:v>
      </x:c>
      <x:c r="S237" s="21" t="b">
        <x:v>1</x:v>
      </x:c>
      <x:c r="T237" s="6" t="str">
        <x:v>Swiss Dwellings, Archilyse AG / Standfest et al., https://zenodo.org/records/7070952 (CC BY 4.0)</x:v>
      </x:c>
      <x:c r="U237" s="6" t="str">
        <x:v>data/train/swiss-210/building.json</x:v>
      </x:c>
      <x:c r="V237" s="6" t="str">
        <x:v>https://github.com/hagenhaeussler/Industrial-Agents-Hackathon-2026/blob/f41616590b69f3ea0c1cbfb41d6c35edd9ce53df/data/train/swiss-210/building.json</x:v>
      </x:c>
    </x:row>
    <x:row r="238" ht="42" customHeight="1">
      <x:c r="A238" s="6" t="str">
        <x:v>swiss-22</x:v>
      </x:c>
      <x:c r="B238" s="6" t="str">
        <x:v>Residential building 22</x:v>
      </x:c>
      <x:c r="C238" s="6" t="str">
        <x:v>train</x:v>
      </x:c>
      <x:c r="D238" s="6" t="str">
        <x:v>swiss_dwellings</x:v>
      </x:c>
      <x:c r="E238" s="6" t="str">
        <x:v>CC-BY-4.0</x:v>
      </x:c>
      <x:c r="F238" s="18" t="n">
        <x:v>4</x:v>
      </x:c>
      <x:c r="G238" s="6" t="str">
        <x:v>0, 1, 2, 3</x:v>
      </x:c>
      <x:c r="H238" s="18" t="n">
        <x:v>84</x:v>
      </x:c>
      <x:c r="I238" s="18" t="n">
        <x:v>56</x:v>
      </x:c>
      <x:c r="J238" s="18" t="n">
        <x:v>271</x:v>
      </x:c>
      <x:c r="K238" s="18" t="n">
        <x:v>1</x:v>
      </x:c>
      <x:c r="L238" s="18" t="n">
        <x:v>7</x:v>
      </x:c>
      <x:c r="M238" s="18" t="n">
        <x:v>8</x:v>
      </x:c>
      <x:c r="N238" s="18" t="n">
        <x:v>8</x:v>
      </x:c>
      <x:c r="O238" s="18" t="n">
        <x:v>0</x:v>
      </x:c>
      <x:c r="P238" s="18" t="n">
        <x:v>6</x:v>
      </x:c>
      <x:c r="Q238" s="6" t="str">
        <x:v>count, floor_area_total, route, route_step_free, route_with_closure, tour</x:v>
      </x:c>
      <x:c r="R238" s="21" t="b">
        <x:v>0</x:v>
      </x:c>
      <x:c r="S238" s="21" t="b">
        <x:v>1</x:v>
      </x:c>
      <x:c r="T238" s="6" t="str">
        <x:v>Swiss Dwellings, Archilyse AG / Standfest et al., https://zenodo.org/records/7070952 (CC BY 4.0)</x:v>
      </x:c>
      <x:c r="U238" s="6" t="str">
        <x:v>data/train/swiss-22/building.json</x:v>
      </x:c>
      <x:c r="V238" s="6" t="str">
        <x:v>https://github.com/hagenhaeussler/Industrial-Agents-Hackathon-2026/blob/f41616590b69f3ea0c1cbfb41d6c35edd9ce53df/data/train/swiss-22/building.json</x:v>
      </x:c>
    </x:row>
    <x:row r="239" ht="54" customHeight="1">
      <x:c r="A239" s="6" t="str">
        <x:v>swiss-2214</x:v>
      </x:c>
      <x:c r="B239" s="6" t="str">
        <x:v>Residential building 2214</x:v>
      </x:c>
      <x:c r="C239" s="6" t="str">
        <x:v>train</x:v>
      </x:c>
      <x:c r="D239" s="6" t="str">
        <x:v>swiss_dwellings</x:v>
      </x:c>
      <x:c r="E239" s="6" t="str">
        <x:v>CC-BY-4.0</x:v>
      </x:c>
      <x:c r="F239" s="18" t="n">
        <x:v>5</x:v>
      </x:c>
      <x:c r="G239" s="6" t="str">
        <x:v>0, 1, 2, 3, 4</x:v>
      </x:c>
      <x:c r="H239" s="18" t="n">
        <x:v>262</x:v>
      </x:c>
      <x:c r="I239" s="18" t="n">
        <x:v>154</x:v>
      </x:c>
      <x:c r="J239" s="18" t="n">
        <x:v>760</x:v>
      </x:c>
      <x:c r="K239" s="18" t="n">
        <x:v>4</x:v>
      </x:c>
      <x:c r="L239" s="18" t="n">
        <x:v>7</x:v>
      </x:c>
      <x:c r="M239" s="18" t="n">
        <x:v>11</x:v>
      </x:c>
      <x:c r="N239" s="18" t="n">
        <x:v>11</x:v>
      </x:c>
      <x:c r="O239" s="18" t="n">
        <x:v>0</x:v>
      </x:c>
      <x:c r="P239" s="18" t="n">
        <x:v>9</x:v>
      </x:c>
      <x:c r="Q239" s="6" t="str">
        <x:v>count, errand, floor_area_total, largest_room, route, route_step_free, route_with_closure, shared_walls_count, tour</x:v>
      </x:c>
      <x:c r="R239" s="21" t="b">
        <x:v>1</x:v>
      </x:c>
      <x:c r="S239" s="21" t="b">
        <x:v>1</x:v>
      </x:c>
      <x:c r="T239" s="6" t="str">
        <x:v>Swiss Dwellings, Archilyse AG / Standfest et al., https://zenodo.org/records/7070952 (CC BY 4.0)</x:v>
      </x:c>
      <x:c r="U239" s="6" t="str">
        <x:v>data/train/swiss-2214/building.json</x:v>
      </x:c>
      <x:c r="V239" s="6" t="str">
        <x:v>https://github.com/hagenhaeussler/Industrial-Agents-Hackathon-2026/blob/f41616590b69f3ea0c1cbfb41d6c35edd9ce53df/data/train/swiss-2214/building.json</x:v>
      </x:c>
    </x:row>
    <x:row r="240" ht="54" customHeight="1">
      <x:c r="A240" s="6" t="str">
        <x:v>swiss-2216</x:v>
      </x:c>
      <x:c r="B240" s="6" t="str">
        <x:v>Residential building 2216</x:v>
      </x:c>
      <x:c r="C240" s="6" t="str">
        <x:v>train</x:v>
      </x:c>
      <x:c r="D240" s="6" t="str">
        <x:v>swiss_dwellings</x:v>
      </x:c>
      <x:c r="E240" s="6" t="str">
        <x:v>CC-BY-4.0</x:v>
      </x:c>
      <x:c r="F240" s="18" t="n">
        <x:v>6</x:v>
      </x:c>
      <x:c r="G240" s="6" t="str">
        <x:v>0, 1, 2, 3, 4, 5</x:v>
      </x:c>
      <x:c r="H240" s="18" t="n">
        <x:v>188</x:v>
      </x:c>
      <x:c r="I240" s="18" t="n">
        <x:v>140</x:v>
      </x:c>
      <x:c r="J240" s="18" t="n">
        <x:v>573</x:v>
      </x:c>
      <x:c r="K240" s="18" t="n">
        <x:v>3</x:v>
      </x:c>
      <x:c r="L240" s="18" t="n">
        <x:v>8</x:v>
      </x:c>
      <x:c r="M240" s="18" t="n">
        <x:v>11</x:v>
      </x:c>
      <x:c r="N240" s="18" t="n">
        <x:v>11</x:v>
      </x:c>
      <x:c r="O240" s="18" t="n">
        <x:v>0</x:v>
      </x:c>
      <x:c r="P240" s="18" t="n">
        <x:v>9</x:v>
      </x:c>
      <x:c r="Q240" s="6" t="str">
        <x:v>count, errand, floor_area_total, largest_room, locate, route, route_step_free, route_with_closure, tour</x:v>
      </x:c>
      <x:c r="R240" s="21" t="b">
        <x:v>0</x:v>
      </x:c>
      <x:c r="S240" s="21" t="b">
        <x:v>1</x:v>
      </x:c>
      <x:c r="T240" s="6" t="str">
        <x:v>Swiss Dwellings, Archilyse AG / Standfest et al., https://zenodo.org/records/7070952 (CC BY 4.0)</x:v>
      </x:c>
      <x:c r="U240" s="6" t="str">
        <x:v>data/train/swiss-2216/building.json</x:v>
      </x:c>
      <x:c r="V240" s="6" t="str">
        <x:v>https://github.com/hagenhaeussler/Industrial-Agents-Hackathon-2026/blob/f41616590b69f3ea0c1cbfb41d6c35edd9ce53df/data/train/swiss-2216/building.json</x:v>
      </x:c>
    </x:row>
    <x:row r="241" ht="54" customHeight="1">
      <x:c r="A241" s="6" t="str">
        <x:v>swiss-2221</x:v>
      </x:c>
      <x:c r="B241" s="6" t="str">
        <x:v>Residential building 2221</x:v>
      </x:c>
      <x:c r="C241" s="6" t="str">
        <x:v>train</x:v>
      </x:c>
      <x:c r="D241" s="6" t="str">
        <x:v>swiss_dwellings</x:v>
      </x:c>
      <x:c r="E241" s="6" t="str">
        <x:v>CC-BY-4.0</x:v>
      </x:c>
      <x:c r="F241" s="18" t="n">
        <x:v>4</x:v>
      </x:c>
      <x:c r="G241" s="6" t="str">
        <x:v>0, 1, 2, 3</x:v>
      </x:c>
      <x:c r="H241" s="18" t="n">
        <x:v>66</x:v>
      </x:c>
      <x:c r="I241" s="18" t="n">
        <x:v>46</x:v>
      </x:c>
      <x:c r="J241" s="18" t="n">
        <x:v>193</x:v>
      </x:c>
      <x:c r="K241" s="18" t="n">
        <x:v>3</x:v>
      </x:c>
      <x:c r="L241" s="18" t="n">
        <x:v>10</x:v>
      </x:c>
      <x:c r="M241" s="18" t="n">
        <x:v>13</x:v>
      </x:c>
      <x:c r="N241" s="18" t="n">
        <x:v>13</x:v>
      </x:c>
      <x:c r="O241" s="18" t="n">
        <x:v>0</x:v>
      </x:c>
      <x:c r="P241" s="18" t="n">
        <x:v>9</x:v>
      </x:c>
      <x:c r="Q241" s="6" t="str">
        <x:v>count, errand, floor_area_total, largest_room, locate, route, route_step_free, route_with_closure, tour</x:v>
      </x:c>
      <x:c r="R241" s="21" t="b">
        <x:v>0</x:v>
      </x:c>
      <x:c r="S241" s="21" t="b">
        <x:v>1</x:v>
      </x:c>
      <x:c r="T241" s="6" t="str">
        <x:v>Swiss Dwellings, Archilyse AG / Standfest et al., https://zenodo.org/records/7070952 (CC BY 4.0)</x:v>
      </x:c>
      <x:c r="U241" s="6" t="str">
        <x:v>data/train/swiss-2221/building.json</x:v>
      </x:c>
      <x:c r="V241" s="6" t="str">
        <x:v>https://github.com/hagenhaeussler/Industrial-Agents-Hackathon-2026/blob/f41616590b69f3ea0c1cbfb41d6c35edd9ce53df/data/train/swiss-2221/building.json</x:v>
      </x:c>
    </x:row>
    <x:row r="242" ht="54" customHeight="1">
      <x:c r="A242" s="6" t="str">
        <x:v>swiss-2235</x:v>
      </x:c>
      <x:c r="B242" s="6" t="str">
        <x:v>Residential building 2235</x:v>
      </x:c>
      <x:c r="C242" s="6" t="str">
        <x:v>train</x:v>
      </x:c>
      <x:c r="D242" s="6" t="str">
        <x:v>swiss_dwellings</x:v>
      </x:c>
      <x:c r="E242" s="6" t="str">
        <x:v>CC-BY-4.0</x:v>
      </x:c>
      <x:c r="F242" s="18" t="n">
        <x:v>4</x:v>
      </x:c>
      <x:c r="G242" s="6" t="str">
        <x:v>0, 1, 2, 3</x:v>
      </x:c>
      <x:c r="H242" s="18" t="n">
        <x:v>196</x:v>
      </x:c>
      <x:c r="I242" s="18" t="n">
        <x:v>120</x:v>
      </x:c>
      <x:c r="J242" s="18" t="n">
        <x:v>505</x:v>
      </x:c>
      <x:c r="K242" s="18" t="n">
        <x:v>1</x:v>
      </x:c>
      <x:c r="L242" s="18" t="n">
        <x:v>8</x:v>
      </x:c>
      <x:c r="M242" s="18" t="n">
        <x:v>9</x:v>
      </x:c>
      <x:c r="N242" s="18" t="n">
        <x:v>9</x:v>
      </x:c>
      <x:c r="O242" s="18" t="n">
        <x:v>0</x:v>
      </x:c>
      <x:c r="P242" s="18" t="n">
        <x:v>7</x:v>
      </x:c>
      <x:c r="Q242" s="6" t="str">
        <x:v>count, floor_area_total, locate, route, route_step_free, route_with_closure, tour</x:v>
      </x:c>
      <x:c r="R242" s="21" t="b">
        <x:v>0</x:v>
      </x:c>
      <x:c r="S242" s="21" t="b">
        <x:v>1</x:v>
      </x:c>
      <x:c r="T242" s="6" t="str">
        <x:v>Swiss Dwellings, Archilyse AG / Standfest et al., https://zenodo.org/records/7070952 (CC BY 4.0)</x:v>
      </x:c>
      <x:c r="U242" s="6" t="str">
        <x:v>data/train/swiss-2235/building.json</x:v>
      </x:c>
      <x:c r="V242" s="6" t="str">
        <x:v>https://github.com/hagenhaeussler/Industrial-Agents-Hackathon-2026/blob/f41616590b69f3ea0c1cbfb41d6c35edd9ce53df/data/train/swiss-2235/building.json</x:v>
      </x:c>
    </x:row>
    <x:row r="243" ht="54" customHeight="1">
      <x:c r="A243" s="6" t="str">
        <x:v>swiss-2274</x:v>
      </x:c>
      <x:c r="B243" s="6" t="str">
        <x:v>Residential building 2274</x:v>
      </x:c>
      <x:c r="C243" s="6" t="str">
        <x:v>train</x:v>
      </x:c>
      <x:c r="D243" s="6" t="str">
        <x:v>swiss_dwellings</x:v>
      </x:c>
      <x:c r="E243" s="6" t="str">
        <x:v>CC-BY-4.0</x:v>
      </x:c>
      <x:c r="F243" s="18" t="n">
        <x:v>3</x:v>
      </x:c>
      <x:c r="G243" s="6" t="str">
        <x:v>0, 1, 2</x:v>
      </x:c>
      <x:c r="H243" s="18" t="n">
        <x:v>185</x:v>
      </x:c>
      <x:c r="I243" s="18" t="n">
        <x:v>127</x:v>
      </x:c>
      <x:c r="J243" s="18" t="n">
        <x:v>550</x:v>
      </x:c>
      <x:c r="K243" s="18" t="n">
        <x:v>4</x:v>
      </x:c>
      <x:c r="L243" s="18" t="n">
        <x:v>8</x:v>
      </x:c>
      <x:c r="M243" s="18" t="n">
        <x:v>12</x:v>
      </x:c>
      <x:c r="N243" s="18" t="n">
        <x:v>12</x:v>
      </x:c>
      <x:c r="O243" s="18" t="n">
        <x:v>0</x:v>
      </x:c>
      <x:c r="P243" s="18" t="n">
        <x:v>10</x:v>
      </x:c>
      <x:c r="Q243" s="6" t="str">
        <x:v>count, errand, floor_area_total, largest_room, locate, route, route_step_free, route_with_closure, shared_walls_count, tour</x:v>
      </x:c>
      <x:c r="R243" s="21" t="b">
        <x:v>1</x:v>
      </x:c>
      <x:c r="S243" s="21" t="b">
        <x:v>1</x:v>
      </x:c>
      <x:c r="T243" s="6" t="str">
        <x:v>Swiss Dwellings, Archilyse AG / Standfest et al., https://zenodo.org/records/7070952 (CC BY 4.0)</x:v>
      </x:c>
      <x:c r="U243" s="6" t="str">
        <x:v>data/train/swiss-2274/building.json</x:v>
      </x:c>
      <x:c r="V243" s="6" t="str">
        <x:v>https://github.com/hagenhaeussler/Industrial-Agents-Hackathon-2026/blob/f41616590b69f3ea0c1cbfb41d6c35edd9ce53df/data/train/swiss-2274/building.json</x:v>
      </x:c>
    </x:row>
    <x:row r="244" ht="54" customHeight="1">
      <x:c r="A244" s="6" t="str">
        <x:v>swiss-2314</x:v>
      </x:c>
      <x:c r="B244" s="6" t="str">
        <x:v>Residential building 2314</x:v>
      </x:c>
      <x:c r="C244" s="6" t="str">
        <x:v>train</x:v>
      </x:c>
      <x:c r="D244" s="6" t="str">
        <x:v>swiss_dwellings</x:v>
      </x:c>
      <x:c r="E244" s="6" t="str">
        <x:v>CC-BY-4.0</x:v>
      </x:c>
      <x:c r="F244" s="18" t="n">
        <x:v>3</x:v>
      </x:c>
      <x:c r="G244" s="6" t="str">
        <x:v>0, 1, 2</x:v>
      </x:c>
      <x:c r="H244" s="18" t="n">
        <x:v>110</x:v>
      </x:c>
      <x:c r="I244" s="18" t="n">
        <x:v>75</x:v>
      </x:c>
      <x:c r="J244" s="18" t="n">
        <x:v>325</x:v>
      </x:c>
      <x:c r="K244" s="18" t="n">
        <x:v>3</x:v>
      </x:c>
      <x:c r="L244" s="18" t="n">
        <x:v>8</x:v>
      </x:c>
      <x:c r="M244" s="18" t="n">
        <x:v>11</x:v>
      </x:c>
      <x:c r="N244" s="18" t="n">
        <x:v>11</x:v>
      </x:c>
      <x:c r="O244" s="18" t="n">
        <x:v>0</x:v>
      </x:c>
      <x:c r="P244" s="18" t="n">
        <x:v>9</x:v>
      </x:c>
      <x:c r="Q244" s="6" t="str">
        <x:v>count, errand, floor_area_total, largest_room, locate, route, route_step_free, route_with_closure, tour</x:v>
      </x:c>
      <x:c r="R244" s="21" t="b">
        <x:v>0</x:v>
      </x:c>
      <x:c r="S244" s="21" t="b">
        <x:v>1</x:v>
      </x:c>
      <x:c r="T244" s="6" t="str">
        <x:v>Swiss Dwellings, Archilyse AG / Standfest et al., https://zenodo.org/records/7070952 (CC BY 4.0)</x:v>
      </x:c>
      <x:c r="U244" s="6" t="str">
        <x:v>data/train/swiss-2314/building.json</x:v>
      </x:c>
      <x:c r="V244" s="6" t="str">
        <x:v>https://github.com/hagenhaeussler/Industrial-Agents-Hackathon-2026/blob/f41616590b69f3ea0c1cbfb41d6c35edd9ce53df/data/train/swiss-2314/building.json</x:v>
      </x:c>
    </x:row>
    <x:row r="245" ht="54" customHeight="1">
      <x:c r="A245" s="6" t="str">
        <x:v>swiss-2390</x:v>
      </x:c>
      <x:c r="B245" s="6" t="str">
        <x:v>Residential building 2390</x:v>
      </x:c>
      <x:c r="C245" s="6" t="str">
        <x:v>train</x:v>
      </x:c>
      <x:c r="D245" s="6" t="str">
        <x:v>swiss_dwellings</x:v>
      </x:c>
      <x:c r="E245" s="6" t="str">
        <x:v>CC-BY-4.0</x:v>
      </x:c>
      <x:c r="F245" s="18" t="n">
        <x:v>5</x:v>
      </x:c>
      <x:c r="G245" s="6" t="str">
        <x:v>0, 1, 2, 3, 4</x:v>
      </x:c>
      <x:c r="H245" s="18" t="n">
        <x:v>142</x:v>
      </x:c>
      <x:c r="I245" s="18" t="n">
        <x:v>90</x:v>
      </x:c>
      <x:c r="J245" s="18" t="n">
        <x:v>493</x:v>
      </x:c>
      <x:c r="K245" s="18" t="n">
        <x:v>1</x:v>
      </x:c>
      <x:c r="L245" s="18" t="n">
        <x:v>8</x:v>
      </x:c>
      <x:c r="M245" s="18" t="n">
        <x:v>9</x:v>
      </x:c>
      <x:c r="N245" s="18" t="n">
        <x:v>9</x:v>
      </x:c>
      <x:c r="O245" s="18" t="n">
        <x:v>0</x:v>
      </x:c>
      <x:c r="P245" s="18" t="n">
        <x:v>7</x:v>
      </x:c>
      <x:c r="Q245" s="6" t="str">
        <x:v>count, floor_area_total, locate, route, route_step_free, route_with_closure, tour</x:v>
      </x:c>
      <x:c r="R245" s="21" t="b">
        <x:v>0</x:v>
      </x:c>
      <x:c r="S245" s="21" t="b">
        <x:v>1</x:v>
      </x:c>
      <x:c r="T245" s="6" t="str">
        <x:v>Swiss Dwellings, Archilyse AG / Standfest et al., https://zenodo.org/records/7070952 (CC BY 4.0)</x:v>
      </x:c>
      <x:c r="U245" s="6" t="str">
        <x:v>data/train/swiss-2390/building.json</x:v>
      </x:c>
      <x:c r="V245" s="6" t="str">
        <x:v>https://github.com/hagenhaeussler/Industrial-Agents-Hackathon-2026/blob/f41616590b69f3ea0c1cbfb41d6c35edd9ce53df/data/train/swiss-2390/building.json</x:v>
      </x:c>
    </x:row>
    <x:row r="246" ht="54" customHeight="1">
      <x:c r="A246" s="6" t="str">
        <x:v>swiss-2476</x:v>
      </x:c>
      <x:c r="B246" s="6" t="str">
        <x:v>Residential building 2476</x:v>
      </x:c>
      <x:c r="C246" s="6" t="str">
        <x:v>train</x:v>
      </x:c>
      <x:c r="D246" s="6" t="str">
        <x:v>swiss_dwellings</x:v>
      </x:c>
      <x:c r="E246" s="6" t="str">
        <x:v>CC-BY-4.0</x:v>
      </x:c>
      <x:c r="F246" s="18" t="n">
        <x:v>3</x:v>
      </x:c>
      <x:c r="G246" s="6" t="str">
        <x:v>0, 1, 2</x:v>
      </x:c>
      <x:c r="H246" s="18" t="n">
        <x:v>69</x:v>
      </x:c>
      <x:c r="I246" s="18" t="n">
        <x:v>45</x:v>
      </x:c>
      <x:c r="J246" s="18" t="n">
        <x:v>190</x:v>
      </x:c>
      <x:c r="K246" s="18" t="n">
        <x:v>2</x:v>
      </x:c>
      <x:c r="L246" s="18" t="n">
        <x:v>8</x:v>
      </x:c>
      <x:c r="M246" s="18" t="n">
        <x:v>10</x:v>
      </x:c>
      <x:c r="N246" s="18" t="n">
        <x:v>10</x:v>
      </x:c>
      <x:c r="O246" s="18" t="n">
        <x:v>0</x:v>
      </x:c>
      <x:c r="P246" s="18" t="n">
        <x:v>8</x:v>
      </x:c>
      <x:c r="Q246" s="6" t="str">
        <x:v>count, floor_area_total, locate, route, route_step_free, route_with_closure, shared_walls_count, tour</x:v>
      </x:c>
      <x:c r="R246" s="21" t="b">
        <x:v>0</x:v>
      </x:c>
      <x:c r="S246" s="21" t="b">
        <x:v>1</x:v>
      </x:c>
      <x:c r="T246" s="6" t="str">
        <x:v>Swiss Dwellings, Archilyse AG / Standfest et al., https://zenodo.org/records/7070952 (CC BY 4.0)</x:v>
      </x:c>
      <x:c r="U246" s="6" t="str">
        <x:v>data/train/swiss-2476/building.json</x:v>
      </x:c>
      <x:c r="V246" s="6" t="str">
        <x:v>https://github.com/hagenhaeussler/Industrial-Agents-Hackathon-2026/blob/f41616590b69f3ea0c1cbfb41d6c35edd9ce53df/data/train/swiss-2476/building.json</x:v>
      </x:c>
    </x:row>
    <x:row r="247" ht="54" customHeight="1">
      <x:c r="A247" s="6" t="str">
        <x:v>swiss-2482</x:v>
      </x:c>
      <x:c r="B247" s="6" t="str">
        <x:v>Residential building 2482</x:v>
      </x:c>
      <x:c r="C247" s="6" t="str">
        <x:v>train</x:v>
      </x:c>
      <x:c r="D247" s="6" t="str">
        <x:v>swiss_dwellings</x:v>
      </x:c>
      <x:c r="E247" s="6" t="str">
        <x:v>CC-BY-4.0</x:v>
      </x:c>
      <x:c r="F247" s="18" t="n">
        <x:v>3</x:v>
      </x:c>
      <x:c r="G247" s="6" t="str">
        <x:v>0, 1, 2</x:v>
      </x:c>
      <x:c r="H247" s="18" t="n">
        <x:v>66</x:v>
      </x:c>
      <x:c r="I247" s="18" t="n">
        <x:v>45</x:v>
      </x:c>
      <x:c r="J247" s="18" t="n">
        <x:v>207</x:v>
      </x:c>
      <x:c r="K247" s="18" t="n">
        <x:v>4</x:v>
      </x:c>
      <x:c r="L247" s="18" t="n">
        <x:v>9</x:v>
      </x:c>
      <x:c r="M247" s="18" t="n">
        <x:v>13</x:v>
      </x:c>
      <x:c r="N247" s="18" t="n">
        <x:v>13</x:v>
      </x:c>
      <x:c r="O247" s="18" t="n">
        <x:v>0</x:v>
      </x:c>
      <x:c r="P247" s="18" t="n">
        <x:v>10</x:v>
      </x:c>
      <x:c r="Q247" s="6" t="str">
        <x:v>count, errand, floor_area_total, largest_room, locate, route, route_step_free, route_with_closure, shared_walls_count, tour</x:v>
      </x:c>
      <x:c r="R247" s="21" t="b">
        <x:v>0</x:v>
      </x:c>
      <x:c r="S247" s="21" t="b">
        <x:v>1</x:v>
      </x:c>
      <x:c r="T247" s="6" t="str">
        <x:v>Swiss Dwellings, Archilyse AG / Standfest et al., https://zenodo.org/records/7070952 (CC BY 4.0)</x:v>
      </x:c>
      <x:c r="U247" s="6" t="str">
        <x:v>data/train/swiss-2482/building.json</x:v>
      </x:c>
      <x:c r="V247" s="6" t="str">
        <x:v>https://github.com/hagenhaeussler/Industrial-Agents-Hackathon-2026/blob/f41616590b69f3ea0c1cbfb41d6c35edd9ce53df/data/train/swiss-2482/building.json</x:v>
      </x:c>
    </x:row>
    <x:row r="248" ht="42" customHeight="1">
      <x:c r="A248" s="6" t="str">
        <x:v>swiss-256</x:v>
      </x:c>
      <x:c r="B248" s="6" t="str">
        <x:v>Residential building 256</x:v>
      </x:c>
      <x:c r="C248" s="6" t="str">
        <x:v>train</x:v>
      </x:c>
      <x:c r="D248" s="6" t="str">
        <x:v>swiss_dwellings</x:v>
      </x:c>
      <x:c r="E248" s="6" t="str">
        <x:v>CC-BY-4.0</x:v>
      </x:c>
      <x:c r="F248" s="18" t="n">
        <x:v>4</x:v>
      </x:c>
      <x:c r="G248" s="6" t="str">
        <x:v>0, 1, 2, 3</x:v>
      </x:c>
      <x:c r="H248" s="18" t="n">
        <x:v>176</x:v>
      </x:c>
      <x:c r="I248" s="18" t="n">
        <x:v>120</x:v>
      </x:c>
      <x:c r="J248" s="18" t="n">
        <x:v>554</x:v>
      </x:c>
      <x:c r="K248" s="18" t="n">
        <x:v>2</x:v>
      </x:c>
      <x:c r="L248" s="18" t="n">
        <x:v>7</x:v>
      </x:c>
      <x:c r="M248" s="18" t="n">
        <x:v>9</x:v>
      </x:c>
      <x:c r="N248" s="18" t="n">
        <x:v>9</x:v>
      </x:c>
      <x:c r="O248" s="18" t="n">
        <x:v>0</x:v>
      </x:c>
      <x:c r="P248" s="18" t="n">
        <x:v>7</x:v>
      </x:c>
      <x:c r="Q248" s="6" t="str">
        <x:v>count, floor_area_total, route, route_step_free, route_with_closure, shared_walls_count, tour</x:v>
      </x:c>
      <x:c r="R248" s="21" t="b">
        <x:v>0</x:v>
      </x:c>
      <x:c r="S248" s="21" t="b">
        <x:v>1</x:v>
      </x:c>
      <x:c r="T248" s="6" t="str">
        <x:v>Swiss Dwellings, Archilyse AG / Standfest et al., https://zenodo.org/records/7070952 (CC BY 4.0)</x:v>
      </x:c>
      <x:c r="U248" s="6" t="str">
        <x:v>data/train/swiss-256/building.json</x:v>
      </x:c>
      <x:c r="V248" s="6" t="str">
        <x:v>https://github.com/hagenhaeussler/Industrial-Agents-Hackathon-2026/blob/f41616590b69f3ea0c1cbfb41d6c35edd9ce53df/data/train/swiss-256/building.json</x:v>
      </x:c>
    </x:row>
    <x:row r="249" ht="54" customHeight="1">
      <x:c r="A249" s="6" t="str">
        <x:v>swiss-2798</x:v>
      </x:c>
      <x:c r="B249" s="6" t="str">
        <x:v>Residential building 2798</x:v>
      </x:c>
      <x:c r="C249" s="6" t="str">
        <x:v>train</x:v>
      </x:c>
      <x:c r="D249" s="6" t="str">
        <x:v>swiss_dwellings</x:v>
      </x:c>
      <x:c r="E249" s="6" t="str">
        <x:v>CC-BY-4.0</x:v>
      </x:c>
      <x:c r="F249" s="18" t="n">
        <x:v>5</x:v>
      </x:c>
      <x:c r="G249" s="6" t="str">
        <x:v>-1, 0, 1, 2, 3</x:v>
      </x:c>
      <x:c r="H249" s="18" t="n">
        <x:v>210</x:v>
      </x:c>
      <x:c r="I249" s="18" t="n">
        <x:v>159</x:v>
      </x:c>
      <x:c r="J249" s="18" t="n">
        <x:v>489</x:v>
      </x:c>
      <x:c r="K249" s="18" t="n">
        <x:v>1</x:v>
      </x:c>
      <x:c r="L249" s="18" t="n">
        <x:v>8</x:v>
      </x:c>
      <x:c r="M249" s="18" t="n">
        <x:v>9</x:v>
      </x:c>
      <x:c r="N249" s="18" t="n">
        <x:v>9</x:v>
      </x:c>
      <x:c r="O249" s="18" t="n">
        <x:v>0</x:v>
      </x:c>
      <x:c r="P249" s="18" t="n">
        <x:v>7</x:v>
      </x:c>
      <x:c r="Q249" s="6" t="str">
        <x:v>count, floor_area_total, locate, route, route_step_free, route_with_closure, tour</x:v>
      </x:c>
      <x:c r="R249" s="21" t="b">
        <x:v>1</x:v>
      </x:c>
      <x:c r="S249" s="21" t="b">
        <x:v>1</x:v>
      </x:c>
      <x:c r="T249" s="6" t="str">
        <x:v>Swiss Dwellings, Archilyse AG / Standfest et al., https://zenodo.org/records/7070952 (CC BY 4.0)</x:v>
      </x:c>
      <x:c r="U249" s="6" t="str">
        <x:v>data/train/swiss-2798/building.json</x:v>
      </x:c>
      <x:c r="V249" s="6" t="str">
        <x:v>https://github.com/hagenhaeussler/Industrial-Agents-Hackathon-2026/blob/f41616590b69f3ea0c1cbfb41d6c35edd9ce53df/data/train/swiss-2798/building.json</x:v>
      </x:c>
    </x:row>
    <x:row r="250" ht="42" customHeight="1">
      <x:c r="A250" s="6" t="str">
        <x:v>swiss-28</x:v>
      </x:c>
      <x:c r="B250" s="6" t="str">
        <x:v>Residential building 28</x:v>
      </x:c>
      <x:c r="C250" s="6" t="str">
        <x:v>train</x:v>
      </x:c>
      <x:c r="D250" s="6" t="str">
        <x:v>swiss_dwellings</x:v>
      </x:c>
      <x:c r="E250" s="6" t="str">
        <x:v>CC-BY-4.0</x:v>
      </x:c>
      <x:c r="F250" s="18" t="n">
        <x:v>5</x:v>
      </x:c>
      <x:c r="G250" s="6" t="str">
        <x:v>0, 1, 2, 3, 4</x:v>
      </x:c>
      <x:c r="H250" s="18" t="n">
        <x:v>90</x:v>
      </x:c>
      <x:c r="I250" s="18" t="n">
        <x:v>65</x:v>
      </x:c>
      <x:c r="J250" s="18" t="n">
        <x:v>285</x:v>
      </x:c>
      <x:c r="K250" s="18" t="n">
        <x:v>4</x:v>
      </x:c>
      <x:c r="L250" s="18" t="n">
        <x:v>10</x:v>
      </x:c>
      <x:c r="M250" s="18" t="n">
        <x:v>14</x:v>
      </x:c>
      <x:c r="N250" s="18" t="n">
        <x:v>14</x:v>
      </x:c>
      <x:c r="O250" s="18" t="n">
        <x:v>0</x:v>
      </x:c>
      <x:c r="P250" s="18" t="n">
        <x:v>10</x:v>
      </x:c>
      <x:c r="Q250" s="6" t="str">
        <x:v>count, errand, floor_area_total, largest_room, locate, route, route_step_free, route_with_closure, shared_walls_count, tour</x:v>
      </x:c>
      <x:c r="R250" s="21" t="b">
        <x:v>1</x:v>
      </x:c>
      <x:c r="S250" s="21" t="b">
        <x:v>1</x:v>
      </x:c>
      <x:c r="T250" s="6" t="str">
        <x:v>Swiss Dwellings, Archilyse AG / Standfest et al., https://zenodo.org/records/7070952 (CC BY 4.0)</x:v>
      </x:c>
      <x:c r="U250" s="6" t="str">
        <x:v>data/train/swiss-28/building.json</x:v>
      </x:c>
      <x:c r="V250" s="6" t="str">
        <x:v>https://github.com/hagenhaeussler/Industrial-Agents-Hackathon-2026/blob/f41616590b69f3ea0c1cbfb41d6c35edd9ce53df/data/train/swiss-28/building.json</x:v>
      </x:c>
    </x:row>
    <x:row r="251" ht="54" customHeight="1">
      <x:c r="A251" s="6" t="str">
        <x:v>swiss-2974</x:v>
      </x:c>
      <x:c r="B251" s="6" t="str">
        <x:v>Residential building 2974</x:v>
      </x:c>
      <x:c r="C251" s="6" t="str">
        <x:v>train</x:v>
      </x:c>
      <x:c r="D251" s="6" t="str">
        <x:v>swiss_dwellings</x:v>
      </x:c>
      <x:c r="E251" s="6" t="str">
        <x:v>CC-BY-4.0</x:v>
      </x:c>
      <x:c r="F251" s="18" t="n">
        <x:v>6</x:v>
      </x:c>
      <x:c r="G251" s="6" t="str">
        <x:v>0, 1, 2, 3, 4, 5</x:v>
      </x:c>
      <x:c r="H251" s="18" t="n">
        <x:v>141</x:v>
      </x:c>
      <x:c r="I251" s="18" t="n">
        <x:v>95</x:v>
      </x:c>
      <x:c r="J251" s="18" t="n">
        <x:v>504</x:v>
      </x:c>
      <x:c r="K251" s="18" t="n">
        <x:v>4</x:v>
      </x:c>
      <x:c r="L251" s="18" t="n">
        <x:v>8</x:v>
      </x:c>
      <x:c r="M251" s="18" t="n">
        <x:v>12</x:v>
      </x:c>
      <x:c r="N251" s="18" t="n">
        <x:v>12</x:v>
      </x:c>
      <x:c r="O251" s="18" t="n">
        <x:v>0</x:v>
      </x:c>
      <x:c r="P251" s="18" t="n">
        <x:v>10</x:v>
      </x:c>
      <x:c r="Q251" s="6" t="str">
        <x:v>count, errand, floor_area_total, largest_room, locate, route, route_step_free, route_with_closure, shared_walls_count, tour</x:v>
      </x:c>
      <x:c r="R251" s="21" t="b">
        <x:v>1</x:v>
      </x:c>
      <x:c r="S251" s="21" t="b">
        <x:v>1</x:v>
      </x:c>
      <x:c r="T251" s="6" t="str">
        <x:v>Swiss Dwellings, Archilyse AG / Standfest et al., https://zenodo.org/records/7070952 (CC BY 4.0)</x:v>
      </x:c>
      <x:c r="U251" s="6" t="str">
        <x:v>data/train/swiss-2974/building.json</x:v>
      </x:c>
      <x:c r="V251" s="6" t="str">
        <x:v>https://github.com/hagenhaeussler/Industrial-Agents-Hackathon-2026/blob/f41616590b69f3ea0c1cbfb41d6c35edd9ce53df/data/train/swiss-2974/building.json</x:v>
      </x:c>
    </x:row>
    <x:row r="252" ht="54" customHeight="1">
      <x:c r="A252" s="6" t="str">
        <x:v>swiss-2975</x:v>
      </x:c>
      <x:c r="B252" s="6" t="str">
        <x:v>Residential building 2975</x:v>
      </x:c>
      <x:c r="C252" s="6" t="str">
        <x:v>train</x:v>
      </x:c>
      <x:c r="D252" s="6" t="str">
        <x:v>swiss_dwellings</x:v>
      </x:c>
      <x:c r="E252" s="6" t="str">
        <x:v>CC-BY-4.0</x:v>
      </x:c>
      <x:c r="F252" s="18" t="n">
        <x:v>5</x:v>
      </x:c>
      <x:c r="G252" s="6" t="str">
        <x:v>0, 1, 2, 3, 4</x:v>
      </x:c>
      <x:c r="H252" s="18" t="n">
        <x:v>197</x:v>
      </x:c>
      <x:c r="I252" s="18" t="n">
        <x:v>112</x:v>
      </x:c>
      <x:c r="J252" s="18" t="n">
        <x:v>570</x:v>
      </x:c>
      <x:c r="K252" s="18" t="n">
        <x:v>4</x:v>
      </x:c>
      <x:c r="L252" s="18" t="n">
        <x:v>9</x:v>
      </x:c>
      <x:c r="M252" s="18" t="n">
        <x:v>13</x:v>
      </x:c>
      <x:c r="N252" s="18" t="n">
        <x:v>13</x:v>
      </x:c>
      <x:c r="O252" s="18" t="n">
        <x:v>0</x:v>
      </x:c>
      <x:c r="P252" s="18" t="n">
        <x:v>10</x:v>
      </x:c>
      <x:c r="Q252" s="6" t="str">
        <x:v>count, errand, floor_area_total, largest_room, locate, route, route_step_free, route_with_closure, shared_walls_count, tour</x:v>
      </x:c>
      <x:c r="R252" s="21" t="b">
        <x:v>0</x:v>
      </x:c>
      <x:c r="S252" s="21" t="b">
        <x:v>1</x:v>
      </x:c>
      <x:c r="T252" s="6" t="str">
        <x:v>Swiss Dwellings, Archilyse AG / Standfest et al., https://zenodo.org/records/7070952 (CC BY 4.0)</x:v>
      </x:c>
      <x:c r="U252" s="6" t="str">
        <x:v>data/train/swiss-2975/building.json</x:v>
      </x:c>
      <x:c r="V252" s="6" t="str">
        <x:v>https://github.com/hagenhaeussler/Industrial-Agents-Hackathon-2026/blob/f41616590b69f3ea0c1cbfb41d6c35edd9ce53df/data/train/swiss-2975/building.json</x:v>
      </x:c>
    </x:row>
    <x:row r="253" ht="54" customHeight="1">
      <x:c r="A253" s="6" t="str">
        <x:v>swiss-3066</x:v>
      </x:c>
      <x:c r="B253" s="6" t="str">
        <x:v>Residential building 3066</x:v>
      </x:c>
      <x:c r="C253" s="6" t="str">
        <x:v>train</x:v>
      </x:c>
      <x:c r="D253" s="6" t="str">
        <x:v>swiss_dwellings</x:v>
      </x:c>
      <x:c r="E253" s="6" t="str">
        <x:v>CC-BY-4.0</x:v>
      </x:c>
      <x:c r="F253" s="18" t="n">
        <x:v>2</x:v>
      </x:c>
      <x:c r="G253" s="6" t="str">
        <x:v>0, 1</x:v>
      </x:c>
      <x:c r="H253" s="18" t="n">
        <x:v>90</x:v>
      </x:c>
      <x:c r="I253" s="18" t="n">
        <x:v>62</x:v>
      </x:c>
      <x:c r="J253" s="18" t="n">
        <x:v>236</x:v>
      </x:c>
      <x:c r="K253" s="18" t="n">
        <x:v>2</x:v>
      </x:c>
      <x:c r="L253" s="18" t="n">
        <x:v>9</x:v>
      </x:c>
      <x:c r="M253" s="18" t="n">
        <x:v>11</x:v>
      </x:c>
      <x:c r="N253" s="18" t="n">
        <x:v>11</x:v>
      </x:c>
      <x:c r="O253" s="18" t="n">
        <x:v>0</x:v>
      </x:c>
      <x:c r="P253" s="18" t="n">
        <x:v>8</x:v>
      </x:c>
      <x:c r="Q253" s="6" t="str">
        <x:v>count, floor_area_total, locate, route, route_step_free, route_with_closure, tour, wide_delivery_count</x:v>
      </x:c>
      <x:c r="R253" s="21" t="b">
        <x:v>0</x:v>
      </x:c>
      <x:c r="S253" s="21" t="b">
        <x:v>1</x:v>
      </x:c>
      <x:c r="T253" s="6" t="str">
        <x:v>Swiss Dwellings, Archilyse AG / Standfest et al., https://zenodo.org/records/7070952 (CC BY 4.0)</x:v>
      </x:c>
      <x:c r="U253" s="6" t="str">
        <x:v>data/train/swiss-3066/building.json</x:v>
      </x:c>
      <x:c r="V253" s="6" t="str">
        <x:v>https://github.com/hagenhaeussler/Industrial-Agents-Hackathon-2026/blob/f41616590b69f3ea0c1cbfb41d6c35edd9ce53df/data/train/swiss-3066/building.json</x:v>
      </x:c>
    </x:row>
    <x:row r="254" ht="54" customHeight="1">
      <x:c r="A254" s="6" t="str">
        <x:v>swiss-3092</x:v>
      </x:c>
      <x:c r="B254" s="6" t="str">
        <x:v>Residential building 3092</x:v>
      </x:c>
      <x:c r="C254" s="6" t="str">
        <x:v>train</x:v>
      </x:c>
      <x:c r="D254" s="6" t="str">
        <x:v>swiss_dwellings</x:v>
      </x:c>
      <x:c r="E254" s="6" t="str">
        <x:v>CC-BY-4.0</x:v>
      </x:c>
      <x:c r="F254" s="18" t="n">
        <x:v>4</x:v>
      </x:c>
      <x:c r="G254" s="6" t="str">
        <x:v>0, 1, 2, 3</x:v>
      </x:c>
      <x:c r="H254" s="18" t="n">
        <x:v>176</x:v>
      </x:c>
      <x:c r="I254" s="18" t="n">
        <x:v>148</x:v>
      </x:c>
      <x:c r="J254" s="18" t="n">
        <x:v>506</x:v>
      </x:c>
      <x:c r="K254" s="18" t="n">
        <x:v>3</x:v>
      </x:c>
      <x:c r="L254" s="18" t="n">
        <x:v>7</x:v>
      </x:c>
      <x:c r="M254" s="18" t="n">
        <x:v>10</x:v>
      </x:c>
      <x:c r="N254" s="18" t="n">
        <x:v>10</x:v>
      </x:c>
      <x:c r="O254" s="18" t="n">
        <x:v>0</x:v>
      </x:c>
      <x:c r="P254" s="18" t="n">
        <x:v>8</x:v>
      </x:c>
      <x:c r="Q254" s="6" t="str">
        <x:v>count, errand, floor_area_total, largest_room, route, route_step_free, route_with_closure, tour</x:v>
      </x:c>
      <x:c r="R254" s="21" t="b">
        <x:v>0</x:v>
      </x:c>
      <x:c r="S254" s="21" t="b">
        <x:v>1</x:v>
      </x:c>
      <x:c r="T254" s="6" t="str">
        <x:v>Swiss Dwellings, Archilyse AG / Standfest et al., https://zenodo.org/records/7070952 (CC BY 4.0)</x:v>
      </x:c>
      <x:c r="U254" s="6" t="str">
        <x:v>data/train/swiss-3092/building.json</x:v>
      </x:c>
      <x:c r="V254" s="6" t="str">
        <x:v>https://github.com/hagenhaeussler/Industrial-Agents-Hackathon-2026/blob/f41616590b69f3ea0c1cbfb41d6c35edd9ce53df/data/train/swiss-3092/building.json</x:v>
      </x:c>
    </x:row>
    <x:row r="255" ht="54" customHeight="1">
      <x:c r="A255" s="6" t="str">
        <x:v>swiss-3096</x:v>
      </x:c>
      <x:c r="B255" s="6" t="str">
        <x:v>Residential building 3096</x:v>
      </x:c>
      <x:c r="C255" s="6" t="str">
        <x:v>train</x:v>
      </x:c>
      <x:c r="D255" s="6" t="str">
        <x:v>swiss_dwellings</x:v>
      </x:c>
      <x:c r="E255" s="6" t="str">
        <x:v>CC-BY-4.0</x:v>
      </x:c>
      <x:c r="F255" s="18" t="n">
        <x:v>4</x:v>
      </x:c>
      <x:c r="G255" s="6" t="str">
        <x:v>0, 1, 2, 3</x:v>
      </x:c>
      <x:c r="H255" s="18" t="n">
        <x:v>90</x:v>
      </x:c>
      <x:c r="I255" s="18" t="n">
        <x:v>61</x:v>
      </x:c>
      <x:c r="J255" s="18" t="n">
        <x:v>302</x:v>
      </x:c>
      <x:c r="K255" s="18" t="n">
        <x:v>4</x:v>
      </x:c>
      <x:c r="L255" s="18" t="n">
        <x:v>10</x:v>
      </x:c>
      <x:c r="M255" s="18" t="n">
        <x:v>14</x:v>
      </x:c>
      <x:c r="N255" s="18" t="n">
        <x:v>14</x:v>
      </x:c>
      <x:c r="O255" s="18" t="n">
        <x:v>0</x:v>
      </x:c>
      <x:c r="P255" s="18" t="n">
        <x:v>10</x:v>
      </x:c>
      <x:c r="Q255" s="6" t="str">
        <x:v>count, errand, floor_area_total, largest_room, locate, route, route_step_free, route_with_closure, shared_walls_count, tour</x:v>
      </x:c>
      <x:c r="R255" s="21" t="b">
        <x:v>1</x:v>
      </x:c>
      <x:c r="S255" s="21" t="b">
        <x:v>1</x:v>
      </x:c>
      <x:c r="T255" s="6" t="str">
        <x:v>Swiss Dwellings, Archilyse AG / Standfest et al., https://zenodo.org/records/7070952 (CC BY 4.0)</x:v>
      </x:c>
      <x:c r="U255" s="6" t="str">
        <x:v>data/train/swiss-3096/building.json</x:v>
      </x:c>
      <x:c r="V255" s="6" t="str">
        <x:v>https://github.com/hagenhaeussler/Industrial-Agents-Hackathon-2026/blob/f41616590b69f3ea0c1cbfb41d6c35edd9ce53df/data/train/swiss-3096/building.json</x:v>
      </x:c>
    </x:row>
    <x:row r="256" ht="54" customHeight="1">
      <x:c r="A256" s="6" t="str">
        <x:v>swiss-3197</x:v>
      </x:c>
      <x:c r="B256" s="6" t="str">
        <x:v>Residential building 3197</x:v>
      </x:c>
      <x:c r="C256" s="6" t="str">
        <x:v>train</x:v>
      </x:c>
      <x:c r="D256" s="6" t="str">
        <x:v>swiss_dwellings</x:v>
      </x:c>
      <x:c r="E256" s="6" t="str">
        <x:v>CC-BY-4.0</x:v>
      </x:c>
      <x:c r="F256" s="18" t="n">
        <x:v>5</x:v>
      </x:c>
      <x:c r="G256" s="6" t="str">
        <x:v>0, 1, 2, 3, 4</x:v>
      </x:c>
      <x:c r="H256" s="18" t="n">
        <x:v>105</x:v>
      </x:c>
      <x:c r="I256" s="18" t="n">
        <x:v>74</x:v>
      </x:c>
      <x:c r="J256" s="18" t="n">
        <x:v>309</x:v>
      </x:c>
      <x:c r="K256" s="18" t="n">
        <x:v>1</x:v>
      </x:c>
      <x:c r="L256" s="18" t="n">
        <x:v>8</x:v>
      </x:c>
      <x:c r="M256" s="18" t="n">
        <x:v>9</x:v>
      </x:c>
      <x:c r="N256" s="18" t="n">
        <x:v>9</x:v>
      </x:c>
      <x:c r="O256" s="18" t="n">
        <x:v>0</x:v>
      </x:c>
      <x:c r="P256" s="18" t="n">
        <x:v>7</x:v>
      </x:c>
      <x:c r="Q256" s="6" t="str">
        <x:v>count, floor_area_total, locate, route, route_step_free, route_with_closure, tour</x:v>
      </x:c>
      <x:c r="R256" s="21" t="b">
        <x:v>1</x:v>
      </x:c>
      <x:c r="S256" s="21" t="b">
        <x:v>1</x:v>
      </x:c>
      <x:c r="T256" s="6" t="str">
        <x:v>Swiss Dwellings, Archilyse AG / Standfest et al., https://zenodo.org/records/7070952 (CC BY 4.0)</x:v>
      </x:c>
      <x:c r="U256" s="6" t="str">
        <x:v>data/train/swiss-3197/building.json</x:v>
      </x:c>
      <x:c r="V256" s="6" t="str">
        <x:v>https://github.com/hagenhaeussler/Industrial-Agents-Hackathon-2026/blob/f41616590b69f3ea0c1cbfb41d6c35edd9ce53df/data/train/swiss-3197/building.json</x:v>
      </x:c>
    </x:row>
    <x:row r="257" ht="42" customHeight="1">
      <x:c r="A257" s="6" t="str">
        <x:v>swiss-325</x:v>
      </x:c>
      <x:c r="B257" s="6" t="str">
        <x:v>Residential building 325</x:v>
      </x:c>
      <x:c r="C257" s="6" t="str">
        <x:v>train</x:v>
      </x:c>
      <x:c r="D257" s="6" t="str">
        <x:v>swiss_dwellings</x:v>
      </x:c>
      <x:c r="E257" s="6" t="str">
        <x:v>CC-BY-4.0</x:v>
      </x:c>
      <x:c r="F257" s="18" t="n">
        <x:v>4</x:v>
      </x:c>
      <x:c r="G257" s="6" t="str">
        <x:v>-1, 0, 1, 2</x:v>
      </x:c>
      <x:c r="H257" s="18" t="n">
        <x:v>61</x:v>
      </x:c>
      <x:c r="I257" s="18" t="n">
        <x:v>38</x:v>
      </x:c>
      <x:c r="J257" s="18" t="n">
        <x:v>191</x:v>
      </x:c>
      <x:c r="K257" s="18" t="n">
        <x:v>3</x:v>
      </x:c>
      <x:c r="L257" s="18" t="n">
        <x:v>9</x:v>
      </x:c>
      <x:c r="M257" s="18" t="n">
        <x:v>12</x:v>
      </x:c>
      <x:c r="N257" s="18" t="n">
        <x:v>12</x:v>
      </x:c>
      <x:c r="O257" s="18" t="n">
        <x:v>0</x:v>
      </x:c>
      <x:c r="P257" s="18" t="n">
        <x:v>9</x:v>
      </x:c>
      <x:c r="Q257" s="6" t="str">
        <x:v>count, errand, floor_area_total, largest_room, locate, route, route_step_free, route_with_closure, tour</x:v>
      </x:c>
      <x:c r="R257" s="21" t="b">
        <x:v>0</x:v>
      </x:c>
      <x:c r="S257" s="21" t="b">
        <x:v>1</x:v>
      </x:c>
      <x:c r="T257" s="6" t="str">
        <x:v>Swiss Dwellings, Archilyse AG / Standfest et al., https://zenodo.org/records/7070952 (CC BY 4.0)</x:v>
      </x:c>
      <x:c r="U257" s="6" t="str">
        <x:v>data/train/swiss-325/building.json</x:v>
      </x:c>
      <x:c r="V257" s="6" t="str">
        <x:v>https://github.com/hagenhaeussler/Industrial-Agents-Hackathon-2026/blob/f41616590b69f3ea0c1cbfb41d6c35edd9ce53df/data/train/swiss-325/building.json</x:v>
      </x:c>
    </x:row>
    <x:row r="258" ht="42" customHeight="1">
      <x:c r="A258" s="6" t="str">
        <x:v>swiss-328</x:v>
      </x:c>
      <x:c r="B258" s="6" t="str">
        <x:v>Residential building 328</x:v>
      </x:c>
      <x:c r="C258" s="6" t="str">
        <x:v>train</x:v>
      </x:c>
      <x:c r="D258" s="6" t="str">
        <x:v>swiss_dwellings</x:v>
      </x:c>
      <x:c r="E258" s="6" t="str">
        <x:v>CC-BY-4.0</x:v>
      </x:c>
      <x:c r="F258" s="18" t="n">
        <x:v>3</x:v>
      </x:c>
      <x:c r="G258" s="6" t="str">
        <x:v>0, 1, 2</x:v>
      </x:c>
      <x:c r="H258" s="18" t="n">
        <x:v>90</x:v>
      </x:c>
      <x:c r="I258" s="18" t="n">
        <x:v>60</x:v>
      </x:c>
      <x:c r="J258" s="18" t="n">
        <x:v>282</x:v>
      </x:c>
      <x:c r="K258" s="18" t="n">
        <x:v>1</x:v>
      </x:c>
      <x:c r="L258" s="18" t="n">
        <x:v>7</x:v>
      </x:c>
      <x:c r="M258" s="18" t="n">
        <x:v>8</x:v>
      </x:c>
      <x:c r="N258" s="18" t="n">
        <x:v>8</x:v>
      </x:c>
      <x:c r="O258" s="18" t="n">
        <x:v>0</x:v>
      </x:c>
      <x:c r="P258" s="18" t="n">
        <x:v>6</x:v>
      </x:c>
      <x:c r="Q258" s="6" t="str">
        <x:v>count, floor_area_total, route, route_step_free, route_with_closure, tour</x:v>
      </x:c>
      <x:c r="R258" s="21" t="b">
        <x:v>0</x:v>
      </x:c>
      <x:c r="S258" s="21" t="b">
        <x:v>1</x:v>
      </x:c>
      <x:c r="T258" s="6" t="str">
        <x:v>Swiss Dwellings, Archilyse AG / Standfest et al., https://zenodo.org/records/7070952 (CC BY 4.0)</x:v>
      </x:c>
      <x:c r="U258" s="6" t="str">
        <x:v>data/train/swiss-328/building.json</x:v>
      </x:c>
      <x:c r="V258" s="6" t="str">
        <x:v>https://github.com/hagenhaeussler/Industrial-Agents-Hackathon-2026/blob/f41616590b69f3ea0c1cbfb41d6c35edd9ce53df/data/train/swiss-328/building.json</x:v>
      </x:c>
    </x:row>
    <x:row r="259" ht="54" customHeight="1">
      <x:c r="A259" s="6" t="str">
        <x:v>swiss-3284</x:v>
      </x:c>
      <x:c r="B259" s="6" t="str">
        <x:v>Residential building 3284</x:v>
      </x:c>
      <x:c r="C259" s="6" t="str">
        <x:v>train</x:v>
      </x:c>
      <x:c r="D259" s="6" t="str">
        <x:v>swiss_dwellings</x:v>
      </x:c>
      <x:c r="E259" s="6" t="str">
        <x:v>CC-BY-4.0</x:v>
      </x:c>
      <x:c r="F259" s="18" t="n">
        <x:v>4</x:v>
      </x:c>
      <x:c r="G259" s="6" t="str">
        <x:v>0, 1, 2, 3</x:v>
      </x:c>
      <x:c r="H259" s="18" t="n">
        <x:v>166</x:v>
      </x:c>
      <x:c r="I259" s="18" t="n">
        <x:v>130</x:v>
      </x:c>
      <x:c r="J259" s="18" t="n">
        <x:v>477</x:v>
      </x:c>
      <x:c r="K259" s="18" t="n">
        <x:v>1</x:v>
      </x:c>
      <x:c r="L259" s="18" t="n">
        <x:v>8</x:v>
      </x:c>
      <x:c r="M259" s="18" t="n">
        <x:v>9</x:v>
      </x:c>
      <x:c r="N259" s="18" t="n">
        <x:v>9</x:v>
      </x:c>
      <x:c r="O259" s="18" t="n">
        <x:v>0</x:v>
      </x:c>
      <x:c r="P259" s="18" t="n">
        <x:v>7</x:v>
      </x:c>
      <x:c r="Q259" s="6" t="str">
        <x:v>count, floor_area_total, locate, route, route_step_free, route_with_closure, tour</x:v>
      </x:c>
      <x:c r="R259" s="21" t="b">
        <x:v>1</x:v>
      </x:c>
      <x:c r="S259" s="21" t="b">
        <x:v>1</x:v>
      </x:c>
      <x:c r="T259" s="6" t="str">
        <x:v>Swiss Dwellings, Archilyse AG / Standfest et al., https://zenodo.org/records/7070952 (CC BY 4.0)</x:v>
      </x:c>
      <x:c r="U259" s="6" t="str">
        <x:v>data/train/swiss-3284/building.json</x:v>
      </x:c>
      <x:c r="V259" s="6" t="str">
        <x:v>https://github.com/hagenhaeussler/Industrial-Agents-Hackathon-2026/blob/f41616590b69f3ea0c1cbfb41d6c35edd9ce53df/data/train/swiss-3284/building.json</x:v>
      </x:c>
    </x:row>
    <x:row r="260" ht="42" customHeight="1">
      <x:c r="A260" s="6" t="str">
        <x:v>swiss-333</x:v>
      </x:c>
      <x:c r="B260" s="6" t="str">
        <x:v>Residential building 333</x:v>
      </x:c>
      <x:c r="C260" s="6" t="str">
        <x:v>train</x:v>
      </x:c>
      <x:c r="D260" s="6" t="str">
        <x:v>swiss_dwellings</x:v>
      </x:c>
      <x:c r="E260" s="6" t="str">
        <x:v>CC-BY-4.0</x:v>
      </x:c>
      <x:c r="F260" s="18" t="n">
        <x:v>4</x:v>
      </x:c>
      <x:c r="G260" s="6" t="str">
        <x:v>0, 1, 2, 3</x:v>
      </x:c>
      <x:c r="H260" s="18" t="n">
        <x:v>64</x:v>
      </x:c>
      <x:c r="I260" s="18" t="n">
        <x:v>44</x:v>
      </x:c>
      <x:c r="J260" s="18" t="n">
        <x:v>180</x:v>
      </x:c>
      <x:c r="K260" s="18" t="n">
        <x:v>1</x:v>
      </x:c>
      <x:c r="L260" s="18" t="n">
        <x:v>9</x:v>
      </x:c>
      <x:c r="M260" s="18" t="n">
        <x:v>10</x:v>
      </x:c>
      <x:c r="N260" s="18" t="n">
        <x:v>10</x:v>
      </x:c>
      <x:c r="O260" s="18" t="n">
        <x:v>0</x:v>
      </x:c>
      <x:c r="P260" s="18" t="n">
        <x:v>7</x:v>
      </x:c>
      <x:c r="Q260" s="6" t="str">
        <x:v>count, floor_area_total, locate, route, route_step_free, route_with_closure, tour</x:v>
      </x:c>
      <x:c r="R260" s="21" t="b">
        <x:v>0</x:v>
      </x:c>
      <x:c r="S260" s="21" t="b">
        <x:v>1</x:v>
      </x:c>
      <x:c r="T260" s="6" t="str">
        <x:v>Swiss Dwellings, Archilyse AG / Standfest et al., https://zenodo.org/records/7070952 (CC BY 4.0)</x:v>
      </x:c>
      <x:c r="U260" s="6" t="str">
        <x:v>data/train/swiss-333/building.json</x:v>
      </x:c>
      <x:c r="V260" s="6" t="str">
        <x:v>https://github.com/hagenhaeussler/Industrial-Agents-Hackathon-2026/blob/f41616590b69f3ea0c1cbfb41d6c35edd9ce53df/data/train/swiss-333/building.json</x:v>
      </x:c>
    </x:row>
    <x:row r="261" ht="54" customHeight="1">
      <x:c r="A261" s="6" t="str">
        <x:v>swiss-3338</x:v>
      </x:c>
      <x:c r="B261" s="6" t="str">
        <x:v>Residential building 3338</x:v>
      </x:c>
      <x:c r="C261" s="6" t="str">
        <x:v>train</x:v>
      </x:c>
      <x:c r="D261" s="6" t="str">
        <x:v>swiss_dwellings</x:v>
      </x:c>
      <x:c r="E261" s="6" t="str">
        <x:v>CC-BY-4.0</x:v>
      </x:c>
      <x:c r="F261" s="18" t="n">
        <x:v>3</x:v>
      </x:c>
      <x:c r="G261" s="6" t="str">
        <x:v>0, 1, 2</x:v>
      </x:c>
      <x:c r="H261" s="18" t="n">
        <x:v>110</x:v>
      </x:c>
      <x:c r="I261" s="18" t="n">
        <x:v>74</x:v>
      </x:c>
      <x:c r="J261" s="18" t="n">
        <x:v>313</x:v>
      </x:c>
      <x:c r="K261" s="18" t="n">
        <x:v>3</x:v>
      </x:c>
      <x:c r="L261" s="18" t="n">
        <x:v>8</x:v>
      </x:c>
      <x:c r="M261" s="18" t="n">
        <x:v>11</x:v>
      </x:c>
      <x:c r="N261" s="18" t="n">
        <x:v>11</x:v>
      </x:c>
      <x:c r="O261" s="18" t="n">
        <x:v>0</x:v>
      </x:c>
      <x:c r="P261" s="18" t="n">
        <x:v>9</x:v>
      </x:c>
      <x:c r="Q261" s="6" t="str">
        <x:v>count, errand, floor_area_total, largest_room, locate, route, route_step_free, route_with_closure, tour</x:v>
      </x:c>
      <x:c r="R261" s="21" t="b">
        <x:v>0</x:v>
      </x:c>
      <x:c r="S261" s="21" t="b">
        <x:v>1</x:v>
      </x:c>
      <x:c r="T261" s="6" t="str">
        <x:v>Swiss Dwellings, Archilyse AG / Standfest et al., https://zenodo.org/records/7070952 (CC BY 4.0)</x:v>
      </x:c>
      <x:c r="U261" s="6" t="str">
        <x:v>data/train/swiss-3338/building.json</x:v>
      </x:c>
      <x:c r="V261" s="6" t="str">
        <x:v>https://github.com/hagenhaeussler/Industrial-Agents-Hackathon-2026/blob/f41616590b69f3ea0c1cbfb41d6c35edd9ce53df/data/train/swiss-3338/building.json</x:v>
      </x:c>
    </x:row>
    <x:row r="262" ht="54" customHeight="1">
      <x:c r="A262" s="6" t="str">
        <x:v>swiss-3355</x:v>
      </x:c>
      <x:c r="B262" s="6" t="str">
        <x:v>Residential building 3355</x:v>
      </x:c>
      <x:c r="C262" s="6" t="str">
        <x:v>train</x:v>
      </x:c>
      <x:c r="D262" s="6" t="str">
        <x:v>swiss_dwellings</x:v>
      </x:c>
      <x:c r="E262" s="6" t="str">
        <x:v>CC-BY-4.0</x:v>
      </x:c>
      <x:c r="F262" s="18" t="n">
        <x:v>5</x:v>
      </x:c>
      <x:c r="G262" s="6" t="str">
        <x:v>-1, 0, 1, 2, 3</x:v>
      </x:c>
      <x:c r="H262" s="18" t="n">
        <x:v>123</x:v>
      </x:c>
      <x:c r="I262" s="18" t="n">
        <x:v>84</x:v>
      </x:c>
      <x:c r="J262" s="18" t="n">
        <x:v>322</x:v>
      </x:c>
      <x:c r="K262" s="18" t="n">
        <x:v>4</x:v>
      </x:c>
      <x:c r="L262" s="18" t="n">
        <x:v>9</x:v>
      </x:c>
      <x:c r="M262" s="18" t="n">
        <x:v>13</x:v>
      </x:c>
      <x:c r="N262" s="18" t="n">
        <x:v>13</x:v>
      </x:c>
      <x:c r="O262" s="18" t="n">
        <x:v>0</x:v>
      </x:c>
      <x:c r="P262" s="18" t="n">
        <x:v>10</x:v>
      </x:c>
      <x:c r="Q262" s="6" t="str">
        <x:v>count, errand, floor_area_total, largest_room, locate, route, route_step_free, route_with_closure, shared_walls_count, tour</x:v>
      </x:c>
      <x:c r="R262" s="21" t="b">
        <x:v>0</x:v>
      </x:c>
      <x:c r="S262" s="21" t="b">
        <x:v>1</x:v>
      </x:c>
      <x:c r="T262" s="6" t="str">
        <x:v>Swiss Dwellings, Archilyse AG / Standfest et al., https://zenodo.org/records/7070952 (CC BY 4.0)</x:v>
      </x:c>
      <x:c r="U262" s="6" t="str">
        <x:v>data/train/swiss-3355/building.json</x:v>
      </x:c>
      <x:c r="V262" s="6" t="str">
        <x:v>https://github.com/hagenhaeussler/Industrial-Agents-Hackathon-2026/blob/f41616590b69f3ea0c1cbfb41d6c35edd9ce53df/data/train/swiss-3355/building.json</x:v>
      </x:c>
    </x:row>
    <x:row r="263" ht="54" customHeight="1">
      <x:c r="A263" s="6" t="str">
        <x:v>swiss-3418</x:v>
      </x:c>
      <x:c r="B263" s="6" t="str">
        <x:v>Residential building 3418</x:v>
      </x:c>
      <x:c r="C263" s="6" t="str">
        <x:v>train</x:v>
      </x:c>
      <x:c r="D263" s="6" t="str">
        <x:v>swiss_dwellings</x:v>
      </x:c>
      <x:c r="E263" s="6" t="str">
        <x:v>CC-BY-4.0</x:v>
      </x:c>
      <x:c r="F263" s="18" t="n">
        <x:v>4</x:v>
      </x:c>
      <x:c r="G263" s="6" t="str">
        <x:v>0, 1, 2, 3</x:v>
      </x:c>
      <x:c r="H263" s="18" t="n">
        <x:v>80</x:v>
      </x:c>
      <x:c r="I263" s="18" t="n">
        <x:v>58</x:v>
      </x:c>
      <x:c r="J263" s="18" t="n">
        <x:v>214</x:v>
      </x:c>
      <x:c r="K263" s="18" t="n">
        <x:v>2</x:v>
      </x:c>
      <x:c r="L263" s="18" t="n">
        <x:v>8</x:v>
      </x:c>
      <x:c r="M263" s="18" t="n">
        <x:v>10</x:v>
      </x:c>
      <x:c r="N263" s="18" t="n">
        <x:v>10</x:v>
      </x:c>
      <x:c r="O263" s="18" t="n">
        <x:v>0</x:v>
      </x:c>
      <x:c r="P263" s="18" t="n">
        <x:v>8</x:v>
      </x:c>
      <x:c r="Q263" s="6" t="str">
        <x:v>count, floor_area_total, locate, route, route_step_free, route_with_closure, shared_walls_count, tour</x:v>
      </x:c>
      <x:c r="R263" s="21" t="b">
        <x:v>0</x:v>
      </x:c>
      <x:c r="S263" s="21" t="b">
        <x:v>1</x:v>
      </x:c>
      <x:c r="T263" s="6" t="str">
        <x:v>Swiss Dwellings, Archilyse AG / Standfest et al., https://zenodo.org/records/7070952 (CC BY 4.0)</x:v>
      </x:c>
      <x:c r="U263" s="6" t="str">
        <x:v>data/train/swiss-3418/building.json</x:v>
      </x:c>
      <x:c r="V263" s="6" t="str">
        <x:v>https://github.com/hagenhaeussler/Industrial-Agents-Hackathon-2026/blob/f41616590b69f3ea0c1cbfb41d6c35edd9ce53df/data/train/swiss-3418/building.json</x:v>
      </x:c>
    </x:row>
    <x:row r="264" ht="42" customHeight="1">
      <x:c r="A264" s="6" t="str">
        <x:v>swiss-373</x:v>
      </x:c>
      <x:c r="B264" s="6" t="str">
        <x:v>Residential building 373</x:v>
      </x:c>
      <x:c r="C264" s="6" t="str">
        <x:v>train</x:v>
      </x:c>
      <x:c r="D264" s="6" t="str">
        <x:v>swiss_dwellings</x:v>
      </x:c>
      <x:c r="E264" s="6" t="str">
        <x:v>CC-BY-4.0</x:v>
      </x:c>
      <x:c r="F264" s="18" t="n">
        <x:v>4</x:v>
      </x:c>
      <x:c r="G264" s="6" t="str">
        <x:v>0, 1, 2, 3</x:v>
      </x:c>
      <x:c r="H264" s="18" t="n">
        <x:v>37</x:v>
      </x:c>
      <x:c r="I264" s="18" t="n">
        <x:v>26</x:v>
      </x:c>
      <x:c r="J264" s="18" t="n">
        <x:v>104</x:v>
      </x:c>
      <x:c r="K264" s="18" t="n">
        <x:v>3</x:v>
      </x:c>
      <x:c r="L264" s="18" t="n">
        <x:v>10</x:v>
      </x:c>
      <x:c r="M264" s="18" t="n">
        <x:v>13</x:v>
      </x:c>
      <x:c r="N264" s="18" t="n">
        <x:v>13</x:v>
      </x:c>
      <x:c r="O264" s="18" t="n">
        <x:v>0</x:v>
      </x:c>
      <x:c r="P264" s="18" t="n">
        <x:v>9</x:v>
      </x:c>
      <x:c r="Q264" s="6" t="str">
        <x:v>count, errand, floor_area_total, largest_room, locate, route, route_step_free, route_with_closure, tour</x:v>
      </x:c>
      <x:c r="R264" s="21" t="b">
        <x:v>0</x:v>
      </x:c>
      <x:c r="S264" s="21" t="b">
        <x:v>1</x:v>
      </x:c>
      <x:c r="T264" s="6" t="str">
        <x:v>Swiss Dwellings, Archilyse AG / Standfest et al., https://zenodo.org/records/7070952 (CC BY 4.0)</x:v>
      </x:c>
      <x:c r="U264" s="6" t="str">
        <x:v>data/train/swiss-373/building.json</x:v>
      </x:c>
      <x:c r="V264" s="6" t="str">
        <x:v>https://github.com/hagenhaeussler/Industrial-Agents-Hackathon-2026/blob/f41616590b69f3ea0c1cbfb41d6c35edd9ce53df/data/train/swiss-373/building.json</x:v>
      </x:c>
    </x:row>
    <x:row r="265" ht="42" customHeight="1">
      <x:c r="A265" s="6" t="str">
        <x:v>swiss-390</x:v>
      </x:c>
      <x:c r="B265" s="6" t="str">
        <x:v>Residential building 390</x:v>
      </x:c>
      <x:c r="C265" s="6" t="str">
        <x:v>train</x:v>
      </x:c>
      <x:c r="D265" s="6" t="str">
        <x:v>swiss_dwellings</x:v>
      </x:c>
      <x:c r="E265" s="6" t="str">
        <x:v>CC-BY-4.0</x:v>
      </x:c>
      <x:c r="F265" s="18" t="n">
        <x:v>5</x:v>
      </x:c>
      <x:c r="G265" s="6" t="str">
        <x:v>0, 1, 2, 3, 4</x:v>
      </x:c>
      <x:c r="H265" s="18" t="n">
        <x:v>45</x:v>
      </x:c>
      <x:c r="I265" s="18" t="n">
        <x:v>34</x:v>
      </x:c>
      <x:c r="J265" s="18" t="n">
        <x:v>131</x:v>
      </x:c>
      <x:c r="K265" s="18" t="n">
        <x:v>3</x:v>
      </x:c>
      <x:c r="L265" s="18" t="n">
        <x:v>10</x:v>
      </x:c>
      <x:c r="M265" s="18" t="n">
        <x:v>13</x:v>
      </x:c>
      <x:c r="N265" s="18" t="n">
        <x:v>13</x:v>
      </x:c>
      <x:c r="O265" s="18" t="n">
        <x:v>0</x:v>
      </x:c>
      <x:c r="P265" s="18" t="n">
        <x:v>9</x:v>
      </x:c>
      <x:c r="Q265" s="6" t="str">
        <x:v>count, errand, floor_area_total, largest_room, locate, route, route_step_free, route_with_closure, tour</x:v>
      </x:c>
      <x:c r="R265" s="21" t="b">
        <x:v>0</x:v>
      </x:c>
      <x:c r="S265" s="21" t="b">
        <x:v>1</x:v>
      </x:c>
      <x:c r="T265" s="6" t="str">
        <x:v>Swiss Dwellings, Archilyse AG / Standfest et al., https://zenodo.org/records/7070952 (CC BY 4.0)</x:v>
      </x:c>
      <x:c r="U265" s="6" t="str">
        <x:v>data/train/swiss-390/building.json</x:v>
      </x:c>
      <x:c r="V265" s="6" t="str">
        <x:v>https://github.com/hagenhaeussler/Industrial-Agents-Hackathon-2026/blob/f41616590b69f3ea0c1cbfb41d6c35edd9ce53df/data/train/swiss-390/building.json</x:v>
      </x:c>
    </x:row>
    <x:row r="266" ht="42" customHeight="1">
      <x:c r="A266" s="6" t="str">
        <x:v>swiss-401</x:v>
      </x:c>
      <x:c r="B266" s="6" t="str">
        <x:v>Residential building 401</x:v>
      </x:c>
      <x:c r="C266" s="6" t="str">
        <x:v>train</x:v>
      </x:c>
      <x:c r="D266" s="6" t="str">
        <x:v>swiss_dwellings</x:v>
      </x:c>
      <x:c r="E266" s="6" t="str">
        <x:v>CC-BY-4.0</x:v>
      </x:c>
      <x:c r="F266" s="18" t="n">
        <x:v>3</x:v>
      </x:c>
      <x:c r="G266" s="6" t="str">
        <x:v>0, 1, 2</x:v>
      </x:c>
      <x:c r="H266" s="18" t="n">
        <x:v>54</x:v>
      </x:c>
      <x:c r="I266" s="18" t="n">
        <x:v>38</x:v>
      </x:c>
      <x:c r="J266" s="18" t="n">
        <x:v>157</x:v>
      </x:c>
      <x:c r="K266" s="18" t="n">
        <x:v>2</x:v>
      </x:c>
      <x:c r="L266" s="18" t="n">
        <x:v>10</x:v>
      </x:c>
      <x:c r="M266" s="18" t="n">
        <x:v>12</x:v>
      </x:c>
      <x:c r="N266" s="18" t="n">
        <x:v>12</x:v>
      </x:c>
      <x:c r="O266" s="18" t="n">
        <x:v>0</x:v>
      </x:c>
      <x:c r="P266" s="18" t="n">
        <x:v>8</x:v>
      </x:c>
      <x:c r="Q266" s="6" t="str">
        <x:v>count, floor_area_total, locate, route, route_step_free, route_with_closure, shared_walls_count, tour</x:v>
      </x:c>
      <x:c r="R266" s="21" t="b">
        <x:v>0</x:v>
      </x:c>
      <x:c r="S266" s="21" t="b">
        <x:v>1</x:v>
      </x:c>
      <x:c r="T266" s="6" t="str">
        <x:v>Swiss Dwellings, Archilyse AG / Standfest et al., https://zenodo.org/records/7070952 (CC BY 4.0)</x:v>
      </x:c>
      <x:c r="U266" s="6" t="str">
        <x:v>data/train/swiss-401/building.json</x:v>
      </x:c>
      <x:c r="V266" s="6" t="str">
        <x:v>https://github.com/hagenhaeussler/Industrial-Agents-Hackathon-2026/blob/f41616590b69f3ea0c1cbfb41d6c35edd9ce53df/data/train/swiss-401/building.json</x:v>
      </x:c>
    </x:row>
    <x:row r="267" ht="42" customHeight="1">
      <x:c r="A267" s="6" t="str">
        <x:v>swiss-430</x:v>
      </x:c>
      <x:c r="B267" s="6" t="str">
        <x:v>Residential building 430</x:v>
      </x:c>
      <x:c r="C267" s="6" t="str">
        <x:v>train</x:v>
      </x:c>
      <x:c r="D267" s="6" t="str">
        <x:v>swiss_dwellings</x:v>
      </x:c>
      <x:c r="E267" s="6" t="str">
        <x:v>CC-BY-4.0</x:v>
      </x:c>
      <x:c r="F267" s="18" t="n">
        <x:v>4</x:v>
      </x:c>
      <x:c r="G267" s="6" t="str">
        <x:v>0, 1, 2, 3</x:v>
      </x:c>
      <x:c r="H267" s="18" t="n">
        <x:v>77</x:v>
      </x:c>
      <x:c r="I267" s="18" t="n">
        <x:v>56</x:v>
      </x:c>
      <x:c r="J267" s="18" t="n">
        <x:v>209</x:v>
      </x:c>
      <x:c r="K267" s="18" t="n">
        <x:v>1</x:v>
      </x:c>
      <x:c r="L267" s="18" t="n">
        <x:v>10</x:v>
      </x:c>
      <x:c r="M267" s="18" t="n">
        <x:v>11</x:v>
      </x:c>
      <x:c r="N267" s="18" t="n">
        <x:v>11</x:v>
      </x:c>
      <x:c r="O267" s="18" t="n">
        <x:v>0</x:v>
      </x:c>
      <x:c r="P267" s="18" t="n">
        <x:v>7</x:v>
      </x:c>
      <x:c r="Q267" s="6" t="str">
        <x:v>count, floor_area_total, locate, route, route_step_free, route_with_closure, tour</x:v>
      </x:c>
      <x:c r="R267" s="21" t="b">
        <x:v>0</x:v>
      </x:c>
      <x:c r="S267" s="21" t="b">
        <x:v>1</x:v>
      </x:c>
      <x:c r="T267" s="6" t="str">
        <x:v>Swiss Dwellings, Archilyse AG / Standfest et al., https://zenodo.org/records/7070952 (CC BY 4.0)</x:v>
      </x:c>
      <x:c r="U267" s="6" t="str">
        <x:v>data/train/swiss-430/building.json</x:v>
      </x:c>
      <x:c r="V267" s="6" t="str">
        <x:v>https://github.com/hagenhaeussler/Industrial-Agents-Hackathon-2026/blob/f41616590b69f3ea0c1cbfb41d6c35edd9ce53df/data/train/swiss-430/building.json</x:v>
      </x:c>
    </x:row>
    <x:row r="268" ht="42" customHeight="1">
      <x:c r="A268" s="6" t="str">
        <x:v>swiss-433</x:v>
      </x:c>
      <x:c r="B268" s="6" t="str">
        <x:v>Residential building 433</x:v>
      </x:c>
      <x:c r="C268" s="6" t="str">
        <x:v>train</x:v>
      </x:c>
      <x:c r="D268" s="6" t="str">
        <x:v>swiss_dwellings</x:v>
      </x:c>
      <x:c r="E268" s="6" t="str">
        <x:v>CC-BY-4.0</x:v>
      </x:c>
      <x:c r="F268" s="18" t="n">
        <x:v>7</x:v>
      </x:c>
      <x:c r="G268" s="6" t="str">
        <x:v>0, 1, 2, 3, 4, 5, 6</x:v>
      </x:c>
      <x:c r="H268" s="18" t="n">
        <x:v>163</x:v>
      </x:c>
      <x:c r="I268" s="18" t="n">
        <x:v>110</x:v>
      </x:c>
      <x:c r="J268" s="18" t="n">
        <x:v>481</x:v>
      </x:c>
      <x:c r="K268" s="18" t="n">
        <x:v>4</x:v>
      </x:c>
      <x:c r="L268" s="18" t="n">
        <x:v>7</x:v>
      </x:c>
      <x:c r="M268" s="18" t="n">
        <x:v>11</x:v>
      </x:c>
      <x:c r="N268" s="18" t="n">
        <x:v>11</x:v>
      </x:c>
      <x:c r="O268" s="18" t="n">
        <x:v>0</x:v>
      </x:c>
      <x:c r="P268" s="18" t="n">
        <x:v>9</x:v>
      </x:c>
      <x:c r="Q268" s="6" t="str">
        <x:v>count, errand, floor_area_total, largest_room, route, route_step_free, route_with_closure, shared_walls_count, tour</x:v>
      </x:c>
      <x:c r="R268" s="21" t="b">
        <x:v>1</x:v>
      </x:c>
      <x:c r="S268" s="21" t="b">
        <x:v>1</x:v>
      </x:c>
      <x:c r="T268" s="6" t="str">
        <x:v>Swiss Dwellings, Archilyse AG / Standfest et al., https://zenodo.org/records/7070952 (CC BY 4.0)</x:v>
      </x:c>
      <x:c r="U268" s="6" t="str">
        <x:v>data/train/swiss-433/building.json</x:v>
      </x:c>
      <x:c r="V268" s="6" t="str">
        <x:v>https://github.com/hagenhaeussler/Industrial-Agents-Hackathon-2026/blob/f41616590b69f3ea0c1cbfb41d6c35edd9ce53df/data/train/swiss-433/building.json</x:v>
      </x:c>
    </x:row>
    <x:row r="269" ht="42" customHeight="1">
      <x:c r="A269" s="6" t="str">
        <x:v>swiss-437</x:v>
      </x:c>
      <x:c r="B269" s="6" t="str">
        <x:v>Residential building 437</x:v>
      </x:c>
      <x:c r="C269" s="6" t="str">
        <x:v>train</x:v>
      </x:c>
      <x:c r="D269" s="6" t="str">
        <x:v>swiss_dwellings</x:v>
      </x:c>
      <x:c r="E269" s="6" t="str">
        <x:v>CC-BY-4.0</x:v>
      </x:c>
      <x:c r="F269" s="18" t="n">
        <x:v>6</x:v>
      </x:c>
      <x:c r="G269" s="6" t="str">
        <x:v>0, 1, 2, 3, 4, 5</x:v>
      </x:c>
      <x:c r="H269" s="18" t="n">
        <x:v>209</x:v>
      </x:c>
      <x:c r="I269" s="18" t="n">
        <x:v>129</x:v>
      </x:c>
      <x:c r="J269" s="18" t="n">
        <x:v>605</x:v>
      </x:c>
      <x:c r="K269" s="18" t="n">
        <x:v>2</x:v>
      </x:c>
      <x:c r="L269" s="18" t="n">
        <x:v>8</x:v>
      </x:c>
      <x:c r="M269" s="18" t="n">
        <x:v>10</x:v>
      </x:c>
      <x:c r="N269" s="18" t="n">
        <x:v>10</x:v>
      </x:c>
      <x:c r="O269" s="18" t="n">
        <x:v>0</x:v>
      </x:c>
      <x:c r="P269" s="18" t="n">
        <x:v>8</x:v>
      </x:c>
      <x:c r="Q269" s="6" t="str">
        <x:v>count, floor_area_total, locate, route, route_step_free, route_with_closure, shared_walls_count, tour</x:v>
      </x:c>
      <x:c r="R269" s="21" t="b">
        <x:v>1</x:v>
      </x:c>
      <x:c r="S269" s="21" t="b">
        <x:v>1</x:v>
      </x:c>
      <x:c r="T269" s="6" t="str">
        <x:v>Swiss Dwellings, Archilyse AG / Standfest et al., https://zenodo.org/records/7070952 (CC BY 4.0)</x:v>
      </x:c>
      <x:c r="U269" s="6" t="str">
        <x:v>data/train/swiss-437/building.json</x:v>
      </x:c>
      <x:c r="V269" s="6" t="str">
        <x:v>https://github.com/hagenhaeussler/Industrial-Agents-Hackathon-2026/blob/f41616590b69f3ea0c1cbfb41d6c35edd9ce53df/data/train/swiss-437/building.json</x:v>
      </x:c>
    </x:row>
    <x:row r="270" ht="42" customHeight="1">
      <x:c r="A270" s="6" t="str">
        <x:v>swiss-442</x:v>
      </x:c>
      <x:c r="B270" s="6" t="str">
        <x:v>Residential building 442</x:v>
      </x:c>
      <x:c r="C270" s="6" t="str">
        <x:v>train</x:v>
      </x:c>
      <x:c r="D270" s="6" t="str">
        <x:v>swiss_dwellings</x:v>
      </x:c>
      <x:c r="E270" s="6" t="str">
        <x:v>CC-BY-4.0</x:v>
      </x:c>
      <x:c r="F270" s="18" t="n">
        <x:v>5</x:v>
      </x:c>
      <x:c r="G270" s="6" t="str">
        <x:v>-1, 0, 1, 2, 3</x:v>
      </x:c>
      <x:c r="H270" s="18" t="n">
        <x:v>141</x:v>
      </x:c>
      <x:c r="I270" s="18" t="n">
        <x:v>92</x:v>
      </x:c>
      <x:c r="J270" s="18" t="n">
        <x:v>448</x:v>
      </x:c>
      <x:c r="K270" s="18" t="n">
        <x:v>4</x:v>
      </x:c>
      <x:c r="L270" s="18" t="n">
        <x:v>7</x:v>
      </x:c>
      <x:c r="M270" s="18" t="n">
        <x:v>11</x:v>
      </x:c>
      <x:c r="N270" s="18" t="n">
        <x:v>11</x:v>
      </x:c>
      <x:c r="O270" s="18" t="n">
        <x:v>0</x:v>
      </x:c>
      <x:c r="P270" s="18" t="n">
        <x:v>9</x:v>
      </x:c>
      <x:c r="Q270" s="6" t="str">
        <x:v>count, errand, floor_area_total, largest_room, route, route_step_free, route_with_closure, shared_walls_count, tour</x:v>
      </x:c>
      <x:c r="R270" s="21" t="b">
        <x:v>0</x:v>
      </x:c>
      <x:c r="S270" s="21" t="b">
        <x:v>1</x:v>
      </x:c>
      <x:c r="T270" s="6" t="str">
        <x:v>Swiss Dwellings, Archilyse AG / Standfest et al., https://zenodo.org/records/7070952 (CC BY 4.0)</x:v>
      </x:c>
      <x:c r="U270" s="6" t="str">
        <x:v>data/train/swiss-442/building.json</x:v>
      </x:c>
      <x:c r="V270" s="6" t="str">
        <x:v>https://github.com/hagenhaeussler/Industrial-Agents-Hackathon-2026/blob/f41616590b69f3ea0c1cbfb41d6c35edd9ce53df/data/train/swiss-442/building.json</x:v>
      </x:c>
    </x:row>
    <x:row r="271" ht="42" customHeight="1">
      <x:c r="A271" s="6" t="str">
        <x:v>swiss-474</x:v>
      </x:c>
      <x:c r="B271" s="6" t="str">
        <x:v>Residential building 474</x:v>
      </x:c>
      <x:c r="C271" s="6" t="str">
        <x:v>train</x:v>
      </x:c>
      <x:c r="D271" s="6" t="str">
        <x:v>swiss_dwellings</x:v>
      </x:c>
      <x:c r="E271" s="6" t="str">
        <x:v>CC-BY-4.0</x:v>
      </x:c>
      <x:c r="F271" s="18" t="n">
        <x:v>3</x:v>
      </x:c>
      <x:c r="G271" s="6" t="str">
        <x:v>0, 1, 2</x:v>
      </x:c>
      <x:c r="H271" s="18" t="n">
        <x:v>174</x:v>
      </x:c>
      <x:c r="I271" s="18" t="n">
        <x:v>111</x:v>
      </x:c>
      <x:c r="J271" s="18" t="n">
        <x:v>523</x:v>
      </x:c>
      <x:c r="K271" s="18" t="n">
        <x:v>1</x:v>
      </x:c>
      <x:c r="L271" s="18" t="n">
        <x:v>7</x:v>
      </x:c>
      <x:c r="M271" s="18" t="n">
        <x:v>8</x:v>
      </x:c>
      <x:c r="N271" s="18" t="n">
        <x:v>8</x:v>
      </x:c>
      <x:c r="O271" s="18" t="n">
        <x:v>0</x:v>
      </x:c>
      <x:c r="P271" s="18" t="n">
        <x:v>6</x:v>
      </x:c>
      <x:c r="Q271" s="6" t="str">
        <x:v>count, floor_area_total, route, route_step_free, route_with_closure, tour</x:v>
      </x:c>
      <x:c r="R271" s="21" t="b">
        <x:v>0</x:v>
      </x:c>
      <x:c r="S271" s="21" t="b">
        <x:v>1</x:v>
      </x:c>
      <x:c r="T271" s="6" t="str">
        <x:v>Swiss Dwellings, Archilyse AG / Standfest et al., https://zenodo.org/records/7070952 (CC BY 4.0)</x:v>
      </x:c>
      <x:c r="U271" s="6" t="str">
        <x:v>data/train/swiss-474/building.json</x:v>
      </x:c>
      <x:c r="V271" s="6" t="str">
        <x:v>https://github.com/hagenhaeussler/Industrial-Agents-Hackathon-2026/blob/f41616590b69f3ea0c1cbfb41d6c35edd9ce53df/data/train/swiss-474/building.json</x:v>
      </x:c>
    </x:row>
    <x:row r="272" ht="54" customHeight="1">
      <x:c r="A272" s="6" t="str">
        <x:v>swiss-4967</x:v>
      </x:c>
      <x:c r="B272" s="6" t="str">
        <x:v>Residential building 4967</x:v>
      </x:c>
      <x:c r="C272" s="6" t="str">
        <x:v>train</x:v>
      </x:c>
      <x:c r="D272" s="6" t="str">
        <x:v>swiss_dwellings</x:v>
      </x:c>
      <x:c r="E272" s="6" t="str">
        <x:v>CC-BY-4.0</x:v>
      </x:c>
      <x:c r="F272" s="18" t="n">
        <x:v>5</x:v>
      </x:c>
      <x:c r="G272" s="6" t="str">
        <x:v>0, 1, 2, 3, 4</x:v>
      </x:c>
      <x:c r="H272" s="18" t="n">
        <x:v>45</x:v>
      </x:c>
      <x:c r="I272" s="18" t="n">
        <x:v>29</x:v>
      </x:c>
      <x:c r="J272" s="18" t="n">
        <x:v>114</x:v>
      </x:c>
      <x:c r="K272" s="18" t="n">
        <x:v>1</x:v>
      </x:c>
      <x:c r="L272" s="18" t="n">
        <x:v>10</x:v>
      </x:c>
      <x:c r="M272" s="18" t="n">
        <x:v>11</x:v>
      </x:c>
      <x:c r="N272" s="18" t="n">
        <x:v>11</x:v>
      </x:c>
      <x:c r="O272" s="18" t="n">
        <x:v>0</x:v>
      </x:c>
      <x:c r="P272" s="18" t="n">
        <x:v>7</x:v>
      </x:c>
      <x:c r="Q272" s="6" t="str">
        <x:v>count, floor_area_total, locate, route, route_step_free, route_with_closure, tour</x:v>
      </x:c>
      <x:c r="R272" s="21" t="b">
        <x:v>0</x:v>
      </x:c>
      <x:c r="S272" s="21" t="b">
        <x:v>1</x:v>
      </x:c>
      <x:c r="T272" s="6" t="str">
        <x:v>Swiss Dwellings, Archilyse AG / Standfest et al., https://zenodo.org/records/7070952 (CC BY 4.0)</x:v>
      </x:c>
      <x:c r="U272" s="6" t="str">
        <x:v>data/train/swiss-4967/building.json</x:v>
      </x:c>
      <x:c r="V272" s="6" t="str">
        <x:v>https://github.com/hagenhaeussler/Industrial-Agents-Hackathon-2026/blob/f41616590b69f3ea0c1cbfb41d6c35edd9ce53df/data/train/swiss-4967/building.json</x:v>
      </x:c>
    </x:row>
    <x:row r="273" ht="54" customHeight="1">
      <x:c r="A273" s="6" t="str">
        <x:v>swiss-5354</x:v>
      </x:c>
      <x:c r="B273" s="6" t="str">
        <x:v>Residential building 5354</x:v>
      </x:c>
      <x:c r="C273" s="6" t="str">
        <x:v>train</x:v>
      </x:c>
      <x:c r="D273" s="6" t="str">
        <x:v>swiss_dwellings</x:v>
      </x:c>
      <x:c r="E273" s="6" t="str">
        <x:v>CC-BY-4.0</x:v>
      </x:c>
      <x:c r="F273" s="18" t="n">
        <x:v>6</x:v>
      </x:c>
      <x:c r="G273" s="6" t="str">
        <x:v>0, 1, 2, 3, 4, 5</x:v>
      </x:c>
      <x:c r="H273" s="18" t="n">
        <x:v>104</x:v>
      </x:c>
      <x:c r="I273" s="18" t="n">
        <x:v>69</x:v>
      </x:c>
      <x:c r="J273" s="18" t="n">
        <x:v>333</x:v>
      </x:c>
      <x:c r="K273" s="18" t="n">
        <x:v>1</x:v>
      </x:c>
      <x:c r="L273" s="18" t="n">
        <x:v>8</x:v>
      </x:c>
      <x:c r="M273" s="18" t="n">
        <x:v>9</x:v>
      </x:c>
      <x:c r="N273" s="18" t="n">
        <x:v>9</x:v>
      </x:c>
      <x:c r="O273" s="18" t="n">
        <x:v>0</x:v>
      </x:c>
      <x:c r="P273" s="18" t="n">
        <x:v>7</x:v>
      </x:c>
      <x:c r="Q273" s="6" t="str">
        <x:v>count, floor_area_total, locate, route, route_step_free, route_with_closure, tour</x:v>
      </x:c>
      <x:c r="R273" s="21" t="b">
        <x:v>1</x:v>
      </x:c>
      <x:c r="S273" s="21" t="b">
        <x:v>1</x:v>
      </x:c>
      <x:c r="T273" s="6" t="str">
        <x:v>Swiss Dwellings, Archilyse AG / Standfest et al., https://zenodo.org/records/7070952 (CC BY 4.0)</x:v>
      </x:c>
      <x:c r="U273" s="6" t="str">
        <x:v>data/train/swiss-5354/building.json</x:v>
      </x:c>
      <x:c r="V273" s="6" t="str">
        <x:v>https://github.com/hagenhaeussler/Industrial-Agents-Hackathon-2026/blob/f41616590b69f3ea0c1cbfb41d6c35edd9ce53df/data/train/swiss-5354/building.json</x:v>
      </x:c>
    </x:row>
    <x:row r="274" ht="54" customHeight="1">
      <x:c r="A274" s="6" t="str">
        <x:v>swiss-5422</x:v>
      </x:c>
      <x:c r="B274" s="6" t="str">
        <x:v>Residential building 5422</x:v>
      </x:c>
      <x:c r="C274" s="6" t="str">
        <x:v>train</x:v>
      </x:c>
      <x:c r="D274" s="6" t="str">
        <x:v>swiss_dwellings</x:v>
      </x:c>
      <x:c r="E274" s="6" t="str">
        <x:v>CC-BY-4.0</x:v>
      </x:c>
      <x:c r="F274" s="18" t="n">
        <x:v>3</x:v>
      </x:c>
      <x:c r="G274" s="6" t="str">
        <x:v>0, 1, 2</x:v>
      </x:c>
      <x:c r="H274" s="18" t="n">
        <x:v>25</x:v>
      </x:c>
      <x:c r="I274" s="18" t="n">
        <x:v>15</x:v>
      </x:c>
      <x:c r="J274" s="18" t="n">
        <x:v>50</x:v>
      </x:c>
      <x:c r="K274" s="18" t="n">
        <x:v>1</x:v>
      </x:c>
      <x:c r="L274" s="18" t="n">
        <x:v>10</x:v>
      </x:c>
      <x:c r="M274" s="18" t="n">
        <x:v>11</x:v>
      </x:c>
      <x:c r="N274" s="18" t="n">
        <x:v>11</x:v>
      </x:c>
      <x:c r="O274" s="18" t="n">
        <x:v>0</x:v>
      </x:c>
      <x:c r="P274" s="18" t="n">
        <x:v>7</x:v>
      </x:c>
      <x:c r="Q274" s="6" t="str">
        <x:v>count, floor_area_total, locate, route, route_step_free, route_with_closure, tour</x:v>
      </x:c>
      <x:c r="R274" s="21" t="b">
        <x:v>0</x:v>
      </x:c>
      <x:c r="S274" s="21" t="b">
        <x:v>1</x:v>
      </x:c>
      <x:c r="T274" s="6" t="str">
        <x:v>Swiss Dwellings, Archilyse AG / Standfest et al., https://zenodo.org/records/7070952 (CC BY 4.0)</x:v>
      </x:c>
      <x:c r="U274" s="6" t="str">
        <x:v>data/train/swiss-5422/building.json</x:v>
      </x:c>
      <x:c r="V274" s="6" t="str">
        <x:v>https://github.com/hagenhaeussler/Industrial-Agents-Hackathon-2026/blob/f41616590b69f3ea0c1cbfb41d6c35edd9ce53df/data/train/swiss-5422/building.json</x:v>
      </x:c>
    </x:row>
    <x:row r="275" ht="54" customHeight="1">
      <x:c r="A275" s="6" t="str">
        <x:v>swiss-5690</x:v>
      </x:c>
      <x:c r="B275" s="6" t="str">
        <x:v>Residential building 5690</x:v>
      </x:c>
      <x:c r="C275" s="6" t="str">
        <x:v>train</x:v>
      </x:c>
      <x:c r="D275" s="6" t="str">
        <x:v>swiss_dwellings</x:v>
      </x:c>
      <x:c r="E275" s="6" t="str">
        <x:v>CC-BY-4.0</x:v>
      </x:c>
      <x:c r="F275" s="18" t="n">
        <x:v>6</x:v>
      </x:c>
      <x:c r="G275" s="6" t="str">
        <x:v>0, 1, 2, 3, 4, 5</x:v>
      </x:c>
      <x:c r="H275" s="18" t="n">
        <x:v>107</x:v>
      </x:c>
      <x:c r="I275" s="18" t="n">
        <x:v>75</x:v>
      </x:c>
      <x:c r="J275" s="18" t="n">
        <x:v>354</x:v>
      </x:c>
      <x:c r="K275" s="18" t="n">
        <x:v>3</x:v>
      </x:c>
      <x:c r="L275" s="18" t="n">
        <x:v>8</x:v>
      </x:c>
      <x:c r="M275" s="18" t="n">
        <x:v>11</x:v>
      </x:c>
      <x:c r="N275" s="18" t="n">
        <x:v>11</x:v>
      </x:c>
      <x:c r="O275" s="18" t="n">
        <x:v>0</x:v>
      </x:c>
      <x:c r="P275" s="18" t="n">
        <x:v>9</x:v>
      </x:c>
      <x:c r="Q275" s="6" t="str">
        <x:v>count, errand, floor_area_total, largest_room, locate, route, route_step_free, route_with_closure, tour</x:v>
      </x:c>
      <x:c r="R275" s="21" t="b">
        <x:v>1</x:v>
      </x:c>
      <x:c r="S275" s="21" t="b">
        <x:v>1</x:v>
      </x:c>
      <x:c r="T275" s="6" t="str">
        <x:v>Swiss Dwellings, Archilyse AG / Standfest et al., https://zenodo.org/records/7070952 (CC BY 4.0)</x:v>
      </x:c>
      <x:c r="U275" s="6" t="str">
        <x:v>data/train/swiss-5690/building.json</x:v>
      </x:c>
      <x:c r="V275" s="6" t="str">
        <x:v>https://github.com/hagenhaeussler/Industrial-Agents-Hackathon-2026/blob/f41616590b69f3ea0c1cbfb41d6c35edd9ce53df/data/train/swiss-5690/building.json</x:v>
      </x:c>
    </x:row>
    <x:row r="276" ht="54" customHeight="1">
      <x:c r="A276" s="6" t="str">
        <x:v>swiss-5779</x:v>
      </x:c>
      <x:c r="B276" s="6" t="str">
        <x:v>Residential building 5779</x:v>
      </x:c>
      <x:c r="C276" s="6" t="str">
        <x:v>train</x:v>
      </x:c>
      <x:c r="D276" s="6" t="str">
        <x:v>swiss_dwellings</x:v>
      </x:c>
      <x:c r="E276" s="6" t="str">
        <x:v>CC-BY-4.0</x:v>
      </x:c>
      <x:c r="F276" s="18" t="n">
        <x:v>1</x:v>
      </x:c>
      <x:c r="G276" s="6" t="str">
        <x:v>0</x:v>
      </x:c>
      <x:c r="H276" s="18" t="n">
        <x:v>11</x:v>
      </x:c>
      <x:c r="I276" s="18" t="n">
        <x:v>7</x:v>
      </x:c>
      <x:c r="J276" s="18" t="n">
        <x:v>29</x:v>
      </x:c>
      <x:c r="K276" s="18" t="n">
        <x:v>1</x:v>
      </x:c>
      <x:c r="L276" s="18" t="n">
        <x:v>9</x:v>
      </x:c>
      <x:c r="M276" s="18" t="n">
        <x:v>10</x:v>
      </x:c>
      <x:c r="N276" s="18" t="n">
        <x:v>10</x:v>
      </x:c>
      <x:c r="O276" s="18" t="n">
        <x:v>0</x:v>
      </x:c>
      <x:c r="P276" s="18" t="n">
        <x:v>6</x:v>
      </x:c>
      <x:c r="Q276" s="6" t="str">
        <x:v>count, floor_area_total, locate, route, route_step_free, tour</x:v>
      </x:c>
      <x:c r="R276" s="21" t="b">
        <x:v>0</x:v>
      </x:c>
      <x:c r="S276" s="21" t="b">
        <x:v>0</x:v>
      </x:c>
      <x:c r="T276" s="6" t="str">
        <x:v>Swiss Dwellings, Archilyse AG / Standfest et al., https://zenodo.org/records/7070952 (CC BY 4.0)</x:v>
      </x:c>
      <x:c r="U276" s="6" t="str">
        <x:v>data/train/swiss-5779/building.json</x:v>
      </x:c>
      <x:c r="V276" s="6" t="str">
        <x:v>https://github.com/hagenhaeussler/Industrial-Agents-Hackathon-2026/blob/f41616590b69f3ea0c1cbfb41d6c35edd9ce53df/data/train/swiss-5779/building.json</x:v>
      </x:c>
    </x:row>
    <x:row r="277" ht="42" customHeight="1">
      <x:c r="A277" s="6" t="str">
        <x:v>swiss-59</x:v>
      </x:c>
      <x:c r="B277" s="6" t="str">
        <x:v>Residential building 59</x:v>
      </x:c>
      <x:c r="C277" s="6" t="str">
        <x:v>train</x:v>
      </x:c>
      <x:c r="D277" s="6" t="str">
        <x:v>swiss_dwellings</x:v>
      </x:c>
      <x:c r="E277" s="6" t="str">
        <x:v>CC-BY-4.0</x:v>
      </x:c>
      <x:c r="F277" s="18" t="n">
        <x:v>3</x:v>
      </x:c>
      <x:c r="G277" s="6" t="str">
        <x:v>0, 1, 2</x:v>
      </x:c>
      <x:c r="H277" s="18" t="n">
        <x:v>33</x:v>
      </x:c>
      <x:c r="I277" s="18" t="n">
        <x:v>21</x:v>
      </x:c>
      <x:c r="J277" s="18" t="n">
        <x:v>94</x:v>
      </x:c>
      <x:c r="K277" s="18" t="n">
        <x:v>1</x:v>
      </x:c>
      <x:c r="L277" s="18" t="n">
        <x:v>8</x:v>
      </x:c>
      <x:c r="M277" s="18" t="n">
        <x:v>9</x:v>
      </x:c>
      <x:c r="N277" s="18" t="n">
        <x:v>9</x:v>
      </x:c>
      <x:c r="O277" s="18" t="n">
        <x:v>0</x:v>
      </x:c>
      <x:c r="P277" s="18" t="n">
        <x:v>7</x:v>
      </x:c>
      <x:c r="Q277" s="6" t="str">
        <x:v>count, floor_area_total, locate, route, route_step_free, route_with_closure, tour</x:v>
      </x:c>
      <x:c r="R277" s="21" t="b">
        <x:v>0</x:v>
      </x:c>
      <x:c r="S277" s="21" t="b">
        <x:v>1</x:v>
      </x:c>
      <x:c r="T277" s="6" t="str">
        <x:v>Swiss Dwellings, Archilyse AG / Standfest et al., https://zenodo.org/records/7070952 (CC BY 4.0)</x:v>
      </x:c>
      <x:c r="U277" s="6" t="str">
        <x:v>data/train/swiss-59/building.json</x:v>
      </x:c>
      <x:c r="V277" s="6" t="str">
        <x:v>https://github.com/hagenhaeussler/Industrial-Agents-Hackathon-2026/blob/f41616590b69f3ea0c1cbfb41d6c35edd9ce53df/data/train/swiss-59/building.json</x:v>
      </x:c>
    </x:row>
    <x:row r="278" ht="54" customHeight="1">
      <x:c r="A278" s="6" t="str">
        <x:v>swiss-6148</x:v>
      </x:c>
      <x:c r="B278" s="6" t="str">
        <x:v>Residential building 6148</x:v>
      </x:c>
      <x:c r="C278" s="6" t="str">
        <x:v>train</x:v>
      </x:c>
      <x:c r="D278" s="6" t="str">
        <x:v>swiss_dwellings</x:v>
      </x:c>
      <x:c r="E278" s="6" t="str">
        <x:v>CC-BY-4.0</x:v>
      </x:c>
      <x:c r="F278" s="18" t="n">
        <x:v>5</x:v>
      </x:c>
      <x:c r="G278" s="6" t="str">
        <x:v>0, 1, 2, 3, 4</x:v>
      </x:c>
      <x:c r="H278" s="18" t="n">
        <x:v>40</x:v>
      </x:c>
      <x:c r="I278" s="18" t="n">
        <x:v>27</x:v>
      </x:c>
      <x:c r="J278" s="18" t="n">
        <x:v>137</x:v>
      </x:c>
      <x:c r="K278" s="18" t="n">
        <x:v>3</x:v>
      </x:c>
      <x:c r="L278" s="18" t="n">
        <x:v>9</x:v>
      </x:c>
      <x:c r="M278" s="18" t="n">
        <x:v>12</x:v>
      </x:c>
      <x:c r="N278" s="18" t="n">
        <x:v>12</x:v>
      </x:c>
      <x:c r="O278" s="18" t="n">
        <x:v>0</x:v>
      </x:c>
      <x:c r="P278" s="18" t="n">
        <x:v>9</x:v>
      </x:c>
      <x:c r="Q278" s="6" t="str">
        <x:v>count, errand, floor_area_total, largest_room, locate, route, route_step_free, route_with_closure, tour</x:v>
      </x:c>
      <x:c r="R278" s="21" t="b">
        <x:v>0</x:v>
      </x:c>
      <x:c r="S278" s="21" t="b">
        <x:v>1</x:v>
      </x:c>
      <x:c r="T278" s="6" t="str">
        <x:v>Swiss Dwellings, Archilyse AG / Standfest et al., https://zenodo.org/records/7070952 (CC BY 4.0)</x:v>
      </x:c>
      <x:c r="U278" s="6" t="str">
        <x:v>data/train/swiss-6148/building.json</x:v>
      </x:c>
      <x:c r="V278" s="6" t="str">
        <x:v>https://github.com/hagenhaeussler/Industrial-Agents-Hackathon-2026/blob/f41616590b69f3ea0c1cbfb41d6c35edd9ce53df/data/train/swiss-6148/building.json</x:v>
      </x:c>
    </x:row>
    <x:row r="279" ht="42" customHeight="1">
      <x:c r="A279" s="6" t="str">
        <x:v>swiss-624</x:v>
      </x:c>
      <x:c r="B279" s="6" t="str">
        <x:v>Residential building 624</x:v>
      </x:c>
      <x:c r="C279" s="6" t="str">
        <x:v>train</x:v>
      </x:c>
      <x:c r="D279" s="6" t="str">
        <x:v>swiss_dwellings</x:v>
      </x:c>
      <x:c r="E279" s="6" t="str">
        <x:v>CC-BY-4.0</x:v>
      </x:c>
      <x:c r="F279" s="18" t="n">
        <x:v>5</x:v>
      </x:c>
      <x:c r="G279" s="6" t="str">
        <x:v>0, 1, 2, 3, 4</x:v>
      </x:c>
      <x:c r="H279" s="18" t="n">
        <x:v>109</x:v>
      </x:c>
      <x:c r="I279" s="18" t="n">
        <x:v>70</x:v>
      </x:c>
      <x:c r="J279" s="18" t="n">
        <x:v>256</x:v>
      </x:c>
      <x:c r="K279" s="18" t="n">
        <x:v>3</x:v>
      </x:c>
      <x:c r="L279" s="18" t="n">
        <x:v>9</x:v>
      </x:c>
      <x:c r="M279" s="18" t="n">
        <x:v>12</x:v>
      </x:c>
      <x:c r="N279" s="18" t="n">
        <x:v>12</x:v>
      </x:c>
      <x:c r="O279" s="18" t="n">
        <x:v>0</x:v>
      </x:c>
      <x:c r="P279" s="18" t="n">
        <x:v>9</x:v>
      </x:c>
      <x:c r="Q279" s="6" t="str">
        <x:v>count, errand, floor_area_total, largest_room, locate, route, route_step_free, route_with_closure, tour</x:v>
      </x:c>
      <x:c r="R279" s="21" t="b">
        <x:v>0</x:v>
      </x:c>
      <x:c r="S279" s="21" t="b">
        <x:v>1</x:v>
      </x:c>
      <x:c r="T279" s="6" t="str">
        <x:v>Swiss Dwellings, Archilyse AG / Standfest et al., https://zenodo.org/records/7070952 (CC BY 4.0)</x:v>
      </x:c>
      <x:c r="U279" s="6" t="str">
        <x:v>data/train/swiss-624/building.json</x:v>
      </x:c>
      <x:c r="V279" s="6" t="str">
        <x:v>https://github.com/hagenhaeussler/Industrial-Agents-Hackathon-2026/blob/f41616590b69f3ea0c1cbfb41d6c35edd9ce53df/data/train/swiss-624/building.json</x:v>
      </x:c>
    </x:row>
    <x:row r="280" ht="54" customHeight="1">
      <x:c r="A280" s="6" t="str">
        <x:v>swiss-6456</x:v>
      </x:c>
      <x:c r="B280" s="6" t="str">
        <x:v>Residential building 6456</x:v>
      </x:c>
      <x:c r="C280" s="6" t="str">
        <x:v>train</x:v>
      </x:c>
      <x:c r="D280" s="6" t="str">
        <x:v>swiss_dwellings</x:v>
      </x:c>
      <x:c r="E280" s="6" t="str">
        <x:v>CC-BY-4.0</x:v>
      </x:c>
      <x:c r="F280" s="18" t="n">
        <x:v>5</x:v>
      </x:c>
      <x:c r="G280" s="6" t="str">
        <x:v>0, 1, 2, 3, 4</x:v>
      </x:c>
      <x:c r="H280" s="18" t="n">
        <x:v>88</x:v>
      </x:c>
      <x:c r="I280" s="18" t="n">
        <x:v>56</x:v>
      </x:c>
      <x:c r="J280" s="18" t="n">
        <x:v>302</x:v>
      </x:c>
      <x:c r="K280" s="18" t="n">
        <x:v>2</x:v>
      </x:c>
      <x:c r="L280" s="18" t="n">
        <x:v>7</x:v>
      </x:c>
      <x:c r="M280" s="18" t="n">
        <x:v>9</x:v>
      </x:c>
      <x:c r="N280" s="18" t="n">
        <x:v>9</x:v>
      </x:c>
      <x:c r="O280" s="18" t="n">
        <x:v>0</x:v>
      </x:c>
      <x:c r="P280" s="18" t="n">
        <x:v>7</x:v>
      </x:c>
      <x:c r="Q280" s="6" t="str">
        <x:v>count, floor_area_total, route, route_step_free, route_with_closure, shared_walls_count, tour</x:v>
      </x:c>
      <x:c r="R280" s="21" t="b">
        <x:v>0</x:v>
      </x:c>
      <x:c r="S280" s="21" t="b">
        <x:v>1</x:v>
      </x:c>
      <x:c r="T280" s="6" t="str">
        <x:v>Swiss Dwellings, Archilyse AG / Standfest et al., https://zenodo.org/records/7070952 (CC BY 4.0)</x:v>
      </x:c>
      <x:c r="U280" s="6" t="str">
        <x:v>data/train/swiss-6456/building.json</x:v>
      </x:c>
      <x:c r="V280" s="6" t="str">
        <x:v>https://github.com/hagenhaeussler/Industrial-Agents-Hackathon-2026/blob/f41616590b69f3ea0c1cbfb41d6c35edd9ce53df/data/train/swiss-6456/building.json</x:v>
      </x:c>
    </x:row>
    <x:row r="281" ht="42" customHeight="1">
      <x:c r="A281" s="6" t="str">
        <x:v>swiss-668</x:v>
      </x:c>
      <x:c r="B281" s="6" t="str">
        <x:v>Residential building 668</x:v>
      </x:c>
      <x:c r="C281" s="6" t="str">
        <x:v>train</x:v>
      </x:c>
      <x:c r="D281" s="6" t="str">
        <x:v>swiss_dwellings</x:v>
      </x:c>
      <x:c r="E281" s="6" t="str">
        <x:v>CC-BY-4.0</x:v>
      </x:c>
      <x:c r="F281" s="18" t="n">
        <x:v>5</x:v>
      </x:c>
      <x:c r="G281" s="6" t="str">
        <x:v>0, 1, 2, 3, 4</x:v>
      </x:c>
      <x:c r="H281" s="18" t="n">
        <x:v>119</x:v>
      </x:c>
      <x:c r="I281" s="18" t="n">
        <x:v>85</x:v>
      </x:c>
      <x:c r="J281" s="18" t="n">
        <x:v>349</x:v>
      </x:c>
      <x:c r="K281" s="18" t="n">
        <x:v>4</x:v>
      </x:c>
      <x:c r="L281" s="18" t="n">
        <x:v>8</x:v>
      </x:c>
      <x:c r="M281" s="18" t="n">
        <x:v>12</x:v>
      </x:c>
      <x:c r="N281" s="18" t="n">
        <x:v>12</x:v>
      </x:c>
      <x:c r="O281" s="18" t="n">
        <x:v>0</x:v>
      </x:c>
      <x:c r="P281" s="18" t="n">
        <x:v>10</x:v>
      </x:c>
      <x:c r="Q281" s="6" t="str">
        <x:v>count, errand, floor_area_total, largest_room, locate, route, route_step_free, route_with_closure, shared_walls_count, tour</x:v>
      </x:c>
      <x:c r="R281" s="21" t="b">
        <x:v>0</x:v>
      </x:c>
      <x:c r="S281" s="21" t="b">
        <x:v>1</x:v>
      </x:c>
      <x:c r="T281" s="6" t="str">
        <x:v>Swiss Dwellings, Archilyse AG / Standfest et al., https://zenodo.org/records/7070952 (CC BY 4.0)</x:v>
      </x:c>
      <x:c r="U281" s="6" t="str">
        <x:v>data/train/swiss-668/building.json</x:v>
      </x:c>
      <x:c r="V281" s="6" t="str">
        <x:v>https://github.com/hagenhaeussler/Industrial-Agents-Hackathon-2026/blob/f41616590b69f3ea0c1cbfb41d6c35edd9ce53df/data/train/swiss-668/building.json</x:v>
      </x:c>
    </x:row>
    <x:row r="282" ht="42" customHeight="1">
      <x:c r="A282" s="6" t="str">
        <x:v>swiss-685</x:v>
      </x:c>
      <x:c r="B282" s="6" t="str">
        <x:v>Residential building 685</x:v>
      </x:c>
      <x:c r="C282" s="6" t="str">
        <x:v>train</x:v>
      </x:c>
      <x:c r="D282" s="6" t="str">
        <x:v>swiss_dwellings</x:v>
      </x:c>
      <x:c r="E282" s="6" t="str">
        <x:v>CC-BY-4.0</x:v>
      </x:c>
      <x:c r="F282" s="18" t="n">
        <x:v>4</x:v>
      </x:c>
      <x:c r="G282" s="6" t="str">
        <x:v>-1, 0, 1, 2</x:v>
      </x:c>
      <x:c r="H282" s="18" t="n">
        <x:v>104</x:v>
      </x:c>
      <x:c r="I282" s="18" t="n">
        <x:v>72</x:v>
      </x:c>
      <x:c r="J282" s="18" t="n">
        <x:v>328</x:v>
      </x:c>
      <x:c r="K282" s="18" t="n">
        <x:v>2</x:v>
      </x:c>
      <x:c r="L282" s="18" t="n">
        <x:v>8</x:v>
      </x:c>
      <x:c r="M282" s="18" t="n">
        <x:v>10</x:v>
      </x:c>
      <x:c r="N282" s="18" t="n">
        <x:v>10</x:v>
      </x:c>
      <x:c r="O282" s="18" t="n">
        <x:v>0</x:v>
      </x:c>
      <x:c r="P282" s="18" t="n">
        <x:v>8</x:v>
      </x:c>
      <x:c r="Q282" s="6" t="str">
        <x:v>count, floor_area_total, locate, route, route_step_free, route_with_closure, shared_walls_count, tour</x:v>
      </x:c>
      <x:c r="R282" s="21" t="b">
        <x:v>0</x:v>
      </x:c>
      <x:c r="S282" s="21" t="b">
        <x:v>1</x:v>
      </x:c>
      <x:c r="T282" s="6" t="str">
        <x:v>Swiss Dwellings, Archilyse AG / Standfest et al., https://zenodo.org/records/7070952 (CC BY 4.0)</x:v>
      </x:c>
      <x:c r="U282" s="6" t="str">
        <x:v>data/train/swiss-685/building.json</x:v>
      </x:c>
      <x:c r="V282" s="6" t="str">
        <x:v>https://github.com/hagenhaeussler/Industrial-Agents-Hackathon-2026/blob/f41616590b69f3ea0c1cbfb41d6c35edd9ce53df/data/train/swiss-685/building.json</x:v>
      </x:c>
    </x:row>
    <x:row r="283" ht="42" customHeight="1">
      <x:c r="A283" s="6" t="str">
        <x:v>swiss-692</x:v>
      </x:c>
      <x:c r="B283" s="6" t="str">
        <x:v>Residential building 692</x:v>
      </x:c>
      <x:c r="C283" s="6" t="str">
        <x:v>train</x:v>
      </x:c>
      <x:c r="D283" s="6" t="str">
        <x:v>swiss_dwellings</x:v>
      </x:c>
      <x:c r="E283" s="6" t="str">
        <x:v>CC-BY-4.0</x:v>
      </x:c>
      <x:c r="F283" s="18" t="n">
        <x:v>5</x:v>
      </x:c>
      <x:c r="G283" s="6" t="str">
        <x:v>0, 1, 2, 3, 4</x:v>
      </x:c>
      <x:c r="H283" s="18" t="n">
        <x:v>362</x:v>
      </x:c>
      <x:c r="I283" s="18" t="n">
        <x:v>239</x:v>
      </x:c>
      <x:c r="J283" s="18" t="n">
        <x:v>1007</x:v>
      </x:c>
      <x:c r="K283" s="18" t="n">
        <x:v>3</x:v>
      </x:c>
      <x:c r="L283" s="18" t="n">
        <x:v>7</x:v>
      </x:c>
      <x:c r="M283" s="18" t="n">
        <x:v>10</x:v>
      </x:c>
      <x:c r="N283" s="18" t="n">
        <x:v>10</x:v>
      </x:c>
      <x:c r="O283" s="18" t="n">
        <x:v>0</x:v>
      </x:c>
      <x:c r="P283" s="18" t="n">
        <x:v>8</x:v>
      </x:c>
      <x:c r="Q283" s="6" t="str">
        <x:v>count, errand, floor_area_total, largest_room, route, route_step_free, route_with_closure, tour</x:v>
      </x:c>
      <x:c r="R283" s="21" t="b">
        <x:v>0</x:v>
      </x:c>
      <x:c r="S283" s="21" t="b">
        <x:v>1</x:v>
      </x:c>
      <x:c r="T283" s="6" t="str">
        <x:v>Swiss Dwellings, Archilyse AG / Standfest et al., https://zenodo.org/records/7070952 (CC BY 4.0)</x:v>
      </x:c>
      <x:c r="U283" s="6" t="str">
        <x:v>data/train/swiss-692/building.json</x:v>
      </x:c>
      <x:c r="V283" s="6" t="str">
        <x:v>https://github.com/hagenhaeussler/Industrial-Agents-Hackathon-2026/blob/f41616590b69f3ea0c1cbfb41d6c35edd9ce53df/data/train/swiss-692/building.json</x:v>
      </x:c>
    </x:row>
    <x:row r="284" ht="42" customHeight="1">
      <x:c r="A284" s="6" t="str">
        <x:v>swiss-920</x:v>
      </x:c>
      <x:c r="B284" s="6" t="str">
        <x:v>Residential building 920</x:v>
      </x:c>
      <x:c r="C284" s="6" t="str">
        <x:v>train</x:v>
      </x:c>
      <x:c r="D284" s="6" t="str">
        <x:v>swiss_dwellings</x:v>
      </x:c>
      <x:c r="E284" s="6" t="str">
        <x:v>CC-BY-4.0</x:v>
      </x:c>
      <x:c r="F284" s="18" t="n">
        <x:v>4</x:v>
      </x:c>
      <x:c r="G284" s="6" t="str">
        <x:v>0, 1, 2, 3</x:v>
      </x:c>
      <x:c r="H284" s="18" t="n">
        <x:v>85</x:v>
      </x:c>
      <x:c r="I284" s="18" t="n">
        <x:v>58</x:v>
      </x:c>
      <x:c r="J284" s="18" t="n">
        <x:v>267</x:v>
      </x:c>
      <x:c r="K284" s="18" t="n">
        <x:v>2</x:v>
      </x:c>
      <x:c r="L284" s="18" t="n">
        <x:v>7</x:v>
      </x:c>
      <x:c r="M284" s="18" t="n">
        <x:v>9</x:v>
      </x:c>
      <x:c r="N284" s="18" t="n">
        <x:v>9</x:v>
      </x:c>
      <x:c r="O284" s="18" t="n">
        <x:v>0</x:v>
      </x:c>
      <x:c r="P284" s="18" t="n">
        <x:v>7</x:v>
      </x:c>
      <x:c r="Q284" s="6" t="str">
        <x:v>count, floor_area_total, route, route_step_free, route_with_closure, shared_walls_count, tour</x:v>
      </x:c>
      <x:c r="R284" s="21" t="b">
        <x:v>1</x:v>
      </x:c>
      <x:c r="S284" s="21" t="b">
        <x:v>1</x:v>
      </x:c>
      <x:c r="T284" s="6" t="str">
        <x:v>Swiss Dwellings, Archilyse AG / Standfest et al., https://zenodo.org/records/7070952 (CC BY 4.0)</x:v>
      </x:c>
      <x:c r="U284" s="6" t="str">
        <x:v>data/train/swiss-920/building.json</x:v>
      </x:c>
      <x:c r="V284" s="6" t="str">
        <x:v>https://github.com/hagenhaeussler/Industrial-Agents-Hackathon-2026/blob/f41616590b69f3ea0c1cbfb41d6c35edd9ce53df/data/train/swiss-920/building.json</x:v>
      </x:c>
    </x:row>
    <x:row r="285" ht="42" customHeight="1">
      <x:c r="A285" s="6" t="str">
        <x:v>swiss-921</x:v>
      </x:c>
      <x:c r="B285" s="6" t="str">
        <x:v>Residential building 921</x:v>
      </x:c>
      <x:c r="C285" s="6" t="str">
        <x:v>train</x:v>
      </x:c>
      <x:c r="D285" s="6" t="str">
        <x:v>swiss_dwellings</x:v>
      </x:c>
      <x:c r="E285" s="6" t="str">
        <x:v>CC-BY-4.0</x:v>
      </x:c>
      <x:c r="F285" s="18" t="n">
        <x:v>7</x:v>
      </x:c>
      <x:c r="G285" s="6" t="str">
        <x:v>0, 1, 2, 3, 4, 5, 6</x:v>
      </x:c>
      <x:c r="H285" s="18" t="n">
        <x:v>275</x:v>
      </x:c>
      <x:c r="I285" s="18" t="n">
        <x:v>191</x:v>
      </x:c>
      <x:c r="J285" s="18" t="n">
        <x:v>762</x:v>
      </x:c>
      <x:c r="K285" s="18" t="n">
        <x:v>3</x:v>
      </x:c>
      <x:c r="L285" s="18" t="n">
        <x:v>7</x:v>
      </x:c>
      <x:c r="M285" s="18" t="n">
        <x:v>10</x:v>
      </x:c>
      <x:c r="N285" s="18" t="n">
        <x:v>10</x:v>
      </x:c>
      <x:c r="O285" s="18" t="n">
        <x:v>0</x:v>
      </x:c>
      <x:c r="P285" s="18" t="n">
        <x:v>8</x:v>
      </x:c>
      <x:c r="Q285" s="6" t="str">
        <x:v>count, errand, floor_area_total, largest_room, route, route_step_free, route_with_closure, tour</x:v>
      </x:c>
      <x:c r="R285" s="21" t="b">
        <x:v>1</x:v>
      </x:c>
      <x:c r="S285" s="21" t="b">
        <x:v>1</x:v>
      </x:c>
      <x:c r="T285" s="6" t="str">
        <x:v>Swiss Dwellings, Archilyse AG / Standfest et al., https://zenodo.org/records/7070952 (CC BY 4.0)</x:v>
      </x:c>
      <x:c r="U285" s="6" t="str">
        <x:v>data/train/swiss-921/building.json</x:v>
      </x:c>
      <x:c r="V285" s="6" t="str">
        <x:v>https://github.com/hagenhaeussler/Industrial-Agents-Hackathon-2026/blob/f41616590b69f3ea0c1cbfb41d6c35edd9ce53df/data/train/swiss-921/building.json</x:v>
      </x:c>
    </x:row>
  </x:sheetData>
  <x:pageMargins left="0.7" right="0.7" top="0.75" bottom="0.75" header="0.3" footer="0.3"/>
  <x:tableParts count="1">
    <x:tablePart xmlns:r="http://schemas.openxmlformats.org/officeDocument/2006/relationships" r:id="Re95f6dcd3fa445a1"/>
  </x:tableParts>
</x:worksheet>
</file>

<file path=xl/worksheets/sheet6.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0" hidden="0" customWidth="1"/>
    <x:col min="2" max="2" width="60" hidden="0" customWidth="1"/>
    <x:col min="3" max="3" width="92" hidden="0" customWidth="1"/>
    <x:col min="4" max="4" width="70" hidden="0" customWidth="1"/>
    <x:col min="5" max="5" width="27" hidden="0" customWidth="1"/>
    <x:col min="6" max="6" width="47" hidden="0" customWidth="1"/>
    <x:col min="7" max="7" width="110" hidden="0" customWidth="1"/>
    <x:col min="8" max="8" width="72" hidden="0" customWidth="1"/>
  </x:cols>
  <x:sheetData>
    <x:row r="1" ht="9" customHeight="1">
      <x:c r="A1" s="2"/>
      <x:c r="B1" s="2"/>
      <x:c r="C1" s="2"/>
      <x:c r="D1" s="2"/>
      <x:c r="E1" s="2"/>
      <x:c r="F1" s="2"/>
      <x:c r="G1" s="2"/>
      <x:c r="H1" s="2"/>
    </x:row>
    <x:row r="2" ht="22" customHeight="1">
      <x:c r="A2" s="3" t="str">
        <x:v>Additional live-agent scenarios</x:v>
      </x:c>
      <x:c r="B2" s="2"/>
      <x:c r="C2" s="2"/>
      <x:c r="D2" s="2"/>
      <x:c r="E2" s="2"/>
      <x:c r="F2" s="2"/>
      <x:c r="G2" s="2"/>
      <x:c r="H2" s="2"/>
    </x:row>
    <x:row r="3" ht="22" customHeight="1">
      <x:c r="A3" s="4"/>
      <x:c r="B3" s="4"/>
      <x:c r="C3" s="4"/>
      <x:c r="D3" s="4"/>
      <x:c r="E3" s="4"/>
      <x:c r="F3" s="4"/>
      <x:c r="G3" s="4"/>
      <x:c r="H3" s="4"/>
    </x:row>
    <x:row r="4" ht="22" customHeight="1">
      <x:c r="A4" s="2"/>
      <x:c r="B4" s="2"/>
      <x:c r="C4" s="2"/>
      <x:c r="D4" s="2"/>
      <x:c r="E4" s="2"/>
      <x:c r="F4" s="2"/>
      <x:c r="G4" s="2"/>
      <x:c r="H4" s="2"/>
    </x:row>
    <x:row r="5" ht="34" customHeight="1">
      <x:c r="A5" s="11" t="str">
        <x:v>Scenario</x:v>
      </x:c>
      <x:c r="B5" s="12" t="str">
        <x:v>Corpus relationship</x:v>
      </x:c>
      <x:c r="C5" s="12" t="str">
        <x:v>User request / rule</x:v>
      </x:c>
      <x:c r="D5" s="12" t="str">
        <x:v>Expected result</x:v>
      </x:c>
      <x:c r="E5" s="12" t="str">
        <x:v>Proposed tool IDs</x:v>
      </x:c>
      <x:c r="F5" s="12" t="str">
        <x:v>Evidence status</x:v>
      </x:c>
      <x:c r="G5" s="12" t="str">
        <x:v>Implementation issue / uncertainty</x:v>
      </x:c>
      <x:c r="H5" s="13" t="str">
        <x:v>Source file</x:v>
      </x:c>
    </x:row>
    <x:row r="6" ht="42" customHeight="1">
      <x:c r="A6" s="6" t="str">
        <x:v>Forklift routing</x:v>
      </x:c>
      <x:c r="B6" s="6" t="str">
        <x:v>No dedicated JSONL kind</x:v>
      </x:c>
      <x:c r="C6" s="6" t="str">
        <x:v>Route through forklift aisles/openings at least 3 m wide. Avoid pedestrian walkways.</x:v>
      </x:c>
      <x:c r="D6" s="6" t="str">
        <x:v>Ordered valid space path or no route.</x:v>
      </x:c>
      <x:c r="E6" s="6" t="str">
        <x:v>T02, T05, T13</x:v>
      </x:c>
      <x:c r="F6" s="6" t="str">
        <x:v>Later route announcement</x:v>
      </x:c>
      <x:c r="G6" s="6" t="str">
        <x:v>Opening width alone does not establish aisle eligibility. The precise dataset tagging needs confirmation.</x:v>
      </x:c>
      <x:c r="H6" s="6" t="str">
        <x:v>2026-10-24-route-scoring-specifications.md</x:v>
      </x:c>
    </x:row>
    <x:row r="7" ht="42" customHeight="1">
      <x:c r="A7" s="6" t="str">
        <x:v>Production bay transit</x:v>
      </x:c>
      <x:c r="B7" s="6" t="str">
        <x:v>No dedicated JSONL kind</x:v>
      </x:c>
      <x:c r="C7" s="6" t="str">
        <x:v>Allow a production bay as start/destination, but never use it as a shortcut.</x:v>
      </x:c>
      <x:c r="D7" s="6" t="str">
        <x:v>Valid route respecting destination-only bays.</x:v>
      </x:c>
      <x:c r="E7" s="6" t="str">
        <x:v>T05</x:v>
      </x:c>
      <x:c r="F7" s="6" t="str">
        <x:v>Later route announcement</x:v>
      </x:c>
      <x:c r="G7" s="6" t="str">
        <x:v>Do not delete every production bay from the graph, because deliveries must still reach it.</x:v>
      </x:c>
      <x:c r="H7" s="6" t="str">
        <x:v>2026-10-24-route-scoring-specifications.md</x:v>
      </x:c>
    </x:row>
    <x:row r="8" ht="42" customHeight="1">
      <x:c r="A8" s="6" t="str">
        <x:v>Closure and reopening in conversation</x:v>
      </x:c>
      <x:c r="B8" s="6" t="str">
        <x:v>route_with_closure provides a single-closure warm-up</x:v>
      </x:c>
      <x:c r="C8" s="6" t="str">
        <x:v>Keep confirmed changes in building state and reroute later requests.</x:v>
      </x:c>
      <x:c r="D8" s="6" t="str">
        <x:v>Preview/confirmation, updated version and valid route.</x:v>
      </x:c>
      <x:c r="E8" s="6" t="str">
        <x:v>T05, T12, T13</x:v>
      </x:c>
      <x:c r="F8" s="6" t="str">
        <x:v>Team plan, with starter closure primitive</x:v>
      </x:c>
      <x:c r="G8" s="6" t="str">
        <x:v>Stateful conversation differs from independent benchmark questions, which need reset state.</x:v>
      </x:c>
      <x:c r="H8" s="6" t="str">
        <x:v>PLAN.md</x:v>
      </x:c>
    </x:row>
    <x:row r="9" ht="42" customHeight="1">
      <x:c r="A9" s="6" t="str">
        <x:v>Permanent door edit versus what-if</x:v>
      </x:c>
      <x:c r="B9" s="6" t="str">
        <x:v>what_if_door covers hypothetical impact</x:v>
      </x:c>
      <x:c r="C9" s="6" t="str">
        <x:v>Simulate freely. Preview and confirm a persistent door edit, then support undo.</x:v>
      </x:c>
      <x:c r="D9" s="6" t="str">
        <x:v>Impact result for simulation. Versioned event for commit.</x:v>
      </x:c>
      <x:c r="E9" s="6" t="str">
        <x:v>T11, T12, T13</x:v>
      </x:c>
      <x:c r="F9" s="6" t="str">
        <x:v>Team plan; benchmark what-if definition</x:v>
      </x:c>
      <x:c r="G9" s="6" t="str">
        <x:v>A proposed tool contract is not evidence of an implemented backend.</x:v>
      </x:c>
      <x:c r="H9" s="6" t="str">
        <x:v>PLAN.md</x:v>
      </x:c>
    </x:row>
    <x:row r="10" ht="42" customHeight="1">
      <x:c r="A10" s="6" t="str">
        <x:v>Ambiguous item or missing start</x:v>
      </x:c>
      <x:c r="B10" s="6" t="str">
        <x:v>No dedicated JSONL kind</x:v>
      </x:c>
      <x:c r="C10" s="6" t="str">
        <x:v>Resolve duplicates and ask for a missing required parameter.</x:v>
      </x:c>
      <x:c r="D10" s="6" t="str">
        <x:v>One targeted clarification, then tool-backed answer.</x:v>
      </x:c>
      <x:c r="E10" s="6" t="str">
        <x:v>T02, T03, T05</x:v>
      </x:c>
      <x:c r="F10" s="6" t="str">
        <x:v>README interaction guidance and team plan</x:v>
      </x:c>
      <x:c r="G10" s="6" t="str">
        <x:v>Do not assume a user start location or silently choose among duplicate WC/printer names.</x:v>
      </x:c>
      <x:c r="H10" s="6" t="str">
        <x:v>README.md</x:v>
      </x:c>
    </x:row>
    <x:row r="11" ht="42" customHeight="1">
      <x:c r="A11" s="6" t="str">
        <x:v>New building in supplied JSON schema</x:v>
      </x:c>
      <x:c r="B11" s="6" t="str">
        <x:v>All kinds depend on this</x:v>
      </x:c>
      <x:c r="C11" s="6" t="str">
        <x:v>Load, validate and index unknown building IDs, layouts, equipment and floor levels.</x:v>
      </x:c>
      <x:c r="D11" s="6" t="str">
        <x:v>Usable model and diagnostics, then the same query tools.</x:v>
      </x:c>
      <x:c r="E11" s="6" t="str">
        <x:v>T01, T15</x:v>
      </x:c>
      <x:c r="F11" s="6" t="str">
        <x:v>README Sunday benchmark</x:v>
      </x:c>
      <x:c r="G11" s="6" t="str">
        <x:v>At inference time the benchmark adapter receives building directory and question text. Train/dev inputs are analysis labels.</x:v>
      </x:c>
      <x:c r="H11" s="6" t="str">
        <x:v>benchmark/evaluate.py</x:v>
      </x:c>
    </x:row>
    <x:row r="12" ht="42" customHeight="1">
      <x:c r="A12" s="6" t="str">
        <x:v>Import from a raw plan image</x:v>
      </x:c>
      <x:c r="B12" s="6" t="str">
        <x:v>No dedicated JSONL kind</x:v>
      </x:c>
      <x:c r="C12" s="6" t="str">
        <x:v>Extract geometry with vision, validate scale/topology and preview before saving.</x:v>
      </x:c>
      <x:c r="D12" s="6" t="str">
        <x:v>Validated proposed model plus uncertainty requiring review.</x:v>
      </x:c>
      <x:c r="E12" s="6" t="str">
        <x:v>T15, T12, T13</x:v>
      </x:c>
      <x:c r="F12" s="6" t="str">
        <x:v>README Build level; team plan treats as optional</x:v>
      </x:c>
      <x:c r="G12" s="6" t="str">
        <x:v>Supplied building.json already contains polygons. The lead transcript says otherwise and is explicitly unresolved in the saved Q&amp;A.</x:v>
      </x:c>
      <x:c r="H12" s="6" t="str">
        <x:v>2026-10-24-challenge-lead-qa.md</x:v>
      </x:c>
    </x:row>
    <x:row r="13" ht="42" customHeight="1">
      <x:c r="A13" s="6" t="str">
        <x:v>Voice and visual route explanation</x:v>
      </x:c>
      <x:c r="B13" s="6" t="str">
        <x:v>No dedicated JSONL kind</x:v>
      </x:c>
      <x:c r="C13" s="6" t="str">
        <x:v>Reuse deterministic query tools. Speak short directions and highlight the same route.</x:v>
      </x:c>
      <x:c r="D13" s="6" t="str">
        <x:v>Directions grounded in returned paths, with interruption and follow-up support.</x:v>
      </x:c>
      <x:c r="E13" s="6" t="str">
        <x:v>T02, T05, T13</x:v>
      </x:c>
      <x:c r="F13" s="6" t="str">
        <x:v>Team plan and README interaction rubric</x:v>
      </x:c>
      <x:c r="G13" s="6" t="str">
        <x:v>Do not expose long raw paths in speech. Rendering and voice do not replace geometry or graph computation.</x:v>
      </x:c>
      <x:c r="H13" s="6" t="str">
        <x:v>PLAN.md</x:v>
      </x:c>
    </x:row>
  </x:sheetData>
  <x:pageMargins left="0.7" right="0.7" top="0.75" bottom="0.75" header="0.3" footer="0.3"/>
  <x:tableParts count="1">
    <x:tablePart xmlns:r="http://schemas.openxmlformats.org/officeDocument/2006/relationships" r:id="R0d4a7399e7274d98"/>
  </x:tableParts>
</x:worksheet>
</file>

<file path=xl/worksheets/sheet7.xml><?xml version="1.0" encoding="utf-8"?>
<x:worksheet xmlns:x="http://schemas.openxmlformats.org/spreadsheetml/2006/main">
  <x:sheetViews>
    <x:sheetView showGridLines="0" workbookViewId="0">
      <x:pane xSplit="1" ySplit="5" topLeftCell="B6" activePane="bottomRight" state="frozen"/>
    </x:sheetView>
  </x:sheetViews>
  <x:sheetFormatPr defaultRowHeight="15"/>
  <x:cols>
    <x:col min="1" max="1" width="31" hidden="0" customWidth="1"/>
    <x:col min="2" max="2" width="44" hidden="0" customWidth="1"/>
    <x:col min="3" max="3" width="118" hidden="0" customWidth="1"/>
    <x:col min="4" max="4" width="112" hidden="0" customWidth="1"/>
    <x:col min="5" max="5" width="75" hidden="0" customWidth="1"/>
    <x:col min="6" max="6" width="95" hidden="0" customWidth="1"/>
  </x:cols>
  <x:sheetData>
    <x:row r="1" ht="9" customHeight="1">
      <x:c r="A1" s="2"/>
      <x:c r="B1" s="2"/>
      <x:c r="C1" s="2"/>
      <x:c r="D1" s="2"/>
      <x:c r="E1" s="2"/>
      <x:c r="F1" s="2"/>
    </x:row>
    <x:row r="2" ht="22" customHeight="1">
      <x:c r="A2" s="3" t="str">
        <x:v>Scoring profiles, method and provenance</x:v>
      </x:c>
      <x:c r="B2" s="2"/>
      <x:c r="C2" s="2"/>
      <x:c r="D2" s="2"/>
      <x:c r="E2" s="2"/>
      <x:c r="F2" s="2"/>
    </x:row>
    <x:row r="3" ht="22" customHeight="1">
      <x:c r="A3" s="4"/>
      <x:c r="B3" s="4"/>
      <x:c r="C3" s="4"/>
      <x:c r="D3" s="4"/>
      <x:c r="E3" s="4"/>
      <x:c r="F3" s="4"/>
    </x:row>
    <x:row r="4" ht="22" customHeight="1">
      <x:c r="A4" s="2"/>
      <x:c r="B4" s="2"/>
      <x:c r="C4" s="2"/>
      <x:c r="D4" s="2"/>
      <x:c r="E4" s="2"/>
      <x:c r="F4" s="2"/>
    </x:row>
    <x:row r="5" ht="34" customHeight="1">
      <x:c r="A5" s="11" t="str">
        <x:v>Topic</x:v>
      </x:c>
      <x:c r="B5" s="12" t="str">
        <x:v>Evidence status</x:v>
      </x:c>
      <x:c r="C5" s="12" t="str">
        <x:v>Definition / observation</x:v>
      </x:c>
      <x:c r="D5" s="12" t="str">
        <x:v>Consequence for the agent</x:v>
      </x:c>
      <x:c r="E5" s="12" t="str">
        <x:v>Source file</x:v>
      </x:c>
      <x:c r="F5" s="13" t="str">
        <x:v>Snapshot URL</x:v>
      </x:c>
    </x:row>
    <x:row r="6" ht="42" customHeight="1">
      <x:c r="A6" s="6" t="str">
        <x:v>Snapshot</x:v>
      </x:c>
      <x:c r="B6" s="6" t="str">
        <x:v>Observed</x:v>
      </x:c>
      <x:c r="C6" s="6" t="str">
        <x:v>Repository snapshot f41616590b69f3ea0c1cbfb41d6c35edd9ce53df. Read all 520 data/*/*/questions*.jsonl files. Scope includes train, dev, test and warm-ups.</x:v>
      </x:c>
      <x:c r="D6" s="6" t="str">
        <x:v>Workbook No. is unique across the corpus. Question ID remains the stable source key.</x:v>
      </x:c>
      <x:c r="E6" s="6" t="str">
        <x:v>data/</x:v>
      </x:c>
      <x:c r="F6" s="6" t="str">
        <x:v>https://github.com/hagenhaeussler/Industrial-Agents-Hackathon-2026/blob/f41616590b69f3ea0c1cbfb41d6c35edd9ce53df/data</x:v>
      </x:c>
    </x:row>
    <x:row r="7" ht="42" customHeight="1">
      <x:c r="A7" s="6" t="str">
        <x:v>Question corpus hash</x:v>
      </x:c>
      <x:c r="B7" s="6" t="str">
        <x:v>Observed</x:v>
      </x:c>
      <x:c r="C7" s="6" t="str">
        <x:v>SHA-256 over sorted processing order path + NUL + file bytes + NUL: 943637d9218ae347c3d54cd2241346cdf390bca8631105143ecd6e24926cfb13</x:v>
      </x:c>
      <x:c r="D7" s="6" t="str">
        <x:v>Refresh by re-reading the source, not by appending copied answers.</x:v>
      </x:c>
      <x:c r="E7" s="6" t="str">
        <x:v>data/</x:v>
      </x:c>
      <x:c r="F7" s="6" t="str">
        <x:v>https://github.com/hagenhaeussler/Industrial-Agents-Hackathon-2026/blob/f41616590b69f3ea0c1cbfb41d6c35edd9ce53df/data</x:v>
      </x:c>
    </x:row>
    <x:row r="8" ht="42" customHeight="1">
      <x:c r="A8" s="6" t="str">
        <x:v>Reference answers</x:v>
      </x:c>
      <x:c r="B8" s="6" t="str">
        <x:v>Observed</x:v>
      </x:c>
      <x:c r="C8" s="6" t="str">
        <x:v>Train and dev provide answers. Public test supplies no answers, inputs or skill labels.</x:v>
      </x:c>
      <x:c r="D8" s="6" t="str">
        <x:v>Withheld remains missing. No test answers have been computed or hand-labelled in this overview.</x:v>
      </x:c>
      <x:c r="E8" s="6" t="str">
        <x:v>README.md</x:v>
      </x:c>
      <x:c r="F8" s="6" t="str">
        <x:v>https://github.com/hagenhaeussler/Industrial-Agents-Hackathon-2026/blob/f41616590b69f3ea0c1cbfb41d6c35edd9ce53df/README.md</x:v>
      </x:c>
    </x:row>
    <x:row r="9" ht="42" customHeight="1">
      <x:c r="A9" s="6" t="str">
        <x:v>Taxonomy</x:v>
      </x:c>
      <x:c r="B9" s="6" t="str">
        <x:v>Authored analysis</x:v>
      </x:c>
      <x:c r="C9" s="6" t="str">
        <x:v>Six conceptual clusters group all 15 exact source kinds. Source kind, text, answers and inputs are preserved.</x:v>
      </x:c>
      <x:c r="D9" s="6" t="str">
        <x:v>Clusters and proposed tools are analysis. They are not new official benchmark labels.</x:v>
      </x:c>
      <x:c r="E9" s="6" t="str">
        <x:v>data/*/*/questions*.jsonl</x:v>
      </x:c>
      <x:c r="F9" s="6" t="str">
        <x:v>https://github.com/hagenhaeussler/Industrial-Agents-Hackathon-2026/blob/f41616590b69f3ea0c1cbfb41d6c35edd9ce53df/data</x:v>
      </x:c>
    </x:row>
    <x:row r="10" ht="42" customHeight="1">
      <x:c r="A10" s="6" t="str">
        <x:v>Inference boundary</x:v>
      </x:c>
      <x:c r="B10" s="6" t="str">
        <x:v>Observed in evaluator</x:v>
      </x:c>
      <x:c r="C10" s="6" t="str">
        <x:v>Production adapter signature is answer(building_directory: Path, question_text: str) -&gt; str.</x:v>
      </x:c>
      <x:c r="D10" s="6" t="str">
        <x:v>Use question text to infer intent and parameters. Never expose train/dev inputs or reference answers to the live agent.</x:v>
      </x:c>
      <x:c r="E10" s="6" t="str">
        <x:v>benchmark/evaluate.py</x:v>
      </x:c>
      <x:c r="F10" s="6" t="str">
        <x:v>https://github.com/hagenhaeussler/Industrial-Agents-Hackathon-2026/blob/f41616590b69f3ea0c1cbfb41d6c35edd9ce53df/benchmark/evaluate.py</x:v>
      </x:c>
    </x:row>
    <x:row r="11" ht="42" customHeight="1">
      <x:c r="A11" s="6" t="str">
        <x:v>Benchmark committed answer</x:v>
      </x:c>
      <x:c r="B11" s="6" t="str">
        <x:v>Observed in scorer</x:v>
      </x:c>
      <x:c r="C11" s="6" t="str">
        <x:v>Only the last matching Answer: line is scored. Missing line is wrong. Numeric answers require exactly one numeric token.</x:v>
      </x:c>
      <x:c r="D11" s="6" t="str">
        <x:v>Keep explanations and intermediate numbers above the answer line. Number output should omit m² because the 2 is parsed as a second number.</x:v>
      </x:c>
      <x:c r="E11" s="6" t="str">
        <x:v>benchmark/score.py</x:v>
      </x:c>
      <x:c r="F11" s="6" t="str">
        <x:v>https://github.com/hagenhaeussler/Industrial-Agents-Hackathon-2026/blob/f41616590b69f3ea0c1cbfb41d6c35edd9ce53df/benchmark/score.py</x:v>
      </x:c>
    </x:row>
    <x:row r="12" ht="42" customHeight="1">
      <x:c r="A12" s="6" t="str">
        <x:v>Room label matching</x:v>
      </x:c>
      <x:c r="B12" s="6" t="str">
        <x:v>Observed in scorer</x:v>
      </x:c>
      <x:c r="C12" s="6" t="str">
        <x:v>Space answers match accept labels, not arbitrary IDs, before reject labels. largest_room also checks some numeric token against area tolerance.</x:v>
      </x:c>
      <x:c r="D12" s="6" t="str">
        <x:v>Use the accepted room ref/name. A raw space_id alone is not guaranteed to score.</x:v>
      </x:c>
      <x:c r="E12" s="6" t="str">
        <x:v>benchmark/score.py</x:v>
      </x:c>
      <x:c r="F12" s="6" t="str">
        <x:v>https://github.com/hagenhaeussler/Industrial-Agents-Hackathon-2026/blob/f41616590b69f3ea0c1cbfb41d6c35edd9ce53df/benchmark/score.py</x:v>
      </x:c>
    </x:row>
    <x:row r="13" ht="42" customHeight="1">
      <x:c r="A13" s="6" t="str">
        <x:v>Numerical tolerance</x:v>
      </x:c>
      <x:c r="B13" s="6" t="str">
        <x:v>Observed in scorer</x:v>
      </x:c>
      <x:c r="C13" s="6" t="str">
        <x:v>Allowed absolute difference = max(abs(reference) × relative_tolerance, absolute_tolerance).</x:v>
      </x:c>
      <x:c r="D13" s="6" t="str">
        <x:v>Read the source answer tolerance in train/dev. Counts are exact. Areas 5%, 3D 2%, errands max(1%, 1 m) in supplied corpus.</x:v>
      </x:c>
      <x:c r="E13" s="6" t="str">
        <x:v>benchmark/score.py</x:v>
      </x:c>
      <x:c r="F13" s="6" t="str">
        <x:v>https://github.com/hagenhaeussler/Industrial-Agents-Hackathon-2026/blob/f41616590b69f3ea0c1cbfb41d6c35edd9ce53df/benchmark/score.py</x:v>
      </x:c>
    </x:row>
    <x:row r="14" ht="42" customHeight="1">
      <x:c r="A14" s="6" t="str">
        <x:v>Warm-up evaluator</x:v>
      </x:c>
      <x:c r="B14" s="6" t="str">
        <x:v>Observed in evaluator</x:v>
      </x:c>
      <x:c r="C14" s="6" t="str">
        <x:v>locate checks located_asset_ids. count checks numeric tokens in reply. Routing checks last_route length; unreachable accepts no route or length 0.</x:v>
      </x:c>
      <x:c r="D14" s="6" t="str">
        <x:v>Warm-up success is not an independent proof of path validity, closure handling or visit order. Benchmark scoring is a different contract.</x:v>
      </x:c>
      <x:c r="E14" s="6" t="str">
        <x:v>starter_agent/evaluate.py</x:v>
      </x:c>
      <x:c r="F14" s="6" t="str">
        <x:v>https://github.com/hagenhaeussler/Industrial-Agents-Hackathon-2026/blob/f41616590b69f3ea0c1cbfb41d6c35edd9ce53df/starter_agent/evaluate.py</x:v>
      </x:c>
    </x:row>
    <x:row r="15" ht="42" customHeight="1">
      <x:c r="A15" s="6" t="str">
        <x:v>Kit route profile</x:v>
      </x:c>
      <x:c r="B15" s="6" t="str">
        <x:v>Observed in implementation</x:v>
      </x:c>
      <x:c r="C15" s="6" t="str">
        <x:v>Space nodes use Polygon.representative_point(). Opening nodes use position. Keep parallel edges. Stairs cost 12 m per level. Lift cost 15 + 6 m per level span between consecutive stops.</x:v>
      </x:c>
      <x:c r="D15" s="6" t="str">
        <x:v>Reuse this profile for the supplied reference distances. The current code charges the lift term on each consecutive-stop graph edge.</x:v>
      </x:c>
      <x:c r="E15" s="6" t="str">
        <x:v>starter_agent/building_map.py</x:v>
      </x:c>
      <x:c r="F15" s="6" t="str">
        <x:v>https://github.com/hagenhaeussler/Industrial-Agents-Hackathon-2026/blob/f41616590b69f3ea0c1cbfb41d6c35edd9ce53df/starter_agent/building_map.py</x:v>
      </x:c>
    </x:row>
    <x:row r="16" ht="42" customHeight="1">
      <x:c r="A16" s="6" t="str">
        <x:v>Outside in kit graph</x:v>
      </x:c>
      <x:c r="B16" s="6" t="str">
        <x:v>Observed in implementation</x:v>
      </x:c>
      <x:c r="C16" s="6" t="str">
        <x:v>All entrances connect to one outside node at zero transition cost.</x:v>
      </x:c>
      <x:c r="D16" s="6" t="str">
        <x:v>Do not silently replace this when reproducing kit labels. A physical live router should choose its explicit announced profile.</x:v>
      </x:c>
      <x:c r="E16" s="6" t="str">
        <x:v>starter_agent/building_map.py</x:v>
      </x:c>
      <x:c r="F16" s="6" t="str">
        <x:v>https://github.com/hagenhaeussler/Industrial-Agents-Hackathon-2026/blob/f41616590b69f3ea0c1cbfb41d6c35edd9ce53df/starter_agent/building_map.py</x:v>
      </x:c>
    </x:row>
    <x:row r="17" ht="42" customHeight="1">
      <x:c r="A17" s="6" t="str">
        <x:v>Later route scoring</x:v>
      </x:c>
      <x:c r="B17" s="6" t="str">
        <x:v>Saved announcement, external origin not independently verified</x:v>
      </x:c>
      <x:c r="C17" s="6" t="str">
        <x:v>Routes measured door-to-door within room outlines, about 0.15 m off walls. Stairs 2 m per metre climbed. Lift 15 m plus 1 m per metre climbed. Ordered spaces graded by best length / route length; within 1% full marks.</x:v>
      </x:c>
      <x:c r="D17" s="6" t="str">
        <x:v>Separate cost/serialization profile. The saved announcement does not resolve start/end anchor details or every Sunday submission format detail.</x:v>
      </x:c>
      <x:c r="E17" s="6" t="str">
        <x:v>2026-10-24-route-scoring-specifications.md</x:v>
      </x:c>
      <x:c r="F17" s="6" t="str">
        <x:v>https://github.com/hagenhaeussler/Industrial-Agents-Hackathon-2026/blob/f41616590b69f3ea0c1cbfb41d6c35edd9ce53df/2026-10-24-route-scoring-specifications.md</x:v>
      </x:c>
    </x:row>
    <x:row r="18" ht="42" customHeight="1">
      <x:c r="A18" s="6" t="str">
        <x:v>Later route constraints</x:v>
      </x:c>
      <x:c r="B18" s="6" t="str">
        <x:v>Saved announcement</x:v>
      </x:c>
      <x:c r="C18" s="6" t="str">
        <x:v>Forklifts use eligible aisles/openings &gt;=3 m. Production bays are destinations, not transit. Furniture/equipment are not obstacles. Asset routes end in the containing room/bay.</x:v>
      </x:c>
      <x:c r="D18" s="6" t="str">
        <x:v>Add vehicle and transit rules beyond min_door_width. Do not infer forklift eligibility from width alone without a tagging contract.</x:v>
      </x:c>
      <x:c r="E18" s="6" t="str">
        <x:v>2026-10-24-route-scoring-specifications.md</x:v>
      </x:c>
      <x:c r="F18" s="6" t="str">
        <x:v>https://github.com/hagenhaeussler/Industrial-Agents-Hackathon-2026/blob/f41616590b69f3ea0c1cbfb41d6c35edd9ce53df/2026-10-24-route-scoring-specifications.md</x:v>
      </x:c>
    </x:row>
    <x:row r="19" ht="42" customHeight="1">
      <x:c r="A19" s="6" t="str">
        <x:v>Spatial definitions</x:v>
      </x:c>
      <x:c r="B19" s="6" t="str">
        <x:v>Observed in README</x:v>
      </x:c>
      <x:c r="C19" s="6" t="str">
        <x:v>Stacking: greatest overlap on next floor above/below. Shared wall: &gt;=1 m outline run within 0.35 m. 3D centre: polygon centroid at elevation_m.</x:v>
      </x:c>
      <x:c r="D19" s="6" t="str">
        <x:v>Geometry methods must use these definitions. Door adjacency is a different relation.</x:v>
      </x:c>
      <x:c r="E19" s="6" t="str">
        <x:v>README.md</x:v>
      </x:c>
      <x:c r="F19" s="6" t="str">
        <x:v>https://github.com/hagenhaeussler/Industrial-Agents-Hackathon-2026/blob/f41616590b69f3ea0c1cbfb41d6c35edd9ce53df/README.md</x:v>
      </x:c>
    </x:row>
    <x:row r="20" ht="42" customHeight="1">
      <x:c r="A20" s="6" t="str">
        <x:v>Door what-if semantics</x:v>
      </x:c>
      <x:c r="B20" s="6" t="str">
        <x:v>Observed in README and starter</x:v>
      </x:c>
      <x:c r="C20" s="6" t="str">
        <x:v>Benchmark door is at shared-wall midpoint. Starter add_door uses nearest_points between polygons and writes the edit into state.</x:v>
      </x:c>
      <x:c r="D20" s="6" t="str">
        <x:v>Implement a temporary midpoint-based simulation. Starter add_door is not a complete answer tool for what_if_door.</x:v>
      </x:c>
      <x:c r="E20" s="6" t="str">
        <x:v>README.md; starter_agent/building_map.py</x:v>
      </x:c>
      <x:c r="F20" s="6" t="str">
        <x:v>https://github.com/hagenhaeussler/Industrial-Agents-Hackathon-2026/blob/f41616590b69f3ea0c1cbfb41d6c35edd9ce53df/starter_agent/building_map.py</x:v>
      </x:c>
    </x:row>
    <x:row r="21" ht="42" customHeight="1">
      <x:c r="A21" s="6" t="str">
        <x:v>Coordinate units and alignment</x:v>
      </x:c>
      <x:c r="B21" s="6" t="str">
        <x:v>Observed in README</x:v>
      </x:c>
      <x:c r="C21" s="6" t="str">
        <x:v>Coordinates are local metres. Level 0 is ground, negative levels are basements. Some Swiss floors are centered separately.</x:v>
      </x:c>
      <x:c r="D21" s="6" t="str">
        <x:v>Use elevation_m for 3D distances. Check shared XY alignment before comparing floor polygons.</x:v>
      </x:c>
      <x:c r="E21" s="6" t="str">
        <x:v>README.md</x:v>
      </x:c>
      <x:c r="F21" s="6" t="str">
        <x:v>https://github.com/hagenhaeussler/Industrial-Agents-Hackathon-2026/blob/f41616590b69f3ea0c1cbfb41d6c35edd9ce53df/README.md</x:v>
      </x:c>
    </x:row>
    <x:row r="22" ht="42" customHeight="1">
      <x:c r="A22" s="6" t="str">
        <x:v>Implementation status</x:v>
      </x:c>
      <x:c r="B22" s="6" t="str">
        <x:v>Observed at snapshot</x:v>
      </x:c>
      <x:c r="C22" s="6" t="str">
        <x:v>Starter has overview, search, find_route, set_closed, add_door and show_route. Root agent.py is empty. PLAN.md proposes further tools, frontend and infrastructure.</x:v>
      </x:c>
      <x:c r="D22" s="6" t="str">
        <x:v>Proposed toolkit and live scenarios are requirements, not claims that those capabilities are already implemented.</x:v>
      </x:c>
      <x:c r="E22" s="6" t="str">
        <x:v>starter_agent/tools.py; PLAN.md</x:v>
      </x:c>
      <x:c r="F22" s="6" t="str">
        <x:v>https://github.com/hagenhaeussler/Industrial-Agents-Hackathon-2026/blob/f41616590b69f3ea0c1cbfb41d6c35edd9ce53df/starter_agent/tools.py</x:v>
      </x:c>
    </x:row>
    <x:row r="23" ht="42" customHeight="1">
      <x:c r="A23" s="6" t="str">
        <x:v>Generalization</x:v>
      </x:c>
      <x:c r="B23" s="6" t="str">
        <x:v>Source requirement and proposed workflow</x:v>
      </x:c>
      <x:c r="C23" s="6" t="str">
        <x:v>Load unseen building data. Resolve IDs from text. Run deterministic geometry/graph tools. Format for the selected evaluation profile.</x:v>
      </x:c>
      <x:c r="D23" s="6" t="str">
        <x:v>Validate core on train/dev answers, then evaluate from question text end to end. Preserve whole-building splits using manifest group_id.</x:v>
      </x:c>
      <x:c r="E23" s="6" t="str">
        <x:v>README.md; benchmark/evaluate.py</x:v>
      </x:c>
      <x:c r="F23" s="6" t="str">
        <x:v>https://github.com/hagenhaeussler/Industrial-Agents-Hackathon-2026/blob/f41616590b69f3ea0c1cbfb41d6c35edd9ce53df/README.md</x:v>
      </x:c>
    </x:row>
    <x:row r="24" ht="42" customHeight="1">
      <x:c r="A24" s="6" t="str">
        <x:v>Sampling and frequency</x:v>
      </x:c>
      <x:c r="B24" s="6" t="str">
        <x:v>Authored analysis</x:v>
      </x:c>
      <x:c r="C24" s="6" t="str">
        <x:v>Counts describe supplied examples, not the distribution of the future Sunday building. The rare step_free_reachable_count kind has only two examples.</x:v>
      </x:c>
      <x:c r="D24" s="6" t="str">
        <x:v>Cover concepts and constraints even when a kind is absent from public test. Do not choose tool coverage by frequency alone.</x:v>
      </x:c>
      <x:c r="E24" s="6" t="str">
        <x:v>data/*/*/questions*.jsonl</x:v>
      </x:c>
      <x:c r="F24" s="6" t="str">
        <x:v>https://github.com/hagenhaeussler/Industrial-Agents-Hackathon-2026/blob/f41616590b69f3ea0c1cbfb41d6c35edd9ce53df/data</x:v>
      </x:c>
    </x:row>
    <x:row r="25" ht="42" customHeight="1">
      <x:c r="A25" s="6" t="str">
        <x:v>Machine-readable companion</x:v>
      </x:c>
      <x:c r="B25" s="6" t="str">
        <x:v>Authored export</x:v>
      </x:c>
      <x:c r="C25" s="6" t="str">
        <x:v>questions-clustered.jsonl contains every original record plus typed cluster, expected output, source, tools and answer availability fields.</x:v>
      </x:c>
      <x:c r="D25" s="6" t="str">
        <x:v>Use question_id or no to join with Questions. Proposed tool contracts are described in Agent tools.</x:v>
      </x:c>
      <x:c r="E25" s="6" t="str">
        <x:v>docs/question-overview/questions-clustered.jsonl</x:v>
      </x:c>
      <x:c r="F25" s="6" t="str"/>
    </x:row>
    <x:row r="26" ht="42" customHeight="1">
      <x:c r="A26" s="6" t="str">
        <x:v>Attribution and licenses</x:v>
      </x:c>
      <x:c r="B26" s="6" t="str">
        <x:v>Observed in source metadata</x:v>
      </x:c>
      <x:c r="C26" s="6" t="str">
        <x:v>Swiss Dwellings / ResPlan: CC BY 4.0. Procedural: CC0-1.0. OSM: ODbL-1.0, © OpenStreetMap contributors. Each question retains building_source and building_license.</x:v>
      </x:c>
      <x:c r="D26" s="6" t="str">
        <x:v>The OSM-derived portion remains subject to ODbL. Preserve ATTRIBUTION.md and per-building attribution when redistributing.</x:v>
      </x:c>
      <x:c r="E26" s="6" t="str">
        <x:v>ATTRIBUTION.md</x:v>
      </x:c>
      <x:c r="F26" s="6" t="str">
        <x:v>https://github.com/hagenhaeussler/Industrial-Agents-Hackathon-2026/blob/f41616590b69f3ea0c1cbfb41d6c35edd9ce53df/ATTRIBUTION.md</x:v>
      </x:c>
    </x:row>
  </x:sheetData>
  <x:pageMargins left="0.7" right="0.7" top="0.75" bottom="0.75" header="0.3" footer="0.3"/>
  <x:tableParts count="1">
    <x:tablePart xmlns:r="http://schemas.openxmlformats.org/officeDocument/2006/relationships" r:id="Rc91b470594874c67"/>
  </x:tableParts>
</x:worksheet>
</file>